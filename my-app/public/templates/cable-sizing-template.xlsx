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xr:revisionPtr revIDLastSave="1521" documentId="13_ncr:1_{B3CD9D61-3994-4DB2-9E52-2374B5B56D18}" xr6:coauthVersionLast="47" xr6:coauthVersionMax="47" xr10:uidLastSave="{EB1E3035-C5CD-4382-803A-454FCEC4F3F1}"/>
  <bookViews>
    <workbookView xWindow="-108" yWindow="-108" windowWidth="23256" windowHeight="12456" xr2:uid="{00000000-000D-0000-FFFF-FFFF00000000}"/>
  </bookViews>
  <sheets>
    <sheet name="Cables Sizes" sheetId="1" r:id="rId1"/>
    <sheet name="DC Cable Sizes" sheetId="3" r:id="rId2"/>
    <sheet name="SANS Data" sheetId="2" r:id="rId3"/>
    <sheet name="Cable Data" sheetId="4" r:id="rId4"/>
  </sheets>
  <definedNames>
    <definedName name="DC_CCC">'SANS Data'!$B$68:$D$82</definedName>
    <definedName name="DC_Method">'SANS Data'!$B$67:$D$67</definedName>
    <definedName name="DC_Prot">'SANS Data'!$G$68:$G$99</definedName>
    <definedName name="DC_R">'SANS Data'!$E$68:$E$82</definedName>
    <definedName name="DC_Size">'SANS Data'!$A$68:$A$82</definedName>
    <definedName name="DC_Types">'SANS Data'!$A$61:$A$64</definedName>
    <definedName name="DC_TypeTbl">'SANS Data'!$A$61:$G$64</definedName>
    <definedName name="Dev_t">'SANS Data'!$X$42:$X$44</definedName>
    <definedName name="Dev_Type">'SANS Data'!$W$42:$W$44</definedName>
    <definedName name="Fac_Al">'SANS Data'!$B$5</definedName>
    <definedName name="Fac_AlmV">'SANS Data'!$B$6</definedName>
    <definedName name="Fac_BrkSF">'SANS Data'!$X$52</definedName>
    <definedName name="Fac_CuAlpha">'SANS Data'!$B$56</definedName>
    <definedName name="Fac_DCDerate">'SANS Data'!$B$54</definedName>
    <definedName name="Fac_DCMaxRuns">'SANS Data'!$B$57</definedName>
    <definedName name="Fac_DCMaxV">'SANS Data'!$B$58</definedName>
    <definedName name="Fac_DCTemp">'SANS Data'!$B$55</definedName>
    <definedName name="Fac_Derate">'SANS Data'!$B$7</definedName>
    <definedName name="Fac_MaxRuns">'SANS Data'!$B$9</definedName>
    <definedName name="Fac_MaxSize">'SANS Data'!$B$10</definedName>
    <definedName name="Fac_Rubber">'SANS Data'!$B$11</definedName>
    <definedName name="Fac_Trefoil">'Cable Data'!$B$28</definedName>
    <definedName name="Fac_VdLimit">'SANS Data'!$B$8</definedName>
    <definedName name="Fac_XLPE">'SANS Data'!$B$4</definedName>
    <definedName name="Grp_Cg">'SANS Data'!$Z$14:$AE$29</definedName>
    <definedName name="Grp_Eff">'SANS Data'!$AH$14:$AM$29</definedName>
    <definedName name="Grp_Key">'SANS Data'!$W$14:$W$29</definedName>
    <definedName name="Grp_N">'SANS Data'!$Z$13:$AE$13</definedName>
    <definedName name="Ir_Min">'SANS Data'!$X$48:$X$50</definedName>
    <definedName name="Ir_Step">'SANS Data'!$Y$48:$Y$50</definedName>
    <definedName name="Ir_Type">'SANS Data'!$W$48:$W$50</definedName>
    <definedName name="List_Spacing">'SANS Data'!$AO$14:$AO$20</definedName>
    <definedName name="Map_Cores">'SANS Data'!$T$14:$V$18</definedName>
    <definedName name="Map_Install">'SANS Data'!$Q$14:$S$21</definedName>
    <definedName name="SANS_Breaker">'SANS Data'!$O$14:$O$42</definedName>
    <definedName name="SANS_BrkType">'SANS Data'!$P$14:$P$42</definedName>
    <definedName name="SANS_CCC">'Cable Data'!$B$7:$K$25</definedName>
    <definedName name="SANS_CCC_Rub">'Cable Data'!$L$7:$U$25</definedName>
    <definedName name="SANS_CCCkey">'Cable Data'!$B$6:$K$6</definedName>
    <definedName name="SANS_mV">'Cable Data'!$W$7:$AD$25</definedName>
    <definedName name="SANS_Size">'Cable Data'!$A$7:$A$25</definedName>
    <definedName name="SC_k">'SANS Data'!$Z$33:$Z$38</definedName>
    <definedName name="SC_kKey">'SANS Data'!$W$33:$W$38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tc={1B25A078-26B2-40B6-8035-468023E787F7}</author>
    <author>tc={6FD0926D-6EA5-41F7-9CEF-947280F91B99}</author>
    <author>tc={626A3DF3-48B4-418C-AF65-17EC8C88DC17}</author>
    <author>tc={23DD7609-BD2A-485C-9F82-B96519851243}</author>
  </authors>
  <commentList>
    <comment ref="J6" authorId="0" shapeId="0" xr:uid="{1B25A078-26B2-40B6-8035-468023E787F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IEC 60364-5-52 Table B.52.10 (PVC 70°C, copper, single-core, method F: 2 loaded touching / 3 loaded trefoil), 30°C air. Typed from standard – VERIFY against SANS 10142-1 Annex / IEC copy. XLPE = these × Fac_XLPE (checks to within ~1% of Table B.52.12).</t>
      </text>
    </comment>
    <comment ref="L6" authorId="1" shapeId="0" xr:uid="{6FD0926D-6EA5-41F7-9CEF-947280F91B99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h07rn-f-en-50525-2-21-flexible-rubber-cable (1).pdf (Eland Cables H07RN-F technical specification), uploaded 2026-10-28. Uploaded file. CCC: 'Electrical characteristics (4mm2 and above)' 60°C table + 1–2.5mm2 table; F|3 derived via Fac_Trefoil.</t>
      </text>
    </comment>
    <comment ref="Y6" authorId="2" shapeId="0" xr:uid="{626A3DF3-48B4-418C-AF65-17EC8C88DC1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BS 7671 Table 4D1B (PVC 70°C single-core copper, impedance z, 1ph 2 cables touching / 3ph trefoil touching). Typed from standard – VERIFY. XLPE uses same values (slightly optimistic at 90°C).</t>
      </text>
    </comment>
    <comment ref="AA6" authorId="3" shapeId="0" xr:uid="{23DD7609-BD2A-485C-9F82-B9651985124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h07rn-f-en-50525-2-21-flexible-rubber-cable (1).pdf (Eland Cables H07RN-F technical specification), uploaded 2026-10-28. Uploaded file. Voltage drop table, impedance z at 60°C; 1-core 3ph = 1ph x √3/2 (trefoil).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<sst xmlns="http://schemas.openxmlformats.org/spreadsheetml/2006/main" count="404" uniqueCount="257">
  <si>
    <t>Conductor Insulation</t>
  </si>
  <si>
    <t>Conductor (Cu/Al)</t>
  </si>
  <si>
    <t>#</t>
  </si>
  <si>
    <t>Two</t>
  </si>
  <si>
    <t>Three</t>
  </si>
  <si>
    <t>Cable Protection</t>
  </si>
  <si>
    <t>Free Air</t>
  </si>
  <si>
    <t>Copper</t>
  </si>
  <si>
    <t>Four</t>
  </si>
  <si>
    <t>SANS 10142-1 / IEC 60364-5-52 Reference Data</t>
  </si>
  <si>
    <t>VERIFY all values against your official SANS 10142-1 copy. Every cell is editable; the calculator references these.</t>
  </si>
  <si>
    <t>Factors / Assumptions</t>
  </si>
  <si>
    <t>XLPE CCC factor (x PVC 70C)</t>
  </si>
  <si>
    <t>Aluminium CCC factor (x Cu)</t>
  </si>
  <si>
    <t>Aluminium mV.A.m factor (x Cu)</t>
  </si>
  <si>
    <t>CCC base table: PVC insulated, Copper, multicore (Amps) - ref method | loaded conductors</t>
  </si>
  <si>
    <t>Size (mm2)</t>
  </si>
  <si>
    <t>B|2</t>
  </si>
  <si>
    <t>B|3</t>
  </si>
  <si>
    <t>C|2</t>
  </si>
  <si>
    <t>C|3</t>
  </si>
  <si>
    <t>E|2</t>
  </si>
  <si>
    <t>E|3</t>
  </si>
  <si>
    <t>D|2</t>
  </si>
  <si>
    <t>D|3</t>
  </si>
  <si>
    <t>1ph mV/A/m</t>
  </si>
  <si>
    <t>3ph mV/A/m</t>
  </si>
  <si>
    <t>Std Breaker (A)</t>
  </si>
  <si>
    <t>Install Method</t>
  </si>
  <si>
    <t>Ref Method</t>
  </si>
  <si>
    <t>E</t>
  </si>
  <si>
    <t>On Tray/Ladder</t>
  </si>
  <si>
    <t>Clipped Direct</t>
  </si>
  <si>
    <t>C</t>
  </si>
  <si>
    <t>Surface</t>
  </si>
  <si>
    <t>In Conduit</t>
  </si>
  <si>
    <t>B</t>
  </si>
  <si>
    <t>In Trunking</t>
  </si>
  <si>
    <t>Buried</t>
  </si>
  <si>
    <t>D</t>
  </si>
  <si>
    <t>In Ground Duct</t>
  </si>
  <si>
    <t>Loaded</t>
  </si>
  <si>
    <t>System Voltage (V)</t>
  </si>
  <si>
    <t>Recommended Size (mm2)</t>
  </si>
  <si>
    <t>Voltage Drop (%)</t>
  </si>
  <si>
    <t>Circuit Breaker Size (A)</t>
  </si>
  <si>
    <t>AC Cable Inputs</t>
  </si>
  <si>
    <t>Calculated Outputs (SANS 10142-1)</t>
  </si>
  <si>
    <t>Voltage drop limit (%)</t>
  </si>
  <si>
    <t>CCC col</t>
  </si>
  <si>
    <t>Insul fac</t>
  </si>
  <si>
    <t>Cu/Al fac</t>
  </si>
  <si>
    <t>Req base CCC</t>
  </si>
  <si>
    <t>Size by CCC</t>
  </si>
  <si>
    <t>mV col</t>
  </si>
  <si>
    <t>Al mV fac</t>
  </si>
  <si>
    <t>Max base mV</t>
  </si>
  <si>
    <t>Size by VD</t>
  </si>
  <si>
    <t>Rec size</t>
  </si>
  <si>
    <t>Notes / Assumptions:</t>
  </si>
  <si>
    <t>A</t>
  </si>
  <si>
    <t>Max cables in parallel</t>
  </si>
  <si>
    <t>Max cable size per run (mm2)</t>
  </si>
  <si>
    <t>Cables in Parallel</t>
  </si>
  <si>
    <t>Cable CCC – total (A)</t>
  </si>
  <si>
    <t>Voltage Drop (V)</t>
  </si>
  <si>
    <t>Earth Conductor (mm2)</t>
  </si>
  <si>
    <t>Status</t>
  </si>
  <si>
    <t>Inputs OK</t>
  </si>
  <si>
    <t>Derate used</t>
  </si>
  <si>
    <t>Breaker raw</t>
  </si>
  <si>
    <t>Runs needed</t>
  </si>
  <si>
    <t>Project Name</t>
  </si>
  <si>
    <t>Project Number</t>
  </si>
  <si>
    <t>Date</t>
  </si>
  <si>
    <t>Address</t>
  </si>
  <si>
    <t>Coordinates</t>
  </si>
  <si>
    <t>Design Current Ib (A)</t>
  </si>
  <si>
    <t>Termination Point A</t>
  </si>
  <si>
    <t>Termination Point B</t>
  </si>
  <si>
    <t>Installation Method</t>
  </si>
  <si>
    <t>Cable Distance (m)</t>
  </si>
  <si>
    <t>Calculation helpers – do not edit</t>
  </si>
  <si>
    <t>• Phase from cores: 2-core = single-phase (use 230 V); 3/4-core = three-phase (use 400 V). Status shows CHECK if the voltage doesn't suit the cores.</t>
  </si>
  <si>
    <t>Rubber</t>
  </si>
  <si>
    <t>DC / SOLAR PV REFERENCE DATA (used by 'DC Cable Sizes')</t>
  </si>
  <si>
    <t>VERIFY against SANS 10142-1-2 / IEC 62548 / EN 50618 and the cable manufacturer's data.</t>
  </si>
  <si>
    <t>DC Factors / Assumptions</t>
  </si>
  <si>
    <t>Default DC derating (if circuit cell blank)</t>
  </si>
  <si>
    <t>Conductor temp for VD resistance (°C)</t>
  </si>
  <si>
    <t>Copper resistance temp coefficient (/°C)</t>
  </si>
  <si>
    <t>Max DC cables in parallel</t>
  </si>
  <si>
    <t>DC circuit types</t>
  </si>
  <si>
    <t>Circuit Type</t>
  </si>
  <si>
    <t>Ib multiplier (x current input)</t>
  </si>
  <si>
    <t>Min protection (x current input)</t>
  </si>
  <si>
    <t>VD limit (%)</t>
  </si>
  <si>
    <t>Basis</t>
  </si>
  <si>
    <t>PV String</t>
  </si>
  <si>
    <t>Input = string Isc(STC). IEC 62548: Iz ≥ 1.25 Isc; string fuse ≥ 1.5 Isc</t>
  </si>
  <si>
    <t>PV Array</t>
  </si>
  <si>
    <t>Input = string Isc x strings. Iz ≥ 1.25 Isc array</t>
  </si>
  <si>
    <t>Battery</t>
  </si>
  <si>
    <t>Input = max battery charge/discharge current</t>
  </si>
  <si>
    <t>General DC</t>
  </si>
  <si>
    <t>Input = design current Ib</t>
  </si>
  <si>
    <t>Solar PV cable CCC (A) – single-core, tinned Cu, 120°C conductor, 60°C ambient (EN 50618 Table A.3) + DC resistance at 20°C (IEC 60228 class 5)</t>
  </si>
  <si>
    <t>Free Air (single)</t>
  </si>
  <si>
    <t>On Surface (single)</t>
  </si>
  <si>
    <t>On Surface (2 adjacent)</t>
  </si>
  <si>
    <t>R20 (ohm/km)</t>
  </si>
  <si>
    <t>Std DC Fuse/Breaker (A)</t>
  </si>
  <si>
    <t>Current Input (A) – Isc per string for PV</t>
  </si>
  <si>
    <t>Strings in Parallel (PV Array)</t>
  </si>
  <si>
    <t>Cable Distance one-way (m)</t>
  </si>
  <si>
    <t>Derating (blank = default)</t>
  </si>
  <si>
    <t>Strings used</t>
  </si>
  <si>
    <t>Ib mult</t>
  </si>
  <si>
    <t>Min In mult</t>
  </si>
  <si>
    <t>VD limit</t>
  </si>
  <si>
    <t>Method col</t>
  </si>
  <si>
    <t>Ib</t>
  </si>
  <si>
    <t>I for VD</t>
  </si>
  <si>
    <t>Min In</t>
  </si>
  <si>
    <t>Prot raw</t>
  </si>
  <si>
    <t>Req CCC</t>
  </si>
  <si>
    <t>R temp fac</t>
  </si>
  <si>
    <t>Max R single (ohm/km)</t>
  </si>
  <si>
    <t>DC Cable Inputs</t>
  </si>
  <si>
    <t>Calculated Outputs (DC / PV)</t>
  </si>
  <si>
    <t>• PV cable ratings: single-core tinned Cu, 120°C conductor at 60°C ambient (EN 50618 Table A.3). VERIFY on 'SANS Data' against manufacturer data and SANS 10142-1-2 / IEC 62548.</t>
  </si>
  <si>
    <t>• Ib = current input x strings x multiplier (PV: 1.25 x Isc; Battery/General: 1.0). Multipliers, minimum protection and VD limits per circuit type are editable on 'SANS Data'.</t>
  </si>
  <si>
    <t>• Protection = smallest standard DC rating &gt; Ib and ≥ minimum (PV string ≥ 1.5 x Isc). Check it does not exceed the module's max series fuse rating.</t>
  </si>
  <si>
    <t>• Recommended size = smallest size whose derated CCC &gt; protection rating AND meets the VD limit, so Ib &lt; In &lt; Iz.</t>
  </si>
  <si>
    <t>• Ratings are for one cable per circuit pole. Use the Derating column for conduit, grouping, buried runs or parallel cables.</t>
  </si>
  <si>
    <t>• Status: FAIL = invalid inputs, out of range, volt drop over limit, protection not &gt; Ib, or CCC not &gt; protection.</t>
  </si>
  <si>
    <t>Max DC system voltage (V)</t>
  </si>
  <si>
    <t>Modules per String (PV)</t>
  </si>
  <si>
    <t>Module Voltage Vmp (V)</t>
  </si>
  <si>
    <t>System Voltage (V DC) – if no modules entered</t>
  </si>
  <si>
    <t>Total System Voltage (V DC)</t>
  </si>
  <si>
    <t>• Volt drop = 2 x one-way length x current x R, with R corrected to the conductor temp on 'SANS Data' (default 90°C). VD current = input x strings (no 1.25 factor). VD % uses Total System Voltage.</t>
  </si>
  <si>
    <t>• Total System Voltage = Modules per String x Module Vmp when both are entered; otherwise the manual System Voltage. FAIL if above the max DC voltage on 'SANS Data' (check Voc at min. temperature separately).</t>
  </si>
  <si>
    <t>Max cable size (mm2)</t>
  </si>
  <si>
    <t>Max size</t>
  </si>
  <si>
    <t>DC MCB/ Fuse Size (A)</t>
  </si>
  <si>
    <t>Max runs</t>
  </si>
  <si>
    <t>• PV String / PV Array: single cable only, max 10 mm² (manufacturer limit). If 10 mm² can't meet the VD limit, Status shows FAIL – volt drop (shorten route or re-string). Limits per circuit type are on 'SANS Data'.</t>
  </si>
  <si>
    <t>• Battery / General DC: parallel cables are used automatically when no single size meets CCC or volt drop (max runs on 'SANS Data').</t>
  </si>
  <si>
    <t>PVC</t>
  </si>
  <si>
    <t>Aluminium</t>
  </si>
  <si>
    <t>Grouping Scheme</t>
  </si>
  <si>
    <t>AIR-LADDER</t>
  </si>
  <si>
    <t>AIR-TRAY</t>
  </si>
  <si>
    <t>AIR-WALL</t>
  </si>
  <si>
    <t>AIR-BUNCH</t>
  </si>
  <si>
    <t>GND-DIRECT</t>
  </si>
  <si>
    <t>GND-DUCT</t>
  </si>
  <si>
    <t>Grouping factor Cg for parallel runs / circuits – IEC 60364-5-52 Tables B.52.17 (in air), B.52.18 (direct in ground), B.52.19 (in ducts). Multicore cables. VERIFY against SANS 10142-1.</t>
  </si>
  <si>
    <t>Key</t>
  </si>
  <si>
    <t>Scheme</t>
  </si>
  <si>
    <t>Spacing</t>
  </si>
  <si>
    <t>Runs x Cg →</t>
  </si>
  <si>
    <t>Touching</t>
  </si>
  <si>
    <t>2 cable dia</t>
  </si>
  <si>
    <t>1 cable dia</t>
  </si>
  <si>
    <t>0.125 m</t>
  </si>
  <si>
    <t>0.25 m</t>
  </si>
  <si>
    <t>0.5 m</t>
  </si>
  <si>
    <t>1.0 m</t>
  </si>
  <si>
    <t>Spacing options</t>
  </si>
  <si>
    <t>Short-circuit k factor (A·√s/mm²) – IEC 60364-4-43 Table 43A, line conductors ≤ 300 mm². VERIFY.</t>
  </si>
  <si>
    <t>Conductor</t>
  </si>
  <si>
    <t>Insulation</t>
  </si>
  <si>
    <t>k</t>
  </si>
  <si>
    <t>XLPE</t>
  </si>
  <si>
    <t>Max cables in parallel (practical; ≤ 6 = IEC grouping table limit)</t>
  </si>
  <si>
    <t>Default other derating Ca (ambient/soil/other circuits) if circuit cell blank</t>
  </si>
  <si>
    <t>Other Derating Ca (ambient/soil) (blank = default)</t>
  </si>
  <si>
    <t>Spacing between runs (blank = touching)</t>
  </si>
  <si>
    <t>Fault Level Ik (kA) (blank = not checked)</t>
  </si>
  <si>
    <t>Grouping Factor Cg (runs)</t>
  </si>
  <si>
    <t>Cable SC Withstand per run (kA)</t>
  </si>
  <si>
    <t>Ca used</t>
  </si>
  <si>
    <t>Grp key</t>
  </si>
  <si>
    <t>Runs by CCC</t>
  </si>
  <si>
    <t>Runs by VD</t>
  </si>
  <si>
    <t>Cg used</t>
  </si>
  <si>
    <t>t used</t>
  </si>
  <si>
    <t>Min S for SC</t>
  </si>
  <si>
    <t>Size by SC</t>
  </si>
  <si>
    <t>Armoured</t>
  </si>
  <si>
    <t>• Derating: Iz = It × Ca × Cg. Cg for parallel runs is applied automatically (IEC 60364-5-52 B.52.17–B.52.19) from installation method + spacing (col M). Column L = other factors only (ambient/soil temperature, grouping with OTHER circuits).</t>
  </si>
  <si>
    <t>• Parallel runs (IEC 60364-5-52 cl. 523.7): same conductor, size, length and route. Practical max runs and max size per run set on 'SANS Data'. Output size, earth and SC withstand are per run; CCC is the total for the set.</t>
  </si>
  <si>
    <t>• Earth conductor per IEC 60364-5-54 Table 54.2 (same material): S ≤ 16 → S; 16–35 → 16; &gt; 35 → S/2. Per run. Armour may serve as earth if verified by adiabatic check.</t>
  </si>
  <si>
    <t>• Status: FAIL = invalid inputs, out of range, volt drop over limit, breaker &lt; Ib, CCC &lt; breaker, or cable SC withstand &lt; fault level.</t>
  </si>
  <si>
    <t>• Spacing options: in air – Touching or 2 cable dia (Cg = 1); buried direct – Touching/1 cable dia/0.125/0.25/0.5 m; in ducts – Touching/0.25/0.5/1.0 m.</t>
  </si>
  <si>
    <t>Device Type</t>
  </si>
  <si>
    <t>MCB</t>
  </si>
  <si>
    <t>MCCB</t>
  </si>
  <si>
    <t>ACB</t>
  </si>
  <si>
    <t>Device type per IEC 60898-1 (MCB ≤ 63 A) / IEC 60947-2 (MCCB 80–1250 A, ACB 1600–6300 A). MCCB also available to 1600 A – edit column P to suit. ACB rating = frame/rating plug; set Ir ≤ Iz.</t>
  </si>
  <si>
    <t>Breaker Type</t>
  </si>
  <si>
    <t>Default fault clearing time t (s) by device – used when circuit cell blank. Adiabatic S ≥ Ik·√t / k valid 0.1–5 s; below 0.1 s, 0.1 s is used (conservative) – or check device I²t let-through.</t>
  </si>
  <si>
    <t>Device</t>
  </si>
  <si>
    <t>Default t (s)</t>
  </si>
  <si>
    <t>ACB with short-time delay for selectivity (typ. 0.1–0.5 s)</t>
  </si>
  <si>
    <t>Fault Clearing Time t (s) (blank = device default)</t>
  </si>
  <si>
    <t>• Short circuit (IEC 60364-4-43 cl. 434.5.2): S ≥ Ik·√t / k, full prospective Ik on each run (conservative). k from Table 43A. Default t by device (MCB/MCCB 0.1 s, ACB 0.4 s short-time delay). For current-limiting MCB/MCCB the device I²t let-through gives a smaller, more accurate result.</t>
  </si>
  <si>
    <t>Cable Lookup Tables – used by the AC calculator ('Cables Sizes')</t>
  </si>
  <si>
    <t>PVC values link to 'SANS Data' (edit them there). Rubber values: H07RN-F manufacturer data (60°C conductor, 30°C ambient, free air / on surface). VERIFY against SANS 10142-1.</t>
  </si>
  <si>
    <t>Current-carrying capacity It (A) – key = Ref method | loaded conductors (F = single-core in air/on surface)</t>
  </si>
  <si>
    <t>PVC 70°C copper (XLPE via factor on 'SANS Data')</t>
  </si>
  <si>
    <t>Rubber 60°C H07RN-F copper (EN 50525-2-21)</t>
  </si>
  <si>
    <t>F|2</t>
  </si>
  <si>
    <t>F|3</t>
  </si>
  <si>
    <t>Voltage drop (mV/A/m) – used by the calculator</t>
  </si>
  <si>
    <t>PVC / XLPE (from 'SANS Data')</t>
  </si>
  <si>
    <t>Rubber 60°C H07RN-F</t>
  </si>
  <si>
    <t>Multi 1ph</t>
  </si>
  <si>
    <t>Multi 3ph</t>
  </si>
  <si>
    <t>1-core 1ph</t>
  </si>
  <si>
    <t>1-core 3ph</t>
  </si>
  <si>
    <t>Factors</t>
  </si>
  <si>
    <t>Single-core 3-phase trefoil rating factor (x 2-cable single-phase rating). DERIVED ASSUMPTION – datasheet gives single-phase only. Replace F|3 with manufacturer 3-phase trefoil ratings when available.</t>
  </si>
  <si>
    <t>Notes: H07RN-F (EN 50525-2-21) is a flexible cable for free air / on surface / tray (ref methods C, E, F). No ratings are given for conduit (B) or buried (D) – the calculator blocks those. Copper only. Datasheet ratings per BS 7671 Table 4F1A / IEC 60364-5-52. Ambient derating (datasheet): 35°C 0.95, 40°C 0.91, 45°C 0.86, 50°C 0.82 – enter in column L on 'Cables Sizes'.</t>
  </si>
  <si>
    <t>Single-core (1ph)</t>
  </si>
  <si>
    <t>Single-core (3ph trefoil)</t>
  </si>
  <si>
    <t>Single-core</t>
  </si>
  <si>
    <t>SUPERSEDED – not used by the calculator. Rubber ratings now from H07RN-F manufacturer data on 'Cable Data'.</t>
  </si>
  <si>
    <t>Rubber factor (not used – superseded by 'Cable Data')</t>
  </si>
  <si>
    <t>CCC key</t>
  </si>
  <si>
    <t>Input issue</t>
  </si>
  <si>
    <t>Cores</t>
  </si>
  <si>
    <t>• Ratings from 'Cable Data': PVC multicore ≤ 300 mm² per SANS 10142-1 / IEC 60364-5-52 (XLPE and Al via factors on 'SANS Data'); Rubber = H07RN-F (EN 50525-2-21) manufacturer data, 60°C, 1.5–630 mm². VERIFY all values.</t>
  </si>
  <si>
    <t>• Rubber flex (H07RN-F) is copper only and not rated in conduit or buried – Status shows the reason. For buried large feeders use armoured PVC/XLPE (add single-core tables) or busbar. Single-core parallel sets: use the multicore grouping factors (conservative); earth shown is per run – a common CPC sized by adiabatic check may be used.</t>
  </si>
  <si>
    <t>Trip-unit current setting Ir by device – Ir = smallest setting ≥ Ib (Ib ≤ Ir ≤ In); cable sized to Ir (IEC 60364-4-43 cl. 433.1). Edit to match chosen breakers.</t>
  </si>
  <si>
    <t>Ir min (× In)</t>
  </si>
  <si>
    <t>Ir step (× In)</t>
  </si>
  <si>
    <t>Fixed – Ir = In</t>
  </si>
  <si>
    <t>Thermal-magnetic, adjustable 0.7–1.0 In (typical)</t>
  </si>
  <si>
    <t>Electronic trip unit, 0.4–1.0 In (typical)</t>
  </si>
  <si>
    <t>Trip Setting Ir (A)</t>
  </si>
  <si>
    <t>Breaker safety factor (× Ib)</t>
  </si>
  <si>
    <t>Breaker frame In and trip setting Ir must be ≥ Ib × this factor (1.25 = 80% continuous loading). Set 1.00 for none.</t>
  </si>
  <si>
    <t>• Protection per IEC 60364-4-43 cl. 433.1 / SANS 10142-1: Ib × SF ≤ Ir ≤ In and Ir ≤ Iz. Safety factor SF (default 1.25) on 'SANS Data' X52. Frame In = smallest standard rating ≥ Ib × SF (6–6300 A). Trip setting Ir (col X) = smallest setting ≥ Ib × SF (MCB fixed; MCCB 0.7–1.0 In; ACB 0.4–1.0 In); cable sized to Ir. Ranges editable on 'SANS Data' W47:Z50.</t>
  </si>
  <si>
    <t>• Large currents (design up to 2500 A, breaker up to 3200 A with SF 1.25): select 'Single-core (3ph trefoil)' in free air, on tray/ladder, clipped or surface – PVC/XLPE (IEC 60364-5-52 B.52.10) or H07RN-F rubber, up to 630 mm², max 6 per phase. Single-core is not offered in conduit or buried (use multicore, or busbar trunking for large buried/enclosed feeders). H07RN-F 3ph ratings derived (Fac_Trefoil) – verify.</t>
  </si>
  <si>
    <t>Revision</t>
  </si>
  <si>
    <t>Document Number</t>
  </si>
  <si>
    <t>Designed</t>
  </si>
  <si>
    <t>Checked</t>
  </si>
  <si>
    <t>Approved</t>
  </si>
  <si>
    <t>Client</t>
  </si>
  <si>
    <t>Rev. Description</t>
  </si>
  <si>
    <t>00</t>
  </si>
  <si>
    <t>AC CABLES – SIZING TO SANS 10142-1 / IEC 60364-5-52</t>
  </si>
  <si>
    <t>DC / PV CABLES – SIZING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</si>
</sst>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%"/>
    <numFmt numFmtId="167" formatCode="0.00000"/>
    <numFmt numFmtId="168" formatCode="dd/mm/yyyy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80808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24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4"/>
      <color rgb="FF4472C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80808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i/>
      <sz val="9"/>
      <color rgb="FF808080"/>
      <name val="Calibri"/>
      <family val="2"/>
      <scheme val="minor"/>
    </font>
    <font>
      <b/>
      <i/>
      <sz val="12"/>
      <color rgb="FF4472C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4472C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2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2" fontId="0" fillId="2" borderId="0" xfId="0" applyNumberFormat="1" applyFill="1"/>
    <xf numFmtId="166" fontId="0" fillId="2" borderId="0" xfId="0" applyNumberFormat="1" applyFill="1"/>
    <xf numFmtId="0" fontId="3" fillId="0" borderId="0" xfId="0" applyFont="1"/>
    <xf numFmtId="0" fontId="4" fillId="0" borderId="0" xfId="0" applyFont="1"/>
    <xf numFmtId="1" fontId="0" fillId="2" borderId="0" xfId="0" applyNumberFormat="1" applyFill="1"/>
    <xf numFmtId="0" fontId="1" fillId="0" borderId="0" xfId="0" applyFont="1" applyAlignment="1">
      <alignment horizontal="center" vertical="center" wrapText="1"/>
    </xf>
    <xf numFmtId="2" fontId="4" fillId="2" borderId="0" xfId="0" applyNumberFormat="1" applyFont="1" applyFill="1"/>
    <xf numFmtId="167" fontId="0" fillId="2" borderId="0" xfId="0" applyNumberFormat="1" applyFill="1"/>
    <xf numFmtId="1" fontId="4" fillId="0" borderId="0" xfId="0" applyNumberFormat="1" applyFont="1"/>
    <xf numFmtId="165" fontId="4" fillId="0" borderId="0" xfId="0" applyNumberFormat="1" applyFont="1"/>
    <xf numFmtId="0" fontId="0" fillId="0" borderId="0" xfId="0"/>
    <xf numFmtId="2" fontId="0" fillId="0" borderId="0" xfId="0" applyNumberFormat="1"/>
    <xf numFmtId="0" fontId="7" fillId="0" borderId="0" xfId="0" applyFont="1"/>
    <xf numFmtId="0" fontId="9" fillId="0" borderId="0" xfId="0" applyFont="1"/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/>
    </xf>
    <xf numFmtId="0" fontId="18" fillId="0" borderId="5" xfId="0" applyFont="1" applyFill="1" applyBorder="1"/>
    <xf numFmtId="0" fontId="19" fillId="0" borderId="5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20" fillId="0" borderId="0" xfId="0" applyFont="1"/>
    <xf numFmtId="164" fontId="4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18" fillId="0" borderId="5" xfId="0" applyFont="1" applyFill="1" applyBorder="1"/>
    <xf numFmtId="0" fontId="14" fillId="4" borderId="0" xfId="0" applyFont="1" applyFill="1"/>
    <xf numFmtId="0" fontId="13" fillId="4" borderId="0" xfId="0" applyFont="1" applyFill="1"/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0" fillId="3" borderId="0" xfId="0" applyFill="1"/>
    <xf numFmtId="0" fontId="21" fillId="3" borderId="0" xfId="0" applyFont="1" applyFill="1" applyAlignment="1">
      <alignment vertical="center"/>
    </xf>
    <xf numFmtId="0" fontId="22" fillId="0" borderId="0" xfId="0" applyFont="1"/>
    <xf numFmtId="164" fontId="8" fillId="0" borderId="1" xfId="0" applyNumberFormat="1" applyFont="1" applyBorder="1"/>
    <xf numFmtId="1" fontId="8" fillId="0" borderId="1" xfId="0" applyNumberFormat="1" applyFont="1" applyBorder="1"/>
    <xf numFmtId="1" fontId="0" fillId="0" borderId="1" xfId="0" applyNumberFormat="1" applyBorder="1"/>
    <xf numFmtId="1" fontId="4" fillId="0" borderId="1" xfId="0" applyNumberFormat="1" applyFont="1" applyBorder="1"/>
    <xf numFmtId="1" fontId="5" fillId="0" borderId="1" xfId="0" applyNumberFormat="1" applyFont="1" applyBorder="1"/>
    <xf numFmtId="1" fontId="5" fillId="2" borderId="1" xfId="0" applyNumberFormat="1" applyFont="1" applyFill="1" applyBorder="1"/>
    <xf numFmtId="164" fontId="4" fillId="0" borderId="1" xfId="0" applyNumberFormat="1" applyFont="1" applyBorder="1"/>
    <xf numFmtId="165" fontId="8" fillId="0" borderId="1" xfId="0" applyNumberFormat="1" applyFont="1" applyBorder="1"/>
    <xf numFmtId="165" fontId="0" fillId="0" borderId="1" xfId="0" applyNumberFormat="1" applyBorder="1"/>
    <xf numFmtId="165" fontId="4" fillId="0" borderId="1" xfId="0" applyNumberFormat="1" applyFont="1" applyBorder="1"/>
    <xf numFmtId="165" fontId="5" fillId="0" borderId="1" xfId="0" applyNumberFormat="1" applyFont="1" applyBorder="1"/>
    <xf numFmtId="0" fontId="16" fillId="4" borderId="4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11"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45719</xdr:colOff>
      <xdr:row>0</xdr:row>
      <xdr:rowOff>50800</xdr:rowOff>
    </xdr:from>
    <xdr:to>
      <xdr:col>2</xdr:col>
      <xdr:colOff>969084</xdr:colOff>
      <xdr:row>5</xdr:row>
      <xdr:rowOff>254000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A680FAE0-17C4-FE85-78D0-B217486AD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19" y="50800"/>
          <a:ext cx="2286000" cy="172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83819</xdr:colOff>
      <xdr:row>0</xdr:row>
      <xdr:rowOff>50800</xdr:rowOff>
    </xdr:from>
    <xdr:to>
      <xdr:col>2</xdr:col>
      <xdr:colOff>926501</xdr:colOff>
      <xdr:row>5</xdr:row>
      <xdr:rowOff>254000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A6E22B1A-0C98-138B-08E5-E1B74BF48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19" y="50800"/>
          <a:ext cx="2286000" cy="1727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hakgale Mohale" id="{65DE38DA-1A35-4ACB-B6A0-980A59880A6F}" userId="S::Mathakgale.Mohale@sosimpleenergy.co.za::1cddd9df-e9de-417a-85c8-166d69ad6c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6" dT="2026-10-28T08:24:53.29" personId="{65DE38DA-1A35-4ACB-B6A0-980A59880A6F}" id="{1B25A078-26B2-40B6-8035-468023E787F7}">
    <text>Source: IEC 60364-5-52 Table B.52.10 (PVC 70°C, copper, single-core, method F: 2 loaded touching / 3 loaded trefoil), 30°C air. Typed from standard – VERIFY against SANS 10142-1 Annex / IEC copy. XLPE = these × Fac_XLPE (checks to within ~1% of Table B.52.12).</text>
  </threadedComment>
  <threadedComment ref="L6" dT="2026-10-28T08:09:18.75" personId="{65DE38DA-1A35-4ACB-B6A0-980A59880A6F}" id="{6FD0926D-6EA5-41F7-9CEF-947280F91B99}">
    <text>Source: h07rn-f-en-50525-2-21-flexible-rubber-cable (1).pdf (Eland Cables H07RN-F technical specification), uploaded 2026-10-28. Uploaded file. CCC: 'Electrical characteristics (4mm2 and above)' 60°C table + 1–2.5mm2 table; F|3 derived via Fac_Trefoil.</text>
  </threadedComment>
  <threadedComment ref="Y6" dT="2026-10-28T08:24:53.30" personId="{65DE38DA-1A35-4ACB-B6A0-980A59880A6F}" id="{626A3DF3-48B4-418C-AF65-17EC8C88DC17}">
    <text>Source: BS 7671 Table 4D1B (PVC 70°C single-core copper, impedance z, 1ph 2 cables touching / 3ph trefoil touching). Typed from standard – VERIFY. XLPE uses same values (slightly optimistic at 90°C).</text>
  </threadedComment>
  <threadedComment ref="AA6" dT="2026-10-28T08:09:18.78" personId="{65DE38DA-1A35-4ACB-B6A0-980A59880A6F}" id="{23DD7609-BD2A-485C-9F82-B96519851243}">
    <text>Source: h07rn-f-en-50525-2-21-flexible-rubber-cable (1).pdf (Eland Cables H07RN-F technical specification), uploaded 2026-10-28. Uploaded file. Voltage drop table, impedance z at 60°C; 1-core 3ph = 1ph x √3/2 (trefoil).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"/>
  <sheetViews>
    <sheetView showGridLines="0" tabSelected="1" zoomScale="85" zoomScaleNormal="85" workbookViewId="0">
      <pane ySplit="11" topLeftCell="A12" activePane="bottomLeft" state="frozen"/>
      <selection pane="bottomLeft" activeCell="L18" sqref="L18"/>
    </sheetView>
  </sheetViews>
  <sheetFormatPr defaultRowHeight="14.4" outlineLevelCol="3" x14ac:dyDescent="0.3"/>
  <cols>
    <col min="1" max="1" width="5.109375" customWidth="1"/>
    <col min="2" max="10" width="14.77734375" customWidth="1"/>
    <col min="11" max="11" width="25.88671875" customWidth="1"/>
    <col min="12" max="20" width="14.77734375" customWidth="1"/>
    <col min="21" max="26" width="14.77734375" customWidth="1" outlineLevel="2"/>
    <col min="27" max="27" width="27.77734375" customWidth="1" outlineLevel="2"/>
    <col min="28" max="28" width="2.77734375" customWidth="1" outlineLevel="2"/>
    <col min="29" max="35" width="10.21875" customWidth="1" outlineLevel="3"/>
    <col min="36" max="44" width="10.21875" customWidth="1" outlineLevel="1"/>
  </cols>
  <sheetData>
    <row r="1" spans="1:55" ht="24" customHeight="1" x14ac:dyDescent="0.3">
      <c r="A1" s="20"/>
      <c r="B1" s="20"/>
      <c r="C1" s="20"/>
      <c r="D1" s="21" t="str">
        <f>UPPER(IF($R$1="","Project Name",$R$1))&amp;CHAR(10)&amp;"AC POWER CABLE SCHEDULE"</f>
        <v>PROJECT NAME
AC POWER CABLE SCHEDULE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 t="s">
        <v>72</v>
      </c>
      <c r="Q1" s="29"/>
      <c r="R1" s="23"/>
      <c r="S1" s="23"/>
      <c r="T1" s="23"/>
      <c r="U1" s="23"/>
      <c r="V1" s="22" t="s">
        <v>74</v>
      </c>
      <c r="W1" s="29"/>
      <c r="X1" s="24"/>
      <c r="Y1" s="23"/>
      <c r="Z1" s="23"/>
      <c r="AA1" s="23"/>
    </row>
    <row r="2" spans="1:55" ht="24" customHeight="1" x14ac:dyDescent="0.3">
      <c r="A2" s="20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2" t="s">
        <v>73</v>
      </c>
      <c r="Q2" s="29"/>
      <c r="R2" s="23"/>
      <c r="S2" s="23"/>
      <c r="T2" s="23"/>
      <c r="U2" s="23"/>
      <c r="V2" s="22" t="s">
        <v>247</v>
      </c>
      <c r="W2" s="29"/>
      <c r="X2" s="25" t="s">
        <v>254</v>
      </c>
      <c r="Y2" s="23"/>
      <c r="Z2" s="23"/>
      <c r="AA2" s="23"/>
    </row>
    <row r="3" spans="1:55" ht="24" customHeight="1" x14ac:dyDescent="0.3">
      <c r="A3" s="20"/>
      <c r="B3" s="20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2" t="s">
        <v>248</v>
      </c>
      <c r="Q3" s="29"/>
      <c r="R3" s="23"/>
      <c r="S3" s="23"/>
      <c r="T3" s="23"/>
      <c r="U3" s="23"/>
      <c r="V3" s="22" t="s">
        <v>249</v>
      </c>
      <c r="W3" s="29"/>
      <c r="X3" s="23"/>
      <c r="Y3" s="23"/>
      <c r="Z3" s="23"/>
      <c r="AA3" s="23"/>
    </row>
    <row r="4" spans="1:55" ht="24" customHeight="1" x14ac:dyDescent="0.3">
      <c r="A4" s="20"/>
      <c r="B4" s="20"/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30" t="s">
        <v>75</v>
      </c>
      <c r="Q4" s="30"/>
      <c r="R4" s="23"/>
      <c r="S4" s="23"/>
      <c r="T4" s="23"/>
      <c r="U4" s="23"/>
      <c r="V4" s="30" t="s">
        <v>250</v>
      </c>
      <c r="W4" s="30"/>
      <c r="X4" s="23"/>
      <c r="Y4" s="23"/>
      <c r="Z4" s="23"/>
      <c r="AA4" s="23"/>
    </row>
    <row r="5" spans="1:55" ht="24" customHeight="1" x14ac:dyDescent="0.3">
      <c r="A5" s="20"/>
      <c r="B5" s="20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30" t="s">
        <v>76</v>
      </c>
      <c r="Q5" s="30"/>
      <c r="R5" s="23"/>
      <c r="S5" s="23"/>
      <c r="T5" s="23"/>
      <c r="U5" s="23"/>
      <c r="V5" s="30" t="s">
        <v>251</v>
      </c>
      <c r="W5" s="30"/>
      <c r="X5" s="23"/>
      <c r="Y5" s="23"/>
      <c r="Z5" s="23"/>
      <c r="AA5" s="23"/>
    </row>
    <row r="6" spans="1:55" ht="24" customHeight="1" x14ac:dyDescent="0.3">
      <c r="A6" s="20"/>
      <c r="B6" s="20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30" t="s">
        <v>252</v>
      </c>
      <c r="Q6" s="30"/>
      <c r="R6" s="23"/>
      <c r="S6" s="23"/>
      <c r="T6" s="23"/>
      <c r="U6" s="23"/>
      <c r="V6" s="30" t="s">
        <v>253</v>
      </c>
      <c r="W6" s="30"/>
      <c r="X6" s="23"/>
      <c r="Y6" s="23"/>
      <c r="Z6" s="23"/>
      <c r="AA6" s="23"/>
    </row>
    <row r="7" spans="1:55" ht="6" customHeight="1" x14ac:dyDescent="0.3"/>
    <row r="8" spans="1:55" ht="30" customHeight="1" x14ac:dyDescent="0.3">
      <c r="A8" s="27" t="s">
        <v>255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8"/>
    </row>
    <row r="9" spans="1:55" ht="6" customHeight="1" x14ac:dyDescent="0.3"/>
    <row r="10" spans="1:55" ht="24" customHeight="1" x14ac:dyDescent="0.3">
      <c r="A10" s="33"/>
      <c r="B10" s="34" t="s">
        <v>46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3"/>
      <c r="N10" s="33"/>
      <c r="O10" s="33"/>
      <c r="P10" s="34" t="s">
        <v>47</v>
      </c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48"/>
      <c r="AC10" s="50" t="s">
        <v>82</v>
      </c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1"/>
      <c r="AT10" s="51"/>
      <c r="AU10" s="51"/>
      <c r="AV10" s="51"/>
      <c r="AW10" s="51"/>
      <c r="AX10" s="51"/>
      <c r="AY10" s="51"/>
      <c r="AZ10" s="51"/>
      <c r="BA10" s="52"/>
      <c r="BB10" s="52"/>
      <c r="BC10" s="52"/>
    </row>
    <row r="11" spans="1:55" ht="72" x14ac:dyDescent="0.3">
      <c r="A11" s="35" t="s">
        <v>2</v>
      </c>
      <c r="B11" s="35" t="s">
        <v>77</v>
      </c>
      <c r="C11" s="35" t="s">
        <v>78</v>
      </c>
      <c r="D11" s="35" t="s">
        <v>79</v>
      </c>
      <c r="E11" s="35" t="s">
        <v>80</v>
      </c>
      <c r="F11" s="35" t="s">
        <v>81</v>
      </c>
      <c r="G11" s="35" t="s">
        <v>42</v>
      </c>
      <c r="H11" s="35" t="s">
        <v>5</v>
      </c>
      <c r="I11" s="35" t="s">
        <v>0</v>
      </c>
      <c r="J11" s="35" t="s">
        <v>1</v>
      </c>
      <c r="K11" s="35" t="s">
        <v>233</v>
      </c>
      <c r="L11" s="35" t="s">
        <v>178</v>
      </c>
      <c r="M11" s="35" t="s">
        <v>179</v>
      </c>
      <c r="N11" s="35" t="s">
        <v>180</v>
      </c>
      <c r="O11" s="35" t="s">
        <v>207</v>
      </c>
      <c r="P11" s="35" t="s">
        <v>63</v>
      </c>
      <c r="Q11" s="35" t="s">
        <v>43</v>
      </c>
      <c r="R11" s="35" t="s">
        <v>181</v>
      </c>
      <c r="S11" s="35" t="s">
        <v>64</v>
      </c>
      <c r="T11" s="35" t="s">
        <v>65</v>
      </c>
      <c r="U11" s="35" t="s">
        <v>44</v>
      </c>
      <c r="V11" s="35" t="s">
        <v>45</v>
      </c>
      <c r="W11" s="35" t="s">
        <v>202</v>
      </c>
      <c r="X11" s="35" t="s">
        <v>242</v>
      </c>
      <c r="Y11" s="35" t="s">
        <v>66</v>
      </c>
      <c r="Z11" s="35" t="s">
        <v>182</v>
      </c>
      <c r="AA11" s="35" t="s">
        <v>67</v>
      </c>
      <c r="AB11" s="49"/>
      <c r="AC11" s="53" t="s">
        <v>68</v>
      </c>
      <c r="AD11" s="53" t="s">
        <v>29</v>
      </c>
      <c r="AE11" s="53" t="s">
        <v>41</v>
      </c>
      <c r="AF11" s="53" t="s">
        <v>49</v>
      </c>
      <c r="AG11" s="53" t="s">
        <v>50</v>
      </c>
      <c r="AH11" s="53" t="s">
        <v>51</v>
      </c>
      <c r="AI11" s="53" t="s">
        <v>183</v>
      </c>
      <c r="AJ11" s="53" t="s">
        <v>70</v>
      </c>
      <c r="AK11" s="53" t="s">
        <v>52</v>
      </c>
      <c r="AL11" s="53" t="s">
        <v>54</v>
      </c>
      <c r="AM11" s="53" t="s">
        <v>55</v>
      </c>
      <c r="AN11" s="53" t="s">
        <v>56</v>
      </c>
      <c r="AO11" s="53" t="s">
        <v>71</v>
      </c>
      <c r="AP11" s="53" t="s">
        <v>53</v>
      </c>
      <c r="AQ11" s="53" t="s">
        <v>57</v>
      </c>
      <c r="AR11" s="53" t="s">
        <v>58</v>
      </c>
      <c r="AS11" s="53" t="s">
        <v>184</v>
      </c>
      <c r="AT11" s="53" t="s">
        <v>185</v>
      </c>
      <c r="AU11" s="53" t="s">
        <v>186</v>
      </c>
      <c r="AV11" s="53" t="s">
        <v>187</v>
      </c>
      <c r="AW11" s="53" t="s">
        <v>174</v>
      </c>
      <c r="AX11" s="53" t="s">
        <v>188</v>
      </c>
      <c r="AY11" s="53" t="s">
        <v>189</v>
      </c>
      <c r="AZ11" s="53" t="s">
        <v>190</v>
      </c>
      <c r="BA11" s="53" t="s">
        <v>228</v>
      </c>
      <c r="BB11" s="53" t="s">
        <v>231</v>
      </c>
      <c r="BC11" s="53" t="s">
        <v>232</v>
      </c>
    </row>
    <row r="12" spans="1:55" ht="19.95" customHeight="1" x14ac:dyDescent="0.3">
      <c r="A12" s="47">
        <v>1</v>
      </c>
      <c r="B12" s="37">
        <v>2000</v>
      </c>
      <c r="C12" s="37" t="s">
        <v>60</v>
      </c>
      <c r="D12" s="37" t="s">
        <v>36</v>
      </c>
      <c r="E12" s="37" t="s">
        <v>31</v>
      </c>
      <c r="F12" s="37">
        <v>200</v>
      </c>
      <c r="G12" s="38">
        <v>400</v>
      </c>
      <c r="H12" s="37" t="s">
        <v>191</v>
      </c>
      <c r="I12" s="37" t="s">
        <v>175</v>
      </c>
      <c r="J12" s="37" t="s">
        <v>7</v>
      </c>
      <c r="K12" s="37" t="s">
        <v>227</v>
      </c>
      <c r="L12" s="39"/>
      <c r="M12" s="39"/>
      <c r="N12" s="39"/>
      <c r="O12" s="39"/>
      <c r="P12" s="40">
        <f>IF($B12="","",IF(NOT($AC12),"",IF(ISNUMBER($AR12),$AO12,"")))</f>
        <v>5</v>
      </c>
      <c r="Q12" s="41">
        <f>IF($B12="","",IF(NOT($AC12),"Check inputs",IFERROR($AR12,"Single-core / busbar")))</f>
        <v>630</v>
      </c>
      <c r="R12" s="42">
        <f>IF(OR($B12="",NOT(ISNUMBER($AR12))),"",$AV12)</f>
        <v>0.75</v>
      </c>
      <c r="S12" s="40" cm="1">
        <f t="array" ref="S12">IF(OR($B12="",NOT(ISNUMBER($AR12))),"",INDEX(IF($I12="Rubber",SANS_CCC_Rub,SANS_CCC),MATCH($AR12,SANS_Size,0),$AF12)*$AG12*$AH12*$AI12*$AV12*$AO12)</f>
        <v>4104</v>
      </c>
      <c r="T12" s="42">
        <f>IF($U12="","",$U12*$G12)</f>
        <v>11.599999999999998</v>
      </c>
      <c r="U12" s="43" cm="1">
        <f t="array" ref="U12">IF(OR($B12="",NOT(ISNUMBER($AR12))),"",INDEX(SANS_mV,MATCH($AR12,SANS_Size,0),$AL12)*$AM12*($B12/$AO12)*$F12/1000/$G12)</f>
        <v>2.8999999999999995E-2</v>
      </c>
      <c r="V12" s="40">
        <f>IF($B12="","",IF(NOT($AC12),"",IF($AJ12=0,"Exceeds range",$AJ12)))</f>
        <v>2500</v>
      </c>
      <c r="W12" s="44" t="str">
        <f>IF(OR($B12="",NOT(ISNUMBER($V12))),"",INDEX(SANS_BrkType,MATCH($V12,SANS_Breaker,0)))</f>
        <v>ACB</v>
      </c>
      <c r="X12" s="44">
        <f>IF(OR($B12="",NOT(ISNUMBER($V12))),"",IFERROR(MIN(1,MAX(INDEX(Ir_Min,MATCH($W12,Ir_Type,0)),CEILING(ROUND($B12*Fac_BrkSF/$V12,6),INDEX(Ir_Step,MATCH($W12,Ir_Type,0)))))*$V12,$V12))</f>
        <v>2500</v>
      </c>
      <c r="Y12" s="45">
        <f>IF(NOT(ISNUMBER($AR12)),"",IF($AR12&lt;=16,$AR12,IF($AR12&lt;=35,16,_xlfn.MINIFS(SANS_Size,SANS_Size,"&gt;="&amp;$AR12/2))))</f>
        <v>400</v>
      </c>
      <c r="Z12" s="46" t="str">
        <f>IF(OR($B12="",NOT(ISNUMBER($AR12))),"",IF($N12="","Not checked",$AW12*$AR12/SQRT($AX12)/1000))</f>
        <v>Not checked</v>
      </c>
      <c r="AA12" s="45" t="str" cm="1">
        <f t="array" ref="AA12">IF($B12="","",_xlfn.IFS(NOT($AC12),"FAIL – "&amp;$BC12,NOT(ISNUMBER($AR12)),"FAIL – exceeds range",$U12&gt;Fac_VdLimit,"FAIL – volt drop",IF(ISNUMBER($X12),$X12,$V12)&lt;$B12*Fac_BrkSF,"FAIL – breaker &lt; Ib × SF",$S12&lt;IF(ISNUMBER($X12),$X12,$V12),"FAIL – CCC &lt; Ir setting",AND(ISNUMBER($Z12),$N12&gt;$Z12),"FAIL – short circuit",AND($AE12=2,$G12&gt;250),"CHECK – 1ph: use 230 V",AND($AE12=3,$G12&lt;300),"CHECK – 3ph: use 400 V",TRUE,"OK"))</f>
        <v>OK</v>
      </c>
      <c r="AB12" s="48"/>
      <c r="AC12" s="54" t="b">
        <f>IF($B12="","",IFERROR(AND(ISNUMBER($B12),$B12&gt;0,ISNUMBER($F12),$F12&gt;0,ISNUMBER($G12),$G12&gt;0,ISNUMBER(MATCH($E12,INDEX(Map_Install,0,1),0)),ISNUMBER(MATCH($K12,INDEX(Map_Cores,0,1),0)),OR($I12="PVC",$I12="XLPE",$I12="Rubber"),OR($J12="Copper",$J12="Aluminium"),OR($L12="",AND(ISNUMBER($L12),$L12&gt;0,$L12&lt;=1.5)),ISNUMBER(MATCH(VLOOKUP($E12,Map_Install,3,FALSE)&amp;"|"&amp;IF($M12="","Touching",$M12),Grp_Key,0)),OR($N12="",AND(ISNUMBER($N12),$N12&gt;0)),OR($O12="",AND(ISNUMBER($O12),$O12&gt;0,$O12&lt;=5)),ISNUMBER(MATCH($BB12,SANS_CCCkey,0)),COUNT(INDEX(IF($I12="Rubber",SANS_CCC_Rub,SANS_CCC),0,MATCH($BB12,SANS_CCCkey,0)))&gt;0,NOT(AND($I12="Rubber",$J12="Aluminium")),NOT(AND(OR($I12="Rubber",$BA12=TRUE),OR(VLOOKUP($E12,Map_Install,2,FALSE)="B",VLOOKUP($E12,Map_Install,2,FALSE)="D")))),FALSE))</f>
        <v>1</v>
      </c>
      <c r="AD12" s="54" t="str">
        <f>IF(OR($B12="",$AC12&lt;&gt;TRUE),"",IF($BA12=TRUE,"F",VLOOKUP($E12,Map_Install,2,FALSE)))</f>
        <v>F</v>
      </c>
      <c r="AE12" s="54">
        <f>IF(OR($B12="",$AC12&lt;&gt;TRUE),"",VLOOKUP($K12,Map_Cores,2,FALSE))</f>
        <v>3</v>
      </c>
      <c r="AF12" s="54">
        <f>IF(OR($B12="",$AC12&lt;&gt;TRUE),"",MATCH($AD12&amp;"|"&amp;$AE12,SANS_CCCkey,0))</f>
        <v>10</v>
      </c>
      <c r="AG12" s="54">
        <f>IF(OR($B12="",$AC12&lt;&gt;TRUE),"",IF($I12="XLPE",Fac_XLPE,1))</f>
        <v>1.28</v>
      </c>
      <c r="AH12" s="54">
        <f>IF(OR($B12="",$AC12&lt;&gt;TRUE),"",IF($J12="Aluminium",Fac_Al,1))</f>
        <v>1</v>
      </c>
      <c r="AI12" s="54">
        <f>IF(OR($B12="",$AC12&lt;&gt;TRUE),"",IF($L12="",Fac_Derate,$L12))</f>
        <v>1</v>
      </c>
      <c r="AJ12" s="54">
        <f>IF(OR($B12="",$AC12&lt;&gt;TRUE),"",_xlfn.MINIFS(SANS_Breaker,SANS_Breaker,"&gt;="&amp;$B12*Fac_BrkSF))</f>
        <v>2500</v>
      </c>
      <c r="AK12" s="54">
        <f>IF(OR($B12="",$AC12&lt;&gt;TRUE),"",IF($AJ12=0,0,IFERROR(MIN(1,MAX(INDEX(Ir_Min,MATCH(INDEX(SANS_BrkType,MATCH($AJ12,SANS_Breaker,0)),Ir_Type,0)),CEILING(ROUND($B12*Fac_BrkSF/$AJ12,6),INDEX(Ir_Step,MATCH(INDEX(SANS_BrkType,MATCH($AJ12,SANS_Breaker,0)),Ir_Type,0)))))*$AJ12,$AJ12))/($AI12*$AG12*$AH12))</f>
        <v>1953.125</v>
      </c>
      <c r="AL12" s="54">
        <f>IF(OR($B12="",$AC12&lt;&gt;TRUE),"",IF($I12="Rubber",4,0)+IF($BA12=TRUE,2,0)+IF($AE12=2,1,2))</f>
        <v>4</v>
      </c>
      <c r="AM12" s="54">
        <f>IF(OR($B12="",$AC12&lt;&gt;TRUE),"",IF($J12="Aluminium",Fac_AlmV,1))</f>
        <v>1</v>
      </c>
      <c r="AN12" s="54">
        <f>IF(OR($B12="",$AC12&lt;&gt;TRUE),"",Fac_VdLimit*$G12*1000/($B12*$F12*$AM12))</f>
        <v>0.03</v>
      </c>
      <c r="AO12" s="54">
        <f>IF(OR($B12="",$AC12&lt;&gt;TRUE),"",IF($AT12=0,0,MAX($AT12,$AU12)))</f>
        <v>5</v>
      </c>
      <c r="AP12" s="54">
        <f>IF(OR(OR($B12="",$AC12&lt;&gt;TRUE),NOT(ISNUMBER($AV12))),"",_xlfn.MINIFS(SANS_Size,INDEX(IF($I12="Rubber",SANS_CCC_Rub,SANS_CCC),0,$AF12),"&gt;="&amp;$AK12/($AO12*$AV12),SANS_Size,"&lt;="&amp;Fac_MaxSize))</f>
        <v>300</v>
      </c>
      <c r="AQ12" s="54">
        <f>IF(OR(OR($B12="",$AC12&lt;&gt;TRUE),NOT(ISNUMBER($AV12))),"",_xlfn.MINIFS(SANS_Size,INDEX(SANS_mV,0,$AL12),"&lt;="&amp;$AN12*$AO12,SANS_Size,"&lt;="&amp;Fac_MaxSize))</f>
        <v>630</v>
      </c>
      <c r="AR12" s="54">
        <f>IF(OR($B12="",$AC12&lt;&gt;TRUE),"",IF(OR($AJ12=0,$AO12=0,$AO12&gt;Fac_MaxRuns,$AP12=0,$AQ12=0),NA(),MAX($AP12,$AQ12,$AZ12)))</f>
        <v>630</v>
      </c>
      <c r="AS12" s="54" t="str">
        <f>IF(OR($B12="",$AC12&lt;&gt;TRUE),"",VLOOKUP($E12,Map_Install,3,FALSE)&amp;"|"&amp;IF($M12="","Touching",$M12))</f>
        <v>AIR-TRAY|Touching</v>
      </c>
      <c r="AT12" s="54">
        <f>IF(OR($B12="",$AC12&lt;&gt;TRUE),"",_xlfn.MINIFS(Grp_N,INDEX(Grp_Eff,MATCH($AS12,Grp_Key,0),0),"&gt;="&amp;$AK12/_xlfn.MAXIFS(INDEX(IF($I12="Rubber",SANS_CCC_Rub,SANS_CCC),0,$AF12),SANS_Size,"&lt;="&amp;Fac_MaxSize),Grp_N,"&lt;="&amp;Fac_MaxRuns))</f>
        <v>3</v>
      </c>
      <c r="AU12" s="54">
        <f>IF(OR($B12="",$AC12&lt;&gt;TRUE),"",MAX(1,ROUNDUP(_xlfn.MINIFS(INDEX(SANS_mV,0,$AL12),SANS_Size,"&lt;="&amp;Fac_MaxSize)/$AN12,0)))</f>
        <v>5</v>
      </c>
      <c r="AV12" s="54" cm="1">
        <f t="array" ref="AV12">IF(OR($B12="",$AC12&lt;&gt;TRUE),"",IFERROR(IF(OR($AO12=0,$AO12&gt;Fac_MaxRuns),"",INDEX(Grp_Cg,MATCH($AS12,Grp_Key,0),$AO12)),""))</f>
        <v>0.75</v>
      </c>
      <c r="AW12" s="54">
        <f>IF(OR($B12="",$AC12&lt;&gt;TRUE),"",INDEX(SC_k,MATCH($J12&amp;"|"&amp;$I12,SC_kKey,0)))</f>
        <v>143</v>
      </c>
      <c r="AX12" s="54">
        <f>IF(OR($B12="",$AC12&lt;&gt;TRUE),"",IF($O12="",IFERROR(INDEX(Dev_t,MATCH(INDEX(SANS_BrkType,MATCH($AJ12,SANS_Breaker,0)),Dev_Type,0)),0.4),$O12))</f>
        <v>0.4</v>
      </c>
      <c r="AY12" s="54" t="str">
        <f>IF(OR(OR($B12="",$AC12&lt;&gt;TRUE),$N12=""),"",$N12*1000*SQRT($AX12)/$AW12)</f>
        <v/>
      </c>
      <c r="AZ12" s="54">
        <f>IF(OR($B12="",$AC12&lt;&gt;TRUE),"",IF($N12="",0,IF(_xlfn.MINIFS(SANS_Size,SANS_Size,"&gt;="&amp;$AY12,SANS_Size,"&lt;="&amp;Fac_MaxSize,INDEX(IF($I12="Rubber",SANS_CCC_Rub,SANS_CCC),0,$AF12),"&gt;0")=0,NA(),_xlfn.MINIFS(SANS_Size,SANS_Size,"&gt;="&amp;$AY12,SANS_Size,"&lt;="&amp;Fac_MaxSize,INDEX(IF($I12="Rubber",SANS_CCC_Rub,SANS_CCC),0,$AF12),"&gt;0"))))</f>
        <v>0</v>
      </c>
      <c r="BA12" s="54" t="b">
        <f>IF($B12="","",IFERROR(INDEX(Map_Cores,MATCH($K12,INDEX(Map_Cores,0,1),0),3)=1,FALSE))</f>
        <v>1</v>
      </c>
      <c r="BB12" s="54" t="str">
        <f>IF($B12="","",IFERROR(IF($BA12=TRUE,"F",VLOOKUP($E12,Map_Install,2,FALSE))&amp;"|"&amp;VLOOKUP($K12,Map_Cores,2,FALSE),""))</f>
        <v>F|3</v>
      </c>
      <c r="BC12" s="54" t="str" cm="1">
        <f t="array" ref="BC12">IF(OR($B12="",$AC12=TRUE),"",IFERROR(_xlfn.IFS(AND($I12="Rubber",$J12="Aluminium"),"H07RN-F is copper only",AND($I12="Rubber",OR(VLOOKUP($E12,Map_Install,2,FALSE)="B",VLOOKUP($E12,Map_Install,2,FALSE)="D")),"rubber flex not rated in conduit/buried",AND($BA12=TRUE,OR(VLOOKUP($E12,Map_Install,2,FALSE)="B",VLOOKUP($E12,Map_Install,2,FALSE)="D")),"single-core: air/surface/tray only – use multicore",TRUE,"check inputs (spacing valid for install?)"),"check inputs"))</f>
        <v/>
      </c>
    </row>
    <row r="13" spans="1:55" ht="19.95" customHeight="1" x14ac:dyDescent="0.3">
      <c r="A13" s="47">
        <v>2</v>
      </c>
      <c r="B13" s="37"/>
      <c r="C13" s="37"/>
      <c r="D13" s="37"/>
      <c r="E13" s="37"/>
      <c r="F13" s="37"/>
      <c r="G13" s="38"/>
      <c r="H13" s="37"/>
      <c r="I13" s="37"/>
      <c r="J13" s="37"/>
      <c r="K13" s="37"/>
      <c r="L13" s="39"/>
      <c r="M13" s="39"/>
      <c r="N13" s="39"/>
      <c r="O13" s="39"/>
      <c r="P13" s="40" t="str">
        <f>IF($B13="","",IF(NOT($AC13),"",IF(ISNUMBER($AR13),$AO13,"")))</f>
        <v/>
      </c>
      <c r="Q13" s="41" t="str">
        <f>IF($B13="","",IF(NOT($AC13),"Check inputs",IFERROR($AR13,"Single-core / busbar")))</f>
        <v/>
      </c>
      <c r="R13" s="42" t="str">
        <f>IF(OR($B13="",NOT(ISNUMBER($AR13))),"",$AV13)</f>
        <v/>
      </c>
      <c r="S13" s="40" t="str" cm="1">
        <f t="array" ref="S13">IF(OR($B13="",NOT(ISNUMBER($AR13))),"",INDEX(IF($I13="Rubber",SANS_CCC_Rub,SANS_CCC),MATCH($AR13,SANS_Size,0),$AF13)*$AG13*$AH13*$AI13*$AV13*$AO13)</f>
        <v/>
      </c>
      <c r="T13" s="42" t="str">
        <f>IF($U13="","",$U13*$G13)</f>
        <v/>
      </c>
      <c r="U13" s="43" t="str" cm="1">
        <f t="array" ref="U13">IF(OR($B13="",NOT(ISNUMBER($AR13))),"",INDEX(SANS_mV,MATCH($AR13,SANS_Size,0),$AL13)*$AM13*($B13/$AO13)*$F13/1000/$G13)</f>
        <v/>
      </c>
      <c r="V13" s="40" t="str">
        <f>IF($B13="","",IF(NOT($AC13),"",IF($AJ13=0,"Exceeds range",$AJ13)))</f>
        <v/>
      </c>
      <c r="W13" s="44" t="str">
        <f>IF(OR($B13="",NOT(ISNUMBER($V13))),"",INDEX(SANS_BrkType,MATCH($V13,SANS_Breaker,0)))</f>
        <v/>
      </c>
      <c r="X13" s="44" t="str">
        <f>IF(OR($B13="",NOT(ISNUMBER($V13))),"",IFERROR(MIN(1,MAX(INDEX(Ir_Min,MATCH($W13,Ir_Type,0)),CEILING(ROUND($B13*Fac_BrkSF/$V13,6),INDEX(Ir_Step,MATCH($W13,Ir_Type,0)))))*$V13,$V13))</f>
        <v/>
      </c>
      <c r="Y13" s="45" t="str">
        <f>IF(NOT(ISNUMBER($AR13)),"",IF($AR13&lt;=16,$AR13,IF($AR13&lt;=35,16,_xlfn.MINIFS(SANS_Size,SANS_Size,"&gt;="&amp;$AR13/2))))</f>
        <v/>
      </c>
      <c r="Z13" s="46" t="str">
        <f>IF(OR($B13="",NOT(ISNUMBER($AR13))),"",IF($N13="","Not checked",$AW13*$AR13/SQRT($AX13)/1000))</f>
        <v/>
      </c>
      <c r="AA13" s="45" t="str" cm="1">
        <f t="array" ref="AA13">IF($B13="","",_xlfn.IFS(NOT($AC13),"FAIL – "&amp;$BC13,NOT(ISNUMBER($AR13)),"FAIL – exceeds range",$U13&gt;Fac_VdLimit,"FAIL – volt drop",IF(ISNUMBER($X13),$X13,$V13)&lt;$B13*Fac_BrkSF,"FAIL – breaker &lt; Ib × SF",$S13&lt;IF(ISNUMBER($X13),$X13,$V13),"FAIL – CCC &lt; Ir setting",AND(ISNUMBER($Z13),$N13&gt;$Z13),"FAIL – short circuit",AND($AE13=2,$G13&gt;250),"CHECK – 1ph: use 230 V",AND($AE13=3,$G13&lt;300),"CHECK – 3ph: use 400 V",TRUE,"OK"))</f>
        <v/>
      </c>
      <c r="AB13" s="48"/>
      <c r="AC13" s="54" t="str">
        <f>IF($B13="","",IFERROR(AND(ISNUMBER($B13),$B13&gt;0,ISNUMBER($F13),$F13&gt;0,ISNUMBER($G13),$G13&gt;0,ISNUMBER(MATCH($E13,INDEX(Map_Install,0,1),0)),ISNUMBER(MATCH($K13,INDEX(Map_Cores,0,1),0)),OR($I13="PVC",$I13="XLPE",$I13="Rubber"),OR($J13="Copper",$J13="Aluminium"),OR($L13="",AND(ISNUMBER($L13),$L13&gt;0,$L13&lt;=1.5)),ISNUMBER(MATCH(VLOOKUP($E13,Map_Install,3,FALSE)&amp;"|"&amp;IF($M13="","Touching",$M13),Grp_Key,0)),OR($N13="",AND(ISNUMBER($N13),$N13&gt;0)),OR($O13="",AND(ISNUMBER($O13),$O13&gt;0,$O13&lt;=5)),ISNUMBER(MATCH($BB13,SANS_CCCkey,0)),COUNT(INDEX(IF($I13="Rubber",SANS_CCC_Rub,SANS_CCC),0,MATCH($BB13,SANS_CCCkey,0)))&gt;0,NOT(AND($I13="Rubber",$J13="Aluminium")),NOT(AND(OR($I13="Rubber",$BA13=TRUE),OR(VLOOKUP($E13,Map_Install,2,FALSE)="B",VLOOKUP($E13,Map_Install,2,FALSE)="D")))),FALSE))</f>
        <v/>
      </c>
      <c r="AD13" s="54" t="str">
        <f>IF(OR($B13="",$AC13&lt;&gt;TRUE),"",IF($BA13=TRUE,"F",VLOOKUP($E13,Map_Install,2,FALSE)))</f>
        <v/>
      </c>
      <c r="AE13" s="54" t="str">
        <f>IF(OR($B13="",$AC13&lt;&gt;TRUE),"",VLOOKUP($K13,Map_Cores,2,FALSE))</f>
        <v/>
      </c>
      <c r="AF13" s="54" t="str">
        <f>IF(OR($B13="",$AC13&lt;&gt;TRUE),"",MATCH($AD13&amp;"|"&amp;$AE13,SANS_CCCkey,0))</f>
        <v/>
      </c>
      <c r="AG13" s="54" t="str">
        <f>IF(OR($B13="",$AC13&lt;&gt;TRUE),"",IF($I13="XLPE",Fac_XLPE,1))</f>
        <v/>
      </c>
      <c r="AH13" s="54" t="str">
        <f>IF(OR($B13="",$AC13&lt;&gt;TRUE),"",IF($J13="Aluminium",Fac_Al,1))</f>
        <v/>
      </c>
      <c r="AI13" s="54" t="str">
        <f>IF(OR($B13="",$AC13&lt;&gt;TRUE),"",IF($L13="",Fac_Derate,$L13))</f>
        <v/>
      </c>
      <c r="AJ13" s="54" t="str">
        <f>IF(OR($B13="",$AC13&lt;&gt;TRUE),"",_xlfn.MINIFS(SANS_Breaker,SANS_Breaker,"&gt;="&amp;$B13*Fac_BrkSF))</f>
        <v/>
      </c>
      <c r="AK13" s="54" t="str">
        <f>IF(OR($B13="",$AC13&lt;&gt;TRUE),"",IF($AJ13=0,0,IFERROR(MIN(1,MAX(INDEX(Ir_Min,MATCH(INDEX(SANS_BrkType,MATCH($AJ13,SANS_Breaker,0)),Ir_Type,0)),CEILING(ROUND($B13*Fac_BrkSF/$AJ13,6),INDEX(Ir_Step,MATCH(INDEX(SANS_BrkType,MATCH($AJ13,SANS_Breaker,0)),Ir_Type,0)))))*$AJ13,$AJ13))/($AI13*$AG13*$AH13))</f>
        <v/>
      </c>
      <c r="AL13" s="54" t="str">
        <f>IF(OR($B13="",$AC13&lt;&gt;TRUE),"",IF($I13="Rubber",4,0)+IF($BA13=TRUE,2,0)+IF($AE13=2,1,2))</f>
        <v/>
      </c>
      <c r="AM13" s="54" t="str">
        <f>IF(OR($B13="",$AC13&lt;&gt;TRUE),"",IF($J13="Aluminium",Fac_AlmV,1))</f>
        <v/>
      </c>
      <c r="AN13" s="54" t="str">
        <f>IF(OR($B13="",$AC13&lt;&gt;TRUE),"",Fac_VdLimit*$G13*1000/($B13*$F13*$AM13))</f>
        <v/>
      </c>
      <c r="AO13" s="54" t="str">
        <f>IF(OR($B13="",$AC13&lt;&gt;TRUE),"",IF($AT13=0,0,MAX($AT13,$AU13)))</f>
        <v/>
      </c>
      <c r="AP13" s="54" t="str">
        <f>IF(OR(OR($B13="",$AC13&lt;&gt;TRUE),NOT(ISNUMBER($AV13))),"",_xlfn.MINIFS(SANS_Size,INDEX(IF($I13="Rubber",SANS_CCC_Rub,SANS_CCC),0,$AF13),"&gt;="&amp;$AK13/($AO13*$AV13),SANS_Size,"&lt;="&amp;Fac_MaxSize))</f>
        <v/>
      </c>
      <c r="AQ13" s="54" t="str">
        <f>IF(OR(OR($B13="",$AC13&lt;&gt;TRUE),NOT(ISNUMBER($AV13))),"",_xlfn.MINIFS(SANS_Size,INDEX(SANS_mV,0,$AL13),"&lt;="&amp;$AN13*$AO13,SANS_Size,"&lt;="&amp;Fac_MaxSize))</f>
        <v/>
      </c>
      <c r="AR13" s="54" t="str">
        <f>IF(OR($B13="",$AC13&lt;&gt;TRUE),"",IF(OR($AJ13=0,$AO13=0,$AO13&gt;Fac_MaxRuns,$AP13=0,$AQ13=0),NA(),MAX($AP13,$AQ13,$AZ13)))</f>
        <v/>
      </c>
      <c r="AS13" s="54" t="str">
        <f>IF(OR($B13="",$AC13&lt;&gt;TRUE),"",VLOOKUP($E13,Map_Install,3,FALSE)&amp;"|"&amp;IF($M13="","Touching",$M13))</f>
        <v/>
      </c>
      <c r="AT13" s="54" t="str">
        <f>IF(OR($B13="",$AC13&lt;&gt;TRUE),"",_xlfn.MINIFS(Grp_N,INDEX(Grp_Eff,MATCH($AS13,Grp_Key,0),0),"&gt;="&amp;$AK13/_xlfn.MAXIFS(INDEX(IF($I13="Rubber",SANS_CCC_Rub,SANS_CCC),0,$AF13),SANS_Size,"&lt;="&amp;Fac_MaxSize),Grp_N,"&lt;="&amp;Fac_MaxRuns))</f>
        <v/>
      </c>
      <c r="AU13" s="54" t="str">
        <f>IF(OR($B13="",$AC13&lt;&gt;TRUE),"",MAX(1,ROUNDUP(_xlfn.MINIFS(INDEX(SANS_mV,0,$AL13),SANS_Size,"&lt;="&amp;Fac_MaxSize)/$AN13,0)))</f>
        <v/>
      </c>
      <c r="AV13" s="54" t="str" cm="1">
        <f t="array" ref="AV13">IF(OR($B13="",$AC13&lt;&gt;TRUE),"",IFERROR(IF(OR($AO13=0,$AO13&gt;Fac_MaxRuns),"",INDEX(Grp_Cg,MATCH($AS13,Grp_Key,0),$AO13)),""))</f>
        <v/>
      </c>
      <c r="AW13" s="54" t="str">
        <f>IF(OR($B13="",$AC13&lt;&gt;TRUE),"",INDEX(SC_k,MATCH($J13&amp;"|"&amp;$I13,SC_kKey,0)))</f>
        <v/>
      </c>
      <c r="AX13" s="54" t="str">
        <f>IF(OR($B13="",$AC13&lt;&gt;TRUE),"",IF($O13="",IFERROR(INDEX(Dev_t,MATCH(INDEX(SANS_BrkType,MATCH($AJ13,SANS_Breaker,0)),Dev_Type,0)),0.4),$O13))</f>
        <v/>
      </c>
      <c r="AY13" s="54" t="str">
        <f>IF(OR(OR($B13="",$AC13&lt;&gt;TRUE),$N13=""),"",$N13*1000*SQRT($AX13)/$AW13)</f>
        <v/>
      </c>
      <c r="AZ13" s="54" t="str">
        <f>IF(OR($B13="",$AC13&lt;&gt;TRUE),"",IF($N13="",0,IF(_xlfn.MINIFS(SANS_Size,SANS_Size,"&gt;="&amp;$AY13,SANS_Size,"&lt;="&amp;Fac_MaxSize,INDEX(IF($I13="Rubber",SANS_CCC_Rub,SANS_CCC),0,$AF13),"&gt;0")=0,NA(),_xlfn.MINIFS(SANS_Size,SANS_Size,"&gt;="&amp;$AY13,SANS_Size,"&lt;="&amp;Fac_MaxSize,INDEX(IF($I13="Rubber",SANS_CCC_Rub,SANS_CCC),0,$AF13),"&gt;0"))))</f>
        <v/>
      </c>
      <c r="BA13" s="54" t="str">
        <f>IF($B13="","",IFERROR(INDEX(Map_Cores,MATCH($K13,INDEX(Map_Cores,0,1),0),3)=1,FALSE))</f>
        <v/>
      </c>
      <c r="BB13" s="54" t="str">
        <f>IF($B13="","",IFERROR(IF($BA13=TRUE,"F",VLOOKUP($E13,Map_Install,2,FALSE))&amp;"|"&amp;VLOOKUP($K13,Map_Cores,2,FALSE),""))</f>
        <v/>
      </c>
      <c r="BC13" s="54" t="str" cm="1">
        <f t="array" ref="BC13">IF(OR($B13="",$AC13=TRUE),"",IFERROR(_xlfn.IFS(AND($I13="Rubber",$J13="Aluminium"),"H07RN-F is copper only",AND($I13="Rubber",OR(VLOOKUP($E13,Map_Install,2,FALSE)="B",VLOOKUP($E13,Map_Install,2,FALSE)="D")),"rubber flex not rated in conduit/buried",AND($BA13=TRUE,OR(VLOOKUP($E13,Map_Install,2,FALSE)="B",VLOOKUP($E13,Map_Install,2,FALSE)="D")),"single-core: air/surface/tray only – use multicore",TRUE,"check inputs (spacing valid for install?)"),"check inputs"))</f>
        <v/>
      </c>
    </row>
    <row r="14" spans="1:55" ht="19.95" customHeight="1" x14ac:dyDescent="0.3">
      <c r="A14" s="47">
        <v>3</v>
      </c>
      <c r="B14" s="37"/>
      <c r="C14" s="37"/>
      <c r="D14" s="37"/>
      <c r="E14" s="37"/>
      <c r="F14" s="37"/>
      <c r="G14" s="38"/>
      <c r="H14" s="37"/>
      <c r="I14" s="37"/>
      <c r="J14" s="37"/>
      <c r="K14" s="37"/>
      <c r="L14" s="39"/>
      <c r="M14" s="39"/>
      <c r="N14" s="39"/>
      <c r="O14" s="39"/>
      <c r="P14" s="40" t="str">
        <f>IF($B14="","",IF(NOT($AC14),"",IF(ISNUMBER($AR14),$AO14,"")))</f>
        <v/>
      </c>
      <c r="Q14" s="41" t="str">
        <f>IF($B14="","",IF(NOT($AC14),"Check inputs",IFERROR($AR14,"Single-core / busbar")))</f>
        <v/>
      </c>
      <c r="R14" s="42" t="str">
        <f>IF(OR($B14="",NOT(ISNUMBER($AR14))),"",$AV14)</f>
        <v/>
      </c>
      <c r="S14" s="40" t="str" cm="1">
        <f t="array" ref="S14">IF(OR($B14="",NOT(ISNUMBER($AR14))),"",INDEX(IF($I14="Rubber",SANS_CCC_Rub,SANS_CCC),MATCH($AR14,SANS_Size,0),$AF14)*$AG14*$AH14*$AI14*$AV14*$AO14)</f>
        <v/>
      </c>
      <c r="T14" s="42" t="str">
        <f>IF($U14="","",$U14*$G14)</f>
        <v/>
      </c>
      <c r="U14" s="43" t="str" cm="1">
        <f t="array" ref="U14">IF(OR($B14="",NOT(ISNUMBER($AR14))),"",INDEX(SANS_mV,MATCH($AR14,SANS_Size,0),$AL14)*$AM14*($B14/$AO14)*$F14/1000/$G14)</f>
        <v/>
      </c>
      <c r="V14" s="40" t="str">
        <f>IF($B14="","",IF(NOT($AC14),"",IF($AJ14=0,"Exceeds range",$AJ14)))</f>
        <v/>
      </c>
      <c r="W14" s="44" t="str">
        <f>IF(OR($B14="",NOT(ISNUMBER($V14))),"",INDEX(SANS_BrkType,MATCH($V14,SANS_Breaker,0)))</f>
        <v/>
      </c>
      <c r="X14" s="44" t="str">
        <f>IF(OR($B14="",NOT(ISNUMBER($V14))),"",IFERROR(MIN(1,MAX(INDEX(Ir_Min,MATCH($W14,Ir_Type,0)),CEILING(ROUND($B14*Fac_BrkSF/$V14,6),INDEX(Ir_Step,MATCH($W14,Ir_Type,0)))))*$V14,$V14))</f>
        <v/>
      </c>
      <c r="Y14" s="45" t="str">
        <f>IF(NOT(ISNUMBER($AR14)),"",IF($AR14&lt;=16,$AR14,IF($AR14&lt;=35,16,_xlfn.MINIFS(SANS_Size,SANS_Size,"&gt;="&amp;$AR14/2))))</f>
        <v/>
      </c>
      <c r="Z14" s="46" t="str">
        <f>IF(OR($B14="",NOT(ISNUMBER($AR14))),"",IF($N14="","Not checked",$AW14*$AR14/SQRT($AX14)/1000))</f>
        <v/>
      </c>
      <c r="AA14" s="45" t="str" cm="1">
        <f t="array" ref="AA14">IF($B14="","",_xlfn.IFS(NOT($AC14),"FAIL – "&amp;$BC14,NOT(ISNUMBER($AR14)),"FAIL – exceeds range",$U14&gt;Fac_VdLimit,"FAIL – volt drop",IF(ISNUMBER($X14),$X14,$V14)&lt;$B14*Fac_BrkSF,"FAIL – breaker &lt; Ib × SF",$S14&lt;IF(ISNUMBER($X14),$X14,$V14),"FAIL – CCC &lt; Ir setting",AND(ISNUMBER($Z14),$N14&gt;$Z14),"FAIL – short circuit",AND($AE14=2,$G14&gt;250),"CHECK – 1ph: use 230 V",AND($AE14=3,$G14&lt;300),"CHECK – 3ph: use 400 V",TRUE,"OK"))</f>
        <v/>
      </c>
      <c r="AB14" s="48"/>
      <c r="AC14" s="54" t="str">
        <f>IF($B14="","",IFERROR(AND(ISNUMBER($B14),$B14&gt;0,ISNUMBER($F14),$F14&gt;0,ISNUMBER($G14),$G14&gt;0,ISNUMBER(MATCH($E14,INDEX(Map_Install,0,1),0)),ISNUMBER(MATCH($K14,INDEX(Map_Cores,0,1),0)),OR($I14="PVC",$I14="XLPE",$I14="Rubber"),OR($J14="Copper",$J14="Aluminium"),OR($L14="",AND(ISNUMBER($L14),$L14&gt;0,$L14&lt;=1.5)),ISNUMBER(MATCH(VLOOKUP($E14,Map_Install,3,FALSE)&amp;"|"&amp;IF($M14="","Touching",$M14),Grp_Key,0)),OR($N14="",AND(ISNUMBER($N14),$N14&gt;0)),OR($O14="",AND(ISNUMBER($O14),$O14&gt;0,$O14&lt;=5)),ISNUMBER(MATCH($BB14,SANS_CCCkey,0)),COUNT(INDEX(IF($I14="Rubber",SANS_CCC_Rub,SANS_CCC),0,MATCH($BB14,SANS_CCCkey,0)))&gt;0,NOT(AND($I14="Rubber",$J14="Aluminium")),NOT(AND(OR($I14="Rubber",$BA14=TRUE),OR(VLOOKUP($E14,Map_Install,2,FALSE)="B",VLOOKUP($E14,Map_Install,2,FALSE)="D")))),FALSE))</f>
        <v/>
      </c>
      <c r="AD14" s="54" t="str">
        <f>IF(OR($B14="",$AC14&lt;&gt;TRUE),"",IF($BA14=TRUE,"F",VLOOKUP($E14,Map_Install,2,FALSE)))</f>
        <v/>
      </c>
      <c r="AE14" s="54" t="str">
        <f>IF(OR($B14="",$AC14&lt;&gt;TRUE),"",VLOOKUP($K14,Map_Cores,2,FALSE))</f>
        <v/>
      </c>
      <c r="AF14" s="54" t="str">
        <f>IF(OR($B14="",$AC14&lt;&gt;TRUE),"",MATCH($AD14&amp;"|"&amp;$AE14,SANS_CCCkey,0))</f>
        <v/>
      </c>
      <c r="AG14" s="54" t="str">
        <f>IF(OR($B14="",$AC14&lt;&gt;TRUE),"",IF($I14="XLPE",Fac_XLPE,1))</f>
        <v/>
      </c>
      <c r="AH14" s="54" t="str">
        <f>IF(OR($B14="",$AC14&lt;&gt;TRUE),"",IF($J14="Aluminium",Fac_Al,1))</f>
        <v/>
      </c>
      <c r="AI14" s="54" t="str">
        <f>IF(OR($B14="",$AC14&lt;&gt;TRUE),"",IF($L14="",Fac_Derate,$L14))</f>
        <v/>
      </c>
      <c r="AJ14" s="54" t="str">
        <f>IF(OR($B14="",$AC14&lt;&gt;TRUE),"",_xlfn.MINIFS(SANS_Breaker,SANS_Breaker,"&gt;="&amp;$B14*Fac_BrkSF))</f>
        <v/>
      </c>
      <c r="AK14" s="54" t="str">
        <f>IF(OR($B14="",$AC14&lt;&gt;TRUE),"",IF($AJ14=0,0,IFERROR(MIN(1,MAX(INDEX(Ir_Min,MATCH(INDEX(SANS_BrkType,MATCH($AJ14,SANS_Breaker,0)),Ir_Type,0)),CEILING(ROUND($B14*Fac_BrkSF/$AJ14,6),INDEX(Ir_Step,MATCH(INDEX(SANS_BrkType,MATCH($AJ14,SANS_Breaker,0)),Ir_Type,0)))))*$AJ14,$AJ14))/($AI14*$AG14*$AH14))</f>
        <v/>
      </c>
      <c r="AL14" s="54" t="str">
        <f>IF(OR($B14="",$AC14&lt;&gt;TRUE),"",IF($I14="Rubber",4,0)+IF($BA14=TRUE,2,0)+IF($AE14=2,1,2))</f>
        <v/>
      </c>
      <c r="AM14" s="54" t="str">
        <f>IF(OR($B14="",$AC14&lt;&gt;TRUE),"",IF($J14="Aluminium",Fac_AlmV,1))</f>
        <v/>
      </c>
      <c r="AN14" s="54" t="str">
        <f>IF(OR($B14="",$AC14&lt;&gt;TRUE),"",Fac_VdLimit*$G14*1000/($B14*$F14*$AM14))</f>
        <v/>
      </c>
      <c r="AO14" s="54" t="str">
        <f>IF(OR($B14="",$AC14&lt;&gt;TRUE),"",IF($AT14=0,0,MAX($AT14,$AU14)))</f>
        <v/>
      </c>
      <c r="AP14" s="54" t="str">
        <f>IF(OR(OR($B14="",$AC14&lt;&gt;TRUE),NOT(ISNUMBER($AV14))),"",_xlfn.MINIFS(SANS_Size,INDEX(IF($I14="Rubber",SANS_CCC_Rub,SANS_CCC),0,$AF14),"&gt;="&amp;$AK14/($AO14*$AV14),SANS_Size,"&lt;="&amp;Fac_MaxSize))</f>
        <v/>
      </c>
      <c r="AQ14" s="54" t="str">
        <f>IF(OR(OR($B14="",$AC14&lt;&gt;TRUE),NOT(ISNUMBER($AV14))),"",_xlfn.MINIFS(SANS_Size,INDEX(SANS_mV,0,$AL14),"&lt;="&amp;$AN14*$AO14,SANS_Size,"&lt;="&amp;Fac_MaxSize))</f>
        <v/>
      </c>
      <c r="AR14" s="54" t="str">
        <f>IF(OR($B14="",$AC14&lt;&gt;TRUE),"",IF(OR($AJ14=0,$AO14=0,$AO14&gt;Fac_MaxRuns,$AP14=0,$AQ14=0),NA(),MAX($AP14,$AQ14,$AZ14)))</f>
        <v/>
      </c>
      <c r="AS14" s="54" t="str">
        <f>IF(OR($B14="",$AC14&lt;&gt;TRUE),"",VLOOKUP($E14,Map_Install,3,FALSE)&amp;"|"&amp;IF($M14="","Touching",$M14))</f>
        <v/>
      </c>
      <c r="AT14" s="54" t="str">
        <f>IF(OR($B14="",$AC14&lt;&gt;TRUE),"",_xlfn.MINIFS(Grp_N,INDEX(Grp_Eff,MATCH($AS14,Grp_Key,0),0),"&gt;="&amp;$AK14/_xlfn.MAXIFS(INDEX(IF($I14="Rubber",SANS_CCC_Rub,SANS_CCC),0,$AF14),SANS_Size,"&lt;="&amp;Fac_MaxSize),Grp_N,"&lt;="&amp;Fac_MaxRuns))</f>
        <v/>
      </c>
      <c r="AU14" s="54" t="str">
        <f>IF(OR($B14="",$AC14&lt;&gt;TRUE),"",MAX(1,ROUNDUP(_xlfn.MINIFS(INDEX(SANS_mV,0,$AL14),SANS_Size,"&lt;="&amp;Fac_MaxSize)/$AN14,0)))</f>
        <v/>
      </c>
      <c r="AV14" s="54" t="str" cm="1">
        <f t="array" ref="AV14">IF(OR($B14="",$AC14&lt;&gt;TRUE),"",IFERROR(IF(OR($AO14=0,$AO14&gt;Fac_MaxRuns),"",INDEX(Grp_Cg,MATCH($AS14,Grp_Key,0),$AO14)),""))</f>
        <v/>
      </c>
      <c r="AW14" s="54" t="str">
        <f>IF(OR($B14="",$AC14&lt;&gt;TRUE),"",INDEX(SC_k,MATCH($J14&amp;"|"&amp;$I14,SC_kKey,0)))</f>
        <v/>
      </c>
      <c r="AX14" s="54" t="str">
        <f>IF(OR($B14="",$AC14&lt;&gt;TRUE),"",IF($O14="",IFERROR(INDEX(Dev_t,MATCH(INDEX(SANS_BrkType,MATCH($AJ14,SANS_Breaker,0)),Dev_Type,0)),0.4),$O14))</f>
        <v/>
      </c>
      <c r="AY14" s="54" t="str">
        <f>IF(OR(OR($B14="",$AC14&lt;&gt;TRUE),$N14=""),"",$N14*1000*SQRT($AX14)/$AW14)</f>
        <v/>
      </c>
      <c r="AZ14" s="54" t="str">
        <f>IF(OR($B14="",$AC14&lt;&gt;TRUE),"",IF($N14="",0,IF(_xlfn.MINIFS(SANS_Size,SANS_Size,"&gt;="&amp;$AY14,SANS_Size,"&lt;="&amp;Fac_MaxSize,INDEX(IF($I14="Rubber",SANS_CCC_Rub,SANS_CCC),0,$AF14),"&gt;0")=0,NA(),_xlfn.MINIFS(SANS_Size,SANS_Size,"&gt;="&amp;$AY14,SANS_Size,"&lt;="&amp;Fac_MaxSize,INDEX(IF($I14="Rubber",SANS_CCC_Rub,SANS_CCC),0,$AF14),"&gt;0"))))</f>
        <v/>
      </c>
      <c r="BA14" s="54" t="str">
        <f>IF($B14="","",IFERROR(INDEX(Map_Cores,MATCH($K14,INDEX(Map_Cores,0,1),0),3)=1,FALSE))</f>
        <v/>
      </c>
      <c r="BB14" s="54" t="str">
        <f>IF($B14="","",IFERROR(IF($BA14=TRUE,"F",VLOOKUP($E14,Map_Install,2,FALSE))&amp;"|"&amp;VLOOKUP($K14,Map_Cores,2,FALSE),""))</f>
        <v/>
      </c>
      <c r="BC14" s="54" t="str" cm="1">
        <f t="array" ref="BC14">IF(OR($B14="",$AC14=TRUE),"",IFERROR(_xlfn.IFS(AND($I14="Rubber",$J14="Aluminium"),"H07RN-F is copper only",AND($I14="Rubber",OR(VLOOKUP($E14,Map_Install,2,FALSE)="B",VLOOKUP($E14,Map_Install,2,FALSE)="D")),"rubber flex not rated in conduit/buried",AND($BA14=TRUE,OR(VLOOKUP($E14,Map_Install,2,FALSE)="B",VLOOKUP($E14,Map_Install,2,FALSE)="D")),"single-core: air/surface/tray only – use multicore",TRUE,"check inputs (spacing valid for install?)"),"check inputs"))</f>
        <v/>
      </c>
    </row>
    <row r="15" spans="1:55" ht="19.95" customHeight="1" x14ac:dyDescent="0.3">
      <c r="A15" s="47">
        <v>4</v>
      </c>
      <c r="B15" s="37"/>
      <c r="C15" s="37"/>
      <c r="D15" s="37"/>
      <c r="E15" s="37"/>
      <c r="F15" s="37"/>
      <c r="G15" s="38"/>
      <c r="H15" s="37"/>
      <c r="I15" s="37"/>
      <c r="J15" s="37"/>
      <c r="K15" s="37"/>
      <c r="L15" s="39"/>
      <c r="M15" s="39"/>
      <c r="N15" s="39"/>
      <c r="O15" s="39"/>
      <c r="P15" s="40" t="str">
        <f>IF($B15="","",IF(NOT($AC15),"",IF(ISNUMBER($AR15),$AO15,"")))</f>
        <v/>
      </c>
      <c r="Q15" s="41" t="str">
        <f>IF($B15="","",IF(NOT($AC15),"Check inputs",IFERROR($AR15,"Single-core / busbar")))</f>
        <v/>
      </c>
      <c r="R15" s="42" t="str">
        <f>IF(OR($B15="",NOT(ISNUMBER($AR15))),"",$AV15)</f>
        <v/>
      </c>
      <c r="S15" s="40" t="str" cm="1">
        <f t="array" ref="S15">IF(OR($B15="",NOT(ISNUMBER($AR15))),"",INDEX(IF($I15="Rubber",SANS_CCC_Rub,SANS_CCC),MATCH($AR15,SANS_Size,0),$AF15)*$AG15*$AH15*$AI15*$AV15*$AO15)</f>
        <v/>
      </c>
      <c r="T15" s="42" t="str">
        <f>IF($U15="","",$U15*$G15)</f>
        <v/>
      </c>
      <c r="U15" s="43" t="str" cm="1">
        <f t="array" ref="U15">IF(OR($B15="",NOT(ISNUMBER($AR15))),"",INDEX(SANS_mV,MATCH($AR15,SANS_Size,0),$AL15)*$AM15*($B15/$AO15)*$F15/1000/$G15)</f>
        <v/>
      </c>
      <c r="V15" s="40" t="str">
        <f>IF($B15="","",IF(NOT($AC15),"",IF($AJ15=0,"Exceeds range",$AJ15)))</f>
        <v/>
      </c>
      <c r="W15" s="44" t="str">
        <f>IF(OR($B15="",NOT(ISNUMBER($V15))),"",INDEX(SANS_BrkType,MATCH($V15,SANS_Breaker,0)))</f>
        <v/>
      </c>
      <c r="X15" s="44" t="str">
        <f>IF(OR($B15="",NOT(ISNUMBER($V15))),"",IFERROR(MIN(1,MAX(INDEX(Ir_Min,MATCH($W15,Ir_Type,0)),CEILING(ROUND($B15*Fac_BrkSF/$V15,6),INDEX(Ir_Step,MATCH($W15,Ir_Type,0)))))*$V15,$V15))</f>
        <v/>
      </c>
      <c r="Y15" s="45" t="str">
        <f>IF(NOT(ISNUMBER($AR15)),"",IF($AR15&lt;=16,$AR15,IF($AR15&lt;=35,16,_xlfn.MINIFS(SANS_Size,SANS_Size,"&gt;="&amp;$AR15/2))))</f>
        <v/>
      </c>
      <c r="Z15" s="46" t="str">
        <f>IF(OR($B15="",NOT(ISNUMBER($AR15))),"",IF($N15="","Not checked",$AW15*$AR15/SQRT($AX15)/1000))</f>
        <v/>
      </c>
      <c r="AA15" s="45" t="str" cm="1">
        <f t="array" ref="AA15">IF($B15="","",_xlfn.IFS(NOT($AC15),"FAIL – "&amp;$BC15,NOT(ISNUMBER($AR15)),"FAIL – exceeds range",$U15&gt;Fac_VdLimit,"FAIL – volt drop",IF(ISNUMBER($X15),$X15,$V15)&lt;$B15*Fac_BrkSF,"FAIL – breaker &lt; Ib × SF",$S15&lt;IF(ISNUMBER($X15),$X15,$V15),"FAIL – CCC &lt; Ir setting",AND(ISNUMBER($Z15),$N15&gt;$Z15),"FAIL – short circuit",AND($AE15=2,$G15&gt;250),"CHECK – 1ph: use 230 V",AND($AE15=3,$G15&lt;300),"CHECK – 3ph: use 400 V",TRUE,"OK"))</f>
        <v/>
      </c>
      <c r="AB15" s="48"/>
      <c r="AC15" s="54" t="str">
        <f>IF($B15="","",IFERROR(AND(ISNUMBER($B15),$B15&gt;0,ISNUMBER($F15),$F15&gt;0,ISNUMBER($G15),$G15&gt;0,ISNUMBER(MATCH($E15,INDEX(Map_Install,0,1),0)),ISNUMBER(MATCH($K15,INDEX(Map_Cores,0,1),0)),OR($I15="PVC",$I15="XLPE",$I15="Rubber"),OR($J15="Copper",$J15="Aluminium"),OR($L15="",AND(ISNUMBER($L15),$L15&gt;0,$L15&lt;=1.5)),ISNUMBER(MATCH(VLOOKUP($E15,Map_Install,3,FALSE)&amp;"|"&amp;IF($M15="","Touching",$M15),Grp_Key,0)),OR($N15="",AND(ISNUMBER($N15),$N15&gt;0)),OR($O15="",AND(ISNUMBER($O15),$O15&gt;0,$O15&lt;=5)),ISNUMBER(MATCH($BB15,SANS_CCCkey,0)),COUNT(INDEX(IF($I15="Rubber",SANS_CCC_Rub,SANS_CCC),0,MATCH($BB15,SANS_CCCkey,0)))&gt;0,NOT(AND($I15="Rubber",$J15="Aluminium")),NOT(AND(OR($I15="Rubber",$BA15=TRUE),OR(VLOOKUP($E15,Map_Install,2,FALSE)="B",VLOOKUP($E15,Map_Install,2,FALSE)="D")))),FALSE))</f>
        <v/>
      </c>
      <c r="AD15" s="54" t="str">
        <f>IF(OR($B15="",$AC15&lt;&gt;TRUE),"",IF($BA15=TRUE,"F",VLOOKUP($E15,Map_Install,2,FALSE)))</f>
        <v/>
      </c>
      <c r="AE15" s="54" t="str">
        <f>IF(OR($B15="",$AC15&lt;&gt;TRUE),"",VLOOKUP($K15,Map_Cores,2,FALSE))</f>
        <v/>
      </c>
      <c r="AF15" s="54" t="str">
        <f>IF(OR($B15="",$AC15&lt;&gt;TRUE),"",MATCH($AD15&amp;"|"&amp;$AE15,SANS_CCCkey,0))</f>
        <v/>
      </c>
      <c r="AG15" s="54" t="str">
        <f>IF(OR($B15="",$AC15&lt;&gt;TRUE),"",IF($I15="XLPE",Fac_XLPE,1))</f>
        <v/>
      </c>
      <c r="AH15" s="54" t="str">
        <f>IF(OR($B15="",$AC15&lt;&gt;TRUE),"",IF($J15="Aluminium",Fac_Al,1))</f>
        <v/>
      </c>
      <c r="AI15" s="54" t="str">
        <f>IF(OR($B15="",$AC15&lt;&gt;TRUE),"",IF($L15="",Fac_Derate,$L15))</f>
        <v/>
      </c>
      <c r="AJ15" s="54" t="str">
        <f>IF(OR($B15="",$AC15&lt;&gt;TRUE),"",_xlfn.MINIFS(SANS_Breaker,SANS_Breaker,"&gt;="&amp;$B15*Fac_BrkSF))</f>
        <v/>
      </c>
      <c r="AK15" s="54" t="str">
        <f>IF(OR($B15="",$AC15&lt;&gt;TRUE),"",IF($AJ15=0,0,IFERROR(MIN(1,MAX(INDEX(Ir_Min,MATCH(INDEX(SANS_BrkType,MATCH($AJ15,SANS_Breaker,0)),Ir_Type,0)),CEILING(ROUND($B15*Fac_BrkSF/$AJ15,6),INDEX(Ir_Step,MATCH(INDEX(SANS_BrkType,MATCH($AJ15,SANS_Breaker,0)),Ir_Type,0)))))*$AJ15,$AJ15))/($AI15*$AG15*$AH15))</f>
        <v/>
      </c>
      <c r="AL15" s="54" t="str">
        <f>IF(OR($B15="",$AC15&lt;&gt;TRUE),"",IF($I15="Rubber",4,0)+IF($BA15=TRUE,2,0)+IF($AE15=2,1,2))</f>
        <v/>
      </c>
      <c r="AM15" s="54" t="str">
        <f>IF(OR($B15="",$AC15&lt;&gt;TRUE),"",IF($J15="Aluminium",Fac_AlmV,1))</f>
        <v/>
      </c>
      <c r="AN15" s="54" t="str">
        <f>IF(OR($B15="",$AC15&lt;&gt;TRUE),"",Fac_VdLimit*$G15*1000/($B15*$F15*$AM15))</f>
        <v/>
      </c>
      <c r="AO15" s="54" t="str">
        <f>IF(OR($B15="",$AC15&lt;&gt;TRUE),"",IF($AT15=0,0,MAX($AT15,$AU15)))</f>
        <v/>
      </c>
      <c r="AP15" s="54" t="str">
        <f>IF(OR(OR($B15="",$AC15&lt;&gt;TRUE),NOT(ISNUMBER($AV15))),"",_xlfn.MINIFS(SANS_Size,INDEX(IF($I15="Rubber",SANS_CCC_Rub,SANS_CCC),0,$AF15),"&gt;="&amp;$AK15/($AO15*$AV15),SANS_Size,"&lt;="&amp;Fac_MaxSize))</f>
        <v/>
      </c>
      <c r="AQ15" s="54" t="str">
        <f>IF(OR(OR($B15="",$AC15&lt;&gt;TRUE),NOT(ISNUMBER($AV15))),"",_xlfn.MINIFS(SANS_Size,INDEX(SANS_mV,0,$AL15),"&lt;="&amp;$AN15*$AO15,SANS_Size,"&lt;="&amp;Fac_MaxSize))</f>
        <v/>
      </c>
      <c r="AR15" s="54" t="str">
        <f>IF(OR($B15="",$AC15&lt;&gt;TRUE),"",IF(OR($AJ15=0,$AO15=0,$AO15&gt;Fac_MaxRuns,$AP15=0,$AQ15=0),NA(),MAX($AP15,$AQ15,$AZ15)))</f>
        <v/>
      </c>
      <c r="AS15" s="54" t="str">
        <f>IF(OR($B15="",$AC15&lt;&gt;TRUE),"",VLOOKUP($E15,Map_Install,3,FALSE)&amp;"|"&amp;IF($M15="","Touching",$M15))</f>
        <v/>
      </c>
      <c r="AT15" s="54" t="str">
        <f>IF(OR($B15="",$AC15&lt;&gt;TRUE),"",_xlfn.MINIFS(Grp_N,INDEX(Grp_Eff,MATCH($AS15,Grp_Key,0),0),"&gt;="&amp;$AK15/_xlfn.MAXIFS(INDEX(IF($I15="Rubber",SANS_CCC_Rub,SANS_CCC),0,$AF15),SANS_Size,"&lt;="&amp;Fac_MaxSize),Grp_N,"&lt;="&amp;Fac_MaxRuns))</f>
        <v/>
      </c>
      <c r="AU15" s="54" t="str">
        <f>IF(OR($B15="",$AC15&lt;&gt;TRUE),"",MAX(1,ROUNDUP(_xlfn.MINIFS(INDEX(SANS_mV,0,$AL15),SANS_Size,"&lt;="&amp;Fac_MaxSize)/$AN15,0)))</f>
        <v/>
      </c>
      <c r="AV15" s="54" t="str" cm="1">
        <f t="array" ref="AV15">IF(OR($B15="",$AC15&lt;&gt;TRUE),"",IFERROR(IF(OR($AO15=0,$AO15&gt;Fac_MaxRuns),"",INDEX(Grp_Cg,MATCH($AS15,Grp_Key,0),$AO15)),""))</f>
        <v/>
      </c>
      <c r="AW15" s="54" t="str">
        <f>IF(OR($B15="",$AC15&lt;&gt;TRUE),"",INDEX(SC_k,MATCH($J15&amp;"|"&amp;$I15,SC_kKey,0)))</f>
        <v/>
      </c>
      <c r="AX15" s="54" t="str">
        <f>IF(OR($B15="",$AC15&lt;&gt;TRUE),"",IF($O15="",IFERROR(INDEX(Dev_t,MATCH(INDEX(SANS_BrkType,MATCH($AJ15,SANS_Breaker,0)),Dev_Type,0)),0.4),$O15))</f>
        <v/>
      </c>
      <c r="AY15" s="54" t="str">
        <f>IF(OR(OR($B15="",$AC15&lt;&gt;TRUE),$N15=""),"",$N15*1000*SQRT($AX15)/$AW15)</f>
        <v/>
      </c>
      <c r="AZ15" s="54" t="str">
        <f>IF(OR($B15="",$AC15&lt;&gt;TRUE),"",IF($N15="",0,IF(_xlfn.MINIFS(SANS_Size,SANS_Size,"&gt;="&amp;$AY15,SANS_Size,"&lt;="&amp;Fac_MaxSize,INDEX(IF($I15="Rubber",SANS_CCC_Rub,SANS_CCC),0,$AF15),"&gt;0")=0,NA(),_xlfn.MINIFS(SANS_Size,SANS_Size,"&gt;="&amp;$AY15,SANS_Size,"&lt;="&amp;Fac_MaxSize,INDEX(IF($I15="Rubber",SANS_CCC_Rub,SANS_CCC),0,$AF15),"&gt;0"))))</f>
        <v/>
      </c>
      <c r="BA15" s="54" t="str">
        <f>IF($B15="","",IFERROR(INDEX(Map_Cores,MATCH($K15,INDEX(Map_Cores,0,1),0),3)=1,FALSE))</f>
        <v/>
      </c>
      <c r="BB15" s="54" t="str">
        <f>IF($B15="","",IFERROR(IF($BA15=TRUE,"F",VLOOKUP($E15,Map_Install,2,FALSE))&amp;"|"&amp;VLOOKUP($K15,Map_Cores,2,FALSE),""))</f>
        <v/>
      </c>
      <c r="BC15" s="54" t="str" cm="1">
        <f t="array" ref="BC15">IF(OR($B15="",$AC15=TRUE),"",IFERROR(_xlfn.IFS(AND($I15="Rubber",$J15="Aluminium"),"H07RN-F is copper only",AND($I15="Rubber",OR(VLOOKUP($E15,Map_Install,2,FALSE)="B",VLOOKUP($E15,Map_Install,2,FALSE)="D")),"rubber flex not rated in conduit/buried",AND($BA15=TRUE,OR(VLOOKUP($E15,Map_Install,2,FALSE)="B",VLOOKUP($E15,Map_Install,2,FALSE)="D")),"single-core: air/surface/tray only – use multicore",TRUE,"check inputs (spacing valid for install?)"),"check inputs"))</f>
        <v/>
      </c>
    </row>
    <row r="16" spans="1:55" ht="19.95" customHeight="1" x14ac:dyDescent="0.3">
      <c r="A16" s="47">
        <v>5</v>
      </c>
      <c r="B16" s="37"/>
      <c r="C16" s="37"/>
      <c r="D16" s="37"/>
      <c r="E16" s="37"/>
      <c r="F16" s="37"/>
      <c r="G16" s="38"/>
      <c r="H16" s="37"/>
      <c r="I16" s="37"/>
      <c r="J16" s="37"/>
      <c r="K16" s="37"/>
      <c r="L16" s="39"/>
      <c r="M16" s="39"/>
      <c r="N16" s="39"/>
      <c r="O16" s="39"/>
      <c r="P16" s="40" t="str">
        <f>IF($B16="","",IF(NOT($AC16),"",IF(ISNUMBER($AR16),$AO16,"")))</f>
        <v/>
      </c>
      <c r="Q16" s="41" t="str">
        <f>IF($B16="","",IF(NOT($AC16),"Check inputs",IFERROR($AR16,"Single-core / busbar")))</f>
        <v/>
      </c>
      <c r="R16" s="42" t="str">
        <f>IF(OR($B16="",NOT(ISNUMBER($AR16))),"",$AV16)</f>
        <v/>
      </c>
      <c r="S16" s="40" t="str" cm="1">
        <f t="array" ref="S16">IF(OR($B16="",NOT(ISNUMBER($AR16))),"",INDEX(IF($I16="Rubber",SANS_CCC_Rub,SANS_CCC),MATCH($AR16,SANS_Size,0),$AF16)*$AG16*$AH16*$AI16*$AV16*$AO16)</f>
        <v/>
      </c>
      <c r="T16" s="42" t="str">
        <f>IF($U16="","",$U16*$G16)</f>
        <v/>
      </c>
      <c r="U16" s="43" t="str" cm="1">
        <f t="array" ref="U16">IF(OR($B16="",NOT(ISNUMBER($AR16))),"",INDEX(SANS_mV,MATCH($AR16,SANS_Size,0),$AL16)*$AM16*($B16/$AO16)*$F16/1000/$G16)</f>
        <v/>
      </c>
      <c r="V16" s="40" t="str">
        <f>IF($B16="","",IF(NOT($AC16),"",IF($AJ16=0,"Exceeds range",$AJ16)))</f>
        <v/>
      </c>
      <c r="W16" s="44" t="str">
        <f>IF(OR($B16="",NOT(ISNUMBER($V16))),"",INDEX(SANS_BrkType,MATCH($V16,SANS_Breaker,0)))</f>
        <v/>
      </c>
      <c r="X16" s="44" t="str">
        <f>IF(OR($B16="",NOT(ISNUMBER($V16))),"",IFERROR(MIN(1,MAX(INDEX(Ir_Min,MATCH($W16,Ir_Type,0)),CEILING(ROUND($B16*Fac_BrkSF/$V16,6),INDEX(Ir_Step,MATCH($W16,Ir_Type,0)))))*$V16,$V16))</f>
        <v/>
      </c>
      <c r="Y16" s="45" t="str">
        <f>IF(NOT(ISNUMBER($AR16)),"",IF($AR16&lt;=16,$AR16,IF($AR16&lt;=35,16,_xlfn.MINIFS(SANS_Size,SANS_Size,"&gt;="&amp;$AR16/2))))</f>
        <v/>
      </c>
      <c r="Z16" s="46" t="str">
        <f>IF(OR($B16="",NOT(ISNUMBER($AR16))),"",IF($N16="","Not checked",$AW16*$AR16/SQRT($AX16)/1000))</f>
        <v/>
      </c>
      <c r="AA16" s="45" t="str" cm="1">
        <f t="array" ref="AA16">IF($B16="","",_xlfn.IFS(NOT($AC16),"FAIL – "&amp;$BC16,NOT(ISNUMBER($AR16)),"FAIL – exceeds range",$U16&gt;Fac_VdLimit,"FAIL – volt drop",IF(ISNUMBER($X16),$X16,$V16)&lt;$B16*Fac_BrkSF,"FAIL – breaker &lt; Ib × SF",$S16&lt;IF(ISNUMBER($X16),$X16,$V16),"FAIL – CCC &lt; Ir setting",AND(ISNUMBER($Z16),$N16&gt;$Z16),"FAIL – short circuit",AND($AE16=2,$G16&gt;250),"CHECK – 1ph: use 230 V",AND($AE16=3,$G16&lt;300),"CHECK – 3ph: use 400 V",TRUE,"OK"))</f>
        <v/>
      </c>
      <c r="AB16" s="48"/>
      <c r="AC16" s="54" t="str">
        <f>IF($B16="","",IFERROR(AND(ISNUMBER($B16),$B16&gt;0,ISNUMBER($F16),$F16&gt;0,ISNUMBER($G16),$G16&gt;0,ISNUMBER(MATCH($E16,INDEX(Map_Install,0,1),0)),ISNUMBER(MATCH($K16,INDEX(Map_Cores,0,1),0)),OR($I16="PVC",$I16="XLPE",$I16="Rubber"),OR($J16="Copper",$J16="Aluminium"),OR($L16="",AND(ISNUMBER($L16),$L16&gt;0,$L16&lt;=1.5)),ISNUMBER(MATCH(VLOOKUP($E16,Map_Install,3,FALSE)&amp;"|"&amp;IF($M16="","Touching",$M16),Grp_Key,0)),OR($N16="",AND(ISNUMBER($N16),$N16&gt;0)),OR($O16="",AND(ISNUMBER($O16),$O16&gt;0,$O16&lt;=5)),ISNUMBER(MATCH($BB16,SANS_CCCkey,0)),COUNT(INDEX(IF($I16="Rubber",SANS_CCC_Rub,SANS_CCC),0,MATCH($BB16,SANS_CCCkey,0)))&gt;0,NOT(AND($I16="Rubber",$J16="Aluminium")),NOT(AND(OR($I16="Rubber",$BA16=TRUE),OR(VLOOKUP($E16,Map_Install,2,FALSE)="B",VLOOKUP($E16,Map_Install,2,FALSE)="D")))),FALSE))</f>
        <v/>
      </c>
      <c r="AD16" s="54" t="str">
        <f>IF(OR($B16="",$AC16&lt;&gt;TRUE),"",IF($BA16=TRUE,"F",VLOOKUP($E16,Map_Install,2,FALSE)))</f>
        <v/>
      </c>
      <c r="AE16" s="54" t="str">
        <f>IF(OR($B16="",$AC16&lt;&gt;TRUE),"",VLOOKUP($K16,Map_Cores,2,FALSE))</f>
        <v/>
      </c>
      <c r="AF16" s="54" t="str">
        <f>IF(OR($B16="",$AC16&lt;&gt;TRUE),"",MATCH($AD16&amp;"|"&amp;$AE16,SANS_CCCkey,0))</f>
        <v/>
      </c>
      <c r="AG16" s="54" t="str">
        <f>IF(OR($B16="",$AC16&lt;&gt;TRUE),"",IF($I16="XLPE",Fac_XLPE,1))</f>
        <v/>
      </c>
      <c r="AH16" s="54" t="str">
        <f>IF(OR($B16="",$AC16&lt;&gt;TRUE),"",IF($J16="Aluminium",Fac_Al,1))</f>
        <v/>
      </c>
      <c r="AI16" s="54" t="str">
        <f>IF(OR($B16="",$AC16&lt;&gt;TRUE),"",IF($L16="",Fac_Derate,$L16))</f>
        <v/>
      </c>
      <c r="AJ16" s="54" t="str">
        <f>IF(OR($B16="",$AC16&lt;&gt;TRUE),"",_xlfn.MINIFS(SANS_Breaker,SANS_Breaker,"&gt;="&amp;$B16*Fac_BrkSF))</f>
        <v/>
      </c>
      <c r="AK16" s="54" t="str">
        <f>IF(OR($B16="",$AC16&lt;&gt;TRUE),"",IF($AJ16=0,0,IFERROR(MIN(1,MAX(INDEX(Ir_Min,MATCH(INDEX(SANS_BrkType,MATCH($AJ16,SANS_Breaker,0)),Ir_Type,0)),CEILING(ROUND($B16*Fac_BrkSF/$AJ16,6),INDEX(Ir_Step,MATCH(INDEX(SANS_BrkType,MATCH($AJ16,SANS_Breaker,0)),Ir_Type,0)))))*$AJ16,$AJ16))/($AI16*$AG16*$AH16))</f>
        <v/>
      </c>
      <c r="AL16" s="54" t="str">
        <f>IF(OR($B16="",$AC16&lt;&gt;TRUE),"",IF($I16="Rubber",4,0)+IF($BA16=TRUE,2,0)+IF($AE16=2,1,2))</f>
        <v/>
      </c>
      <c r="AM16" s="54" t="str">
        <f>IF(OR($B16="",$AC16&lt;&gt;TRUE),"",IF($J16="Aluminium",Fac_AlmV,1))</f>
        <v/>
      </c>
      <c r="AN16" s="54" t="str">
        <f>IF(OR($B16="",$AC16&lt;&gt;TRUE),"",Fac_VdLimit*$G16*1000/($B16*$F16*$AM16))</f>
        <v/>
      </c>
      <c r="AO16" s="54" t="str">
        <f>IF(OR($B16="",$AC16&lt;&gt;TRUE),"",IF($AT16=0,0,MAX($AT16,$AU16)))</f>
        <v/>
      </c>
      <c r="AP16" s="54" t="str">
        <f>IF(OR(OR($B16="",$AC16&lt;&gt;TRUE),NOT(ISNUMBER($AV16))),"",_xlfn.MINIFS(SANS_Size,INDEX(IF($I16="Rubber",SANS_CCC_Rub,SANS_CCC),0,$AF16),"&gt;="&amp;$AK16/($AO16*$AV16),SANS_Size,"&lt;="&amp;Fac_MaxSize))</f>
        <v/>
      </c>
      <c r="AQ16" s="54" t="str">
        <f>IF(OR(OR($B16="",$AC16&lt;&gt;TRUE),NOT(ISNUMBER($AV16))),"",_xlfn.MINIFS(SANS_Size,INDEX(SANS_mV,0,$AL16),"&lt;="&amp;$AN16*$AO16,SANS_Size,"&lt;="&amp;Fac_MaxSize))</f>
        <v/>
      </c>
      <c r="AR16" s="54" t="str">
        <f>IF(OR($B16="",$AC16&lt;&gt;TRUE),"",IF(OR($AJ16=0,$AO16=0,$AO16&gt;Fac_MaxRuns,$AP16=0,$AQ16=0),NA(),MAX($AP16,$AQ16,$AZ16)))</f>
        <v/>
      </c>
      <c r="AS16" s="54" t="str">
        <f>IF(OR($B16="",$AC16&lt;&gt;TRUE),"",VLOOKUP($E16,Map_Install,3,FALSE)&amp;"|"&amp;IF($M16="","Touching",$M16))</f>
        <v/>
      </c>
      <c r="AT16" s="54" t="str">
        <f>IF(OR($B16="",$AC16&lt;&gt;TRUE),"",_xlfn.MINIFS(Grp_N,INDEX(Grp_Eff,MATCH($AS16,Grp_Key,0),0),"&gt;="&amp;$AK16/_xlfn.MAXIFS(INDEX(IF($I16="Rubber",SANS_CCC_Rub,SANS_CCC),0,$AF16),SANS_Size,"&lt;="&amp;Fac_MaxSize),Grp_N,"&lt;="&amp;Fac_MaxRuns))</f>
        <v/>
      </c>
      <c r="AU16" s="54" t="str">
        <f>IF(OR($B16="",$AC16&lt;&gt;TRUE),"",MAX(1,ROUNDUP(_xlfn.MINIFS(INDEX(SANS_mV,0,$AL16),SANS_Size,"&lt;="&amp;Fac_MaxSize)/$AN16,0)))</f>
        <v/>
      </c>
      <c r="AV16" s="54" t="str" cm="1">
        <f t="array" ref="AV16">IF(OR($B16="",$AC16&lt;&gt;TRUE),"",IFERROR(IF(OR($AO16=0,$AO16&gt;Fac_MaxRuns),"",INDEX(Grp_Cg,MATCH($AS16,Grp_Key,0),$AO16)),""))</f>
        <v/>
      </c>
      <c r="AW16" s="54" t="str">
        <f>IF(OR($B16="",$AC16&lt;&gt;TRUE),"",INDEX(SC_k,MATCH($J16&amp;"|"&amp;$I16,SC_kKey,0)))</f>
        <v/>
      </c>
      <c r="AX16" s="54" t="str">
        <f>IF(OR($B16="",$AC16&lt;&gt;TRUE),"",IF($O16="",IFERROR(INDEX(Dev_t,MATCH(INDEX(SANS_BrkType,MATCH($AJ16,SANS_Breaker,0)),Dev_Type,0)),0.4),$O16))</f>
        <v/>
      </c>
      <c r="AY16" s="54" t="str">
        <f>IF(OR(OR($B16="",$AC16&lt;&gt;TRUE),$N16=""),"",$N16*1000*SQRT($AX16)/$AW16)</f>
        <v/>
      </c>
      <c r="AZ16" s="54" t="str">
        <f>IF(OR($B16="",$AC16&lt;&gt;TRUE),"",IF($N16="",0,IF(_xlfn.MINIFS(SANS_Size,SANS_Size,"&gt;="&amp;$AY16,SANS_Size,"&lt;="&amp;Fac_MaxSize,INDEX(IF($I16="Rubber",SANS_CCC_Rub,SANS_CCC),0,$AF16),"&gt;0")=0,NA(),_xlfn.MINIFS(SANS_Size,SANS_Size,"&gt;="&amp;$AY16,SANS_Size,"&lt;="&amp;Fac_MaxSize,INDEX(IF($I16="Rubber",SANS_CCC_Rub,SANS_CCC),0,$AF16),"&gt;0"))))</f>
        <v/>
      </c>
      <c r="BA16" s="54" t="str">
        <f>IF($B16="","",IFERROR(INDEX(Map_Cores,MATCH($K16,INDEX(Map_Cores,0,1),0),3)=1,FALSE))</f>
        <v/>
      </c>
      <c r="BB16" s="54" t="str">
        <f>IF($B16="","",IFERROR(IF($BA16=TRUE,"F",VLOOKUP($E16,Map_Install,2,FALSE))&amp;"|"&amp;VLOOKUP($K16,Map_Cores,2,FALSE),""))</f>
        <v/>
      </c>
      <c r="BC16" s="54" t="str" cm="1">
        <f t="array" ref="BC16">IF(OR($B16="",$AC16=TRUE),"",IFERROR(_xlfn.IFS(AND($I16="Rubber",$J16="Aluminium"),"H07RN-F is copper only",AND($I16="Rubber",OR(VLOOKUP($E16,Map_Install,2,FALSE)="B",VLOOKUP($E16,Map_Install,2,FALSE)="D")),"rubber flex not rated in conduit/buried",AND($BA16=TRUE,OR(VLOOKUP($E16,Map_Install,2,FALSE)="B",VLOOKUP($E16,Map_Install,2,FALSE)="D")),"single-core: air/surface/tray only – use multicore",TRUE,"check inputs (spacing valid for install?)"),"check inputs"))</f>
        <v/>
      </c>
    </row>
    <row r="17" spans="1:55" ht="19.95" customHeight="1" x14ac:dyDescent="0.3">
      <c r="A17" s="47">
        <v>6</v>
      </c>
      <c r="B17" s="37"/>
      <c r="C17" s="37"/>
      <c r="D17" s="37"/>
      <c r="E17" s="37"/>
      <c r="F17" s="37"/>
      <c r="G17" s="38"/>
      <c r="H17" s="37"/>
      <c r="I17" s="37"/>
      <c r="J17" s="37"/>
      <c r="K17" s="37"/>
      <c r="L17" s="39"/>
      <c r="M17" s="39"/>
      <c r="N17" s="39"/>
      <c r="O17" s="39"/>
      <c r="P17" s="40" t="str">
        <f>IF($B17="","",IF(NOT($AC17),"",IF(ISNUMBER($AR17),$AO17,"")))</f>
        <v/>
      </c>
      <c r="Q17" s="41" t="str">
        <f>IF($B17="","",IF(NOT($AC17),"Check inputs",IFERROR($AR17,"Single-core / busbar")))</f>
        <v/>
      </c>
      <c r="R17" s="42" t="str">
        <f>IF(OR($B17="",NOT(ISNUMBER($AR17))),"",$AV17)</f>
        <v/>
      </c>
      <c r="S17" s="40" t="str" cm="1">
        <f t="array" ref="S17">IF(OR($B17="",NOT(ISNUMBER($AR17))),"",INDEX(IF($I17="Rubber",SANS_CCC_Rub,SANS_CCC),MATCH($AR17,SANS_Size,0),$AF17)*$AG17*$AH17*$AI17*$AV17*$AO17)</f>
        <v/>
      </c>
      <c r="T17" s="42" t="str">
        <f>IF($U17="","",$U17*$G17)</f>
        <v/>
      </c>
      <c r="U17" s="43" t="str" cm="1">
        <f t="array" ref="U17">IF(OR($B17="",NOT(ISNUMBER($AR17))),"",INDEX(SANS_mV,MATCH($AR17,SANS_Size,0),$AL17)*$AM17*($B17/$AO17)*$F17/1000/$G17)</f>
        <v/>
      </c>
      <c r="V17" s="40" t="str">
        <f>IF($B17="","",IF(NOT($AC17),"",IF($AJ17=0,"Exceeds range",$AJ17)))</f>
        <v/>
      </c>
      <c r="W17" s="44" t="str">
        <f>IF(OR($B17="",NOT(ISNUMBER($V17))),"",INDEX(SANS_BrkType,MATCH($V17,SANS_Breaker,0)))</f>
        <v/>
      </c>
      <c r="X17" s="44" t="str">
        <f>IF(OR($B17="",NOT(ISNUMBER($V17))),"",IFERROR(MIN(1,MAX(INDEX(Ir_Min,MATCH($W17,Ir_Type,0)),CEILING(ROUND($B17*Fac_BrkSF/$V17,6),INDEX(Ir_Step,MATCH($W17,Ir_Type,0)))))*$V17,$V17))</f>
        <v/>
      </c>
      <c r="Y17" s="45" t="str">
        <f>IF(NOT(ISNUMBER($AR17)),"",IF($AR17&lt;=16,$AR17,IF($AR17&lt;=35,16,_xlfn.MINIFS(SANS_Size,SANS_Size,"&gt;="&amp;$AR17/2))))</f>
        <v/>
      </c>
      <c r="Z17" s="46" t="str">
        <f>IF(OR($B17="",NOT(ISNUMBER($AR17))),"",IF($N17="","Not checked",$AW17*$AR17/SQRT($AX17)/1000))</f>
        <v/>
      </c>
      <c r="AA17" s="45" t="str" cm="1">
        <f t="array" ref="AA17">IF($B17="","",_xlfn.IFS(NOT($AC17),"FAIL – "&amp;$BC17,NOT(ISNUMBER($AR17)),"FAIL – exceeds range",$U17&gt;Fac_VdLimit,"FAIL – volt drop",IF(ISNUMBER($X17),$X17,$V17)&lt;$B17*Fac_BrkSF,"FAIL – breaker &lt; Ib × SF",$S17&lt;IF(ISNUMBER($X17),$X17,$V17),"FAIL – CCC &lt; Ir setting",AND(ISNUMBER($Z17),$N17&gt;$Z17),"FAIL – short circuit",AND($AE17=2,$G17&gt;250),"CHECK – 1ph: use 230 V",AND($AE17=3,$G17&lt;300),"CHECK – 3ph: use 400 V",TRUE,"OK"))</f>
        <v/>
      </c>
      <c r="AB17" s="48"/>
      <c r="AC17" s="54" t="str">
        <f>IF($B17="","",IFERROR(AND(ISNUMBER($B17),$B17&gt;0,ISNUMBER($F17),$F17&gt;0,ISNUMBER($G17),$G17&gt;0,ISNUMBER(MATCH($E17,INDEX(Map_Install,0,1),0)),ISNUMBER(MATCH($K17,INDEX(Map_Cores,0,1),0)),OR($I17="PVC",$I17="XLPE",$I17="Rubber"),OR($J17="Copper",$J17="Aluminium"),OR($L17="",AND(ISNUMBER($L17),$L17&gt;0,$L17&lt;=1.5)),ISNUMBER(MATCH(VLOOKUP($E17,Map_Install,3,FALSE)&amp;"|"&amp;IF($M17="","Touching",$M17),Grp_Key,0)),OR($N17="",AND(ISNUMBER($N17),$N17&gt;0)),OR($O17="",AND(ISNUMBER($O17),$O17&gt;0,$O17&lt;=5)),ISNUMBER(MATCH($BB17,SANS_CCCkey,0)),COUNT(INDEX(IF($I17="Rubber",SANS_CCC_Rub,SANS_CCC),0,MATCH($BB17,SANS_CCCkey,0)))&gt;0,NOT(AND($I17="Rubber",$J17="Aluminium")),NOT(AND(OR($I17="Rubber",$BA17=TRUE),OR(VLOOKUP($E17,Map_Install,2,FALSE)="B",VLOOKUP($E17,Map_Install,2,FALSE)="D")))),FALSE))</f>
        <v/>
      </c>
      <c r="AD17" s="54" t="str">
        <f>IF(OR($B17="",$AC17&lt;&gt;TRUE),"",IF($BA17=TRUE,"F",VLOOKUP($E17,Map_Install,2,FALSE)))</f>
        <v/>
      </c>
      <c r="AE17" s="54" t="str">
        <f>IF(OR($B17="",$AC17&lt;&gt;TRUE),"",VLOOKUP($K17,Map_Cores,2,FALSE))</f>
        <v/>
      </c>
      <c r="AF17" s="54" t="str">
        <f>IF(OR($B17="",$AC17&lt;&gt;TRUE),"",MATCH($AD17&amp;"|"&amp;$AE17,SANS_CCCkey,0))</f>
        <v/>
      </c>
      <c r="AG17" s="54" t="str">
        <f>IF(OR($B17="",$AC17&lt;&gt;TRUE),"",IF($I17="XLPE",Fac_XLPE,1))</f>
        <v/>
      </c>
      <c r="AH17" s="54" t="str">
        <f>IF(OR($B17="",$AC17&lt;&gt;TRUE),"",IF($J17="Aluminium",Fac_Al,1))</f>
        <v/>
      </c>
      <c r="AI17" s="54" t="str">
        <f>IF(OR($B17="",$AC17&lt;&gt;TRUE),"",IF($L17="",Fac_Derate,$L17))</f>
        <v/>
      </c>
      <c r="AJ17" s="54" t="str">
        <f>IF(OR($B17="",$AC17&lt;&gt;TRUE),"",_xlfn.MINIFS(SANS_Breaker,SANS_Breaker,"&gt;="&amp;$B17*Fac_BrkSF))</f>
        <v/>
      </c>
      <c r="AK17" s="54" t="str">
        <f>IF(OR($B17="",$AC17&lt;&gt;TRUE),"",IF($AJ17=0,0,IFERROR(MIN(1,MAX(INDEX(Ir_Min,MATCH(INDEX(SANS_BrkType,MATCH($AJ17,SANS_Breaker,0)),Ir_Type,0)),CEILING(ROUND($B17*Fac_BrkSF/$AJ17,6),INDEX(Ir_Step,MATCH(INDEX(SANS_BrkType,MATCH($AJ17,SANS_Breaker,0)),Ir_Type,0)))))*$AJ17,$AJ17))/($AI17*$AG17*$AH17))</f>
        <v/>
      </c>
      <c r="AL17" s="54" t="str">
        <f>IF(OR($B17="",$AC17&lt;&gt;TRUE),"",IF($I17="Rubber",4,0)+IF($BA17=TRUE,2,0)+IF($AE17=2,1,2))</f>
        <v/>
      </c>
      <c r="AM17" s="54" t="str">
        <f>IF(OR($B17="",$AC17&lt;&gt;TRUE),"",IF($J17="Aluminium",Fac_AlmV,1))</f>
        <v/>
      </c>
      <c r="AN17" s="54" t="str">
        <f>IF(OR($B17="",$AC17&lt;&gt;TRUE),"",Fac_VdLimit*$G17*1000/($B17*$F17*$AM17))</f>
        <v/>
      </c>
      <c r="AO17" s="54" t="str">
        <f>IF(OR($B17="",$AC17&lt;&gt;TRUE),"",IF($AT17=0,0,MAX($AT17,$AU17)))</f>
        <v/>
      </c>
      <c r="AP17" s="54" t="str">
        <f>IF(OR(OR($B17="",$AC17&lt;&gt;TRUE),NOT(ISNUMBER($AV17))),"",_xlfn.MINIFS(SANS_Size,INDEX(IF($I17="Rubber",SANS_CCC_Rub,SANS_CCC),0,$AF17),"&gt;="&amp;$AK17/($AO17*$AV17),SANS_Size,"&lt;="&amp;Fac_MaxSize))</f>
        <v/>
      </c>
      <c r="AQ17" s="54" t="str">
        <f>IF(OR(OR($B17="",$AC17&lt;&gt;TRUE),NOT(ISNUMBER($AV17))),"",_xlfn.MINIFS(SANS_Size,INDEX(SANS_mV,0,$AL17),"&lt;="&amp;$AN17*$AO17,SANS_Size,"&lt;="&amp;Fac_MaxSize))</f>
        <v/>
      </c>
      <c r="AR17" s="54" t="str">
        <f>IF(OR($B17="",$AC17&lt;&gt;TRUE),"",IF(OR($AJ17=0,$AO17=0,$AO17&gt;Fac_MaxRuns,$AP17=0,$AQ17=0),NA(),MAX($AP17,$AQ17,$AZ17)))</f>
        <v/>
      </c>
      <c r="AS17" s="54" t="str">
        <f>IF(OR($B17="",$AC17&lt;&gt;TRUE),"",VLOOKUP($E17,Map_Install,3,FALSE)&amp;"|"&amp;IF($M17="","Touching",$M17))</f>
        <v/>
      </c>
      <c r="AT17" s="54" t="str">
        <f>IF(OR($B17="",$AC17&lt;&gt;TRUE),"",_xlfn.MINIFS(Grp_N,INDEX(Grp_Eff,MATCH($AS17,Grp_Key,0),0),"&gt;="&amp;$AK17/_xlfn.MAXIFS(INDEX(IF($I17="Rubber",SANS_CCC_Rub,SANS_CCC),0,$AF17),SANS_Size,"&lt;="&amp;Fac_MaxSize),Grp_N,"&lt;="&amp;Fac_MaxRuns))</f>
        <v/>
      </c>
      <c r="AU17" s="54" t="str">
        <f>IF(OR($B17="",$AC17&lt;&gt;TRUE),"",MAX(1,ROUNDUP(_xlfn.MINIFS(INDEX(SANS_mV,0,$AL17),SANS_Size,"&lt;="&amp;Fac_MaxSize)/$AN17,0)))</f>
        <v/>
      </c>
      <c r="AV17" s="54" t="str" cm="1">
        <f t="array" ref="AV17">IF(OR($B17="",$AC17&lt;&gt;TRUE),"",IFERROR(IF(OR($AO17=0,$AO17&gt;Fac_MaxRuns),"",INDEX(Grp_Cg,MATCH($AS17,Grp_Key,0),$AO17)),""))</f>
        <v/>
      </c>
      <c r="AW17" s="54" t="str">
        <f>IF(OR($B17="",$AC17&lt;&gt;TRUE),"",INDEX(SC_k,MATCH($J17&amp;"|"&amp;$I17,SC_kKey,0)))</f>
        <v/>
      </c>
      <c r="AX17" s="54" t="str">
        <f>IF(OR($B17="",$AC17&lt;&gt;TRUE),"",IF($O17="",IFERROR(INDEX(Dev_t,MATCH(INDEX(SANS_BrkType,MATCH($AJ17,SANS_Breaker,0)),Dev_Type,0)),0.4),$O17))</f>
        <v/>
      </c>
      <c r="AY17" s="54" t="str">
        <f>IF(OR(OR($B17="",$AC17&lt;&gt;TRUE),$N17=""),"",$N17*1000*SQRT($AX17)/$AW17)</f>
        <v/>
      </c>
      <c r="AZ17" s="54" t="str">
        <f>IF(OR($B17="",$AC17&lt;&gt;TRUE),"",IF($N17="",0,IF(_xlfn.MINIFS(SANS_Size,SANS_Size,"&gt;="&amp;$AY17,SANS_Size,"&lt;="&amp;Fac_MaxSize,INDEX(IF($I17="Rubber",SANS_CCC_Rub,SANS_CCC),0,$AF17),"&gt;0")=0,NA(),_xlfn.MINIFS(SANS_Size,SANS_Size,"&gt;="&amp;$AY17,SANS_Size,"&lt;="&amp;Fac_MaxSize,INDEX(IF($I17="Rubber",SANS_CCC_Rub,SANS_CCC),0,$AF17),"&gt;0"))))</f>
        <v/>
      </c>
      <c r="BA17" s="54" t="str">
        <f>IF($B17="","",IFERROR(INDEX(Map_Cores,MATCH($K17,INDEX(Map_Cores,0,1),0),3)=1,FALSE))</f>
        <v/>
      </c>
      <c r="BB17" s="54" t="str">
        <f>IF($B17="","",IFERROR(IF($BA17=TRUE,"F",VLOOKUP($E17,Map_Install,2,FALSE))&amp;"|"&amp;VLOOKUP($K17,Map_Cores,2,FALSE),""))</f>
        <v/>
      </c>
      <c r="BC17" s="54" t="str" cm="1">
        <f t="array" ref="BC17">IF(OR($B17="",$AC17=TRUE),"",IFERROR(_xlfn.IFS(AND($I17="Rubber",$J17="Aluminium"),"H07RN-F is copper only",AND($I17="Rubber",OR(VLOOKUP($E17,Map_Install,2,FALSE)="B",VLOOKUP($E17,Map_Install,2,FALSE)="D")),"rubber flex not rated in conduit/buried",AND($BA17=TRUE,OR(VLOOKUP($E17,Map_Install,2,FALSE)="B",VLOOKUP($E17,Map_Install,2,FALSE)="D")),"single-core: air/surface/tray only – use multicore",TRUE,"check inputs (spacing valid for install?)"),"check inputs"))</f>
        <v/>
      </c>
    </row>
    <row r="18" spans="1:55" ht="19.95" customHeight="1" x14ac:dyDescent="0.3">
      <c r="A18" s="47">
        <v>7</v>
      </c>
      <c r="B18" s="37"/>
      <c r="C18" s="37"/>
      <c r="D18" s="37"/>
      <c r="E18" s="37"/>
      <c r="F18" s="37"/>
      <c r="G18" s="38"/>
      <c r="H18" s="37"/>
      <c r="I18" s="37"/>
      <c r="J18" s="37"/>
      <c r="K18" s="37"/>
      <c r="L18" s="39"/>
      <c r="M18" s="39"/>
      <c r="N18" s="39"/>
      <c r="O18" s="39"/>
      <c r="P18" s="40" t="str">
        <f>IF($B18="","",IF(NOT($AC18),"",IF(ISNUMBER($AR18),$AO18,"")))</f>
        <v/>
      </c>
      <c r="Q18" s="41" t="str">
        <f>IF($B18="","",IF(NOT($AC18),"Check inputs",IFERROR($AR18,"Single-core / busbar")))</f>
        <v/>
      </c>
      <c r="R18" s="42" t="str">
        <f>IF(OR($B18="",NOT(ISNUMBER($AR18))),"",$AV18)</f>
        <v/>
      </c>
      <c r="S18" s="40" t="str" cm="1">
        <f t="array" ref="S18">IF(OR($B18="",NOT(ISNUMBER($AR18))),"",INDEX(IF($I18="Rubber",SANS_CCC_Rub,SANS_CCC),MATCH($AR18,SANS_Size,0),$AF18)*$AG18*$AH18*$AI18*$AV18*$AO18)</f>
        <v/>
      </c>
      <c r="T18" s="42" t="str">
        <f>IF($U18="","",$U18*$G18)</f>
        <v/>
      </c>
      <c r="U18" s="43" t="str" cm="1">
        <f t="array" ref="U18">IF(OR($B18="",NOT(ISNUMBER($AR18))),"",INDEX(SANS_mV,MATCH($AR18,SANS_Size,0),$AL18)*$AM18*($B18/$AO18)*$F18/1000/$G18)</f>
        <v/>
      </c>
      <c r="V18" s="40" t="str">
        <f>IF($B18="","",IF(NOT($AC18),"",IF($AJ18=0,"Exceeds range",$AJ18)))</f>
        <v/>
      </c>
      <c r="W18" s="44" t="str">
        <f>IF(OR($B18="",NOT(ISNUMBER($V18))),"",INDEX(SANS_BrkType,MATCH($V18,SANS_Breaker,0)))</f>
        <v/>
      </c>
      <c r="X18" s="44" t="str">
        <f>IF(OR($B18="",NOT(ISNUMBER($V18))),"",IFERROR(MIN(1,MAX(INDEX(Ir_Min,MATCH($W18,Ir_Type,0)),CEILING(ROUND($B18*Fac_BrkSF/$V18,6),INDEX(Ir_Step,MATCH($W18,Ir_Type,0)))))*$V18,$V18))</f>
        <v/>
      </c>
      <c r="Y18" s="45" t="str">
        <f>IF(NOT(ISNUMBER($AR18)),"",IF($AR18&lt;=16,$AR18,IF($AR18&lt;=35,16,_xlfn.MINIFS(SANS_Size,SANS_Size,"&gt;="&amp;$AR18/2))))</f>
        <v/>
      </c>
      <c r="Z18" s="46" t="str">
        <f>IF(OR($B18="",NOT(ISNUMBER($AR18))),"",IF($N18="","Not checked",$AW18*$AR18/SQRT($AX18)/1000))</f>
        <v/>
      </c>
      <c r="AA18" s="45" t="str" cm="1">
        <f t="array" ref="AA18">IF($B18="","",_xlfn.IFS(NOT($AC18),"FAIL – "&amp;$BC18,NOT(ISNUMBER($AR18)),"FAIL – exceeds range",$U18&gt;Fac_VdLimit,"FAIL – volt drop",IF(ISNUMBER($X18),$X18,$V18)&lt;$B18*Fac_BrkSF,"FAIL – breaker &lt; Ib × SF",$S18&lt;IF(ISNUMBER($X18),$X18,$V18),"FAIL – CCC &lt; Ir setting",AND(ISNUMBER($Z18),$N18&gt;$Z18),"FAIL – short circuit",AND($AE18=2,$G18&gt;250),"CHECK – 1ph: use 230 V",AND($AE18=3,$G18&lt;300),"CHECK – 3ph: use 400 V",TRUE,"OK"))</f>
        <v/>
      </c>
      <c r="AB18" s="48"/>
      <c r="AC18" s="54" t="str">
        <f>IF($B18="","",IFERROR(AND(ISNUMBER($B18),$B18&gt;0,ISNUMBER($F18),$F18&gt;0,ISNUMBER($G18),$G18&gt;0,ISNUMBER(MATCH($E18,INDEX(Map_Install,0,1),0)),ISNUMBER(MATCH($K18,INDEX(Map_Cores,0,1),0)),OR($I18="PVC",$I18="XLPE",$I18="Rubber"),OR($J18="Copper",$J18="Aluminium"),OR($L18="",AND(ISNUMBER($L18),$L18&gt;0,$L18&lt;=1.5)),ISNUMBER(MATCH(VLOOKUP($E18,Map_Install,3,FALSE)&amp;"|"&amp;IF($M18="","Touching",$M18),Grp_Key,0)),OR($N18="",AND(ISNUMBER($N18),$N18&gt;0)),OR($O18="",AND(ISNUMBER($O18),$O18&gt;0,$O18&lt;=5)),ISNUMBER(MATCH($BB18,SANS_CCCkey,0)),COUNT(INDEX(IF($I18="Rubber",SANS_CCC_Rub,SANS_CCC),0,MATCH($BB18,SANS_CCCkey,0)))&gt;0,NOT(AND($I18="Rubber",$J18="Aluminium")),NOT(AND(OR($I18="Rubber",$BA18=TRUE),OR(VLOOKUP($E18,Map_Install,2,FALSE)="B",VLOOKUP($E18,Map_Install,2,FALSE)="D")))),FALSE))</f>
        <v/>
      </c>
      <c r="AD18" s="54" t="str">
        <f>IF(OR($B18="",$AC18&lt;&gt;TRUE),"",IF($BA18=TRUE,"F",VLOOKUP($E18,Map_Install,2,FALSE)))</f>
        <v/>
      </c>
      <c r="AE18" s="54" t="str">
        <f>IF(OR($B18="",$AC18&lt;&gt;TRUE),"",VLOOKUP($K18,Map_Cores,2,FALSE))</f>
        <v/>
      </c>
      <c r="AF18" s="54" t="str">
        <f>IF(OR($B18="",$AC18&lt;&gt;TRUE),"",MATCH($AD18&amp;"|"&amp;$AE18,SANS_CCCkey,0))</f>
        <v/>
      </c>
      <c r="AG18" s="54" t="str">
        <f>IF(OR($B18="",$AC18&lt;&gt;TRUE),"",IF($I18="XLPE",Fac_XLPE,1))</f>
        <v/>
      </c>
      <c r="AH18" s="54" t="str">
        <f>IF(OR($B18="",$AC18&lt;&gt;TRUE),"",IF($J18="Aluminium",Fac_Al,1))</f>
        <v/>
      </c>
      <c r="AI18" s="54" t="str">
        <f>IF(OR($B18="",$AC18&lt;&gt;TRUE),"",IF($L18="",Fac_Derate,$L18))</f>
        <v/>
      </c>
      <c r="AJ18" s="54" t="str">
        <f>IF(OR($B18="",$AC18&lt;&gt;TRUE),"",_xlfn.MINIFS(SANS_Breaker,SANS_Breaker,"&gt;="&amp;$B18*Fac_BrkSF))</f>
        <v/>
      </c>
      <c r="AK18" s="54" t="str">
        <f>IF(OR($B18="",$AC18&lt;&gt;TRUE),"",IF($AJ18=0,0,IFERROR(MIN(1,MAX(INDEX(Ir_Min,MATCH(INDEX(SANS_BrkType,MATCH($AJ18,SANS_Breaker,0)),Ir_Type,0)),CEILING(ROUND($B18*Fac_BrkSF/$AJ18,6),INDEX(Ir_Step,MATCH(INDEX(SANS_BrkType,MATCH($AJ18,SANS_Breaker,0)),Ir_Type,0)))))*$AJ18,$AJ18))/($AI18*$AG18*$AH18))</f>
        <v/>
      </c>
      <c r="AL18" s="54" t="str">
        <f>IF(OR($B18="",$AC18&lt;&gt;TRUE),"",IF($I18="Rubber",4,0)+IF($BA18=TRUE,2,0)+IF($AE18=2,1,2))</f>
        <v/>
      </c>
      <c r="AM18" s="54" t="str">
        <f>IF(OR($B18="",$AC18&lt;&gt;TRUE),"",IF($J18="Aluminium",Fac_AlmV,1))</f>
        <v/>
      </c>
      <c r="AN18" s="54" t="str">
        <f>IF(OR($B18="",$AC18&lt;&gt;TRUE),"",Fac_VdLimit*$G18*1000/($B18*$F18*$AM18))</f>
        <v/>
      </c>
      <c r="AO18" s="54" t="str">
        <f>IF(OR($B18="",$AC18&lt;&gt;TRUE),"",IF($AT18=0,0,MAX($AT18,$AU18)))</f>
        <v/>
      </c>
      <c r="AP18" s="54" t="str">
        <f>IF(OR(OR($B18="",$AC18&lt;&gt;TRUE),NOT(ISNUMBER($AV18))),"",_xlfn.MINIFS(SANS_Size,INDEX(IF($I18="Rubber",SANS_CCC_Rub,SANS_CCC),0,$AF18),"&gt;="&amp;$AK18/($AO18*$AV18),SANS_Size,"&lt;="&amp;Fac_MaxSize))</f>
        <v/>
      </c>
      <c r="AQ18" s="54" t="str">
        <f>IF(OR(OR($B18="",$AC18&lt;&gt;TRUE),NOT(ISNUMBER($AV18))),"",_xlfn.MINIFS(SANS_Size,INDEX(SANS_mV,0,$AL18),"&lt;="&amp;$AN18*$AO18,SANS_Size,"&lt;="&amp;Fac_MaxSize))</f>
        <v/>
      </c>
      <c r="AR18" s="54" t="str">
        <f>IF(OR($B18="",$AC18&lt;&gt;TRUE),"",IF(OR($AJ18=0,$AO18=0,$AO18&gt;Fac_MaxRuns,$AP18=0,$AQ18=0),NA(),MAX($AP18,$AQ18,$AZ18)))</f>
        <v/>
      </c>
      <c r="AS18" s="54" t="str">
        <f>IF(OR($B18="",$AC18&lt;&gt;TRUE),"",VLOOKUP($E18,Map_Install,3,FALSE)&amp;"|"&amp;IF($M18="","Touching",$M18))</f>
        <v/>
      </c>
      <c r="AT18" s="54" t="str">
        <f>IF(OR($B18="",$AC18&lt;&gt;TRUE),"",_xlfn.MINIFS(Grp_N,INDEX(Grp_Eff,MATCH($AS18,Grp_Key,0),0),"&gt;="&amp;$AK18/_xlfn.MAXIFS(INDEX(IF($I18="Rubber",SANS_CCC_Rub,SANS_CCC),0,$AF18),SANS_Size,"&lt;="&amp;Fac_MaxSize),Grp_N,"&lt;="&amp;Fac_MaxRuns))</f>
        <v/>
      </c>
      <c r="AU18" s="54" t="str">
        <f>IF(OR($B18="",$AC18&lt;&gt;TRUE),"",MAX(1,ROUNDUP(_xlfn.MINIFS(INDEX(SANS_mV,0,$AL18),SANS_Size,"&lt;="&amp;Fac_MaxSize)/$AN18,0)))</f>
        <v/>
      </c>
      <c r="AV18" s="54" t="str" cm="1">
        <f t="array" ref="AV18">IF(OR($B18="",$AC18&lt;&gt;TRUE),"",IFERROR(IF(OR($AO18=0,$AO18&gt;Fac_MaxRuns),"",INDEX(Grp_Cg,MATCH($AS18,Grp_Key,0),$AO18)),""))</f>
        <v/>
      </c>
      <c r="AW18" s="54" t="str">
        <f>IF(OR($B18="",$AC18&lt;&gt;TRUE),"",INDEX(SC_k,MATCH($J18&amp;"|"&amp;$I18,SC_kKey,0)))</f>
        <v/>
      </c>
      <c r="AX18" s="54" t="str">
        <f>IF(OR($B18="",$AC18&lt;&gt;TRUE),"",IF($O18="",IFERROR(INDEX(Dev_t,MATCH(INDEX(SANS_BrkType,MATCH($AJ18,SANS_Breaker,0)),Dev_Type,0)),0.4),$O18))</f>
        <v/>
      </c>
      <c r="AY18" s="54" t="str">
        <f>IF(OR(OR($B18="",$AC18&lt;&gt;TRUE),$N18=""),"",$N18*1000*SQRT($AX18)/$AW18)</f>
        <v/>
      </c>
      <c r="AZ18" s="54" t="str">
        <f>IF(OR($B18="",$AC18&lt;&gt;TRUE),"",IF($N18="",0,IF(_xlfn.MINIFS(SANS_Size,SANS_Size,"&gt;="&amp;$AY18,SANS_Size,"&lt;="&amp;Fac_MaxSize,INDEX(IF($I18="Rubber",SANS_CCC_Rub,SANS_CCC),0,$AF18),"&gt;0")=0,NA(),_xlfn.MINIFS(SANS_Size,SANS_Size,"&gt;="&amp;$AY18,SANS_Size,"&lt;="&amp;Fac_MaxSize,INDEX(IF($I18="Rubber",SANS_CCC_Rub,SANS_CCC),0,$AF18),"&gt;0"))))</f>
        <v/>
      </c>
      <c r="BA18" s="54" t="str">
        <f>IF($B18="","",IFERROR(INDEX(Map_Cores,MATCH($K18,INDEX(Map_Cores,0,1),0),3)=1,FALSE))</f>
        <v/>
      </c>
      <c r="BB18" s="54" t="str">
        <f>IF($B18="","",IFERROR(IF($BA18=TRUE,"F",VLOOKUP($E18,Map_Install,2,FALSE))&amp;"|"&amp;VLOOKUP($K18,Map_Cores,2,FALSE),""))</f>
        <v/>
      </c>
      <c r="BC18" s="54" t="str" cm="1">
        <f t="array" ref="BC18">IF(OR($B18="",$AC18=TRUE),"",IFERROR(_xlfn.IFS(AND($I18="Rubber",$J18="Aluminium"),"H07RN-F is copper only",AND($I18="Rubber",OR(VLOOKUP($E18,Map_Install,2,FALSE)="B",VLOOKUP($E18,Map_Install,2,FALSE)="D")),"rubber flex not rated in conduit/buried",AND($BA18=TRUE,OR(VLOOKUP($E18,Map_Install,2,FALSE)="B",VLOOKUP($E18,Map_Install,2,FALSE)="D")),"single-core: air/surface/tray only – use multicore",TRUE,"check inputs (spacing valid for install?)"),"check inputs"))</f>
        <v/>
      </c>
    </row>
    <row r="19" spans="1:55" ht="19.95" customHeight="1" x14ac:dyDescent="0.3">
      <c r="A19" s="47">
        <v>8</v>
      </c>
      <c r="B19" s="37"/>
      <c r="C19" s="37"/>
      <c r="D19" s="37"/>
      <c r="E19" s="37"/>
      <c r="F19" s="37"/>
      <c r="G19" s="38"/>
      <c r="H19" s="37"/>
      <c r="I19" s="37"/>
      <c r="J19" s="37"/>
      <c r="K19" s="37"/>
      <c r="L19" s="39"/>
      <c r="M19" s="39"/>
      <c r="N19" s="39"/>
      <c r="O19" s="39"/>
      <c r="P19" s="40" t="str">
        <f>IF($B19="","",IF(NOT($AC19),"",IF(ISNUMBER($AR19),$AO19,"")))</f>
        <v/>
      </c>
      <c r="Q19" s="41" t="str">
        <f>IF($B19="","",IF(NOT($AC19),"Check inputs",IFERROR($AR19,"Single-core / busbar")))</f>
        <v/>
      </c>
      <c r="R19" s="42" t="str">
        <f>IF(OR($B19="",NOT(ISNUMBER($AR19))),"",$AV19)</f>
        <v/>
      </c>
      <c r="S19" s="40" t="str" cm="1">
        <f t="array" ref="S19">IF(OR($B19="",NOT(ISNUMBER($AR19))),"",INDEX(IF($I19="Rubber",SANS_CCC_Rub,SANS_CCC),MATCH($AR19,SANS_Size,0),$AF19)*$AG19*$AH19*$AI19*$AV19*$AO19)</f>
        <v/>
      </c>
      <c r="T19" s="42" t="str">
        <f>IF($U19="","",$U19*$G19)</f>
        <v/>
      </c>
      <c r="U19" s="43" t="str" cm="1">
        <f t="array" ref="U19">IF(OR($B19="",NOT(ISNUMBER($AR19))),"",INDEX(SANS_mV,MATCH($AR19,SANS_Size,0),$AL19)*$AM19*($B19/$AO19)*$F19/1000/$G19)</f>
        <v/>
      </c>
      <c r="V19" s="40" t="str">
        <f>IF($B19="","",IF(NOT($AC19),"",IF($AJ19=0,"Exceeds range",$AJ19)))</f>
        <v/>
      </c>
      <c r="W19" s="44" t="str">
        <f>IF(OR($B19="",NOT(ISNUMBER($V19))),"",INDEX(SANS_BrkType,MATCH($V19,SANS_Breaker,0)))</f>
        <v/>
      </c>
      <c r="X19" s="44" t="str">
        <f>IF(OR($B19="",NOT(ISNUMBER($V19))),"",IFERROR(MIN(1,MAX(INDEX(Ir_Min,MATCH($W19,Ir_Type,0)),CEILING(ROUND($B19*Fac_BrkSF/$V19,6),INDEX(Ir_Step,MATCH($W19,Ir_Type,0)))))*$V19,$V19))</f>
        <v/>
      </c>
      <c r="Y19" s="45" t="str">
        <f>IF(NOT(ISNUMBER($AR19)),"",IF($AR19&lt;=16,$AR19,IF($AR19&lt;=35,16,_xlfn.MINIFS(SANS_Size,SANS_Size,"&gt;="&amp;$AR19/2))))</f>
        <v/>
      </c>
      <c r="Z19" s="46" t="str">
        <f>IF(OR($B19="",NOT(ISNUMBER($AR19))),"",IF($N19="","Not checked",$AW19*$AR19/SQRT($AX19)/1000))</f>
        <v/>
      </c>
      <c r="AA19" s="45" t="str" cm="1">
        <f t="array" ref="AA19">IF($B19="","",_xlfn.IFS(NOT($AC19),"FAIL – "&amp;$BC19,NOT(ISNUMBER($AR19)),"FAIL – exceeds range",$U19&gt;Fac_VdLimit,"FAIL – volt drop",IF(ISNUMBER($X19),$X19,$V19)&lt;$B19*Fac_BrkSF,"FAIL – breaker &lt; Ib × SF",$S19&lt;IF(ISNUMBER($X19),$X19,$V19),"FAIL – CCC &lt; Ir setting",AND(ISNUMBER($Z19),$N19&gt;$Z19),"FAIL – short circuit",AND($AE19=2,$G19&gt;250),"CHECK – 1ph: use 230 V",AND($AE19=3,$G19&lt;300),"CHECK – 3ph: use 400 V",TRUE,"OK"))</f>
        <v/>
      </c>
      <c r="AB19" s="48"/>
      <c r="AC19" s="54" t="str">
        <f>IF($B19="","",IFERROR(AND(ISNUMBER($B19),$B19&gt;0,ISNUMBER($F19),$F19&gt;0,ISNUMBER($G19),$G19&gt;0,ISNUMBER(MATCH($E19,INDEX(Map_Install,0,1),0)),ISNUMBER(MATCH($K19,INDEX(Map_Cores,0,1),0)),OR($I19="PVC",$I19="XLPE",$I19="Rubber"),OR($J19="Copper",$J19="Aluminium"),OR($L19="",AND(ISNUMBER($L19),$L19&gt;0,$L19&lt;=1.5)),ISNUMBER(MATCH(VLOOKUP($E19,Map_Install,3,FALSE)&amp;"|"&amp;IF($M19="","Touching",$M19),Grp_Key,0)),OR($N19="",AND(ISNUMBER($N19),$N19&gt;0)),OR($O19="",AND(ISNUMBER($O19),$O19&gt;0,$O19&lt;=5)),ISNUMBER(MATCH($BB19,SANS_CCCkey,0)),COUNT(INDEX(IF($I19="Rubber",SANS_CCC_Rub,SANS_CCC),0,MATCH($BB19,SANS_CCCkey,0)))&gt;0,NOT(AND($I19="Rubber",$J19="Aluminium")),NOT(AND(OR($I19="Rubber",$BA19=TRUE),OR(VLOOKUP($E19,Map_Install,2,FALSE)="B",VLOOKUP($E19,Map_Install,2,FALSE)="D")))),FALSE))</f>
        <v/>
      </c>
      <c r="AD19" s="54" t="str">
        <f>IF(OR($B19="",$AC19&lt;&gt;TRUE),"",IF($BA19=TRUE,"F",VLOOKUP($E19,Map_Install,2,FALSE)))</f>
        <v/>
      </c>
      <c r="AE19" s="54" t="str">
        <f>IF(OR($B19="",$AC19&lt;&gt;TRUE),"",VLOOKUP($K19,Map_Cores,2,FALSE))</f>
        <v/>
      </c>
      <c r="AF19" s="54" t="str">
        <f>IF(OR($B19="",$AC19&lt;&gt;TRUE),"",MATCH($AD19&amp;"|"&amp;$AE19,SANS_CCCkey,0))</f>
        <v/>
      </c>
      <c r="AG19" s="54" t="str">
        <f>IF(OR($B19="",$AC19&lt;&gt;TRUE),"",IF($I19="XLPE",Fac_XLPE,1))</f>
        <v/>
      </c>
      <c r="AH19" s="54" t="str">
        <f>IF(OR($B19="",$AC19&lt;&gt;TRUE),"",IF($J19="Aluminium",Fac_Al,1))</f>
        <v/>
      </c>
      <c r="AI19" s="54" t="str">
        <f>IF(OR($B19="",$AC19&lt;&gt;TRUE),"",IF($L19="",Fac_Derate,$L19))</f>
        <v/>
      </c>
      <c r="AJ19" s="54" t="str">
        <f>IF(OR($B19="",$AC19&lt;&gt;TRUE),"",_xlfn.MINIFS(SANS_Breaker,SANS_Breaker,"&gt;="&amp;$B19*Fac_BrkSF))</f>
        <v/>
      </c>
      <c r="AK19" s="54" t="str">
        <f>IF(OR($B19="",$AC19&lt;&gt;TRUE),"",IF($AJ19=0,0,IFERROR(MIN(1,MAX(INDEX(Ir_Min,MATCH(INDEX(SANS_BrkType,MATCH($AJ19,SANS_Breaker,0)),Ir_Type,0)),CEILING(ROUND($B19*Fac_BrkSF/$AJ19,6),INDEX(Ir_Step,MATCH(INDEX(SANS_BrkType,MATCH($AJ19,SANS_Breaker,0)),Ir_Type,0)))))*$AJ19,$AJ19))/($AI19*$AG19*$AH19))</f>
        <v/>
      </c>
      <c r="AL19" s="54" t="str">
        <f>IF(OR($B19="",$AC19&lt;&gt;TRUE),"",IF($I19="Rubber",4,0)+IF($BA19=TRUE,2,0)+IF($AE19=2,1,2))</f>
        <v/>
      </c>
      <c r="AM19" s="54" t="str">
        <f>IF(OR($B19="",$AC19&lt;&gt;TRUE),"",IF($J19="Aluminium",Fac_AlmV,1))</f>
        <v/>
      </c>
      <c r="AN19" s="54" t="str">
        <f>IF(OR($B19="",$AC19&lt;&gt;TRUE),"",Fac_VdLimit*$G19*1000/($B19*$F19*$AM19))</f>
        <v/>
      </c>
      <c r="AO19" s="54" t="str">
        <f>IF(OR($B19="",$AC19&lt;&gt;TRUE),"",IF($AT19=0,0,MAX($AT19,$AU19)))</f>
        <v/>
      </c>
      <c r="AP19" s="54" t="str">
        <f>IF(OR(OR($B19="",$AC19&lt;&gt;TRUE),NOT(ISNUMBER($AV19))),"",_xlfn.MINIFS(SANS_Size,INDEX(IF($I19="Rubber",SANS_CCC_Rub,SANS_CCC),0,$AF19),"&gt;="&amp;$AK19/($AO19*$AV19),SANS_Size,"&lt;="&amp;Fac_MaxSize))</f>
        <v/>
      </c>
      <c r="AQ19" s="54" t="str">
        <f>IF(OR(OR($B19="",$AC19&lt;&gt;TRUE),NOT(ISNUMBER($AV19))),"",_xlfn.MINIFS(SANS_Size,INDEX(SANS_mV,0,$AL19),"&lt;="&amp;$AN19*$AO19,SANS_Size,"&lt;="&amp;Fac_MaxSize))</f>
        <v/>
      </c>
      <c r="AR19" s="54" t="str">
        <f>IF(OR($B19="",$AC19&lt;&gt;TRUE),"",IF(OR($AJ19=0,$AO19=0,$AO19&gt;Fac_MaxRuns,$AP19=0,$AQ19=0),NA(),MAX($AP19,$AQ19,$AZ19)))</f>
        <v/>
      </c>
      <c r="AS19" s="54" t="str">
        <f>IF(OR($B19="",$AC19&lt;&gt;TRUE),"",VLOOKUP($E19,Map_Install,3,FALSE)&amp;"|"&amp;IF($M19="","Touching",$M19))</f>
        <v/>
      </c>
      <c r="AT19" s="54" t="str">
        <f>IF(OR($B19="",$AC19&lt;&gt;TRUE),"",_xlfn.MINIFS(Grp_N,INDEX(Grp_Eff,MATCH($AS19,Grp_Key,0),0),"&gt;="&amp;$AK19/_xlfn.MAXIFS(INDEX(IF($I19="Rubber",SANS_CCC_Rub,SANS_CCC),0,$AF19),SANS_Size,"&lt;="&amp;Fac_MaxSize),Grp_N,"&lt;="&amp;Fac_MaxRuns))</f>
        <v/>
      </c>
      <c r="AU19" s="54" t="str">
        <f>IF(OR($B19="",$AC19&lt;&gt;TRUE),"",MAX(1,ROUNDUP(_xlfn.MINIFS(INDEX(SANS_mV,0,$AL19),SANS_Size,"&lt;="&amp;Fac_MaxSize)/$AN19,0)))</f>
        <v/>
      </c>
      <c r="AV19" s="54" t="str" cm="1">
        <f t="array" ref="AV19">IF(OR($B19="",$AC19&lt;&gt;TRUE),"",IFERROR(IF(OR($AO19=0,$AO19&gt;Fac_MaxRuns),"",INDEX(Grp_Cg,MATCH($AS19,Grp_Key,0),$AO19)),""))</f>
        <v/>
      </c>
      <c r="AW19" s="54" t="str">
        <f>IF(OR($B19="",$AC19&lt;&gt;TRUE),"",INDEX(SC_k,MATCH($J19&amp;"|"&amp;$I19,SC_kKey,0)))</f>
        <v/>
      </c>
      <c r="AX19" s="54" t="str">
        <f>IF(OR($B19="",$AC19&lt;&gt;TRUE),"",IF($O19="",IFERROR(INDEX(Dev_t,MATCH(INDEX(SANS_BrkType,MATCH($AJ19,SANS_Breaker,0)),Dev_Type,0)),0.4),$O19))</f>
        <v/>
      </c>
      <c r="AY19" s="54" t="str">
        <f>IF(OR(OR($B19="",$AC19&lt;&gt;TRUE),$N19=""),"",$N19*1000*SQRT($AX19)/$AW19)</f>
        <v/>
      </c>
      <c r="AZ19" s="54" t="str">
        <f>IF(OR($B19="",$AC19&lt;&gt;TRUE),"",IF($N19="",0,IF(_xlfn.MINIFS(SANS_Size,SANS_Size,"&gt;="&amp;$AY19,SANS_Size,"&lt;="&amp;Fac_MaxSize,INDEX(IF($I19="Rubber",SANS_CCC_Rub,SANS_CCC),0,$AF19),"&gt;0")=0,NA(),_xlfn.MINIFS(SANS_Size,SANS_Size,"&gt;="&amp;$AY19,SANS_Size,"&lt;="&amp;Fac_MaxSize,INDEX(IF($I19="Rubber",SANS_CCC_Rub,SANS_CCC),0,$AF19),"&gt;0"))))</f>
        <v/>
      </c>
      <c r="BA19" s="54" t="str">
        <f>IF($B19="","",IFERROR(INDEX(Map_Cores,MATCH($K19,INDEX(Map_Cores,0,1),0),3)=1,FALSE))</f>
        <v/>
      </c>
      <c r="BB19" s="54" t="str">
        <f>IF($B19="","",IFERROR(IF($BA19=TRUE,"F",VLOOKUP($E19,Map_Install,2,FALSE))&amp;"|"&amp;VLOOKUP($K19,Map_Cores,2,FALSE),""))</f>
        <v/>
      </c>
      <c r="BC19" s="54" t="str" cm="1">
        <f t="array" ref="BC19">IF(OR($B19="",$AC19=TRUE),"",IFERROR(_xlfn.IFS(AND($I19="Rubber",$J19="Aluminium"),"H07RN-F is copper only",AND($I19="Rubber",OR(VLOOKUP($E19,Map_Install,2,FALSE)="B",VLOOKUP($E19,Map_Install,2,FALSE)="D")),"rubber flex not rated in conduit/buried",AND($BA19=TRUE,OR(VLOOKUP($E19,Map_Install,2,FALSE)="B",VLOOKUP($E19,Map_Install,2,FALSE)="D")),"single-core: air/surface/tray only – use multicore",TRUE,"check inputs (spacing valid for install?)"),"check inputs"))</f>
        <v/>
      </c>
    </row>
    <row r="20" spans="1:55" ht="19.95" customHeight="1" x14ac:dyDescent="0.3">
      <c r="A20" s="47">
        <v>9</v>
      </c>
      <c r="B20" s="37"/>
      <c r="C20" s="37"/>
      <c r="D20" s="37"/>
      <c r="E20" s="37"/>
      <c r="F20" s="37"/>
      <c r="G20" s="38"/>
      <c r="H20" s="37"/>
      <c r="I20" s="37"/>
      <c r="J20" s="37"/>
      <c r="K20" s="37"/>
      <c r="L20" s="39"/>
      <c r="M20" s="39"/>
      <c r="N20" s="39"/>
      <c r="O20" s="39"/>
      <c r="P20" s="40" t="str">
        <f>IF($B20="","",IF(NOT($AC20),"",IF(ISNUMBER($AR20),$AO20,"")))</f>
        <v/>
      </c>
      <c r="Q20" s="41" t="str">
        <f>IF($B20="","",IF(NOT($AC20),"Check inputs",IFERROR($AR20,"Single-core / busbar")))</f>
        <v/>
      </c>
      <c r="R20" s="42" t="str">
        <f>IF(OR($B20="",NOT(ISNUMBER($AR20))),"",$AV20)</f>
        <v/>
      </c>
      <c r="S20" s="40" t="str" cm="1">
        <f t="array" ref="S20">IF(OR($B20="",NOT(ISNUMBER($AR20))),"",INDEX(IF($I20="Rubber",SANS_CCC_Rub,SANS_CCC),MATCH($AR20,SANS_Size,0),$AF20)*$AG20*$AH20*$AI20*$AV20*$AO20)</f>
        <v/>
      </c>
      <c r="T20" s="42" t="str">
        <f>IF($U20="","",$U20*$G20)</f>
        <v/>
      </c>
      <c r="U20" s="43" t="str" cm="1">
        <f t="array" ref="U20">IF(OR($B20="",NOT(ISNUMBER($AR20))),"",INDEX(SANS_mV,MATCH($AR20,SANS_Size,0),$AL20)*$AM20*($B20/$AO20)*$F20/1000/$G20)</f>
        <v/>
      </c>
      <c r="V20" s="40" t="str">
        <f>IF($B20="","",IF(NOT($AC20),"",IF($AJ20=0,"Exceeds range",$AJ20)))</f>
        <v/>
      </c>
      <c r="W20" s="44" t="str">
        <f>IF(OR($B20="",NOT(ISNUMBER($V20))),"",INDEX(SANS_BrkType,MATCH($V20,SANS_Breaker,0)))</f>
        <v/>
      </c>
      <c r="X20" s="44" t="str">
        <f>IF(OR($B20="",NOT(ISNUMBER($V20))),"",IFERROR(MIN(1,MAX(INDEX(Ir_Min,MATCH($W20,Ir_Type,0)),CEILING(ROUND($B20*Fac_BrkSF/$V20,6),INDEX(Ir_Step,MATCH($W20,Ir_Type,0)))))*$V20,$V20))</f>
        <v/>
      </c>
      <c r="Y20" s="45" t="str">
        <f>IF(NOT(ISNUMBER($AR20)),"",IF($AR20&lt;=16,$AR20,IF($AR20&lt;=35,16,_xlfn.MINIFS(SANS_Size,SANS_Size,"&gt;="&amp;$AR20/2))))</f>
        <v/>
      </c>
      <c r="Z20" s="46" t="str">
        <f>IF(OR($B20="",NOT(ISNUMBER($AR20))),"",IF($N20="","Not checked",$AW20*$AR20/SQRT($AX20)/1000))</f>
        <v/>
      </c>
      <c r="AA20" s="45" t="str" cm="1">
        <f t="array" ref="AA20">IF($B20="","",_xlfn.IFS(NOT($AC20),"FAIL – "&amp;$BC20,NOT(ISNUMBER($AR20)),"FAIL – exceeds range",$U20&gt;Fac_VdLimit,"FAIL – volt drop",IF(ISNUMBER($X20),$X20,$V20)&lt;$B20*Fac_BrkSF,"FAIL – breaker &lt; Ib × SF",$S20&lt;IF(ISNUMBER($X20),$X20,$V20),"FAIL – CCC &lt; Ir setting",AND(ISNUMBER($Z20),$N20&gt;$Z20),"FAIL – short circuit",AND($AE20=2,$G20&gt;250),"CHECK – 1ph: use 230 V",AND($AE20=3,$G20&lt;300),"CHECK – 3ph: use 400 V",TRUE,"OK"))</f>
        <v/>
      </c>
      <c r="AB20" s="48"/>
      <c r="AC20" s="54" t="str">
        <f>IF($B20="","",IFERROR(AND(ISNUMBER($B20),$B20&gt;0,ISNUMBER($F20),$F20&gt;0,ISNUMBER($G20),$G20&gt;0,ISNUMBER(MATCH($E20,INDEX(Map_Install,0,1),0)),ISNUMBER(MATCH($K20,INDEX(Map_Cores,0,1),0)),OR($I20="PVC",$I20="XLPE",$I20="Rubber"),OR($J20="Copper",$J20="Aluminium"),OR($L20="",AND(ISNUMBER($L20),$L20&gt;0,$L20&lt;=1.5)),ISNUMBER(MATCH(VLOOKUP($E20,Map_Install,3,FALSE)&amp;"|"&amp;IF($M20="","Touching",$M20),Grp_Key,0)),OR($N20="",AND(ISNUMBER($N20),$N20&gt;0)),OR($O20="",AND(ISNUMBER($O20),$O20&gt;0,$O20&lt;=5)),ISNUMBER(MATCH($BB20,SANS_CCCkey,0)),COUNT(INDEX(IF($I20="Rubber",SANS_CCC_Rub,SANS_CCC),0,MATCH($BB20,SANS_CCCkey,0)))&gt;0,NOT(AND($I20="Rubber",$J20="Aluminium")),NOT(AND(OR($I20="Rubber",$BA20=TRUE),OR(VLOOKUP($E20,Map_Install,2,FALSE)="B",VLOOKUP($E20,Map_Install,2,FALSE)="D")))),FALSE))</f>
        <v/>
      </c>
      <c r="AD20" s="54" t="str">
        <f>IF(OR($B20="",$AC20&lt;&gt;TRUE),"",IF($BA20=TRUE,"F",VLOOKUP($E20,Map_Install,2,FALSE)))</f>
        <v/>
      </c>
      <c r="AE20" s="54" t="str">
        <f>IF(OR($B20="",$AC20&lt;&gt;TRUE),"",VLOOKUP($K20,Map_Cores,2,FALSE))</f>
        <v/>
      </c>
      <c r="AF20" s="54" t="str">
        <f>IF(OR($B20="",$AC20&lt;&gt;TRUE),"",MATCH($AD20&amp;"|"&amp;$AE20,SANS_CCCkey,0))</f>
        <v/>
      </c>
      <c r="AG20" s="54" t="str">
        <f>IF(OR($B20="",$AC20&lt;&gt;TRUE),"",IF($I20="XLPE",Fac_XLPE,1))</f>
        <v/>
      </c>
      <c r="AH20" s="54" t="str">
        <f>IF(OR($B20="",$AC20&lt;&gt;TRUE),"",IF($J20="Aluminium",Fac_Al,1))</f>
        <v/>
      </c>
      <c r="AI20" s="54" t="str">
        <f>IF(OR($B20="",$AC20&lt;&gt;TRUE),"",IF($L20="",Fac_Derate,$L20))</f>
        <v/>
      </c>
      <c r="AJ20" s="54" t="str">
        <f>IF(OR($B20="",$AC20&lt;&gt;TRUE),"",_xlfn.MINIFS(SANS_Breaker,SANS_Breaker,"&gt;="&amp;$B20*Fac_BrkSF))</f>
        <v/>
      </c>
      <c r="AK20" s="54" t="str">
        <f>IF(OR($B20="",$AC20&lt;&gt;TRUE),"",IF($AJ20=0,0,IFERROR(MIN(1,MAX(INDEX(Ir_Min,MATCH(INDEX(SANS_BrkType,MATCH($AJ20,SANS_Breaker,0)),Ir_Type,0)),CEILING(ROUND($B20*Fac_BrkSF/$AJ20,6),INDEX(Ir_Step,MATCH(INDEX(SANS_BrkType,MATCH($AJ20,SANS_Breaker,0)),Ir_Type,0)))))*$AJ20,$AJ20))/($AI20*$AG20*$AH20))</f>
        <v/>
      </c>
      <c r="AL20" s="54" t="str">
        <f>IF(OR($B20="",$AC20&lt;&gt;TRUE),"",IF($I20="Rubber",4,0)+IF($BA20=TRUE,2,0)+IF($AE20=2,1,2))</f>
        <v/>
      </c>
      <c r="AM20" s="54" t="str">
        <f>IF(OR($B20="",$AC20&lt;&gt;TRUE),"",IF($J20="Aluminium",Fac_AlmV,1))</f>
        <v/>
      </c>
      <c r="AN20" s="54" t="str">
        <f>IF(OR($B20="",$AC20&lt;&gt;TRUE),"",Fac_VdLimit*$G20*1000/($B20*$F20*$AM20))</f>
        <v/>
      </c>
      <c r="AO20" s="54" t="str">
        <f>IF(OR($B20="",$AC20&lt;&gt;TRUE),"",IF($AT20=0,0,MAX($AT20,$AU20)))</f>
        <v/>
      </c>
      <c r="AP20" s="54" t="str">
        <f>IF(OR(OR($B20="",$AC20&lt;&gt;TRUE),NOT(ISNUMBER($AV20))),"",_xlfn.MINIFS(SANS_Size,INDEX(IF($I20="Rubber",SANS_CCC_Rub,SANS_CCC),0,$AF20),"&gt;="&amp;$AK20/($AO20*$AV20),SANS_Size,"&lt;="&amp;Fac_MaxSize))</f>
        <v/>
      </c>
      <c r="AQ20" s="54" t="str">
        <f>IF(OR(OR($B20="",$AC20&lt;&gt;TRUE),NOT(ISNUMBER($AV20))),"",_xlfn.MINIFS(SANS_Size,INDEX(SANS_mV,0,$AL20),"&lt;="&amp;$AN20*$AO20,SANS_Size,"&lt;="&amp;Fac_MaxSize))</f>
        <v/>
      </c>
      <c r="AR20" s="54" t="str">
        <f>IF(OR($B20="",$AC20&lt;&gt;TRUE),"",IF(OR($AJ20=0,$AO20=0,$AO20&gt;Fac_MaxRuns,$AP20=0,$AQ20=0),NA(),MAX($AP20,$AQ20,$AZ20)))</f>
        <v/>
      </c>
      <c r="AS20" s="54" t="str">
        <f>IF(OR($B20="",$AC20&lt;&gt;TRUE),"",VLOOKUP($E20,Map_Install,3,FALSE)&amp;"|"&amp;IF($M20="","Touching",$M20))</f>
        <v/>
      </c>
      <c r="AT20" s="54" t="str">
        <f>IF(OR($B20="",$AC20&lt;&gt;TRUE),"",_xlfn.MINIFS(Grp_N,INDEX(Grp_Eff,MATCH($AS20,Grp_Key,0),0),"&gt;="&amp;$AK20/_xlfn.MAXIFS(INDEX(IF($I20="Rubber",SANS_CCC_Rub,SANS_CCC),0,$AF20),SANS_Size,"&lt;="&amp;Fac_MaxSize),Grp_N,"&lt;="&amp;Fac_MaxRuns))</f>
        <v/>
      </c>
      <c r="AU20" s="54" t="str">
        <f>IF(OR($B20="",$AC20&lt;&gt;TRUE),"",MAX(1,ROUNDUP(_xlfn.MINIFS(INDEX(SANS_mV,0,$AL20),SANS_Size,"&lt;="&amp;Fac_MaxSize)/$AN20,0)))</f>
        <v/>
      </c>
      <c r="AV20" s="54" t="str" cm="1">
        <f t="array" ref="AV20">IF(OR($B20="",$AC20&lt;&gt;TRUE),"",IFERROR(IF(OR($AO20=0,$AO20&gt;Fac_MaxRuns),"",INDEX(Grp_Cg,MATCH($AS20,Grp_Key,0),$AO20)),""))</f>
        <v/>
      </c>
      <c r="AW20" s="54" t="str">
        <f>IF(OR($B20="",$AC20&lt;&gt;TRUE),"",INDEX(SC_k,MATCH($J20&amp;"|"&amp;$I20,SC_kKey,0)))</f>
        <v/>
      </c>
      <c r="AX20" s="54" t="str">
        <f>IF(OR($B20="",$AC20&lt;&gt;TRUE),"",IF($O20="",IFERROR(INDEX(Dev_t,MATCH(INDEX(SANS_BrkType,MATCH($AJ20,SANS_Breaker,0)),Dev_Type,0)),0.4),$O20))</f>
        <v/>
      </c>
      <c r="AY20" s="54" t="str">
        <f>IF(OR(OR($B20="",$AC20&lt;&gt;TRUE),$N20=""),"",$N20*1000*SQRT($AX20)/$AW20)</f>
        <v/>
      </c>
      <c r="AZ20" s="54" t="str">
        <f>IF(OR($B20="",$AC20&lt;&gt;TRUE),"",IF($N20="",0,IF(_xlfn.MINIFS(SANS_Size,SANS_Size,"&gt;="&amp;$AY20,SANS_Size,"&lt;="&amp;Fac_MaxSize,INDEX(IF($I20="Rubber",SANS_CCC_Rub,SANS_CCC),0,$AF20),"&gt;0")=0,NA(),_xlfn.MINIFS(SANS_Size,SANS_Size,"&gt;="&amp;$AY20,SANS_Size,"&lt;="&amp;Fac_MaxSize,INDEX(IF($I20="Rubber",SANS_CCC_Rub,SANS_CCC),0,$AF20),"&gt;0"))))</f>
        <v/>
      </c>
      <c r="BA20" s="54" t="str">
        <f>IF($B20="","",IFERROR(INDEX(Map_Cores,MATCH($K20,INDEX(Map_Cores,0,1),0),3)=1,FALSE))</f>
        <v/>
      </c>
      <c r="BB20" s="54" t="str">
        <f>IF($B20="","",IFERROR(IF($BA20=TRUE,"F",VLOOKUP($E20,Map_Install,2,FALSE))&amp;"|"&amp;VLOOKUP($K20,Map_Cores,2,FALSE),""))</f>
        <v/>
      </c>
      <c r="BC20" s="54" t="str" cm="1">
        <f t="array" ref="BC20">IF(OR($B20="",$AC20=TRUE),"",IFERROR(_xlfn.IFS(AND($I20="Rubber",$J20="Aluminium"),"H07RN-F is copper only",AND($I20="Rubber",OR(VLOOKUP($E20,Map_Install,2,FALSE)="B",VLOOKUP($E20,Map_Install,2,FALSE)="D")),"rubber flex not rated in conduit/buried",AND($BA20=TRUE,OR(VLOOKUP($E20,Map_Install,2,FALSE)="B",VLOOKUP($E20,Map_Install,2,FALSE)="D")),"single-core: air/surface/tray only – use multicore",TRUE,"check inputs (spacing valid for install?)"),"check inputs"))</f>
        <v/>
      </c>
    </row>
    <row r="21" spans="1:55" ht="19.95" customHeight="1" x14ac:dyDescent="0.3">
      <c r="A21" s="47">
        <v>10</v>
      </c>
      <c r="B21" s="37"/>
      <c r="C21" s="37"/>
      <c r="D21" s="37"/>
      <c r="E21" s="37"/>
      <c r="F21" s="37"/>
      <c r="G21" s="38"/>
      <c r="H21" s="37"/>
      <c r="I21" s="37"/>
      <c r="J21" s="37"/>
      <c r="K21" s="37"/>
      <c r="L21" s="39"/>
      <c r="M21" s="39"/>
      <c r="N21" s="39"/>
      <c r="O21" s="39"/>
      <c r="P21" s="40" t="str">
        <f>IF($B21="","",IF(NOT($AC21),"",IF(ISNUMBER($AR21),$AO21,"")))</f>
        <v/>
      </c>
      <c r="Q21" s="41" t="str">
        <f>IF($B21="","",IF(NOT($AC21),"Check inputs",IFERROR($AR21,"Single-core / busbar")))</f>
        <v/>
      </c>
      <c r="R21" s="42" t="str">
        <f>IF(OR($B21="",NOT(ISNUMBER($AR21))),"",$AV21)</f>
        <v/>
      </c>
      <c r="S21" s="40" t="str" cm="1">
        <f t="array" ref="S21">IF(OR($B21="",NOT(ISNUMBER($AR21))),"",INDEX(IF($I21="Rubber",SANS_CCC_Rub,SANS_CCC),MATCH($AR21,SANS_Size,0),$AF21)*$AG21*$AH21*$AI21*$AV21*$AO21)</f>
        <v/>
      </c>
      <c r="T21" s="42" t="str">
        <f>IF($U21="","",$U21*$G21)</f>
        <v/>
      </c>
      <c r="U21" s="43" t="str" cm="1">
        <f t="array" ref="U21">IF(OR($B21="",NOT(ISNUMBER($AR21))),"",INDEX(SANS_mV,MATCH($AR21,SANS_Size,0),$AL21)*$AM21*($B21/$AO21)*$F21/1000/$G21)</f>
        <v/>
      </c>
      <c r="V21" s="40" t="str">
        <f>IF($B21="","",IF(NOT($AC21),"",IF($AJ21=0,"Exceeds range",$AJ21)))</f>
        <v/>
      </c>
      <c r="W21" s="44" t="str">
        <f>IF(OR($B21="",NOT(ISNUMBER($V21))),"",INDEX(SANS_BrkType,MATCH($V21,SANS_Breaker,0)))</f>
        <v/>
      </c>
      <c r="X21" s="44" t="str">
        <f>IF(OR($B21="",NOT(ISNUMBER($V21))),"",IFERROR(MIN(1,MAX(INDEX(Ir_Min,MATCH($W21,Ir_Type,0)),CEILING(ROUND($B21*Fac_BrkSF/$V21,6),INDEX(Ir_Step,MATCH($W21,Ir_Type,0)))))*$V21,$V21))</f>
        <v/>
      </c>
      <c r="Y21" s="45" t="str">
        <f>IF(NOT(ISNUMBER($AR21)),"",IF($AR21&lt;=16,$AR21,IF($AR21&lt;=35,16,_xlfn.MINIFS(SANS_Size,SANS_Size,"&gt;="&amp;$AR21/2))))</f>
        <v/>
      </c>
      <c r="Z21" s="46" t="str">
        <f>IF(OR($B21="",NOT(ISNUMBER($AR21))),"",IF($N21="","Not checked",$AW21*$AR21/SQRT($AX21)/1000))</f>
        <v/>
      </c>
      <c r="AA21" s="45" t="str" cm="1">
        <f t="array" ref="AA21">IF($B21="","",_xlfn.IFS(NOT($AC21),"FAIL – "&amp;$BC21,NOT(ISNUMBER($AR21)),"FAIL – exceeds range",$U21&gt;Fac_VdLimit,"FAIL – volt drop",IF(ISNUMBER($X21),$X21,$V21)&lt;$B21*Fac_BrkSF,"FAIL – breaker &lt; Ib × SF",$S21&lt;IF(ISNUMBER($X21),$X21,$V21),"FAIL – CCC &lt; Ir setting",AND(ISNUMBER($Z21),$N21&gt;$Z21),"FAIL – short circuit",AND($AE21=2,$G21&gt;250),"CHECK – 1ph: use 230 V",AND($AE21=3,$G21&lt;300),"CHECK – 3ph: use 400 V",TRUE,"OK"))</f>
        <v/>
      </c>
      <c r="AB21" s="48"/>
      <c r="AC21" s="54" t="str">
        <f>IF($B21="","",IFERROR(AND(ISNUMBER($B21),$B21&gt;0,ISNUMBER($F21),$F21&gt;0,ISNUMBER($G21),$G21&gt;0,ISNUMBER(MATCH($E21,INDEX(Map_Install,0,1),0)),ISNUMBER(MATCH($K21,INDEX(Map_Cores,0,1),0)),OR($I21="PVC",$I21="XLPE",$I21="Rubber"),OR($J21="Copper",$J21="Aluminium"),OR($L21="",AND(ISNUMBER($L21),$L21&gt;0,$L21&lt;=1.5)),ISNUMBER(MATCH(VLOOKUP($E21,Map_Install,3,FALSE)&amp;"|"&amp;IF($M21="","Touching",$M21),Grp_Key,0)),OR($N21="",AND(ISNUMBER($N21),$N21&gt;0)),OR($O21="",AND(ISNUMBER($O21),$O21&gt;0,$O21&lt;=5)),ISNUMBER(MATCH($BB21,SANS_CCCkey,0)),COUNT(INDEX(IF($I21="Rubber",SANS_CCC_Rub,SANS_CCC),0,MATCH($BB21,SANS_CCCkey,0)))&gt;0,NOT(AND($I21="Rubber",$J21="Aluminium")),NOT(AND(OR($I21="Rubber",$BA21=TRUE),OR(VLOOKUP($E21,Map_Install,2,FALSE)="B",VLOOKUP($E21,Map_Install,2,FALSE)="D")))),FALSE))</f>
        <v/>
      </c>
      <c r="AD21" s="54" t="str">
        <f>IF(OR($B21="",$AC21&lt;&gt;TRUE),"",IF($BA21=TRUE,"F",VLOOKUP($E21,Map_Install,2,FALSE)))</f>
        <v/>
      </c>
      <c r="AE21" s="54" t="str">
        <f>IF(OR($B21="",$AC21&lt;&gt;TRUE),"",VLOOKUP($K21,Map_Cores,2,FALSE))</f>
        <v/>
      </c>
      <c r="AF21" s="54" t="str">
        <f>IF(OR($B21="",$AC21&lt;&gt;TRUE),"",MATCH($AD21&amp;"|"&amp;$AE21,SANS_CCCkey,0))</f>
        <v/>
      </c>
      <c r="AG21" s="54" t="str">
        <f>IF(OR($B21="",$AC21&lt;&gt;TRUE),"",IF($I21="XLPE",Fac_XLPE,1))</f>
        <v/>
      </c>
      <c r="AH21" s="54" t="str">
        <f>IF(OR($B21="",$AC21&lt;&gt;TRUE),"",IF($J21="Aluminium",Fac_Al,1))</f>
        <v/>
      </c>
      <c r="AI21" s="54" t="str">
        <f>IF(OR($B21="",$AC21&lt;&gt;TRUE),"",IF($L21="",Fac_Derate,$L21))</f>
        <v/>
      </c>
      <c r="AJ21" s="54" t="str">
        <f>IF(OR($B21="",$AC21&lt;&gt;TRUE),"",_xlfn.MINIFS(SANS_Breaker,SANS_Breaker,"&gt;="&amp;$B21*Fac_BrkSF))</f>
        <v/>
      </c>
      <c r="AK21" s="54" t="str">
        <f>IF(OR($B21="",$AC21&lt;&gt;TRUE),"",IF($AJ21=0,0,IFERROR(MIN(1,MAX(INDEX(Ir_Min,MATCH(INDEX(SANS_BrkType,MATCH($AJ21,SANS_Breaker,0)),Ir_Type,0)),CEILING(ROUND($B21*Fac_BrkSF/$AJ21,6),INDEX(Ir_Step,MATCH(INDEX(SANS_BrkType,MATCH($AJ21,SANS_Breaker,0)),Ir_Type,0)))))*$AJ21,$AJ21))/($AI21*$AG21*$AH21))</f>
        <v/>
      </c>
      <c r="AL21" s="54" t="str">
        <f>IF(OR($B21="",$AC21&lt;&gt;TRUE),"",IF($I21="Rubber",4,0)+IF($BA21=TRUE,2,0)+IF($AE21=2,1,2))</f>
        <v/>
      </c>
      <c r="AM21" s="54" t="str">
        <f>IF(OR($B21="",$AC21&lt;&gt;TRUE),"",IF($J21="Aluminium",Fac_AlmV,1))</f>
        <v/>
      </c>
      <c r="AN21" s="54" t="str">
        <f>IF(OR($B21="",$AC21&lt;&gt;TRUE),"",Fac_VdLimit*$G21*1000/($B21*$F21*$AM21))</f>
        <v/>
      </c>
      <c r="AO21" s="54" t="str">
        <f>IF(OR($B21="",$AC21&lt;&gt;TRUE),"",IF($AT21=0,0,MAX($AT21,$AU21)))</f>
        <v/>
      </c>
      <c r="AP21" s="54" t="str">
        <f>IF(OR(OR($B21="",$AC21&lt;&gt;TRUE),NOT(ISNUMBER($AV21))),"",_xlfn.MINIFS(SANS_Size,INDEX(IF($I21="Rubber",SANS_CCC_Rub,SANS_CCC),0,$AF21),"&gt;="&amp;$AK21/($AO21*$AV21),SANS_Size,"&lt;="&amp;Fac_MaxSize))</f>
        <v/>
      </c>
      <c r="AQ21" s="54" t="str">
        <f>IF(OR(OR($B21="",$AC21&lt;&gt;TRUE),NOT(ISNUMBER($AV21))),"",_xlfn.MINIFS(SANS_Size,INDEX(SANS_mV,0,$AL21),"&lt;="&amp;$AN21*$AO21,SANS_Size,"&lt;="&amp;Fac_MaxSize))</f>
        <v/>
      </c>
      <c r="AR21" s="54" t="str">
        <f>IF(OR($B21="",$AC21&lt;&gt;TRUE),"",IF(OR($AJ21=0,$AO21=0,$AO21&gt;Fac_MaxRuns,$AP21=0,$AQ21=0),NA(),MAX($AP21,$AQ21,$AZ21)))</f>
        <v/>
      </c>
      <c r="AS21" s="54" t="str">
        <f>IF(OR($B21="",$AC21&lt;&gt;TRUE),"",VLOOKUP($E21,Map_Install,3,FALSE)&amp;"|"&amp;IF($M21="","Touching",$M21))</f>
        <v/>
      </c>
      <c r="AT21" s="54" t="str">
        <f>IF(OR($B21="",$AC21&lt;&gt;TRUE),"",_xlfn.MINIFS(Grp_N,INDEX(Grp_Eff,MATCH($AS21,Grp_Key,0),0),"&gt;="&amp;$AK21/_xlfn.MAXIFS(INDEX(IF($I21="Rubber",SANS_CCC_Rub,SANS_CCC),0,$AF21),SANS_Size,"&lt;="&amp;Fac_MaxSize),Grp_N,"&lt;="&amp;Fac_MaxRuns))</f>
        <v/>
      </c>
      <c r="AU21" s="54" t="str">
        <f>IF(OR($B21="",$AC21&lt;&gt;TRUE),"",MAX(1,ROUNDUP(_xlfn.MINIFS(INDEX(SANS_mV,0,$AL21),SANS_Size,"&lt;="&amp;Fac_MaxSize)/$AN21,0)))</f>
        <v/>
      </c>
      <c r="AV21" s="54" t="str" cm="1">
        <f t="array" ref="AV21">IF(OR($B21="",$AC21&lt;&gt;TRUE),"",IFERROR(IF(OR($AO21=0,$AO21&gt;Fac_MaxRuns),"",INDEX(Grp_Cg,MATCH($AS21,Grp_Key,0),$AO21)),""))</f>
        <v/>
      </c>
      <c r="AW21" s="54" t="str">
        <f>IF(OR($B21="",$AC21&lt;&gt;TRUE),"",INDEX(SC_k,MATCH($J21&amp;"|"&amp;$I21,SC_kKey,0)))</f>
        <v/>
      </c>
      <c r="AX21" s="54" t="str">
        <f>IF(OR($B21="",$AC21&lt;&gt;TRUE),"",IF($O21="",IFERROR(INDEX(Dev_t,MATCH(INDEX(SANS_BrkType,MATCH($AJ21,SANS_Breaker,0)),Dev_Type,0)),0.4),$O21))</f>
        <v/>
      </c>
      <c r="AY21" s="54" t="str">
        <f>IF(OR(OR($B21="",$AC21&lt;&gt;TRUE),$N21=""),"",$N21*1000*SQRT($AX21)/$AW21)</f>
        <v/>
      </c>
      <c r="AZ21" s="54" t="str">
        <f>IF(OR($B21="",$AC21&lt;&gt;TRUE),"",IF($N21="",0,IF(_xlfn.MINIFS(SANS_Size,SANS_Size,"&gt;="&amp;$AY21,SANS_Size,"&lt;="&amp;Fac_MaxSize,INDEX(IF($I21="Rubber",SANS_CCC_Rub,SANS_CCC),0,$AF21),"&gt;0")=0,NA(),_xlfn.MINIFS(SANS_Size,SANS_Size,"&gt;="&amp;$AY21,SANS_Size,"&lt;="&amp;Fac_MaxSize,INDEX(IF($I21="Rubber",SANS_CCC_Rub,SANS_CCC),0,$AF21),"&gt;0"))))</f>
        <v/>
      </c>
      <c r="BA21" s="54" t="str">
        <f>IF($B21="","",IFERROR(INDEX(Map_Cores,MATCH($K21,INDEX(Map_Cores,0,1),0),3)=1,FALSE))</f>
        <v/>
      </c>
      <c r="BB21" s="54" t="str">
        <f>IF($B21="","",IFERROR(IF($BA21=TRUE,"F",VLOOKUP($E21,Map_Install,2,FALSE))&amp;"|"&amp;VLOOKUP($K21,Map_Cores,2,FALSE),""))</f>
        <v/>
      </c>
      <c r="BC21" s="54" t="str" cm="1">
        <f t="array" ref="BC21">IF(OR($B21="",$AC21=TRUE),"",IFERROR(_xlfn.IFS(AND($I21="Rubber",$J21="Aluminium"),"H07RN-F is copper only",AND($I21="Rubber",OR(VLOOKUP($E21,Map_Install,2,FALSE)="B",VLOOKUP($E21,Map_Install,2,FALSE)="D")),"rubber flex not rated in conduit/buried",AND($BA21=TRUE,OR(VLOOKUP($E21,Map_Install,2,FALSE)="B",VLOOKUP($E21,Map_Install,2,FALSE)="D")),"single-core: air/surface/tray only – use multicore",TRUE,"check inputs (spacing valid for install?)"),"check inputs"))</f>
        <v/>
      </c>
    </row>
    <row r="23" spans="1:55" ht="15.6" x14ac:dyDescent="0.3">
      <c r="A23" s="55" t="s">
        <v>59</v>
      </c>
    </row>
    <row r="24" spans="1:55" x14ac:dyDescent="0.3">
      <c r="A24" s="8" t="s">
        <v>234</v>
      </c>
    </row>
    <row r="25" spans="1:55" x14ac:dyDescent="0.3">
      <c r="A25" s="8" t="s">
        <v>245</v>
      </c>
    </row>
    <row r="26" spans="1:55" x14ac:dyDescent="0.3">
      <c r="A26" s="8" t="s">
        <v>83</v>
      </c>
    </row>
    <row r="27" spans="1:55" x14ac:dyDescent="0.3">
      <c r="A27" s="8" t="s">
        <v>192</v>
      </c>
    </row>
    <row r="28" spans="1:55" x14ac:dyDescent="0.3">
      <c r="A28" s="8" t="s">
        <v>193</v>
      </c>
    </row>
    <row r="29" spans="1:55" x14ac:dyDescent="0.3">
      <c r="A29" s="8" t="s">
        <v>194</v>
      </c>
    </row>
    <row r="30" spans="1:55" x14ac:dyDescent="0.3">
      <c r="A30" s="8" t="s">
        <v>195</v>
      </c>
    </row>
    <row r="31" spans="1:55" x14ac:dyDescent="0.3">
      <c r="A31" s="8" t="s">
        <v>208</v>
      </c>
    </row>
    <row r="32" spans="1:55" x14ac:dyDescent="0.3">
      <c r="A32" s="8" t="s">
        <v>246</v>
      </c>
    </row>
    <row r="33" spans="1:1" x14ac:dyDescent="0.3">
      <c r="A33" s="8" t="s">
        <v>196</v>
      </c>
    </row>
    <row r="34" spans="1:1" x14ac:dyDescent="0.3">
      <c r="A34" s="8" t="s">
        <v>235</v>
      </c>
    </row>
  </sheetData>
  <mergeCells count="30">
    <mergeCell ref="A8:AA8"/>
    <mergeCell ref="P5:Q5"/>
    <mergeCell ref="R5:U5"/>
    <mergeCell ref="V5:W5"/>
    <mergeCell ref="X5:AA5"/>
    <mergeCell ref="P6:Q6"/>
    <mergeCell ref="R6:U6"/>
    <mergeCell ref="V6:W6"/>
    <mergeCell ref="X6:AA6"/>
    <mergeCell ref="X3:AA3"/>
    <mergeCell ref="P4:Q4"/>
    <mergeCell ref="R4:U4"/>
    <mergeCell ref="V4:W4"/>
    <mergeCell ref="X4:AA4"/>
    <mergeCell ref="B10:L10"/>
    <mergeCell ref="P10:AA10"/>
    <mergeCell ref="AC10:AR10"/>
    <mergeCell ref="A1:C6"/>
    <mergeCell ref="D1:O6"/>
    <mergeCell ref="P1:Q1"/>
    <mergeCell ref="R1:U1"/>
    <mergeCell ref="V1:W1"/>
    <mergeCell ref="X1:AA1"/>
    <mergeCell ref="P2:Q2"/>
    <mergeCell ref="R2:U2"/>
    <mergeCell ref="V2:W2"/>
    <mergeCell ref="X2:AA2"/>
    <mergeCell ref="P3:Q3"/>
    <mergeCell ref="R3:U3"/>
    <mergeCell ref="V3:W3"/>
  </mergeCells>
  <conditionalFormatting sqref="Q12:R21">
    <cfRule type="expression" dxfId="10" priority="6">
      <formula>AND($Q12&lt;&gt;"",ISTEXT($Q12))</formula>
    </cfRule>
  </conditionalFormatting>
  <conditionalFormatting sqref="U12:U21">
    <cfRule type="expression" dxfId="9" priority="4">
      <formula>AND(ISNUMBER($U12),$U12&gt;Fac_VdLimit)</formula>
    </cfRule>
  </conditionalFormatting>
  <conditionalFormatting sqref="V12:X21">
    <cfRule type="expression" dxfId="8" priority="7">
      <formula>AND(ISNUMBER($V12),OR($V12&lt;=$B12,AND(ISNUMBER($S12),$V12&gt;=$S12)))</formula>
    </cfRule>
  </conditionalFormatting>
  <conditionalFormatting sqref="AA12:AA21">
    <cfRule type="expression" dxfId="7" priority="1">
      <formula>LEFT($AA12,4)="FAIL"</formula>
    </cfRule>
    <cfRule type="expression" dxfId="6" priority="2">
      <formula>LEFT($AA12,5)="CHECK"</formula>
    </cfRule>
    <cfRule type="expression" dxfId="5" priority="3">
      <formula>$AA12="OK"</formula>
    </cfRule>
  </conditionalFormatting>
  <dataValidations count="12">
    <dataValidation type="list" allowBlank="1" showInputMessage="1" showErrorMessage="1" sqref="E12:E21" xr:uid="{B2200F48-8D0D-4718-BC3F-DBEE90ED6187}">
      <formula1>"Free Air,On Tray/Ladder,Clipped Direct,Surface,In Conduit,In Trunking,Buried,In Ground Duct"</formula1>
    </dataValidation>
    <dataValidation type="list" allowBlank="1" showInputMessage="1" showErrorMessage="1" sqref="H12:H21" xr:uid="{FB8F2977-799E-46BB-BBA4-D2EB420B0C97}">
      <formula1>"Armoured,Unarmoured"</formula1>
    </dataValidation>
    <dataValidation type="list" allowBlank="1" showInputMessage="1" showErrorMessage="1" sqref="J12:J21" xr:uid="{4979AE60-EA43-473D-935F-FCB82B6DD0E8}">
      <formula1>"Copper,Aluminium"</formula1>
    </dataValidation>
    <dataValidation type="decimal" operator="greaterThanOrEqual" allowBlank="1" showInputMessage="1" showErrorMessage="1" errorTitle="Design current" error="Enter design current Ib in amps (&gt; 0)." promptTitle="Design current" prompt="Enter design current Ib in amps (&gt; 0)." sqref="B12:B21" xr:uid="{806EA9B8-AD79-4FFE-8CE7-CD16D954E164}">
      <formula1>0.1</formula1>
    </dataValidation>
    <dataValidation type="decimal" operator="greaterThanOrEqual" allowBlank="1" showInputMessage="1" showErrorMessage="1" errorTitle="Cable distance" error="Enter route length in metres (&gt; 0)." promptTitle="Cable distance" prompt="Enter route length in metres (&gt; 0)." sqref="F12:F21" xr:uid="{B4EC4E58-40B7-45D5-863A-21C1514B7DB0}">
      <formula1>0.1</formula1>
    </dataValidation>
    <dataValidation type="whole" allowBlank="1" showInputMessage="1" showErrorMessage="1" errorTitle="System voltage" error="Use 230 V for 2-core (1ph), 400 V for 3/4-core (3ph)." promptTitle="System voltage" prompt="Use 230 V for 2-core (1ph), 400 V for 3/4-core (3ph)." sqref="G12:G21" xr:uid="{93D44F92-6AC9-4EAB-9D5A-2820A046BD20}">
      <formula1>24</formula1>
      <formula2>1000</formula2>
    </dataValidation>
    <dataValidation type="decimal" allowBlank="1" showInputMessage="1" showErrorMessage="1" errorTitle="Derating" error="Combined Ca x Cg factor (0.1–1.5). Leave blank to use the default on 'SANS Data'." promptTitle="Derating" prompt="Combined Ca x Cg factor (0.1–1.5). Leave blank to use the default on 'SANS Data'." sqref="L12:L21" xr:uid="{0EDA9B36-2603-4AED-BB44-5C8CCE4002A6}">
      <formula1>0.1</formula1>
      <formula2>1.5</formula2>
    </dataValidation>
    <dataValidation type="list" allowBlank="1" showInputMessage="1" showErrorMessage="1" sqref="I12:I21" xr:uid="{54E068E2-E471-4872-AD9E-8A8B8DB7FD03}">
      <formula1>"PVC,XLPE,Rubber"</formula1>
    </dataValidation>
    <dataValidation type="list" allowBlank="1" showInputMessage="1" showErrorMessage="1" errorTitle="Spacing" error="Choose a spacing from the list. In air: Touching or 2 cable dia. Buried: Touching/1 cable dia/0.125/0.25/0.5 m. Ducts: Touching/0.25/0.5/1.0 m." sqref="M12:M21" xr:uid="{D420FD5B-1B4C-4BD0-BF10-F4FBEB6BE344}">
      <formula1>List_Spacing</formula1>
    </dataValidation>
    <dataValidation type="decimal" allowBlank="1" showInputMessage="1" showErrorMessage="1" sqref="N12:N21" xr:uid="{B51B63F5-51EB-4EF3-A66D-0CEEF3513B61}">
      <formula1>0.1</formula1>
      <formula2>200</formula2>
    </dataValidation>
    <dataValidation type="decimal" allowBlank="1" showInputMessage="1" showErrorMessage="1" sqref="O12:O21" xr:uid="{FF2BC6A9-6B04-4A83-A512-6D77DCAE5AD9}">
      <formula1>0.01</formula1>
      <formula2>5</formula2>
    </dataValidation>
    <dataValidation type="list" allowBlank="1" showInputMessage="1" showErrorMessage="1" sqref="K12:K21" xr:uid="{D67AA065-16E9-4E56-8224-90F6C88AD2CF}">
      <formula1>"Two,Three,Four,Single-core (1ph),Single-core (3ph trefoil)"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8031-73C5-4AA8-AA8F-2A070BED8405}">
  <dimension ref="A1:AN33"/>
  <sheetViews>
    <sheetView showGridLines="0" zoomScale="85" zoomScaleNormal="85" workbookViewId="0">
      <pane ySplit="11" topLeftCell="A12" activePane="bottomLeft" state="frozen"/>
      <selection pane="bottomLeft" activeCell="L18" sqref="L18"/>
    </sheetView>
  </sheetViews>
  <sheetFormatPr defaultRowHeight="14.4" outlineLevelCol="3" x14ac:dyDescent="0.3"/>
  <cols>
    <col min="1" max="1" width="5.21875" customWidth="1"/>
    <col min="2" max="2" width="15.77734375" customWidth="1"/>
    <col min="3" max="4" width="14.77734375" customWidth="1"/>
    <col min="5" max="5" width="23.109375" customWidth="1"/>
    <col min="6" max="8" width="14.77734375" customWidth="1"/>
    <col min="9" max="9" width="17.5546875" customWidth="1"/>
    <col min="10" max="17" width="14.77734375" customWidth="1"/>
    <col min="18" max="18" width="14.77734375" customWidth="1" outlineLevel="2"/>
    <col min="19" max="19" width="29.6640625" customWidth="1" outlineLevel="2"/>
    <col min="20" max="20" width="2.77734375" customWidth="1" outlineLevel="2"/>
    <col min="21" max="29" width="10.21875" customWidth="1" outlineLevel="3"/>
    <col min="30" max="38" width="10.21875" customWidth="1" outlineLevel="1"/>
    <col min="39" max="40" width="8.88671875" outlineLevel="1"/>
  </cols>
  <sheetData>
    <row r="1" spans="1:40" ht="24" customHeight="1" x14ac:dyDescent="0.3">
      <c r="A1" s="20"/>
      <c r="B1" s="20"/>
      <c r="C1" s="20"/>
      <c r="D1" s="21" t="str">
        <f>UPPER(IF('Cables Sizes'!$R$1="","Project Name",'Cables Sizes'!$R$1))&amp;CHAR(10)&amp;"DC POWER CABLE SCHEDULE"</f>
        <v>PROJECT NAME
DC POWER CABLE SCHEDULE</v>
      </c>
      <c r="E1" s="21"/>
      <c r="F1" s="21"/>
      <c r="G1" s="21"/>
      <c r="H1" s="21"/>
      <c r="I1" s="21"/>
      <c r="J1" s="21"/>
      <c r="K1" s="22" t="s">
        <v>72</v>
      </c>
      <c r="L1" s="29"/>
      <c r="M1" s="31" t="str">
        <f>IF('Cables Sizes'!$R$1="","",'Cables Sizes'!$R$1)</f>
        <v/>
      </c>
      <c r="N1" s="31"/>
      <c r="O1" s="31"/>
      <c r="P1" s="22" t="s">
        <v>74</v>
      </c>
      <c r="Q1" s="29"/>
      <c r="R1" s="32" t="str">
        <f>IF('Cables Sizes'!$X$1="","",'Cables Sizes'!$X$1)</f>
        <v/>
      </c>
      <c r="S1" s="31"/>
    </row>
    <row r="2" spans="1:40" ht="24" customHeight="1" x14ac:dyDescent="0.3">
      <c r="A2" s="20"/>
      <c r="B2" s="20"/>
      <c r="C2" s="20"/>
      <c r="D2" s="21"/>
      <c r="E2" s="21"/>
      <c r="F2" s="21"/>
      <c r="G2" s="21"/>
      <c r="H2" s="21"/>
      <c r="I2" s="21"/>
      <c r="J2" s="21"/>
      <c r="K2" s="22" t="s">
        <v>73</v>
      </c>
      <c r="L2" s="29"/>
      <c r="M2" s="31" t="str">
        <f>IF('Cables Sizes'!$R$2="","",'Cables Sizes'!$R$2)</f>
        <v/>
      </c>
      <c r="N2" s="31"/>
      <c r="O2" s="31"/>
      <c r="P2" s="22" t="s">
        <v>247</v>
      </c>
      <c r="Q2" s="29"/>
      <c r="R2" s="31" t="str">
        <f>IF('Cables Sizes'!$X$2="","",'Cables Sizes'!$X$2)</f>
        <v>00</v>
      </c>
      <c r="S2" s="31"/>
    </row>
    <row r="3" spans="1:40" ht="24" customHeight="1" x14ac:dyDescent="0.3">
      <c r="A3" s="20"/>
      <c r="B3" s="20"/>
      <c r="C3" s="20"/>
      <c r="D3" s="21"/>
      <c r="E3" s="21"/>
      <c r="F3" s="21"/>
      <c r="G3" s="21"/>
      <c r="H3" s="21"/>
      <c r="I3" s="21"/>
      <c r="J3" s="21"/>
      <c r="K3" s="22" t="s">
        <v>248</v>
      </c>
      <c r="L3" s="29"/>
      <c r="M3" s="31" t="str">
        <f>IF('Cables Sizes'!$R$3="","",'Cables Sizes'!$R$3)</f>
        <v/>
      </c>
      <c r="N3" s="31"/>
      <c r="O3" s="31"/>
      <c r="P3" s="22" t="s">
        <v>249</v>
      </c>
      <c r="Q3" s="29"/>
      <c r="R3" s="31" t="str">
        <f>IF('Cables Sizes'!$X$3="","",'Cables Sizes'!$X$3)</f>
        <v/>
      </c>
      <c r="S3" s="31"/>
    </row>
    <row r="4" spans="1:40" ht="24" customHeight="1" x14ac:dyDescent="0.3">
      <c r="A4" s="20"/>
      <c r="B4" s="20"/>
      <c r="C4" s="20"/>
      <c r="D4" s="21"/>
      <c r="E4" s="21"/>
      <c r="F4" s="21"/>
      <c r="G4" s="21"/>
      <c r="H4" s="21"/>
      <c r="I4" s="21"/>
      <c r="J4" s="21"/>
      <c r="K4" s="30" t="s">
        <v>75</v>
      </c>
      <c r="L4" s="30"/>
      <c r="M4" s="31" t="str">
        <f>IF('Cables Sizes'!$R$4="","",'Cables Sizes'!$R$4)</f>
        <v/>
      </c>
      <c r="N4" s="31"/>
      <c r="O4" s="31"/>
      <c r="P4" s="30" t="s">
        <v>250</v>
      </c>
      <c r="Q4" s="30"/>
      <c r="R4" s="31" t="str">
        <f>IF('Cables Sizes'!$X$4="","",'Cables Sizes'!$X$4)</f>
        <v/>
      </c>
      <c r="S4" s="31"/>
    </row>
    <row r="5" spans="1:40" ht="24" customHeight="1" x14ac:dyDescent="0.3">
      <c r="A5" s="20"/>
      <c r="B5" s="20"/>
      <c r="C5" s="20"/>
      <c r="D5" s="21"/>
      <c r="E5" s="21"/>
      <c r="F5" s="21"/>
      <c r="G5" s="21"/>
      <c r="H5" s="21"/>
      <c r="I5" s="21"/>
      <c r="J5" s="21"/>
      <c r="K5" s="30" t="s">
        <v>76</v>
      </c>
      <c r="L5" s="30"/>
      <c r="M5" s="31" t="str">
        <f>IF('Cables Sizes'!$R$5="","",'Cables Sizes'!$R$5)</f>
        <v/>
      </c>
      <c r="N5" s="31"/>
      <c r="O5" s="31"/>
      <c r="P5" s="30" t="s">
        <v>251</v>
      </c>
      <c r="Q5" s="30"/>
      <c r="R5" s="31" t="str">
        <f>IF('Cables Sizes'!$X$5="","",'Cables Sizes'!$X$5)</f>
        <v/>
      </c>
      <c r="S5" s="31"/>
    </row>
    <row r="6" spans="1:40" ht="24" customHeight="1" x14ac:dyDescent="0.3">
      <c r="A6" s="20"/>
      <c r="B6" s="20"/>
      <c r="C6" s="20"/>
      <c r="D6" s="21"/>
      <c r="E6" s="21"/>
      <c r="F6" s="21"/>
      <c r="G6" s="21"/>
      <c r="H6" s="21"/>
      <c r="I6" s="21"/>
      <c r="J6" s="21"/>
      <c r="K6" s="30" t="s">
        <v>252</v>
      </c>
      <c r="L6" s="30"/>
      <c r="M6" s="31" t="str">
        <f>IF('Cables Sizes'!$R$6="","",'Cables Sizes'!$R$6)</f>
        <v/>
      </c>
      <c r="N6" s="31"/>
      <c r="O6" s="31"/>
      <c r="P6" s="30" t="s">
        <v>253</v>
      </c>
      <c r="Q6" s="30"/>
      <c r="R6" s="31" t="str">
        <f>IF('Cables Sizes'!$X$6="","",'Cables Sizes'!$X$6)</f>
        <v/>
      </c>
      <c r="S6" s="31"/>
    </row>
    <row r="7" spans="1:40" ht="6" customHeight="1" x14ac:dyDescent="0.3"/>
    <row r="8" spans="1:40" ht="30" customHeight="1" x14ac:dyDescent="0.3">
      <c r="A8" s="27" t="s">
        <v>256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8"/>
    </row>
    <row r="9" spans="1:40" ht="6" customHeight="1" x14ac:dyDescent="0.3"/>
    <row r="10" spans="1:40" ht="24" customHeight="1" x14ac:dyDescent="0.3">
      <c r="A10" s="33"/>
      <c r="B10" s="34" t="s">
        <v>128</v>
      </c>
      <c r="C10" s="34"/>
      <c r="D10" s="34"/>
      <c r="E10" s="34"/>
      <c r="F10" s="34"/>
      <c r="G10" s="34"/>
      <c r="H10" s="34"/>
      <c r="I10" s="34"/>
      <c r="J10" s="34"/>
      <c r="K10" s="34" t="s">
        <v>129</v>
      </c>
      <c r="L10" s="34"/>
      <c r="M10" s="34"/>
      <c r="N10" s="34"/>
      <c r="O10" s="34"/>
      <c r="P10" s="34"/>
      <c r="Q10" s="34"/>
      <c r="R10" s="34"/>
      <c r="S10" s="34"/>
      <c r="T10" s="16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</row>
    <row r="11" spans="1:40" ht="60" customHeight="1" x14ac:dyDescent="0.3">
      <c r="A11" s="35" t="s">
        <v>2</v>
      </c>
      <c r="B11" s="35" t="s">
        <v>93</v>
      </c>
      <c r="C11" s="35" t="s">
        <v>112</v>
      </c>
      <c r="D11" s="35" t="s">
        <v>113</v>
      </c>
      <c r="E11" s="35" t="s">
        <v>80</v>
      </c>
      <c r="F11" s="35" t="s">
        <v>114</v>
      </c>
      <c r="G11" s="35" t="s">
        <v>137</v>
      </c>
      <c r="H11" s="35" t="s">
        <v>138</v>
      </c>
      <c r="I11" s="35" t="s">
        <v>139</v>
      </c>
      <c r="J11" s="35" t="s">
        <v>115</v>
      </c>
      <c r="K11" s="35" t="s">
        <v>140</v>
      </c>
      <c r="L11" s="35" t="s">
        <v>77</v>
      </c>
      <c r="M11" s="35" t="s">
        <v>63</v>
      </c>
      <c r="N11" s="35" t="s">
        <v>43</v>
      </c>
      <c r="O11" s="35" t="s">
        <v>64</v>
      </c>
      <c r="P11" s="35" t="s">
        <v>65</v>
      </c>
      <c r="Q11" s="35" t="s">
        <v>44</v>
      </c>
      <c r="R11" s="35" t="s">
        <v>145</v>
      </c>
      <c r="S11" s="35" t="s">
        <v>67</v>
      </c>
      <c r="T11" s="11"/>
      <c r="U11" s="53" t="s">
        <v>68</v>
      </c>
      <c r="V11" s="53" t="s">
        <v>116</v>
      </c>
      <c r="W11" s="53" t="s">
        <v>117</v>
      </c>
      <c r="X11" s="53" t="s">
        <v>118</v>
      </c>
      <c r="Y11" s="53" t="s">
        <v>119</v>
      </c>
      <c r="Z11" s="53" t="s">
        <v>120</v>
      </c>
      <c r="AA11" s="53" t="s">
        <v>69</v>
      </c>
      <c r="AB11" s="53" t="s">
        <v>121</v>
      </c>
      <c r="AC11" s="53" t="s">
        <v>122</v>
      </c>
      <c r="AD11" s="53" t="s">
        <v>123</v>
      </c>
      <c r="AE11" s="53" t="s">
        <v>124</v>
      </c>
      <c r="AF11" s="53" t="s">
        <v>125</v>
      </c>
      <c r="AG11" s="53" t="s">
        <v>126</v>
      </c>
      <c r="AH11" s="53" t="s">
        <v>127</v>
      </c>
      <c r="AI11" s="53" t="s">
        <v>71</v>
      </c>
      <c r="AJ11" s="53" t="s">
        <v>53</v>
      </c>
      <c r="AK11" s="53" t="s">
        <v>57</v>
      </c>
      <c r="AL11" s="53" t="s">
        <v>58</v>
      </c>
      <c r="AM11" s="53" t="s">
        <v>144</v>
      </c>
      <c r="AN11" s="53" t="s">
        <v>146</v>
      </c>
    </row>
    <row r="12" spans="1:40" ht="19.95" customHeight="1" x14ac:dyDescent="0.3">
      <c r="A12" s="47">
        <v>1</v>
      </c>
      <c r="B12" s="37" t="s">
        <v>100</v>
      </c>
      <c r="C12" s="37">
        <v>16</v>
      </c>
      <c r="D12" s="37">
        <v>1</v>
      </c>
      <c r="E12" s="37" t="s">
        <v>107</v>
      </c>
      <c r="F12" s="37">
        <v>55</v>
      </c>
      <c r="G12" s="37">
        <v>18</v>
      </c>
      <c r="H12" s="56">
        <v>50</v>
      </c>
      <c r="I12" s="37">
        <f>H12*G12</f>
        <v>900</v>
      </c>
      <c r="J12" s="39"/>
      <c r="K12" s="57">
        <f>IF($C12="","",IF(AND(ISNUMBER($G12),ISNUMBER($H12)),$G12*$H12,$I12))</f>
        <v>900</v>
      </c>
      <c r="L12" s="58">
        <f>IF($C12="","",IF(NOT($U12),"",$AB12))</f>
        <v>20</v>
      </c>
      <c r="M12" s="57">
        <f>IF($C12="","",IF(NOT($U12),"",IF(ISNUMBER($AL12),$AI12,"")))</f>
        <v>1</v>
      </c>
      <c r="N12" s="36">
        <f>IF($C12="","",IF(NOT($U12),"Check inputs",IFERROR($AL12,"Exceeds range")))</f>
        <v>6</v>
      </c>
      <c r="O12" s="57" cm="1">
        <f t="array" ref="O12">IF(OR($C12="",NOT(ISNUMBER($AL12))),"",INDEX(DC_CCC,MATCH($AL12,DC_Size,0),$Z12)*$AA12*$AI12)</f>
        <v>70</v>
      </c>
      <c r="P12" s="59">
        <f>IF(OR($C12="",NOT(ISNUMBER($AL12))),"",2*$F12*($AC12/$AI12)*INDEX(DC_R,MATCH($AL12,DC_Size,0))*$AG12/1000)</f>
        <v>7.6077566400000016</v>
      </c>
      <c r="Q12" s="60">
        <f>IF($P12="","",$P12/$K12)</f>
        <v>8.453062933333335E-3</v>
      </c>
      <c r="R12" s="57">
        <f>IF($C12="","",IF(NOT($U12),"",IF($AE12=0,"Exceeds range",$AE12)))</f>
        <v>25</v>
      </c>
      <c r="S12" s="36" t="str" cm="1">
        <f t="array" ref="S12">IF($C12="","",_xlfn.IFS(NOT($U12),"FAIL – check inputs",$K12&gt;Fac_DCMaxV,"FAIL – voltage &gt; max DC",NOT(ISNUMBER($AL12)),"FAIL – exceeds range",$Q12&gt;$Y12,"FAIL – volt drop",$R12&lt;=$L12,"FAIL – protection not &gt; Ib",$O12&lt;=$R12,"FAIL – CCC not &gt; protection",TRUE,"OK"))</f>
        <v>OK</v>
      </c>
      <c r="U12" s="54" t="b">
        <f>IF($C12="","",AND(ISNUMBER(MATCH($B12,DC_Types,0)),ISNUMBER($C12),$C12&gt;0,OR($D12="",AND(ISNUMBER($D12),$D12&gt;=1,INT($D12)=$D12)),ISNUMBER(MATCH($E12,DC_Method,0)),ISNUMBER($F12),$F12&gt;0,OR($G12="",AND(ISNUMBER($G12),$G12&gt;=1,INT($G12)=$G12)),OR($H12="",AND(ISNUMBER($H12),$H12&gt;0)),ISNUMBER($K12),$K12&gt;0,OR($J12="",AND(ISNUMBER($J12),$J12&gt;0,$J12&lt;=1.5))))</f>
        <v>1</v>
      </c>
      <c r="V12" s="54">
        <f>IF(OR($C12="",$U12&lt;&gt;TRUE),"",IF($D12="",1,$D12))</f>
        <v>1</v>
      </c>
      <c r="W12" s="54">
        <f>IF(OR($C12="",$U12&lt;&gt;TRUE),"",VLOOKUP($B12,DC_TypeTbl,2,FALSE))</f>
        <v>1.25</v>
      </c>
      <c r="X12" s="54">
        <f>IF(OR($C12="",$U12&lt;&gt;TRUE),"",VLOOKUP($B12,DC_TypeTbl,3,FALSE))</f>
        <v>1.25</v>
      </c>
      <c r="Y12" s="54">
        <f>IF(OR($C12="",$U12&lt;&gt;TRUE),"",VLOOKUP($B12,DC_TypeTbl,4,FALSE))</f>
        <v>0.01</v>
      </c>
      <c r="Z12" s="54">
        <f>IF(OR($C12="",$U12&lt;&gt;TRUE),"",MATCH($E12,DC_Method,0))</f>
        <v>1</v>
      </c>
      <c r="AA12" s="54">
        <f>IF(OR($C12="",$U12&lt;&gt;TRUE),"",IF($J12="",Fac_DCDerate,$J12))</f>
        <v>1</v>
      </c>
      <c r="AB12" s="54">
        <f>IF(OR($C12="",$U12&lt;&gt;TRUE),"",$C12*$V12*$W12)</f>
        <v>20</v>
      </c>
      <c r="AC12" s="54">
        <f>IF(OR($C12="",$U12&lt;&gt;TRUE),"",$C12*$V12)</f>
        <v>16</v>
      </c>
      <c r="AD12" s="54">
        <f>IF(OR($C12="",$U12&lt;&gt;TRUE),"",$C12*$V12*$X12)</f>
        <v>20</v>
      </c>
      <c r="AE12" s="54">
        <f>IF(OR($C12="",$U12&lt;&gt;TRUE),"",_xlfn.MINIFS(DC_Prot,DC_Prot,"&gt;"&amp;$AB12,DC_Prot,"&gt;="&amp;$AD12))</f>
        <v>25</v>
      </c>
      <c r="AF12" s="54">
        <f>IF(OR($C12="",$U12&lt;&gt;TRUE),"",$AE12/$AA12)</f>
        <v>25</v>
      </c>
      <c r="AG12" s="54">
        <f>IF(OR($C12="",$U12&lt;&gt;TRUE),"",1+Fac_CuAlpha*(Fac_DCTemp-20))</f>
        <v>1.2751000000000001</v>
      </c>
      <c r="AH12" s="54">
        <f>IF(OR($C12="",$U12&lt;&gt;TRUE),"",$Y12*$K12*1000/(2*$F12*$AC12*$AG12))</f>
        <v>4.0103806475071471</v>
      </c>
      <c r="AI12" s="54">
        <f>IF(OR($C12="",$U12&lt;&gt;TRUE),"",MIN($AN12,MAX(1,INT($AF12/_xlfn.MAXIFS(INDEX(DC_CCC,0,$Z12),DC_Size,"&lt;="&amp;$AM12))+1,ROUNDUP(_xlfn.MINIFS(DC_R,DC_Size,"&lt;="&amp;$AM12)/$AH12,0))))</f>
        <v>1</v>
      </c>
      <c r="AJ12" s="54">
        <f>IF(OR($C12="",$U12&lt;&gt;TRUE),"",_xlfn.MINIFS(DC_Size,INDEX(DC_CCC,0,$Z12),"&gt;"&amp;$AF12/$AI12,DC_Size,"&lt;="&amp;$AM12))</f>
        <v>1.5</v>
      </c>
      <c r="AK12" s="54">
        <f>IF(OR($C12="",$U12&lt;&gt;TRUE),"",_xlfn.MINIFS(DC_Size,DC_R,"&lt;="&amp;$AH12*$AI12,DC_Size,"&lt;="&amp;$AM12))</f>
        <v>6</v>
      </c>
      <c r="AL12" s="54">
        <f>IF(OR($C12="",$U12&lt;&gt;TRUE),"",IF(OR($AE12=0,$AJ12=0),NA(),MAX($AJ12,IF($AK12=0,$AM12,$AK12))))</f>
        <v>6</v>
      </c>
      <c r="AM12" s="54">
        <f>IF(OR($C12="",$U12&lt;&gt;TRUE),"",VLOOKUP($B12,DC_TypeTbl,6,FALSE))</f>
        <v>10</v>
      </c>
      <c r="AN12" s="54">
        <f>IF(OR($C12="",$U12&lt;&gt;TRUE),"",VLOOKUP($B12,DC_TypeTbl,7,FALSE))</f>
        <v>1</v>
      </c>
    </row>
    <row r="13" spans="1:40" ht="19.95" customHeight="1" x14ac:dyDescent="0.3">
      <c r="A13" s="47">
        <v>2</v>
      </c>
      <c r="B13" s="37" t="s">
        <v>98</v>
      </c>
      <c r="C13" s="37">
        <v>16</v>
      </c>
      <c r="D13" s="37">
        <v>1</v>
      </c>
      <c r="E13" s="37" t="s">
        <v>107</v>
      </c>
      <c r="F13" s="37">
        <v>100</v>
      </c>
      <c r="G13" s="37">
        <v>18</v>
      </c>
      <c r="H13" s="56">
        <v>50</v>
      </c>
      <c r="I13" s="37">
        <f>H13*G13</f>
        <v>900</v>
      </c>
      <c r="J13" s="39"/>
      <c r="K13" s="57">
        <f>IF($C13="","",IF(AND(ISNUMBER($G13),ISNUMBER($H13)),$G13*$H13,$I13))</f>
        <v>900</v>
      </c>
      <c r="L13" s="58">
        <f>IF($C13="","",IF(NOT($U13),"",$AB13))</f>
        <v>20</v>
      </c>
      <c r="M13" s="57">
        <f>IF($C13="","",IF(NOT($U13),"",IF(ISNUMBER($AL13),$AI13,"")))</f>
        <v>1</v>
      </c>
      <c r="N13" s="36">
        <f>IF($C13="","",IF(NOT($U13),"Check inputs",IFERROR($AL13,"Exceeds range")))</f>
        <v>10</v>
      </c>
      <c r="O13" s="57" cm="1">
        <f t="array" ref="O13">IF(OR($C13="",NOT(ISNUMBER($AL13))),"",INDEX(DC_CCC,MATCH($AL13,DC_Size,0),$Z13)*$AA13*$AI13)</f>
        <v>98</v>
      </c>
      <c r="P13" s="59">
        <f>IF(OR($C13="",NOT(ISNUMBER($AL13))),"",2*$F13*($AC13/$AI13)*INDEX(DC_R,MATCH($AL13,DC_Size,0))*$AG13/1000)</f>
        <v>7.9566240000000006</v>
      </c>
      <c r="Q13" s="60">
        <f>IF($P13="","",$P13/$K13)</f>
        <v>8.8406933333333333E-3</v>
      </c>
      <c r="R13" s="57">
        <f>IF($C13="","",IF(NOT($U13),"",IF($AE13=0,"Exceeds range",$AE13)))</f>
        <v>25</v>
      </c>
      <c r="S13" s="36" t="str" cm="1">
        <f t="array" ref="S13">IF($C13="","",_xlfn.IFS(NOT($U13),"FAIL – check inputs",$K13&gt;Fac_DCMaxV,"FAIL – voltage &gt; max DC",NOT(ISNUMBER($AL13)),"FAIL – exceeds range",$Q13&gt;$Y13,"FAIL – volt drop",$R13&lt;=$L13,"FAIL – protection not &gt; Ib",$O13&lt;=$R13,"FAIL – CCC not &gt; protection",TRUE,"OK"))</f>
        <v>OK</v>
      </c>
      <c r="U13" s="54" t="b">
        <f>IF($C13="","",AND(ISNUMBER(MATCH($B13,DC_Types,0)),ISNUMBER($C13),$C13&gt;0,OR($D13="",AND(ISNUMBER($D13),$D13&gt;=1,INT($D13)=$D13)),ISNUMBER(MATCH($E13,DC_Method,0)),ISNUMBER($F13),$F13&gt;0,OR($G13="",AND(ISNUMBER($G13),$G13&gt;=1,INT($G13)=$G13)),OR($H13="",AND(ISNUMBER($H13),$H13&gt;0)),ISNUMBER($K13),$K13&gt;0,OR($J13="",AND(ISNUMBER($J13),$J13&gt;0,$J13&lt;=1.5))))</f>
        <v>1</v>
      </c>
      <c r="V13" s="54">
        <f>IF(OR($C13="",$U13&lt;&gt;TRUE),"",IF($D13="",1,$D13))</f>
        <v>1</v>
      </c>
      <c r="W13" s="54">
        <f>IF(OR($C13="",$U13&lt;&gt;TRUE),"",VLOOKUP($B13,DC_TypeTbl,2,FALSE))</f>
        <v>1.25</v>
      </c>
      <c r="X13" s="54">
        <f>IF(OR($C13="",$U13&lt;&gt;TRUE),"",VLOOKUP($B13,DC_TypeTbl,3,FALSE))</f>
        <v>1.5</v>
      </c>
      <c r="Y13" s="54">
        <f>IF(OR($C13="",$U13&lt;&gt;TRUE),"",VLOOKUP($B13,DC_TypeTbl,4,FALSE))</f>
        <v>0.01</v>
      </c>
      <c r="Z13" s="54">
        <f>IF(OR($C13="",$U13&lt;&gt;TRUE),"",MATCH($E13,DC_Method,0))</f>
        <v>1</v>
      </c>
      <c r="AA13" s="54">
        <f>IF(OR($C13="",$U13&lt;&gt;TRUE),"",IF($J13="",Fac_DCDerate,$J13))</f>
        <v>1</v>
      </c>
      <c r="AB13" s="54">
        <f>IF(OR($C13="",$U13&lt;&gt;TRUE),"",$C13*$V13*$W13)</f>
        <v>20</v>
      </c>
      <c r="AC13" s="54">
        <f>IF(OR($C13="",$U13&lt;&gt;TRUE),"",$C13*$V13)</f>
        <v>16</v>
      </c>
      <c r="AD13" s="54">
        <f>IF(OR($C13="",$U13&lt;&gt;TRUE),"",$C13*$V13*$X13)</f>
        <v>24</v>
      </c>
      <c r="AE13" s="54">
        <f>IF(OR($C13="",$U13&lt;&gt;TRUE),"",_xlfn.MINIFS(DC_Prot,DC_Prot,"&gt;"&amp;$AB13,DC_Prot,"&gt;="&amp;$AD13))</f>
        <v>25</v>
      </c>
      <c r="AF13" s="54">
        <f>IF(OR($C13="",$U13&lt;&gt;TRUE),"",$AE13/$AA13)</f>
        <v>25</v>
      </c>
      <c r="AG13" s="54">
        <f>IF(OR($C13="",$U13&lt;&gt;TRUE),"",1+Fac_CuAlpha*(Fac_DCTemp-20))</f>
        <v>1.2751000000000001</v>
      </c>
      <c r="AH13" s="54">
        <f>IF(OR($C13="",$U13&lt;&gt;TRUE),"",$Y13*$K13*1000/(2*$F13*$AC13*$AG13))</f>
        <v>2.2057093561289309</v>
      </c>
      <c r="AI13" s="54">
        <f>IF(OR($C13="",$U13&lt;&gt;TRUE),"",MIN($AN13,MAX(1,INT($AF13/_xlfn.MAXIFS(INDEX(DC_CCC,0,$Z13),DC_Size,"&lt;="&amp;$AM13))+1,ROUNDUP(_xlfn.MINIFS(DC_R,DC_Size,"&lt;="&amp;$AM13)/$AH13,0))))</f>
        <v>1</v>
      </c>
      <c r="AJ13" s="54">
        <f>IF(OR($C13="",$U13&lt;&gt;TRUE),"",_xlfn.MINIFS(DC_Size,INDEX(DC_CCC,0,$Z13),"&gt;"&amp;$AF13/$AI13,DC_Size,"&lt;="&amp;$AM13))</f>
        <v>1.5</v>
      </c>
      <c r="AK13" s="54">
        <f>IF(OR($C13="",$U13&lt;&gt;TRUE),"",_xlfn.MINIFS(DC_Size,DC_R,"&lt;="&amp;$AH13*$AI13,DC_Size,"&lt;="&amp;$AM13))</f>
        <v>10</v>
      </c>
      <c r="AL13" s="54">
        <f>IF(OR($C13="",$U13&lt;&gt;TRUE),"",IF(OR($AE13=0,$AJ13=0),NA(),MAX($AJ13,IF($AK13=0,$AM13,$AK13))))</f>
        <v>10</v>
      </c>
      <c r="AM13" s="54">
        <f>IF(OR($C13="",$U13&lt;&gt;TRUE),"",VLOOKUP($B13,DC_TypeTbl,6,FALSE))</f>
        <v>10</v>
      </c>
      <c r="AN13" s="54">
        <f>IF(OR($C13="",$U13&lt;&gt;TRUE),"",VLOOKUP($B13,DC_TypeTbl,7,FALSE))</f>
        <v>1</v>
      </c>
    </row>
    <row r="14" spans="1:40" ht="19.95" customHeight="1" x14ac:dyDescent="0.3">
      <c r="A14" s="47">
        <v>3</v>
      </c>
      <c r="B14" s="37"/>
      <c r="C14" s="37"/>
      <c r="D14" s="37"/>
      <c r="E14" s="37"/>
      <c r="F14" s="37"/>
      <c r="G14" s="37"/>
      <c r="H14" s="56"/>
      <c r="I14" s="37"/>
      <c r="J14" s="39"/>
      <c r="K14" s="57" t="str">
        <f>IF($C14="","",IF(AND(ISNUMBER($G14),ISNUMBER($H14)),$G14*$H14,$I14))</f>
        <v/>
      </c>
      <c r="L14" s="58" t="str">
        <f>IF($C14="","",IF(NOT($U14),"",$AB14))</f>
        <v/>
      </c>
      <c r="M14" s="57" t="str">
        <f>IF($C14="","",IF(NOT($U14),"",IF(ISNUMBER($AL14),$AI14,"")))</f>
        <v/>
      </c>
      <c r="N14" s="36" t="str">
        <f>IF($C14="","",IF(NOT($U14),"Check inputs",IFERROR($AL14,"Exceeds range")))</f>
        <v/>
      </c>
      <c r="O14" s="57" t="str" cm="1">
        <f t="array" ref="O14">IF(OR($C14="",NOT(ISNUMBER($AL14))),"",INDEX(DC_CCC,MATCH($AL14,DC_Size,0),$Z14)*$AA14*$AI14)</f>
        <v/>
      </c>
      <c r="P14" s="59" t="str">
        <f>IF(OR($C14="",NOT(ISNUMBER($AL14))),"",2*$F14*($AC14/$AI14)*INDEX(DC_R,MATCH($AL14,DC_Size,0))*$AG14/1000)</f>
        <v/>
      </c>
      <c r="Q14" s="60" t="str">
        <f>IF($P14="","",$P14/$K14)</f>
        <v/>
      </c>
      <c r="R14" s="57" t="str">
        <f>IF($C14="","",IF(NOT($U14),"",IF($AE14=0,"Exceeds range",$AE14)))</f>
        <v/>
      </c>
      <c r="S14" s="36" t="str" cm="1">
        <f t="array" ref="S14">IF($C14="","",_xlfn.IFS(NOT($U14),"FAIL – check inputs",$K14&gt;Fac_DCMaxV,"FAIL – voltage &gt; max DC",NOT(ISNUMBER($AL14)),"FAIL – exceeds range",$Q14&gt;$Y14,"FAIL – volt drop",$R14&lt;=$L14,"FAIL – protection not &gt; Ib",$O14&lt;=$R14,"FAIL – CCC not &gt; protection",TRUE,"OK"))</f>
        <v/>
      </c>
      <c r="U14" s="54" t="str">
        <f>IF($C14="","",AND(ISNUMBER(MATCH($B14,DC_Types,0)),ISNUMBER($C14),$C14&gt;0,OR($D14="",AND(ISNUMBER($D14),$D14&gt;=1,INT($D14)=$D14)),ISNUMBER(MATCH($E14,DC_Method,0)),ISNUMBER($F14),$F14&gt;0,OR($G14="",AND(ISNUMBER($G14),$G14&gt;=1,INT($G14)=$G14)),OR($H14="",AND(ISNUMBER($H14),$H14&gt;0)),ISNUMBER($K14),$K14&gt;0,OR($J14="",AND(ISNUMBER($J14),$J14&gt;0,$J14&lt;=1.5))))</f>
        <v/>
      </c>
      <c r="V14" s="54" t="str">
        <f>IF(OR($C14="",$U14&lt;&gt;TRUE),"",IF($D14="",1,$D14))</f>
        <v/>
      </c>
      <c r="W14" s="54" t="str">
        <f>IF(OR($C14="",$U14&lt;&gt;TRUE),"",VLOOKUP($B14,DC_TypeTbl,2,FALSE))</f>
        <v/>
      </c>
      <c r="X14" s="54" t="str">
        <f>IF(OR($C14="",$U14&lt;&gt;TRUE),"",VLOOKUP($B14,DC_TypeTbl,3,FALSE))</f>
        <v/>
      </c>
      <c r="Y14" s="54" t="str">
        <f>IF(OR($C14="",$U14&lt;&gt;TRUE),"",VLOOKUP($B14,DC_TypeTbl,4,FALSE))</f>
        <v/>
      </c>
      <c r="Z14" s="54" t="str">
        <f>IF(OR($C14="",$U14&lt;&gt;TRUE),"",MATCH($E14,DC_Method,0))</f>
        <v/>
      </c>
      <c r="AA14" s="54" t="str">
        <f>IF(OR($C14="",$U14&lt;&gt;TRUE),"",IF($J14="",Fac_DCDerate,$J14))</f>
        <v/>
      </c>
      <c r="AB14" s="54" t="str">
        <f>IF(OR($C14="",$U14&lt;&gt;TRUE),"",$C14*$V14*$W14)</f>
        <v/>
      </c>
      <c r="AC14" s="54" t="str">
        <f>IF(OR($C14="",$U14&lt;&gt;TRUE),"",$C14*$V14)</f>
        <v/>
      </c>
      <c r="AD14" s="54" t="str">
        <f>IF(OR($C14="",$U14&lt;&gt;TRUE),"",$C14*$V14*$X14)</f>
        <v/>
      </c>
      <c r="AE14" s="54" t="str">
        <f>IF(OR($C14="",$U14&lt;&gt;TRUE),"",_xlfn.MINIFS(DC_Prot,DC_Prot,"&gt;"&amp;$AB14,DC_Prot,"&gt;="&amp;$AD14))</f>
        <v/>
      </c>
      <c r="AF14" s="54" t="str">
        <f>IF(OR($C14="",$U14&lt;&gt;TRUE),"",$AE14/$AA14)</f>
        <v/>
      </c>
      <c r="AG14" s="54" t="str">
        <f>IF(OR($C14="",$U14&lt;&gt;TRUE),"",1+Fac_CuAlpha*(Fac_DCTemp-20))</f>
        <v/>
      </c>
      <c r="AH14" s="54" t="str">
        <f>IF(OR($C14="",$U14&lt;&gt;TRUE),"",$Y14*$K14*1000/(2*$F14*$AC14*$AG14))</f>
        <v/>
      </c>
      <c r="AI14" s="54" t="str">
        <f>IF(OR($C14="",$U14&lt;&gt;TRUE),"",MIN($AN14,MAX(1,INT($AF14/_xlfn.MAXIFS(INDEX(DC_CCC,0,$Z14),DC_Size,"&lt;="&amp;$AM14))+1,ROUNDUP(_xlfn.MINIFS(DC_R,DC_Size,"&lt;="&amp;$AM14)/$AH14,0))))</f>
        <v/>
      </c>
      <c r="AJ14" s="54" t="str">
        <f>IF(OR($C14="",$U14&lt;&gt;TRUE),"",_xlfn.MINIFS(DC_Size,INDEX(DC_CCC,0,$Z14),"&gt;"&amp;$AF14/$AI14,DC_Size,"&lt;="&amp;$AM14))</f>
        <v/>
      </c>
      <c r="AK14" s="54" t="str">
        <f>IF(OR($C14="",$U14&lt;&gt;TRUE),"",_xlfn.MINIFS(DC_Size,DC_R,"&lt;="&amp;$AH14*$AI14,DC_Size,"&lt;="&amp;$AM14))</f>
        <v/>
      </c>
      <c r="AL14" s="54" t="str">
        <f>IF(OR($C14="",$U14&lt;&gt;TRUE),"",IF(OR($AE14=0,$AJ14=0),NA(),MAX($AJ14,IF($AK14=0,$AM14,$AK14))))</f>
        <v/>
      </c>
      <c r="AM14" s="54" t="str">
        <f>IF(OR($C14="",$U14&lt;&gt;TRUE),"",VLOOKUP($B14,DC_TypeTbl,6,FALSE))</f>
        <v/>
      </c>
      <c r="AN14" s="54" t="str">
        <f>IF(OR($C14="",$U14&lt;&gt;TRUE),"",VLOOKUP($B14,DC_TypeTbl,7,FALSE))</f>
        <v/>
      </c>
    </row>
    <row r="15" spans="1:40" ht="19.95" customHeight="1" x14ac:dyDescent="0.3">
      <c r="A15" s="47">
        <v>4</v>
      </c>
      <c r="B15" s="37"/>
      <c r="C15" s="37"/>
      <c r="D15" s="37"/>
      <c r="E15" s="37"/>
      <c r="F15" s="37"/>
      <c r="G15" s="37"/>
      <c r="H15" s="56"/>
      <c r="I15" s="37"/>
      <c r="J15" s="39"/>
      <c r="K15" s="57" t="str">
        <f>IF($C15="","",IF(AND(ISNUMBER($G15),ISNUMBER($H15)),$G15*$H15,$I15))</f>
        <v/>
      </c>
      <c r="L15" s="58" t="str">
        <f>IF($C15="","",IF(NOT($U15),"",$AB15))</f>
        <v/>
      </c>
      <c r="M15" s="57" t="str">
        <f>IF($C15="","",IF(NOT($U15),"",IF(ISNUMBER($AL15),$AI15,"")))</f>
        <v/>
      </c>
      <c r="N15" s="36" t="str">
        <f>IF($C15="","",IF(NOT($U15),"Check inputs",IFERROR($AL15,"Exceeds range")))</f>
        <v/>
      </c>
      <c r="O15" s="57" t="str" cm="1">
        <f t="array" ref="O15">IF(OR($C15="",NOT(ISNUMBER($AL15))),"",INDEX(DC_CCC,MATCH($AL15,DC_Size,0),$Z15)*$AA15*$AI15)</f>
        <v/>
      </c>
      <c r="P15" s="59" t="str">
        <f>IF(OR($C15="",NOT(ISNUMBER($AL15))),"",2*$F15*($AC15/$AI15)*INDEX(DC_R,MATCH($AL15,DC_Size,0))*$AG15/1000)</f>
        <v/>
      </c>
      <c r="Q15" s="60" t="str">
        <f>IF($P15="","",$P15/$K15)</f>
        <v/>
      </c>
      <c r="R15" s="57" t="str">
        <f>IF($C15="","",IF(NOT($U15),"",IF($AE15=0,"Exceeds range",$AE15)))</f>
        <v/>
      </c>
      <c r="S15" s="36" t="str" cm="1">
        <f t="array" ref="S15">IF($C15="","",_xlfn.IFS(NOT($U15),"FAIL – check inputs",$K15&gt;Fac_DCMaxV,"FAIL – voltage &gt; max DC",NOT(ISNUMBER($AL15)),"FAIL – exceeds range",$Q15&gt;$Y15,"FAIL – volt drop",$R15&lt;=$L15,"FAIL – protection not &gt; Ib",$O15&lt;=$R15,"FAIL – CCC not &gt; protection",TRUE,"OK"))</f>
        <v/>
      </c>
      <c r="U15" s="54" t="str">
        <f>IF($C15="","",AND(ISNUMBER(MATCH($B15,DC_Types,0)),ISNUMBER($C15),$C15&gt;0,OR($D15="",AND(ISNUMBER($D15),$D15&gt;=1,INT($D15)=$D15)),ISNUMBER(MATCH($E15,DC_Method,0)),ISNUMBER($F15),$F15&gt;0,OR($G15="",AND(ISNUMBER($G15),$G15&gt;=1,INT($G15)=$G15)),OR($H15="",AND(ISNUMBER($H15),$H15&gt;0)),ISNUMBER($K15),$K15&gt;0,OR($J15="",AND(ISNUMBER($J15),$J15&gt;0,$J15&lt;=1.5))))</f>
        <v/>
      </c>
      <c r="V15" s="54" t="str">
        <f>IF(OR($C15="",$U15&lt;&gt;TRUE),"",IF($D15="",1,$D15))</f>
        <v/>
      </c>
      <c r="W15" s="54" t="str">
        <f>IF(OR($C15="",$U15&lt;&gt;TRUE),"",VLOOKUP($B15,DC_TypeTbl,2,FALSE))</f>
        <v/>
      </c>
      <c r="X15" s="54" t="str">
        <f>IF(OR($C15="",$U15&lt;&gt;TRUE),"",VLOOKUP($B15,DC_TypeTbl,3,FALSE))</f>
        <v/>
      </c>
      <c r="Y15" s="54" t="str">
        <f>IF(OR($C15="",$U15&lt;&gt;TRUE),"",VLOOKUP($B15,DC_TypeTbl,4,FALSE))</f>
        <v/>
      </c>
      <c r="Z15" s="54" t="str">
        <f>IF(OR($C15="",$U15&lt;&gt;TRUE),"",MATCH($E15,DC_Method,0))</f>
        <v/>
      </c>
      <c r="AA15" s="54" t="str">
        <f>IF(OR($C15="",$U15&lt;&gt;TRUE),"",IF($J15="",Fac_DCDerate,$J15))</f>
        <v/>
      </c>
      <c r="AB15" s="54" t="str">
        <f>IF(OR($C15="",$U15&lt;&gt;TRUE),"",$C15*$V15*$W15)</f>
        <v/>
      </c>
      <c r="AC15" s="54" t="str">
        <f>IF(OR($C15="",$U15&lt;&gt;TRUE),"",$C15*$V15)</f>
        <v/>
      </c>
      <c r="AD15" s="54" t="str">
        <f>IF(OR($C15="",$U15&lt;&gt;TRUE),"",$C15*$V15*$X15)</f>
        <v/>
      </c>
      <c r="AE15" s="54" t="str">
        <f>IF(OR($C15="",$U15&lt;&gt;TRUE),"",_xlfn.MINIFS(DC_Prot,DC_Prot,"&gt;"&amp;$AB15,DC_Prot,"&gt;="&amp;$AD15))</f>
        <v/>
      </c>
      <c r="AF15" s="54" t="str">
        <f>IF(OR($C15="",$U15&lt;&gt;TRUE),"",$AE15/$AA15)</f>
        <v/>
      </c>
      <c r="AG15" s="54" t="str">
        <f>IF(OR($C15="",$U15&lt;&gt;TRUE),"",1+Fac_CuAlpha*(Fac_DCTemp-20))</f>
        <v/>
      </c>
      <c r="AH15" s="54" t="str">
        <f>IF(OR($C15="",$U15&lt;&gt;TRUE),"",$Y15*$K15*1000/(2*$F15*$AC15*$AG15))</f>
        <v/>
      </c>
      <c r="AI15" s="54" t="str">
        <f>IF(OR($C15="",$U15&lt;&gt;TRUE),"",MIN($AN15,MAX(1,INT($AF15/_xlfn.MAXIFS(INDEX(DC_CCC,0,$Z15),DC_Size,"&lt;="&amp;$AM15))+1,ROUNDUP(_xlfn.MINIFS(DC_R,DC_Size,"&lt;="&amp;$AM15)/$AH15,0))))</f>
        <v/>
      </c>
      <c r="AJ15" s="54" t="str">
        <f>IF(OR($C15="",$U15&lt;&gt;TRUE),"",_xlfn.MINIFS(DC_Size,INDEX(DC_CCC,0,$Z15),"&gt;"&amp;$AF15/$AI15,DC_Size,"&lt;="&amp;$AM15))</f>
        <v/>
      </c>
      <c r="AK15" s="54" t="str">
        <f>IF(OR($C15="",$U15&lt;&gt;TRUE),"",_xlfn.MINIFS(DC_Size,DC_R,"&lt;="&amp;$AH15*$AI15,DC_Size,"&lt;="&amp;$AM15))</f>
        <v/>
      </c>
      <c r="AL15" s="54" t="str">
        <f>IF(OR($C15="",$U15&lt;&gt;TRUE),"",IF(OR($AE15=0,$AJ15=0),NA(),MAX($AJ15,IF($AK15=0,$AM15,$AK15))))</f>
        <v/>
      </c>
      <c r="AM15" s="54" t="str">
        <f>IF(OR($C15="",$U15&lt;&gt;TRUE),"",VLOOKUP($B15,DC_TypeTbl,6,FALSE))</f>
        <v/>
      </c>
      <c r="AN15" s="54" t="str">
        <f>IF(OR($C15="",$U15&lt;&gt;TRUE),"",VLOOKUP($B15,DC_TypeTbl,7,FALSE))</f>
        <v/>
      </c>
    </row>
    <row r="16" spans="1:40" ht="19.95" customHeight="1" x14ac:dyDescent="0.3">
      <c r="A16" s="47">
        <v>5</v>
      </c>
      <c r="B16" s="37"/>
      <c r="C16" s="37"/>
      <c r="D16" s="37"/>
      <c r="E16" s="37"/>
      <c r="F16" s="37"/>
      <c r="G16" s="37"/>
      <c r="H16" s="56"/>
      <c r="I16" s="37"/>
      <c r="J16" s="39"/>
      <c r="K16" s="57" t="str">
        <f>IF($C16="","",IF(AND(ISNUMBER($G16),ISNUMBER($H16)),$G16*$H16,$I16))</f>
        <v/>
      </c>
      <c r="L16" s="58" t="str">
        <f>IF($C16="","",IF(NOT($U16),"",$AB16))</f>
        <v/>
      </c>
      <c r="M16" s="57" t="str">
        <f>IF($C16="","",IF(NOT($U16),"",IF(ISNUMBER($AL16),$AI16,"")))</f>
        <v/>
      </c>
      <c r="N16" s="36" t="str">
        <f>IF($C16="","",IF(NOT($U16),"Check inputs",IFERROR($AL16,"Exceeds range")))</f>
        <v/>
      </c>
      <c r="O16" s="57" t="str" cm="1">
        <f t="array" ref="O16">IF(OR($C16="",NOT(ISNUMBER($AL16))),"",INDEX(DC_CCC,MATCH($AL16,DC_Size,0),$Z16)*$AA16*$AI16)</f>
        <v/>
      </c>
      <c r="P16" s="59" t="str">
        <f>IF(OR($C16="",NOT(ISNUMBER($AL16))),"",2*$F16*($AC16/$AI16)*INDEX(DC_R,MATCH($AL16,DC_Size,0))*$AG16/1000)</f>
        <v/>
      </c>
      <c r="Q16" s="60" t="str">
        <f>IF($P16="","",$P16/$K16)</f>
        <v/>
      </c>
      <c r="R16" s="57" t="str">
        <f>IF($C16="","",IF(NOT($U16),"",IF($AE16=0,"Exceeds range",$AE16)))</f>
        <v/>
      </c>
      <c r="S16" s="36" t="str" cm="1">
        <f t="array" ref="S16">IF($C16="","",_xlfn.IFS(NOT($U16),"FAIL – check inputs",$K16&gt;Fac_DCMaxV,"FAIL – voltage &gt; max DC",NOT(ISNUMBER($AL16)),"FAIL – exceeds range",$Q16&gt;$Y16,"FAIL – volt drop",$R16&lt;=$L16,"FAIL – protection not &gt; Ib",$O16&lt;=$R16,"FAIL – CCC not &gt; protection",TRUE,"OK"))</f>
        <v/>
      </c>
      <c r="U16" s="54" t="str">
        <f>IF($C16="","",AND(ISNUMBER(MATCH($B16,DC_Types,0)),ISNUMBER($C16),$C16&gt;0,OR($D16="",AND(ISNUMBER($D16),$D16&gt;=1,INT($D16)=$D16)),ISNUMBER(MATCH($E16,DC_Method,0)),ISNUMBER($F16),$F16&gt;0,OR($G16="",AND(ISNUMBER($G16),$G16&gt;=1,INT($G16)=$G16)),OR($H16="",AND(ISNUMBER($H16),$H16&gt;0)),ISNUMBER($K16),$K16&gt;0,OR($J16="",AND(ISNUMBER($J16),$J16&gt;0,$J16&lt;=1.5))))</f>
        <v/>
      </c>
      <c r="V16" s="54" t="str">
        <f>IF(OR($C16="",$U16&lt;&gt;TRUE),"",IF($D16="",1,$D16))</f>
        <v/>
      </c>
      <c r="W16" s="54" t="str">
        <f>IF(OR($C16="",$U16&lt;&gt;TRUE),"",VLOOKUP($B16,DC_TypeTbl,2,FALSE))</f>
        <v/>
      </c>
      <c r="X16" s="54" t="str">
        <f>IF(OR($C16="",$U16&lt;&gt;TRUE),"",VLOOKUP($B16,DC_TypeTbl,3,FALSE))</f>
        <v/>
      </c>
      <c r="Y16" s="54" t="str">
        <f>IF(OR($C16="",$U16&lt;&gt;TRUE),"",VLOOKUP($B16,DC_TypeTbl,4,FALSE))</f>
        <v/>
      </c>
      <c r="Z16" s="54" t="str">
        <f>IF(OR($C16="",$U16&lt;&gt;TRUE),"",MATCH($E16,DC_Method,0))</f>
        <v/>
      </c>
      <c r="AA16" s="54" t="str">
        <f>IF(OR($C16="",$U16&lt;&gt;TRUE),"",IF($J16="",Fac_DCDerate,$J16))</f>
        <v/>
      </c>
      <c r="AB16" s="54" t="str">
        <f>IF(OR($C16="",$U16&lt;&gt;TRUE),"",$C16*$V16*$W16)</f>
        <v/>
      </c>
      <c r="AC16" s="54" t="str">
        <f>IF(OR($C16="",$U16&lt;&gt;TRUE),"",$C16*$V16)</f>
        <v/>
      </c>
      <c r="AD16" s="54" t="str">
        <f>IF(OR($C16="",$U16&lt;&gt;TRUE),"",$C16*$V16*$X16)</f>
        <v/>
      </c>
      <c r="AE16" s="54" t="str">
        <f>IF(OR($C16="",$U16&lt;&gt;TRUE),"",_xlfn.MINIFS(DC_Prot,DC_Prot,"&gt;"&amp;$AB16,DC_Prot,"&gt;="&amp;$AD16))</f>
        <v/>
      </c>
      <c r="AF16" s="54" t="str">
        <f>IF(OR($C16="",$U16&lt;&gt;TRUE),"",$AE16/$AA16)</f>
        <v/>
      </c>
      <c r="AG16" s="54" t="str">
        <f>IF(OR($C16="",$U16&lt;&gt;TRUE),"",1+Fac_CuAlpha*(Fac_DCTemp-20))</f>
        <v/>
      </c>
      <c r="AH16" s="54" t="str">
        <f>IF(OR($C16="",$U16&lt;&gt;TRUE),"",$Y16*$K16*1000/(2*$F16*$AC16*$AG16))</f>
        <v/>
      </c>
      <c r="AI16" s="54" t="str">
        <f>IF(OR($C16="",$U16&lt;&gt;TRUE),"",MIN($AN16,MAX(1,INT($AF16/_xlfn.MAXIFS(INDEX(DC_CCC,0,$Z16),DC_Size,"&lt;="&amp;$AM16))+1,ROUNDUP(_xlfn.MINIFS(DC_R,DC_Size,"&lt;="&amp;$AM16)/$AH16,0))))</f>
        <v/>
      </c>
      <c r="AJ16" s="54" t="str">
        <f>IF(OR($C16="",$U16&lt;&gt;TRUE),"",_xlfn.MINIFS(DC_Size,INDEX(DC_CCC,0,$Z16),"&gt;"&amp;$AF16/$AI16,DC_Size,"&lt;="&amp;$AM16))</f>
        <v/>
      </c>
      <c r="AK16" s="54" t="str">
        <f>IF(OR($C16="",$U16&lt;&gt;TRUE),"",_xlfn.MINIFS(DC_Size,DC_R,"&lt;="&amp;$AH16*$AI16,DC_Size,"&lt;="&amp;$AM16))</f>
        <v/>
      </c>
      <c r="AL16" s="54" t="str">
        <f>IF(OR($C16="",$U16&lt;&gt;TRUE),"",IF(OR($AE16=0,$AJ16=0),NA(),MAX($AJ16,IF($AK16=0,$AM16,$AK16))))</f>
        <v/>
      </c>
      <c r="AM16" s="54" t="str">
        <f>IF(OR($C16="",$U16&lt;&gt;TRUE),"",VLOOKUP($B16,DC_TypeTbl,6,FALSE))</f>
        <v/>
      </c>
      <c r="AN16" s="54" t="str">
        <f>IF(OR($C16="",$U16&lt;&gt;TRUE),"",VLOOKUP($B16,DC_TypeTbl,7,FALSE))</f>
        <v/>
      </c>
    </row>
    <row r="17" spans="1:40" ht="19.95" customHeight="1" x14ac:dyDescent="0.3">
      <c r="A17" s="47">
        <v>6</v>
      </c>
      <c r="B17" s="37"/>
      <c r="C17" s="37"/>
      <c r="D17" s="37"/>
      <c r="E17" s="37"/>
      <c r="F17" s="37"/>
      <c r="G17" s="37"/>
      <c r="H17" s="56"/>
      <c r="I17" s="37"/>
      <c r="J17" s="39"/>
      <c r="K17" s="57" t="str">
        <f>IF($C17="","",IF(AND(ISNUMBER($G17),ISNUMBER($H17)),$G17*$H17,$I17))</f>
        <v/>
      </c>
      <c r="L17" s="58" t="str">
        <f>IF($C17="","",IF(NOT($U17),"",$AB17))</f>
        <v/>
      </c>
      <c r="M17" s="57" t="str">
        <f>IF($C17="","",IF(NOT($U17),"",IF(ISNUMBER($AL17),$AI17,"")))</f>
        <v/>
      </c>
      <c r="N17" s="36" t="str">
        <f>IF($C17="","",IF(NOT($U17),"Check inputs",IFERROR($AL17,"Exceeds range")))</f>
        <v/>
      </c>
      <c r="O17" s="57" t="str" cm="1">
        <f t="array" ref="O17">IF(OR($C17="",NOT(ISNUMBER($AL17))),"",INDEX(DC_CCC,MATCH($AL17,DC_Size,0),$Z17)*$AA17*$AI17)</f>
        <v/>
      </c>
      <c r="P17" s="59" t="str">
        <f>IF(OR($C17="",NOT(ISNUMBER($AL17))),"",2*$F17*($AC17/$AI17)*INDEX(DC_R,MATCH($AL17,DC_Size,0))*$AG17/1000)</f>
        <v/>
      </c>
      <c r="Q17" s="60" t="str">
        <f>IF($P17="","",$P17/$K17)</f>
        <v/>
      </c>
      <c r="R17" s="57" t="str">
        <f>IF($C17="","",IF(NOT($U17),"",IF($AE17=0,"Exceeds range",$AE17)))</f>
        <v/>
      </c>
      <c r="S17" s="36" t="str" cm="1">
        <f t="array" ref="S17">IF($C17="","",_xlfn.IFS(NOT($U17),"FAIL – check inputs",$K17&gt;Fac_DCMaxV,"FAIL – voltage &gt; max DC",NOT(ISNUMBER($AL17)),"FAIL – exceeds range",$Q17&gt;$Y17,"FAIL – volt drop",$R17&lt;=$L17,"FAIL – protection not &gt; Ib",$O17&lt;=$R17,"FAIL – CCC not &gt; protection",TRUE,"OK"))</f>
        <v/>
      </c>
      <c r="U17" s="54" t="str">
        <f>IF($C17="","",AND(ISNUMBER(MATCH($B17,DC_Types,0)),ISNUMBER($C17),$C17&gt;0,OR($D17="",AND(ISNUMBER($D17),$D17&gt;=1,INT($D17)=$D17)),ISNUMBER(MATCH($E17,DC_Method,0)),ISNUMBER($F17),$F17&gt;0,OR($G17="",AND(ISNUMBER($G17),$G17&gt;=1,INT($G17)=$G17)),OR($H17="",AND(ISNUMBER($H17),$H17&gt;0)),ISNUMBER($K17),$K17&gt;0,OR($J17="",AND(ISNUMBER($J17),$J17&gt;0,$J17&lt;=1.5))))</f>
        <v/>
      </c>
      <c r="V17" s="54" t="str">
        <f>IF(OR($C17="",$U17&lt;&gt;TRUE),"",IF($D17="",1,$D17))</f>
        <v/>
      </c>
      <c r="W17" s="54" t="str">
        <f>IF(OR($C17="",$U17&lt;&gt;TRUE),"",VLOOKUP($B17,DC_TypeTbl,2,FALSE))</f>
        <v/>
      </c>
      <c r="X17" s="54" t="str">
        <f>IF(OR($C17="",$U17&lt;&gt;TRUE),"",VLOOKUP($B17,DC_TypeTbl,3,FALSE))</f>
        <v/>
      </c>
      <c r="Y17" s="54" t="str">
        <f>IF(OR($C17="",$U17&lt;&gt;TRUE),"",VLOOKUP($B17,DC_TypeTbl,4,FALSE))</f>
        <v/>
      </c>
      <c r="Z17" s="54" t="str">
        <f>IF(OR($C17="",$U17&lt;&gt;TRUE),"",MATCH($E17,DC_Method,0))</f>
        <v/>
      </c>
      <c r="AA17" s="54" t="str">
        <f>IF(OR($C17="",$U17&lt;&gt;TRUE),"",IF($J17="",Fac_DCDerate,$J17))</f>
        <v/>
      </c>
      <c r="AB17" s="54" t="str">
        <f>IF(OR($C17="",$U17&lt;&gt;TRUE),"",$C17*$V17*$W17)</f>
        <v/>
      </c>
      <c r="AC17" s="54" t="str">
        <f>IF(OR($C17="",$U17&lt;&gt;TRUE),"",$C17*$V17)</f>
        <v/>
      </c>
      <c r="AD17" s="54" t="str">
        <f>IF(OR($C17="",$U17&lt;&gt;TRUE),"",$C17*$V17*$X17)</f>
        <v/>
      </c>
      <c r="AE17" s="54" t="str">
        <f>IF(OR($C17="",$U17&lt;&gt;TRUE),"",_xlfn.MINIFS(DC_Prot,DC_Prot,"&gt;"&amp;$AB17,DC_Prot,"&gt;="&amp;$AD17))</f>
        <v/>
      </c>
      <c r="AF17" s="54" t="str">
        <f>IF(OR($C17="",$U17&lt;&gt;TRUE),"",$AE17/$AA17)</f>
        <v/>
      </c>
      <c r="AG17" s="54" t="str">
        <f>IF(OR($C17="",$U17&lt;&gt;TRUE),"",1+Fac_CuAlpha*(Fac_DCTemp-20))</f>
        <v/>
      </c>
      <c r="AH17" s="54" t="str">
        <f>IF(OR($C17="",$U17&lt;&gt;TRUE),"",$Y17*$K17*1000/(2*$F17*$AC17*$AG17))</f>
        <v/>
      </c>
      <c r="AI17" s="54" t="str">
        <f>IF(OR($C17="",$U17&lt;&gt;TRUE),"",MIN($AN17,MAX(1,INT($AF17/_xlfn.MAXIFS(INDEX(DC_CCC,0,$Z17),DC_Size,"&lt;="&amp;$AM17))+1,ROUNDUP(_xlfn.MINIFS(DC_R,DC_Size,"&lt;="&amp;$AM17)/$AH17,0))))</f>
        <v/>
      </c>
      <c r="AJ17" s="54" t="str">
        <f>IF(OR($C17="",$U17&lt;&gt;TRUE),"",_xlfn.MINIFS(DC_Size,INDEX(DC_CCC,0,$Z17),"&gt;"&amp;$AF17/$AI17,DC_Size,"&lt;="&amp;$AM17))</f>
        <v/>
      </c>
      <c r="AK17" s="54" t="str">
        <f>IF(OR($C17="",$U17&lt;&gt;TRUE),"",_xlfn.MINIFS(DC_Size,DC_R,"&lt;="&amp;$AH17*$AI17,DC_Size,"&lt;="&amp;$AM17))</f>
        <v/>
      </c>
      <c r="AL17" s="54" t="str">
        <f>IF(OR($C17="",$U17&lt;&gt;TRUE),"",IF(OR($AE17=0,$AJ17=0),NA(),MAX($AJ17,IF($AK17=0,$AM17,$AK17))))</f>
        <v/>
      </c>
      <c r="AM17" s="54" t="str">
        <f>IF(OR($C17="",$U17&lt;&gt;TRUE),"",VLOOKUP($B17,DC_TypeTbl,6,FALSE))</f>
        <v/>
      </c>
      <c r="AN17" s="54" t="str">
        <f>IF(OR($C17="",$U17&lt;&gt;TRUE),"",VLOOKUP($B17,DC_TypeTbl,7,FALSE))</f>
        <v/>
      </c>
    </row>
    <row r="18" spans="1:40" ht="19.95" customHeight="1" x14ac:dyDescent="0.3">
      <c r="A18" s="47">
        <v>7</v>
      </c>
      <c r="B18" s="37"/>
      <c r="C18" s="37"/>
      <c r="D18" s="37"/>
      <c r="E18" s="37"/>
      <c r="F18" s="37"/>
      <c r="G18" s="37"/>
      <c r="H18" s="56"/>
      <c r="I18" s="37"/>
      <c r="J18" s="39"/>
      <c r="K18" s="57" t="str">
        <f>IF($C18="","",IF(AND(ISNUMBER($G18),ISNUMBER($H18)),$G18*$H18,$I18))</f>
        <v/>
      </c>
      <c r="L18" s="58" t="str">
        <f>IF($C18="","",IF(NOT($U18),"",$AB18))</f>
        <v/>
      </c>
      <c r="M18" s="57" t="str">
        <f>IF($C18="","",IF(NOT($U18),"",IF(ISNUMBER($AL18),$AI18,"")))</f>
        <v/>
      </c>
      <c r="N18" s="36" t="str">
        <f>IF($C18="","",IF(NOT($U18),"Check inputs",IFERROR($AL18,"Exceeds range")))</f>
        <v/>
      </c>
      <c r="O18" s="57" t="str" cm="1">
        <f t="array" ref="O18">IF(OR($C18="",NOT(ISNUMBER($AL18))),"",INDEX(DC_CCC,MATCH($AL18,DC_Size,0),$Z18)*$AA18*$AI18)</f>
        <v/>
      </c>
      <c r="P18" s="59" t="str">
        <f>IF(OR($C18="",NOT(ISNUMBER($AL18))),"",2*$F18*($AC18/$AI18)*INDEX(DC_R,MATCH($AL18,DC_Size,0))*$AG18/1000)</f>
        <v/>
      </c>
      <c r="Q18" s="60" t="str">
        <f>IF($P18="","",$P18/$K18)</f>
        <v/>
      </c>
      <c r="R18" s="57" t="str">
        <f>IF($C18="","",IF(NOT($U18),"",IF($AE18=0,"Exceeds range",$AE18)))</f>
        <v/>
      </c>
      <c r="S18" s="36" t="str" cm="1">
        <f t="array" ref="S18">IF($C18="","",_xlfn.IFS(NOT($U18),"FAIL – check inputs",$K18&gt;Fac_DCMaxV,"FAIL – voltage &gt; max DC",NOT(ISNUMBER($AL18)),"FAIL – exceeds range",$Q18&gt;$Y18,"FAIL – volt drop",$R18&lt;=$L18,"FAIL – protection not &gt; Ib",$O18&lt;=$R18,"FAIL – CCC not &gt; protection",TRUE,"OK"))</f>
        <v/>
      </c>
      <c r="U18" s="54" t="str">
        <f>IF($C18="","",AND(ISNUMBER(MATCH($B18,DC_Types,0)),ISNUMBER($C18),$C18&gt;0,OR($D18="",AND(ISNUMBER($D18),$D18&gt;=1,INT($D18)=$D18)),ISNUMBER(MATCH($E18,DC_Method,0)),ISNUMBER($F18),$F18&gt;0,OR($G18="",AND(ISNUMBER($G18),$G18&gt;=1,INT($G18)=$G18)),OR($H18="",AND(ISNUMBER($H18),$H18&gt;0)),ISNUMBER($K18),$K18&gt;0,OR($J18="",AND(ISNUMBER($J18),$J18&gt;0,$J18&lt;=1.5))))</f>
        <v/>
      </c>
      <c r="V18" s="54" t="str">
        <f>IF(OR($C18="",$U18&lt;&gt;TRUE),"",IF($D18="",1,$D18))</f>
        <v/>
      </c>
      <c r="W18" s="54" t="str">
        <f>IF(OR($C18="",$U18&lt;&gt;TRUE),"",VLOOKUP($B18,DC_TypeTbl,2,FALSE))</f>
        <v/>
      </c>
      <c r="X18" s="54" t="str">
        <f>IF(OR($C18="",$U18&lt;&gt;TRUE),"",VLOOKUP($B18,DC_TypeTbl,3,FALSE))</f>
        <v/>
      </c>
      <c r="Y18" s="54" t="str">
        <f>IF(OR($C18="",$U18&lt;&gt;TRUE),"",VLOOKUP($B18,DC_TypeTbl,4,FALSE))</f>
        <v/>
      </c>
      <c r="Z18" s="54" t="str">
        <f>IF(OR($C18="",$U18&lt;&gt;TRUE),"",MATCH($E18,DC_Method,0))</f>
        <v/>
      </c>
      <c r="AA18" s="54" t="str">
        <f>IF(OR($C18="",$U18&lt;&gt;TRUE),"",IF($J18="",Fac_DCDerate,$J18))</f>
        <v/>
      </c>
      <c r="AB18" s="54" t="str">
        <f>IF(OR($C18="",$U18&lt;&gt;TRUE),"",$C18*$V18*$W18)</f>
        <v/>
      </c>
      <c r="AC18" s="54" t="str">
        <f>IF(OR($C18="",$U18&lt;&gt;TRUE),"",$C18*$V18)</f>
        <v/>
      </c>
      <c r="AD18" s="54" t="str">
        <f>IF(OR($C18="",$U18&lt;&gt;TRUE),"",$C18*$V18*$X18)</f>
        <v/>
      </c>
      <c r="AE18" s="54" t="str">
        <f>IF(OR($C18="",$U18&lt;&gt;TRUE),"",_xlfn.MINIFS(DC_Prot,DC_Prot,"&gt;"&amp;$AB18,DC_Prot,"&gt;="&amp;$AD18))</f>
        <v/>
      </c>
      <c r="AF18" s="54" t="str">
        <f>IF(OR($C18="",$U18&lt;&gt;TRUE),"",$AE18/$AA18)</f>
        <v/>
      </c>
      <c r="AG18" s="54" t="str">
        <f>IF(OR($C18="",$U18&lt;&gt;TRUE),"",1+Fac_CuAlpha*(Fac_DCTemp-20))</f>
        <v/>
      </c>
      <c r="AH18" s="54" t="str">
        <f>IF(OR($C18="",$U18&lt;&gt;TRUE),"",$Y18*$K18*1000/(2*$F18*$AC18*$AG18))</f>
        <v/>
      </c>
      <c r="AI18" s="54" t="str">
        <f>IF(OR($C18="",$U18&lt;&gt;TRUE),"",MIN($AN18,MAX(1,INT($AF18/_xlfn.MAXIFS(INDEX(DC_CCC,0,$Z18),DC_Size,"&lt;="&amp;$AM18))+1,ROUNDUP(_xlfn.MINIFS(DC_R,DC_Size,"&lt;="&amp;$AM18)/$AH18,0))))</f>
        <v/>
      </c>
      <c r="AJ18" s="54" t="str">
        <f>IF(OR($C18="",$U18&lt;&gt;TRUE),"",_xlfn.MINIFS(DC_Size,INDEX(DC_CCC,0,$Z18),"&gt;"&amp;$AF18/$AI18,DC_Size,"&lt;="&amp;$AM18))</f>
        <v/>
      </c>
      <c r="AK18" s="54" t="str">
        <f>IF(OR($C18="",$U18&lt;&gt;TRUE),"",_xlfn.MINIFS(DC_Size,DC_R,"&lt;="&amp;$AH18*$AI18,DC_Size,"&lt;="&amp;$AM18))</f>
        <v/>
      </c>
      <c r="AL18" s="54" t="str">
        <f>IF(OR($C18="",$U18&lt;&gt;TRUE),"",IF(OR($AE18=0,$AJ18=0),NA(),MAX($AJ18,IF($AK18=0,$AM18,$AK18))))</f>
        <v/>
      </c>
      <c r="AM18" s="54" t="str">
        <f>IF(OR($C18="",$U18&lt;&gt;TRUE),"",VLOOKUP($B18,DC_TypeTbl,6,FALSE))</f>
        <v/>
      </c>
      <c r="AN18" s="54" t="str">
        <f>IF(OR($C18="",$U18&lt;&gt;TRUE),"",VLOOKUP($B18,DC_TypeTbl,7,FALSE))</f>
        <v/>
      </c>
    </row>
    <row r="19" spans="1:40" ht="19.95" customHeight="1" x14ac:dyDescent="0.3">
      <c r="A19" s="47">
        <v>8</v>
      </c>
      <c r="B19" s="37"/>
      <c r="C19" s="37"/>
      <c r="D19" s="37"/>
      <c r="E19" s="37"/>
      <c r="F19" s="37"/>
      <c r="G19" s="37"/>
      <c r="H19" s="56"/>
      <c r="I19" s="37"/>
      <c r="J19" s="39"/>
      <c r="K19" s="57" t="str">
        <f>IF($C19="","",IF(AND(ISNUMBER($G19),ISNUMBER($H19)),$G19*$H19,$I19))</f>
        <v/>
      </c>
      <c r="L19" s="58" t="str">
        <f>IF($C19="","",IF(NOT($U19),"",$AB19))</f>
        <v/>
      </c>
      <c r="M19" s="57" t="str">
        <f>IF($C19="","",IF(NOT($U19),"",IF(ISNUMBER($AL19),$AI19,"")))</f>
        <v/>
      </c>
      <c r="N19" s="36" t="str">
        <f>IF($C19="","",IF(NOT($U19),"Check inputs",IFERROR($AL19,"Exceeds range")))</f>
        <v/>
      </c>
      <c r="O19" s="57" t="str" cm="1">
        <f t="array" ref="O19">IF(OR($C19="",NOT(ISNUMBER($AL19))),"",INDEX(DC_CCC,MATCH($AL19,DC_Size,0),$Z19)*$AA19*$AI19)</f>
        <v/>
      </c>
      <c r="P19" s="59" t="str">
        <f>IF(OR($C19="",NOT(ISNUMBER($AL19))),"",2*$F19*($AC19/$AI19)*INDEX(DC_R,MATCH($AL19,DC_Size,0))*$AG19/1000)</f>
        <v/>
      </c>
      <c r="Q19" s="60" t="str">
        <f>IF($P19="","",$P19/$K19)</f>
        <v/>
      </c>
      <c r="R19" s="57" t="str">
        <f>IF($C19="","",IF(NOT($U19),"",IF($AE19=0,"Exceeds range",$AE19)))</f>
        <v/>
      </c>
      <c r="S19" s="36" t="str" cm="1">
        <f t="array" ref="S19">IF($C19="","",_xlfn.IFS(NOT($U19),"FAIL – check inputs",$K19&gt;Fac_DCMaxV,"FAIL – voltage &gt; max DC",NOT(ISNUMBER($AL19)),"FAIL – exceeds range",$Q19&gt;$Y19,"FAIL – volt drop",$R19&lt;=$L19,"FAIL – protection not &gt; Ib",$O19&lt;=$R19,"FAIL – CCC not &gt; protection",TRUE,"OK"))</f>
        <v/>
      </c>
      <c r="U19" s="54" t="str">
        <f>IF($C19="","",AND(ISNUMBER(MATCH($B19,DC_Types,0)),ISNUMBER($C19),$C19&gt;0,OR($D19="",AND(ISNUMBER($D19),$D19&gt;=1,INT($D19)=$D19)),ISNUMBER(MATCH($E19,DC_Method,0)),ISNUMBER($F19),$F19&gt;0,OR($G19="",AND(ISNUMBER($G19),$G19&gt;=1,INT($G19)=$G19)),OR($H19="",AND(ISNUMBER($H19),$H19&gt;0)),ISNUMBER($K19),$K19&gt;0,OR($J19="",AND(ISNUMBER($J19),$J19&gt;0,$J19&lt;=1.5))))</f>
        <v/>
      </c>
      <c r="V19" s="54" t="str">
        <f>IF(OR($C19="",$U19&lt;&gt;TRUE),"",IF($D19="",1,$D19))</f>
        <v/>
      </c>
      <c r="W19" s="54" t="str">
        <f>IF(OR($C19="",$U19&lt;&gt;TRUE),"",VLOOKUP($B19,DC_TypeTbl,2,FALSE))</f>
        <v/>
      </c>
      <c r="X19" s="54" t="str">
        <f>IF(OR($C19="",$U19&lt;&gt;TRUE),"",VLOOKUP($B19,DC_TypeTbl,3,FALSE))</f>
        <v/>
      </c>
      <c r="Y19" s="54" t="str">
        <f>IF(OR($C19="",$U19&lt;&gt;TRUE),"",VLOOKUP($B19,DC_TypeTbl,4,FALSE))</f>
        <v/>
      </c>
      <c r="Z19" s="54" t="str">
        <f>IF(OR($C19="",$U19&lt;&gt;TRUE),"",MATCH($E19,DC_Method,0))</f>
        <v/>
      </c>
      <c r="AA19" s="54" t="str">
        <f>IF(OR($C19="",$U19&lt;&gt;TRUE),"",IF($J19="",Fac_DCDerate,$J19))</f>
        <v/>
      </c>
      <c r="AB19" s="54" t="str">
        <f>IF(OR($C19="",$U19&lt;&gt;TRUE),"",$C19*$V19*$W19)</f>
        <v/>
      </c>
      <c r="AC19" s="54" t="str">
        <f>IF(OR($C19="",$U19&lt;&gt;TRUE),"",$C19*$V19)</f>
        <v/>
      </c>
      <c r="AD19" s="54" t="str">
        <f>IF(OR($C19="",$U19&lt;&gt;TRUE),"",$C19*$V19*$X19)</f>
        <v/>
      </c>
      <c r="AE19" s="54" t="str">
        <f>IF(OR($C19="",$U19&lt;&gt;TRUE),"",_xlfn.MINIFS(DC_Prot,DC_Prot,"&gt;"&amp;$AB19,DC_Prot,"&gt;="&amp;$AD19))</f>
        <v/>
      </c>
      <c r="AF19" s="54" t="str">
        <f>IF(OR($C19="",$U19&lt;&gt;TRUE),"",$AE19/$AA19)</f>
        <v/>
      </c>
      <c r="AG19" s="54" t="str">
        <f>IF(OR($C19="",$U19&lt;&gt;TRUE),"",1+Fac_CuAlpha*(Fac_DCTemp-20))</f>
        <v/>
      </c>
      <c r="AH19" s="54" t="str">
        <f>IF(OR($C19="",$U19&lt;&gt;TRUE),"",$Y19*$K19*1000/(2*$F19*$AC19*$AG19))</f>
        <v/>
      </c>
      <c r="AI19" s="54" t="str">
        <f>IF(OR($C19="",$U19&lt;&gt;TRUE),"",MIN($AN19,MAX(1,INT($AF19/_xlfn.MAXIFS(INDEX(DC_CCC,0,$Z19),DC_Size,"&lt;="&amp;$AM19))+1,ROUNDUP(_xlfn.MINIFS(DC_R,DC_Size,"&lt;="&amp;$AM19)/$AH19,0))))</f>
        <v/>
      </c>
      <c r="AJ19" s="54" t="str">
        <f>IF(OR($C19="",$U19&lt;&gt;TRUE),"",_xlfn.MINIFS(DC_Size,INDEX(DC_CCC,0,$Z19),"&gt;"&amp;$AF19/$AI19,DC_Size,"&lt;="&amp;$AM19))</f>
        <v/>
      </c>
      <c r="AK19" s="54" t="str">
        <f>IF(OR($C19="",$U19&lt;&gt;TRUE),"",_xlfn.MINIFS(DC_Size,DC_R,"&lt;="&amp;$AH19*$AI19,DC_Size,"&lt;="&amp;$AM19))</f>
        <v/>
      </c>
      <c r="AL19" s="54" t="str">
        <f>IF(OR($C19="",$U19&lt;&gt;TRUE),"",IF(OR($AE19=0,$AJ19=0),NA(),MAX($AJ19,IF($AK19=0,$AM19,$AK19))))</f>
        <v/>
      </c>
      <c r="AM19" s="54" t="str">
        <f>IF(OR($C19="",$U19&lt;&gt;TRUE),"",VLOOKUP($B19,DC_TypeTbl,6,FALSE))</f>
        <v/>
      </c>
      <c r="AN19" s="54" t="str">
        <f>IF(OR($C19="",$U19&lt;&gt;TRUE),"",VLOOKUP($B19,DC_TypeTbl,7,FALSE))</f>
        <v/>
      </c>
    </row>
    <row r="20" spans="1:40" ht="19.95" customHeight="1" x14ac:dyDescent="0.3">
      <c r="A20" s="47">
        <v>9</v>
      </c>
      <c r="B20" s="37"/>
      <c r="C20" s="37"/>
      <c r="D20" s="37"/>
      <c r="E20" s="37"/>
      <c r="F20" s="37"/>
      <c r="G20" s="37"/>
      <c r="H20" s="56"/>
      <c r="I20" s="37"/>
      <c r="J20" s="39"/>
      <c r="K20" s="57" t="str">
        <f>IF($C20="","",IF(AND(ISNUMBER($G20),ISNUMBER($H20)),$G20*$H20,$I20))</f>
        <v/>
      </c>
      <c r="L20" s="58" t="str">
        <f>IF($C20="","",IF(NOT($U20),"",$AB20))</f>
        <v/>
      </c>
      <c r="M20" s="57" t="str">
        <f>IF($C20="","",IF(NOT($U20),"",IF(ISNUMBER($AL20),$AI20,"")))</f>
        <v/>
      </c>
      <c r="N20" s="36" t="str">
        <f>IF($C20="","",IF(NOT($U20),"Check inputs",IFERROR($AL20,"Exceeds range")))</f>
        <v/>
      </c>
      <c r="O20" s="57" t="str" cm="1">
        <f t="array" ref="O20">IF(OR($C20="",NOT(ISNUMBER($AL20))),"",INDEX(DC_CCC,MATCH($AL20,DC_Size,0),$Z20)*$AA20*$AI20)</f>
        <v/>
      </c>
      <c r="P20" s="59" t="str">
        <f>IF(OR($C20="",NOT(ISNUMBER($AL20))),"",2*$F20*($AC20/$AI20)*INDEX(DC_R,MATCH($AL20,DC_Size,0))*$AG20/1000)</f>
        <v/>
      </c>
      <c r="Q20" s="60" t="str">
        <f>IF($P20="","",$P20/$K20)</f>
        <v/>
      </c>
      <c r="R20" s="57" t="str">
        <f>IF($C20="","",IF(NOT($U20),"",IF($AE20=0,"Exceeds range",$AE20)))</f>
        <v/>
      </c>
      <c r="S20" s="36" t="str" cm="1">
        <f t="array" ref="S20">IF($C20="","",_xlfn.IFS(NOT($U20),"FAIL – check inputs",$K20&gt;Fac_DCMaxV,"FAIL – voltage &gt; max DC",NOT(ISNUMBER($AL20)),"FAIL – exceeds range",$Q20&gt;$Y20,"FAIL – volt drop",$R20&lt;=$L20,"FAIL – protection not &gt; Ib",$O20&lt;=$R20,"FAIL – CCC not &gt; protection",TRUE,"OK"))</f>
        <v/>
      </c>
      <c r="U20" s="54" t="str">
        <f>IF($C20="","",AND(ISNUMBER(MATCH($B20,DC_Types,0)),ISNUMBER($C20),$C20&gt;0,OR($D20="",AND(ISNUMBER($D20),$D20&gt;=1,INT($D20)=$D20)),ISNUMBER(MATCH($E20,DC_Method,0)),ISNUMBER($F20),$F20&gt;0,OR($G20="",AND(ISNUMBER($G20),$G20&gt;=1,INT($G20)=$G20)),OR($H20="",AND(ISNUMBER($H20),$H20&gt;0)),ISNUMBER($K20),$K20&gt;0,OR($J20="",AND(ISNUMBER($J20),$J20&gt;0,$J20&lt;=1.5))))</f>
        <v/>
      </c>
      <c r="V20" s="54" t="str">
        <f>IF(OR($C20="",$U20&lt;&gt;TRUE),"",IF($D20="",1,$D20))</f>
        <v/>
      </c>
      <c r="W20" s="54" t="str">
        <f>IF(OR($C20="",$U20&lt;&gt;TRUE),"",VLOOKUP($B20,DC_TypeTbl,2,FALSE))</f>
        <v/>
      </c>
      <c r="X20" s="54" t="str">
        <f>IF(OR($C20="",$U20&lt;&gt;TRUE),"",VLOOKUP($B20,DC_TypeTbl,3,FALSE))</f>
        <v/>
      </c>
      <c r="Y20" s="54" t="str">
        <f>IF(OR($C20="",$U20&lt;&gt;TRUE),"",VLOOKUP($B20,DC_TypeTbl,4,FALSE))</f>
        <v/>
      </c>
      <c r="Z20" s="54" t="str">
        <f>IF(OR($C20="",$U20&lt;&gt;TRUE),"",MATCH($E20,DC_Method,0))</f>
        <v/>
      </c>
      <c r="AA20" s="54" t="str">
        <f>IF(OR($C20="",$U20&lt;&gt;TRUE),"",IF($J20="",Fac_DCDerate,$J20))</f>
        <v/>
      </c>
      <c r="AB20" s="54" t="str">
        <f>IF(OR($C20="",$U20&lt;&gt;TRUE),"",$C20*$V20*$W20)</f>
        <v/>
      </c>
      <c r="AC20" s="54" t="str">
        <f>IF(OR($C20="",$U20&lt;&gt;TRUE),"",$C20*$V20)</f>
        <v/>
      </c>
      <c r="AD20" s="54" t="str">
        <f>IF(OR($C20="",$U20&lt;&gt;TRUE),"",$C20*$V20*$X20)</f>
        <v/>
      </c>
      <c r="AE20" s="54" t="str">
        <f>IF(OR($C20="",$U20&lt;&gt;TRUE),"",_xlfn.MINIFS(DC_Prot,DC_Prot,"&gt;"&amp;$AB20,DC_Prot,"&gt;="&amp;$AD20))</f>
        <v/>
      </c>
      <c r="AF20" s="54" t="str">
        <f>IF(OR($C20="",$U20&lt;&gt;TRUE),"",$AE20/$AA20)</f>
        <v/>
      </c>
      <c r="AG20" s="54" t="str">
        <f>IF(OR($C20="",$U20&lt;&gt;TRUE),"",1+Fac_CuAlpha*(Fac_DCTemp-20))</f>
        <v/>
      </c>
      <c r="AH20" s="54" t="str">
        <f>IF(OR($C20="",$U20&lt;&gt;TRUE),"",$Y20*$K20*1000/(2*$F20*$AC20*$AG20))</f>
        <v/>
      </c>
      <c r="AI20" s="54" t="str">
        <f>IF(OR($C20="",$U20&lt;&gt;TRUE),"",MIN($AN20,MAX(1,INT($AF20/_xlfn.MAXIFS(INDEX(DC_CCC,0,$Z20),DC_Size,"&lt;="&amp;$AM20))+1,ROUNDUP(_xlfn.MINIFS(DC_R,DC_Size,"&lt;="&amp;$AM20)/$AH20,0))))</f>
        <v/>
      </c>
      <c r="AJ20" s="54" t="str">
        <f>IF(OR($C20="",$U20&lt;&gt;TRUE),"",_xlfn.MINIFS(DC_Size,INDEX(DC_CCC,0,$Z20),"&gt;"&amp;$AF20/$AI20,DC_Size,"&lt;="&amp;$AM20))</f>
        <v/>
      </c>
      <c r="AK20" s="54" t="str">
        <f>IF(OR($C20="",$U20&lt;&gt;TRUE),"",_xlfn.MINIFS(DC_Size,DC_R,"&lt;="&amp;$AH20*$AI20,DC_Size,"&lt;="&amp;$AM20))</f>
        <v/>
      </c>
      <c r="AL20" s="54" t="str">
        <f>IF(OR($C20="",$U20&lt;&gt;TRUE),"",IF(OR($AE20=0,$AJ20=0),NA(),MAX($AJ20,IF($AK20=0,$AM20,$AK20))))</f>
        <v/>
      </c>
      <c r="AM20" s="54" t="str">
        <f>IF(OR($C20="",$U20&lt;&gt;TRUE),"",VLOOKUP($B20,DC_TypeTbl,6,FALSE))</f>
        <v/>
      </c>
      <c r="AN20" s="54" t="str">
        <f>IF(OR($C20="",$U20&lt;&gt;TRUE),"",VLOOKUP($B20,DC_TypeTbl,7,FALSE))</f>
        <v/>
      </c>
    </row>
    <row r="21" spans="1:40" ht="19.95" customHeight="1" x14ac:dyDescent="0.3">
      <c r="A21" s="47">
        <v>10</v>
      </c>
      <c r="B21" s="37"/>
      <c r="C21" s="37"/>
      <c r="D21" s="37"/>
      <c r="E21" s="37"/>
      <c r="F21" s="37"/>
      <c r="G21" s="37"/>
      <c r="H21" s="56"/>
      <c r="I21" s="37"/>
      <c r="J21" s="39"/>
      <c r="K21" s="57" t="str">
        <f>IF($C21="","",IF(AND(ISNUMBER($G21),ISNUMBER($H21)),$G21*$H21,$I21))</f>
        <v/>
      </c>
      <c r="L21" s="58" t="str">
        <f>IF($C21="","",IF(NOT($U21),"",$AB21))</f>
        <v/>
      </c>
      <c r="M21" s="57" t="str">
        <f>IF($C21="","",IF(NOT($U21),"",IF(ISNUMBER($AL21),$AI21,"")))</f>
        <v/>
      </c>
      <c r="N21" s="36" t="str">
        <f>IF($C21="","",IF(NOT($U21),"Check inputs",IFERROR($AL21,"Exceeds range")))</f>
        <v/>
      </c>
      <c r="O21" s="57" t="str" cm="1">
        <f t="array" ref="O21">IF(OR($C21="",NOT(ISNUMBER($AL21))),"",INDEX(DC_CCC,MATCH($AL21,DC_Size,0),$Z21)*$AA21*$AI21)</f>
        <v/>
      </c>
      <c r="P21" s="59" t="str">
        <f>IF(OR($C21="",NOT(ISNUMBER($AL21))),"",2*$F21*($AC21/$AI21)*INDEX(DC_R,MATCH($AL21,DC_Size,0))*$AG21/1000)</f>
        <v/>
      </c>
      <c r="Q21" s="60" t="str">
        <f>IF($P21="","",$P21/$K21)</f>
        <v/>
      </c>
      <c r="R21" s="57" t="str">
        <f>IF($C21="","",IF(NOT($U21),"",IF($AE21=0,"Exceeds range",$AE21)))</f>
        <v/>
      </c>
      <c r="S21" s="36" t="str" cm="1">
        <f t="array" ref="S21">IF($C21="","",_xlfn.IFS(NOT($U21),"FAIL – check inputs",$K21&gt;Fac_DCMaxV,"FAIL – voltage &gt; max DC",NOT(ISNUMBER($AL21)),"FAIL – exceeds range",$Q21&gt;$Y21,"FAIL – volt drop",$R21&lt;=$L21,"FAIL – protection not &gt; Ib",$O21&lt;=$R21,"FAIL – CCC not &gt; protection",TRUE,"OK"))</f>
        <v/>
      </c>
      <c r="U21" s="54" t="str">
        <f>IF($C21="","",AND(ISNUMBER(MATCH($B21,DC_Types,0)),ISNUMBER($C21),$C21&gt;0,OR($D21="",AND(ISNUMBER($D21),$D21&gt;=1,INT($D21)=$D21)),ISNUMBER(MATCH($E21,DC_Method,0)),ISNUMBER($F21),$F21&gt;0,OR($G21="",AND(ISNUMBER($G21),$G21&gt;=1,INT($G21)=$G21)),OR($H21="",AND(ISNUMBER($H21),$H21&gt;0)),ISNUMBER($K21),$K21&gt;0,OR($J21="",AND(ISNUMBER($J21),$J21&gt;0,$J21&lt;=1.5))))</f>
        <v/>
      </c>
      <c r="V21" s="54" t="str">
        <f>IF(OR($C21="",$U21&lt;&gt;TRUE),"",IF($D21="",1,$D21))</f>
        <v/>
      </c>
      <c r="W21" s="54" t="str">
        <f>IF(OR($C21="",$U21&lt;&gt;TRUE),"",VLOOKUP($B21,DC_TypeTbl,2,FALSE))</f>
        <v/>
      </c>
      <c r="X21" s="54" t="str">
        <f>IF(OR($C21="",$U21&lt;&gt;TRUE),"",VLOOKUP($B21,DC_TypeTbl,3,FALSE))</f>
        <v/>
      </c>
      <c r="Y21" s="54" t="str">
        <f>IF(OR($C21="",$U21&lt;&gt;TRUE),"",VLOOKUP($B21,DC_TypeTbl,4,FALSE))</f>
        <v/>
      </c>
      <c r="Z21" s="54" t="str">
        <f>IF(OR($C21="",$U21&lt;&gt;TRUE),"",MATCH($E21,DC_Method,0))</f>
        <v/>
      </c>
      <c r="AA21" s="54" t="str">
        <f>IF(OR($C21="",$U21&lt;&gt;TRUE),"",IF($J21="",Fac_DCDerate,$J21))</f>
        <v/>
      </c>
      <c r="AB21" s="54" t="str">
        <f>IF(OR($C21="",$U21&lt;&gt;TRUE),"",$C21*$V21*$W21)</f>
        <v/>
      </c>
      <c r="AC21" s="54" t="str">
        <f>IF(OR($C21="",$U21&lt;&gt;TRUE),"",$C21*$V21)</f>
        <v/>
      </c>
      <c r="AD21" s="54" t="str">
        <f>IF(OR($C21="",$U21&lt;&gt;TRUE),"",$C21*$V21*$X21)</f>
        <v/>
      </c>
      <c r="AE21" s="54" t="str">
        <f>IF(OR($C21="",$U21&lt;&gt;TRUE),"",_xlfn.MINIFS(DC_Prot,DC_Prot,"&gt;"&amp;$AB21,DC_Prot,"&gt;="&amp;$AD21))</f>
        <v/>
      </c>
      <c r="AF21" s="54" t="str">
        <f>IF(OR($C21="",$U21&lt;&gt;TRUE),"",$AE21/$AA21)</f>
        <v/>
      </c>
      <c r="AG21" s="54" t="str">
        <f>IF(OR($C21="",$U21&lt;&gt;TRUE),"",1+Fac_CuAlpha*(Fac_DCTemp-20))</f>
        <v/>
      </c>
      <c r="AH21" s="54" t="str">
        <f>IF(OR($C21="",$U21&lt;&gt;TRUE),"",$Y21*$K21*1000/(2*$F21*$AC21*$AG21))</f>
        <v/>
      </c>
      <c r="AI21" s="54" t="str">
        <f>IF(OR($C21="",$U21&lt;&gt;TRUE),"",MIN($AN21,MAX(1,INT($AF21/_xlfn.MAXIFS(INDEX(DC_CCC,0,$Z21),DC_Size,"&lt;="&amp;$AM21))+1,ROUNDUP(_xlfn.MINIFS(DC_R,DC_Size,"&lt;="&amp;$AM21)/$AH21,0))))</f>
        <v/>
      </c>
      <c r="AJ21" s="54" t="str">
        <f>IF(OR($C21="",$U21&lt;&gt;TRUE),"",_xlfn.MINIFS(DC_Size,INDEX(DC_CCC,0,$Z21),"&gt;"&amp;$AF21/$AI21,DC_Size,"&lt;="&amp;$AM21))</f>
        <v/>
      </c>
      <c r="AK21" s="54" t="str">
        <f>IF(OR($C21="",$U21&lt;&gt;TRUE),"",_xlfn.MINIFS(DC_Size,DC_R,"&lt;="&amp;$AH21*$AI21,DC_Size,"&lt;="&amp;$AM21))</f>
        <v/>
      </c>
      <c r="AL21" s="54" t="str">
        <f>IF(OR($C21="",$U21&lt;&gt;TRUE),"",IF(OR($AE21=0,$AJ21=0),NA(),MAX($AJ21,IF($AK21=0,$AM21,$AK21))))</f>
        <v/>
      </c>
      <c r="AM21" s="54" t="str">
        <f>IF(OR($C21="",$U21&lt;&gt;TRUE),"",VLOOKUP($B21,DC_TypeTbl,6,FALSE))</f>
        <v/>
      </c>
      <c r="AN21" s="54" t="str">
        <f>IF(OR($C21="",$U21&lt;&gt;TRUE),"",VLOOKUP($B21,DC_TypeTbl,7,FALSE))</f>
        <v/>
      </c>
    </row>
    <row r="23" spans="1:40" ht="15.6" x14ac:dyDescent="0.3">
      <c r="A23" s="55" t="s">
        <v>59</v>
      </c>
    </row>
    <row r="24" spans="1:40" x14ac:dyDescent="0.3">
      <c r="A24" s="8" t="s">
        <v>130</v>
      </c>
    </row>
    <row r="25" spans="1:40" x14ac:dyDescent="0.3">
      <c r="A25" s="8" t="s">
        <v>131</v>
      </c>
    </row>
    <row r="26" spans="1:40" x14ac:dyDescent="0.3">
      <c r="A26" s="8" t="s">
        <v>132</v>
      </c>
    </row>
    <row r="27" spans="1:40" x14ac:dyDescent="0.3">
      <c r="A27" s="8" t="s">
        <v>133</v>
      </c>
    </row>
    <row r="28" spans="1:40" x14ac:dyDescent="0.3">
      <c r="A28" s="8" t="s">
        <v>141</v>
      </c>
    </row>
    <row r="29" spans="1:40" x14ac:dyDescent="0.3">
      <c r="A29" s="8" t="s">
        <v>134</v>
      </c>
    </row>
    <row r="30" spans="1:40" x14ac:dyDescent="0.3">
      <c r="A30" s="8" t="s">
        <v>148</v>
      </c>
    </row>
    <row r="31" spans="1:40" x14ac:dyDescent="0.3">
      <c r="A31" s="8" t="s">
        <v>135</v>
      </c>
    </row>
    <row r="32" spans="1:40" x14ac:dyDescent="0.3">
      <c r="A32" s="8" t="s">
        <v>142</v>
      </c>
    </row>
    <row r="33" spans="1:1" x14ac:dyDescent="0.3">
      <c r="A33" s="8" t="s">
        <v>147</v>
      </c>
    </row>
  </sheetData>
  <mergeCells count="30">
    <mergeCell ref="A8:S8"/>
    <mergeCell ref="K5:L5"/>
    <mergeCell ref="M5:O5"/>
    <mergeCell ref="P5:Q5"/>
    <mergeCell ref="R5:S5"/>
    <mergeCell ref="K6:L6"/>
    <mergeCell ref="M6:O6"/>
    <mergeCell ref="P6:Q6"/>
    <mergeCell ref="R6:S6"/>
    <mergeCell ref="R3:S3"/>
    <mergeCell ref="K4:L4"/>
    <mergeCell ref="M4:O4"/>
    <mergeCell ref="P4:Q4"/>
    <mergeCell ref="R4:S4"/>
    <mergeCell ref="B10:J10"/>
    <mergeCell ref="K10:S10"/>
    <mergeCell ref="T10:AN10"/>
    <mergeCell ref="A1:C6"/>
    <mergeCell ref="D1:J6"/>
    <mergeCell ref="K1:L1"/>
    <mergeCell ref="M1:O1"/>
    <mergeCell ref="P1:Q1"/>
    <mergeCell ref="R1:S1"/>
    <mergeCell ref="K2:L2"/>
    <mergeCell ref="M2:O2"/>
    <mergeCell ref="P2:Q2"/>
    <mergeCell ref="R2:S2"/>
    <mergeCell ref="K3:L3"/>
    <mergeCell ref="M3:O3"/>
    <mergeCell ref="P3:Q3"/>
  </mergeCells>
  <conditionalFormatting sqref="N12:N21">
    <cfRule type="expression" dxfId="4" priority="5">
      <formula>AND($N12&lt;&gt;"",ISTEXT($N12))</formula>
    </cfRule>
  </conditionalFormatting>
  <conditionalFormatting sqref="Q12:Q21">
    <cfRule type="expression" dxfId="3" priority="3">
      <formula>AND(ISNUMBER($Q12),ISNUMBER($Y12),$Q12&gt;$Y12)</formula>
    </cfRule>
  </conditionalFormatting>
  <conditionalFormatting sqref="R12:R21">
    <cfRule type="expression" dxfId="2" priority="4">
      <formula>AND(ISNUMBER($R12),OR($R12&lt;=$L12,AND(ISNUMBER($O12),$R12&gt;=$O12)))</formula>
    </cfRule>
  </conditionalFormatting>
  <conditionalFormatting sqref="S12:S21">
    <cfRule type="expression" dxfId="1" priority="1">
      <formula>LEFT($S12,4)="FAIL"</formula>
    </cfRule>
    <cfRule type="expression" dxfId="0" priority="2">
      <formula>$S12="OK"</formula>
    </cfRule>
  </conditionalFormatting>
  <dataValidations count="9">
    <dataValidation type="list" allowBlank="1" showInputMessage="1" showErrorMessage="1" errorTitle="Circuit type" error="PV String / PV Array / Battery / General DC" promptTitle="Circuit type" prompt="PV String / PV Array / Battery / General DC" sqref="B12:B21" xr:uid="{BF663745-2700-4C72-A525-4CE2637E09DD}">
      <formula1>"PV String,PV Array,Battery,General DC"</formula1>
    </dataValidation>
    <dataValidation type="decimal" operator="greaterThanOrEqual" allowBlank="1" showInputMessage="1" showErrorMessage="1" errorTitle="Current input" error="PV: string Isc (STC). Battery/General: design current (A)." promptTitle="Current input" prompt="PV: string Isc (STC). Battery/General: design current (A)." sqref="C12:C21" xr:uid="{E729DC67-0337-4037-BBCF-589CED263AD1}">
      <formula1>0.01</formula1>
    </dataValidation>
    <dataValidation type="whole" allowBlank="1" showInputMessage="1" showErrorMessage="1" errorTitle="Strings in parallel" error="PV Array only. Leave blank = 1." promptTitle="Strings in parallel" prompt="PV Array only. Leave blank = 1." sqref="D12:D21" xr:uid="{1DD4D526-5918-4741-BFAF-A6A0554C6BBB}">
      <formula1>1</formula1>
      <formula2>500</formula2>
    </dataValidation>
    <dataValidation type="list" allowBlank="1" showInputMessage="1" showErrorMessage="1" errorTitle="Installation" error="Per EN 50618 Table A.3. Apply extra derating for conduit/grouping in the Derating column." promptTitle="Installation" prompt="Per EN 50618 Table A.3. Apply extra derating for conduit/grouping in the Derating column." sqref="E12:E21" xr:uid="{134F96F5-CD88-4896-87F4-A0A5A7BC4B7A}">
      <formula1>"Free Air (single),On Surface (single),On Surface (2 adjacent)"</formula1>
    </dataValidation>
    <dataValidation type="decimal" operator="greaterThanOrEqual" allowBlank="1" showInputMessage="1" showErrorMessage="1" errorTitle="Distance" error="One-way route length in metres (VD uses 2 x length)." promptTitle="Distance" prompt="One-way route length in metres (VD uses 2 x length)." sqref="F12:F21" xr:uid="{FE1B7FC5-0C28-4525-BB13-91D67680067D}">
      <formula1>0.1</formula1>
    </dataValidation>
    <dataValidation type="decimal" allowBlank="1" showInputMessage="1" showErrorMessage="1" errorTitle="Derating" error="Combined derating factor. Blank = default on 'SANS Data'." promptTitle="Derating" prompt="Combined derating factor. Blank = default on 'SANS Data'." sqref="J12:K21" xr:uid="{61B332AD-4A06-4F11-9CE9-44886D9678FD}">
      <formula1>0.1</formula1>
      <formula2>1.5</formula2>
    </dataValidation>
    <dataValidation type="whole" allowBlank="1" showInputMessage="1" showErrorMessage="1" errorTitle="Modules per string" error="Number of PV modules in series. With Vmp, this sets the system voltage." promptTitle="Modules per string" prompt="Number of PV modules in series. With Vmp, this sets the system voltage." sqref="G12:G21" xr:uid="{22294770-110E-4692-9E6A-AAD58386F5D9}">
      <formula1>1</formula1>
      <formula2>100</formula2>
    </dataValidation>
    <dataValidation type="decimal" allowBlank="1" showInputMessage="1" showErrorMessage="1" errorTitle="Module Vmp" error="Module max-power voltage Vmp (V) from datasheet." promptTitle="Module Vmp" prompt="Module max-power voltage Vmp (V) from datasheet." sqref="H12:H21" xr:uid="{5E70D995-BCDB-4B3C-9CF9-425EF570CB02}">
      <formula1>1</formula1>
      <formula2>200</formula2>
    </dataValidation>
    <dataValidation type="decimal" allowBlank="1" showInputMessage="1" showErrorMessage="1" errorTitle="System voltage" error="Used only when modules/Vmp are blank (e.g. battery, general DC)." promptTitle="System voltage" prompt="Used only when modules/Vmp are blank (e.g. battery, general DC)." sqref="I12:I21" xr:uid="{FFA356E9-CB4B-420D-8ABC-DC0809E5CE68}">
      <formula1>1</formula1>
      <formula2>1500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9455-F981-4E12-BD0E-CB800EA85236}">
  <dimension ref="A1:AO99"/>
  <sheetViews>
    <sheetView showGridLines="0" topLeftCell="A12" zoomScale="70" zoomScaleNormal="70" workbookViewId="0">
      <selection activeCell="A43" sqref="A43:G43"/>
    </sheetView>
  </sheetViews>
  <sheetFormatPr defaultRowHeight="14.4" x14ac:dyDescent="0.3"/>
  <cols>
    <col min="1" max="1" width="29.6640625" customWidth="1"/>
    <col min="2" max="2" width="7.44140625" bestFit="1" customWidth="1"/>
    <col min="3" max="3" width="5.33203125" bestFit="1" customWidth="1"/>
    <col min="4" max="4" width="4.88671875" bestFit="1" customWidth="1"/>
    <col min="5" max="5" width="4.109375" bestFit="1" customWidth="1"/>
    <col min="6" max="6" width="4.44140625" bestFit="1" customWidth="1"/>
    <col min="7" max="7" width="5.5546875" bestFit="1" customWidth="1"/>
    <col min="8" max="8" width="4.44140625" bestFit="1" customWidth="1"/>
    <col min="9" max="9" width="4.21875" bestFit="1" customWidth="1"/>
    <col min="11" max="11" width="10.33203125" bestFit="1" customWidth="1"/>
    <col min="12" max="13" width="12.21875" bestFit="1" customWidth="1"/>
    <col min="15" max="15" width="13.77734375" bestFit="1" customWidth="1"/>
    <col min="17" max="17" width="17.5546875" customWidth="1"/>
    <col min="18" max="18" width="11" bestFit="1" customWidth="1"/>
    <col min="19" max="19" width="15.77734375" customWidth="1"/>
    <col min="20" max="20" width="5.6640625" bestFit="1" customWidth="1"/>
    <col min="21" max="21" width="7.21875" bestFit="1" customWidth="1"/>
    <col min="23" max="23" width="20.33203125" customWidth="1"/>
    <col min="24" max="25" width="13.88671875" customWidth="1"/>
    <col min="26" max="32" width="7" customWidth="1"/>
    <col min="33" max="33" width="13" customWidth="1"/>
    <col min="34" max="39" width="7" customWidth="1"/>
    <col min="41" max="41" width="16.6640625" customWidth="1"/>
  </cols>
  <sheetData>
    <row r="1" spans="1:41" ht="24" customHeight="1" x14ac:dyDescent="0.3">
      <c r="A1" s="67" t="s">
        <v>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</row>
    <row r="2" spans="1:41" x14ac:dyDescent="0.3">
      <c r="A2" s="5" t="s">
        <v>10</v>
      </c>
    </row>
    <row r="3" spans="1:41" x14ac:dyDescent="0.3">
      <c r="A3" s="62" t="s">
        <v>11</v>
      </c>
      <c r="B3" s="63"/>
    </row>
    <row r="4" spans="1:41" x14ac:dyDescent="0.3">
      <c r="A4" t="s">
        <v>12</v>
      </c>
      <c r="B4" s="6">
        <v>1.28</v>
      </c>
    </row>
    <row r="5" spans="1:41" x14ac:dyDescent="0.3">
      <c r="A5" t="s">
        <v>13</v>
      </c>
      <c r="B5" s="6">
        <v>0.78</v>
      </c>
    </row>
    <row r="6" spans="1:41" x14ac:dyDescent="0.3">
      <c r="A6" t="s">
        <v>14</v>
      </c>
      <c r="B6" s="6">
        <v>1.64</v>
      </c>
    </row>
    <row r="7" spans="1:41" x14ac:dyDescent="0.3">
      <c r="A7" t="s">
        <v>177</v>
      </c>
      <c r="B7" s="6">
        <v>1</v>
      </c>
    </row>
    <row r="8" spans="1:41" x14ac:dyDescent="0.3">
      <c r="A8" t="s">
        <v>48</v>
      </c>
      <c r="B8" s="7">
        <v>0.03</v>
      </c>
    </row>
    <row r="9" spans="1:41" x14ac:dyDescent="0.3">
      <c r="A9" t="s">
        <v>176</v>
      </c>
      <c r="B9" s="10">
        <v>6</v>
      </c>
    </row>
    <row r="10" spans="1:41" x14ac:dyDescent="0.3">
      <c r="A10" t="s">
        <v>62</v>
      </c>
      <c r="B10" s="10">
        <v>630</v>
      </c>
    </row>
    <row r="11" spans="1:41" x14ac:dyDescent="0.3">
      <c r="A11" t="s">
        <v>230</v>
      </c>
      <c r="B11" s="12">
        <v>0.87</v>
      </c>
    </row>
    <row r="12" spans="1:41" x14ac:dyDescent="0.3">
      <c r="A12" s="4" t="s">
        <v>15</v>
      </c>
      <c r="W12" s="4" t="s">
        <v>158</v>
      </c>
    </row>
    <row r="13" spans="1:41" ht="28.8" x14ac:dyDescent="0.3">
      <c r="A13" s="65" t="s">
        <v>16</v>
      </c>
      <c r="B13" s="65" t="s">
        <v>17</v>
      </c>
      <c r="C13" s="65" t="s">
        <v>18</v>
      </c>
      <c r="D13" s="65" t="s">
        <v>19</v>
      </c>
      <c r="E13" s="65" t="s">
        <v>20</v>
      </c>
      <c r="F13" s="65" t="s">
        <v>21</v>
      </c>
      <c r="G13" s="65" t="s">
        <v>22</v>
      </c>
      <c r="H13" s="65" t="s">
        <v>23</v>
      </c>
      <c r="I13" s="64" t="s">
        <v>24</v>
      </c>
      <c r="K13" s="65" t="s">
        <v>16</v>
      </c>
      <c r="L13" s="65" t="s">
        <v>25</v>
      </c>
      <c r="M13" s="64" t="s">
        <v>26</v>
      </c>
      <c r="O13" s="81" t="s">
        <v>27</v>
      </c>
      <c r="P13" s="81" t="s">
        <v>197</v>
      </c>
      <c r="Q13" s="81" t="s">
        <v>28</v>
      </c>
      <c r="R13" s="81" t="s">
        <v>29</v>
      </c>
      <c r="S13" s="81" t="s">
        <v>151</v>
      </c>
      <c r="T13" s="81"/>
      <c r="U13" s="81" t="s">
        <v>41</v>
      </c>
      <c r="V13" s="81" t="s">
        <v>228</v>
      </c>
      <c r="W13" s="80" t="s">
        <v>159</v>
      </c>
      <c r="X13" s="65" t="s">
        <v>160</v>
      </c>
      <c r="Y13" s="65" t="s">
        <v>161</v>
      </c>
      <c r="Z13" s="65">
        <v>1</v>
      </c>
      <c r="AA13" s="65">
        <v>2</v>
      </c>
      <c r="AB13" s="65">
        <v>3</v>
      </c>
      <c r="AC13" s="65">
        <v>4</v>
      </c>
      <c r="AD13" s="65">
        <v>5</v>
      </c>
      <c r="AE13" s="64">
        <v>6</v>
      </c>
      <c r="AG13" s="65" t="s">
        <v>162</v>
      </c>
      <c r="AH13" s="65">
        <f>Z13</f>
        <v>1</v>
      </c>
      <c r="AI13" s="65">
        <f>AA13</f>
        <v>2</v>
      </c>
      <c r="AJ13" s="65">
        <f>AB13</f>
        <v>3</v>
      </c>
      <c r="AK13" s="65">
        <f>AC13</f>
        <v>4</v>
      </c>
      <c r="AL13" s="65">
        <f>AD13</f>
        <v>5</v>
      </c>
      <c r="AM13" s="64">
        <f>AE13</f>
        <v>6</v>
      </c>
      <c r="AO13" s="64" t="s">
        <v>170</v>
      </c>
    </row>
    <row r="14" spans="1:41" x14ac:dyDescent="0.3">
      <c r="A14" s="1">
        <v>1.5</v>
      </c>
      <c r="B14" s="2">
        <v>16.5</v>
      </c>
      <c r="C14" s="2">
        <v>15</v>
      </c>
      <c r="D14" s="2">
        <v>19.5</v>
      </c>
      <c r="E14" s="2">
        <v>17.5</v>
      </c>
      <c r="F14" s="2">
        <v>22</v>
      </c>
      <c r="G14" s="2">
        <v>18.5</v>
      </c>
      <c r="H14" s="2">
        <v>22</v>
      </c>
      <c r="I14" s="2">
        <v>18</v>
      </c>
      <c r="K14" s="1">
        <v>1.5</v>
      </c>
      <c r="L14" s="3">
        <v>29</v>
      </c>
      <c r="M14" s="3">
        <f t="shared" ref="M14:M29" si="0">L14*SQRT(3)/2</f>
        <v>25.114736709748719</v>
      </c>
      <c r="O14">
        <v>6</v>
      </c>
      <c r="P14" t="s">
        <v>198</v>
      </c>
      <c r="Q14" t="s">
        <v>6</v>
      </c>
      <c r="R14" t="s">
        <v>30</v>
      </c>
      <c r="S14" t="s">
        <v>152</v>
      </c>
      <c r="T14" t="s">
        <v>3</v>
      </c>
      <c r="U14">
        <v>2</v>
      </c>
      <c r="V14">
        <v>0</v>
      </c>
      <c r="W14" t="str">
        <f>X14&amp;"|"&amp;Y14</f>
        <v>AIR-BUNCH|Touching</v>
      </c>
      <c r="X14" t="s">
        <v>155</v>
      </c>
      <c r="Y14" t="s">
        <v>163</v>
      </c>
      <c r="Z14" s="17">
        <v>1</v>
      </c>
      <c r="AA14" s="17">
        <v>0.8</v>
      </c>
      <c r="AB14" s="17">
        <v>0.7</v>
      </c>
      <c r="AC14" s="17">
        <v>0.65</v>
      </c>
      <c r="AD14" s="17">
        <v>0.6</v>
      </c>
      <c r="AE14" s="17">
        <v>0.56999999999999995</v>
      </c>
      <c r="AH14" s="17">
        <f>AH$13*Z14</f>
        <v>1</v>
      </c>
      <c r="AI14" s="17">
        <f t="shared" ref="AI14:AI29" si="1">AI$13*AA14</f>
        <v>1.6</v>
      </c>
      <c r="AJ14" s="17">
        <f t="shared" ref="AJ14:AJ29" si="2">AJ$13*AB14</f>
        <v>2.0999999999999996</v>
      </c>
      <c r="AK14" s="17">
        <f t="shared" ref="AK14:AK29" si="3">AK$13*AC14</f>
        <v>2.6</v>
      </c>
      <c r="AL14" s="17">
        <f t="shared" ref="AL14:AL29" si="4">AL$13*AD14</f>
        <v>3</v>
      </c>
      <c r="AM14" s="17">
        <f t="shared" ref="AM14:AM29" si="5">AM$13*AE14</f>
        <v>3.42</v>
      </c>
      <c r="AO14" t="s">
        <v>163</v>
      </c>
    </row>
    <row r="15" spans="1:41" x14ac:dyDescent="0.3">
      <c r="A15" s="1">
        <v>2.5</v>
      </c>
      <c r="B15" s="2">
        <v>23</v>
      </c>
      <c r="C15" s="2">
        <v>20</v>
      </c>
      <c r="D15" s="2">
        <v>27</v>
      </c>
      <c r="E15" s="2">
        <v>24</v>
      </c>
      <c r="F15" s="2">
        <v>30</v>
      </c>
      <c r="G15" s="2">
        <v>25</v>
      </c>
      <c r="H15" s="2">
        <v>29</v>
      </c>
      <c r="I15" s="2">
        <v>24</v>
      </c>
      <c r="K15" s="1">
        <v>2.5</v>
      </c>
      <c r="L15" s="3">
        <v>18</v>
      </c>
      <c r="M15" s="3">
        <f t="shared" si="0"/>
        <v>15.588457268119894</v>
      </c>
      <c r="O15">
        <v>10</v>
      </c>
      <c r="P15" t="s">
        <v>198</v>
      </c>
      <c r="Q15" t="s">
        <v>31</v>
      </c>
      <c r="R15" t="s">
        <v>30</v>
      </c>
      <c r="S15" t="s">
        <v>153</v>
      </c>
      <c r="T15" t="s">
        <v>4</v>
      </c>
      <c r="U15">
        <v>3</v>
      </c>
      <c r="V15">
        <v>0</v>
      </c>
      <c r="W15" t="str">
        <f t="shared" ref="W15:W29" si="6">X15&amp;"|"&amp;Y15</f>
        <v>AIR-WALL|Touching</v>
      </c>
      <c r="X15" t="s">
        <v>154</v>
      </c>
      <c r="Y15" t="s">
        <v>163</v>
      </c>
      <c r="Z15" s="17">
        <v>1</v>
      </c>
      <c r="AA15" s="17">
        <v>0.85</v>
      </c>
      <c r="AB15" s="17">
        <v>0.79</v>
      </c>
      <c r="AC15" s="17">
        <v>0.75</v>
      </c>
      <c r="AD15" s="17">
        <v>0.73</v>
      </c>
      <c r="AE15" s="17">
        <v>0.72</v>
      </c>
      <c r="AH15" s="17">
        <f t="shared" ref="AH15:AH29" si="7">AH$13*Z15</f>
        <v>1</v>
      </c>
      <c r="AI15" s="17">
        <f t="shared" si="1"/>
        <v>1.7</v>
      </c>
      <c r="AJ15" s="17">
        <f t="shared" si="2"/>
        <v>2.37</v>
      </c>
      <c r="AK15" s="17">
        <f t="shared" si="3"/>
        <v>3</v>
      </c>
      <c r="AL15" s="17">
        <f t="shared" si="4"/>
        <v>3.65</v>
      </c>
      <c r="AM15" s="17">
        <f t="shared" si="5"/>
        <v>4.32</v>
      </c>
      <c r="AO15" t="s">
        <v>165</v>
      </c>
    </row>
    <row r="16" spans="1:41" x14ac:dyDescent="0.3">
      <c r="A16" s="1">
        <v>4</v>
      </c>
      <c r="B16" s="2">
        <v>30</v>
      </c>
      <c r="C16" s="2">
        <v>27</v>
      </c>
      <c r="D16" s="2">
        <v>36</v>
      </c>
      <c r="E16" s="2">
        <v>32</v>
      </c>
      <c r="F16" s="2">
        <v>40</v>
      </c>
      <c r="G16" s="2">
        <v>34</v>
      </c>
      <c r="H16" s="2">
        <v>38</v>
      </c>
      <c r="I16" s="2">
        <v>31</v>
      </c>
      <c r="K16" s="1">
        <v>4</v>
      </c>
      <c r="L16" s="3">
        <v>11</v>
      </c>
      <c r="M16" s="3">
        <f t="shared" si="0"/>
        <v>9.5262794416288248</v>
      </c>
      <c r="O16">
        <v>16</v>
      </c>
      <c r="P16" t="s">
        <v>198</v>
      </c>
      <c r="Q16" t="s">
        <v>32</v>
      </c>
      <c r="R16" t="s">
        <v>33</v>
      </c>
      <c r="S16" t="s">
        <v>154</v>
      </c>
      <c r="T16" t="s">
        <v>8</v>
      </c>
      <c r="U16">
        <v>3</v>
      </c>
      <c r="V16">
        <v>0</v>
      </c>
      <c r="W16" t="str">
        <f t="shared" si="6"/>
        <v>AIR-WALL|2 cable dia</v>
      </c>
      <c r="X16" t="s">
        <v>154</v>
      </c>
      <c r="Y16" t="s">
        <v>164</v>
      </c>
      <c r="Z16" s="17">
        <v>1</v>
      </c>
      <c r="AA16" s="17">
        <v>1</v>
      </c>
      <c r="AB16" s="17">
        <v>1</v>
      </c>
      <c r="AC16" s="17">
        <v>1</v>
      </c>
      <c r="AD16" s="17">
        <v>1</v>
      </c>
      <c r="AE16" s="17">
        <v>1</v>
      </c>
      <c r="AH16" s="17">
        <f t="shared" si="7"/>
        <v>1</v>
      </c>
      <c r="AI16" s="17">
        <f t="shared" si="1"/>
        <v>2</v>
      </c>
      <c r="AJ16" s="17">
        <f t="shared" si="2"/>
        <v>3</v>
      </c>
      <c r="AK16" s="17">
        <f t="shared" si="3"/>
        <v>4</v>
      </c>
      <c r="AL16" s="17">
        <f t="shared" si="4"/>
        <v>5</v>
      </c>
      <c r="AM16" s="17">
        <f t="shared" si="5"/>
        <v>6</v>
      </c>
      <c r="AO16" t="s">
        <v>164</v>
      </c>
    </row>
    <row r="17" spans="1:41" x14ac:dyDescent="0.3">
      <c r="A17" s="1">
        <v>6</v>
      </c>
      <c r="B17" s="2">
        <v>38</v>
      </c>
      <c r="C17" s="2">
        <v>34</v>
      </c>
      <c r="D17" s="2">
        <v>46</v>
      </c>
      <c r="E17" s="2">
        <v>41</v>
      </c>
      <c r="F17" s="2">
        <v>51</v>
      </c>
      <c r="G17" s="2">
        <v>43</v>
      </c>
      <c r="H17" s="2">
        <v>47</v>
      </c>
      <c r="I17" s="2">
        <v>39</v>
      </c>
      <c r="K17" s="1">
        <v>6</v>
      </c>
      <c r="L17" s="3">
        <v>7.3</v>
      </c>
      <c r="M17" s="3">
        <f t="shared" si="0"/>
        <v>6.3219854476264015</v>
      </c>
      <c r="O17">
        <v>20</v>
      </c>
      <c r="P17" t="s">
        <v>198</v>
      </c>
      <c r="Q17" t="s">
        <v>34</v>
      </c>
      <c r="R17" t="s">
        <v>33</v>
      </c>
      <c r="S17" t="s">
        <v>154</v>
      </c>
      <c r="T17" t="s">
        <v>226</v>
      </c>
      <c r="U17">
        <v>2</v>
      </c>
      <c r="V17">
        <v>1</v>
      </c>
      <c r="W17" t="str">
        <f t="shared" si="6"/>
        <v>AIR-TRAY|Touching</v>
      </c>
      <c r="X17" t="s">
        <v>153</v>
      </c>
      <c r="Y17" t="s">
        <v>163</v>
      </c>
      <c r="Z17" s="17">
        <v>1</v>
      </c>
      <c r="AA17" s="17">
        <v>0.88</v>
      </c>
      <c r="AB17" s="17">
        <v>0.82</v>
      </c>
      <c r="AC17" s="17">
        <v>0.77</v>
      </c>
      <c r="AD17" s="17">
        <v>0.75</v>
      </c>
      <c r="AE17" s="17">
        <v>0.73</v>
      </c>
      <c r="AH17" s="17">
        <f t="shared" si="7"/>
        <v>1</v>
      </c>
      <c r="AI17" s="17">
        <f t="shared" si="1"/>
        <v>1.76</v>
      </c>
      <c r="AJ17" s="17">
        <f t="shared" si="2"/>
        <v>2.46</v>
      </c>
      <c r="AK17" s="17">
        <f t="shared" si="3"/>
        <v>3.08</v>
      </c>
      <c r="AL17" s="17">
        <f t="shared" si="4"/>
        <v>3.75</v>
      </c>
      <c r="AM17" s="17">
        <f t="shared" si="5"/>
        <v>4.38</v>
      </c>
      <c r="AO17" t="s">
        <v>166</v>
      </c>
    </row>
    <row r="18" spans="1:41" x14ac:dyDescent="0.3">
      <c r="A18" s="1">
        <v>10</v>
      </c>
      <c r="B18" s="2">
        <v>52</v>
      </c>
      <c r="C18" s="2">
        <v>46</v>
      </c>
      <c r="D18" s="2">
        <v>63</v>
      </c>
      <c r="E18" s="2">
        <v>57</v>
      </c>
      <c r="F18" s="2">
        <v>70</v>
      </c>
      <c r="G18" s="2">
        <v>60</v>
      </c>
      <c r="H18" s="2">
        <v>63</v>
      </c>
      <c r="I18" s="2">
        <v>52</v>
      </c>
      <c r="K18" s="1">
        <v>10</v>
      </c>
      <c r="L18" s="3">
        <v>4.4000000000000004</v>
      </c>
      <c r="M18" s="3">
        <f t="shared" si="0"/>
        <v>3.8105117766515302</v>
      </c>
      <c r="O18">
        <v>25</v>
      </c>
      <c r="P18" t="s">
        <v>198</v>
      </c>
      <c r="Q18" t="s">
        <v>35</v>
      </c>
      <c r="R18" t="s">
        <v>36</v>
      </c>
      <c r="S18" t="s">
        <v>155</v>
      </c>
      <c r="T18" t="s">
        <v>227</v>
      </c>
      <c r="U18">
        <v>3</v>
      </c>
      <c r="V18">
        <v>1</v>
      </c>
      <c r="W18" t="str">
        <f t="shared" si="6"/>
        <v>AIR-TRAY|2 cable dia</v>
      </c>
      <c r="X18" t="s">
        <v>153</v>
      </c>
      <c r="Y18" t="s">
        <v>164</v>
      </c>
      <c r="Z18" s="17">
        <v>1</v>
      </c>
      <c r="AA18" s="17">
        <v>1</v>
      </c>
      <c r="AB18" s="17">
        <v>1</v>
      </c>
      <c r="AC18" s="17">
        <v>1</v>
      </c>
      <c r="AD18" s="17">
        <v>1</v>
      </c>
      <c r="AE18" s="17">
        <v>1</v>
      </c>
      <c r="AH18" s="17">
        <f t="shared" si="7"/>
        <v>1</v>
      </c>
      <c r="AI18" s="17">
        <f t="shared" si="1"/>
        <v>2</v>
      </c>
      <c r="AJ18" s="17">
        <f t="shared" si="2"/>
        <v>3</v>
      </c>
      <c r="AK18" s="17">
        <f t="shared" si="3"/>
        <v>4</v>
      </c>
      <c r="AL18" s="17">
        <f t="shared" si="4"/>
        <v>5</v>
      </c>
      <c r="AM18" s="17">
        <f t="shared" si="5"/>
        <v>6</v>
      </c>
      <c r="AO18" t="s">
        <v>167</v>
      </c>
    </row>
    <row r="19" spans="1:41" x14ac:dyDescent="0.3">
      <c r="A19" s="1">
        <v>16</v>
      </c>
      <c r="B19" s="2">
        <v>69</v>
      </c>
      <c r="C19" s="2">
        <v>62</v>
      </c>
      <c r="D19" s="2">
        <v>85</v>
      </c>
      <c r="E19" s="2">
        <v>76</v>
      </c>
      <c r="F19" s="2">
        <v>94</v>
      </c>
      <c r="G19" s="2">
        <v>80</v>
      </c>
      <c r="H19" s="2">
        <v>81</v>
      </c>
      <c r="I19" s="2">
        <v>67</v>
      </c>
      <c r="K19" s="1">
        <v>16</v>
      </c>
      <c r="L19" s="3">
        <v>2.8</v>
      </c>
      <c r="M19" s="3">
        <f t="shared" si="0"/>
        <v>2.4248711305964279</v>
      </c>
      <c r="O19">
        <v>32</v>
      </c>
      <c r="P19" t="s">
        <v>198</v>
      </c>
      <c r="Q19" t="s">
        <v>37</v>
      </c>
      <c r="R19" t="s">
        <v>36</v>
      </c>
      <c r="S19" t="s">
        <v>155</v>
      </c>
      <c r="W19" t="str">
        <f t="shared" si="6"/>
        <v>AIR-LADDER|Touching</v>
      </c>
      <c r="X19" t="s">
        <v>152</v>
      </c>
      <c r="Y19" t="s">
        <v>163</v>
      </c>
      <c r="Z19" s="17">
        <v>1</v>
      </c>
      <c r="AA19" s="17">
        <v>0.87</v>
      </c>
      <c r="AB19" s="17">
        <v>0.82</v>
      </c>
      <c r="AC19" s="17">
        <v>0.8</v>
      </c>
      <c r="AD19" s="17">
        <v>0.8</v>
      </c>
      <c r="AE19" s="17">
        <v>0.79</v>
      </c>
      <c r="AH19" s="17">
        <f t="shared" si="7"/>
        <v>1</v>
      </c>
      <c r="AI19" s="17">
        <f t="shared" si="1"/>
        <v>1.74</v>
      </c>
      <c r="AJ19" s="17">
        <f t="shared" si="2"/>
        <v>2.46</v>
      </c>
      <c r="AK19" s="17">
        <f t="shared" si="3"/>
        <v>3.2</v>
      </c>
      <c r="AL19" s="17">
        <f t="shared" si="4"/>
        <v>4</v>
      </c>
      <c r="AM19" s="17">
        <f t="shared" si="5"/>
        <v>4.74</v>
      </c>
      <c r="AO19" t="s">
        <v>168</v>
      </c>
    </row>
    <row r="20" spans="1:41" x14ac:dyDescent="0.3">
      <c r="A20" s="1">
        <v>25</v>
      </c>
      <c r="B20" s="2">
        <v>90</v>
      </c>
      <c r="C20" s="2">
        <v>80</v>
      </c>
      <c r="D20" s="2">
        <v>112</v>
      </c>
      <c r="E20" s="2">
        <v>96</v>
      </c>
      <c r="F20" s="2">
        <v>119</v>
      </c>
      <c r="G20" s="2">
        <v>101</v>
      </c>
      <c r="H20" s="2">
        <v>104</v>
      </c>
      <c r="I20" s="2">
        <v>86</v>
      </c>
      <c r="K20" s="1">
        <v>25</v>
      </c>
      <c r="L20" s="3">
        <v>1.75</v>
      </c>
      <c r="M20" s="3">
        <f t="shared" si="0"/>
        <v>1.5155444566227676</v>
      </c>
      <c r="O20">
        <v>40</v>
      </c>
      <c r="P20" t="s">
        <v>198</v>
      </c>
      <c r="Q20" t="s">
        <v>38</v>
      </c>
      <c r="R20" t="s">
        <v>39</v>
      </c>
      <c r="S20" t="s">
        <v>156</v>
      </c>
      <c r="W20" t="str">
        <f t="shared" si="6"/>
        <v>AIR-LADDER|2 cable dia</v>
      </c>
      <c r="X20" t="s">
        <v>152</v>
      </c>
      <c r="Y20" t="s">
        <v>164</v>
      </c>
      <c r="Z20" s="17">
        <v>1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H20" s="17">
        <f t="shared" si="7"/>
        <v>1</v>
      </c>
      <c r="AI20" s="17">
        <f t="shared" si="1"/>
        <v>2</v>
      </c>
      <c r="AJ20" s="17">
        <f t="shared" si="2"/>
        <v>3</v>
      </c>
      <c r="AK20" s="17">
        <f t="shared" si="3"/>
        <v>4</v>
      </c>
      <c r="AL20" s="17">
        <f t="shared" si="4"/>
        <v>5</v>
      </c>
      <c r="AM20" s="17">
        <f t="shared" si="5"/>
        <v>6</v>
      </c>
      <c r="AO20" t="s">
        <v>169</v>
      </c>
    </row>
    <row r="21" spans="1:41" x14ac:dyDescent="0.3">
      <c r="A21" s="1">
        <v>35</v>
      </c>
      <c r="B21" s="2">
        <v>111</v>
      </c>
      <c r="C21" s="2">
        <v>99</v>
      </c>
      <c r="D21" s="2">
        <v>138</v>
      </c>
      <c r="E21" s="2">
        <v>119</v>
      </c>
      <c r="F21" s="2">
        <v>148</v>
      </c>
      <c r="G21" s="2">
        <v>126</v>
      </c>
      <c r="H21" s="2">
        <v>125</v>
      </c>
      <c r="I21" s="2">
        <v>103</v>
      </c>
      <c r="K21" s="1">
        <v>35</v>
      </c>
      <c r="L21" s="3">
        <v>1.25</v>
      </c>
      <c r="M21" s="3">
        <f t="shared" si="0"/>
        <v>1.0825317547305482</v>
      </c>
      <c r="O21">
        <v>50</v>
      </c>
      <c r="P21" t="s">
        <v>198</v>
      </c>
      <c r="Q21" t="s">
        <v>40</v>
      </c>
      <c r="R21" t="s">
        <v>39</v>
      </c>
      <c r="S21" t="s">
        <v>157</v>
      </c>
      <c r="W21" t="str">
        <f t="shared" si="6"/>
        <v>GND-DIRECT|Touching</v>
      </c>
      <c r="X21" t="s">
        <v>156</v>
      </c>
      <c r="Y21" t="s">
        <v>163</v>
      </c>
      <c r="Z21" s="17">
        <v>1</v>
      </c>
      <c r="AA21" s="17">
        <v>0.75</v>
      </c>
      <c r="AB21" s="17">
        <v>0.65</v>
      </c>
      <c r="AC21" s="17">
        <v>0.6</v>
      </c>
      <c r="AD21" s="17">
        <v>0.55000000000000004</v>
      </c>
      <c r="AE21" s="17">
        <v>0.5</v>
      </c>
      <c r="AH21" s="17">
        <f t="shared" si="7"/>
        <v>1</v>
      </c>
      <c r="AI21" s="17">
        <f t="shared" si="1"/>
        <v>1.5</v>
      </c>
      <c r="AJ21" s="17">
        <f t="shared" si="2"/>
        <v>1.9500000000000002</v>
      </c>
      <c r="AK21" s="17">
        <f t="shared" si="3"/>
        <v>2.4</v>
      </c>
      <c r="AL21" s="17">
        <f t="shared" si="4"/>
        <v>2.75</v>
      </c>
      <c r="AM21" s="17">
        <f t="shared" si="5"/>
        <v>3</v>
      </c>
    </row>
    <row r="22" spans="1:41" x14ac:dyDescent="0.3">
      <c r="A22" s="1">
        <v>50</v>
      </c>
      <c r="B22" s="2">
        <v>133</v>
      </c>
      <c r="C22" s="2">
        <v>118</v>
      </c>
      <c r="D22" s="2">
        <v>168</v>
      </c>
      <c r="E22" s="2">
        <v>144</v>
      </c>
      <c r="F22" s="2">
        <v>180</v>
      </c>
      <c r="G22" s="2">
        <v>153</v>
      </c>
      <c r="H22" s="2">
        <v>148</v>
      </c>
      <c r="I22" s="2">
        <v>122</v>
      </c>
      <c r="K22" s="1">
        <v>50</v>
      </c>
      <c r="L22" s="3">
        <v>0.94</v>
      </c>
      <c r="M22" s="3">
        <f t="shared" si="0"/>
        <v>0.81406387955737225</v>
      </c>
      <c r="O22">
        <v>63</v>
      </c>
      <c r="P22" t="s">
        <v>198</v>
      </c>
      <c r="W22" t="str">
        <f t="shared" si="6"/>
        <v>GND-DIRECT|1 cable dia</v>
      </c>
      <c r="X22" t="s">
        <v>156</v>
      </c>
      <c r="Y22" t="s">
        <v>165</v>
      </c>
      <c r="Z22" s="17">
        <v>1</v>
      </c>
      <c r="AA22" s="17">
        <v>0.8</v>
      </c>
      <c r="AB22" s="17">
        <v>0.7</v>
      </c>
      <c r="AC22" s="17">
        <v>0.6</v>
      </c>
      <c r="AD22" s="17">
        <v>0.55000000000000004</v>
      </c>
      <c r="AE22" s="17">
        <v>0.55000000000000004</v>
      </c>
      <c r="AH22" s="17">
        <f t="shared" si="7"/>
        <v>1</v>
      </c>
      <c r="AI22" s="17">
        <f t="shared" si="1"/>
        <v>1.6</v>
      </c>
      <c r="AJ22" s="17">
        <f t="shared" si="2"/>
        <v>2.0999999999999996</v>
      </c>
      <c r="AK22" s="17">
        <f t="shared" si="3"/>
        <v>2.4</v>
      </c>
      <c r="AL22" s="17">
        <f t="shared" si="4"/>
        <v>2.75</v>
      </c>
      <c r="AM22" s="17">
        <f t="shared" si="5"/>
        <v>3.3000000000000003</v>
      </c>
    </row>
    <row r="23" spans="1:41" x14ac:dyDescent="0.3">
      <c r="A23" s="1">
        <v>70</v>
      </c>
      <c r="B23" s="2">
        <v>168</v>
      </c>
      <c r="C23" s="2">
        <v>149</v>
      </c>
      <c r="D23" s="2">
        <v>213</v>
      </c>
      <c r="E23" s="2">
        <v>184</v>
      </c>
      <c r="F23" s="2">
        <v>232</v>
      </c>
      <c r="G23" s="2">
        <v>196</v>
      </c>
      <c r="H23" s="2">
        <v>183</v>
      </c>
      <c r="I23" s="2">
        <v>151</v>
      </c>
      <c r="K23" s="1">
        <v>70</v>
      </c>
      <c r="L23" s="3">
        <v>0.63</v>
      </c>
      <c r="M23" s="3">
        <f t="shared" si="0"/>
        <v>0.54559600438419631</v>
      </c>
      <c r="O23">
        <v>80</v>
      </c>
      <c r="P23" t="s">
        <v>199</v>
      </c>
      <c r="W23" t="str">
        <f t="shared" si="6"/>
        <v>GND-DIRECT|0.125 m</v>
      </c>
      <c r="X23" t="s">
        <v>156</v>
      </c>
      <c r="Y23" t="s">
        <v>166</v>
      </c>
      <c r="Z23" s="17">
        <v>1</v>
      </c>
      <c r="AA23" s="17">
        <v>0.85</v>
      </c>
      <c r="AB23" s="17">
        <v>0.75</v>
      </c>
      <c r="AC23" s="17">
        <v>0.7</v>
      </c>
      <c r="AD23" s="17">
        <v>0.65</v>
      </c>
      <c r="AE23" s="17">
        <v>0.6</v>
      </c>
      <c r="AH23" s="17">
        <f t="shared" si="7"/>
        <v>1</v>
      </c>
      <c r="AI23" s="17">
        <f t="shared" si="1"/>
        <v>1.7</v>
      </c>
      <c r="AJ23" s="17">
        <f t="shared" si="2"/>
        <v>2.25</v>
      </c>
      <c r="AK23" s="17">
        <f t="shared" si="3"/>
        <v>2.8</v>
      </c>
      <c r="AL23" s="17">
        <f t="shared" si="4"/>
        <v>3.25</v>
      </c>
      <c r="AM23" s="17">
        <f t="shared" si="5"/>
        <v>3.5999999999999996</v>
      </c>
    </row>
    <row r="24" spans="1:41" x14ac:dyDescent="0.3">
      <c r="A24" s="1">
        <v>95</v>
      </c>
      <c r="B24" s="2">
        <v>201</v>
      </c>
      <c r="C24" s="2">
        <v>179</v>
      </c>
      <c r="D24" s="2">
        <v>258</v>
      </c>
      <c r="E24" s="2">
        <v>223</v>
      </c>
      <c r="F24" s="2">
        <v>282</v>
      </c>
      <c r="G24" s="2">
        <v>238</v>
      </c>
      <c r="H24" s="2">
        <v>216</v>
      </c>
      <c r="I24" s="2">
        <v>179</v>
      </c>
      <c r="K24" s="1">
        <v>95</v>
      </c>
      <c r="L24" s="3">
        <v>0.47</v>
      </c>
      <c r="M24" s="3">
        <f t="shared" si="0"/>
        <v>0.40703193977868612</v>
      </c>
      <c r="O24">
        <v>100</v>
      </c>
      <c r="P24" t="s">
        <v>199</v>
      </c>
      <c r="W24" t="str">
        <f t="shared" si="6"/>
        <v>GND-DIRECT|0.25 m</v>
      </c>
      <c r="X24" t="s">
        <v>156</v>
      </c>
      <c r="Y24" t="s">
        <v>167</v>
      </c>
      <c r="Z24" s="17">
        <v>1</v>
      </c>
      <c r="AA24" s="17">
        <v>0.9</v>
      </c>
      <c r="AB24" s="17">
        <v>0.8</v>
      </c>
      <c r="AC24" s="17">
        <v>0.75</v>
      </c>
      <c r="AD24" s="17">
        <v>0.7</v>
      </c>
      <c r="AE24" s="17">
        <v>0.7</v>
      </c>
      <c r="AH24" s="17">
        <f t="shared" si="7"/>
        <v>1</v>
      </c>
      <c r="AI24" s="17">
        <f t="shared" si="1"/>
        <v>1.8</v>
      </c>
      <c r="AJ24" s="17">
        <f t="shared" si="2"/>
        <v>2.4000000000000004</v>
      </c>
      <c r="AK24" s="17">
        <f t="shared" si="3"/>
        <v>3</v>
      </c>
      <c r="AL24" s="17">
        <f t="shared" si="4"/>
        <v>3.5</v>
      </c>
      <c r="AM24" s="17">
        <f t="shared" si="5"/>
        <v>4.1999999999999993</v>
      </c>
    </row>
    <row r="25" spans="1:41" x14ac:dyDescent="0.3">
      <c r="A25" s="1">
        <v>120</v>
      </c>
      <c r="B25" s="2">
        <v>232</v>
      </c>
      <c r="C25" s="2">
        <v>206</v>
      </c>
      <c r="D25" s="2">
        <v>299</v>
      </c>
      <c r="E25" s="2">
        <v>259</v>
      </c>
      <c r="F25" s="2">
        <v>328</v>
      </c>
      <c r="G25" s="2">
        <v>276</v>
      </c>
      <c r="H25" s="2">
        <v>246</v>
      </c>
      <c r="I25" s="2">
        <v>203</v>
      </c>
      <c r="K25" s="1">
        <v>120</v>
      </c>
      <c r="L25" s="3">
        <v>0.38</v>
      </c>
      <c r="M25" s="3">
        <f t="shared" si="0"/>
        <v>0.32908965343808666</v>
      </c>
      <c r="O25">
        <v>125</v>
      </c>
      <c r="P25" t="s">
        <v>199</v>
      </c>
      <c r="W25" t="str">
        <f t="shared" si="6"/>
        <v>GND-DIRECT|0.5 m</v>
      </c>
      <c r="X25" t="s">
        <v>156</v>
      </c>
      <c r="Y25" t="s">
        <v>168</v>
      </c>
      <c r="Z25" s="17">
        <v>1</v>
      </c>
      <c r="AA25" s="17">
        <v>0.9</v>
      </c>
      <c r="AB25" s="17">
        <v>0.85</v>
      </c>
      <c r="AC25" s="17">
        <v>0.8</v>
      </c>
      <c r="AD25" s="17">
        <v>0.8</v>
      </c>
      <c r="AE25" s="17">
        <v>0.8</v>
      </c>
      <c r="AH25" s="17">
        <f t="shared" si="7"/>
        <v>1</v>
      </c>
      <c r="AI25" s="17">
        <f t="shared" si="1"/>
        <v>1.8</v>
      </c>
      <c r="AJ25" s="17">
        <f t="shared" si="2"/>
        <v>2.5499999999999998</v>
      </c>
      <c r="AK25" s="17">
        <f t="shared" si="3"/>
        <v>3.2</v>
      </c>
      <c r="AL25" s="17">
        <f t="shared" si="4"/>
        <v>4</v>
      </c>
      <c r="AM25" s="17">
        <f t="shared" si="5"/>
        <v>4.8000000000000007</v>
      </c>
    </row>
    <row r="26" spans="1:41" x14ac:dyDescent="0.3">
      <c r="A26" s="1">
        <v>150</v>
      </c>
      <c r="B26" s="2">
        <v>266</v>
      </c>
      <c r="C26" s="2">
        <v>236</v>
      </c>
      <c r="D26" s="2">
        <v>344</v>
      </c>
      <c r="E26" s="2">
        <v>299</v>
      </c>
      <c r="F26" s="2">
        <v>379</v>
      </c>
      <c r="G26" s="2">
        <v>319</v>
      </c>
      <c r="H26" s="2">
        <v>278</v>
      </c>
      <c r="I26" s="2">
        <v>230</v>
      </c>
      <c r="K26" s="1">
        <v>150</v>
      </c>
      <c r="L26" s="3">
        <v>0.3</v>
      </c>
      <c r="M26" s="3">
        <f t="shared" si="0"/>
        <v>0.25980762113533157</v>
      </c>
      <c r="O26">
        <v>160</v>
      </c>
      <c r="P26" t="s">
        <v>199</v>
      </c>
      <c r="W26" t="str">
        <f t="shared" si="6"/>
        <v>GND-DUCT|Touching</v>
      </c>
      <c r="X26" t="s">
        <v>157</v>
      </c>
      <c r="Y26" t="s">
        <v>163</v>
      </c>
      <c r="Z26" s="17">
        <v>1</v>
      </c>
      <c r="AA26" s="17">
        <v>0.85</v>
      </c>
      <c r="AB26" s="17">
        <v>0.75</v>
      </c>
      <c r="AC26" s="17">
        <v>0.7</v>
      </c>
      <c r="AD26" s="17">
        <v>0.65</v>
      </c>
      <c r="AE26" s="17">
        <v>0.6</v>
      </c>
      <c r="AH26" s="17">
        <f t="shared" si="7"/>
        <v>1</v>
      </c>
      <c r="AI26" s="17">
        <f t="shared" si="1"/>
        <v>1.7</v>
      </c>
      <c r="AJ26" s="17">
        <f t="shared" si="2"/>
        <v>2.25</v>
      </c>
      <c r="AK26" s="17">
        <f t="shared" si="3"/>
        <v>2.8</v>
      </c>
      <c r="AL26" s="17">
        <f t="shared" si="4"/>
        <v>3.25</v>
      </c>
      <c r="AM26" s="17">
        <f t="shared" si="5"/>
        <v>3.5999999999999996</v>
      </c>
    </row>
    <row r="27" spans="1:41" x14ac:dyDescent="0.3">
      <c r="A27" s="1">
        <v>185</v>
      </c>
      <c r="B27" s="2">
        <v>303</v>
      </c>
      <c r="C27" s="2">
        <v>268</v>
      </c>
      <c r="D27" s="2">
        <v>392</v>
      </c>
      <c r="E27" s="2">
        <v>341</v>
      </c>
      <c r="F27" s="2">
        <v>434</v>
      </c>
      <c r="G27" s="2">
        <v>364</v>
      </c>
      <c r="H27" s="2">
        <v>312</v>
      </c>
      <c r="I27" s="2">
        <v>258</v>
      </c>
      <c r="K27" s="1">
        <v>185</v>
      </c>
      <c r="L27" s="3">
        <v>0.25</v>
      </c>
      <c r="M27" s="3">
        <f t="shared" si="0"/>
        <v>0.21650635094610965</v>
      </c>
      <c r="O27">
        <v>200</v>
      </c>
      <c r="P27" t="s">
        <v>199</v>
      </c>
      <c r="W27" t="str">
        <f t="shared" si="6"/>
        <v>GND-DUCT|0.25 m</v>
      </c>
      <c r="X27" t="s">
        <v>157</v>
      </c>
      <c r="Y27" t="s">
        <v>167</v>
      </c>
      <c r="Z27" s="17">
        <v>1</v>
      </c>
      <c r="AA27" s="17">
        <v>0.9</v>
      </c>
      <c r="AB27" s="17">
        <v>0.85</v>
      </c>
      <c r="AC27" s="17">
        <v>0.8</v>
      </c>
      <c r="AD27" s="17">
        <v>0.8</v>
      </c>
      <c r="AE27" s="17">
        <v>0.8</v>
      </c>
      <c r="AH27" s="17">
        <f t="shared" si="7"/>
        <v>1</v>
      </c>
      <c r="AI27" s="17">
        <f t="shared" si="1"/>
        <v>1.8</v>
      </c>
      <c r="AJ27" s="17">
        <f t="shared" si="2"/>
        <v>2.5499999999999998</v>
      </c>
      <c r="AK27" s="17">
        <f t="shared" si="3"/>
        <v>3.2</v>
      </c>
      <c r="AL27" s="17">
        <f t="shared" si="4"/>
        <v>4</v>
      </c>
      <c r="AM27" s="17">
        <f t="shared" si="5"/>
        <v>4.8000000000000007</v>
      </c>
    </row>
    <row r="28" spans="1:41" x14ac:dyDescent="0.3">
      <c r="A28" s="1">
        <v>240</v>
      </c>
      <c r="B28" s="2">
        <v>356</v>
      </c>
      <c r="C28" s="2">
        <v>315</v>
      </c>
      <c r="D28" s="2">
        <v>461</v>
      </c>
      <c r="E28" s="2">
        <v>403</v>
      </c>
      <c r="F28" s="2">
        <v>514</v>
      </c>
      <c r="G28" s="2">
        <v>430</v>
      </c>
      <c r="H28" s="2">
        <v>361</v>
      </c>
      <c r="I28" s="2">
        <v>297</v>
      </c>
      <c r="K28" s="1">
        <v>240</v>
      </c>
      <c r="L28" s="3">
        <v>0.19500000000000001</v>
      </c>
      <c r="M28" s="3">
        <f t="shared" si="0"/>
        <v>0.16887495373796554</v>
      </c>
      <c r="O28">
        <v>250</v>
      </c>
      <c r="P28" t="s">
        <v>199</v>
      </c>
      <c r="W28" t="str">
        <f t="shared" si="6"/>
        <v>GND-DUCT|0.5 m</v>
      </c>
      <c r="X28" t="s">
        <v>157</v>
      </c>
      <c r="Y28" t="s">
        <v>168</v>
      </c>
      <c r="Z28" s="17">
        <v>1</v>
      </c>
      <c r="AA28" s="17">
        <v>0.95</v>
      </c>
      <c r="AB28" s="17">
        <v>0.9</v>
      </c>
      <c r="AC28" s="17">
        <v>0.85</v>
      </c>
      <c r="AD28" s="17">
        <v>0.85</v>
      </c>
      <c r="AE28" s="17">
        <v>0.8</v>
      </c>
      <c r="AH28" s="17">
        <f t="shared" si="7"/>
        <v>1</v>
      </c>
      <c r="AI28" s="17">
        <f t="shared" si="1"/>
        <v>1.9</v>
      </c>
      <c r="AJ28" s="17">
        <f t="shared" si="2"/>
        <v>2.7</v>
      </c>
      <c r="AK28" s="17">
        <f t="shared" si="3"/>
        <v>3.4</v>
      </c>
      <c r="AL28" s="17">
        <f t="shared" si="4"/>
        <v>4.25</v>
      </c>
      <c r="AM28" s="17">
        <f t="shared" si="5"/>
        <v>4.8000000000000007</v>
      </c>
    </row>
    <row r="29" spans="1:41" x14ac:dyDescent="0.3">
      <c r="A29" s="1">
        <v>300</v>
      </c>
      <c r="B29" s="2">
        <v>409</v>
      </c>
      <c r="C29" s="2">
        <v>361</v>
      </c>
      <c r="D29" s="2">
        <v>530</v>
      </c>
      <c r="E29" s="2">
        <v>464</v>
      </c>
      <c r="F29" s="2">
        <v>593</v>
      </c>
      <c r="G29" s="2">
        <v>497</v>
      </c>
      <c r="H29" s="2">
        <v>408</v>
      </c>
      <c r="I29" s="2">
        <v>336</v>
      </c>
      <c r="K29" s="1">
        <v>300</v>
      </c>
      <c r="L29" s="3">
        <v>0.16</v>
      </c>
      <c r="M29" s="3">
        <f t="shared" si="0"/>
        <v>0.13856406460551018</v>
      </c>
      <c r="O29">
        <v>315</v>
      </c>
      <c r="P29" t="s">
        <v>199</v>
      </c>
      <c r="W29" t="str">
        <f t="shared" si="6"/>
        <v>GND-DUCT|1.0 m</v>
      </c>
      <c r="X29" t="s">
        <v>157</v>
      </c>
      <c r="Y29" t="s">
        <v>169</v>
      </c>
      <c r="Z29" s="17">
        <v>1</v>
      </c>
      <c r="AA29" s="17">
        <v>0.95</v>
      </c>
      <c r="AB29" s="17">
        <v>0.95</v>
      </c>
      <c r="AC29" s="17">
        <v>0.9</v>
      </c>
      <c r="AD29" s="17">
        <v>0.9</v>
      </c>
      <c r="AE29" s="17">
        <v>0.9</v>
      </c>
      <c r="AH29" s="17">
        <f t="shared" si="7"/>
        <v>1</v>
      </c>
      <c r="AI29" s="17">
        <f t="shared" si="1"/>
        <v>1.9</v>
      </c>
      <c r="AJ29" s="17">
        <f t="shared" si="2"/>
        <v>2.8499999999999996</v>
      </c>
      <c r="AK29" s="17">
        <f t="shared" si="3"/>
        <v>3.6</v>
      </c>
      <c r="AL29" s="17">
        <f t="shared" si="4"/>
        <v>4.5</v>
      </c>
      <c r="AM29" s="17">
        <f t="shared" si="5"/>
        <v>5.4</v>
      </c>
    </row>
    <row r="30" spans="1:41" x14ac:dyDescent="0.3">
      <c r="O30">
        <v>400</v>
      </c>
      <c r="P30" t="s">
        <v>199</v>
      </c>
    </row>
    <row r="31" spans="1:41" x14ac:dyDescent="0.3">
      <c r="A31" s="4" t="s">
        <v>229</v>
      </c>
      <c r="O31" s="9">
        <v>500</v>
      </c>
      <c r="P31" t="s">
        <v>199</v>
      </c>
      <c r="W31" s="4" t="s">
        <v>171</v>
      </c>
    </row>
    <row r="32" spans="1:41" x14ac:dyDescent="0.3">
      <c r="A32" s="65" t="s">
        <v>16</v>
      </c>
      <c r="B32" s="65" t="str">
        <f>B13</f>
        <v>B|2</v>
      </c>
      <c r="C32" s="65" t="str">
        <f t="shared" ref="C32:I32" si="8">C13</f>
        <v>B|3</v>
      </c>
      <c r="D32" s="65" t="str">
        <f t="shared" si="8"/>
        <v>C|2</v>
      </c>
      <c r="E32" s="65" t="str">
        <f t="shared" si="8"/>
        <v>C|3</v>
      </c>
      <c r="F32" s="65" t="str">
        <f t="shared" si="8"/>
        <v>E|2</v>
      </c>
      <c r="G32" s="65" t="str">
        <f t="shared" si="8"/>
        <v>E|3</v>
      </c>
      <c r="H32" s="65" t="str">
        <f t="shared" si="8"/>
        <v>D|2</v>
      </c>
      <c r="I32" s="64" t="str">
        <f t="shared" si="8"/>
        <v>D|3</v>
      </c>
      <c r="O32" s="9">
        <v>630</v>
      </c>
      <c r="P32" t="s">
        <v>199</v>
      </c>
      <c r="W32" s="65" t="s">
        <v>159</v>
      </c>
      <c r="X32" s="65" t="s">
        <v>172</v>
      </c>
      <c r="Y32" s="65" t="s">
        <v>173</v>
      </c>
      <c r="Z32" s="64" t="s">
        <v>174</v>
      </c>
    </row>
    <row r="33" spans="1:26" x14ac:dyDescent="0.3">
      <c r="A33" s="1">
        <f>A14</f>
        <v>1.5</v>
      </c>
      <c r="B33" s="2">
        <f t="shared" ref="B33:I42" si="9">ROUND(B14*Fac_Rubber,1)</f>
        <v>14.4</v>
      </c>
      <c r="C33" s="2">
        <f t="shared" si="9"/>
        <v>13.1</v>
      </c>
      <c r="D33" s="2">
        <f t="shared" si="9"/>
        <v>17</v>
      </c>
      <c r="E33" s="2">
        <f t="shared" si="9"/>
        <v>15.2</v>
      </c>
      <c r="F33" s="2">
        <f t="shared" si="9"/>
        <v>19.100000000000001</v>
      </c>
      <c r="G33" s="2">
        <f t="shared" si="9"/>
        <v>16.100000000000001</v>
      </c>
      <c r="H33" s="2">
        <f t="shared" si="9"/>
        <v>19.100000000000001</v>
      </c>
      <c r="I33" s="2">
        <f t="shared" si="9"/>
        <v>15.7</v>
      </c>
      <c r="O33" s="9">
        <v>800</v>
      </c>
      <c r="P33" t="s">
        <v>199</v>
      </c>
      <c r="W33" t="str">
        <f>X33&amp;"|"&amp;Y33</f>
        <v>Copper|PVC</v>
      </c>
      <c r="X33" t="s">
        <v>7</v>
      </c>
      <c r="Y33" t="s">
        <v>149</v>
      </c>
      <c r="Z33" s="2">
        <v>115</v>
      </c>
    </row>
    <row r="34" spans="1:26" x14ac:dyDescent="0.3">
      <c r="A34" s="1">
        <f t="shared" ref="A34:A48" si="10">A15</f>
        <v>2.5</v>
      </c>
      <c r="B34" s="2">
        <f t="shared" si="9"/>
        <v>20</v>
      </c>
      <c r="C34" s="2">
        <f t="shared" si="9"/>
        <v>17.399999999999999</v>
      </c>
      <c r="D34" s="2">
        <f t="shared" si="9"/>
        <v>23.5</v>
      </c>
      <c r="E34" s="2">
        <f t="shared" si="9"/>
        <v>20.9</v>
      </c>
      <c r="F34" s="2">
        <f t="shared" si="9"/>
        <v>26.1</v>
      </c>
      <c r="G34" s="2">
        <f t="shared" si="9"/>
        <v>21.8</v>
      </c>
      <c r="H34" s="2">
        <f t="shared" si="9"/>
        <v>25.2</v>
      </c>
      <c r="I34" s="2">
        <f t="shared" si="9"/>
        <v>20.9</v>
      </c>
      <c r="O34" s="9">
        <v>1000</v>
      </c>
      <c r="P34" t="s">
        <v>199</v>
      </c>
      <c r="W34" t="str">
        <f t="shared" ref="W34:W38" si="11">X34&amp;"|"&amp;Y34</f>
        <v>Copper|XLPE</v>
      </c>
      <c r="X34" t="s">
        <v>7</v>
      </c>
      <c r="Y34" t="s">
        <v>175</v>
      </c>
      <c r="Z34" s="2">
        <v>143</v>
      </c>
    </row>
    <row r="35" spans="1:26" x14ac:dyDescent="0.3">
      <c r="A35" s="1">
        <f t="shared" si="10"/>
        <v>4</v>
      </c>
      <c r="B35" s="2">
        <f t="shared" si="9"/>
        <v>26.1</v>
      </c>
      <c r="C35" s="2">
        <f t="shared" si="9"/>
        <v>23.5</v>
      </c>
      <c r="D35" s="2">
        <f t="shared" si="9"/>
        <v>31.3</v>
      </c>
      <c r="E35" s="2">
        <f t="shared" si="9"/>
        <v>27.8</v>
      </c>
      <c r="F35" s="2">
        <f t="shared" si="9"/>
        <v>34.799999999999997</v>
      </c>
      <c r="G35" s="2">
        <f t="shared" si="9"/>
        <v>29.6</v>
      </c>
      <c r="H35" s="2">
        <f t="shared" si="9"/>
        <v>33.1</v>
      </c>
      <c r="I35" s="2">
        <f t="shared" si="9"/>
        <v>27</v>
      </c>
      <c r="O35" s="9">
        <v>1250</v>
      </c>
      <c r="P35" t="s">
        <v>199</v>
      </c>
      <c r="W35" t="str">
        <f t="shared" si="11"/>
        <v>Copper|Rubber</v>
      </c>
      <c r="X35" t="s">
        <v>7</v>
      </c>
      <c r="Y35" t="s">
        <v>84</v>
      </c>
      <c r="Z35" s="2">
        <v>141</v>
      </c>
    </row>
    <row r="36" spans="1:26" x14ac:dyDescent="0.3">
      <c r="A36" s="1">
        <f t="shared" si="10"/>
        <v>6</v>
      </c>
      <c r="B36" s="2">
        <f t="shared" si="9"/>
        <v>33.1</v>
      </c>
      <c r="C36" s="2">
        <f t="shared" si="9"/>
        <v>29.6</v>
      </c>
      <c r="D36" s="2">
        <f t="shared" si="9"/>
        <v>40</v>
      </c>
      <c r="E36" s="2">
        <f t="shared" si="9"/>
        <v>35.700000000000003</v>
      </c>
      <c r="F36" s="2">
        <f t="shared" si="9"/>
        <v>44.4</v>
      </c>
      <c r="G36" s="2">
        <f t="shared" si="9"/>
        <v>37.4</v>
      </c>
      <c r="H36" s="2">
        <f t="shared" si="9"/>
        <v>40.9</v>
      </c>
      <c r="I36" s="2">
        <f t="shared" si="9"/>
        <v>33.9</v>
      </c>
      <c r="O36" s="9">
        <v>1600</v>
      </c>
      <c r="P36" t="s">
        <v>200</v>
      </c>
      <c r="W36" t="str">
        <f t="shared" si="11"/>
        <v>Aluminium|PVC</v>
      </c>
      <c r="X36" t="s">
        <v>150</v>
      </c>
      <c r="Y36" t="s">
        <v>149</v>
      </c>
      <c r="Z36" s="2">
        <v>76</v>
      </c>
    </row>
    <row r="37" spans="1:26" x14ac:dyDescent="0.3">
      <c r="A37" s="1">
        <f t="shared" si="10"/>
        <v>10</v>
      </c>
      <c r="B37" s="2">
        <f t="shared" si="9"/>
        <v>45.2</v>
      </c>
      <c r="C37" s="2">
        <f t="shared" si="9"/>
        <v>40</v>
      </c>
      <c r="D37" s="2">
        <f t="shared" si="9"/>
        <v>54.8</v>
      </c>
      <c r="E37" s="2">
        <f t="shared" si="9"/>
        <v>49.6</v>
      </c>
      <c r="F37" s="2">
        <f t="shared" si="9"/>
        <v>60.9</v>
      </c>
      <c r="G37" s="2">
        <f t="shared" si="9"/>
        <v>52.2</v>
      </c>
      <c r="H37" s="2">
        <f t="shared" si="9"/>
        <v>54.8</v>
      </c>
      <c r="I37" s="2">
        <f t="shared" si="9"/>
        <v>45.2</v>
      </c>
      <c r="O37" s="9">
        <v>2000</v>
      </c>
      <c r="P37" t="s">
        <v>200</v>
      </c>
      <c r="W37" t="str">
        <f t="shared" si="11"/>
        <v>Aluminium|XLPE</v>
      </c>
      <c r="X37" t="s">
        <v>150</v>
      </c>
      <c r="Y37" t="s">
        <v>175</v>
      </c>
      <c r="Z37" s="2">
        <v>94</v>
      </c>
    </row>
    <row r="38" spans="1:26" x14ac:dyDescent="0.3">
      <c r="A38" s="1">
        <f t="shared" si="10"/>
        <v>16</v>
      </c>
      <c r="B38" s="2">
        <f t="shared" si="9"/>
        <v>60</v>
      </c>
      <c r="C38" s="2">
        <f t="shared" si="9"/>
        <v>53.9</v>
      </c>
      <c r="D38" s="2">
        <f t="shared" si="9"/>
        <v>74</v>
      </c>
      <c r="E38" s="2">
        <f t="shared" si="9"/>
        <v>66.099999999999994</v>
      </c>
      <c r="F38" s="2">
        <f t="shared" si="9"/>
        <v>81.8</v>
      </c>
      <c r="G38" s="2">
        <f t="shared" si="9"/>
        <v>69.599999999999994</v>
      </c>
      <c r="H38" s="2">
        <f t="shared" si="9"/>
        <v>70.5</v>
      </c>
      <c r="I38" s="2">
        <f t="shared" si="9"/>
        <v>58.3</v>
      </c>
      <c r="O38" s="9">
        <v>2500</v>
      </c>
      <c r="P38" t="s">
        <v>200</v>
      </c>
      <c r="W38" t="str">
        <f t="shared" si="11"/>
        <v>Aluminium|Rubber</v>
      </c>
      <c r="X38" t="s">
        <v>150</v>
      </c>
      <c r="Y38" t="s">
        <v>84</v>
      </c>
      <c r="Z38" s="2">
        <v>93</v>
      </c>
    </row>
    <row r="39" spans="1:26" x14ac:dyDescent="0.3">
      <c r="A39" s="1">
        <f t="shared" si="10"/>
        <v>25</v>
      </c>
      <c r="B39" s="2">
        <f t="shared" si="9"/>
        <v>78.3</v>
      </c>
      <c r="C39" s="2">
        <f t="shared" si="9"/>
        <v>69.599999999999994</v>
      </c>
      <c r="D39" s="2">
        <f t="shared" si="9"/>
        <v>97.4</v>
      </c>
      <c r="E39" s="2">
        <f t="shared" si="9"/>
        <v>83.5</v>
      </c>
      <c r="F39" s="2">
        <f t="shared" si="9"/>
        <v>103.5</v>
      </c>
      <c r="G39" s="2">
        <f t="shared" si="9"/>
        <v>87.9</v>
      </c>
      <c r="H39" s="2">
        <f t="shared" si="9"/>
        <v>90.5</v>
      </c>
      <c r="I39" s="2">
        <f t="shared" si="9"/>
        <v>74.8</v>
      </c>
      <c r="O39" s="9">
        <v>3200</v>
      </c>
      <c r="P39" t="s">
        <v>200</v>
      </c>
    </row>
    <row r="40" spans="1:26" x14ac:dyDescent="0.3">
      <c r="A40" s="1">
        <f t="shared" si="10"/>
        <v>35</v>
      </c>
      <c r="B40" s="2">
        <f t="shared" si="9"/>
        <v>96.6</v>
      </c>
      <c r="C40" s="2">
        <f t="shared" si="9"/>
        <v>86.1</v>
      </c>
      <c r="D40" s="2">
        <f t="shared" si="9"/>
        <v>120.1</v>
      </c>
      <c r="E40" s="2">
        <f t="shared" si="9"/>
        <v>103.5</v>
      </c>
      <c r="F40" s="2">
        <f t="shared" si="9"/>
        <v>128.80000000000001</v>
      </c>
      <c r="G40" s="2">
        <f t="shared" si="9"/>
        <v>109.6</v>
      </c>
      <c r="H40" s="2">
        <f t="shared" si="9"/>
        <v>108.8</v>
      </c>
      <c r="I40" s="2">
        <f t="shared" si="9"/>
        <v>89.6</v>
      </c>
      <c r="O40" s="9">
        <v>4000</v>
      </c>
      <c r="P40" t="s">
        <v>200</v>
      </c>
      <c r="W40" t="s">
        <v>203</v>
      </c>
    </row>
    <row r="41" spans="1:26" x14ac:dyDescent="0.3">
      <c r="A41" s="1">
        <f t="shared" si="10"/>
        <v>50</v>
      </c>
      <c r="B41" s="2">
        <f t="shared" si="9"/>
        <v>115.7</v>
      </c>
      <c r="C41" s="2">
        <f t="shared" si="9"/>
        <v>102.7</v>
      </c>
      <c r="D41" s="2">
        <f t="shared" si="9"/>
        <v>146.19999999999999</v>
      </c>
      <c r="E41" s="2">
        <f t="shared" si="9"/>
        <v>125.3</v>
      </c>
      <c r="F41" s="2">
        <f t="shared" si="9"/>
        <v>156.6</v>
      </c>
      <c r="G41" s="2">
        <f t="shared" si="9"/>
        <v>133.1</v>
      </c>
      <c r="H41" s="2">
        <f t="shared" si="9"/>
        <v>128.80000000000001</v>
      </c>
      <c r="I41" s="2">
        <f t="shared" si="9"/>
        <v>106.1</v>
      </c>
      <c r="O41" s="9">
        <v>5000</v>
      </c>
      <c r="P41" t="s">
        <v>200</v>
      </c>
      <c r="W41" s="65" t="s">
        <v>204</v>
      </c>
      <c r="X41" s="64" t="s">
        <v>205</v>
      </c>
    </row>
    <row r="42" spans="1:26" x14ac:dyDescent="0.3">
      <c r="A42" s="1">
        <f t="shared" si="10"/>
        <v>70</v>
      </c>
      <c r="B42" s="2">
        <f t="shared" si="9"/>
        <v>146.19999999999999</v>
      </c>
      <c r="C42" s="2">
        <f t="shared" si="9"/>
        <v>129.6</v>
      </c>
      <c r="D42" s="2">
        <f t="shared" si="9"/>
        <v>185.3</v>
      </c>
      <c r="E42" s="2">
        <f t="shared" si="9"/>
        <v>160.1</v>
      </c>
      <c r="F42" s="2">
        <f t="shared" si="9"/>
        <v>201.8</v>
      </c>
      <c r="G42" s="2">
        <f t="shared" si="9"/>
        <v>170.5</v>
      </c>
      <c r="H42" s="2">
        <f t="shared" si="9"/>
        <v>159.19999999999999</v>
      </c>
      <c r="I42" s="2">
        <f t="shared" si="9"/>
        <v>131.4</v>
      </c>
      <c r="O42" s="9">
        <v>6300</v>
      </c>
      <c r="P42" t="s">
        <v>200</v>
      </c>
      <c r="W42" t="s">
        <v>198</v>
      </c>
      <c r="X42" s="12">
        <v>0.1</v>
      </c>
    </row>
    <row r="43" spans="1:26" x14ac:dyDescent="0.3">
      <c r="A43" s="1">
        <f t="shared" si="10"/>
        <v>95</v>
      </c>
      <c r="B43" s="2">
        <f t="shared" ref="B43:I48" si="12">ROUND(B24*Fac_Rubber,1)</f>
        <v>174.9</v>
      </c>
      <c r="C43" s="2">
        <f t="shared" si="12"/>
        <v>155.69999999999999</v>
      </c>
      <c r="D43" s="2">
        <f t="shared" si="12"/>
        <v>224.5</v>
      </c>
      <c r="E43" s="2">
        <f t="shared" si="12"/>
        <v>194</v>
      </c>
      <c r="F43" s="2">
        <f t="shared" si="12"/>
        <v>245.3</v>
      </c>
      <c r="G43" s="2">
        <f t="shared" si="12"/>
        <v>207.1</v>
      </c>
      <c r="H43" s="2">
        <f t="shared" si="12"/>
        <v>187.9</v>
      </c>
      <c r="I43" s="2">
        <f t="shared" si="12"/>
        <v>155.69999999999999</v>
      </c>
      <c r="W43" t="s">
        <v>199</v>
      </c>
      <c r="X43" s="12">
        <v>0.1</v>
      </c>
    </row>
    <row r="44" spans="1:26" x14ac:dyDescent="0.3">
      <c r="A44" s="1">
        <f t="shared" si="10"/>
        <v>120</v>
      </c>
      <c r="B44" s="2">
        <f t="shared" si="12"/>
        <v>201.8</v>
      </c>
      <c r="C44" s="2">
        <f t="shared" si="12"/>
        <v>179.2</v>
      </c>
      <c r="D44" s="2">
        <f t="shared" si="12"/>
        <v>260.10000000000002</v>
      </c>
      <c r="E44" s="2">
        <f t="shared" si="12"/>
        <v>225.3</v>
      </c>
      <c r="F44" s="2">
        <f t="shared" si="12"/>
        <v>285.39999999999998</v>
      </c>
      <c r="G44" s="2">
        <f t="shared" si="12"/>
        <v>240.1</v>
      </c>
      <c r="H44" s="2">
        <f t="shared" si="12"/>
        <v>214</v>
      </c>
      <c r="I44" s="2">
        <f t="shared" si="12"/>
        <v>176.6</v>
      </c>
      <c r="O44" t="s">
        <v>201</v>
      </c>
      <c r="W44" t="s">
        <v>200</v>
      </c>
      <c r="X44" s="12">
        <v>0.4</v>
      </c>
      <c r="Y44" t="s">
        <v>206</v>
      </c>
    </row>
    <row r="45" spans="1:26" x14ac:dyDescent="0.3">
      <c r="A45" s="1">
        <f t="shared" si="10"/>
        <v>150</v>
      </c>
      <c r="B45" s="2">
        <f t="shared" si="12"/>
        <v>231.4</v>
      </c>
      <c r="C45" s="2">
        <f t="shared" si="12"/>
        <v>205.3</v>
      </c>
      <c r="D45" s="2">
        <f t="shared" si="12"/>
        <v>299.3</v>
      </c>
      <c r="E45" s="2">
        <f t="shared" si="12"/>
        <v>260.10000000000002</v>
      </c>
      <c r="F45" s="2">
        <f t="shared" si="12"/>
        <v>329.7</v>
      </c>
      <c r="G45" s="2">
        <f t="shared" si="12"/>
        <v>277.5</v>
      </c>
      <c r="H45" s="2">
        <f t="shared" si="12"/>
        <v>241.9</v>
      </c>
      <c r="I45" s="2">
        <f t="shared" si="12"/>
        <v>200.1</v>
      </c>
    </row>
    <row r="46" spans="1:26" x14ac:dyDescent="0.3">
      <c r="A46" s="1">
        <f t="shared" si="10"/>
        <v>185</v>
      </c>
      <c r="B46" s="2">
        <f t="shared" si="12"/>
        <v>263.60000000000002</v>
      </c>
      <c r="C46" s="2">
        <f t="shared" si="12"/>
        <v>233.2</v>
      </c>
      <c r="D46" s="2">
        <f t="shared" si="12"/>
        <v>341</v>
      </c>
      <c r="E46" s="2">
        <f t="shared" si="12"/>
        <v>296.7</v>
      </c>
      <c r="F46" s="2">
        <f t="shared" si="12"/>
        <v>377.6</v>
      </c>
      <c r="G46" s="2">
        <f t="shared" si="12"/>
        <v>316.7</v>
      </c>
      <c r="H46" s="2">
        <f t="shared" si="12"/>
        <v>271.39999999999998</v>
      </c>
      <c r="I46" s="2">
        <f t="shared" si="12"/>
        <v>224.5</v>
      </c>
      <c r="W46" t="s">
        <v>236</v>
      </c>
    </row>
    <row r="47" spans="1:26" x14ac:dyDescent="0.3">
      <c r="A47" s="1">
        <f t="shared" si="10"/>
        <v>240</v>
      </c>
      <c r="B47" s="2">
        <f t="shared" si="12"/>
        <v>309.7</v>
      </c>
      <c r="C47" s="2">
        <f t="shared" si="12"/>
        <v>274.10000000000002</v>
      </c>
      <c r="D47" s="2">
        <f t="shared" si="12"/>
        <v>401.1</v>
      </c>
      <c r="E47" s="2">
        <f t="shared" si="12"/>
        <v>350.6</v>
      </c>
      <c r="F47" s="2">
        <f t="shared" si="12"/>
        <v>447.2</v>
      </c>
      <c r="G47" s="2">
        <f t="shared" si="12"/>
        <v>374.1</v>
      </c>
      <c r="H47" s="2">
        <f t="shared" si="12"/>
        <v>314.10000000000002</v>
      </c>
      <c r="I47" s="2">
        <f t="shared" si="12"/>
        <v>258.39999999999998</v>
      </c>
      <c r="W47" s="35" t="s">
        <v>204</v>
      </c>
      <c r="X47" s="35" t="s">
        <v>237</v>
      </c>
      <c r="Y47" s="35" t="s">
        <v>238</v>
      </c>
      <c r="Z47" s="35" t="s">
        <v>97</v>
      </c>
    </row>
    <row r="48" spans="1:26" x14ac:dyDescent="0.3">
      <c r="A48" s="1">
        <f t="shared" si="10"/>
        <v>300</v>
      </c>
      <c r="B48" s="2">
        <f t="shared" si="12"/>
        <v>355.8</v>
      </c>
      <c r="C48" s="2">
        <f t="shared" si="12"/>
        <v>314.10000000000002</v>
      </c>
      <c r="D48" s="2">
        <f t="shared" si="12"/>
        <v>461.1</v>
      </c>
      <c r="E48" s="2">
        <f t="shared" si="12"/>
        <v>403.7</v>
      </c>
      <c r="F48" s="2">
        <f t="shared" si="12"/>
        <v>515.9</v>
      </c>
      <c r="G48" s="2">
        <f t="shared" si="12"/>
        <v>432.4</v>
      </c>
      <c r="H48" s="2">
        <f t="shared" si="12"/>
        <v>355</v>
      </c>
      <c r="I48" s="2">
        <f t="shared" si="12"/>
        <v>292.3</v>
      </c>
      <c r="W48" t="s">
        <v>198</v>
      </c>
      <c r="X48" s="12">
        <v>1</v>
      </c>
      <c r="Y48" s="12">
        <v>1</v>
      </c>
      <c r="Z48" s="19" t="s">
        <v>239</v>
      </c>
    </row>
    <row r="49" spans="1:41" x14ac:dyDescent="0.3">
      <c r="W49" t="s">
        <v>199</v>
      </c>
      <c r="X49" s="12">
        <v>0.7</v>
      </c>
      <c r="Y49" s="12">
        <v>0.05</v>
      </c>
      <c r="Z49" s="19" t="s">
        <v>240</v>
      </c>
    </row>
    <row r="50" spans="1:41" x14ac:dyDescent="0.3">
      <c r="W50" t="s">
        <v>200</v>
      </c>
      <c r="X50" s="12">
        <v>0.4</v>
      </c>
      <c r="Y50" s="12">
        <v>0.01</v>
      </c>
      <c r="Z50" s="19" t="s">
        <v>241</v>
      </c>
    </row>
    <row r="51" spans="1:41" ht="24" customHeight="1" x14ac:dyDescent="0.3">
      <c r="A51" s="67" t="s">
        <v>85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</row>
    <row r="52" spans="1:41" x14ac:dyDescent="0.3">
      <c r="A52" s="5" t="s">
        <v>86</v>
      </c>
      <c r="W52" t="s">
        <v>243</v>
      </c>
      <c r="X52" s="12">
        <v>1.25</v>
      </c>
      <c r="Y52" s="19" t="s">
        <v>244</v>
      </c>
    </row>
    <row r="53" spans="1:41" x14ac:dyDescent="0.3">
      <c r="A53" s="62" t="s">
        <v>87</v>
      </c>
      <c r="B53" s="63"/>
    </row>
    <row r="54" spans="1:41" x14ac:dyDescent="0.3">
      <c r="A54" t="s">
        <v>88</v>
      </c>
      <c r="B54" s="6">
        <v>1</v>
      </c>
    </row>
    <row r="55" spans="1:41" x14ac:dyDescent="0.3">
      <c r="A55" t="s">
        <v>89</v>
      </c>
      <c r="B55" s="10">
        <v>90</v>
      </c>
    </row>
    <row r="56" spans="1:41" x14ac:dyDescent="0.3">
      <c r="A56" t="s">
        <v>90</v>
      </c>
      <c r="B56" s="13">
        <v>3.9300000000000003E-3</v>
      </c>
    </row>
    <row r="57" spans="1:41" x14ac:dyDescent="0.3">
      <c r="A57" t="s">
        <v>91</v>
      </c>
      <c r="B57" s="10">
        <v>4</v>
      </c>
    </row>
    <row r="58" spans="1:41" x14ac:dyDescent="0.3">
      <c r="A58" t="s">
        <v>136</v>
      </c>
      <c r="B58" s="10">
        <v>1500</v>
      </c>
    </row>
    <row r="59" spans="1:41" x14ac:dyDescent="0.3">
      <c r="A59" s="4" t="s">
        <v>92</v>
      </c>
    </row>
    <row r="60" spans="1:41" ht="115.2" x14ac:dyDescent="0.3">
      <c r="A60" s="65" t="s">
        <v>93</v>
      </c>
      <c r="B60" s="65" t="s">
        <v>94</v>
      </c>
      <c r="C60" s="65" t="s">
        <v>95</v>
      </c>
      <c r="D60" s="65" t="s">
        <v>96</v>
      </c>
      <c r="E60" s="65" t="s">
        <v>97</v>
      </c>
      <c r="F60" s="65" t="s">
        <v>143</v>
      </c>
      <c r="G60" s="64" t="s">
        <v>61</v>
      </c>
    </row>
    <row r="61" spans="1:41" x14ac:dyDescent="0.3">
      <c r="A61" t="s">
        <v>98</v>
      </c>
      <c r="B61" s="6">
        <v>1.25</v>
      </c>
      <c r="C61" s="6">
        <v>1.5</v>
      </c>
      <c r="D61" s="7">
        <v>0.01</v>
      </c>
      <c r="E61" t="s">
        <v>99</v>
      </c>
      <c r="F61" s="10">
        <v>10</v>
      </c>
      <c r="G61" s="10">
        <v>1</v>
      </c>
    </row>
    <row r="62" spans="1:41" x14ac:dyDescent="0.3">
      <c r="A62" t="s">
        <v>100</v>
      </c>
      <c r="B62" s="6">
        <v>1.25</v>
      </c>
      <c r="C62" s="6">
        <v>1.25</v>
      </c>
      <c r="D62" s="7">
        <v>0.01</v>
      </c>
      <c r="E62" t="s">
        <v>101</v>
      </c>
      <c r="F62" s="10">
        <v>10</v>
      </c>
      <c r="G62" s="10">
        <v>1</v>
      </c>
    </row>
    <row r="63" spans="1:41" x14ac:dyDescent="0.3">
      <c r="A63" t="s">
        <v>102</v>
      </c>
      <c r="B63" s="6">
        <v>1</v>
      </c>
      <c r="C63" s="6">
        <v>1</v>
      </c>
      <c r="D63" s="7">
        <v>0.01</v>
      </c>
      <c r="E63" t="s">
        <v>103</v>
      </c>
      <c r="F63" s="10">
        <v>240</v>
      </c>
      <c r="G63" s="10">
        <f>Fac_DCMaxRuns</f>
        <v>4</v>
      </c>
    </row>
    <row r="64" spans="1:41" x14ac:dyDescent="0.3">
      <c r="A64" t="s">
        <v>104</v>
      </c>
      <c r="B64" s="6">
        <v>1</v>
      </c>
      <c r="C64" s="6">
        <v>1</v>
      </c>
      <c r="D64" s="7">
        <v>0.03</v>
      </c>
      <c r="E64" t="s">
        <v>105</v>
      </c>
      <c r="F64" s="10">
        <v>240</v>
      </c>
      <c r="G64" s="10">
        <f>Fac_DCMaxRuns</f>
        <v>4</v>
      </c>
    </row>
    <row r="66" spans="1:7" x14ac:dyDescent="0.3">
      <c r="A66" s="4" t="s">
        <v>106</v>
      </c>
    </row>
    <row r="67" spans="1:7" ht="100.8" x14ac:dyDescent="0.3">
      <c r="A67" s="65" t="s">
        <v>16</v>
      </c>
      <c r="B67" s="65" t="s">
        <v>107</v>
      </c>
      <c r="C67" s="65" t="s">
        <v>108</v>
      </c>
      <c r="D67" s="65" t="s">
        <v>109</v>
      </c>
      <c r="E67" s="64" t="s">
        <v>110</v>
      </c>
      <c r="G67" s="64" t="s">
        <v>111</v>
      </c>
    </row>
    <row r="68" spans="1:7" x14ac:dyDescent="0.3">
      <c r="A68" s="1">
        <v>1.5</v>
      </c>
      <c r="B68" s="14">
        <v>30</v>
      </c>
      <c r="C68" s="14">
        <v>29</v>
      </c>
      <c r="D68" s="14">
        <v>24</v>
      </c>
      <c r="E68" s="15">
        <v>13.7</v>
      </c>
      <c r="G68" s="9">
        <v>1</v>
      </c>
    </row>
    <row r="69" spans="1:7" x14ac:dyDescent="0.3">
      <c r="A69" s="1">
        <v>2.5</v>
      </c>
      <c r="B69" s="14">
        <v>41</v>
      </c>
      <c r="C69" s="14">
        <v>39</v>
      </c>
      <c r="D69" s="14">
        <v>33</v>
      </c>
      <c r="E69" s="15">
        <v>8.2100000000000009</v>
      </c>
      <c r="G69" s="9">
        <v>2</v>
      </c>
    </row>
    <row r="70" spans="1:7" x14ac:dyDescent="0.3">
      <c r="A70" s="1">
        <v>4</v>
      </c>
      <c r="B70" s="14">
        <v>55</v>
      </c>
      <c r="C70" s="14">
        <v>52</v>
      </c>
      <c r="D70" s="14">
        <v>44</v>
      </c>
      <c r="E70" s="15">
        <v>5.09</v>
      </c>
      <c r="G70" s="9">
        <v>3</v>
      </c>
    </row>
    <row r="71" spans="1:7" x14ac:dyDescent="0.3">
      <c r="A71" s="1">
        <v>6</v>
      </c>
      <c r="B71" s="14">
        <v>70</v>
      </c>
      <c r="C71" s="14">
        <v>67</v>
      </c>
      <c r="D71" s="14">
        <v>57</v>
      </c>
      <c r="E71" s="15">
        <v>3.39</v>
      </c>
      <c r="G71" s="9">
        <v>4</v>
      </c>
    </row>
    <row r="72" spans="1:7" x14ac:dyDescent="0.3">
      <c r="A72" s="1">
        <v>10</v>
      </c>
      <c r="B72" s="14">
        <v>98</v>
      </c>
      <c r="C72" s="14">
        <v>93</v>
      </c>
      <c r="D72" s="14">
        <v>79</v>
      </c>
      <c r="E72" s="15">
        <v>1.95</v>
      </c>
      <c r="G72" s="9">
        <v>5</v>
      </c>
    </row>
    <row r="73" spans="1:7" x14ac:dyDescent="0.3">
      <c r="A73" s="1">
        <v>16</v>
      </c>
      <c r="B73" s="14">
        <v>132</v>
      </c>
      <c r="C73" s="14">
        <v>125</v>
      </c>
      <c r="D73" s="14">
        <v>107</v>
      </c>
      <c r="E73" s="15">
        <v>1.24</v>
      </c>
      <c r="G73" s="9">
        <v>6</v>
      </c>
    </row>
    <row r="74" spans="1:7" x14ac:dyDescent="0.3">
      <c r="A74" s="1">
        <v>25</v>
      </c>
      <c r="B74" s="14">
        <v>176</v>
      </c>
      <c r="C74" s="14">
        <v>167</v>
      </c>
      <c r="D74" s="14">
        <v>142</v>
      </c>
      <c r="E74" s="15">
        <v>0.79500000000000004</v>
      </c>
      <c r="G74" s="9">
        <v>8</v>
      </c>
    </row>
    <row r="75" spans="1:7" x14ac:dyDescent="0.3">
      <c r="A75" s="1">
        <v>35</v>
      </c>
      <c r="B75" s="14">
        <v>218</v>
      </c>
      <c r="C75" s="14">
        <v>207</v>
      </c>
      <c r="D75" s="14">
        <v>176</v>
      </c>
      <c r="E75" s="15">
        <v>0.56499999999999995</v>
      </c>
      <c r="G75" s="9">
        <v>10</v>
      </c>
    </row>
    <row r="76" spans="1:7" x14ac:dyDescent="0.3">
      <c r="A76" s="1">
        <v>50</v>
      </c>
      <c r="B76" s="14">
        <v>276</v>
      </c>
      <c r="C76" s="14">
        <v>262</v>
      </c>
      <c r="D76" s="14">
        <v>221</v>
      </c>
      <c r="E76" s="15">
        <v>0.39300000000000002</v>
      </c>
      <c r="G76" s="9">
        <v>12</v>
      </c>
    </row>
    <row r="77" spans="1:7" x14ac:dyDescent="0.3">
      <c r="A77" s="1">
        <v>70</v>
      </c>
      <c r="B77" s="14">
        <v>347</v>
      </c>
      <c r="C77" s="14">
        <v>330</v>
      </c>
      <c r="D77" s="14">
        <v>278</v>
      </c>
      <c r="E77" s="15">
        <v>0.27700000000000002</v>
      </c>
      <c r="G77" s="9">
        <v>15</v>
      </c>
    </row>
    <row r="78" spans="1:7" x14ac:dyDescent="0.3">
      <c r="A78" s="1">
        <v>95</v>
      </c>
      <c r="B78" s="14">
        <v>416</v>
      </c>
      <c r="C78" s="14">
        <v>395</v>
      </c>
      <c r="D78" s="14">
        <v>333</v>
      </c>
      <c r="E78" s="15">
        <v>0.21</v>
      </c>
      <c r="G78" s="9">
        <v>16</v>
      </c>
    </row>
    <row r="79" spans="1:7" x14ac:dyDescent="0.3">
      <c r="A79" s="1">
        <v>120</v>
      </c>
      <c r="B79" s="14">
        <v>488</v>
      </c>
      <c r="C79" s="14">
        <v>464</v>
      </c>
      <c r="D79" s="14">
        <v>390</v>
      </c>
      <c r="E79" s="15">
        <v>0.16400000000000001</v>
      </c>
      <c r="G79" s="9">
        <v>20</v>
      </c>
    </row>
    <row r="80" spans="1:7" x14ac:dyDescent="0.3">
      <c r="A80" s="1">
        <v>150</v>
      </c>
      <c r="B80" s="14">
        <v>566</v>
      </c>
      <c r="C80" s="14">
        <v>538</v>
      </c>
      <c r="D80" s="14">
        <v>453</v>
      </c>
      <c r="E80" s="15">
        <v>0.13200000000000001</v>
      </c>
      <c r="G80" s="9">
        <v>25</v>
      </c>
    </row>
    <row r="81" spans="1:7" x14ac:dyDescent="0.3">
      <c r="A81" s="1">
        <v>185</v>
      </c>
      <c r="B81" s="14">
        <v>644</v>
      </c>
      <c r="C81" s="14">
        <v>612</v>
      </c>
      <c r="D81" s="14">
        <v>515</v>
      </c>
      <c r="E81" s="15">
        <v>0.108</v>
      </c>
      <c r="G81" s="9">
        <v>30</v>
      </c>
    </row>
    <row r="82" spans="1:7" x14ac:dyDescent="0.3">
      <c r="A82" s="1">
        <v>240</v>
      </c>
      <c r="B82" s="14">
        <v>775</v>
      </c>
      <c r="C82" s="14">
        <v>736</v>
      </c>
      <c r="D82" s="14">
        <v>620</v>
      </c>
      <c r="E82" s="15">
        <v>8.1699999999999995E-2</v>
      </c>
      <c r="G82" s="9">
        <v>32</v>
      </c>
    </row>
    <row r="83" spans="1:7" x14ac:dyDescent="0.3">
      <c r="G83" s="9">
        <v>40</v>
      </c>
    </row>
    <row r="84" spans="1:7" x14ac:dyDescent="0.3">
      <c r="G84" s="9">
        <v>50</v>
      </c>
    </row>
    <row r="85" spans="1:7" x14ac:dyDescent="0.3">
      <c r="G85" s="9">
        <v>63</v>
      </c>
    </row>
    <row r="86" spans="1:7" x14ac:dyDescent="0.3">
      <c r="G86" s="9">
        <v>80</v>
      </c>
    </row>
    <row r="87" spans="1:7" x14ac:dyDescent="0.3">
      <c r="G87" s="9">
        <v>100</v>
      </c>
    </row>
    <row r="88" spans="1:7" x14ac:dyDescent="0.3">
      <c r="G88" s="9">
        <v>125</v>
      </c>
    </row>
    <row r="89" spans="1:7" x14ac:dyDescent="0.3">
      <c r="G89" s="9">
        <v>160</v>
      </c>
    </row>
    <row r="90" spans="1:7" x14ac:dyDescent="0.3">
      <c r="G90" s="9">
        <v>200</v>
      </c>
    </row>
    <row r="91" spans="1:7" x14ac:dyDescent="0.3">
      <c r="G91" s="9">
        <v>250</v>
      </c>
    </row>
    <row r="92" spans="1:7" x14ac:dyDescent="0.3">
      <c r="G92" s="9">
        <v>315</v>
      </c>
    </row>
    <row r="93" spans="1:7" x14ac:dyDescent="0.3">
      <c r="G93" s="9">
        <v>400</v>
      </c>
    </row>
    <row r="94" spans="1:7" x14ac:dyDescent="0.3">
      <c r="G94" s="9">
        <v>500</v>
      </c>
    </row>
    <row r="95" spans="1:7" x14ac:dyDescent="0.3">
      <c r="G95" s="9">
        <v>630</v>
      </c>
    </row>
    <row r="96" spans="1:7" x14ac:dyDescent="0.3">
      <c r="G96" s="9">
        <v>800</v>
      </c>
    </row>
    <row r="97" spans="7:7" x14ac:dyDescent="0.3">
      <c r="G97" s="9">
        <v>1000</v>
      </c>
    </row>
    <row r="98" spans="7:7" x14ac:dyDescent="0.3">
      <c r="G98" s="9">
        <v>1250</v>
      </c>
    </row>
    <row r="99" spans="7:7" x14ac:dyDescent="0.3">
      <c r="G99" s="9">
        <v>1600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1AE7-E4D1-4A24-85F1-1C0B4575E5B7}">
  <dimension ref="A1:AD30"/>
  <sheetViews>
    <sheetView showGridLines="0" workbookViewId="0">
      <pane xSplit="1" topLeftCell="C1" activePane="topRight" state="frozen"/>
      <selection pane="topRight"/>
    </sheetView>
  </sheetViews>
  <sheetFormatPr defaultRowHeight="14.4" x14ac:dyDescent="0.3"/>
  <cols>
    <col min="1" max="1" width="13" customWidth="1"/>
    <col min="2" max="21" width="7.44140625" customWidth="1"/>
    <col min="22" max="22" width="2.77734375" customWidth="1"/>
    <col min="23" max="30" width="11.44140625" customWidth="1"/>
  </cols>
  <sheetData>
    <row r="1" spans="1:30" ht="24" customHeight="1" x14ac:dyDescent="0.3">
      <c r="A1" s="67" t="s">
        <v>209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0" x14ac:dyDescent="0.3">
      <c r="A2" s="5" t="s">
        <v>210</v>
      </c>
    </row>
    <row r="4" spans="1:30" ht="15.6" x14ac:dyDescent="0.3">
      <c r="A4" s="68" t="s">
        <v>211</v>
      </c>
      <c r="W4" s="68" t="s">
        <v>216</v>
      </c>
    </row>
    <row r="5" spans="1:30" x14ac:dyDescent="0.3">
      <c r="B5" s="18" t="s">
        <v>212</v>
      </c>
      <c r="L5" s="18" t="s">
        <v>213</v>
      </c>
      <c r="W5" s="18" t="s">
        <v>217</v>
      </c>
      <c r="AA5" s="18" t="s">
        <v>218</v>
      </c>
    </row>
    <row r="6" spans="1:30" x14ac:dyDescent="0.3">
      <c r="A6" s="64" t="s">
        <v>16</v>
      </c>
      <c r="B6" s="64" t="s">
        <v>17</v>
      </c>
      <c r="C6" s="64" t="s">
        <v>18</v>
      </c>
      <c r="D6" s="64" t="s">
        <v>19</v>
      </c>
      <c r="E6" s="64" t="s">
        <v>20</v>
      </c>
      <c r="F6" s="64" t="s">
        <v>21</v>
      </c>
      <c r="G6" s="64" t="s">
        <v>22</v>
      </c>
      <c r="H6" s="64" t="s">
        <v>23</v>
      </c>
      <c r="I6" s="64" t="s">
        <v>24</v>
      </c>
      <c r="J6" s="64" t="s">
        <v>214</v>
      </c>
      <c r="K6" s="64" t="s">
        <v>215</v>
      </c>
      <c r="L6" s="64" t="s">
        <v>17</v>
      </c>
      <c r="M6" s="64" t="s">
        <v>18</v>
      </c>
      <c r="N6" s="64" t="s">
        <v>19</v>
      </c>
      <c r="O6" s="64" t="s">
        <v>20</v>
      </c>
      <c r="P6" s="64" t="s">
        <v>21</v>
      </c>
      <c r="Q6" s="64" t="s">
        <v>22</v>
      </c>
      <c r="R6" s="64" t="s">
        <v>23</v>
      </c>
      <c r="S6" s="64" t="s">
        <v>24</v>
      </c>
      <c r="T6" s="64" t="s">
        <v>214</v>
      </c>
      <c r="U6" s="64" t="s">
        <v>215</v>
      </c>
      <c r="W6" s="64" t="s">
        <v>219</v>
      </c>
      <c r="X6" s="64" t="s">
        <v>220</v>
      </c>
      <c r="Y6" s="64" t="s">
        <v>221</v>
      </c>
      <c r="Z6" s="64" t="s">
        <v>222</v>
      </c>
      <c r="AA6" s="64" t="s">
        <v>219</v>
      </c>
      <c r="AB6" s="64" t="s">
        <v>220</v>
      </c>
      <c r="AC6" s="64" t="s">
        <v>221</v>
      </c>
      <c r="AD6" s="64" t="s">
        <v>222</v>
      </c>
    </row>
    <row r="7" spans="1:30" x14ac:dyDescent="0.3">
      <c r="A7" s="69">
        <f>'SANS Data'!A14</f>
        <v>1.5</v>
      </c>
      <c r="B7" s="70">
        <f>'SANS Data'!B14</f>
        <v>16.5</v>
      </c>
      <c r="C7" s="70">
        <f>'SANS Data'!C14</f>
        <v>15</v>
      </c>
      <c r="D7" s="70">
        <f>'SANS Data'!D14</f>
        <v>19.5</v>
      </c>
      <c r="E7" s="70">
        <f>'SANS Data'!E14</f>
        <v>17.5</v>
      </c>
      <c r="F7" s="70">
        <f>'SANS Data'!F14</f>
        <v>22</v>
      </c>
      <c r="G7" s="70">
        <f>'SANS Data'!G14</f>
        <v>18.5</v>
      </c>
      <c r="H7" s="70">
        <f>'SANS Data'!H14</f>
        <v>22</v>
      </c>
      <c r="I7" s="70">
        <f>'SANS Data'!I14</f>
        <v>18</v>
      </c>
      <c r="J7" s="71"/>
      <c r="K7" s="71"/>
      <c r="L7" s="71"/>
      <c r="M7" s="71"/>
      <c r="N7" s="72">
        <v>16</v>
      </c>
      <c r="O7" s="72">
        <v>16</v>
      </c>
      <c r="P7" s="73">
        <f>IF(N7="","",N7)</f>
        <v>16</v>
      </c>
      <c r="Q7" s="73">
        <f>IF(O7="","",O7)</f>
        <v>16</v>
      </c>
      <c r="R7" s="71"/>
      <c r="S7" s="71"/>
      <c r="T7" s="72"/>
      <c r="U7" s="74" t="str" cm="1">
        <f t="array" ref="U7">IF(T7="","",ROUND(T7*Fac_Trefoil,0))</f>
        <v/>
      </c>
      <c r="W7" s="76">
        <f>'SANS Data'!L14</f>
        <v>29</v>
      </c>
      <c r="X7" s="76">
        <f>'SANS Data'!M14</f>
        <v>25.114736709748719</v>
      </c>
      <c r="Y7" s="77"/>
      <c r="Z7" s="77"/>
      <c r="AA7" s="78">
        <v>32</v>
      </c>
      <c r="AB7" s="78">
        <v>27</v>
      </c>
      <c r="AC7" s="78"/>
      <c r="AD7" s="79" t="str">
        <f>IF(AC7="","",AC7*SQRT(3)/2)</f>
        <v/>
      </c>
    </row>
    <row r="8" spans="1:30" x14ac:dyDescent="0.3">
      <c r="A8" s="69">
        <f>'SANS Data'!A15</f>
        <v>2.5</v>
      </c>
      <c r="B8" s="70">
        <f>'SANS Data'!B15</f>
        <v>23</v>
      </c>
      <c r="C8" s="70">
        <f>'SANS Data'!C15</f>
        <v>20</v>
      </c>
      <c r="D8" s="70">
        <f>'SANS Data'!D15</f>
        <v>27</v>
      </c>
      <c r="E8" s="70">
        <f>'SANS Data'!E15</f>
        <v>24</v>
      </c>
      <c r="F8" s="70">
        <f>'SANS Data'!F15</f>
        <v>30</v>
      </c>
      <c r="G8" s="70">
        <f>'SANS Data'!G15</f>
        <v>25</v>
      </c>
      <c r="H8" s="70">
        <f>'SANS Data'!H15</f>
        <v>29</v>
      </c>
      <c r="I8" s="70">
        <f>'SANS Data'!I15</f>
        <v>24</v>
      </c>
      <c r="J8" s="71"/>
      <c r="K8" s="71"/>
      <c r="L8" s="71"/>
      <c r="M8" s="71"/>
      <c r="N8" s="72">
        <v>25</v>
      </c>
      <c r="O8" s="72">
        <v>20</v>
      </c>
      <c r="P8" s="73">
        <f>IF(N8="","",N8)</f>
        <v>25</v>
      </c>
      <c r="Q8" s="73">
        <f>IF(O8="","",O8)</f>
        <v>20</v>
      </c>
      <c r="R8" s="71"/>
      <c r="S8" s="71"/>
      <c r="T8" s="72"/>
      <c r="U8" s="74" t="str" cm="1">
        <f t="array" ref="U8">IF(T8="","",ROUND(T8*Fac_Trefoil,0))</f>
        <v/>
      </c>
      <c r="W8" s="76">
        <f>'SANS Data'!L15</f>
        <v>18</v>
      </c>
      <c r="X8" s="76">
        <f>'SANS Data'!M15</f>
        <v>15.588457268119894</v>
      </c>
      <c r="Y8" s="77"/>
      <c r="Z8" s="77"/>
      <c r="AA8" s="78">
        <v>19</v>
      </c>
      <c r="AB8" s="78">
        <v>16</v>
      </c>
      <c r="AC8" s="78"/>
      <c r="AD8" s="79" t="str">
        <f>IF(AC8="","",AC8*SQRT(3)/2)</f>
        <v/>
      </c>
    </row>
    <row r="9" spans="1:30" x14ac:dyDescent="0.3">
      <c r="A9" s="69">
        <f>'SANS Data'!A16</f>
        <v>4</v>
      </c>
      <c r="B9" s="70">
        <f>'SANS Data'!B16</f>
        <v>30</v>
      </c>
      <c r="C9" s="70">
        <f>'SANS Data'!C16</f>
        <v>27</v>
      </c>
      <c r="D9" s="70">
        <f>'SANS Data'!D16</f>
        <v>36</v>
      </c>
      <c r="E9" s="70">
        <f>'SANS Data'!E16</f>
        <v>32</v>
      </c>
      <c r="F9" s="70">
        <f>'SANS Data'!F16</f>
        <v>40</v>
      </c>
      <c r="G9" s="70">
        <f>'SANS Data'!G16</f>
        <v>34</v>
      </c>
      <c r="H9" s="70">
        <f>'SANS Data'!H16</f>
        <v>38</v>
      </c>
      <c r="I9" s="70">
        <f>'SANS Data'!I16</f>
        <v>31</v>
      </c>
      <c r="J9" s="71"/>
      <c r="K9" s="71"/>
      <c r="L9" s="71"/>
      <c r="M9" s="71"/>
      <c r="N9" s="72">
        <v>30</v>
      </c>
      <c r="O9" s="72">
        <v>26</v>
      </c>
      <c r="P9" s="73">
        <f>IF(N9="","",N9)</f>
        <v>30</v>
      </c>
      <c r="Q9" s="73">
        <f>IF(O9="","",O9)</f>
        <v>26</v>
      </c>
      <c r="R9" s="71"/>
      <c r="S9" s="71"/>
      <c r="T9" s="72"/>
      <c r="U9" s="74" t="str" cm="1">
        <f t="array" ref="U9">IF(T9="","",ROUND(T9*Fac_Trefoil,0))</f>
        <v/>
      </c>
      <c r="W9" s="76">
        <f>'SANS Data'!L16</f>
        <v>11</v>
      </c>
      <c r="X9" s="76">
        <f>'SANS Data'!M16</f>
        <v>9.5262794416288248</v>
      </c>
      <c r="Y9" s="77"/>
      <c r="Z9" s="77"/>
      <c r="AA9" s="78">
        <v>12</v>
      </c>
      <c r="AB9" s="78">
        <v>10</v>
      </c>
      <c r="AC9" s="78"/>
      <c r="AD9" s="79" t="str">
        <f>IF(AC9="","",AC9*SQRT(3)/2)</f>
        <v/>
      </c>
    </row>
    <row r="10" spans="1:30" x14ac:dyDescent="0.3">
      <c r="A10" s="69">
        <f>'SANS Data'!A17</f>
        <v>6</v>
      </c>
      <c r="B10" s="70">
        <f>'SANS Data'!B17</f>
        <v>38</v>
      </c>
      <c r="C10" s="70">
        <f>'SANS Data'!C17</f>
        <v>34</v>
      </c>
      <c r="D10" s="70">
        <f>'SANS Data'!D17</f>
        <v>46</v>
      </c>
      <c r="E10" s="70">
        <f>'SANS Data'!E17</f>
        <v>41</v>
      </c>
      <c r="F10" s="70">
        <f>'SANS Data'!F17</f>
        <v>51</v>
      </c>
      <c r="G10" s="70">
        <f>'SANS Data'!G17</f>
        <v>43</v>
      </c>
      <c r="H10" s="70">
        <f>'SANS Data'!H17</f>
        <v>47</v>
      </c>
      <c r="I10" s="70">
        <f>'SANS Data'!I17</f>
        <v>39</v>
      </c>
      <c r="J10" s="71"/>
      <c r="K10" s="71"/>
      <c r="L10" s="71"/>
      <c r="M10" s="71"/>
      <c r="N10" s="72">
        <v>39</v>
      </c>
      <c r="O10" s="72">
        <v>34</v>
      </c>
      <c r="P10" s="73">
        <f>IF(N10="","",N10)</f>
        <v>39</v>
      </c>
      <c r="Q10" s="73">
        <f>IF(O10="","",O10)</f>
        <v>34</v>
      </c>
      <c r="R10" s="71"/>
      <c r="S10" s="71"/>
      <c r="T10" s="72"/>
      <c r="U10" s="74" t="str" cm="1">
        <f t="array" ref="U10">IF(T10="","",ROUND(T10*Fac_Trefoil,0))</f>
        <v/>
      </c>
      <c r="W10" s="76">
        <f>'SANS Data'!L17</f>
        <v>7.3</v>
      </c>
      <c r="X10" s="76">
        <f>'SANS Data'!M17</f>
        <v>6.3219854476264015</v>
      </c>
      <c r="Y10" s="77"/>
      <c r="Z10" s="77"/>
      <c r="AA10" s="78">
        <v>7.8</v>
      </c>
      <c r="AB10" s="78">
        <v>6.7</v>
      </c>
      <c r="AC10" s="78"/>
      <c r="AD10" s="79" t="str">
        <f>IF(AC10="","",AC10*SQRT(3)/2)</f>
        <v/>
      </c>
    </row>
    <row r="11" spans="1:30" x14ac:dyDescent="0.3">
      <c r="A11" s="69">
        <f>'SANS Data'!A18</f>
        <v>10</v>
      </c>
      <c r="B11" s="70">
        <f>'SANS Data'!B18</f>
        <v>52</v>
      </c>
      <c r="C11" s="70">
        <f>'SANS Data'!C18</f>
        <v>46</v>
      </c>
      <c r="D11" s="70">
        <f>'SANS Data'!D18</f>
        <v>63</v>
      </c>
      <c r="E11" s="70">
        <f>'SANS Data'!E18</f>
        <v>57</v>
      </c>
      <c r="F11" s="70">
        <f>'SANS Data'!F18</f>
        <v>70</v>
      </c>
      <c r="G11" s="70">
        <f>'SANS Data'!G18</f>
        <v>60</v>
      </c>
      <c r="H11" s="70">
        <f>'SANS Data'!H18</f>
        <v>63</v>
      </c>
      <c r="I11" s="70">
        <f>'SANS Data'!I18</f>
        <v>52</v>
      </c>
      <c r="J11" s="71"/>
      <c r="K11" s="71"/>
      <c r="L11" s="71"/>
      <c r="M11" s="71"/>
      <c r="N11" s="72">
        <v>51</v>
      </c>
      <c r="O11" s="72">
        <v>47</v>
      </c>
      <c r="P11" s="73">
        <f>IF(N11="","",N11)</f>
        <v>51</v>
      </c>
      <c r="Q11" s="73">
        <f>IF(O11="","",O11)</f>
        <v>47</v>
      </c>
      <c r="R11" s="71"/>
      <c r="S11" s="71"/>
      <c r="T11" s="72"/>
      <c r="U11" s="74" t="str" cm="1">
        <f t="array" ref="U11">IF(T11="","",ROUND(T11*Fac_Trefoil,0))</f>
        <v/>
      </c>
      <c r="W11" s="76">
        <f>'SANS Data'!L18</f>
        <v>4.4000000000000004</v>
      </c>
      <c r="X11" s="76">
        <f>'SANS Data'!M18</f>
        <v>3.8105117766515302</v>
      </c>
      <c r="Y11" s="77"/>
      <c r="Z11" s="77"/>
      <c r="AA11" s="78">
        <v>4.5999999999999996</v>
      </c>
      <c r="AB11" s="78">
        <v>4</v>
      </c>
      <c r="AC11" s="78"/>
      <c r="AD11" s="79" t="str">
        <f>IF(AC11="","",AC11*SQRT(3)/2)</f>
        <v/>
      </c>
    </row>
    <row r="12" spans="1:30" x14ac:dyDescent="0.3">
      <c r="A12" s="69">
        <f>'SANS Data'!A19</f>
        <v>16</v>
      </c>
      <c r="B12" s="70">
        <f>'SANS Data'!B19</f>
        <v>69</v>
      </c>
      <c r="C12" s="70">
        <f>'SANS Data'!C19</f>
        <v>62</v>
      </c>
      <c r="D12" s="70">
        <f>'SANS Data'!D19</f>
        <v>85</v>
      </c>
      <c r="E12" s="70">
        <f>'SANS Data'!E19</f>
        <v>76</v>
      </c>
      <c r="F12" s="70">
        <f>'SANS Data'!F19</f>
        <v>94</v>
      </c>
      <c r="G12" s="70">
        <f>'SANS Data'!G19</f>
        <v>80</v>
      </c>
      <c r="H12" s="70">
        <f>'SANS Data'!H19</f>
        <v>81</v>
      </c>
      <c r="I12" s="70">
        <f>'SANS Data'!I19</f>
        <v>67</v>
      </c>
      <c r="J12" s="71"/>
      <c r="K12" s="71"/>
      <c r="L12" s="71"/>
      <c r="M12" s="71"/>
      <c r="N12" s="72">
        <v>73</v>
      </c>
      <c r="O12" s="72">
        <v>63</v>
      </c>
      <c r="P12" s="73">
        <f>IF(N12="","",N12)</f>
        <v>73</v>
      </c>
      <c r="Q12" s="73">
        <f>IF(O12="","",O12)</f>
        <v>63</v>
      </c>
      <c r="R12" s="71"/>
      <c r="S12" s="71"/>
      <c r="T12" s="72"/>
      <c r="U12" s="74" t="str" cm="1">
        <f t="array" ref="U12">IF(T12="","",ROUND(T12*Fac_Trefoil,0))</f>
        <v/>
      </c>
      <c r="W12" s="76">
        <f>'SANS Data'!L19</f>
        <v>2.8</v>
      </c>
      <c r="X12" s="76">
        <f>'SANS Data'!M19</f>
        <v>2.4248711305964279</v>
      </c>
      <c r="Y12" s="77"/>
      <c r="Z12" s="77"/>
      <c r="AA12" s="78">
        <v>2.9</v>
      </c>
      <c r="AB12" s="78">
        <v>2.5</v>
      </c>
      <c r="AC12" s="78"/>
      <c r="AD12" s="79" t="str">
        <f>IF(AC12="","",AC12*SQRT(3)/2)</f>
        <v/>
      </c>
    </row>
    <row r="13" spans="1:30" x14ac:dyDescent="0.3">
      <c r="A13" s="69">
        <f>'SANS Data'!A20</f>
        <v>25</v>
      </c>
      <c r="B13" s="70">
        <f>'SANS Data'!B20</f>
        <v>90</v>
      </c>
      <c r="C13" s="70">
        <f>'SANS Data'!C20</f>
        <v>80</v>
      </c>
      <c r="D13" s="70">
        <f>'SANS Data'!D20</f>
        <v>112</v>
      </c>
      <c r="E13" s="70">
        <f>'SANS Data'!E20</f>
        <v>96</v>
      </c>
      <c r="F13" s="70">
        <f>'SANS Data'!F20</f>
        <v>119</v>
      </c>
      <c r="G13" s="70">
        <f>'SANS Data'!G20</f>
        <v>101</v>
      </c>
      <c r="H13" s="70">
        <f>'SANS Data'!H20</f>
        <v>104</v>
      </c>
      <c r="I13" s="70">
        <f>'SANS Data'!I20</f>
        <v>86</v>
      </c>
      <c r="J13" s="72">
        <v>131</v>
      </c>
      <c r="K13" s="72">
        <v>110</v>
      </c>
      <c r="L13" s="71"/>
      <c r="M13" s="71"/>
      <c r="N13" s="72">
        <v>97</v>
      </c>
      <c r="O13" s="72">
        <v>83</v>
      </c>
      <c r="P13" s="73">
        <f>IF(N13="","",N13)</f>
        <v>97</v>
      </c>
      <c r="Q13" s="73">
        <f>IF(O13="","",O13)</f>
        <v>83</v>
      </c>
      <c r="R13" s="71"/>
      <c r="S13" s="71"/>
      <c r="T13" s="72"/>
      <c r="U13" s="74" t="str" cm="1">
        <f t="array" ref="U13">IF(T13="","",ROUND(T13*Fac_Trefoil,0))</f>
        <v/>
      </c>
      <c r="W13" s="76">
        <f>'SANS Data'!L20</f>
        <v>1.75</v>
      </c>
      <c r="X13" s="76">
        <f>'SANS Data'!M20</f>
        <v>1.5155444566227676</v>
      </c>
      <c r="Y13" s="78">
        <v>1.8</v>
      </c>
      <c r="Z13" s="78">
        <v>1.5</v>
      </c>
      <c r="AA13" s="78">
        <v>1.85</v>
      </c>
      <c r="AB13" s="78">
        <v>1.55</v>
      </c>
      <c r="AC13" s="78"/>
      <c r="AD13" s="79" t="str">
        <f>IF(AC13="","",AC13*SQRT(3)/2)</f>
        <v/>
      </c>
    </row>
    <row r="14" spans="1:30" x14ac:dyDescent="0.3">
      <c r="A14" s="69">
        <f>'SANS Data'!A21</f>
        <v>35</v>
      </c>
      <c r="B14" s="70">
        <f>'SANS Data'!B21</f>
        <v>111</v>
      </c>
      <c r="C14" s="70">
        <f>'SANS Data'!C21</f>
        <v>99</v>
      </c>
      <c r="D14" s="70">
        <f>'SANS Data'!D21</f>
        <v>138</v>
      </c>
      <c r="E14" s="70">
        <f>'SANS Data'!E21</f>
        <v>119</v>
      </c>
      <c r="F14" s="70">
        <f>'SANS Data'!F21</f>
        <v>148</v>
      </c>
      <c r="G14" s="70">
        <f>'SANS Data'!G21</f>
        <v>126</v>
      </c>
      <c r="H14" s="70">
        <f>'SANS Data'!H21</f>
        <v>125</v>
      </c>
      <c r="I14" s="70">
        <f>'SANS Data'!I21</f>
        <v>103</v>
      </c>
      <c r="J14" s="72">
        <v>162</v>
      </c>
      <c r="K14" s="72">
        <v>137</v>
      </c>
      <c r="L14" s="71"/>
      <c r="M14" s="71"/>
      <c r="N14" s="72"/>
      <c r="O14" s="72">
        <v>102</v>
      </c>
      <c r="P14" s="73" t="str">
        <f>IF(N14="","",N14)</f>
        <v/>
      </c>
      <c r="Q14" s="73">
        <f>IF(O14="","",O14)</f>
        <v>102</v>
      </c>
      <c r="R14" s="71"/>
      <c r="S14" s="71"/>
      <c r="T14" s="72">
        <v>140</v>
      </c>
      <c r="U14" s="74" cm="1">
        <f t="array" ref="U14">IF(T14="","",ROUND(T14*Fac_Trefoil,0))</f>
        <v>119</v>
      </c>
      <c r="W14" s="76">
        <f>'SANS Data'!L21</f>
        <v>1.25</v>
      </c>
      <c r="X14" s="76">
        <f>'SANS Data'!M21</f>
        <v>1.0825317547305482</v>
      </c>
      <c r="Y14" s="78">
        <v>1.3</v>
      </c>
      <c r="Z14" s="78">
        <v>1.1000000000000001</v>
      </c>
      <c r="AA14" s="78"/>
      <c r="AB14" s="78">
        <v>1.1499999999999999</v>
      </c>
      <c r="AC14" s="78">
        <v>1.32</v>
      </c>
      <c r="AD14" s="79">
        <f>IF(AC14="","",AC14*SQRT(3)/2)</f>
        <v>1.143153532995459</v>
      </c>
    </row>
    <row r="15" spans="1:30" x14ac:dyDescent="0.3">
      <c r="A15" s="69">
        <f>'SANS Data'!A22</f>
        <v>50</v>
      </c>
      <c r="B15" s="70">
        <f>'SANS Data'!B22</f>
        <v>133</v>
      </c>
      <c r="C15" s="70">
        <f>'SANS Data'!C22</f>
        <v>118</v>
      </c>
      <c r="D15" s="70">
        <f>'SANS Data'!D22</f>
        <v>168</v>
      </c>
      <c r="E15" s="70">
        <f>'SANS Data'!E22</f>
        <v>144</v>
      </c>
      <c r="F15" s="70">
        <f>'SANS Data'!F22</f>
        <v>180</v>
      </c>
      <c r="G15" s="70">
        <f>'SANS Data'!G22</f>
        <v>153</v>
      </c>
      <c r="H15" s="70">
        <f>'SANS Data'!H22</f>
        <v>148</v>
      </c>
      <c r="I15" s="70">
        <f>'SANS Data'!I22</f>
        <v>122</v>
      </c>
      <c r="J15" s="72">
        <v>196</v>
      </c>
      <c r="K15" s="72">
        <v>167</v>
      </c>
      <c r="L15" s="71"/>
      <c r="M15" s="71"/>
      <c r="N15" s="72"/>
      <c r="O15" s="72">
        <v>124</v>
      </c>
      <c r="P15" s="73" t="str">
        <f>IF(N15="","",N15)</f>
        <v/>
      </c>
      <c r="Q15" s="73">
        <f>IF(O15="","",O15)</f>
        <v>124</v>
      </c>
      <c r="R15" s="71"/>
      <c r="S15" s="71"/>
      <c r="T15" s="72">
        <v>175</v>
      </c>
      <c r="U15" s="74" cm="1">
        <f t="array" ref="U15">IF(T15="","",ROUND(T15*Fac_Trefoil,0))</f>
        <v>149</v>
      </c>
      <c r="W15" s="76">
        <f>'SANS Data'!L22</f>
        <v>0.94</v>
      </c>
      <c r="X15" s="76">
        <f>'SANS Data'!M22</f>
        <v>0.81406387955737225</v>
      </c>
      <c r="Y15" s="78">
        <v>0.95</v>
      </c>
      <c r="Z15" s="78">
        <v>0.8</v>
      </c>
      <c r="AA15" s="78"/>
      <c r="AB15" s="78">
        <v>0.84</v>
      </c>
      <c r="AC15" s="78">
        <v>0.93</v>
      </c>
      <c r="AD15" s="79">
        <f>IF(AC15="","",AC15*SQRT(3)/2)</f>
        <v>0.80540362551952793</v>
      </c>
    </row>
    <row r="16" spans="1:30" x14ac:dyDescent="0.3">
      <c r="A16" s="69">
        <f>'SANS Data'!A23</f>
        <v>70</v>
      </c>
      <c r="B16" s="70">
        <f>'SANS Data'!B23</f>
        <v>168</v>
      </c>
      <c r="C16" s="70">
        <f>'SANS Data'!C23</f>
        <v>149</v>
      </c>
      <c r="D16" s="70">
        <f>'SANS Data'!D23</f>
        <v>213</v>
      </c>
      <c r="E16" s="70">
        <f>'SANS Data'!E23</f>
        <v>184</v>
      </c>
      <c r="F16" s="70">
        <f>'SANS Data'!F23</f>
        <v>232</v>
      </c>
      <c r="G16" s="70">
        <f>'SANS Data'!G23</f>
        <v>196</v>
      </c>
      <c r="H16" s="70">
        <f>'SANS Data'!H23</f>
        <v>183</v>
      </c>
      <c r="I16" s="70">
        <f>'SANS Data'!I23</f>
        <v>151</v>
      </c>
      <c r="J16" s="72">
        <v>251</v>
      </c>
      <c r="K16" s="72">
        <v>216</v>
      </c>
      <c r="L16" s="71"/>
      <c r="M16" s="71"/>
      <c r="N16" s="72"/>
      <c r="O16" s="72">
        <v>158</v>
      </c>
      <c r="P16" s="73" t="str">
        <f>IF(N16="","",N16)</f>
        <v/>
      </c>
      <c r="Q16" s="73">
        <f>IF(O16="","",O16)</f>
        <v>158</v>
      </c>
      <c r="R16" s="71"/>
      <c r="S16" s="71"/>
      <c r="T16" s="72">
        <v>216</v>
      </c>
      <c r="U16" s="74" cm="1">
        <f t="array" ref="U16">IF(T16="","",ROUND(T16*Fac_Trefoil,0))</f>
        <v>184</v>
      </c>
      <c r="W16" s="76">
        <f>'SANS Data'!L23</f>
        <v>0.63</v>
      </c>
      <c r="X16" s="76">
        <f>'SANS Data'!M23</f>
        <v>0.54559600438419631</v>
      </c>
      <c r="Y16" s="78">
        <v>0.65</v>
      </c>
      <c r="Z16" s="78">
        <v>0.55000000000000004</v>
      </c>
      <c r="AA16" s="78"/>
      <c r="AB16" s="78">
        <v>0.57999999999999996</v>
      </c>
      <c r="AC16" s="78">
        <v>0.67</v>
      </c>
      <c r="AD16" s="79">
        <f>IF(AC16="","",AC16*SQRT(3)/2)</f>
        <v>0.58023702053557391</v>
      </c>
    </row>
    <row r="17" spans="1:30" x14ac:dyDescent="0.3">
      <c r="A17" s="69">
        <f>'SANS Data'!A24</f>
        <v>95</v>
      </c>
      <c r="B17" s="70">
        <f>'SANS Data'!B24</f>
        <v>201</v>
      </c>
      <c r="C17" s="70">
        <f>'SANS Data'!C24</f>
        <v>179</v>
      </c>
      <c r="D17" s="70">
        <f>'SANS Data'!D24</f>
        <v>258</v>
      </c>
      <c r="E17" s="70">
        <f>'SANS Data'!E24</f>
        <v>223</v>
      </c>
      <c r="F17" s="70">
        <f>'SANS Data'!F24</f>
        <v>282</v>
      </c>
      <c r="G17" s="70">
        <f>'SANS Data'!G24</f>
        <v>238</v>
      </c>
      <c r="H17" s="70">
        <f>'SANS Data'!H24</f>
        <v>216</v>
      </c>
      <c r="I17" s="70">
        <f>'SANS Data'!I24</f>
        <v>179</v>
      </c>
      <c r="J17" s="72">
        <v>304</v>
      </c>
      <c r="K17" s="72">
        <v>264</v>
      </c>
      <c r="L17" s="71"/>
      <c r="M17" s="71"/>
      <c r="N17" s="72"/>
      <c r="O17" s="72">
        <v>192</v>
      </c>
      <c r="P17" s="73" t="str">
        <f>IF(N17="","",N17)</f>
        <v/>
      </c>
      <c r="Q17" s="73">
        <f>IF(O17="","",O17)</f>
        <v>192</v>
      </c>
      <c r="R17" s="71"/>
      <c r="S17" s="71"/>
      <c r="T17" s="72">
        <v>258</v>
      </c>
      <c r="U17" s="74" cm="1">
        <f t="array" ref="U17">IF(T17="","",ROUND(T17*Fac_Trefoil,0))</f>
        <v>219</v>
      </c>
      <c r="W17" s="76">
        <f>'SANS Data'!L24</f>
        <v>0.47</v>
      </c>
      <c r="X17" s="76">
        <f>'SANS Data'!M24</f>
        <v>0.40703193977868612</v>
      </c>
      <c r="Y17" s="78">
        <v>0.49</v>
      </c>
      <c r="Z17" s="78">
        <v>0.41</v>
      </c>
      <c r="AA17" s="78"/>
      <c r="AB17" s="78">
        <v>0.44</v>
      </c>
      <c r="AC17" s="78">
        <v>0.53</v>
      </c>
      <c r="AD17" s="79">
        <f>IF(AC17="","",AC17*SQRT(3)/2)</f>
        <v>0.45899346400575247</v>
      </c>
    </row>
    <row r="18" spans="1:30" x14ac:dyDescent="0.3">
      <c r="A18" s="69">
        <f>'SANS Data'!A25</f>
        <v>120</v>
      </c>
      <c r="B18" s="70">
        <f>'SANS Data'!B25</f>
        <v>232</v>
      </c>
      <c r="C18" s="70">
        <f>'SANS Data'!C25</f>
        <v>206</v>
      </c>
      <c r="D18" s="70">
        <f>'SANS Data'!D25</f>
        <v>299</v>
      </c>
      <c r="E18" s="70">
        <f>'SANS Data'!E25</f>
        <v>259</v>
      </c>
      <c r="F18" s="70">
        <f>'SANS Data'!F25</f>
        <v>328</v>
      </c>
      <c r="G18" s="70">
        <f>'SANS Data'!G25</f>
        <v>276</v>
      </c>
      <c r="H18" s="70">
        <f>'SANS Data'!H25</f>
        <v>246</v>
      </c>
      <c r="I18" s="70">
        <f>'SANS Data'!I25</f>
        <v>203</v>
      </c>
      <c r="J18" s="72">
        <v>352</v>
      </c>
      <c r="K18" s="72">
        <v>308</v>
      </c>
      <c r="L18" s="71"/>
      <c r="M18" s="71"/>
      <c r="N18" s="72"/>
      <c r="O18" s="72">
        <v>222</v>
      </c>
      <c r="P18" s="73" t="str">
        <f>IF(N18="","",N18)</f>
        <v/>
      </c>
      <c r="Q18" s="73">
        <f>IF(O18="","",O18)</f>
        <v>222</v>
      </c>
      <c r="R18" s="71"/>
      <c r="S18" s="71"/>
      <c r="T18" s="72">
        <v>302</v>
      </c>
      <c r="U18" s="74" cm="1">
        <f t="array" ref="U18">IF(T18="","",ROUND(T18*Fac_Trefoil,0))</f>
        <v>257</v>
      </c>
      <c r="W18" s="76">
        <f>'SANS Data'!L25</f>
        <v>0.38</v>
      </c>
      <c r="X18" s="76">
        <f>'SANS Data'!M25</f>
        <v>0.32908965343808666</v>
      </c>
      <c r="Y18" s="78">
        <v>0.39</v>
      </c>
      <c r="Z18" s="78">
        <v>0.33</v>
      </c>
      <c r="AA18" s="78"/>
      <c r="AB18" s="78">
        <v>0.36</v>
      </c>
      <c r="AC18" s="78">
        <v>0.43</v>
      </c>
      <c r="AD18" s="79">
        <f>IF(AC18="","",AC18*SQRT(3)/2)</f>
        <v>0.37239092362730858</v>
      </c>
    </row>
    <row r="19" spans="1:30" x14ac:dyDescent="0.3">
      <c r="A19" s="69">
        <f>'SANS Data'!A26</f>
        <v>150</v>
      </c>
      <c r="B19" s="70">
        <f>'SANS Data'!B26</f>
        <v>266</v>
      </c>
      <c r="C19" s="70">
        <f>'SANS Data'!C26</f>
        <v>236</v>
      </c>
      <c r="D19" s="70">
        <f>'SANS Data'!D26</f>
        <v>344</v>
      </c>
      <c r="E19" s="70">
        <f>'SANS Data'!E26</f>
        <v>299</v>
      </c>
      <c r="F19" s="70">
        <f>'SANS Data'!F26</f>
        <v>379</v>
      </c>
      <c r="G19" s="70">
        <f>'SANS Data'!G26</f>
        <v>319</v>
      </c>
      <c r="H19" s="70">
        <f>'SANS Data'!H26</f>
        <v>278</v>
      </c>
      <c r="I19" s="70">
        <f>'SANS Data'!I26</f>
        <v>230</v>
      </c>
      <c r="J19" s="72">
        <v>406</v>
      </c>
      <c r="K19" s="72">
        <v>356</v>
      </c>
      <c r="L19" s="71"/>
      <c r="M19" s="71"/>
      <c r="N19" s="72"/>
      <c r="O19" s="72">
        <v>255</v>
      </c>
      <c r="P19" s="73" t="str">
        <f>IF(N19="","",N19)</f>
        <v/>
      </c>
      <c r="Q19" s="73">
        <f>IF(O19="","",O19)</f>
        <v>255</v>
      </c>
      <c r="R19" s="71"/>
      <c r="S19" s="71"/>
      <c r="T19" s="72">
        <v>347</v>
      </c>
      <c r="U19" s="74" cm="1">
        <f t="array" ref="U19">IF(T19="","",ROUND(T19*Fac_Trefoil,0))</f>
        <v>295</v>
      </c>
      <c r="W19" s="76">
        <f>'SANS Data'!L26</f>
        <v>0.3</v>
      </c>
      <c r="X19" s="76">
        <f>'SANS Data'!M26</f>
        <v>0.25980762113533157</v>
      </c>
      <c r="Y19" s="78">
        <v>0.33</v>
      </c>
      <c r="Z19" s="78">
        <v>0.28999999999999998</v>
      </c>
      <c r="AA19" s="78"/>
      <c r="AB19" s="78">
        <v>0.3</v>
      </c>
      <c r="AC19" s="78">
        <v>0.36</v>
      </c>
      <c r="AD19" s="79">
        <f>IF(AC19="","",AC19*SQRT(3)/2)</f>
        <v>0.31176914536239786</v>
      </c>
    </row>
    <row r="20" spans="1:30" x14ac:dyDescent="0.3">
      <c r="A20" s="69">
        <f>'SANS Data'!A27</f>
        <v>185</v>
      </c>
      <c r="B20" s="70">
        <f>'SANS Data'!B27</f>
        <v>303</v>
      </c>
      <c r="C20" s="70">
        <f>'SANS Data'!C27</f>
        <v>268</v>
      </c>
      <c r="D20" s="70">
        <f>'SANS Data'!D27</f>
        <v>392</v>
      </c>
      <c r="E20" s="70">
        <f>'SANS Data'!E27</f>
        <v>341</v>
      </c>
      <c r="F20" s="70">
        <f>'SANS Data'!F27</f>
        <v>434</v>
      </c>
      <c r="G20" s="70">
        <f>'SANS Data'!G27</f>
        <v>364</v>
      </c>
      <c r="H20" s="70">
        <f>'SANS Data'!H27</f>
        <v>312</v>
      </c>
      <c r="I20" s="70">
        <f>'SANS Data'!I27</f>
        <v>258</v>
      </c>
      <c r="J20" s="72">
        <v>463</v>
      </c>
      <c r="K20" s="72">
        <v>409</v>
      </c>
      <c r="L20" s="71"/>
      <c r="M20" s="71"/>
      <c r="N20" s="72"/>
      <c r="O20" s="72">
        <v>291</v>
      </c>
      <c r="P20" s="73" t="str">
        <f>IF(N20="","",N20)</f>
        <v/>
      </c>
      <c r="Q20" s="73">
        <f>IF(O20="","",O20)</f>
        <v>291</v>
      </c>
      <c r="R20" s="71"/>
      <c r="S20" s="71"/>
      <c r="T20" s="72">
        <v>394</v>
      </c>
      <c r="U20" s="74" cm="1">
        <f t="array" ref="U20">IF(T20="","",ROUND(T20*Fac_Trefoil,0))</f>
        <v>335</v>
      </c>
      <c r="W20" s="76">
        <f>'SANS Data'!L27</f>
        <v>0.25</v>
      </c>
      <c r="X20" s="76">
        <f>'SANS Data'!M27</f>
        <v>0.21650635094610965</v>
      </c>
      <c r="Y20" s="78">
        <v>0.28000000000000003</v>
      </c>
      <c r="Z20" s="78">
        <v>0.25</v>
      </c>
      <c r="AA20" s="78"/>
      <c r="AB20" s="78">
        <v>0.26</v>
      </c>
      <c r="AC20" s="78">
        <v>0.32</v>
      </c>
      <c r="AD20" s="79">
        <f>IF(AC20="","",AC20*SQRT(3)/2)</f>
        <v>0.27712812921102037</v>
      </c>
    </row>
    <row r="21" spans="1:30" x14ac:dyDescent="0.3">
      <c r="A21" s="69">
        <f>'SANS Data'!A28</f>
        <v>240</v>
      </c>
      <c r="B21" s="70">
        <f>'SANS Data'!B28</f>
        <v>356</v>
      </c>
      <c r="C21" s="70">
        <f>'SANS Data'!C28</f>
        <v>315</v>
      </c>
      <c r="D21" s="70">
        <f>'SANS Data'!D28</f>
        <v>461</v>
      </c>
      <c r="E21" s="70">
        <f>'SANS Data'!E28</f>
        <v>403</v>
      </c>
      <c r="F21" s="70">
        <f>'SANS Data'!F28</f>
        <v>514</v>
      </c>
      <c r="G21" s="70">
        <f>'SANS Data'!G28</f>
        <v>430</v>
      </c>
      <c r="H21" s="70">
        <f>'SANS Data'!H28</f>
        <v>361</v>
      </c>
      <c r="I21" s="70">
        <f>'SANS Data'!I28</f>
        <v>297</v>
      </c>
      <c r="J21" s="72">
        <v>546</v>
      </c>
      <c r="K21" s="72">
        <v>485</v>
      </c>
      <c r="L21" s="71"/>
      <c r="M21" s="71"/>
      <c r="N21" s="72"/>
      <c r="O21" s="72">
        <v>343</v>
      </c>
      <c r="P21" s="73" t="str">
        <f>IF(N21="","",N21)</f>
        <v/>
      </c>
      <c r="Q21" s="73">
        <f>IF(O21="","",O21)</f>
        <v>343</v>
      </c>
      <c r="R21" s="71"/>
      <c r="S21" s="71"/>
      <c r="T21" s="72">
        <v>471</v>
      </c>
      <c r="U21" s="74" cm="1">
        <f t="array" ref="U21">IF(T21="","",ROUND(T21*Fac_Trefoil,0))</f>
        <v>400</v>
      </c>
      <c r="W21" s="76">
        <f>'SANS Data'!L28</f>
        <v>0.19500000000000001</v>
      </c>
      <c r="X21" s="76">
        <f>'SANS Data'!M28</f>
        <v>0.16887495373796554</v>
      </c>
      <c r="Y21" s="78">
        <v>0.24</v>
      </c>
      <c r="Z21" s="78">
        <v>0.21</v>
      </c>
      <c r="AA21" s="78"/>
      <c r="AB21" s="78">
        <v>0.21</v>
      </c>
      <c r="AC21" s="78">
        <v>0.27</v>
      </c>
      <c r="AD21" s="79">
        <f>IF(AC21="","",AC21*SQRT(3)/2)</f>
        <v>0.23382685902179845</v>
      </c>
    </row>
    <row r="22" spans="1:30" x14ac:dyDescent="0.3">
      <c r="A22" s="69">
        <f>'SANS Data'!A29</f>
        <v>300</v>
      </c>
      <c r="B22" s="70">
        <f>'SANS Data'!B29</f>
        <v>409</v>
      </c>
      <c r="C22" s="70">
        <f>'SANS Data'!C29</f>
        <v>361</v>
      </c>
      <c r="D22" s="70">
        <f>'SANS Data'!D29</f>
        <v>530</v>
      </c>
      <c r="E22" s="70">
        <f>'SANS Data'!E29</f>
        <v>464</v>
      </c>
      <c r="F22" s="70">
        <f>'SANS Data'!F29</f>
        <v>593</v>
      </c>
      <c r="G22" s="70">
        <f>'SANS Data'!G29</f>
        <v>497</v>
      </c>
      <c r="H22" s="70">
        <f>'SANS Data'!H29</f>
        <v>408</v>
      </c>
      <c r="I22" s="70">
        <f>'SANS Data'!I29</f>
        <v>336</v>
      </c>
      <c r="J22" s="72">
        <v>629</v>
      </c>
      <c r="K22" s="72">
        <v>561</v>
      </c>
      <c r="L22" s="71"/>
      <c r="M22" s="71"/>
      <c r="N22" s="72"/>
      <c r="O22" s="72">
        <v>394</v>
      </c>
      <c r="P22" s="73" t="str">
        <f>IF(N22="","",N22)</f>
        <v/>
      </c>
      <c r="Q22" s="73">
        <f>IF(O22="","",O22)</f>
        <v>394</v>
      </c>
      <c r="R22" s="71"/>
      <c r="S22" s="71"/>
      <c r="T22" s="72">
        <v>541</v>
      </c>
      <c r="U22" s="74" cm="1">
        <f t="array" ref="U22">IF(T22="","",ROUND(T22*Fac_Trefoil,0))</f>
        <v>460</v>
      </c>
      <c r="W22" s="76">
        <f>'SANS Data'!L29</f>
        <v>0.16</v>
      </c>
      <c r="X22" s="76">
        <f>'SANS Data'!M29</f>
        <v>0.13856406460551018</v>
      </c>
      <c r="Y22" s="78">
        <v>0.21</v>
      </c>
      <c r="Z22" s="78">
        <v>0.185</v>
      </c>
      <c r="AA22" s="78"/>
      <c r="AB22" s="78">
        <v>0.185</v>
      </c>
      <c r="AC22" s="78">
        <v>0.24</v>
      </c>
      <c r="AD22" s="79">
        <f>IF(AC22="","",AC22*SQRT(3)/2)</f>
        <v>0.20784609690826525</v>
      </c>
    </row>
    <row r="23" spans="1:30" x14ac:dyDescent="0.3">
      <c r="A23" s="75">
        <v>400</v>
      </c>
      <c r="B23" s="71"/>
      <c r="C23" s="71"/>
      <c r="D23" s="71"/>
      <c r="E23" s="71"/>
      <c r="F23" s="71"/>
      <c r="G23" s="71"/>
      <c r="H23" s="71"/>
      <c r="I23" s="71"/>
      <c r="J23" s="72">
        <v>754</v>
      </c>
      <c r="K23" s="72">
        <v>656</v>
      </c>
      <c r="L23" s="71"/>
      <c r="M23" s="71"/>
      <c r="N23" s="72"/>
      <c r="O23" s="72"/>
      <c r="P23" s="73" t="str">
        <f>IF(N23="","",N23)</f>
        <v/>
      </c>
      <c r="Q23" s="73" t="str">
        <f>IF(O23="","",O23)</f>
        <v/>
      </c>
      <c r="R23" s="71"/>
      <c r="S23" s="71"/>
      <c r="T23" s="72">
        <v>644</v>
      </c>
      <c r="U23" s="74" cm="1">
        <f t="array" ref="U23">IF(T23="","",ROUND(T23*Fac_Trefoil,0))</f>
        <v>547</v>
      </c>
      <c r="W23" s="77"/>
      <c r="X23" s="77"/>
      <c r="Y23" s="78">
        <v>0.19500000000000001</v>
      </c>
      <c r="Z23" s="78">
        <v>0.17</v>
      </c>
      <c r="AA23" s="78"/>
      <c r="AB23" s="78"/>
      <c r="AC23" s="78">
        <v>0.21</v>
      </c>
      <c r="AD23" s="79">
        <f>IF(AC23="","",AC23*SQRT(3)/2)</f>
        <v>0.1818653347947321</v>
      </c>
    </row>
    <row r="24" spans="1:30" x14ac:dyDescent="0.3">
      <c r="A24" s="75">
        <v>500</v>
      </c>
      <c r="B24" s="71"/>
      <c r="C24" s="71"/>
      <c r="D24" s="71"/>
      <c r="E24" s="71"/>
      <c r="F24" s="71"/>
      <c r="G24" s="71"/>
      <c r="H24" s="71"/>
      <c r="I24" s="71"/>
      <c r="J24" s="72">
        <v>868</v>
      </c>
      <c r="K24" s="72">
        <v>749</v>
      </c>
      <c r="L24" s="71"/>
      <c r="M24" s="71"/>
      <c r="N24" s="72"/>
      <c r="O24" s="72"/>
      <c r="P24" s="73" t="str">
        <f>IF(N24="","",N24)</f>
        <v/>
      </c>
      <c r="Q24" s="73" t="str">
        <f>IF(O24="","",O24)</f>
        <v/>
      </c>
      <c r="R24" s="71"/>
      <c r="S24" s="71"/>
      <c r="T24" s="72">
        <v>738</v>
      </c>
      <c r="U24" s="74" cm="1">
        <f t="array" ref="U24">IF(T24="","",ROUND(T24*Fac_Trefoil,0))</f>
        <v>627</v>
      </c>
      <c r="W24" s="77"/>
      <c r="X24" s="77"/>
      <c r="Y24" s="78">
        <v>0.18</v>
      </c>
      <c r="Z24" s="78">
        <v>0.155</v>
      </c>
      <c r="AA24" s="78"/>
      <c r="AB24" s="78"/>
      <c r="AC24" s="78">
        <v>0.2</v>
      </c>
      <c r="AD24" s="79">
        <f>IF(AC24="","",AC24*SQRT(3)/2)</f>
        <v>0.17320508075688773</v>
      </c>
    </row>
    <row r="25" spans="1:30" x14ac:dyDescent="0.3">
      <c r="A25" s="75">
        <v>630</v>
      </c>
      <c r="B25" s="71"/>
      <c r="C25" s="71"/>
      <c r="D25" s="71"/>
      <c r="E25" s="71"/>
      <c r="F25" s="71"/>
      <c r="G25" s="71"/>
      <c r="H25" s="71"/>
      <c r="I25" s="71"/>
      <c r="J25" s="72">
        <v>1005</v>
      </c>
      <c r="K25" s="72">
        <v>855</v>
      </c>
      <c r="L25" s="71"/>
      <c r="M25" s="71"/>
      <c r="N25" s="72"/>
      <c r="O25" s="72"/>
      <c r="P25" s="73" t="str">
        <f>IF(N25="","",N25)</f>
        <v/>
      </c>
      <c r="Q25" s="73" t="str">
        <f>IF(O25="","",O25)</f>
        <v/>
      </c>
      <c r="R25" s="71"/>
      <c r="S25" s="71"/>
      <c r="T25" s="72">
        <v>861</v>
      </c>
      <c r="U25" s="74" cm="1">
        <f t="array" ref="U25">IF(T25="","",ROUND(T25*Fac_Trefoil,0))</f>
        <v>732</v>
      </c>
      <c r="W25" s="77"/>
      <c r="X25" s="77"/>
      <c r="Y25" s="78">
        <v>0.17</v>
      </c>
      <c r="Z25" s="78">
        <v>0.14499999999999999</v>
      </c>
      <c r="AA25" s="78"/>
      <c r="AB25" s="78"/>
      <c r="AC25" s="78">
        <v>0.185</v>
      </c>
      <c r="AD25" s="79">
        <f>IF(AC25="","",AC25*SQRT(3)/2)</f>
        <v>0.16021469970012114</v>
      </c>
    </row>
    <row r="27" spans="1:30" ht="15.6" x14ac:dyDescent="0.3">
      <c r="A27" s="68" t="s">
        <v>223</v>
      </c>
    </row>
    <row r="28" spans="1:30" x14ac:dyDescent="0.3">
      <c r="B28" s="12">
        <v>0.85</v>
      </c>
      <c r="C28" s="5" t="s">
        <v>224</v>
      </c>
    </row>
    <row r="30" spans="1:30" x14ac:dyDescent="0.3">
      <c r="A30" s="19" t="s">
        <v>225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1f4cea-e4a8-4ef1-8569-acd66926ff75">
      <Terms xmlns="http://schemas.microsoft.com/office/infopath/2007/PartnerControls"/>
    </lcf76f155ced4ddcb4097134ff3c332f>
    <TaxCatchAll xmlns="a90240b5-4e38-4506-935e-d3ed7ed705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AA89C7AA1C434699DD452F24C65F19" ma:contentTypeVersion="19" ma:contentTypeDescription="Create a new document." ma:contentTypeScope="" ma:versionID="40a245793d4cb22db8b02008dfbd96a7">
  <xsd:schema xmlns:xsd="http://www.w3.org/2001/XMLSchema" xmlns:xs="http://www.w3.org/2001/XMLSchema" xmlns:p="http://schemas.microsoft.com/office/2006/metadata/properties" xmlns:ns2="081f4cea-e4a8-4ef1-8569-acd66926ff75" xmlns:ns3="a90240b5-4e38-4506-935e-d3ed7ed70542" targetNamespace="http://schemas.microsoft.com/office/2006/metadata/properties" ma:root="true" ma:fieldsID="41dc93792ca85768c22f6f1b44e8071c" ns2:_="" ns3:_="">
    <xsd:import namespace="081f4cea-e4a8-4ef1-8569-acd66926ff75"/>
    <xsd:import namespace="a90240b5-4e38-4506-935e-d3ed7ed705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f4cea-e4a8-4ef1-8569-acd66926f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43aa3c2-a8d1-4a0c-8743-2084a0a69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0240b5-4e38-4506-935e-d3ed7ed705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1ae5a1e-713c-4539-b298-32b1b8471072}" ma:internalName="TaxCatchAll" ma:showField="CatchAllData" ma:web="a90240b5-4e38-4506-935e-d3ed7ed705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37BBE6-A396-40A4-838E-9D169A477D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39EFA4-90AE-4866-9A7F-832E9A747549}">
  <ds:schemaRefs>
    <ds:schemaRef ds:uri="http://schemas.microsoft.com/office/2006/metadata/properties"/>
    <ds:schemaRef ds:uri="http://schemas.microsoft.com/office/infopath/2007/PartnerControls"/>
    <ds:schemaRef ds:uri="081f4cea-e4a8-4ef1-8569-acd66926ff75"/>
    <ds:schemaRef ds:uri="a90240b5-4e38-4506-935e-d3ed7ed70542"/>
  </ds:schemaRefs>
</ds:datastoreItem>
</file>

<file path=customXml/itemProps3.xml><?xml version="1.0" encoding="utf-8"?>
<ds:datastoreItem xmlns:ds="http://schemas.openxmlformats.org/officeDocument/2006/customXml" ds:itemID="{B4561B55-4DCB-455E-AA6C-4ABD56DAF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1f4cea-e4a8-4ef1-8569-acd66926ff75"/>
    <ds:schemaRef ds:uri="a90240b5-4e38-4506-935e-d3ed7ed70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43</vt:i4>
      </vt:variant>
    </vt:vector>
  </HeadingPairs>
  <TitlesOfParts>
    <vt:vector size="47" baseType="lpstr">
      <vt:lpstr>Cables Sizes</vt:lpstr>
      <vt:lpstr>DC Cable Sizes</vt:lpstr>
      <vt:lpstr>SANS Data</vt:lpstr>
      <vt:lpstr>Cable Data</vt:lpstr>
      <vt:lpstr>DC_CCC</vt:lpstr>
      <vt:lpstr>DC_Method</vt:lpstr>
      <vt:lpstr>DC_Prot</vt:lpstr>
      <vt:lpstr>DC_R</vt:lpstr>
      <vt:lpstr>DC_Size</vt:lpstr>
      <vt:lpstr>DC_Types</vt:lpstr>
      <vt:lpstr>DC_TypeTbl</vt:lpstr>
      <vt:lpstr>Dev_t</vt:lpstr>
      <vt:lpstr>Dev_Type</vt:lpstr>
      <vt:lpstr>Fac_Al</vt:lpstr>
      <vt:lpstr>Fac_AlmV</vt:lpstr>
      <vt:lpstr>Fac_BrkSF</vt:lpstr>
      <vt:lpstr>Fac_CuAlpha</vt:lpstr>
      <vt:lpstr>Fac_DCDerate</vt:lpstr>
      <vt:lpstr>Fac_DCMaxRuns</vt:lpstr>
      <vt:lpstr>Fac_DCMaxV</vt:lpstr>
      <vt:lpstr>Fac_DCTemp</vt:lpstr>
      <vt:lpstr>Fac_Derate</vt:lpstr>
      <vt:lpstr>Fac_MaxRuns</vt:lpstr>
      <vt:lpstr>Fac_MaxSize</vt:lpstr>
      <vt:lpstr>Fac_Rubber</vt:lpstr>
      <vt:lpstr>Fac_Trefoil</vt:lpstr>
      <vt:lpstr>Fac_VdLimit</vt:lpstr>
      <vt:lpstr>Fac_XLPE</vt:lpstr>
      <vt:lpstr>Grp_Cg</vt:lpstr>
      <vt:lpstr>Grp_Eff</vt:lpstr>
      <vt:lpstr>Grp_Key</vt:lpstr>
      <vt:lpstr>Grp_N</vt:lpstr>
      <vt:lpstr>Ir_Min</vt:lpstr>
      <vt:lpstr>Ir_Step</vt:lpstr>
      <vt:lpstr>Ir_Type</vt:lpstr>
      <vt:lpstr>List_Spacing</vt:lpstr>
      <vt:lpstr>Map_Cores</vt:lpstr>
      <vt:lpstr>Map_Install</vt:lpstr>
      <vt:lpstr>SANS_Breaker</vt:lpstr>
      <vt:lpstr>SANS_BrkType</vt:lpstr>
      <vt:lpstr>SANS_CCC</vt:lpstr>
      <vt:lpstr>SANS_CCC_Rub</vt:lpstr>
      <vt:lpstr>SANS_CCCkey</vt:lpstr>
      <vt:lpstr>SANS_mV</vt:lpstr>
      <vt:lpstr>SANS_Size</vt:lpstr>
      <vt:lpstr>SC_k</vt:lpstr>
      <vt:lpstr>SC_kKey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Mathakgale Mohale</dc:creator>
  <cp:lastModifiedBy>Mathakgale Mohale</cp:lastModifiedBy>
  <dcterms:created xsi:type="dcterms:W3CDTF">2015-06-05T18:17:20Z</dcterms:created>
  <dcterms:modified xsi:type="dcterms:W3CDTF">2026-10-28T08:37:58Z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0x010100D9AA89C7AA1C434699DD452F24C65F19</vt:lpwstr>
  </property>
</Properties>
</file>