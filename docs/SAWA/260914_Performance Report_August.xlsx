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2" documentId="13_ncr:1_{9F73971A-19FA-4800-AC43-08C4F6F963FA}" xr6:coauthVersionLast="47" xr6:coauthVersionMax="47" xr10:uidLastSave="{132369E6-04CC-4A46-A54C-90091DFA1F4E}"/>
  <bookViews>
    <workbookView xWindow="30" yWindow="-16320" windowWidth="29040" windowHeight="15720" activeTab="1" xr2:uid="{00000000-000D-0000-FFFF-FFFF00000000}"/>
  </bookViews>
  <sheets>
    <sheet name="Overview" sheetId="1" r:id="rId1"/>
    <sheet name="Monthly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  <c r="N7" i="2" s="1"/>
  <c r="N8" i="2" s="1"/>
  <c r="N9" i="2" s="1"/>
  <c r="N5" i="2"/>
</calcChain>
</file>

<file path=xl/sharedStrings.xml><?xml version="1.0" encoding="utf-8"?>
<sst xmlns="http://schemas.openxmlformats.org/spreadsheetml/2006/main" count="75" uniqueCount="49">
  <si>
    <t>Sosimple Energy</t>
  </si>
  <si>
    <t>Generated: 14 September 2026</t>
  </si>
  <si>
    <t>Cheap energy. Clean business.</t>
  </si>
  <si>
    <t>Site: Roan Foods</t>
  </si>
  <si>
    <t>Site Name</t>
  </si>
  <si>
    <t>Province</t>
  </si>
  <si>
    <t>Location</t>
  </si>
  <si>
    <t>Capacity (kWp)</t>
  </si>
  <si>
    <t>BESS (kWh)</t>
  </si>
  <si>
    <t>Contract</t>
  </si>
  <si>
    <t>Business Type</t>
  </si>
  <si>
    <t>Commissioned</t>
  </si>
  <si>
    <t>Status</t>
  </si>
  <si>
    <t>Records (months)</t>
  </si>
  <si>
    <t>Cumulative Measured kWh</t>
  </si>
  <si>
    <t>Cumulative Expected kWh</t>
  </si>
  <si>
    <t>Average Performance %</t>
  </si>
  <si>
    <t>Roan Foods</t>
  </si>
  <si>
    <t>Lusaka</t>
  </si>
  <si>
    <t>J8VC+WPJ, Lusaka, Zambia</t>
  </si>
  <si>
    <t>RTO</t>
  </si>
  <si>
    <t>Retail</t>
  </si>
  <si>
    <t>2026-04-02</t>
  </si>
  <si>
    <t>active</t>
  </si>
  <si>
    <t>Period</t>
  </si>
  <si>
    <t>Measured kWh</t>
  </si>
  <si>
    <t>Expected kWh</t>
  </si>
  <si>
    <t>Delta %</t>
  </si>
  <si>
    <t>Performance %</t>
  </si>
  <si>
    <t>PF Band</t>
  </si>
  <si>
    <t>Availability</t>
  </si>
  <si>
    <t>Downtime (days)</t>
  </si>
  <si>
    <t>Cause of Downtime</t>
  </si>
  <si>
    <t>Technical Events</t>
  </si>
  <si>
    <t>Energy Impact</t>
  </si>
  <si>
    <t>Other Comments</t>
  </si>
  <si>
    <t>Apr-26</t>
  </si>
  <si>
    <t>Poor</t>
  </si>
  <si>
    <t>First month of commissioning</t>
  </si>
  <si>
    <t>May-26</t>
  </si>
  <si>
    <t>Jun-26</t>
  </si>
  <si>
    <t>30 days</t>
  </si>
  <si>
    <t>None</t>
  </si>
  <si>
    <t>The system performance was limited by load demand</t>
  </si>
  <si>
    <t>N/A</t>
  </si>
  <si>
    <t>Jul-26</t>
  </si>
  <si>
    <t>Energy production was limited by reduced load demand</t>
  </si>
  <si>
    <t>Aug-26</t>
  </si>
  <si>
    <t>31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</si>
</sst>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2B7FD4"/>
      <name val="Calibri"/>
    </font>
    <font>
      <sz val="8"/>
      <color rgb="FF8A9AAE"/>
      <name val="Calibri"/>
    </font>
    <font>
      <b/>
      <sz val="9"/>
      <color rgb="FF7DC242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7FD4"/>
      </patternFill>
    </fill>
    <fill>
      <patternFill patternType="solid">
        <fgColor rgb="FFF7F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38100</xdr:rowOff>
    </xdr:from>
    <xdr:ext cx="447675" cy="666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38100"/>
          <a:ext cx="44767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pane ySplit="4" topLeftCell="A5" activePane="bottomLeft" state="frozen"/>
      <selection pane="bottomLeft" activeCell="M15" sqref="M15"/>
    </sheetView>
  </sheetViews>
  <sheetFormatPr defaultRowHeight="14.4" x14ac:dyDescent="0.3"/>
  <cols>
    <col min="1" max="1" width="15.21875" customWidth="1"/>
    <col min="2" max="2" width="10" customWidth="1"/>
    <col min="3" max="3" width="26" customWidth="1"/>
    <col min="4" max="4" width="16" customWidth="1"/>
    <col min="5" max="5" width="12" customWidth="1"/>
    <col min="6" max="6" width="10" customWidth="1"/>
    <col min="7" max="7" width="15" customWidth="1"/>
    <col min="8" max="8" width="14" customWidth="1"/>
    <col min="9" max="9" width="10" customWidth="1"/>
    <col min="10" max="10" width="18" customWidth="1"/>
    <col min="11" max="11" width="23" customWidth="1"/>
  </cols>
  <sheetData>
    <row r="1" spans="1:11" ht="19.95" customHeight="1" x14ac:dyDescent="0.4">
      <c r="B1" s="1" t="s">
        <v>0</v>
      </c>
      <c r="K1" s="2" t="s">
        <v>1</v>
      </c>
    </row>
    <row r="2" spans="1:11" ht="16.05" customHeight="1" x14ac:dyDescent="0.3">
      <c r="B2" s="3" t="s">
        <v>2</v>
      </c>
      <c r="K2" s="2" t="s">
        <v>3</v>
      </c>
    </row>
    <row r="4" spans="1:11" x14ac:dyDescent="0.3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16</v>
      </c>
    </row>
    <row r="5" spans="1:11" x14ac:dyDescent="0.3">
      <c r="A5" t="s">
        <v>17</v>
      </c>
      <c r="B5" t="s">
        <v>18</v>
      </c>
      <c r="C5" t="s">
        <v>19</v>
      </c>
      <c r="D5">
        <v>127.44</v>
      </c>
      <c r="E5">
        <v>246</v>
      </c>
      <c r="F5" t="s">
        <v>20</v>
      </c>
      <c r="G5" t="s">
        <v>21</v>
      </c>
      <c r="H5" t="s">
        <v>22</v>
      </c>
      <c r="I5" t="s">
        <v>23</v>
      </c>
      <c r="J5">
        <v>5</v>
      </c>
      <c r="K5">
        <v>60.6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tabSelected="1" workbookViewId="0">
      <pane ySplit="4" topLeftCell="A5" activePane="bottomLeft" state="frozen"/>
      <selection pane="bottomLeft" activeCell="G7" sqref="G7"/>
    </sheetView>
  </sheetViews>
  <sheetFormatPr defaultRowHeight="14.4" x14ac:dyDescent="0.3"/>
  <cols>
    <col min="1" max="1" width="10" customWidth="1"/>
    <col min="2" max="3" width="14" customWidth="1"/>
    <col min="4" max="4" width="10" customWidth="1"/>
    <col min="5" max="5" width="15" customWidth="1"/>
    <col min="6" max="6" width="10" customWidth="1"/>
    <col min="7" max="7" width="38" customWidth="1"/>
    <col min="8" max="8" width="17" customWidth="1"/>
    <col min="9" max="9" width="19" customWidth="1"/>
    <col min="10" max="10" width="18" customWidth="1"/>
    <col min="11" max="11" width="48" customWidth="1"/>
    <col min="12" max="12" width="16" customWidth="1"/>
    <col min="13" max="14" width="25" customWidth="1"/>
  </cols>
  <sheetData>
    <row r="1" spans="1:14" ht="19.95" customHeight="1" x14ac:dyDescent="0.4">
      <c r="C1" s="1" t="s">
        <v>0</v>
      </c>
      <c r="N1" s="2" t="s">
        <v>1</v>
      </c>
    </row>
    <row r="2" spans="1:14" ht="16.05" customHeight="1" x14ac:dyDescent="0.3">
      <c r="C2" s="3" t="s">
        <v>2</v>
      </c>
      <c r="N2" s="2" t="s">
        <v>3</v>
      </c>
    </row>
    <row r="3" spans="1:14" ht="28.8" customHeight="1" x14ac:dyDescent="0.3"/>
    <row r="4" spans="1:14" x14ac:dyDescent="0.3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14</v>
      </c>
      <c r="N4" s="4" t="s">
        <v>15</v>
      </c>
    </row>
    <row r="5" spans="1:14" x14ac:dyDescent="0.3">
      <c r="A5" s="5" t="s">
        <v>36</v>
      </c>
      <c r="B5" s="5">
        <v>10820</v>
      </c>
      <c r="C5" s="5">
        <v>18060</v>
      </c>
      <c r="D5" s="5">
        <v>-40.1</v>
      </c>
      <c r="E5" s="5">
        <v>59.9</v>
      </c>
      <c r="F5" s="5" t="s">
        <v>37</v>
      </c>
      <c r="G5" s="5" t="s">
        <v>38</v>
      </c>
      <c r="H5" s="5">
        <v>0</v>
      </c>
      <c r="I5" s="5" t="s">
        <v>42</v>
      </c>
      <c r="J5" s="5" t="s">
        <v>42</v>
      </c>
      <c r="K5" s="5" t="s">
        <v>43</v>
      </c>
      <c r="L5" s="5" t="s">
        <v>44</v>
      </c>
      <c r="M5" s="5">
        <v>10820</v>
      </c>
      <c r="N5" s="5">
        <f>C5</f>
        <v>18060</v>
      </c>
    </row>
    <row r="6" spans="1:14" x14ac:dyDescent="0.3">
      <c r="A6" t="s">
        <v>39</v>
      </c>
      <c r="B6">
        <v>11820</v>
      </c>
      <c r="C6">
        <v>18124</v>
      </c>
      <c r="D6">
        <v>-34.799999999999997</v>
      </c>
      <c r="E6">
        <v>65.2</v>
      </c>
      <c r="F6" t="s">
        <v>37</v>
      </c>
      <c r="G6" t="s">
        <v>48</v>
      </c>
      <c r="H6" s="5">
        <v>0</v>
      </c>
      <c r="I6" s="5" t="s">
        <v>42</v>
      </c>
      <c r="J6" s="5" t="s">
        <v>42</v>
      </c>
      <c r="K6" s="5" t="s">
        <v>43</v>
      </c>
      <c r="L6" s="5" t="s">
        <v>44</v>
      </c>
      <c r="M6">
        <v>22640</v>
      </c>
      <c r="N6">
        <f>N5+C6</f>
        <v>36184</v>
      </c>
    </row>
    <row r="7" spans="1:14" x14ac:dyDescent="0.3">
      <c r="A7" s="5" t="s">
        <v>40</v>
      </c>
      <c r="B7" s="5">
        <v>10720</v>
      </c>
      <c r="C7" s="5">
        <v>15908</v>
      </c>
      <c r="D7" s="5">
        <v>-32.6</v>
      </c>
      <c r="E7" s="5">
        <v>67.400000000000006</v>
      </c>
      <c r="F7" s="5" t="s">
        <v>37</v>
      </c>
      <c r="G7" s="5" t="s">
        <v>41</v>
      </c>
      <c r="H7" s="5">
        <v>0</v>
      </c>
      <c r="I7" s="5" t="s">
        <v>42</v>
      </c>
      <c r="J7" s="5" t="s">
        <v>42</v>
      </c>
      <c r="K7" s="5" t="s">
        <v>43</v>
      </c>
      <c r="L7" s="5" t="s">
        <v>44</v>
      </c>
      <c r="M7" s="5">
        <v>33360</v>
      </c>
      <c r="N7" s="5">
        <f t="shared" ref="N7:N9" si="0">N6+C7</f>
        <v>52092</v>
      </c>
    </row>
    <row r="8" spans="1:14" x14ac:dyDescent="0.3">
      <c r="A8" t="s">
        <v>45</v>
      </c>
      <c r="B8">
        <v>10570</v>
      </c>
      <c r="C8">
        <v>16827</v>
      </c>
      <c r="D8">
        <v>-37.200000000000003</v>
      </c>
      <c r="E8">
        <v>62.8</v>
      </c>
      <c r="F8" t="s">
        <v>37</v>
      </c>
      <c r="G8" t="s">
        <v>48</v>
      </c>
      <c r="H8">
        <v>0</v>
      </c>
      <c r="I8" t="s">
        <v>42</v>
      </c>
      <c r="J8" t="s">
        <v>42</v>
      </c>
      <c r="K8" t="s">
        <v>46</v>
      </c>
      <c r="L8" t="s">
        <v>44</v>
      </c>
      <c r="M8">
        <v>43930</v>
      </c>
      <c r="N8">
        <f t="shared" si="0"/>
        <v>68919</v>
      </c>
    </row>
    <row r="9" spans="1:14" x14ac:dyDescent="0.3">
      <c r="A9" s="5" t="s">
        <v>47</v>
      </c>
      <c r="B9" s="5">
        <v>9230</v>
      </c>
      <c r="C9" s="5">
        <v>19405</v>
      </c>
      <c r="D9" s="5">
        <v>-52.4</v>
      </c>
      <c r="E9" s="5">
        <v>47.6</v>
      </c>
      <c r="F9" s="5" t="s">
        <v>37</v>
      </c>
      <c r="G9" s="5" t="s">
        <v>41</v>
      </c>
      <c r="H9" s="5">
        <v>0</v>
      </c>
      <c r="I9" s="5" t="s">
        <v>42</v>
      </c>
      <c r="J9" s="5" t="s">
        <v>42</v>
      </c>
      <c r="K9" s="5" t="s">
        <v>46</v>
      </c>
      <c r="L9" s="5" t="s">
        <v>44</v>
      </c>
      <c r="M9" s="5">
        <v>53160</v>
      </c>
      <c r="N9" s="5">
        <f t="shared" si="0"/>
        <v>88324</v>
      </c>
    </row>
  </sheetData>
  <phoneticPr fontId="5" type="noConversion"/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AA89C7AA1C434699DD452F24C65F19" ma:contentTypeVersion="19" ma:contentTypeDescription="Create a new document." ma:contentTypeScope="" ma:versionID="40a245793d4cb22db8b02008dfbd96a7">
  <xsd:schema xmlns:xsd="http://www.w3.org/2001/XMLSchema" xmlns:xs="http://www.w3.org/2001/XMLSchema" xmlns:p="http://schemas.microsoft.com/office/2006/metadata/properties" xmlns:ns2="081f4cea-e4a8-4ef1-8569-acd66926ff75" xmlns:ns3="a90240b5-4e38-4506-935e-d3ed7ed70542" targetNamespace="http://schemas.microsoft.com/office/2006/metadata/properties" ma:root="true" ma:fieldsID="41dc93792ca85768c22f6f1b44e8071c" ns2:_="" ns3:_="">
    <xsd:import namespace="081f4cea-e4a8-4ef1-8569-acd66926ff75"/>
    <xsd:import namespace="a90240b5-4e38-4506-935e-d3ed7ed705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f4cea-e4a8-4ef1-8569-acd66926f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43aa3c2-a8d1-4a0c-8743-2084a0a6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240b5-4e38-4506-935e-d3ed7ed705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1ae5a1e-713c-4539-b298-32b1b8471072}" ma:internalName="TaxCatchAll" ma:showField="CatchAllData" ma:web="a90240b5-4e38-4506-935e-d3ed7ed705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1f4cea-e4a8-4ef1-8569-acd66926ff75">
      <Terms xmlns="http://schemas.microsoft.com/office/infopath/2007/PartnerControls"/>
    </lcf76f155ced4ddcb4097134ff3c332f>
    <TaxCatchAll xmlns="a90240b5-4e38-4506-935e-d3ed7ed70542" xsi:nil="true"/>
  </documentManagement>
</p:properties>
</file>

<file path=customXml/itemProps1.xml><?xml version="1.0" encoding="utf-8"?>
<ds:datastoreItem xmlns:ds="http://schemas.openxmlformats.org/officeDocument/2006/customXml" ds:itemID="{FF90BCAB-8A16-46A0-A575-D65B59D50238}"/>
</file>

<file path=customXml/itemProps2.xml><?xml version="1.0" encoding="utf-8"?>
<ds:datastoreItem xmlns:ds="http://schemas.openxmlformats.org/officeDocument/2006/customXml" ds:itemID="{5361C5E0-34BC-4D6F-B71C-8B745FA69747}"/>
</file>

<file path=customXml/itemProps3.xml><?xml version="1.0" encoding="utf-8"?>
<ds:datastoreItem xmlns:ds="http://schemas.openxmlformats.org/officeDocument/2006/customXml" ds:itemID="{C00B4506-9F15-4186-830D-51EA02A5AB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Monthly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2026-09-14T12:27:01Z</dcterms:created>
  <dcterms:modified xsi:type="dcterms:W3CDTF">2026-09-14T12:36:18Z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0x010100D9AA89C7AA1C434699DD452F24C65F19</vt:lpwstr>
  </property>
</Properties>
</file>