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sosimpleenergy.sharepoint.com/Shared Documents/01. Sosimple Team Drive/05. Operations/09. System Performance/Performance Report - Rev13/docs/"/>
    </mc:Choice>
  </mc:AlternateContent>
  <xr:revisionPtr revIDLastSave="0" documentId="8_{8F1AF346-EC45-4246-B6A4-5B6B14BD299C}" xr6:coauthVersionLast="47" xr6:coauthVersionMax="47" xr10:uidLastSave="{00000000-0000-0000-0000-000000000000}"/>
  <bookViews>
    <workbookView xWindow="-108" yWindow="-108" windowWidth="23256" windowHeight="12456" tabRatio="746" firstSheet="2" activeTab="6" xr2:uid="{00000000-000D-0000-FFFF-FFFF00000000}"/>
  </bookViews>
  <sheets>
    <sheet name="site_tech_info" sheetId="1" r:id="rId1"/>
    <sheet name="Simulated Production" sheetId="4" r:id="rId2"/>
    <sheet name="OG" sheetId="12" r:id="rId3"/>
    <sheet name="measured" sheetId="8" r:id="rId4"/>
    <sheet name="Expected Production" sheetId="6" r:id="rId5"/>
    <sheet name="expected_production" sheetId="7" r:id="rId6"/>
    <sheet name="Comments" sheetId="10" r:id="rId7"/>
    <sheet name="performance" sheetId="9" r:id="rId8"/>
    <sheet name="CountryList" sheetId="11" state="hidden" r:id="rId9"/>
  </sheets>
  <definedNames>
    <definedName name="AfricaCountries">CountryList!$A$1:$A$54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779" i="9" l="1" a="1"/>
  <c r="D2779" i="9" s="1"/>
  <c r="C2779" i="9" a="1"/>
  <c r="C2779" i="9" s="1"/>
  <c r="D2778" i="9" a="1"/>
  <c r="D2778" i="9" s="1"/>
  <c r="C2778" i="9" a="1"/>
  <c r="C2778" i="9" s="1"/>
  <c r="D2777" i="9" a="1"/>
  <c r="D2777" i="9" s="1"/>
  <c r="C2777" i="9" a="1"/>
  <c r="C2777" i="9" s="1"/>
  <c r="D2776" i="9" a="1"/>
  <c r="D2776" i="9" s="1"/>
  <c r="C2776" i="9" a="1"/>
  <c r="C2776" i="9" s="1"/>
  <c r="D2775" i="9" a="1"/>
  <c r="D2775" i="9" s="1"/>
  <c r="C2775" i="9" a="1"/>
  <c r="C2775" i="9" s="1"/>
  <c r="D2774" i="9" a="1"/>
  <c r="D2774" i="9" s="1"/>
  <c r="C2774" i="9" a="1"/>
  <c r="C2774" i="9" s="1"/>
  <c r="E2774" i="9" s="1"/>
  <c r="F2774" i="9" s="1"/>
  <c r="D2773" i="9" a="1"/>
  <c r="D2773" i="9" s="1"/>
  <c r="C2773" i="9" a="1"/>
  <c r="C2773" i="9" s="1"/>
  <c r="C2815" i="7" a="1"/>
  <c r="C2815" i="7" s="1"/>
  <c r="C2814" i="7" a="1"/>
  <c r="C2814" i="7" s="1"/>
  <c r="C2813" i="7" a="1"/>
  <c r="C2813" i="7" s="1"/>
  <c r="C2812" i="7" a="1"/>
  <c r="C2812" i="7" s="1"/>
  <c r="C2811" i="7" a="1"/>
  <c r="C2811" i="7" s="1"/>
  <c r="C2810" i="7" a="1"/>
  <c r="C2810" i="7" s="1"/>
  <c r="N80" i="6"/>
  <c r="M80" i="6"/>
  <c r="L80" i="6"/>
  <c r="K80" i="6"/>
  <c r="J80" i="6"/>
  <c r="I80" i="6"/>
  <c r="H80" i="6"/>
  <c r="G80" i="6"/>
  <c r="F80" i="6"/>
  <c r="E80" i="6"/>
  <c r="D80" i="6"/>
  <c r="C80" i="6"/>
  <c r="C2" i="12" a="1"/>
  <c r="C2" i="12" s="1"/>
  <c r="C24" i="12" a="1"/>
  <c r="C24" i="12" s="1"/>
  <c r="C23" i="12" a="1"/>
  <c r="C23" i="12" s="1"/>
  <c r="C22" i="12" a="1"/>
  <c r="C22" i="12" s="1"/>
  <c r="C21" i="12" a="1"/>
  <c r="C21" i="12" s="1"/>
  <c r="C20" i="12" a="1"/>
  <c r="C20" i="12" s="1"/>
  <c r="C19" i="12" a="1"/>
  <c r="C19" i="12" s="1"/>
  <c r="C18" i="12" a="1"/>
  <c r="C18" i="12" s="1"/>
  <c r="C17" i="12" a="1"/>
  <c r="C17" i="12" s="1"/>
  <c r="C16" i="12" a="1"/>
  <c r="C16" i="12" s="1"/>
  <c r="C15" i="12" a="1"/>
  <c r="C15" i="12"/>
  <c r="C14" i="12" a="1"/>
  <c r="C14" i="12" s="1"/>
  <c r="C13" i="12" a="1"/>
  <c r="C13" i="12" s="1"/>
  <c r="C12" i="12" a="1"/>
  <c r="C12" i="12" s="1"/>
  <c r="C11" i="12" a="1"/>
  <c r="C11" i="12" s="1"/>
  <c r="C10" i="12" a="1"/>
  <c r="C10" i="12" s="1"/>
  <c r="C9" i="12" a="1"/>
  <c r="C9" i="12" s="1"/>
  <c r="C8" i="12" a="1"/>
  <c r="C8" i="12" s="1"/>
  <c r="C7" i="12" a="1"/>
  <c r="C7" i="12" s="1"/>
  <c r="C6" i="12" a="1"/>
  <c r="C6" i="12" s="1"/>
  <c r="C5" i="12" a="1"/>
  <c r="C5" i="12" s="1"/>
  <c r="C4" i="12" a="1"/>
  <c r="C4" i="12" s="1"/>
  <c r="C3" i="12" a="1"/>
  <c r="C3" i="12" s="1"/>
  <c r="E2" i="12" a="1"/>
  <c r="E2" i="12" s="1"/>
  <c r="E3" i="12" a="1"/>
  <c r="E3" i="12" s="1"/>
  <c r="E4" i="12" a="1"/>
  <c r="E4" i="12" s="1"/>
  <c r="E5" i="12" a="1"/>
  <c r="E5" i="12" s="1"/>
  <c r="E6" i="12" a="1"/>
  <c r="E6" i="12" s="1"/>
  <c r="E7" i="12" a="1"/>
  <c r="E7" i="12" s="1"/>
  <c r="E8" i="12" a="1"/>
  <c r="E8" i="12" s="1"/>
  <c r="E9" i="12" a="1"/>
  <c r="E9" i="12" s="1"/>
  <c r="E10" i="12" a="1"/>
  <c r="E10" i="12" s="1"/>
  <c r="E11" i="12" a="1"/>
  <c r="E11" i="12" s="1"/>
  <c r="E12" i="12" a="1"/>
  <c r="E12" i="12" s="1"/>
  <c r="E13" i="12" a="1"/>
  <c r="E13" i="12" s="1"/>
  <c r="E14" i="12" a="1"/>
  <c r="E14" i="12" s="1"/>
  <c r="E15" i="12" a="1"/>
  <c r="E15" i="12" s="1"/>
  <c r="E18" i="12" a="1"/>
  <c r="E18" i="12" s="1"/>
  <c r="E19" i="12" a="1"/>
  <c r="E19" i="12" s="1"/>
  <c r="E20" i="12" a="1"/>
  <c r="E20" i="12" s="1"/>
  <c r="E21" i="12" a="1"/>
  <c r="E21" i="12" s="1"/>
  <c r="E22" i="12" a="1"/>
  <c r="E22" i="12" s="1"/>
  <c r="E23" i="12" a="1"/>
  <c r="E23" i="12" s="1"/>
  <c r="E24" i="12" a="1"/>
  <c r="E24" i="12" s="1"/>
  <c r="E16" i="12" a="1"/>
  <c r="E16" i="12" s="1"/>
  <c r="E17" i="12" a="1"/>
  <c r="E17" i="12" s="1"/>
  <c r="C680" i="9" a="1"/>
  <c r="C680" i="9" s="1"/>
  <c r="W82" i="1"/>
  <c r="C571" i="9" a="1"/>
  <c r="C571" i="9" s="1"/>
  <c r="W5" i="1"/>
  <c r="W79" i="1"/>
  <c r="W78" i="1"/>
  <c r="D24" i="12" s="1" a="1"/>
  <c r="D24" i="12" s="1"/>
  <c r="W77" i="1"/>
  <c r="D23" i="12" s="1" a="1"/>
  <c r="D23" i="12" s="1"/>
  <c r="W76" i="1"/>
  <c r="W75" i="1"/>
  <c r="W74" i="1"/>
  <c r="D22" i="12" s="1" a="1"/>
  <c r="D22" i="12" s="1"/>
  <c r="G22" i="12" s="1"/>
  <c r="W73" i="1"/>
  <c r="W72" i="1"/>
  <c r="W71" i="1"/>
  <c r="W70" i="1"/>
  <c r="W69" i="1"/>
  <c r="D21" i="12" s="1" a="1"/>
  <c r="D21" i="12" s="1"/>
  <c r="W68" i="1"/>
  <c r="D20" i="12" s="1" a="1"/>
  <c r="D20" i="12" s="1"/>
  <c r="W67" i="1"/>
  <c r="D19" i="12" s="1" a="1"/>
  <c r="D19" i="12" s="1"/>
  <c r="G19" i="12" s="1"/>
  <c r="W66" i="1"/>
  <c r="D18" i="12" s="1" a="1"/>
  <c r="D18" i="12" s="1"/>
  <c r="W65" i="1"/>
  <c r="W64" i="1"/>
  <c r="W63" i="1"/>
  <c r="D16" i="12" s="1" a="1"/>
  <c r="D16" i="12" s="1"/>
  <c r="G16" i="12" s="1"/>
  <c r="W62" i="1"/>
  <c r="W61" i="1"/>
  <c r="W60" i="1"/>
  <c r="W59" i="1"/>
  <c r="D15" i="12" s="1" a="1"/>
  <c r="D15" i="12" s="1"/>
  <c r="W58" i="1"/>
  <c r="W57" i="1"/>
  <c r="W56" i="1"/>
  <c r="W55" i="1"/>
  <c r="D14" i="12" s="1" a="1"/>
  <c r="D14" i="12" s="1"/>
  <c r="W54" i="1"/>
  <c r="W53" i="1"/>
  <c r="W52" i="1"/>
  <c r="W51" i="1"/>
  <c r="W50" i="1"/>
  <c r="W49" i="1"/>
  <c r="W48" i="1"/>
  <c r="W47" i="1"/>
  <c r="W46" i="1"/>
  <c r="W45" i="1"/>
  <c r="W44" i="1"/>
  <c r="W43" i="1"/>
  <c r="W42" i="1"/>
  <c r="W41" i="1"/>
  <c r="W40" i="1"/>
  <c r="D13" i="12" s="1" a="1"/>
  <c r="D13" i="12" s="1"/>
  <c r="W39" i="1"/>
  <c r="W38" i="1"/>
  <c r="W37" i="1"/>
  <c r="W36" i="1"/>
  <c r="W35" i="1"/>
  <c r="W34" i="1"/>
  <c r="D11" i="12" s="1" a="1"/>
  <c r="D11" i="12" s="1"/>
  <c r="W33" i="1"/>
  <c r="W32" i="1"/>
  <c r="W31" i="1"/>
  <c r="W30" i="1"/>
  <c r="W29" i="1"/>
  <c r="W28" i="1"/>
  <c r="W27" i="1"/>
  <c r="W26" i="1"/>
  <c r="W25" i="1"/>
  <c r="D7" i="12" s="1" a="1"/>
  <c r="D7" i="12" s="1"/>
  <c r="W24" i="1"/>
  <c r="W23" i="1"/>
  <c r="W22" i="1"/>
  <c r="D6" i="12" s="1" a="1"/>
  <c r="D6" i="12" s="1"/>
  <c r="G6" i="12" s="1"/>
  <c r="W21" i="1"/>
  <c r="D5" i="12" s="1" a="1"/>
  <c r="D5" i="12" s="1"/>
  <c r="G5" i="12" s="1"/>
  <c r="W20" i="1"/>
  <c r="W19" i="1"/>
  <c r="W18" i="1"/>
  <c r="W17" i="1"/>
  <c r="W16" i="1"/>
  <c r="W15" i="1"/>
  <c r="W14" i="1"/>
  <c r="D3" i="12" s="1" a="1"/>
  <c r="D3" i="12" s="1"/>
  <c r="G3" i="12" s="1"/>
  <c r="W13" i="1"/>
  <c r="W12" i="1"/>
  <c r="W11" i="1"/>
  <c r="W10" i="1"/>
  <c r="W9" i="1"/>
  <c r="W8" i="1"/>
  <c r="W7" i="1"/>
  <c r="W6" i="1"/>
  <c r="W4" i="1"/>
  <c r="W3" i="1"/>
  <c r="W2" i="1"/>
  <c r="W80" i="1"/>
  <c r="W81" i="1"/>
  <c r="I20" i="12" a="1"/>
  <c r="I20" i="12" s="1"/>
  <c r="I24" i="12" a="1"/>
  <c r="I24" i="12" s="1"/>
  <c r="I23" i="12" a="1"/>
  <c r="I23" i="12" s="1"/>
  <c r="I22" i="12" a="1"/>
  <c r="I22" i="12" s="1"/>
  <c r="I21" i="12" a="1"/>
  <c r="I21" i="12" s="1"/>
  <c r="I19" i="12" a="1"/>
  <c r="I19" i="12" s="1"/>
  <c r="I18" i="12" a="1"/>
  <c r="I18" i="12" s="1"/>
  <c r="I17" i="12" a="1"/>
  <c r="I17" i="12" s="1"/>
  <c r="I16" i="12" a="1"/>
  <c r="I16" i="12" s="1"/>
  <c r="I15" i="12" a="1"/>
  <c r="I15" i="12" s="1"/>
  <c r="I14" i="12" a="1"/>
  <c r="I14" i="12" s="1"/>
  <c r="I13" i="12" a="1"/>
  <c r="I13" i="12" s="1"/>
  <c r="I12" i="12" a="1"/>
  <c r="I12" i="12" s="1"/>
  <c r="I11" i="12" a="1"/>
  <c r="I11" i="12" s="1"/>
  <c r="I10" i="12" a="1"/>
  <c r="I10" i="12" s="1"/>
  <c r="I9" i="12" a="1"/>
  <c r="I9" i="12" s="1"/>
  <c r="I8" i="12" a="1"/>
  <c r="I8" i="12" s="1"/>
  <c r="I7" i="12" a="1"/>
  <c r="I7" i="12" s="1"/>
  <c r="I6" i="12" a="1"/>
  <c r="I6" i="12" s="1"/>
  <c r="I5" i="12" a="1"/>
  <c r="I5" i="12" s="1"/>
  <c r="I4" i="12" a="1"/>
  <c r="I4" i="12" s="1"/>
  <c r="I3" i="12" a="1"/>
  <c r="I3" i="12" s="1"/>
  <c r="I2" i="12" a="1"/>
  <c r="I2" i="12" s="1"/>
  <c r="E2775" i="9" l="1"/>
  <c r="F2775" i="9" s="1"/>
  <c r="E2777" i="9"/>
  <c r="F2777" i="9" s="1"/>
  <c r="E2776" i="9"/>
  <c r="F2776" i="9" s="1"/>
  <c r="E2778" i="9"/>
  <c r="F2778" i="9" s="1"/>
  <c r="E2773" i="9"/>
  <c r="F2773" i="9" s="1"/>
  <c r="E2779" i="9"/>
  <c r="F2779" i="9" s="1"/>
  <c r="F15" i="12"/>
  <c r="H15" i="12" s="1"/>
  <c r="F23" i="12"/>
  <c r="H23" i="12" s="1"/>
  <c r="K23" i="12" s="1"/>
  <c r="F18" i="12"/>
  <c r="F24" i="12"/>
  <c r="F14" i="12"/>
  <c r="H14" i="12" s="1"/>
  <c r="F20" i="12"/>
  <c r="F11" i="12"/>
  <c r="H11" i="12" s="1"/>
  <c r="F21" i="12"/>
  <c r="F6" i="12"/>
  <c r="H6" i="12" s="1"/>
  <c r="F7" i="12"/>
  <c r="H7" i="12" s="1"/>
  <c r="K7" i="12" s="1"/>
  <c r="F3" i="12"/>
  <c r="H3" i="12" s="1"/>
  <c r="F22" i="12"/>
  <c r="H22" i="12" s="1"/>
  <c r="F19" i="12"/>
  <c r="F5" i="12"/>
  <c r="H5" i="12" s="1"/>
  <c r="F13" i="12"/>
  <c r="G20" i="12"/>
  <c r="G24" i="12"/>
  <c r="G21" i="12"/>
  <c r="G18" i="12"/>
  <c r="D12" i="12" a="1"/>
  <c r="D12" i="12" s="1"/>
  <c r="G12" i="12" s="1"/>
  <c r="D17" i="12" a="1"/>
  <c r="D17" i="12" s="1"/>
  <c r="G17" i="12" s="1"/>
  <c r="D10" i="12" a="1"/>
  <c r="D10" i="12" s="1"/>
  <c r="F10" i="12" s="1"/>
  <c r="D4" i="12" a="1"/>
  <c r="D4" i="12" s="1"/>
  <c r="D9" i="12" a="1"/>
  <c r="D9" i="12" s="1"/>
  <c r="D8" i="12" a="1"/>
  <c r="D8" i="12" s="1"/>
  <c r="G8" i="12" s="1"/>
  <c r="D2" i="12" a="1"/>
  <c r="D2" i="12" s="1"/>
  <c r="G2" i="12" s="1"/>
  <c r="C60" i="1"/>
  <c r="C59" i="1"/>
  <c r="C56" i="1"/>
  <c r="C40" i="1"/>
  <c r="C36" i="1"/>
  <c r="C34" i="1"/>
  <c r="C32" i="1"/>
  <c r="C31" i="1"/>
  <c r="C29" i="1"/>
  <c r="C26" i="1"/>
  <c r="C71" i="1"/>
  <c r="C18" i="1"/>
  <c r="C14" i="1"/>
  <c r="C6" i="1"/>
  <c r="C5" i="1"/>
  <c r="C4" i="1"/>
  <c r="C2766" i="7" a="1"/>
  <c r="C2766" i="7" s="1"/>
  <c r="C2768" i="7" a="1"/>
  <c r="C2768" i="7" s="1"/>
  <c r="C2769" i="7" a="1"/>
  <c r="C2769" i="7" s="1"/>
  <c r="D79" i="6"/>
  <c r="C2775" i="7" s="1" a="1"/>
  <c r="C2775" i="7" s="1"/>
  <c r="E79" i="6"/>
  <c r="C2776" i="7" s="1" a="1"/>
  <c r="C2776" i="7" s="1"/>
  <c r="F79" i="6"/>
  <c r="C2777" i="7" s="1" a="1"/>
  <c r="C2777" i="7" s="1"/>
  <c r="G79" i="6"/>
  <c r="C2778" i="7" s="1" a="1"/>
  <c r="C2778" i="7" s="1"/>
  <c r="H79" i="6"/>
  <c r="C2779" i="7" s="1" a="1"/>
  <c r="C2779" i="7" s="1"/>
  <c r="I79" i="6"/>
  <c r="C2780" i="7" s="1" a="1"/>
  <c r="C2780" i="7" s="1"/>
  <c r="J79" i="6"/>
  <c r="C2781" i="7" s="1" a="1"/>
  <c r="C2781" i="7" s="1"/>
  <c r="K79" i="6"/>
  <c r="C2782" i="7" s="1" a="1"/>
  <c r="C2782" i="7" s="1"/>
  <c r="L79" i="6"/>
  <c r="C2783" i="7" s="1" a="1"/>
  <c r="C2783" i="7" s="1"/>
  <c r="M79" i="6"/>
  <c r="C2784" i="7" s="1" a="1"/>
  <c r="C2784" i="7" s="1"/>
  <c r="N79" i="6"/>
  <c r="C2785" i="7" s="1" a="1"/>
  <c r="C2785" i="7" s="1"/>
  <c r="D78" i="6"/>
  <c r="C2751" i="7" s="1" a="1"/>
  <c r="C2751" i="7" s="1"/>
  <c r="E78" i="6"/>
  <c r="C2740" i="7" s="1" a="1"/>
  <c r="C2740" i="7" s="1"/>
  <c r="F78" i="6"/>
  <c r="C2741" i="7" s="1" a="1"/>
  <c r="C2741" i="7" s="1"/>
  <c r="G78" i="6"/>
  <c r="C2754" i="7" s="1" a="1"/>
  <c r="C2754" i="7" s="1"/>
  <c r="H78" i="6"/>
  <c r="C2743" i="7" s="1" a="1"/>
  <c r="C2743" i="7" s="1"/>
  <c r="I78" i="6"/>
  <c r="C2756" i="7" s="1" a="1"/>
  <c r="C2756" i="7" s="1"/>
  <c r="J78" i="6"/>
  <c r="C2757" i="7" s="1" a="1"/>
  <c r="C2757" i="7" s="1"/>
  <c r="K78" i="6"/>
  <c r="C2746" i="7" s="1" a="1"/>
  <c r="C2746" i="7" s="1"/>
  <c r="L78" i="6"/>
  <c r="C2747" i="7" s="1" a="1"/>
  <c r="C2747" i="7" s="1"/>
  <c r="M78" i="6"/>
  <c r="C2760" i="7" s="1" a="1"/>
  <c r="C2760" i="7" s="1"/>
  <c r="N78" i="6"/>
  <c r="C2749" i="7" s="1" a="1"/>
  <c r="C2749" i="7" s="1"/>
  <c r="C78" i="6"/>
  <c r="C2750" i="7" s="1" a="1"/>
  <c r="C2750" i="7" s="1"/>
  <c r="C79" i="6"/>
  <c r="C2774" i="7" s="1" a="1"/>
  <c r="C2774" i="7" s="1"/>
  <c r="C77" i="6"/>
  <c r="C2702" i="7" s="1" a="1"/>
  <c r="C2702" i="7" s="1"/>
  <c r="C78" i="1"/>
  <c r="C3" i="9" a="1"/>
  <c r="C3" i="9" s="1"/>
  <c r="C4" i="9" a="1"/>
  <c r="C4" i="9" s="1"/>
  <c r="C5" i="9" a="1"/>
  <c r="C5" i="9" s="1"/>
  <c r="C6" i="9" a="1"/>
  <c r="C6" i="9" s="1"/>
  <c r="C7" i="9" a="1"/>
  <c r="C7" i="9" s="1"/>
  <c r="C8" i="9" a="1"/>
  <c r="C8" i="9" s="1"/>
  <c r="C9" i="9" a="1"/>
  <c r="C9" i="9" s="1"/>
  <c r="C10" i="9" a="1"/>
  <c r="C10" i="9" s="1"/>
  <c r="C11" i="9" a="1"/>
  <c r="C11" i="9" s="1"/>
  <c r="C12" i="9" a="1"/>
  <c r="C12" i="9" s="1"/>
  <c r="C13" i="9" a="1"/>
  <c r="C13" i="9" s="1"/>
  <c r="C14" i="9" a="1"/>
  <c r="C14" i="9" s="1"/>
  <c r="C15" i="9" a="1"/>
  <c r="C15" i="9" s="1"/>
  <c r="C16" i="9" a="1"/>
  <c r="C16" i="9" s="1"/>
  <c r="C17" i="9" a="1"/>
  <c r="C17" i="9" s="1"/>
  <c r="C18" i="9" a="1"/>
  <c r="C18" i="9" s="1"/>
  <c r="C19" i="9" a="1"/>
  <c r="C19" i="9" s="1"/>
  <c r="C20" i="9" a="1"/>
  <c r="C20" i="9" s="1"/>
  <c r="C21" i="9" a="1"/>
  <c r="C21" i="9" s="1"/>
  <c r="C22" i="9" a="1"/>
  <c r="C22" i="9" s="1"/>
  <c r="C23" i="9" a="1"/>
  <c r="C23" i="9" s="1"/>
  <c r="C24" i="9" a="1"/>
  <c r="C24" i="9" s="1"/>
  <c r="C25" i="9" a="1"/>
  <c r="C25" i="9" s="1"/>
  <c r="C26" i="9" a="1"/>
  <c r="C26" i="9" s="1"/>
  <c r="C27" i="9" a="1"/>
  <c r="C27" i="9" s="1"/>
  <c r="C28" i="9" a="1"/>
  <c r="C28" i="9" s="1"/>
  <c r="C29" i="9" a="1"/>
  <c r="C29" i="9" s="1"/>
  <c r="C30" i="9" a="1"/>
  <c r="C30" i="9" s="1"/>
  <c r="C31" i="9" a="1"/>
  <c r="C31" i="9" s="1"/>
  <c r="C32" i="9" a="1"/>
  <c r="C32" i="9" s="1"/>
  <c r="C33" i="9" a="1"/>
  <c r="C33" i="9" s="1"/>
  <c r="C34" i="9" a="1"/>
  <c r="C34" i="9" s="1"/>
  <c r="C35" i="9" a="1"/>
  <c r="C35" i="9" s="1"/>
  <c r="C36" i="9" a="1"/>
  <c r="C36" i="9" s="1"/>
  <c r="C37" i="9" a="1"/>
  <c r="C37" i="9" s="1"/>
  <c r="C38" i="9" a="1"/>
  <c r="C38" i="9" s="1"/>
  <c r="C39" i="9" a="1"/>
  <c r="C39" i="9" s="1"/>
  <c r="C40" i="9" a="1"/>
  <c r="C40" i="9" s="1"/>
  <c r="C41" i="9" a="1"/>
  <c r="C41" i="9" s="1"/>
  <c r="C42" i="9" a="1"/>
  <c r="C42" i="9" s="1"/>
  <c r="C43" i="9" a="1"/>
  <c r="C43" i="9" s="1"/>
  <c r="C44" i="9" a="1"/>
  <c r="C44" i="9" s="1"/>
  <c r="C45" i="9" a="1"/>
  <c r="C45" i="9" s="1"/>
  <c r="C46" i="9" a="1"/>
  <c r="C46" i="9" s="1"/>
  <c r="C47" i="9" a="1"/>
  <c r="C47" i="9" s="1"/>
  <c r="C48" i="9" a="1"/>
  <c r="C48" i="9" s="1"/>
  <c r="C49" i="9" a="1"/>
  <c r="C49" i="9" s="1"/>
  <c r="C50" i="9" a="1"/>
  <c r="C50" i="9" s="1"/>
  <c r="C51" i="9" a="1"/>
  <c r="C51" i="9" s="1"/>
  <c r="C52" i="9" a="1"/>
  <c r="C52" i="9" s="1"/>
  <c r="C53" i="9" a="1"/>
  <c r="C53" i="9" s="1"/>
  <c r="C54" i="9" a="1"/>
  <c r="C54" i="9" s="1"/>
  <c r="C55" i="9" a="1"/>
  <c r="C55" i="9" s="1"/>
  <c r="C56" i="9" a="1"/>
  <c r="C56" i="9" s="1"/>
  <c r="C57" i="9" a="1"/>
  <c r="C57" i="9" s="1"/>
  <c r="C58" i="9" a="1"/>
  <c r="C58" i="9" s="1"/>
  <c r="C59" i="9" a="1"/>
  <c r="C59" i="9" s="1"/>
  <c r="C60" i="9" a="1"/>
  <c r="C60" i="9" s="1"/>
  <c r="C61" i="9" a="1"/>
  <c r="C61" i="9" s="1"/>
  <c r="C62" i="9" a="1"/>
  <c r="C62" i="9" s="1"/>
  <c r="C63" i="9" a="1"/>
  <c r="C63" i="9" s="1"/>
  <c r="C64" i="9" a="1"/>
  <c r="C64" i="9" s="1"/>
  <c r="C65" i="9" a="1"/>
  <c r="C65" i="9" s="1"/>
  <c r="C66" i="9" a="1"/>
  <c r="C66" i="9" s="1"/>
  <c r="C67" i="9" a="1"/>
  <c r="C67" i="9" s="1"/>
  <c r="C68" i="9" a="1"/>
  <c r="C68" i="9" s="1"/>
  <c r="C69" i="9" a="1"/>
  <c r="C69" i="9" s="1"/>
  <c r="C70" i="9" a="1"/>
  <c r="C70" i="9" s="1"/>
  <c r="C71" i="9" a="1"/>
  <c r="C71" i="9" s="1"/>
  <c r="C72" i="9" a="1"/>
  <c r="C72" i="9" s="1"/>
  <c r="C73" i="9" a="1"/>
  <c r="C73" i="9" s="1"/>
  <c r="C74" i="9" a="1"/>
  <c r="C74" i="9" s="1"/>
  <c r="C75" i="9" a="1"/>
  <c r="C75" i="9" s="1"/>
  <c r="C76" i="9" a="1"/>
  <c r="C76" i="9" s="1"/>
  <c r="C77" i="9" a="1"/>
  <c r="C77" i="9" s="1"/>
  <c r="C78" i="9" a="1"/>
  <c r="C78" i="9" s="1"/>
  <c r="C79" i="9" a="1"/>
  <c r="C79" i="9" s="1"/>
  <c r="C80" i="9" a="1"/>
  <c r="C80" i="9" s="1"/>
  <c r="C81" i="9" a="1"/>
  <c r="C81" i="9" s="1"/>
  <c r="C82" i="9" a="1"/>
  <c r="C82" i="9" s="1"/>
  <c r="C83" i="9" a="1"/>
  <c r="C83" i="9" s="1"/>
  <c r="C84" i="9" a="1"/>
  <c r="C84" i="9" s="1"/>
  <c r="C85" i="9" a="1"/>
  <c r="C85" i="9" s="1"/>
  <c r="C86" i="9" a="1"/>
  <c r="C86" i="9" s="1"/>
  <c r="C87" i="9" a="1"/>
  <c r="C87" i="9" s="1"/>
  <c r="C88" i="9" a="1"/>
  <c r="C88" i="9" s="1"/>
  <c r="C89" i="9" a="1"/>
  <c r="C89" i="9" s="1"/>
  <c r="C90" i="9" a="1"/>
  <c r="C90" i="9" s="1"/>
  <c r="C91" i="9" a="1"/>
  <c r="C91" i="9" s="1"/>
  <c r="C92" i="9" a="1"/>
  <c r="C92" i="9" s="1"/>
  <c r="C93" i="9" a="1"/>
  <c r="C93" i="9" s="1"/>
  <c r="C94" i="9" a="1"/>
  <c r="C94" i="9" s="1"/>
  <c r="C95" i="9" a="1"/>
  <c r="C95" i="9" s="1"/>
  <c r="C96" i="9" a="1"/>
  <c r="C96" i="9" s="1"/>
  <c r="C97" i="9" a="1"/>
  <c r="C97" i="9" s="1"/>
  <c r="C98" i="9" a="1"/>
  <c r="C98" i="9" s="1"/>
  <c r="C99" i="9" a="1"/>
  <c r="C99" i="9" s="1"/>
  <c r="C100" i="9" a="1"/>
  <c r="C100" i="9" s="1"/>
  <c r="C101" i="9" a="1"/>
  <c r="C101" i="9" s="1"/>
  <c r="C102" i="9" a="1"/>
  <c r="C102" i="9" s="1"/>
  <c r="C103" i="9" a="1"/>
  <c r="C103" i="9" s="1"/>
  <c r="C104" i="9" a="1"/>
  <c r="C104" i="9" s="1"/>
  <c r="C105" i="9" a="1"/>
  <c r="C105" i="9" s="1"/>
  <c r="C106" i="9" a="1"/>
  <c r="C106" i="9" s="1"/>
  <c r="C107" i="9" a="1"/>
  <c r="C107" i="9" s="1"/>
  <c r="C108" i="9" a="1"/>
  <c r="C108" i="9" s="1"/>
  <c r="C109" i="9" a="1"/>
  <c r="C109" i="9" s="1"/>
  <c r="C110" i="9" a="1"/>
  <c r="C110" i="9" s="1"/>
  <c r="C111" i="9" a="1"/>
  <c r="C111" i="9" s="1"/>
  <c r="C112" i="9" a="1"/>
  <c r="C112" i="9" s="1"/>
  <c r="C113" i="9" a="1"/>
  <c r="C113" i="9" s="1"/>
  <c r="C114" i="9" a="1"/>
  <c r="C114" i="9" s="1"/>
  <c r="C115" i="9" a="1"/>
  <c r="C115" i="9" s="1"/>
  <c r="C116" i="9" a="1"/>
  <c r="C116" i="9" s="1"/>
  <c r="C117" i="9" a="1"/>
  <c r="C117" i="9" s="1"/>
  <c r="C118" i="9" a="1"/>
  <c r="C118" i="9" s="1"/>
  <c r="C119" i="9" a="1"/>
  <c r="C119" i="9" s="1"/>
  <c r="C120" i="9" a="1"/>
  <c r="C120" i="9" s="1"/>
  <c r="C121" i="9" a="1"/>
  <c r="C121" i="9" s="1"/>
  <c r="C122" i="9" a="1"/>
  <c r="C122" i="9" s="1"/>
  <c r="C123" i="9" a="1"/>
  <c r="C123" i="9" s="1"/>
  <c r="C124" i="9" a="1"/>
  <c r="C124" i="9" s="1"/>
  <c r="C125" i="9" a="1"/>
  <c r="C125" i="9" s="1"/>
  <c r="C126" i="9" a="1"/>
  <c r="C126" i="9" s="1"/>
  <c r="C127" i="9" a="1"/>
  <c r="C127" i="9" s="1"/>
  <c r="C128" i="9" a="1"/>
  <c r="C128" i="9" s="1"/>
  <c r="C129" i="9" a="1"/>
  <c r="C129" i="9" s="1"/>
  <c r="C130" i="9" a="1"/>
  <c r="C130" i="9" s="1"/>
  <c r="C131" i="9" a="1"/>
  <c r="C131" i="9" s="1"/>
  <c r="C132" i="9" a="1"/>
  <c r="C132" i="9" s="1"/>
  <c r="C133" i="9" a="1"/>
  <c r="C133" i="9" s="1"/>
  <c r="C134" i="9" a="1"/>
  <c r="C134" i="9" s="1"/>
  <c r="C135" i="9" a="1"/>
  <c r="C135" i="9" s="1"/>
  <c r="C136" i="9" a="1"/>
  <c r="C136" i="9" s="1"/>
  <c r="C137" i="9" a="1"/>
  <c r="C137" i="9" s="1"/>
  <c r="C138" i="9" a="1"/>
  <c r="C138" i="9" s="1"/>
  <c r="C139" i="9" a="1"/>
  <c r="C139" i="9" s="1"/>
  <c r="C284" i="9" a="1"/>
  <c r="C284" i="9" s="1"/>
  <c r="C141" i="9" a="1"/>
  <c r="C141" i="9" s="1"/>
  <c r="C142" i="9" a="1"/>
  <c r="C142" i="9" s="1"/>
  <c r="C143" i="9" a="1"/>
  <c r="C143" i="9" s="1"/>
  <c r="C144" i="9" a="1"/>
  <c r="C144" i="9" s="1"/>
  <c r="C145" i="9" a="1"/>
  <c r="C145" i="9" s="1"/>
  <c r="C146" i="9" a="1"/>
  <c r="C146" i="9" s="1"/>
  <c r="C147" i="9" a="1"/>
  <c r="C147" i="9" s="1"/>
  <c r="C148" i="9" a="1"/>
  <c r="C148" i="9" s="1"/>
  <c r="C149" i="9" a="1"/>
  <c r="C149" i="9" s="1"/>
  <c r="C150" i="9" a="1"/>
  <c r="C150" i="9" s="1"/>
  <c r="C151" i="9" a="1"/>
  <c r="C151" i="9" s="1"/>
  <c r="C152" i="9" a="1"/>
  <c r="C152" i="9" s="1"/>
  <c r="C153" i="9" a="1"/>
  <c r="C153" i="9" s="1"/>
  <c r="C154" i="9" a="1"/>
  <c r="C154" i="9" s="1"/>
  <c r="C155" i="9" a="1"/>
  <c r="C155" i="9" s="1"/>
  <c r="C156" i="9" a="1"/>
  <c r="C156" i="9" s="1"/>
  <c r="C157" i="9" a="1"/>
  <c r="C157" i="9" s="1"/>
  <c r="C158" i="9" a="1"/>
  <c r="C158" i="9" s="1"/>
  <c r="C159" i="9" a="1"/>
  <c r="C159" i="9" s="1"/>
  <c r="C160" i="9" a="1"/>
  <c r="C160" i="9" s="1"/>
  <c r="C161" i="9" a="1"/>
  <c r="C161" i="9" s="1"/>
  <c r="C162" i="9" a="1"/>
  <c r="C162" i="9" s="1"/>
  <c r="C163" i="9" a="1"/>
  <c r="C163" i="9" s="1"/>
  <c r="C164" i="9" a="1"/>
  <c r="C164" i="9" s="1"/>
  <c r="C165" i="9" a="1"/>
  <c r="C165" i="9" s="1"/>
  <c r="C166" i="9" a="1"/>
  <c r="C166" i="9" s="1"/>
  <c r="C167" i="9" a="1"/>
  <c r="C167" i="9" s="1"/>
  <c r="C168" i="9" a="1"/>
  <c r="C168" i="9" s="1"/>
  <c r="C169" i="9" a="1"/>
  <c r="C169" i="9" s="1"/>
  <c r="C170" i="9" a="1"/>
  <c r="C170" i="9" s="1"/>
  <c r="C171" i="9" a="1"/>
  <c r="C171" i="9" s="1"/>
  <c r="C172" i="9" a="1"/>
  <c r="C172" i="9" s="1"/>
  <c r="C173" i="9" a="1"/>
  <c r="C173" i="9" s="1"/>
  <c r="C174" i="9" a="1"/>
  <c r="C174" i="9" s="1"/>
  <c r="C175" i="9" a="1"/>
  <c r="C175" i="9" s="1"/>
  <c r="C176" i="9" a="1"/>
  <c r="C176" i="9" s="1"/>
  <c r="C177" i="9" a="1"/>
  <c r="C177" i="9" s="1"/>
  <c r="C178" i="9" a="1"/>
  <c r="C178" i="9" s="1"/>
  <c r="C179" i="9" a="1"/>
  <c r="C179" i="9" s="1"/>
  <c r="C180" i="9" a="1"/>
  <c r="C180" i="9" s="1"/>
  <c r="C181" i="9" a="1"/>
  <c r="C181" i="9" s="1"/>
  <c r="C182" i="9" a="1"/>
  <c r="C182" i="9" s="1"/>
  <c r="C183" i="9" a="1"/>
  <c r="C183" i="9" s="1"/>
  <c r="C184" i="9" a="1"/>
  <c r="C184" i="9" s="1"/>
  <c r="C185" i="9" a="1"/>
  <c r="C185" i="9" s="1"/>
  <c r="C186" i="9" a="1"/>
  <c r="C186" i="9" s="1"/>
  <c r="C187" i="9" a="1"/>
  <c r="C187" i="9" s="1"/>
  <c r="C188" i="9" a="1"/>
  <c r="C188" i="9" s="1"/>
  <c r="C189" i="9" a="1"/>
  <c r="C189" i="9" s="1"/>
  <c r="C190" i="9" a="1"/>
  <c r="C190" i="9" s="1"/>
  <c r="C191" i="9" a="1"/>
  <c r="C191" i="9" s="1"/>
  <c r="C192" i="9" a="1"/>
  <c r="C192" i="9" s="1"/>
  <c r="C193" i="9" a="1"/>
  <c r="C193" i="9" s="1"/>
  <c r="C194" i="9" a="1"/>
  <c r="C194" i="9" s="1"/>
  <c r="C195" i="9" a="1"/>
  <c r="C195" i="9" s="1"/>
  <c r="C196" i="9" a="1"/>
  <c r="C196" i="9" s="1"/>
  <c r="C197" i="9" a="1"/>
  <c r="C197" i="9" s="1"/>
  <c r="C198" i="9" a="1"/>
  <c r="C198" i="9" s="1"/>
  <c r="C199" i="9" a="1"/>
  <c r="C199" i="9" s="1"/>
  <c r="C200" i="9" a="1"/>
  <c r="C200" i="9" s="1"/>
  <c r="C201" i="9" a="1"/>
  <c r="C201" i="9" s="1"/>
  <c r="C202" i="9" a="1"/>
  <c r="C202" i="9" s="1"/>
  <c r="C203" i="9" a="1"/>
  <c r="C203" i="9" s="1"/>
  <c r="C204" i="9" a="1"/>
  <c r="C204" i="9" s="1"/>
  <c r="C205" i="9" a="1"/>
  <c r="C205" i="9" s="1"/>
  <c r="C206" i="9" a="1"/>
  <c r="C206" i="9" s="1"/>
  <c r="C207" i="9" a="1"/>
  <c r="C207" i="9" s="1"/>
  <c r="C208" i="9" a="1"/>
  <c r="C208" i="9" s="1"/>
  <c r="C209" i="9" a="1"/>
  <c r="C209" i="9" s="1"/>
  <c r="C210" i="9" a="1"/>
  <c r="C210" i="9" s="1"/>
  <c r="C211" i="9" a="1"/>
  <c r="C211" i="9" s="1"/>
  <c r="C212" i="9" a="1"/>
  <c r="C212" i="9" s="1"/>
  <c r="C213" i="9" a="1"/>
  <c r="C213" i="9" s="1"/>
  <c r="C214" i="9" a="1"/>
  <c r="C214" i="9" s="1"/>
  <c r="C215" i="9" a="1"/>
  <c r="C215" i="9" s="1"/>
  <c r="C216" i="9" a="1"/>
  <c r="C216" i="9" s="1"/>
  <c r="C217" i="9" a="1"/>
  <c r="C217" i="9" s="1"/>
  <c r="C218" i="9" a="1"/>
  <c r="C218" i="9" s="1"/>
  <c r="C219" i="9" a="1"/>
  <c r="C219" i="9" s="1"/>
  <c r="C220" i="9" a="1"/>
  <c r="C220" i="9" s="1"/>
  <c r="C221" i="9" a="1"/>
  <c r="C221" i="9" s="1"/>
  <c r="C222" i="9" a="1"/>
  <c r="C222" i="9" s="1"/>
  <c r="C223" i="9" a="1"/>
  <c r="C223" i="9" s="1"/>
  <c r="C224" i="9" a="1"/>
  <c r="C224" i="9" s="1"/>
  <c r="C225" i="9" a="1"/>
  <c r="C225" i="9" s="1"/>
  <c r="C226" i="9" a="1"/>
  <c r="C226" i="9" s="1"/>
  <c r="C227" i="9" a="1"/>
  <c r="C227" i="9" s="1"/>
  <c r="C228" i="9" a="1"/>
  <c r="C228" i="9" s="1"/>
  <c r="C229" i="9" a="1"/>
  <c r="C229" i="9" s="1"/>
  <c r="C230" i="9" a="1"/>
  <c r="C230" i="9" s="1"/>
  <c r="C231" i="9" a="1"/>
  <c r="C231" i="9" s="1"/>
  <c r="C232" i="9" a="1"/>
  <c r="C232" i="9" s="1"/>
  <c r="C233" i="9" a="1"/>
  <c r="C233" i="9" s="1"/>
  <c r="C234" i="9" a="1"/>
  <c r="C234" i="9" s="1"/>
  <c r="C235" i="9" a="1"/>
  <c r="C235" i="9" s="1"/>
  <c r="C236" i="9" a="1"/>
  <c r="C236" i="9" s="1"/>
  <c r="C237" i="9" a="1"/>
  <c r="C237" i="9" s="1"/>
  <c r="C238" i="9" a="1"/>
  <c r="C238" i="9" s="1"/>
  <c r="C239" i="9" a="1"/>
  <c r="C239" i="9" s="1"/>
  <c r="C240" i="9" a="1"/>
  <c r="C240" i="9" s="1"/>
  <c r="C241" i="9" a="1"/>
  <c r="C241" i="9" s="1"/>
  <c r="C242" i="9" a="1"/>
  <c r="C242" i="9" s="1"/>
  <c r="C243" i="9" a="1"/>
  <c r="C243" i="9" s="1"/>
  <c r="C244" i="9" a="1"/>
  <c r="C244" i="9" s="1"/>
  <c r="C245" i="9" a="1"/>
  <c r="C245" i="9" s="1"/>
  <c r="C246" i="9" a="1"/>
  <c r="C246" i="9" s="1"/>
  <c r="C247" i="9" a="1"/>
  <c r="C247" i="9" s="1"/>
  <c r="C248" i="9" a="1"/>
  <c r="C248" i="9" s="1"/>
  <c r="C249" i="9" a="1"/>
  <c r="C249" i="9" s="1"/>
  <c r="C250" i="9" a="1"/>
  <c r="C250" i="9" s="1"/>
  <c r="C251" i="9" a="1"/>
  <c r="C251" i="9" s="1"/>
  <c r="C252" i="9" a="1"/>
  <c r="C252" i="9" s="1"/>
  <c r="C253" i="9" a="1"/>
  <c r="C253" i="9" s="1"/>
  <c r="C254" i="9" a="1"/>
  <c r="C254" i="9" s="1"/>
  <c r="C255" i="9" a="1"/>
  <c r="C255" i="9" s="1"/>
  <c r="C256" i="9" a="1"/>
  <c r="C256" i="9" s="1"/>
  <c r="C257" i="9" a="1"/>
  <c r="C257" i="9" s="1"/>
  <c r="C258" i="9" a="1"/>
  <c r="C258" i="9" s="1"/>
  <c r="C259" i="9" a="1"/>
  <c r="C259" i="9" s="1"/>
  <c r="C260" i="9" a="1"/>
  <c r="C260" i="9" s="1"/>
  <c r="C261" i="9" a="1"/>
  <c r="C261" i="9" s="1"/>
  <c r="C262" i="9" a="1"/>
  <c r="C262" i="9" s="1"/>
  <c r="C263" i="9" a="1"/>
  <c r="C263" i="9" s="1"/>
  <c r="C264" i="9" a="1"/>
  <c r="C264" i="9" s="1"/>
  <c r="C265" i="9" a="1"/>
  <c r="C265" i="9" s="1"/>
  <c r="C266" i="9" a="1"/>
  <c r="C266" i="9" s="1"/>
  <c r="C267" i="9" a="1"/>
  <c r="C267" i="9" s="1"/>
  <c r="C268" i="9" a="1"/>
  <c r="C268" i="9" s="1"/>
  <c r="C269" i="9" a="1"/>
  <c r="C269" i="9" s="1"/>
  <c r="C270" i="9" a="1"/>
  <c r="C270" i="9" s="1"/>
  <c r="C271" i="9" a="1"/>
  <c r="C271" i="9" s="1"/>
  <c r="C272" i="9" a="1"/>
  <c r="C272" i="9" s="1"/>
  <c r="C273" i="9" a="1"/>
  <c r="C273" i="9" s="1"/>
  <c r="C274" i="9" a="1"/>
  <c r="C274" i="9" s="1"/>
  <c r="C275" i="9" a="1"/>
  <c r="C275" i="9" s="1"/>
  <c r="C276" i="9" a="1"/>
  <c r="C276" i="9" s="1"/>
  <c r="C277" i="9" a="1"/>
  <c r="C277" i="9" s="1"/>
  <c r="C278" i="9" a="1"/>
  <c r="C278" i="9" s="1"/>
  <c r="C279" i="9" a="1"/>
  <c r="C279" i="9" s="1"/>
  <c r="C280" i="9" a="1"/>
  <c r="C280" i="9" s="1"/>
  <c r="C281" i="9" a="1"/>
  <c r="C281" i="9" s="1"/>
  <c r="C282" i="9" a="1"/>
  <c r="C282" i="9" s="1"/>
  <c r="C283" i="9" a="1"/>
  <c r="C283" i="9" s="1"/>
  <c r="C320" i="9" a="1"/>
  <c r="C320" i="9" s="1"/>
  <c r="C285" i="9" a="1"/>
  <c r="C285" i="9" s="1"/>
  <c r="C286" i="9" a="1"/>
  <c r="C286" i="9" s="1"/>
  <c r="C287" i="9" a="1"/>
  <c r="C287" i="9" s="1"/>
  <c r="C288" i="9" a="1"/>
  <c r="C288" i="9" s="1"/>
  <c r="C289" i="9" a="1"/>
  <c r="C289" i="9" s="1"/>
  <c r="C290" i="9" a="1"/>
  <c r="C290" i="9" s="1"/>
  <c r="C291" i="9" a="1"/>
  <c r="C291" i="9" s="1"/>
  <c r="C292" i="9" a="1"/>
  <c r="C292" i="9" s="1"/>
  <c r="C293" i="9" a="1"/>
  <c r="C293" i="9" s="1"/>
  <c r="C294" i="9" a="1"/>
  <c r="C294" i="9" s="1"/>
  <c r="C295" i="9" a="1"/>
  <c r="C295" i="9" s="1"/>
  <c r="C296" i="9" a="1"/>
  <c r="C296" i="9" s="1"/>
  <c r="C297" i="9" a="1"/>
  <c r="C297" i="9" s="1"/>
  <c r="C298" i="9" a="1"/>
  <c r="C298" i="9" s="1"/>
  <c r="C299" i="9" a="1"/>
  <c r="C299" i="9" s="1"/>
  <c r="C300" i="9" a="1"/>
  <c r="C300" i="9" s="1"/>
  <c r="C301" i="9" a="1"/>
  <c r="C301" i="9" s="1"/>
  <c r="C302" i="9" a="1"/>
  <c r="C302" i="9" s="1"/>
  <c r="C303" i="9" a="1"/>
  <c r="C303" i="9" s="1"/>
  <c r="C304" i="9" a="1"/>
  <c r="C304" i="9" s="1"/>
  <c r="C305" i="9" a="1"/>
  <c r="C305" i="9" s="1"/>
  <c r="C306" i="9" a="1"/>
  <c r="C306" i="9" s="1"/>
  <c r="C307" i="9" a="1"/>
  <c r="C307" i="9" s="1"/>
  <c r="C308" i="9" a="1"/>
  <c r="C308" i="9" s="1"/>
  <c r="C309" i="9" a="1"/>
  <c r="C309" i="9" s="1"/>
  <c r="C310" i="9" a="1"/>
  <c r="C310" i="9" s="1"/>
  <c r="C311" i="9" a="1"/>
  <c r="C311" i="9" s="1"/>
  <c r="C312" i="9" a="1"/>
  <c r="C312" i="9" s="1"/>
  <c r="C313" i="9" a="1"/>
  <c r="C313" i="9" s="1"/>
  <c r="C314" i="9" a="1"/>
  <c r="C314" i="9" s="1"/>
  <c r="C315" i="9" a="1"/>
  <c r="C315" i="9" s="1"/>
  <c r="C316" i="9" a="1"/>
  <c r="C316" i="9" s="1"/>
  <c r="C317" i="9" a="1"/>
  <c r="C317" i="9" s="1"/>
  <c r="C318" i="9" a="1"/>
  <c r="C318" i="9" s="1"/>
  <c r="C319" i="9" a="1"/>
  <c r="C319" i="9" s="1"/>
  <c r="C356" i="9" a="1"/>
  <c r="C356" i="9" s="1"/>
  <c r="C321" i="9" a="1"/>
  <c r="C321" i="9" s="1"/>
  <c r="C322" i="9" a="1"/>
  <c r="C322" i="9" s="1"/>
  <c r="C323" i="9" a="1"/>
  <c r="C323" i="9" s="1"/>
  <c r="C324" i="9" a="1"/>
  <c r="C324" i="9" s="1"/>
  <c r="C325" i="9" a="1"/>
  <c r="C325" i="9" s="1"/>
  <c r="C326" i="9" a="1"/>
  <c r="C326" i="9" s="1"/>
  <c r="C327" i="9" a="1"/>
  <c r="C327" i="9" s="1"/>
  <c r="C328" i="9" a="1"/>
  <c r="C328" i="9" s="1"/>
  <c r="C329" i="9" a="1"/>
  <c r="C329" i="9" s="1"/>
  <c r="C330" i="9" a="1"/>
  <c r="C330" i="9" s="1"/>
  <c r="C331" i="9" a="1"/>
  <c r="C331" i="9" s="1"/>
  <c r="C332" i="9" a="1"/>
  <c r="C332" i="9" s="1"/>
  <c r="C333" i="9" a="1"/>
  <c r="C333" i="9" s="1"/>
  <c r="C334" i="9" a="1"/>
  <c r="C334" i="9" s="1"/>
  <c r="C335" i="9" a="1"/>
  <c r="C335" i="9" s="1"/>
  <c r="C336" i="9" a="1"/>
  <c r="C336" i="9" s="1"/>
  <c r="C337" i="9" a="1"/>
  <c r="C337" i="9" s="1"/>
  <c r="C338" i="9" a="1"/>
  <c r="C338" i="9" s="1"/>
  <c r="C339" i="9" a="1"/>
  <c r="C339" i="9" s="1"/>
  <c r="C340" i="9" a="1"/>
  <c r="C340" i="9" s="1"/>
  <c r="C341" i="9" a="1"/>
  <c r="C341" i="9" s="1"/>
  <c r="C342" i="9" a="1"/>
  <c r="C342" i="9" s="1"/>
  <c r="C343" i="9" a="1"/>
  <c r="C343" i="9" s="1"/>
  <c r="C344" i="9" a="1"/>
  <c r="C344" i="9" s="1"/>
  <c r="C345" i="9" a="1"/>
  <c r="C345" i="9" s="1"/>
  <c r="C346" i="9" a="1"/>
  <c r="C346" i="9" s="1"/>
  <c r="C347" i="9" a="1"/>
  <c r="C347" i="9" s="1"/>
  <c r="C348" i="9" a="1"/>
  <c r="C348" i="9" s="1"/>
  <c r="C349" i="9" a="1"/>
  <c r="C349" i="9" s="1"/>
  <c r="C350" i="9" a="1"/>
  <c r="C350" i="9" s="1"/>
  <c r="C351" i="9" a="1"/>
  <c r="C351" i="9" s="1"/>
  <c r="C352" i="9" a="1"/>
  <c r="C352" i="9" s="1"/>
  <c r="C353" i="9" a="1"/>
  <c r="C353" i="9" s="1"/>
  <c r="C354" i="9" a="1"/>
  <c r="C354" i="9" s="1"/>
  <c r="C355" i="9" a="1"/>
  <c r="C355" i="9" s="1"/>
  <c r="C428" i="9" a="1"/>
  <c r="C428" i="9" s="1"/>
  <c r="C357" i="9" a="1"/>
  <c r="C357" i="9" s="1"/>
  <c r="C358" i="9" a="1"/>
  <c r="C358" i="9" s="1"/>
  <c r="C359" i="9" a="1"/>
  <c r="C359" i="9" s="1"/>
  <c r="C360" i="9" a="1"/>
  <c r="C360" i="9" s="1"/>
  <c r="C361" i="9" a="1"/>
  <c r="C361" i="9" s="1"/>
  <c r="C362" i="9" a="1"/>
  <c r="C362" i="9" s="1"/>
  <c r="C363" i="9" a="1"/>
  <c r="C363" i="9" s="1"/>
  <c r="C364" i="9" a="1"/>
  <c r="C364" i="9" s="1"/>
  <c r="C365" i="9" a="1"/>
  <c r="C365" i="9" s="1"/>
  <c r="C366" i="9" a="1"/>
  <c r="C366" i="9" s="1"/>
  <c r="C367" i="9" a="1"/>
  <c r="C367" i="9" s="1"/>
  <c r="C368" i="9" a="1"/>
  <c r="C368" i="9" s="1"/>
  <c r="C369" i="9" a="1"/>
  <c r="C369" i="9" s="1"/>
  <c r="C370" i="9" a="1"/>
  <c r="C370" i="9" s="1"/>
  <c r="C371" i="9" a="1"/>
  <c r="C371" i="9" s="1"/>
  <c r="C372" i="9" a="1"/>
  <c r="C372" i="9" s="1"/>
  <c r="C373" i="9" a="1"/>
  <c r="C373" i="9" s="1"/>
  <c r="C374" i="9" a="1"/>
  <c r="C374" i="9" s="1"/>
  <c r="C375" i="9" a="1"/>
  <c r="C375" i="9" s="1"/>
  <c r="C376" i="9" a="1"/>
  <c r="C376" i="9" s="1"/>
  <c r="C377" i="9" a="1"/>
  <c r="C377" i="9" s="1"/>
  <c r="C378" i="9" a="1"/>
  <c r="C378" i="9" s="1"/>
  <c r="C379" i="9" a="1"/>
  <c r="C379" i="9" s="1"/>
  <c r="C380" i="9" a="1"/>
  <c r="C380" i="9" s="1"/>
  <c r="C381" i="9" a="1"/>
  <c r="C381" i="9" s="1"/>
  <c r="C382" i="9" a="1"/>
  <c r="C382" i="9" s="1"/>
  <c r="C383" i="9" a="1"/>
  <c r="C383" i="9" s="1"/>
  <c r="C384" i="9" a="1"/>
  <c r="C384" i="9" s="1"/>
  <c r="C385" i="9" a="1"/>
  <c r="C385" i="9" s="1"/>
  <c r="C386" i="9" a="1"/>
  <c r="C386" i="9" s="1"/>
  <c r="C387" i="9" a="1"/>
  <c r="C387" i="9" s="1"/>
  <c r="C388" i="9" a="1"/>
  <c r="C388" i="9" s="1"/>
  <c r="C389" i="9" a="1"/>
  <c r="C389" i="9" s="1"/>
  <c r="C390" i="9" a="1"/>
  <c r="C390" i="9" s="1"/>
  <c r="C391" i="9" a="1"/>
  <c r="C391" i="9" s="1"/>
  <c r="C464" i="9" a="1"/>
  <c r="C464" i="9" s="1"/>
  <c r="C393" i="9" a="1"/>
  <c r="C393" i="9" s="1"/>
  <c r="C394" i="9" a="1"/>
  <c r="C394" i="9" s="1"/>
  <c r="C395" i="9" a="1"/>
  <c r="C395" i="9" s="1"/>
  <c r="C396" i="9" a="1"/>
  <c r="C396" i="9" s="1"/>
  <c r="C397" i="9" a="1"/>
  <c r="C397" i="9" s="1"/>
  <c r="C398" i="9" a="1"/>
  <c r="C398" i="9" s="1"/>
  <c r="C399" i="9" a="1"/>
  <c r="C399" i="9" s="1"/>
  <c r="C400" i="9" a="1"/>
  <c r="C400" i="9" s="1"/>
  <c r="C401" i="9" a="1"/>
  <c r="C401" i="9" s="1"/>
  <c r="C402" i="9" a="1"/>
  <c r="C402" i="9" s="1"/>
  <c r="C403" i="9" a="1"/>
  <c r="C403" i="9" s="1"/>
  <c r="C404" i="9" a="1"/>
  <c r="C404" i="9" s="1"/>
  <c r="C405" i="9" a="1"/>
  <c r="C405" i="9" s="1"/>
  <c r="C406" i="9" a="1"/>
  <c r="C406" i="9" s="1"/>
  <c r="C407" i="9" a="1"/>
  <c r="C407" i="9" s="1"/>
  <c r="C408" i="9" a="1"/>
  <c r="C408" i="9" s="1"/>
  <c r="C409" i="9" a="1"/>
  <c r="C409" i="9" s="1"/>
  <c r="C410" i="9" a="1"/>
  <c r="C410" i="9" s="1"/>
  <c r="C411" i="9" a="1"/>
  <c r="C411" i="9" s="1"/>
  <c r="C412" i="9" a="1"/>
  <c r="C412" i="9" s="1"/>
  <c r="C413" i="9" a="1"/>
  <c r="C413" i="9" s="1"/>
  <c r="C414" i="9" a="1"/>
  <c r="C414" i="9" s="1"/>
  <c r="C415" i="9" a="1"/>
  <c r="C415" i="9" s="1"/>
  <c r="C416" i="9" a="1"/>
  <c r="C416" i="9" s="1"/>
  <c r="C417" i="9" a="1"/>
  <c r="C417" i="9" s="1"/>
  <c r="C418" i="9" a="1"/>
  <c r="C418" i="9" s="1"/>
  <c r="C419" i="9" a="1"/>
  <c r="C419" i="9" s="1"/>
  <c r="C420" i="9" a="1"/>
  <c r="C420" i="9" s="1"/>
  <c r="C421" i="9" a="1"/>
  <c r="C421" i="9" s="1"/>
  <c r="C422" i="9" a="1"/>
  <c r="C422" i="9" s="1"/>
  <c r="C423" i="9" a="1"/>
  <c r="C423" i="9" s="1"/>
  <c r="C424" i="9" a="1"/>
  <c r="C424" i="9" s="1"/>
  <c r="C425" i="9" a="1"/>
  <c r="C425" i="9" s="1"/>
  <c r="C426" i="9" a="1"/>
  <c r="C426" i="9" s="1"/>
  <c r="C427" i="9" a="1"/>
  <c r="C427" i="9" s="1"/>
  <c r="C500" i="9" a="1"/>
  <c r="C500" i="9" s="1"/>
  <c r="C429" i="9" a="1"/>
  <c r="C429" i="9" s="1"/>
  <c r="C430" i="9" a="1"/>
  <c r="C430" i="9" s="1"/>
  <c r="C431" i="9" a="1"/>
  <c r="C431" i="9" s="1"/>
  <c r="C432" i="9" a="1"/>
  <c r="C432" i="9" s="1"/>
  <c r="C433" i="9" a="1"/>
  <c r="C433" i="9" s="1"/>
  <c r="C434" i="9" a="1"/>
  <c r="C434" i="9" s="1"/>
  <c r="C435" i="9" a="1"/>
  <c r="C435" i="9" s="1"/>
  <c r="C436" i="9" a="1"/>
  <c r="C436" i="9" s="1"/>
  <c r="C437" i="9" a="1"/>
  <c r="C437" i="9" s="1"/>
  <c r="C438" i="9" a="1"/>
  <c r="C438" i="9" s="1"/>
  <c r="C439" i="9" a="1"/>
  <c r="C439" i="9" s="1"/>
  <c r="C440" i="9" a="1"/>
  <c r="C440" i="9" s="1"/>
  <c r="C441" i="9" a="1"/>
  <c r="C441" i="9" s="1"/>
  <c r="C442" i="9" a="1"/>
  <c r="C442" i="9" s="1"/>
  <c r="C443" i="9" a="1"/>
  <c r="C443" i="9" s="1"/>
  <c r="C444" i="9" a="1"/>
  <c r="C444" i="9" s="1"/>
  <c r="C445" i="9" a="1"/>
  <c r="C445" i="9" s="1"/>
  <c r="C446" i="9" a="1"/>
  <c r="C446" i="9" s="1"/>
  <c r="C447" i="9" a="1"/>
  <c r="C447" i="9" s="1"/>
  <c r="C448" i="9" a="1"/>
  <c r="C448" i="9" s="1"/>
  <c r="C449" i="9" a="1"/>
  <c r="C449" i="9" s="1"/>
  <c r="C450" i="9" a="1"/>
  <c r="C450" i="9" s="1"/>
  <c r="C451" i="9" a="1"/>
  <c r="C451" i="9" s="1"/>
  <c r="C452" i="9" a="1"/>
  <c r="C452" i="9" s="1"/>
  <c r="C453" i="9" a="1"/>
  <c r="C453" i="9" s="1"/>
  <c r="C454" i="9" a="1"/>
  <c r="C454" i="9" s="1"/>
  <c r="C455" i="9" a="1"/>
  <c r="C455" i="9" s="1"/>
  <c r="C456" i="9" a="1"/>
  <c r="C456" i="9" s="1"/>
  <c r="C457" i="9" a="1"/>
  <c r="C457" i="9" s="1"/>
  <c r="C458" i="9" a="1"/>
  <c r="C458" i="9" s="1"/>
  <c r="C459" i="9" a="1"/>
  <c r="C459" i="9" s="1"/>
  <c r="C460" i="9" a="1"/>
  <c r="C460" i="9" s="1"/>
  <c r="C461" i="9" a="1"/>
  <c r="C461" i="9" s="1"/>
  <c r="C462" i="9" a="1"/>
  <c r="C462" i="9" s="1"/>
  <c r="C463" i="9" a="1"/>
  <c r="C463" i="9" s="1"/>
  <c r="C536" i="9" a="1"/>
  <c r="C536" i="9" s="1"/>
  <c r="C465" i="9" a="1"/>
  <c r="C465" i="9" s="1"/>
  <c r="C466" i="9" a="1"/>
  <c r="C466" i="9" s="1"/>
  <c r="C467" i="9" a="1"/>
  <c r="C467" i="9" s="1"/>
  <c r="C468" i="9" a="1"/>
  <c r="C468" i="9" s="1"/>
  <c r="C469" i="9" a="1"/>
  <c r="C469" i="9" s="1"/>
  <c r="C470" i="9" a="1"/>
  <c r="C470" i="9" s="1"/>
  <c r="C471" i="9" a="1"/>
  <c r="C471" i="9" s="1"/>
  <c r="C472" i="9" a="1"/>
  <c r="C472" i="9" s="1"/>
  <c r="C473" i="9" a="1"/>
  <c r="C473" i="9" s="1"/>
  <c r="C474" i="9" a="1"/>
  <c r="C474" i="9" s="1"/>
  <c r="C475" i="9" a="1"/>
  <c r="C475" i="9" s="1"/>
  <c r="C476" i="9" a="1"/>
  <c r="C476" i="9" s="1"/>
  <c r="C477" i="9" a="1"/>
  <c r="C477" i="9" s="1"/>
  <c r="C478" i="9" a="1"/>
  <c r="C478" i="9" s="1"/>
  <c r="C479" i="9" a="1"/>
  <c r="C479" i="9" s="1"/>
  <c r="C480" i="9" a="1"/>
  <c r="C480" i="9" s="1"/>
  <c r="C481" i="9" a="1"/>
  <c r="C481" i="9" s="1"/>
  <c r="C482" i="9" a="1"/>
  <c r="C482" i="9" s="1"/>
  <c r="C483" i="9" a="1"/>
  <c r="C483" i="9" s="1"/>
  <c r="C484" i="9" a="1"/>
  <c r="C484" i="9" s="1"/>
  <c r="C485" i="9" a="1"/>
  <c r="C485" i="9" s="1"/>
  <c r="C486" i="9" a="1"/>
  <c r="C486" i="9" s="1"/>
  <c r="C487" i="9" a="1"/>
  <c r="C487" i="9" s="1"/>
  <c r="C488" i="9" a="1"/>
  <c r="C488" i="9" s="1"/>
  <c r="C489" i="9" a="1"/>
  <c r="C489" i="9" s="1"/>
  <c r="C490" i="9" a="1"/>
  <c r="C490" i="9" s="1"/>
  <c r="C491" i="9" a="1"/>
  <c r="C491" i="9" s="1"/>
  <c r="C492" i="9" a="1"/>
  <c r="C492" i="9" s="1"/>
  <c r="C493" i="9" a="1"/>
  <c r="C493" i="9" s="1"/>
  <c r="C494" i="9" a="1"/>
  <c r="C494" i="9" s="1"/>
  <c r="C495" i="9" a="1"/>
  <c r="C495" i="9" s="1"/>
  <c r="C496" i="9" a="1"/>
  <c r="C496" i="9" s="1"/>
  <c r="C497" i="9" a="1"/>
  <c r="C497" i="9" s="1"/>
  <c r="C498" i="9" a="1"/>
  <c r="C498" i="9" s="1"/>
  <c r="C499" i="9" a="1"/>
  <c r="C499" i="9" s="1"/>
  <c r="C572" i="9" a="1"/>
  <c r="C572" i="9" s="1"/>
  <c r="C501" i="9" a="1"/>
  <c r="C501" i="9" s="1"/>
  <c r="C502" i="9" a="1"/>
  <c r="C502" i="9" s="1"/>
  <c r="C503" i="9" a="1"/>
  <c r="C503" i="9" s="1"/>
  <c r="C504" i="9" a="1"/>
  <c r="C504" i="9" s="1"/>
  <c r="C505" i="9" a="1"/>
  <c r="C505" i="9" s="1"/>
  <c r="C506" i="9" a="1"/>
  <c r="C506" i="9" s="1"/>
  <c r="C507" i="9" a="1"/>
  <c r="C507" i="9" s="1"/>
  <c r="C508" i="9" a="1"/>
  <c r="C508" i="9" s="1"/>
  <c r="C509" i="9" a="1"/>
  <c r="C509" i="9" s="1"/>
  <c r="C510" i="9" a="1"/>
  <c r="C510" i="9" s="1"/>
  <c r="C511" i="9" a="1"/>
  <c r="C511" i="9" s="1"/>
  <c r="C512" i="9" a="1"/>
  <c r="C512" i="9" s="1"/>
  <c r="C513" i="9" a="1"/>
  <c r="C513" i="9" s="1"/>
  <c r="C514" i="9" a="1"/>
  <c r="C514" i="9" s="1"/>
  <c r="C515" i="9" a="1"/>
  <c r="C515" i="9" s="1"/>
  <c r="C516" i="9" a="1"/>
  <c r="C516" i="9" s="1"/>
  <c r="C517" i="9" a="1"/>
  <c r="C517" i="9" s="1"/>
  <c r="C518" i="9" a="1"/>
  <c r="C518" i="9" s="1"/>
  <c r="C519" i="9" a="1"/>
  <c r="C519" i="9" s="1"/>
  <c r="C520" i="9" a="1"/>
  <c r="C520" i="9" s="1"/>
  <c r="C521" i="9" a="1"/>
  <c r="C521" i="9" s="1"/>
  <c r="C522" i="9" a="1"/>
  <c r="C522" i="9" s="1"/>
  <c r="C523" i="9" a="1"/>
  <c r="C523" i="9" s="1"/>
  <c r="C524" i="9" a="1"/>
  <c r="C524" i="9" s="1"/>
  <c r="C525" i="9" a="1"/>
  <c r="C525" i="9" s="1"/>
  <c r="C526" i="9" a="1"/>
  <c r="C526" i="9" s="1"/>
  <c r="C527" i="9" a="1"/>
  <c r="C527" i="9" s="1"/>
  <c r="C528" i="9" a="1"/>
  <c r="C528" i="9" s="1"/>
  <c r="C529" i="9" a="1"/>
  <c r="C529" i="9" s="1"/>
  <c r="C530" i="9" a="1"/>
  <c r="C530" i="9" s="1"/>
  <c r="C531" i="9" a="1"/>
  <c r="C531" i="9" s="1"/>
  <c r="C532" i="9" a="1"/>
  <c r="C532" i="9" s="1"/>
  <c r="C533" i="9" a="1"/>
  <c r="C533" i="9" s="1"/>
  <c r="C534" i="9" a="1"/>
  <c r="C534" i="9" s="1"/>
  <c r="C535" i="9" a="1"/>
  <c r="C535" i="9" s="1"/>
  <c r="C608" i="9" a="1"/>
  <c r="C608" i="9" s="1"/>
  <c r="C537" i="9" a="1"/>
  <c r="C537" i="9" s="1"/>
  <c r="C538" i="9" a="1"/>
  <c r="C538" i="9" s="1"/>
  <c r="C539" i="9" a="1"/>
  <c r="C539" i="9" s="1"/>
  <c r="C540" i="9" a="1"/>
  <c r="C540" i="9" s="1"/>
  <c r="C541" i="9" a="1"/>
  <c r="C541" i="9" s="1"/>
  <c r="C542" i="9" a="1"/>
  <c r="C542" i="9" s="1"/>
  <c r="C543" i="9" a="1"/>
  <c r="C543" i="9" s="1"/>
  <c r="C544" i="9" a="1"/>
  <c r="C544" i="9" s="1"/>
  <c r="C545" i="9" a="1"/>
  <c r="C545" i="9" s="1"/>
  <c r="C546" i="9" a="1"/>
  <c r="C546" i="9" s="1"/>
  <c r="C547" i="9" a="1"/>
  <c r="C547" i="9" s="1"/>
  <c r="C548" i="9" a="1"/>
  <c r="C548" i="9" s="1"/>
  <c r="C549" i="9" a="1"/>
  <c r="C549" i="9" s="1"/>
  <c r="C550" i="9" a="1"/>
  <c r="C550" i="9" s="1"/>
  <c r="C551" i="9" a="1"/>
  <c r="C551" i="9" s="1"/>
  <c r="C552" i="9" a="1"/>
  <c r="C552" i="9" s="1"/>
  <c r="C553" i="9" a="1"/>
  <c r="C553" i="9" s="1"/>
  <c r="C554" i="9" a="1"/>
  <c r="C554" i="9" s="1"/>
  <c r="C555" i="9" a="1"/>
  <c r="C555" i="9" s="1"/>
  <c r="C556" i="9" a="1"/>
  <c r="C556" i="9" s="1"/>
  <c r="C557" i="9" a="1"/>
  <c r="C557" i="9" s="1"/>
  <c r="C558" i="9" a="1"/>
  <c r="C558" i="9" s="1"/>
  <c r="C559" i="9" a="1"/>
  <c r="C559" i="9" s="1"/>
  <c r="C560" i="9" a="1"/>
  <c r="C560" i="9" s="1"/>
  <c r="C561" i="9" a="1"/>
  <c r="C561" i="9" s="1"/>
  <c r="C562" i="9" a="1"/>
  <c r="C562" i="9" s="1"/>
  <c r="C563" i="9" a="1"/>
  <c r="C563" i="9" s="1"/>
  <c r="C564" i="9" a="1"/>
  <c r="C564" i="9" s="1"/>
  <c r="C565" i="9" a="1"/>
  <c r="C565" i="9" s="1"/>
  <c r="C566" i="9" a="1"/>
  <c r="C566" i="9" s="1"/>
  <c r="C567" i="9" a="1"/>
  <c r="C567" i="9" s="1"/>
  <c r="C568" i="9" a="1"/>
  <c r="C568" i="9" s="1"/>
  <c r="C569" i="9" a="1"/>
  <c r="C569" i="9" s="1"/>
  <c r="C570" i="9" a="1"/>
  <c r="C570" i="9" s="1"/>
  <c r="C644" i="9" a="1"/>
  <c r="C644" i="9" s="1"/>
  <c r="C573" i="9" a="1"/>
  <c r="C573" i="9" s="1"/>
  <c r="C574" i="9" a="1"/>
  <c r="C574" i="9" s="1"/>
  <c r="C575" i="9" a="1"/>
  <c r="C575" i="9" s="1"/>
  <c r="C576" i="9" a="1"/>
  <c r="C576" i="9" s="1"/>
  <c r="C577" i="9" a="1"/>
  <c r="C577" i="9" s="1"/>
  <c r="C578" i="9" a="1"/>
  <c r="C578" i="9" s="1"/>
  <c r="C579" i="9" a="1"/>
  <c r="C579" i="9" s="1"/>
  <c r="C580" i="9" a="1"/>
  <c r="C580" i="9" s="1"/>
  <c r="C581" i="9" a="1"/>
  <c r="C581" i="9" s="1"/>
  <c r="C582" i="9" a="1"/>
  <c r="C582" i="9" s="1"/>
  <c r="C583" i="9" a="1"/>
  <c r="C583" i="9" s="1"/>
  <c r="C584" i="9" a="1"/>
  <c r="C584" i="9" s="1"/>
  <c r="C585" i="9" a="1"/>
  <c r="C585" i="9" s="1"/>
  <c r="C586" i="9" a="1"/>
  <c r="C586" i="9" s="1"/>
  <c r="C587" i="9" a="1"/>
  <c r="C587" i="9" s="1"/>
  <c r="C588" i="9" a="1"/>
  <c r="C588" i="9" s="1"/>
  <c r="C589" i="9" a="1"/>
  <c r="C589" i="9" s="1"/>
  <c r="C590" i="9" a="1"/>
  <c r="C590" i="9" s="1"/>
  <c r="C591" i="9" a="1"/>
  <c r="C591" i="9" s="1"/>
  <c r="C592" i="9" a="1"/>
  <c r="C592" i="9" s="1"/>
  <c r="C593" i="9" a="1"/>
  <c r="C593" i="9" s="1"/>
  <c r="C594" i="9" a="1"/>
  <c r="C594" i="9" s="1"/>
  <c r="C595" i="9" a="1"/>
  <c r="C595" i="9" s="1"/>
  <c r="C596" i="9" a="1"/>
  <c r="C596" i="9" s="1"/>
  <c r="C597" i="9" a="1"/>
  <c r="C597" i="9" s="1"/>
  <c r="C598" i="9" a="1"/>
  <c r="C598" i="9" s="1"/>
  <c r="C599" i="9" a="1"/>
  <c r="C599" i="9" s="1"/>
  <c r="C600" i="9" a="1"/>
  <c r="C600" i="9" s="1"/>
  <c r="C601" i="9" a="1"/>
  <c r="C601" i="9" s="1"/>
  <c r="C602" i="9" a="1"/>
  <c r="C602" i="9" s="1"/>
  <c r="C603" i="9" a="1"/>
  <c r="C603" i="9" s="1"/>
  <c r="C604" i="9" a="1"/>
  <c r="C604" i="9" s="1"/>
  <c r="C605" i="9" a="1"/>
  <c r="C605" i="9" s="1"/>
  <c r="C606" i="9" a="1"/>
  <c r="C606" i="9" s="1"/>
  <c r="C607" i="9" a="1"/>
  <c r="C607" i="9" s="1"/>
  <c r="C716" i="9" a="1"/>
  <c r="C716" i="9" s="1"/>
  <c r="C609" i="9" a="1"/>
  <c r="C609" i="9" s="1"/>
  <c r="C610" i="9" a="1"/>
  <c r="C610" i="9" s="1"/>
  <c r="C611" i="9" a="1"/>
  <c r="C611" i="9" s="1"/>
  <c r="C612" i="9" a="1"/>
  <c r="C612" i="9" s="1"/>
  <c r="C613" i="9" a="1"/>
  <c r="C613" i="9" s="1"/>
  <c r="C614" i="9" a="1"/>
  <c r="C614" i="9" s="1"/>
  <c r="C615" i="9" a="1"/>
  <c r="C615" i="9" s="1"/>
  <c r="C616" i="9" a="1"/>
  <c r="C616" i="9" s="1"/>
  <c r="C617" i="9" a="1"/>
  <c r="C617" i="9" s="1"/>
  <c r="C618" i="9" a="1"/>
  <c r="C618" i="9" s="1"/>
  <c r="C619" i="9" a="1"/>
  <c r="C619" i="9" s="1"/>
  <c r="C620" i="9" a="1"/>
  <c r="C620" i="9" s="1"/>
  <c r="C621" i="9" a="1"/>
  <c r="C621" i="9" s="1"/>
  <c r="C622" i="9" a="1"/>
  <c r="C622" i="9" s="1"/>
  <c r="C623" i="9" a="1"/>
  <c r="C623" i="9" s="1"/>
  <c r="C624" i="9" a="1"/>
  <c r="C624" i="9" s="1"/>
  <c r="C625" i="9" a="1"/>
  <c r="C625" i="9" s="1"/>
  <c r="C626" i="9" a="1"/>
  <c r="C626" i="9" s="1"/>
  <c r="C627" i="9" a="1"/>
  <c r="C627" i="9" s="1"/>
  <c r="C628" i="9" a="1"/>
  <c r="C628" i="9" s="1"/>
  <c r="C629" i="9" a="1"/>
  <c r="C629" i="9" s="1"/>
  <c r="C630" i="9" a="1"/>
  <c r="C630" i="9" s="1"/>
  <c r="C631" i="9" a="1"/>
  <c r="C631" i="9" s="1"/>
  <c r="C632" i="9" a="1"/>
  <c r="C632" i="9" s="1"/>
  <c r="C633" i="9" a="1"/>
  <c r="C633" i="9" s="1"/>
  <c r="C634" i="9" a="1"/>
  <c r="C634" i="9" s="1"/>
  <c r="C635" i="9" a="1"/>
  <c r="C635" i="9" s="1"/>
  <c r="C636" i="9" a="1"/>
  <c r="C636" i="9" s="1"/>
  <c r="C637" i="9" a="1"/>
  <c r="C637" i="9" s="1"/>
  <c r="C638" i="9" a="1"/>
  <c r="C638" i="9" s="1"/>
  <c r="C639" i="9" a="1"/>
  <c r="C639" i="9" s="1"/>
  <c r="C640" i="9" a="1"/>
  <c r="C640" i="9" s="1"/>
  <c r="C641" i="9" a="1"/>
  <c r="C641" i="9" s="1"/>
  <c r="C642" i="9" a="1"/>
  <c r="C642" i="9" s="1"/>
  <c r="C643" i="9" a="1"/>
  <c r="C643" i="9" s="1"/>
  <c r="C752" i="9" a="1"/>
  <c r="C752" i="9" s="1"/>
  <c r="C645" i="9" a="1"/>
  <c r="C645" i="9" s="1"/>
  <c r="C646" i="9" a="1"/>
  <c r="C646" i="9" s="1"/>
  <c r="C647" i="9" a="1"/>
  <c r="C647" i="9" s="1"/>
  <c r="C648" i="9" a="1"/>
  <c r="C648" i="9" s="1"/>
  <c r="C649" i="9" a="1"/>
  <c r="C649" i="9" s="1"/>
  <c r="C650" i="9" a="1"/>
  <c r="C650" i="9" s="1"/>
  <c r="C651" i="9" a="1"/>
  <c r="C651" i="9" s="1"/>
  <c r="C652" i="9" a="1"/>
  <c r="C652" i="9" s="1"/>
  <c r="C653" i="9" a="1"/>
  <c r="C653" i="9" s="1"/>
  <c r="C654" i="9" a="1"/>
  <c r="C654" i="9" s="1"/>
  <c r="C655" i="9" a="1"/>
  <c r="C655" i="9" s="1"/>
  <c r="C656" i="9" a="1"/>
  <c r="C656" i="9" s="1"/>
  <c r="C657" i="9" a="1"/>
  <c r="C657" i="9" s="1"/>
  <c r="C658" i="9" a="1"/>
  <c r="C658" i="9" s="1"/>
  <c r="C659" i="9" a="1"/>
  <c r="C659" i="9" s="1"/>
  <c r="C660" i="9" a="1"/>
  <c r="C660" i="9" s="1"/>
  <c r="C661" i="9" a="1"/>
  <c r="C661" i="9" s="1"/>
  <c r="C662" i="9" a="1"/>
  <c r="C662" i="9" s="1"/>
  <c r="C663" i="9" a="1"/>
  <c r="C663" i="9" s="1"/>
  <c r="C664" i="9" a="1"/>
  <c r="C664" i="9" s="1"/>
  <c r="C665" i="9" a="1"/>
  <c r="C665" i="9" s="1"/>
  <c r="C666" i="9" a="1"/>
  <c r="C666" i="9" s="1"/>
  <c r="C667" i="9" a="1"/>
  <c r="C667" i="9" s="1"/>
  <c r="C668" i="9" a="1"/>
  <c r="C668" i="9" s="1"/>
  <c r="C669" i="9" a="1"/>
  <c r="C669" i="9" s="1"/>
  <c r="C670" i="9" a="1"/>
  <c r="C670" i="9" s="1"/>
  <c r="C671" i="9" a="1"/>
  <c r="C671" i="9" s="1"/>
  <c r="C672" i="9" a="1"/>
  <c r="C672" i="9" s="1"/>
  <c r="C673" i="9" a="1"/>
  <c r="C673" i="9" s="1"/>
  <c r="C674" i="9" a="1"/>
  <c r="C674" i="9" s="1"/>
  <c r="C675" i="9" a="1"/>
  <c r="C675" i="9" s="1"/>
  <c r="C676" i="9" a="1"/>
  <c r="C676" i="9" s="1"/>
  <c r="C677" i="9" a="1"/>
  <c r="C677" i="9" s="1"/>
  <c r="C678" i="9" a="1"/>
  <c r="C678" i="9" s="1"/>
  <c r="C679" i="9" a="1"/>
  <c r="C679" i="9" s="1"/>
  <c r="C788" i="9" a="1"/>
  <c r="C788" i="9" s="1"/>
  <c r="C681" i="9" a="1"/>
  <c r="C681" i="9" s="1"/>
  <c r="C682" i="9" a="1"/>
  <c r="C682" i="9" s="1"/>
  <c r="C683" i="9" a="1"/>
  <c r="C683" i="9" s="1"/>
  <c r="C684" i="9" a="1"/>
  <c r="C684" i="9" s="1"/>
  <c r="C685" i="9" a="1"/>
  <c r="C685" i="9" s="1"/>
  <c r="C686" i="9" a="1"/>
  <c r="C686" i="9" s="1"/>
  <c r="C687" i="9" a="1"/>
  <c r="C687" i="9" s="1"/>
  <c r="C688" i="9" a="1"/>
  <c r="C688" i="9" s="1"/>
  <c r="C689" i="9" a="1"/>
  <c r="C689" i="9" s="1"/>
  <c r="C690" i="9" a="1"/>
  <c r="C690" i="9" s="1"/>
  <c r="C691" i="9" a="1"/>
  <c r="C691" i="9" s="1"/>
  <c r="C692" i="9" a="1"/>
  <c r="C692" i="9" s="1"/>
  <c r="C693" i="9" a="1"/>
  <c r="C693" i="9" s="1"/>
  <c r="C694" i="9" a="1"/>
  <c r="C694" i="9" s="1"/>
  <c r="C695" i="9" a="1"/>
  <c r="C695" i="9" s="1"/>
  <c r="C696" i="9" a="1"/>
  <c r="C696" i="9" s="1"/>
  <c r="C697" i="9" a="1"/>
  <c r="C697" i="9" s="1"/>
  <c r="C698" i="9" a="1"/>
  <c r="C698" i="9" s="1"/>
  <c r="C699" i="9" a="1"/>
  <c r="C699" i="9" s="1"/>
  <c r="C700" i="9" a="1"/>
  <c r="C700" i="9" s="1"/>
  <c r="C701" i="9" a="1"/>
  <c r="C701" i="9" s="1"/>
  <c r="C702" i="9" a="1"/>
  <c r="C702" i="9" s="1"/>
  <c r="C703" i="9" a="1"/>
  <c r="C703" i="9" s="1"/>
  <c r="C704" i="9" a="1"/>
  <c r="C704" i="9" s="1"/>
  <c r="C705" i="9" a="1"/>
  <c r="C705" i="9" s="1"/>
  <c r="C706" i="9" a="1"/>
  <c r="C706" i="9" s="1"/>
  <c r="C707" i="9" a="1"/>
  <c r="C707" i="9" s="1"/>
  <c r="C708" i="9" a="1"/>
  <c r="C708" i="9" s="1"/>
  <c r="C709" i="9" a="1"/>
  <c r="C709" i="9" s="1"/>
  <c r="C710" i="9" a="1"/>
  <c r="C710" i="9" s="1"/>
  <c r="C711" i="9" a="1"/>
  <c r="C711" i="9" s="1"/>
  <c r="C712" i="9" a="1"/>
  <c r="C712" i="9" s="1"/>
  <c r="C713" i="9" a="1"/>
  <c r="C713" i="9" s="1"/>
  <c r="C714" i="9" a="1"/>
  <c r="C714" i="9" s="1"/>
  <c r="C715" i="9" a="1"/>
  <c r="C715" i="9" s="1"/>
  <c r="C789" i="9" a="1"/>
  <c r="C789" i="9" s="1"/>
  <c r="C717" i="9" a="1"/>
  <c r="C717" i="9" s="1"/>
  <c r="C718" i="9" a="1"/>
  <c r="C718" i="9" s="1"/>
  <c r="C719" i="9" a="1"/>
  <c r="C719" i="9" s="1"/>
  <c r="C720" i="9" a="1"/>
  <c r="C720" i="9" s="1"/>
  <c r="C721" i="9" a="1"/>
  <c r="C721" i="9" s="1"/>
  <c r="C722" i="9" a="1"/>
  <c r="C722" i="9" s="1"/>
  <c r="C723" i="9" a="1"/>
  <c r="C723" i="9" s="1"/>
  <c r="C724" i="9" a="1"/>
  <c r="C724" i="9" s="1"/>
  <c r="C725" i="9" a="1"/>
  <c r="C725" i="9" s="1"/>
  <c r="C726" i="9" a="1"/>
  <c r="C726" i="9" s="1"/>
  <c r="C727" i="9" a="1"/>
  <c r="C727" i="9" s="1"/>
  <c r="C728" i="9" a="1"/>
  <c r="C728" i="9" s="1"/>
  <c r="C729" i="9" a="1"/>
  <c r="C729" i="9" s="1"/>
  <c r="C730" i="9" a="1"/>
  <c r="C730" i="9" s="1"/>
  <c r="C731" i="9" a="1"/>
  <c r="C731" i="9" s="1"/>
  <c r="C732" i="9" a="1"/>
  <c r="C732" i="9" s="1"/>
  <c r="C733" i="9" a="1"/>
  <c r="C733" i="9" s="1"/>
  <c r="C734" i="9" a="1"/>
  <c r="C734" i="9" s="1"/>
  <c r="C735" i="9" a="1"/>
  <c r="C735" i="9" s="1"/>
  <c r="C736" i="9" a="1"/>
  <c r="C736" i="9" s="1"/>
  <c r="C737" i="9" a="1"/>
  <c r="C737" i="9" s="1"/>
  <c r="C738" i="9" a="1"/>
  <c r="C738" i="9" s="1"/>
  <c r="C739" i="9" a="1"/>
  <c r="C739" i="9" s="1"/>
  <c r="C740" i="9" a="1"/>
  <c r="C740" i="9" s="1"/>
  <c r="C741" i="9" a="1"/>
  <c r="C741" i="9" s="1"/>
  <c r="C742" i="9" a="1"/>
  <c r="C742" i="9" s="1"/>
  <c r="C743" i="9" a="1"/>
  <c r="C743" i="9" s="1"/>
  <c r="C744" i="9" a="1"/>
  <c r="C744" i="9" s="1"/>
  <c r="C745" i="9" a="1"/>
  <c r="C745" i="9" s="1"/>
  <c r="C746" i="9" a="1"/>
  <c r="C746" i="9" s="1"/>
  <c r="C747" i="9" a="1"/>
  <c r="C747" i="9" s="1"/>
  <c r="C748" i="9" a="1"/>
  <c r="C748" i="9" s="1"/>
  <c r="C749" i="9" a="1"/>
  <c r="C749" i="9" s="1"/>
  <c r="C750" i="9" a="1"/>
  <c r="C750" i="9" s="1"/>
  <c r="C751" i="9" a="1"/>
  <c r="C751" i="9" s="1"/>
  <c r="C825" i="9" a="1"/>
  <c r="C825" i="9" s="1"/>
  <c r="C753" i="9" a="1"/>
  <c r="C753" i="9" s="1"/>
  <c r="C754" i="9" a="1"/>
  <c r="C754" i="9" s="1"/>
  <c r="C755" i="9" a="1"/>
  <c r="C755" i="9" s="1"/>
  <c r="C756" i="9" a="1"/>
  <c r="C756" i="9" s="1"/>
  <c r="C757" i="9" a="1"/>
  <c r="C757" i="9" s="1"/>
  <c r="C758" i="9" a="1"/>
  <c r="C758" i="9" s="1"/>
  <c r="C759" i="9" a="1"/>
  <c r="C759" i="9" s="1"/>
  <c r="C760" i="9" a="1"/>
  <c r="C760" i="9" s="1"/>
  <c r="C761" i="9" a="1"/>
  <c r="C761" i="9" s="1"/>
  <c r="C762" i="9" a="1"/>
  <c r="C762" i="9" s="1"/>
  <c r="C763" i="9" a="1"/>
  <c r="C763" i="9" s="1"/>
  <c r="C764" i="9" a="1"/>
  <c r="C764" i="9" s="1"/>
  <c r="C765" i="9" a="1"/>
  <c r="C765" i="9" s="1"/>
  <c r="C766" i="9" a="1"/>
  <c r="C766" i="9" s="1"/>
  <c r="C767" i="9" a="1"/>
  <c r="C767" i="9" s="1"/>
  <c r="C768" i="9" a="1"/>
  <c r="C768" i="9" s="1"/>
  <c r="C769" i="9" a="1"/>
  <c r="C769" i="9" s="1"/>
  <c r="C770" i="9" a="1"/>
  <c r="C770" i="9" s="1"/>
  <c r="C771" i="9" a="1"/>
  <c r="C771" i="9" s="1"/>
  <c r="C772" i="9" a="1"/>
  <c r="C772" i="9" s="1"/>
  <c r="C773" i="9" a="1"/>
  <c r="C773" i="9" s="1"/>
  <c r="C774" i="9" a="1"/>
  <c r="C774" i="9" s="1"/>
  <c r="C775" i="9" a="1"/>
  <c r="C775" i="9" s="1"/>
  <c r="C776" i="9" a="1"/>
  <c r="C776" i="9" s="1"/>
  <c r="C777" i="9" a="1"/>
  <c r="C777" i="9" s="1"/>
  <c r="C778" i="9" a="1"/>
  <c r="C778" i="9" s="1"/>
  <c r="C779" i="9" a="1"/>
  <c r="C779" i="9" s="1"/>
  <c r="C780" i="9" a="1"/>
  <c r="C780" i="9" s="1"/>
  <c r="C781" i="9" a="1"/>
  <c r="C781" i="9" s="1"/>
  <c r="C782" i="9" a="1"/>
  <c r="C782" i="9" s="1"/>
  <c r="C783" i="9" a="1"/>
  <c r="C783" i="9" s="1"/>
  <c r="C784" i="9" a="1"/>
  <c r="C784" i="9" s="1"/>
  <c r="C785" i="9" a="1"/>
  <c r="C785" i="9" s="1"/>
  <c r="C786" i="9" a="1"/>
  <c r="C786" i="9" s="1"/>
  <c r="C787" i="9" a="1"/>
  <c r="C787" i="9" s="1"/>
  <c r="C861" i="9" a="1"/>
  <c r="C861" i="9" s="1"/>
  <c r="C790" i="9" a="1"/>
  <c r="C790" i="9" s="1"/>
  <c r="C791" i="9" a="1"/>
  <c r="C791" i="9" s="1"/>
  <c r="C792" i="9" a="1"/>
  <c r="C792" i="9" s="1"/>
  <c r="C793" i="9" a="1"/>
  <c r="C793" i="9" s="1"/>
  <c r="C794" i="9" a="1"/>
  <c r="C794" i="9" s="1"/>
  <c r="C795" i="9" a="1"/>
  <c r="C795" i="9" s="1"/>
  <c r="C796" i="9" a="1"/>
  <c r="C796" i="9" s="1"/>
  <c r="C797" i="9" a="1"/>
  <c r="C797" i="9" s="1"/>
  <c r="C798" i="9" a="1"/>
  <c r="C798" i="9" s="1"/>
  <c r="C799" i="9" a="1"/>
  <c r="C799" i="9" s="1"/>
  <c r="C800" i="9" a="1"/>
  <c r="C800" i="9" s="1"/>
  <c r="C801" i="9" a="1"/>
  <c r="C801" i="9" s="1"/>
  <c r="C802" i="9" a="1"/>
  <c r="C802" i="9" s="1"/>
  <c r="C803" i="9" a="1"/>
  <c r="C803" i="9" s="1"/>
  <c r="C804" i="9" a="1"/>
  <c r="C804" i="9" s="1"/>
  <c r="C805" i="9" a="1"/>
  <c r="C805" i="9" s="1"/>
  <c r="C806" i="9" a="1"/>
  <c r="C806" i="9" s="1"/>
  <c r="C807" i="9" a="1"/>
  <c r="C807" i="9" s="1"/>
  <c r="C808" i="9" a="1"/>
  <c r="C808" i="9" s="1"/>
  <c r="C809" i="9" a="1"/>
  <c r="C809" i="9" s="1"/>
  <c r="C810" i="9" a="1"/>
  <c r="C810" i="9" s="1"/>
  <c r="C811" i="9" a="1"/>
  <c r="C811" i="9" s="1"/>
  <c r="C812" i="9" a="1"/>
  <c r="C812" i="9" s="1"/>
  <c r="C813" i="9" a="1"/>
  <c r="C813" i="9" s="1"/>
  <c r="C814" i="9" a="1"/>
  <c r="C814" i="9" s="1"/>
  <c r="C815" i="9" a="1"/>
  <c r="C815" i="9" s="1"/>
  <c r="C816" i="9" a="1"/>
  <c r="C816" i="9" s="1"/>
  <c r="C817" i="9" a="1"/>
  <c r="C817" i="9" s="1"/>
  <c r="C818" i="9" a="1"/>
  <c r="C818" i="9" s="1"/>
  <c r="C819" i="9" a="1"/>
  <c r="C819" i="9" s="1"/>
  <c r="C820" i="9" a="1"/>
  <c r="C820" i="9" s="1"/>
  <c r="C821" i="9" a="1"/>
  <c r="C821" i="9" s="1"/>
  <c r="C822" i="9" a="1"/>
  <c r="C822" i="9" s="1"/>
  <c r="C823" i="9" a="1"/>
  <c r="C823" i="9" s="1"/>
  <c r="C824" i="9" a="1"/>
  <c r="C824" i="9" s="1"/>
  <c r="C932" i="9" a="1"/>
  <c r="C932" i="9" s="1"/>
  <c r="C826" i="9" a="1"/>
  <c r="C826" i="9" s="1"/>
  <c r="C827" i="9" a="1"/>
  <c r="C827" i="9" s="1"/>
  <c r="C828" i="9" a="1"/>
  <c r="C828" i="9" s="1"/>
  <c r="C829" i="9" a="1"/>
  <c r="C829" i="9" s="1"/>
  <c r="C830" i="9" a="1"/>
  <c r="C830" i="9" s="1"/>
  <c r="C831" i="9" a="1"/>
  <c r="C831" i="9" s="1"/>
  <c r="C832" i="9" a="1"/>
  <c r="C832" i="9" s="1"/>
  <c r="C833" i="9" a="1"/>
  <c r="C833" i="9" s="1"/>
  <c r="C834" i="9" a="1"/>
  <c r="C834" i="9" s="1"/>
  <c r="C835" i="9" a="1"/>
  <c r="C835" i="9" s="1"/>
  <c r="C836" i="9" a="1"/>
  <c r="C836" i="9" s="1"/>
  <c r="C837" i="9" a="1"/>
  <c r="C837" i="9" s="1"/>
  <c r="C838" i="9" a="1"/>
  <c r="C838" i="9" s="1"/>
  <c r="C839" i="9" a="1"/>
  <c r="C839" i="9" s="1"/>
  <c r="C840" i="9" a="1"/>
  <c r="C840" i="9" s="1"/>
  <c r="C841" i="9" a="1"/>
  <c r="C841" i="9" s="1"/>
  <c r="C842" i="9" a="1"/>
  <c r="C842" i="9" s="1"/>
  <c r="C843" i="9" a="1"/>
  <c r="C843" i="9" s="1"/>
  <c r="C844" i="9" a="1"/>
  <c r="C844" i="9" s="1"/>
  <c r="C845" i="9" a="1"/>
  <c r="C845" i="9" s="1"/>
  <c r="C846" i="9" a="1"/>
  <c r="C846" i="9" s="1"/>
  <c r="C847" i="9" a="1"/>
  <c r="C847" i="9" s="1"/>
  <c r="C848" i="9" a="1"/>
  <c r="C848" i="9" s="1"/>
  <c r="C849" i="9" a="1"/>
  <c r="C849" i="9" s="1"/>
  <c r="C850" i="9" a="1"/>
  <c r="C850" i="9" s="1"/>
  <c r="C851" i="9" a="1"/>
  <c r="C851" i="9" s="1"/>
  <c r="C852" i="9" a="1"/>
  <c r="C852" i="9" s="1"/>
  <c r="C853" i="9" a="1"/>
  <c r="C853" i="9" s="1"/>
  <c r="C854" i="9" a="1"/>
  <c r="C854" i="9" s="1"/>
  <c r="C855" i="9" a="1"/>
  <c r="C855" i="9" s="1"/>
  <c r="C856" i="9" a="1"/>
  <c r="C856" i="9" s="1"/>
  <c r="C857" i="9" a="1"/>
  <c r="C857" i="9" s="1"/>
  <c r="C858" i="9" a="1"/>
  <c r="C858" i="9" s="1"/>
  <c r="C859" i="9" a="1"/>
  <c r="C859" i="9" s="1"/>
  <c r="C860" i="9" a="1"/>
  <c r="C860" i="9" s="1"/>
  <c r="C968" i="9" a="1"/>
  <c r="C968" i="9" s="1"/>
  <c r="C862" i="9" a="1"/>
  <c r="C862" i="9" s="1"/>
  <c r="C863" i="9" a="1"/>
  <c r="C863" i="9" s="1"/>
  <c r="C864" i="9" a="1"/>
  <c r="C864" i="9" s="1"/>
  <c r="C865" i="9" a="1"/>
  <c r="C865" i="9" s="1"/>
  <c r="C866" i="9" a="1"/>
  <c r="C866" i="9" s="1"/>
  <c r="C867" i="9" a="1"/>
  <c r="C867" i="9" s="1"/>
  <c r="C868" i="9" a="1"/>
  <c r="C868" i="9" s="1"/>
  <c r="C869" i="9" a="1"/>
  <c r="C869" i="9" s="1"/>
  <c r="C870" i="9" a="1"/>
  <c r="C870" i="9" s="1"/>
  <c r="C871" i="9" a="1"/>
  <c r="C871" i="9" s="1"/>
  <c r="C872" i="9" a="1"/>
  <c r="C872" i="9" s="1"/>
  <c r="C873" i="9" a="1"/>
  <c r="C873" i="9" s="1"/>
  <c r="C874" i="9" a="1"/>
  <c r="C874" i="9" s="1"/>
  <c r="C875" i="9" a="1"/>
  <c r="C875" i="9" s="1"/>
  <c r="C876" i="9" a="1"/>
  <c r="C876" i="9" s="1"/>
  <c r="C877" i="9" a="1"/>
  <c r="C877" i="9" s="1"/>
  <c r="C878" i="9" a="1"/>
  <c r="C878" i="9" s="1"/>
  <c r="C879" i="9" a="1"/>
  <c r="C879" i="9" s="1"/>
  <c r="C880" i="9" a="1"/>
  <c r="C880" i="9" s="1"/>
  <c r="C881" i="9" a="1"/>
  <c r="C881" i="9" s="1"/>
  <c r="C882" i="9" a="1"/>
  <c r="C882" i="9" s="1"/>
  <c r="C883" i="9" a="1"/>
  <c r="C883" i="9" s="1"/>
  <c r="C884" i="9" a="1"/>
  <c r="C884" i="9" s="1"/>
  <c r="C885" i="9" a="1"/>
  <c r="C885" i="9" s="1"/>
  <c r="C886" i="9" a="1"/>
  <c r="C886" i="9" s="1"/>
  <c r="C887" i="9" a="1"/>
  <c r="C887" i="9" s="1"/>
  <c r="C888" i="9" a="1"/>
  <c r="C888" i="9" s="1"/>
  <c r="C889" i="9" a="1"/>
  <c r="C889" i="9" s="1"/>
  <c r="C890" i="9" a="1"/>
  <c r="C890" i="9" s="1"/>
  <c r="C891" i="9" a="1"/>
  <c r="C891" i="9" s="1"/>
  <c r="C892" i="9" a="1"/>
  <c r="C892" i="9" s="1"/>
  <c r="C893" i="9" a="1"/>
  <c r="C893" i="9" s="1"/>
  <c r="C894" i="9" a="1"/>
  <c r="C894" i="9" s="1"/>
  <c r="C895" i="9" a="1"/>
  <c r="C895" i="9" s="1"/>
  <c r="C896" i="9" a="1"/>
  <c r="C896" i="9" s="1"/>
  <c r="C1004" i="9" a="1"/>
  <c r="C1004" i="9" s="1"/>
  <c r="C897" i="9" a="1"/>
  <c r="C897" i="9" s="1"/>
  <c r="C898" i="9" a="1"/>
  <c r="C898" i="9" s="1"/>
  <c r="C899" i="9" a="1"/>
  <c r="C899" i="9" s="1"/>
  <c r="C900" i="9" a="1"/>
  <c r="C900" i="9" s="1"/>
  <c r="C901" i="9" a="1"/>
  <c r="C901" i="9" s="1"/>
  <c r="C902" i="9" a="1"/>
  <c r="C902" i="9" s="1"/>
  <c r="C903" i="9" a="1"/>
  <c r="C903" i="9" s="1"/>
  <c r="C904" i="9" a="1"/>
  <c r="C904" i="9" s="1"/>
  <c r="C905" i="9" a="1"/>
  <c r="C905" i="9" s="1"/>
  <c r="C906" i="9" a="1"/>
  <c r="C906" i="9" s="1"/>
  <c r="C907" i="9" a="1"/>
  <c r="C907" i="9" s="1"/>
  <c r="C908" i="9" a="1"/>
  <c r="C908" i="9" s="1"/>
  <c r="C909" i="9" a="1"/>
  <c r="C909" i="9" s="1"/>
  <c r="C910" i="9" a="1"/>
  <c r="C910" i="9" s="1"/>
  <c r="C911" i="9" a="1"/>
  <c r="C911" i="9" s="1"/>
  <c r="C912" i="9" a="1"/>
  <c r="C912" i="9" s="1"/>
  <c r="C913" i="9" a="1"/>
  <c r="C913" i="9" s="1"/>
  <c r="C914" i="9" a="1"/>
  <c r="C914" i="9" s="1"/>
  <c r="C915" i="9" a="1"/>
  <c r="C915" i="9" s="1"/>
  <c r="C916" i="9" a="1"/>
  <c r="C916" i="9" s="1"/>
  <c r="C917" i="9" a="1"/>
  <c r="C917" i="9" s="1"/>
  <c r="C918" i="9" a="1"/>
  <c r="C918" i="9" s="1"/>
  <c r="C919" i="9" a="1"/>
  <c r="C919" i="9" s="1"/>
  <c r="C920" i="9" a="1"/>
  <c r="C920" i="9" s="1"/>
  <c r="C921" i="9" a="1"/>
  <c r="C921" i="9" s="1"/>
  <c r="C922" i="9" a="1"/>
  <c r="C922" i="9" s="1"/>
  <c r="C923" i="9" a="1"/>
  <c r="C923" i="9" s="1"/>
  <c r="C924" i="9" a="1"/>
  <c r="C924" i="9" s="1"/>
  <c r="C925" i="9" a="1"/>
  <c r="C925" i="9" s="1"/>
  <c r="C926" i="9" a="1"/>
  <c r="C926" i="9" s="1"/>
  <c r="C927" i="9" a="1"/>
  <c r="C927" i="9" s="1"/>
  <c r="C928" i="9" a="1"/>
  <c r="C928" i="9" s="1"/>
  <c r="C929" i="9" a="1"/>
  <c r="C929" i="9" s="1"/>
  <c r="C930" i="9" a="1"/>
  <c r="C930" i="9" s="1"/>
  <c r="C931" i="9" a="1"/>
  <c r="C931" i="9" s="1"/>
  <c r="C1040" i="9" a="1"/>
  <c r="C1040" i="9" s="1"/>
  <c r="C933" i="9" a="1"/>
  <c r="C933" i="9" s="1"/>
  <c r="C934" i="9" a="1"/>
  <c r="C934" i="9" s="1"/>
  <c r="C935" i="9" a="1"/>
  <c r="C935" i="9" s="1"/>
  <c r="C936" i="9" a="1"/>
  <c r="C936" i="9" s="1"/>
  <c r="C937" i="9" a="1"/>
  <c r="C937" i="9" s="1"/>
  <c r="C938" i="9" a="1"/>
  <c r="C938" i="9" s="1"/>
  <c r="C939" i="9" a="1"/>
  <c r="C939" i="9" s="1"/>
  <c r="C940" i="9" a="1"/>
  <c r="C940" i="9" s="1"/>
  <c r="C941" i="9" a="1"/>
  <c r="C941" i="9" s="1"/>
  <c r="C942" i="9" a="1"/>
  <c r="C942" i="9" s="1"/>
  <c r="C943" i="9" a="1"/>
  <c r="C943" i="9" s="1"/>
  <c r="C944" i="9" a="1"/>
  <c r="C944" i="9" s="1"/>
  <c r="C945" i="9" a="1"/>
  <c r="C945" i="9" s="1"/>
  <c r="C946" i="9" a="1"/>
  <c r="C946" i="9" s="1"/>
  <c r="C947" i="9" a="1"/>
  <c r="C947" i="9" s="1"/>
  <c r="C948" i="9" a="1"/>
  <c r="C948" i="9" s="1"/>
  <c r="C949" i="9" a="1"/>
  <c r="C949" i="9" s="1"/>
  <c r="C950" i="9" a="1"/>
  <c r="C950" i="9" s="1"/>
  <c r="C951" i="9" a="1"/>
  <c r="C951" i="9" s="1"/>
  <c r="C952" i="9" a="1"/>
  <c r="C952" i="9" s="1"/>
  <c r="C953" i="9" a="1"/>
  <c r="C953" i="9" s="1"/>
  <c r="C954" i="9" a="1"/>
  <c r="C954" i="9" s="1"/>
  <c r="C955" i="9" a="1"/>
  <c r="C955" i="9" s="1"/>
  <c r="C956" i="9" a="1"/>
  <c r="C956" i="9" s="1"/>
  <c r="C957" i="9" a="1"/>
  <c r="C957" i="9" s="1"/>
  <c r="C958" i="9" a="1"/>
  <c r="C958" i="9" s="1"/>
  <c r="C959" i="9" a="1"/>
  <c r="C959" i="9" s="1"/>
  <c r="C960" i="9" a="1"/>
  <c r="C960" i="9" s="1"/>
  <c r="C961" i="9" a="1"/>
  <c r="C961" i="9" s="1"/>
  <c r="C962" i="9" a="1"/>
  <c r="C962" i="9" s="1"/>
  <c r="C963" i="9" a="1"/>
  <c r="C963" i="9" s="1"/>
  <c r="C964" i="9" a="1"/>
  <c r="C964" i="9" s="1"/>
  <c r="C965" i="9" a="1"/>
  <c r="C965" i="9" s="1"/>
  <c r="C966" i="9" a="1"/>
  <c r="C966" i="9" s="1"/>
  <c r="C967" i="9" a="1"/>
  <c r="C967" i="9" s="1"/>
  <c r="C1076" i="9" a="1"/>
  <c r="C1076" i="9" s="1"/>
  <c r="C969" i="9" a="1"/>
  <c r="C969" i="9" s="1"/>
  <c r="C970" i="9" a="1"/>
  <c r="C970" i="9" s="1"/>
  <c r="C971" i="9" a="1"/>
  <c r="C971" i="9" s="1"/>
  <c r="C972" i="9" a="1"/>
  <c r="C972" i="9" s="1"/>
  <c r="C973" i="9" a="1"/>
  <c r="C973" i="9" s="1"/>
  <c r="C974" i="9" a="1"/>
  <c r="C974" i="9" s="1"/>
  <c r="C975" i="9" a="1"/>
  <c r="C975" i="9" s="1"/>
  <c r="C976" i="9" a="1"/>
  <c r="C976" i="9" s="1"/>
  <c r="C977" i="9" a="1"/>
  <c r="C977" i="9" s="1"/>
  <c r="C978" i="9" a="1"/>
  <c r="C978" i="9" s="1"/>
  <c r="C979" i="9" a="1"/>
  <c r="C979" i="9" s="1"/>
  <c r="C980" i="9" a="1"/>
  <c r="C980" i="9" s="1"/>
  <c r="C981" i="9" a="1"/>
  <c r="C981" i="9" s="1"/>
  <c r="C982" i="9" a="1"/>
  <c r="C982" i="9" s="1"/>
  <c r="C983" i="9" a="1"/>
  <c r="C983" i="9" s="1"/>
  <c r="C984" i="9" a="1"/>
  <c r="C984" i="9" s="1"/>
  <c r="C985" i="9" a="1"/>
  <c r="C985" i="9" s="1"/>
  <c r="C986" i="9" a="1"/>
  <c r="C986" i="9" s="1"/>
  <c r="C987" i="9" a="1"/>
  <c r="C987" i="9" s="1"/>
  <c r="C988" i="9" a="1"/>
  <c r="C988" i="9" s="1"/>
  <c r="C989" i="9" a="1"/>
  <c r="C989" i="9" s="1"/>
  <c r="C990" i="9" a="1"/>
  <c r="C990" i="9" s="1"/>
  <c r="C991" i="9" a="1"/>
  <c r="C991" i="9" s="1"/>
  <c r="C992" i="9" a="1"/>
  <c r="C992" i="9" s="1"/>
  <c r="C993" i="9" a="1"/>
  <c r="C993" i="9" s="1"/>
  <c r="C994" i="9" a="1"/>
  <c r="C994" i="9" s="1"/>
  <c r="C995" i="9" a="1"/>
  <c r="C995" i="9" s="1"/>
  <c r="C996" i="9" a="1"/>
  <c r="C996" i="9" s="1"/>
  <c r="C997" i="9" a="1"/>
  <c r="C997" i="9" s="1"/>
  <c r="C998" i="9" a="1"/>
  <c r="C998" i="9" s="1"/>
  <c r="C999" i="9" a="1"/>
  <c r="C999" i="9" s="1"/>
  <c r="C1000" i="9" a="1"/>
  <c r="C1000" i="9" s="1"/>
  <c r="C1001" i="9" a="1"/>
  <c r="C1001" i="9" s="1"/>
  <c r="C1002" i="9" a="1"/>
  <c r="C1002" i="9" s="1"/>
  <c r="C1003" i="9" a="1"/>
  <c r="C1003" i="9" s="1"/>
  <c r="C1112" i="9" a="1"/>
  <c r="C1112" i="9" s="1"/>
  <c r="C1005" i="9" a="1"/>
  <c r="C1005" i="9" s="1"/>
  <c r="C1006" i="9" a="1"/>
  <c r="C1006" i="9" s="1"/>
  <c r="C1007" i="9" a="1"/>
  <c r="C1007" i="9" s="1"/>
  <c r="C1008" i="9" a="1"/>
  <c r="C1008" i="9" s="1"/>
  <c r="C1009" i="9" a="1"/>
  <c r="C1009" i="9" s="1"/>
  <c r="C1010" i="9" a="1"/>
  <c r="C1010" i="9" s="1"/>
  <c r="C1011" i="9" a="1"/>
  <c r="C1011" i="9" s="1"/>
  <c r="C1012" i="9" a="1"/>
  <c r="C1012" i="9" s="1"/>
  <c r="C1013" i="9" a="1"/>
  <c r="C1013" i="9" s="1"/>
  <c r="C1014" i="9" a="1"/>
  <c r="C1014" i="9" s="1"/>
  <c r="C1015" i="9" a="1"/>
  <c r="C1015" i="9" s="1"/>
  <c r="C1016" i="9" a="1"/>
  <c r="C1016" i="9" s="1"/>
  <c r="C1017" i="9" a="1"/>
  <c r="C1017" i="9" s="1"/>
  <c r="C1018" i="9" a="1"/>
  <c r="C1018" i="9" s="1"/>
  <c r="C1019" i="9" a="1"/>
  <c r="C1019" i="9" s="1"/>
  <c r="C1020" i="9" a="1"/>
  <c r="C1020" i="9" s="1"/>
  <c r="C1021" i="9" a="1"/>
  <c r="C1021" i="9" s="1"/>
  <c r="C1022" i="9" a="1"/>
  <c r="C1022" i="9" s="1"/>
  <c r="C1023" i="9" a="1"/>
  <c r="C1023" i="9" s="1"/>
  <c r="C1024" i="9" a="1"/>
  <c r="C1024" i="9" s="1"/>
  <c r="C1025" i="9" a="1"/>
  <c r="C1025" i="9" s="1"/>
  <c r="C1026" i="9" a="1"/>
  <c r="C1026" i="9" s="1"/>
  <c r="C1027" i="9" a="1"/>
  <c r="C1027" i="9" s="1"/>
  <c r="C1028" i="9" a="1"/>
  <c r="C1028" i="9" s="1"/>
  <c r="C1029" i="9" a="1"/>
  <c r="C1029" i="9" s="1"/>
  <c r="C1030" i="9" a="1"/>
  <c r="C1030" i="9" s="1"/>
  <c r="C1031" i="9" a="1"/>
  <c r="C1031" i="9" s="1"/>
  <c r="C1032" i="9" a="1"/>
  <c r="C1032" i="9" s="1"/>
  <c r="C1033" i="9" a="1"/>
  <c r="C1033" i="9" s="1"/>
  <c r="C1034" i="9" a="1"/>
  <c r="C1034" i="9" s="1"/>
  <c r="C1035" i="9" a="1"/>
  <c r="C1035" i="9" s="1"/>
  <c r="C1036" i="9" a="1"/>
  <c r="C1036" i="9" s="1"/>
  <c r="C1037" i="9" a="1"/>
  <c r="C1037" i="9" s="1"/>
  <c r="C1038" i="9" a="1"/>
  <c r="C1038" i="9" s="1"/>
  <c r="C1039" i="9" a="1"/>
  <c r="C1039" i="9" s="1"/>
  <c r="C1148" i="9" a="1"/>
  <c r="C1148" i="9" s="1"/>
  <c r="C1041" i="9" a="1"/>
  <c r="C1041" i="9" s="1"/>
  <c r="C1042" i="9" a="1"/>
  <c r="C1042" i="9" s="1"/>
  <c r="C1043" i="9" a="1"/>
  <c r="C1043" i="9" s="1"/>
  <c r="C1044" i="9" a="1"/>
  <c r="C1044" i="9" s="1"/>
  <c r="C1045" i="9" a="1"/>
  <c r="C1045" i="9" s="1"/>
  <c r="C1046" i="9" a="1"/>
  <c r="C1046" i="9" s="1"/>
  <c r="C1047" i="9" a="1"/>
  <c r="C1047" i="9" s="1"/>
  <c r="C1048" i="9" a="1"/>
  <c r="C1048" i="9" s="1"/>
  <c r="C1049" i="9" a="1"/>
  <c r="C1049" i="9" s="1"/>
  <c r="C1050" i="9" a="1"/>
  <c r="C1050" i="9" s="1"/>
  <c r="C1051" i="9" a="1"/>
  <c r="C1051" i="9" s="1"/>
  <c r="C1052" i="9" a="1"/>
  <c r="C1052" i="9" s="1"/>
  <c r="C1053" i="9" a="1"/>
  <c r="C1053" i="9" s="1"/>
  <c r="C1054" i="9" a="1"/>
  <c r="C1054" i="9" s="1"/>
  <c r="C1055" i="9" a="1"/>
  <c r="C1055" i="9" s="1"/>
  <c r="C1056" i="9" a="1"/>
  <c r="C1056" i="9" s="1"/>
  <c r="C1057" i="9" a="1"/>
  <c r="C1057" i="9" s="1"/>
  <c r="C1058" i="9" a="1"/>
  <c r="C1058" i="9" s="1"/>
  <c r="C1059" i="9" a="1"/>
  <c r="C1059" i="9" s="1"/>
  <c r="C1060" i="9" a="1"/>
  <c r="C1060" i="9" s="1"/>
  <c r="C1061" i="9" a="1"/>
  <c r="C1061" i="9" s="1"/>
  <c r="C1062" i="9" a="1"/>
  <c r="C1062" i="9" s="1"/>
  <c r="C1063" i="9" a="1"/>
  <c r="C1063" i="9" s="1"/>
  <c r="C1064" i="9" a="1"/>
  <c r="C1064" i="9" s="1"/>
  <c r="C1065" i="9" a="1"/>
  <c r="C1065" i="9" s="1"/>
  <c r="C1066" i="9" a="1"/>
  <c r="C1066" i="9" s="1"/>
  <c r="C1067" i="9" a="1"/>
  <c r="C1067" i="9" s="1"/>
  <c r="C1068" i="9" a="1"/>
  <c r="C1068" i="9" s="1"/>
  <c r="C1069" i="9" a="1"/>
  <c r="C1069" i="9" s="1"/>
  <c r="C1070" i="9" a="1"/>
  <c r="C1070" i="9" s="1"/>
  <c r="C1071" i="9" a="1"/>
  <c r="C1071" i="9" s="1"/>
  <c r="C1072" i="9" a="1"/>
  <c r="C1072" i="9" s="1"/>
  <c r="C1073" i="9" a="1"/>
  <c r="C1073" i="9" s="1"/>
  <c r="C1074" i="9" a="1"/>
  <c r="C1074" i="9" s="1"/>
  <c r="C1075" i="9" a="1"/>
  <c r="C1075" i="9" s="1"/>
  <c r="C1184" i="9" a="1"/>
  <c r="C1184" i="9" s="1"/>
  <c r="C1077" i="9" a="1"/>
  <c r="C1077" i="9" s="1"/>
  <c r="C1078" i="9" a="1"/>
  <c r="C1078" i="9" s="1"/>
  <c r="C1079" i="9" a="1"/>
  <c r="C1079" i="9" s="1"/>
  <c r="C1080" i="9" a="1"/>
  <c r="C1080" i="9" s="1"/>
  <c r="C1081" i="9" a="1"/>
  <c r="C1081" i="9" s="1"/>
  <c r="C1082" i="9" a="1"/>
  <c r="C1082" i="9" s="1"/>
  <c r="C1083" i="9" a="1"/>
  <c r="C1083" i="9" s="1"/>
  <c r="C1084" i="9" a="1"/>
  <c r="C1084" i="9" s="1"/>
  <c r="C1085" i="9" a="1"/>
  <c r="C1085" i="9" s="1"/>
  <c r="C1086" i="9" a="1"/>
  <c r="C1086" i="9" s="1"/>
  <c r="C1087" i="9" a="1"/>
  <c r="C1087" i="9" s="1"/>
  <c r="C1088" i="9" a="1"/>
  <c r="C1088" i="9" s="1"/>
  <c r="C1089" i="9" a="1"/>
  <c r="C1089" i="9" s="1"/>
  <c r="C1090" i="9" a="1"/>
  <c r="C1090" i="9" s="1"/>
  <c r="C1091" i="9" a="1"/>
  <c r="C1091" i="9" s="1"/>
  <c r="C1092" i="9" a="1"/>
  <c r="C1092" i="9" s="1"/>
  <c r="C1093" i="9" a="1"/>
  <c r="C1093" i="9" s="1"/>
  <c r="C1094" i="9" a="1"/>
  <c r="C1094" i="9" s="1"/>
  <c r="C1095" i="9" a="1"/>
  <c r="C1095" i="9" s="1"/>
  <c r="C1096" i="9" a="1"/>
  <c r="C1096" i="9" s="1"/>
  <c r="C1097" i="9" a="1"/>
  <c r="C1097" i="9" s="1"/>
  <c r="C1098" i="9" a="1"/>
  <c r="C1098" i="9" s="1"/>
  <c r="C1099" i="9" a="1"/>
  <c r="C1099" i="9" s="1"/>
  <c r="C1100" i="9" a="1"/>
  <c r="C1100" i="9" s="1"/>
  <c r="C1101" i="9" a="1"/>
  <c r="C1101" i="9" s="1"/>
  <c r="C1102" i="9" a="1"/>
  <c r="C1102" i="9" s="1"/>
  <c r="C1103" i="9" a="1"/>
  <c r="C1103" i="9" s="1"/>
  <c r="C1104" i="9" a="1"/>
  <c r="C1104" i="9" s="1"/>
  <c r="C1105" i="9" a="1"/>
  <c r="C1105" i="9" s="1"/>
  <c r="C1106" i="9" a="1"/>
  <c r="C1106" i="9" s="1"/>
  <c r="C1107" i="9" a="1"/>
  <c r="C1107" i="9" s="1"/>
  <c r="C1108" i="9" a="1"/>
  <c r="C1108" i="9" s="1"/>
  <c r="C1109" i="9" a="1"/>
  <c r="C1109" i="9" s="1"/>
  <c r="C1110" i="9" a="1"/>
  <c r="C1110" i="9" s="1"/>
  <c r="C1111" i="9" a="1"/>
  <c r="C1111" i="9" s="1"/>
  <c r="C1220" i="9" a="1"/>
  <c r="C1220" i="9" s="1"/>
  <c r="C1113" i="9" a="1"/>
  <c r="C1113" i="9" s="1"/>
  <c r="C1114" i="9" a="1"/>
  <c r="C1114" i="9" s="1"/>
  <c r="C1115" i="9" a="1"/>
  <c r="C1115" i="9" s="1"/>
  <c r="C1116" i="9" a="1"/>
  <c r="C1116" i="9" s="1"/>
  <c r="C1117" i="9" a="1"/>
  <c r="C1117" i="9" s="1"/>
  <c r="C1118" i="9" a="1"/>
  <c r="C1118" i="9" s="1"/>
  <c r="C1119" i="9" a="1"/>
  <c r="C1119" i="9" s="1"/>
  <c r="C1120" i="9" a="1"/>
  <c r="C1120" i="9" s="1"/>
  <c r="C1121" i="9" a="1"/>
  <c r="C1121" i="9" s="1"/>
  <c r="C1122" i="9" a="1"/>
  <c r="C1122" i="9" s="1"/>
  <c r="C1123" i="9" a="1"/>
  <c r="C1123" i="9" s="1"/>
  <c r="C1124" i="9" a="1"/>
  <c r="C1124" i="9" s="1"/>
  <c r="C1125" i="9" a="1"/>
  <c r="C1125" i="9" s="1"/>
  <c r="C1126" i="9" a="1"/>
  <c r="C1126" i="9" s="1"/>
  <c r="C1127" i="9" a="1"/>
  <c r="C1127" i="9" s="1"/>
  <c r="C1128" i="9" a="1"/>
  <c r="C1128" i="9" s="1"/>
  <c r="C1129" i="9" a="1"/>
  <c r="C1129" i="9" s="1"/>
  <c r="C1130" i="9" a="1"/>
  <c r="C1130" i="9" s="1"/>
  <c r="C1131" i="9" a="1"/>
  <c r="C1131" i="9" s="1"/>
  <c r="C1132" i="9" a="1"/>
  <c r="C1132" i="9" s="1"/>
  <c r="C1133" i="9" a="1"/>
  <c r="C1133" i="9" s="1"/>
  <c r="C1134" i="9" a="1"/>
  <c r="C1134" i="9" s="1"/>
  <c r="C1135" i="9" a="1"/>
  <c r="C1135" i="9" s="1"/>
  <c r="C1136" i="9" a="1"/>
  <c r="C1136" i="9" s="1"/>
  <c r="C1137" i="9" a="1"/>
  <c r="C1137" i="9" s="1"/>
  <c r="C1138" i="9" a="1"/>
  <c r="C1138" i="9" s="1"/>
  <c r="C1139" i="9" a="1"/>
  <c r="C1139" i="9" s="1"/>
  <c r="C1140" i="9" a="1"/>
  <c r="C1140" i="9" s="1"/>
  <c r="C1141" i="9" a="1"/>
  <c r="C1141" i="9" s="1"/>
  <c r="C1142" i="9" a="1"/>
  <c r="C1142" i="9" s="1"/>
  <c r="C1143" i="9" a="1"/>
  <c r="C1143" i="9" s="1"/>
  <c r="C1144" i="9" a="1"/>
  <c r="C1144" i="9" s="1"/>
  <c r="C1145" i="9" a="1"/>
  <c r="C1145" i="9" s="1"/>
  <c r="C1146" i="9" a="1"/>
  <c r="C1146" i="9" s="1"/>
  <c r="C1147" i="9" a="1"/>
  <c r="C1147" i="9" s="1"/>
  <c r="C1256" i="9" a="1"/>
  <c r="C1256" i="9" s="1"/>
  <c r="C1149" i="9" a="1"/>
  <c r="C1149" i="9" s="1"/>
  <c r="C1150" i="9" a="1"/>
  <c r="C1150" i="9" s="1"/>
  <c r="C1151" i="9" a="1"/>
  <c r="C1151" i="9" s="1"/>
  <c r="C1152" i="9" a="1"/>
  <c r="C1152" i="9" s="1"/>
  <c r="C1153" i="9" a="1"/>
  <c r="C1153" i="9" s="1"/>
  <c r="C1154" i="9" a="1"/>
  <c r="C1154" i="9" s="1"/>
  <c r="C1155" i="9" a="1"/>
  <c r="C1155" i="9" s="1"/>
  <c r="C1156" i="9" a="1"/>
  <c r="C1156" i="9" s="1"/>
  <c r="C1157" i="9" a="1"/>
  <c r="C1157" i="9" s="1"/>
  <c r="C1158" i="9" a="1"/>
  <c r="C1158" i="9" s="1"/>
  <c r="C1159" i="9" a="1"/>
  <c r="C1159" i="9" s="1"/>
  <c r="C1160" i="9" a="1"/>
  <c r="C1160" i="9" s="1"/>
  <c r="C1161" i="9" a="1"/>
  <c r="C1161" i="9" s="1"/>
  <c r="C1162" i="9" a="1"/>
  <c r="C1162" i="9" s="1"/>
  <c r="C1163" i="9" a="1"/>
  <c r="C1163" i="9" s="1"/>
  <c r="C1164" i="9" a="1"/>
  <c r="C1164" i="9" s="1"/>
  <c r="C1165" i="9" a="1"/>
  <c r="C1165" i="9" s="1"/>
  <c r="C1166" i="9" a="1"/>
  <c r="C1166" i="9" s="1"/>
  <c r="C1167" i="9" a="1"/>
  <c r="C1167" i="9" s="1"/>
  <c r="C1168" i="9" a="1"/>
  <c r="C1168" i="9" s="1"/>
  <c r="C1169" i="9" a="1"/>
  <c r="C1169" i="9" s="1"/>
  <c r="C1170" i="9" a="1"/>
  <c r="C1170" i="9" s="1"/>
  <c r="C1171" i="9" a="1"/>
  <c r="C1171" i="9" s="1"/>
  <c r="C1172" i="9" a="1"/>
  <c r="C1172" i="9" s="1"/>
  <c r="C1173" i="9" a="1"/>
  <c r="C1173" i="9" s="1"/>
  <c r="C1174" i="9" a="1"/>
  <c r="C1174" i="9" s="1"/>
  <c r="C1175" i="9" a="1"/>
  <c r="C1175" i="9" s="1"/>
  <c r="C1176" i="9" a="1"/>
  <c r="C1176" i="9" s="1"/>
  <c r="C1177" i="9" a="1"/>
  <c r="C1177" i="9" s="1"/>
  <c r="C1178" i="9" a="1"/>
  <c r="C1178" i="9" s="1"/>
  <c r="C1179" i="9" a="1"/>
  <c r="C1179" i="9" s="1"/>
  <c r="C1180" i="9" a="1"/>
  <c r="C1180" i="9" s="1"/>
  <c r="C1181" i="9" a="1"/>
  <c r="C1181" i="9" s="1"/>
  <c r="C1182" i="9" a="1"/>
  <c r="C1182" i="9" s="1"/>
  <c r="C1183" i="9" a="1"/>
  <c r="C1183" i="9" s="1"/>
  <c r="C1292" i="9" a="1"/>
  <c r="C1292" i="9" s="1"/>
  <c r="C1185" i="9" a="1"/>
  <c r="C1185" i="9" s="1"/>
  <c r="C1186" i="9" a="1"/>
  <c r="C1186" i="9" s="1"/>
  <c r="C1187" i="9" a="1"/>
  <c r="C1187" i="9" s="1"/>
  <c r="C1188" i="9" a="1"/>
  <c r="C1188" i="9" s="1"/>
  <c r="C1189" i="9" a="1"/>
  <c r="C1189" i="9" s="1"/>
  <c r="C1190" i="9" a="1"/>
  <c r="C1190" i="9" s="1"/>
  <c r="C1191" i="9" a="1"/>
  <c r="C1191" i="9" s="1"/>
  <c r="C1192" i="9" a="1"/>
  <c r="C1192" i="9" s="1"/>
  <c r="C1193" i="9" a="1"/>
  <c r="C1193" i="9" s="1"/>
  <c r="C1194" i="9" a="1"/>
  <c r="C1194" i="9" s="1"/>
  <c r="C1195" i="9" a="1"/>
  <c r="C1195" i="9" s="1"/>
  <c r="C1196" i="9" a="1"/>
  <c r="C1196" i="9" s="1"/>
  <c r="C1197" i="9" a="1"/>
  <c r="C1197" i="9" s="1"/>
  <c r="C1198" i="9" a="1"/>
  <c r="C1198" i="9" s="1"/>
  <c r="C1199" i="9" a="1"/>
  <c r="C1199" i="9" s="1"/>
  <c r="C1200" i="9" a="1"/>
  <c r="C1200" i="9" s="1"/>
  <c r="C1201" i="9" a="1"/>
  <c r="C1201" i="9" s="1"/>
  <c r="C1202" i="9" a="1"/>
  <c r="C1202" i="9" s="1"/>
  <c r="C1203" i="9" a="1"/>
  <c r="C1203" i="9" s="1"/>
  <c r="C1204" i="9" a="1"/>
  <c r="C1204" i="9" s="1"/>
  <c r="C1205" i="9" a="1"/>
  <c r="C1205" i="9" s="1"/>
  <c r="C1206" i="9" a="1"/>
  <c r="C1206" i="9" s="1"/>
  <c r="C1207" i="9" a="1"/>
  <c r="C1207" i="9" s="1"/>
  <c r="C1208" i="9" a="1"/>
  <c r="C1208" i="9" s="1"/>
  <c r="C1209" i="9" a="1"/>
  <c r="C1209" i="9" s="1"/>
  <c r="C1210" i="9" a="1"/>
  <c r="C1210" i="9" s="1"/>
  <c r="C1211" i="9" a="1"/>
  <c r="C1211" i="9" s="1"/>
  <c r="C1212" i="9" a="1"/>
  <c r="C1212" i="9" s="1"/>
  <c r="C1213" i="9" a="1"/>
  <c r="C1213" i="9" s="1"/>
  <c r="C1214" i="9" a="1"/>
  <c r="C1214" i="9" s="1"/>
  <c r="C1215" i="9" a="1"/>
  <c r="C1215" i="9" s="1"/>
  <c r="C1216" i="9" a="1"/>
  <c r="C1216" i="9" s="1"/>
  <c r="C1217" i="9" a="1"/>
  <c r="C1217" i="9" s="1"/>
  <c r="C1218" i="9" a="1"/>
  <c r="C1218" i="9" s="1"/>
  <c r="C1219" i="9" a="1"/>
  <c r="C1219" i="9" s="1"/>
  <c r="C1328" i="9" a="1"/>
  <c r="C1328" i="9" s="1"/>
  <c r="C1221" i="9" a="1"/>
  <c r="C1221" i="9" s="1"/>
  <c r="C1222" i="9" a="1"/>
  <c r="C1222" i="9" s="1"/>
  <c r="C1223" i="9" a="1"/>
  <c r="C1223" i="9" s="1"/>
  <c r="C1224" i="9" a="1"/>
  <c r="C1224" i="9" s="1"/>
  <c r="C1225" i="9" a="1"/>
  <c r="C1225" i="9" s="1"/>
  <c r="C1226" i="9" a="1"/>
  <c r="C1226" i="9" s="1"/>
  <c r="C1227" i="9" a="1"/>
  <c r="C1227" i="9" s="1"/>
  <c r="C1228" i="9" a="1"/>
  <c r="C1228" i="9" s="1"/>
  <c r="C1229" i="9" a="1"/>
  <c r="C1229" i="9" s="1"/>
  <c r="C1230" i="9" a="1"/>
  <c r="C1230" i="9" s="1"/>
  <c r="C1231" i="9" a="1"/>
  <c r="C1231" i="9" s="1"/>
  <c r="C1232" i="9" a="1"/>
  <c r="C1232" i="9" s="1"/>
  <c r="C1233" i="9" a="1"/>
  <c r="C1233" i="9" s="1"/>
  <c r="C1234" i="9" a="1"/>
  <c r="C1234" i="9" s="1"/>
  <c r="C1235" i="9" a="1"/>
  <c r="C1235" i="9" s="1"/>
  <c r="C1236" i="9" a="1"/>
  <c r="C1236" i="9" s="1"/>
  <c r="C1237" i="9" a="1"/>
  <c r="C1237" i="9" s="1"/>
  <c r="C1238" i="9" a="1"/>
  <c r="C1238" i="9" s="1"/>
  <c r="C1239" i="9" a="1"/>
  <c r="C1239" i="9" s="1"/>
  <c r="C1240" i="9" a="1"/>
  <c r="C1240" i="9" s="1"/>
  <c r="C1241" i="9" a="1"/>
  <c r="C1241" i="9" s="1"/>
  <c r="C1242" i="9" a="1"/>
  <c r="C1242" i="9" s="1"/>
  <c r="C1243" i="9" a="1"/>
  <c r="C1243" i="9" s="1"/>
  <c r="C1244" i="9" a="1"/>
  <c r="C1244" i="9" s="1"/>
  <c r="C1245" i="9" a="1"/>
  <c r="C1245" i="9" s="1"/>
  <c r="C1246" i="9" a="1"/>
  <c r="C1246" i="9" s="1"/>
  <c r="C1247" i="9" a="1"/>
  <c r="C1247" i="9" s="1"/>
  <c r="C1248" i="9" a="1"/>
  <c r="C1248" i="9" s="1"/>
  <c r="C1249" i="9" a="1"/>
  <c r="C1249" i="9" s="1"/>
  <c r="C1250" i="9" a="1"/>
  <c r="C1250" i="9" s="1"/>
  <c r="C1251" i="9" a="1"/>
  <c r="C1251" i="9" s="1"/>
  <c r="C1252" i="9" a="1"/>
  <c r="C1252" i="9" s="1"/>
  <c r="C1253" i="9" a="1"/>
  <c r="C1253" i="9" s="1"/>
  <c r="C1254" i="9" a="1"/>
  <c r="C1254" i="9" s="1"/>
  <c r="C1255" i="9" a="1"/>
  <c r="C1255" i="9" s="1"/>
  <c r="C1364" i="9" a="1"/>
  <c r="C1364" i="9" s="1"/>
  <c r="C1257" i="9" a="1"/>
  <c r="C1257" i="9" s="1"/>
  <c r="C1258" i="9" a="1"/>
  <c r="C1258" i="9" s="1"/>
  <c r="C1259" i="9" a="1"/>
  <c r="C1259" i="9" s="1"/>
  <c r="C1260" i="9" a="1"/>
  <c r="C1260" i="9" s="1"/>
  <c r="C1261" i="9" a="1"/>
  <c r="C1261" i="9" s="1"/>
  <c r="C1262" i="9" a="1"/>
  <c r="C1262" i="9" s="1"/>
  <c r="C1263" i="9" a="1"/>
  <c r="C1263" i="9" s="1"/>
  <c r="C1264" i="9" a="1"/>
  <c r="C1264" i="9" s="1"/>
  <c r="C1265" i="9" a="1"/>
  <c r="C1265" i="9" s="1"/>
  <c r="C1266" i="9" a="1"/>
  <c r="C1266" i="9" s="1"/>
  <c r="C1267" i="9" a="1"/>
  <c r="C1267" i="9" s="1"/>
  <c r="C1268" i="9" a="1"/>
  <c r="C1268" i="9" s="1"/>
  <c r="C1269" i="9" a="1"/>
  <c r="C1269" i="9" s="1"/>
  <c r="C1270" i="9" a="1"/>
  <c r="C1270" i="9" s="1"/>
  <c r="C1271" i="9" a="1"/>
  <c r="C1271" i="9" s="1"/>
  <c r="C1272" i="9" a="1"/>
  <c r="C1272" i="9" s="1"/>
  <c r="C1273" i="9" a="1"/>
  <c r="C1273" i="9" s="1"/>
  <c r="C1274" i="9" a="1"/>
  <c r="C1274" i="9" s="1"/>
  <c r="C1275" i="9" a="1"/>
  <c r="C1275" i="9" s="1"/>
  <c r="C1276" i="9" a="1"/>
  <c r="C1276" i="9" s="1"/>
  <c r="C1277" i="9" a="1"/>
  <c r="C1277" i="9" s="1"/>
  <c r="C1278" i="9" a="1"/>
  <c r="C1278" i="9" s="1"/>
  <c r="C1279" i="9" a="1"/>
  <c r="C1279" i="9" s="1"/>
  <c r="C1280" i="9" a="1"/>
  <c r="C1280" i="9" s="1"/>
  <c r="C1281" i="9" a="1"/>
  <c r="C1281" i="9" s="1"/>
  <c r="C1282" i="9" a="1"/>
  <c r="C1282" i="9" s="1"/>
  <c r="C1283" i="9" a="1"/>
  <c r="C1283" i="9" s="1"/>
  <c r="C1284" i="9" a="1"/>
  <c r="C1284" i="9" s="1"/>
  <c r="C1285" i="9" a="1"/>
  <c r="C1285" i="9" s="1"/>
  <c r="C1286" i="9" a="1"/>
  <c r="C1286" i="9" s="1"/>
  <c r="C1287" i="9" a="1"/>
  <c r="C1287" i="9" s="1"/>
  <c r="C1288" i="9" a="1"/>
  <c r="C1288" i="9" s="1"/>
  <c r="C1289" i="9" a="1"/>
  <c r="C1289" i="9" s="1"/>
  <c r="C1290" i="9" a="1"/>
  <c r="C1290" i="9" s="1"/>
  <c r="C1291" i="9" a="1"/>
  <c r="C1291" i="9" s="1"/>
  <c r="C1400" i="9" a="1"/>
  <c r="C1400" i="9" s="1"/>
  <c r="C1293" i="9" a="1"/>
  <c r="C1293" i="9" s="1"/>
  <c r="C1294" i="9" a="1"/>
  <c r="C1294" i="9" s="1"/>
  <c r="C1295" i="9" a="1"/>
  <c r="C1295" i="9" s="1"/>
  <c r="C1296" i="9" a="1"/>
  <c r="C1296" i="9" s="1"/>
  <c r="C1297" i="9" a="1"/>
  <c r="C1297" i="9" s="1"/>
  <c r="C1298" i="9" a="1"/>
  <c r="C1298" i="9" s="1"/>
  <c r="C1299" i="9" a="1"/>
  <c r="C1299" i="9" s="1"/>
  <c r="C1300" i="9" a="1"/>
  <c r="C1300" i="9" s="1"/>
  <c r="C1301" i="9" a="1"/>
  <c r="C1301" i="9" s="1"/>
  <c r="C1302" i="9" a="1"/>
  <c r="C1302" i="9" s="1"/>
  <c r="C1303" i="9" a="1"/>
  <c r="C1303" i="9" s="1"/>
  <c r="C1304" i="9" a="1"/>
  <c r="C1304" i="9" s="1"/>
  <c r="C1305" i="9" a="1"/>
  <c r="C1305" i="9" s="1"/>
  <c r="C1306" i="9" a="1"/>
  <c r="C1306" i="9" s="1"/>
  <c r="C1307" i="9" a="1"/>
  <c r="C1307" i="9" s="1"/>
  <c r="C1308" i="9" a="1"/>
  <c r="C1308" i="9" s="1"/>
  <c r="C1309" i="9" a="1"/>
  <c r="C1309" i="9" s="1"/>
  <c r="C1310" i="9" a="1"/>
  <c r="C1310" i="9" s="1"/>
  <c r="C1311" i="9" a="1"/>
  <c r="C1311" i="9" s="1"/>
  <c r="C1312" i="9" a="1"/>
  <c r="C1312" i="9" s="1"/>
  <c r="C1313" i="9" a="1"/>
  <c r="C1313" i="9" s="1"/>
  <c r="C1314" i="9" a="1"/>
  <c r="C1314" i="9" s="1"/>
  <c r="C1315" i="9" a="1"/>
  <c r="C1315" i="9" s="1"/>
  <c r="C1316" i="9" a="1"/>
  <c r="C1316" i="9" s="1"/>
  <c r="C1317" i="9" a="1"/>
  <c r="C1317" i="9" s="1"/>
  <c r="C1318" i="9" a="1"/>
  <c r="C1318" i="9" s="1"/>
  <c r="C1319" i="9" a="1"/>
  <c r="C1319" i="9" s="1"/>
  <c r="C1320" i="9" a="1"/>
  <c r="C1320" i="9" s="1"/>
  <c r="C1321" i="9" a="1"/>
  <c r="C1321" i="9" s="1"/>
  <c r="C1322" i="9" a="1"/>
  <c r="C1322" i="9" s="1"/>
  <c r="C1323" i="9" a="1"/>
  <c r="C1323" i="9" s="1"/>
  <c r="C1324" i="9" a="1"/>
  <c r="C1324" i="9" s="1"/>
  <c r="C1325" i="9" a="1"/>
  <c r="C1325" i="9" s="1"/>
  <c r="C1326" i="9" a="1"/>
  <c r="C1326" i="9" s="1"/>
  <c r="C1327" i="9" a="1"/>
  <c r="C1327" i="9" s="1"/>
  <c r="C1436" i="9" a="1"/>
  <c r="C1436" i="9" s="1"/>
  <c r="C1329" i="9" a="1"/>
  <c r="C1329" i="9" s="1"/>
  <c r="C1330" i="9" a="1"/>
  <c r="C1330" i="9" s="1"/>
  <c r="C1331" i="9" a="1"/>
  <c r="C1331" i="9" s="1"/>
  <c r="C1332" i="9" a="1"/>
  <c r="C1332" i="9" s="1"/>
  <c r="C1333" i="9" a="1"/>
  <c r="C1333" i="9" s="1"/>
  <c r="C1334" i="9" a="1"/>
  <c r="C1334" i="9" s="1"/>
  <c r="C1335" i="9" a="1"/>
  <c r="C1335" i="9" s="1"/>
  <c r="C1336" i="9" a="1"/>
  <c r="C1336" i="9" s="1"/>
  <c r="C1337" i="9" a="1"/>
  <c r="C1337" i="9" s="1"/>
  <c r="C1338" i="9" a="1"/>
  <c r="C1338" i="9" s="1"/>
  <c r="C1339" i="9" a="1"/>
  <c r="C1339" i="9" s="1"/>
  <c r="C1340" i="9" a="1"/>
  <c r="C1340" i="9" s="1"/>
  <c r="C1341" i="9" a="1"/>
  <c r="C1341" i="9" s="1"/>
  <c r="C1342" i="9" a="1"/>
  <c r="C1342" i="9" s="1"/>
  <c r="C1343" i="9" a="1"/>
  <c r="C1343" i="9" s="1"/>
  <c r="C1344" i="9" a="1"/>
  <c r="C1344" i="9" s="1"/>
  <c r="C1345" i="9" a="1"/>
  <c r="C1345" i="9" s="1"/>
  <c r="C1346" i="9" a="1"/>
  <c r="C1346" i="9" s="1"/>
  <c r="C1347" i="9" a="1"/>
  <c r="C1347" i="9" s="1"/>
  <c r="C1348" i="9" a="1"/>
  <c r="C1348" i="9" s="1"/>
  <c r="C1349" i="9" a="1"/>
  <c r="C1349" i="9" s="1"/>
  <c r="C1350" i="9" a="1"/>
  <c r="C1350" i="9" s="1"/>
  <c r="C1351" i="9" a="1"/>
  <c r="C1351" i="9" s="1"/>
  <c r="C1352" i="9" a="1"/>
  <c r="C1352" i="9" s="1"/>
  <c r="C1353" i="9" a="1"/>
  <c r="C1353" i="9" s="1"/>
  <c r="C1354" i="9" a="1"/>
  <c r="C1354" i="9" s="1"/>
  <c r="C1355" i="9" a="1"/>
  <c r="C1355" i="9" s="1"/>
  <c r="C1356" i="9" a="1"/>
  <c r="C1356" i="9" s="1"/>
  <c r="C1357" i="9" a="1"/>
  <c r="C1357" i="9" s="1"/>
  <c r="C1358" i="9" a="1"/>
  <c r="C1358" i="9" s="1"/>
  <c r="C1359" i="9" a="1"/>
  <c r="C1359" i="9" s="1"/>
  <c r="C1360" i="9" a="1"/>
  <c r="C1360" i="9" s="1"/>
  <c r="C1361" i="9" a="1"/>
  <c r="C1361" i="9" s="1"/>
  <c r="C1362" i="9" a="1"/>
  <c r="C1362" i="9" s="1"/>
  <c r="C1363" i="9" a="1"/>
  <c r="C1363" i="9" s="1"/>
  <c r="C1472" i="9" a="1"/>
  <c r="C1472" i="9" s="1"/>
  <c r="C1365" i="9" a="1"/>
  <c r="C1365" i="9" s="1"/>
  <c r="C1366" i="9" a="1"/>
  <c r="C1366" i="9" s="1"/>
  <c r="C1367" i="9" a="1"/>
  <c r="C1367" i="9" s="1"/>
  <c r="C1368" i="9" a="1"/>
  <c r="C1368" i="9" s="1"/>
  <c r="C1369" i="9" a="1"/>
  <c r="C1369" i="9" s="1"/>
  <c r="C1370" i="9" a="1"/>
  <c r="C1370" i="9" s="1"/>
  <c r="C1371" i="9" a="1"/>
  <c r="C1371" i="9" s="1"/>
  <c r="C1372" i="9" a="1"/>
  <c r="C1372" i="9" s="1"/>
  <c r="C1373" i="9" a="1"/>
  <c r="C1373" i="9" s="1"/>
  <c r="C1374" i="9" a="1"/>
  <c r="C1374" i="9" s="1"/>
  <c r="C1375" i="9" a="1"/>
  <c r="C1375" i="9" s="1"/>
  <c r="C1376" i="9" a="1"/>
  <c r="C1376" i="9" s="1"/>
  <c r="C1377" i="9" a="1"/>
  <c r="C1377" i="9" s="1"/>
  <c r="C1378" i="9" a="1"/>
  <c r="C1378" i="9" s="1"/>
  <c r="C1379" i="9" a="1"/>
  <c r="C1379" i="9" s="1"/>
  <c r="C1380" i="9" a="1"/>
  <c r="C1380" i="9" s="1"/>
  <c r="C1381" i="9" a="1"/>
  <c r="C1381" i="9" s="1"/>
  <c r="C1382" i="9" a="1"/>
  <c r="C1382" i="9" s="1"/>
  <c r="C1383" i="9" a="1"/>
  <c r="C1383" i="9" s="1"/>
  <c r="C1384" i="9" a="1"/>
  <c r="C1384" i="9" s="1"/>
  <c r="C1385" i="9" a="1"/>
  <c r="C1385" i="9" s="1"/>
  <c r="C1386" i="9" a="1"/>
  <c r="C1386" i="9" s="1"/>
  <c r="C1387" i="9" a="1"/>
  <c r="C1387" i="9" s="1"/>
  <c r="C1388" i="9" a="1"/>
  <c r="C1388" i="9" s="1"/>
  <c r="C1389" i="9" a="1"/>
  <c r="C1389" i="9" s="1"/>
  <c r="C1390" i="9" a="1"/>
  <c r="C1390" i="9" s="1"/>
  <c r="C1391" i="9" a="1"/>
  <c r="C1391" i="9" s="1"/>
  <c r="C1392" i="9" a="1"/>
  <c r="C1392" i="9" s="1"/>
  <c r="C1393" i="9" a="1"/>
  <c r="C1393" i="9" s="1"/>
  <c r="C1394" i="9" a="1"/>
  <c r="C1394" i="9" s="1"/>
  <c r="C1395" i="9" a="1"/>
  <c r="C1395" i="9" s="1"/>
  <c r="C1396" i="9" a="1"/>
  <c r="C1396" i="9" s="1"/>
  <c r="C1397" i="9" a="1"/>
  <c r="C1397" i="9" s="1"/>
  <c r="C1398" i="9" a="1"/>
  <c r="C1398" i="9" s="1"/>
  <c r="C1399" i="9" a="1"/>
  <c r="C1399" i="9" s="1"/>
  <c r="C1508" i="9" a="1"/>
  <c r="C1508" i="9" s="1"/>
  <c r="C1401" i="9" a="1"/>
  <c r="C1401" i="9" s="1"/>
  <c r="C1402" i="9" a="1"/>
  <c r="C1402" i="9" s="1"/>
  <c r="C1403" i="9" a="1"/>
  <c r="C1403" i="9" s="1"/>
  <c r="C1404" i="9" a="1"/>
  <c r="C1404" i="9" s="1"/>
  <c r="C1405" i="9" a="1"/>
  <c r="C1405" i="9" s="1"/>
  <c r="C1406" i="9" a="1"/>
  <c r="C1406" i="9" s="1"/>
  <c r="C1407" i="9" a="1"/>
  <c r="C1407" i="9" s="1"/>
  <c r="C1408" i="9" a="1"/>
  <c r="C1408" i="9" s="1"/>
  <c r="C1409" i="9" a="1"/>
  <c r="C1409" i="9" s="1"/>
  <c r="C1410" i="9" a="1"/>
  <c r="C1410" i="9" s="1"/>
  <c r="C1411" i="9" a="1"/>
  <c r="C1411" i="9" s="1"/>
  <c r="C1412" i="9" a="1"/>
  <c r="C1412" i="9" s="1"/>
  <c r="C1413" i="9" a="1"/>
  <c r="C1413" i="9" s="1"/>
  <c r="C1414" i="9" a="1"/>
  <c r="C1414" i="9" s="1"/>
  <c r="C1415" i="9" a="1"/>
  <c r="C1415" i="9" s="1"/>
  <c r="C1416" i="9" a="1"/>
  <c r="C1416" i="9" s="1"/>
  <c r="C1417" i="9" a="1"/>
  <c r="C1417" i="9" s="1"/>
  <c r="C1418" i="9" a="1"/>
  <c r="C1418" i="9" s="1"/>
  <c r="C1419" i="9" a="1"/>
  <c r="C1419" i="9" s="1"/>
  <c r="C1420" i="9" a="1"/>
  <c r="C1420" i="9" s="1"/>
  <c r="C1421" i="9" a="1"/>
  <c r="C1421" i="9" s="1"/>
  <c r="C1422" i="9" a="1"/>
  <c r="C1422" i="9" s="1"/>
  <c r="C1423" i="9" a="1"/>
  <c r="C1423" i="9" s="1"/>
  <c r="C1424" i="9" a="1"/>
  <c r="C1424" i="9" s="1"/>
  <c r="C1425" i="9" a="1"/>
  <c r="C1425" i="9" s="1"/>
  <c r="C1426" i="9" a="1"/>
  <c r="C1426" i="9" s="1"/>
  <c r="C1427" i="9" a="1"/>
  <c r="C1427" i="9" s="1"/>
  <c r="C1428" i="9" a="1"/>
  <c r="C1428" i="9" s="1"/>
  <c r="C1429" i="9" a="1"/>
  <c r="C1429" i="9" s="1"/>
  <c r="C1430" i="9" a="1"/>
  <c r="C1430" i="9" s="1"/>
  <c r="C1431" i="9" a="1"/>
  <c r="C1431" i="9" s="1"/>
  <c r="C1432" i="9" a="1"/>
  <c r="C1432" i="9" s="1"/>
  <c r="C1433" i="9" a="1"/>
  <c r="C1433" i="9" s="1"/>
  <c r="C1434" i="9" a="1"/>
  <c r="C1434" i="9" s="1"/>
  <c r="C1435" i="9" a="1"/>
  <c r="C1435" i="9" s="1"/>
  <c r="C1544" i="9" a="1"/>
  <c r="C1544" i="9" s="1"/>
  <c r="C1437" i="9" a="1"/>
  <c r="C1437" i="9" s="1"/>
  <c r="C1438" i="9" a="1"/>
  <c r="C1438" i="9" s="1"/>
  <c r="C1439" i="9" a="1"/>
  <c r="C1439" i="9" s="1"/>
  <c r="C1440" i="9" a="1"/>
  <c r="C1440" i="9" s="1"/>
  <c r="C1441" i="9" a="1"/>
  <c r="C1441" i="9" s="1"/>
  <c r="C1442" i="9" a="1"/>
  <c r="C1442" i="9" s="1"/>
  <c r="C1443" i="9" a="1"/>
  <c r="C1443" i="9" s="1"/>
  <c r="C1444" i="9" a="1"/>
  <c r="C1444" i="9" s="1"/>
  <c r="C1445" i="9" a="1"/>
  <c r="C1445" i="9" s="1"/>
  <c r="C1446" i="9" a="1"/>
  <c r="C1446" i="9" s="1"/>
  <c r="C1447" i="9" a="1"/>
  <c r="C1447" i="9" s="1"/>
  <c r="C1448" i="9" a="1"/>
  <c r="C1448" i="9" s="1"/>
  <c r="C1449" i="9" a="1"/>
  <c r="C1449" i="9" s="1"/>
  <c r="C1450" i="9" a="1"/>
  <c r="C1450" i="9" s="1"/>
  <c r="C1451" i="9" a="1"/>
  <c r="C1451" i="9" s="1"/>
  <c r="C1452" i="9" a="1"/>
  <c r="C1452" i="9" s="1"/>
  <c r="C1453" i="9" a="1"/>
  <c r="C1453" i="9" s="1"/>
  <c r="C1454" i="9" a="1"/>
  <c r="C1454" i="9" s="1"/>
  <c r="C1455" i="9" a="1"/>
  <c r="C1455" i="9" s="1"/>
  <c r="C1456" i="9" a="1"/>
  <c r="C1456" i="9" s="1"/>
  <c r="C1457" i="9" a="1"/>
  <c r="C1457" i="9" s="1"/>
  <c r="C1458" i="9" a="1"/>
  <c r="C1458" i="9" s="1"/>
  <c r="C1459" i="9" a="1"/>
  <c r="C1459" i="9" s="1"/>
  <c r="C1460" i="9" a="1"/>
  <c r="C1460" i="9" s="1"/>
  <c r="C1461" i="9" a="1"/>
  <c r="C1461" i="9" s="1"/>
  <c r="C1462" i="9" a="1"/>
  <c r="C1462" i="9" s="1"/>
  <c r="C1463" i="9" a="1"/>
  <c r="C1463" i="9" s="1"/>
  <c r="C1464" i="9" a="1"/>
  <c r="C1464" i="9" s="1"/>
  <c r="C1465" i="9" a="1"/>
  <c r="C1465" i="9" s="1"/>
  <c r="C1466" i="9" a="1"/>
  <c r="C1466" i="9" s="1"/>
  <c r="C1467" i="9" a="1"/>
  <c r="C1467" i="9" s="1"/>
  <c r="C1468" i="9" a="1"/>
  <c r="C1468" i="9" s="1"/>
  <c r="C1469" i="9" a="1"/>
  <c r="C1469" i="9" s="1"/>
  <c r="C1470" i="9" a="1"/>
  <c r="C1470" i="9" s="1"/>
  <c r="C1471" i="9" a="1"/>
  <c r="C1471" i="9" s="1"/>
  <c r="C1580" i="9" a="1"/>
  <c r="C1580" i="9" s="1"/>
  <c r="C1473" i="9" a="1"/>
  <c r="C1473" i="9" s="1"/>
  <c r="C1474" i="9" a="1"/>
  <c r="C1474" i="9" s="1"/>
  <c r="C1475" i="9" a="1"/>
  <c r="C1475" i="9" s="1"/>
  <c r="C1476" i="9" a="1"/>
  <c r="C1476" i="9" s="1"/>
  <c r="C1477" i="9" a="1"/>
  <c r="C1477" i="9" s="1"/>
  <c r="C1478" i="9" a="1"/>
  <c r="C1478" i="9" s="1"/>
  <c r="C1479" i="9" a="1"/>
  <c r="C1479" i="9" s="1"/>
  <c r="C1480" i="9" a="1"/>
  <c r="C1480" i="9" s="1"/>
  <c r="C1481" i="9" a="1"/>
  <c r="C1481" i="9" s="1"/>
  <c r="C1482" i="9" a="1"/>
  <c r="C1482" i="9" s="1"/>
  <c r="C1483" i="9" a="1"/>
  <c r="C1483" i="9" s="1"/>
  <c r="C1484" i="9" a="1"/>
  <c r="C1484" i="9" s="1"/>
  <c r="C1485" i="9" a="1"/>
  <c r="C1485" i="9" s="1"/>
  <c r="C1486" i="9" a="1"/>
  <c r="C1486" i="9" s="1"/>
  <c r="C1487" i="9" a="1"/>
  <c r="C1487" i="9" s="1"/>
  <c r="C1488" i="9" a="1"/>
  <c r="C1488" i="9" s="1"/>
  <c r="C1489" i="9" a="1"/>
  <c r="C1489" i="9" s="1"/>
  <c r="C1490" i="9" a="1"/>
  <c r="C1490" i="9" s="1"/>
  <c r="C1491" i="9" a="1"/>
  <c r="C1491" i="9" s="1"/>
  <c r="C1492" i="9" a="1"/>
  <c r="C1492" i="9" s="1"/>
  <c r="C1493" i="9" a="1"/>
  <c r="C1493" i="9" s="1"/>
  <c r="C1494" i="9" a="1"/>
  <c r="C1494" i="9" s="1"/>
  <c r="C1495" i="9" a="1"/>
  <c r="C1495" i="9" s="1"/>
  <c r="C1496" i="9" a="1"/>
  <c r="C1496" i="9" s="1"/>
  <c r="C1497" i="9" a="1"/>
  <c r="C1497" i="9" s="1"/>
  <c r="C1498" i="9" a="1"/>
  <c r="C1498" i="9" s="1"/>
  <c r="C1499" i="9" a="1"/>
  <c r="C1499" i="9" s="1"/>
  <c r="C1500" i="9" a="1"/>
  <c r="C1500" i="9" s="1"/>
  <c r="C1501" i="9" a="1"/>
  <c r="C1501" i="9" s="1"/>
  <c r="C1502" i="9" a="1"/>
  <c r="C1502" i="9" s="1"/>
  <c r="C1503" i="9" a="1"/>
  <c r="C1503" i="9" s="1"/>
  <c r="C1504" i="9" a="1"/>
  <c r="C1504" i="9" s="1"/>
  <c r="C1505" i="9" a="1"/>
  <c r="C1505" i="9" s="1"/>
  <c r="C1506" i="9" a="1"/>
  <c r="C1506" i="9" s="1"/>
  <c r="C1507" i="9" a="1"/>
  <c r="C1507" i="9" s="1"/>
  <c r="C1652" i="9" a="1"/>
  <c r="C1652" i="9" s="1"/>
  <c r="C1509" i="9" a="1"/>
  <c r="C1509" i="9" s="1"/>
  <c r="C1510" i="9" a="1"/>
  <c r="C1510" i="9" s="1"/>
  <c r="C1511" i="9" a="1"/>
  <c r="C1511" i="9" s="1"/>
  <c r="C1512" i="9" a="1"/>
  <c r="C1512" i="9" s="1"/>
  <c r="C1513" i="9" a="1"/>
  <c r="C1513" i="9" s="1"/>
  <c r="C1514" i="9" a="1"/>
  <c r="C1514" i="9" s="1"/>
  <c r="C1515" i="9" a="1"/>
  <c r="C1515" i="9" s="1"/>
  <c r="C1516" i="9" a="1"/>
  <c r="C1516" i="9" s="1"/>
  <c r="C1517" i="9" a="1"/>
  <c r="C1517" i="9" s="1"/>
  <c r="C1518" i="9" a="1"/>
  <c r="C1518" i="9" s="1"/>
  <c r="C1519" i="9" a="1"/>
  <c r="C1519" i="9" s="1"/>
  <c r="C1520" i="9" a="1"/>
  <c r="C1520" i="9" s="1"/>
  <c r="C1521" i="9" a="1"/>
  <c r="C1521" i="9" s="1"/>
  <c r="C1522" i="9" a="1"/>
  <c r="C1522" i="9" s="1"/>
  <c r="C1523" i="9" a="1"/>
  <c r="C1523" i="9" s="1"/>
  <c r="C1524" i="9" a="1"/>
  <c r="C1524" i="9" s="1"/>
  <c r="C1525" i="9" a="1"/>
  <c r="C1525" i="9" s="1"/>
  <c r="C1526" i="9" a="1"/>
  <c r="C1526" i="9" s="1"/>
  <c r="C1527" i="9" a="1"/>
  <c r="C1527" i="9" s="1"/>
  <c r="C1528" i="9" a="1"/>
  <c r="C1528" i="9" s="1"/>
  <c r="C1529" i="9" a="1"/>
  <c r="C1529" i="9" s="1"/>
  <c r="C1530" i="9" a="1"/>
  <c r="C1530" i="9" s="1"/>
  <c r="C1531" i="9" a="1"/>
  <c r="C1531" i="9" s="1"/>
  <c r="C1532" i="9" a="1"/>
  <c r="C1532" i="9" s="1"/>
  <c r="C1533" i="9" a="1"/>
  <c r="C1533" i="9" s="1"/>
  <c r="C1534" i="9" a="1"/>
  <c r="C1534" i="9" s="1"/>
  <c r="C1535" i="9" a="1"/>
  <c r="C1535" i="9" s="1"/>
  <c r="C1536" i="9" a="1"/>
  <c r="C1536" i="9" s="1"/>
  <c r="C1537" i="9" a="1"/>
  <c r="C1537" i="9" s="1"/>
  <c r="C1538" i="9" a="1"/>
  <c r="C1538" i="9" s="1"/>
  <c r="C1539" i="9" a="1"/>
  <c r="C1539" i="9" s="1"/>
  <c r="C1540" i="9" a="1"/>
  <c r="C1540" i="9" s="1"/>
  <c r="C1541" i="9" a="1"/>
  <c r="C1541" i="9" s="1"/>
  <c r="C1542" i="9" a="1"/>
  <c r="C1542" i="9" s="1"/>
  <c r="C1543" i="9" a="1"/>
  <c r="C1543" i="9" s="1"/>
  <c r="C1616" i="9" a="1"/>
  <c r="C1616" i="9" s="1"/>
  <c r="C1545" i="9" a="1"/>
  <c r="C1545" i="9" s="1"/>
  <c r="C1546" i="9" a="1"/>
  <c r="C1546" i="9" s="1"/>
  <c r="C1547" i="9" a="1"/>
  <c r="C1547" i="9" s="1"/>
  <c r="C1548" i="9" a="1"/>
  <c r="C1548" i="9" s="1"/>
  <c r="C1549" i="9" a="1"/>
  <c r="C1549" i="9" s="1"/>
  <c r="C1550" i="9" a="1"/>
  <c r="C1550" i="9" s="1"/>
  <c r="C1551" i="9" a="1"/>
  <c r="C1551" i="9" s="1"/>
  <c r="C1552" i="9" a="1"/>
  <c r="C1552" i="9" s="1"/>
  <c r="C1553" i="9" a="1"/>
  <c r="C1553" i="9" s="1"/>
  <c r="C1554" i="9" a="1"/>
  <c r="C1554" i="9" s="1"/>
  <c r="C1555" i="9" a="1"/>
  <c r="C1555" i="9" s="1"/>
  <c r="C1556" i="9" a="1"/>
  <c r="C1556" i="9" s="1"/>
  <c r="C1557" i="9" a="1"/>
  <c r="C1557" i="9" s="1"/>
  <c r="C1558" i="9" a="1"/>
  <c r="C1558" i="9" s="1"/>
  <c r="C1559" i="9" a="1"/>
  <c r="C1559" i="9" s="1"/>
  <c r="C1560" i="9" a="1"/>
  <c r="C1560" i="9" s="1"/>
  <c r="C1561" i="9" a="1"/>
  <c r="C1561" i="9" s="1"/>
  <c r="C1562" i="9" a="1"/>
  <c r="C1562" i="9" s="1"/>
  <c r="C1563" i="9" a="1"/>
  <c r="C1563" i="9" s="1"/>
  <c r="C1564" i="9" a="1"/>
  <c r="C1564" i="9" s="1"/>
  <c r="C1565" i="9" a="1"/>
  <c r="C1565" i="9" s="1"/>
  <c r="C1566" i="9" a="1"/>
  <c r="C1566" i="9" s="1"/>
  <c r="C1567" i="9" a="1"/>
  <c r="C1567" i="9" s="1"/>
  <c r="C1568" i="9" a="1"/>
  <c r="C1568" i="9" s="1"/>
  <c r="C1569" i="9" a="1"/>
  <c r="C1569" i="9" s="1"/>
  <c r="C1570" i="9" a="1"/>
  <c r="C1570" i="9" s="1"/>
  <c r="C1571" i="9" a="1"/>
  <c r="C1571" i="9" s="1"/>
  <c r="C1572" i="9" a="1"/>
  <c r="C1572" i="9" s="1"/>
  <c r="C1573" i="9" a="1"/>
  <c r="C1573" i="9" s="1"/>
  <c r="C1574" i="9" a="1"/>
  <c r="C1574" i="9" s="1"/>
  <c r="C1575" i="9" a="1"/>
  <c r="C1575" i="9" s="1"/>
  <c r="C1576" i="9" a="1"/>
  <c r="C1576" i="9" s="1"/>
  <c r="C1577" i="9" a="1"/>
  <c r="C1577" i="9" s="1"/>
  <c r="C1578" i="9" a="1"/>
  <c r="C1578" i="9" s="1"/>
  <c r="C1579" i="9" a="1"/>
  <c r="C1579" i="9" s="1"/>
  <c r="C1688" i="9" a="1"/>
  <c r="C1688" i="9" s="1"/>
  <c r="C1581" i="9" a="1"/>
  <c r="C1581" i="9" s="1"/>
  <c r="C1582" i="9" a="1"/>
  <c r="C1582" i="9" s="1"/>
  <c r="C1583" i="9" a="1"/>
  <c r="C1583" i="9" s="1"/>
  <c r="C1584" i="9" a="1"/>
  <c r="C1584" i="9" s="1"/>
  <c r="C1585" i="9" a="1"/>
  <c r="C1585" i="9" s="1"/>
  <c r="C1586" i="9" a="1"/>
  <c r="C1586" i="9" s="1"/>
  <c r="C1587" i="9" a="1"/>
  <c r="C1587" i="9" s="1"/>
  <c r="C1588" i="9" a="1"/>
  <c r="C1588" i="9" s="1"/>
  <c r="C1589" i="9" a="1"/>
  <c r="C1589" i="9" s="1"/>
  <c r="C1590" i="9" a="1"/>
  <c r="C1590" i="9" s="1"/>
  <c r="C1591" i="9" a="1"/>
  <c r="C1591" i="9" s="1"/>
  <c r="C1592" i="9" a="1"/>
  <c r="C1592" i="9" s="1"/>
  <c r="C1593" i="9" a="1"/>
  <c r="C1593" i="9" s="1"/>
  <c r="C1594" i="9" a="1"/>
  <c r="C1594" i="9" s="1"/>
  <c r="C1595" i="9" a="1"/>
  <c r="C1595" i="9" s="1"/>
  <c r="C1596" i="9" a="1"/>
  <c r="C1596" i="9" s="1"/>
  <c r="C1597" i="9" a="1"/>
  <c r="C1597" i="9" s="1"/>
  <c r="C1598" i="9" a="1"/>
  <c r="C1598" i="9" s="1"/>
  <c r="C1599" i="9" a="1"/>
  <c r="C1599" i="9" s="1"/>
  <c r="C1600" i="9" a="1"/>
  <c r="C1600" i="9" s="1"/>
  <c r="C1601" i="9" a="1"/>
  <c r="C1601" i="9" s="1"/>
  <c r="C1602" i="9" a="1"/>
  <c r="C1602" i="9" s="1"/>
  <c r="C1603" i="9" a="1"/>
  <c r="C1603" i="9" s="1"/>
  <c r="C1604" i="9" a="1"/>
  <c r="C1604" i="9" s="1"/>
  <c r="C1605" i="9" a="1"/>
  <c r="C1605" i="9" s="1"/>
  <c r="C1606" i="9" a="1"/>
  <c r="C1606" i="9" s="1"/>
  <c r="C1607" i="9" a="1"/>
  <c r="C1607" i="9" s="1"/>
  <c r="C1608" i="9" a="1"/>
  <c r="C1608" i="9" s="1"/>
  <c r="C1609" i="9" a="1"/>
  <c r="C1609" i="9" s="1"/>
  <c r="C1610" i="9" a="1"/>
  <c r="C1610" i="9" s="1"/>
  <c r="C1611" i="9" a="1"/>
  <c r="C1611" i="9" s="1"/>
  <c r="C1612" i="9" a="1"/>
  <c r="C1612" i="9" s="1"/>
  <c r="C1613" i="9" a="1"/>
  <c r="C1613" i="9" s="1"/>
  <c r="C1614" i="9" a="1"/>
  <c r="C1614" i="9" s="1"/>
  <c r="C1615" i="9" a="1"/>
  <c r="C1615" i="9" s="1"/>
  <c r="C1724" i="9" a="1"/>
  <c r="C1724" i="9" s="1"/>
  <c r="C1617" i="9" a="1"/>
  <c r="C1617" i="9" s="1"/>
  <c r="C1618" i="9" a="1"/>
  <c r="C1618" i="9" s="1"/>
  <c r="C1619" i="9" a="1"/>
  <c r="C1619" i="9" s="1"/>
  <c r="C1620" i="9" a="1"/>
  <c r="C1620" i="9" s="1"/>
  <c r="C1621" i="9" a="1"/>
  <c r="C1621" i="9" s="1"/>
  <c r="C1622" i="9" a="1"/>
  <c r="C1622" i="9" s="1"/>
  <c r="C1623" i="9" a="1"/>
  <c r="C1623" i="9" s="1"/>
  <c r="C1624" i="9" a="1"/>
  <c r="C1624" i="9" s="1"/>
  <c r="C1625" i="9" a="1"/>
  <c r="C1625" i="9" s="1"/>
  <c r="C1626" i="9" a="1"/>
  <c r="C1626" i="9" s="1"/>
  <c r="C1627" i="9" a="1"/>
  <c r="C1627" i="9" s="1"/>
  <c r="C1628" i="9" a="1"/>
  <c r="C1628" i="9" s="1"/>
  <c r="C1629" i="9" a="1"/>
  <c r="C1629" i="9" s="1"/>
  <c r="C1630" i="9" a="1"/>
  <c r="C1630" i="9" s="1"/>
  <c r="C1631" i="9" a="1"/>
  <c r="C1631" i="9" s="1"/>
  <c r="C1632" i="9" a="1"/>
  <c r="C1632" i="9" s="1"/>
  <c r="C1633" i="9" a="1"/>
  <c r="C1633" i="9" s="1"/>
  <c r="C1634" i="9" a="1"/>
  <c r="C1634" i="9" s="1"/>
  <c r="C1635" i="9" a="1"/>
  <c r="C1635" i="9" s="1"/>
  <c r="C1636" i="9" a="1"/>
  <c r="C1636" i="9" s="1"/>
  <c r="C1637" i="9" a="1"/>
  <c r="C1637" i="9" s="1"/>
  <c r="C1638" i="9" a="1"/>
  <c r="C1638" i="9" s="1"/>
  <c r="C1639" i="9" a="1"/>
  <c r="C1639" i="9" s="1"/>
  <c r="C1640" i="9" a="1"/>
  <c r="C1640" i="9" s="1"/>
  <c r="C1641" i="9" a="1"/>
  <c r="C1641" i="9" s="1"/>
  <c r="C1642" i="9" a="1"/>
  <c r="C1642" i="9" s="1"/>
  <c r="C1643" i="9" a="1"/>
  <c r="C1643" i="9" s="1"/>
  <c r="C1644" i="9" a="1"/>
  <c r="C1644" i="9" s="1"/>
  <c r="C1645" i="9" a="1"/>
  <c r="C1645" i="9" s="1"/>
  <c r="C1646" i="9" a="1"/>
  <c r="C1646" i="9" s="1"/>
  <c r="C1647" i="9" a="1"/>
  <c r="C1647" i="9" s="1"/>
  <c r="C1648" i="9" a="1"/>
  <c r="C1648" i="9" s="1"/>
  <c r="C1649" i="9" a="1"/>
  <c r="C1649" i="9" s="1"/>
  <c r="C1650" i="9" a="1"/>
  <c r="C1650" i="9" s="1"/>
  <c r="C1651" i="9" a="1"/>
  <c r="C1651" i="9" s="1"/>
  <c r="C1760" i="9" a="1"/>
  <c r="C1760" i="9" s="1"/>
  <c r="C1653" i="9" a="1"/>
  <c r="C1653" i="9" s="1"/>
  <c r="C1654" i="9" a="1"/>
  <c r="C1654" i="9" s="1"/>
  <c r="C1655" i="9" a="1"/>
  <c r="C1655" i="9" s="1"/>
  <c r="C1656" i="9" a="1"/>
  <c r="C1656" i="9" s="1"/>
  <c r="C1657" i="9" a="1"/>
  <c r="C1657" i="9" s="1"/>
  <c r="C1658" i="9" a="1"/>
  <c r="C1658" i="9" s="1"/>
  <c r="C1659" i="9" a="1"/>
  <c r="C1659" i="9" s="1"/>
  <c r="C1660" i="9" a="1"/>
  <c r="C1660" i="9" s="1"/>
  <c r="C1661" i="9" a="1"/>
  <c r="C1661" i="9" s="1"/>
  <c r="C1662" i="9" a="1"/>
  <c r="C1662" i="9" s="1"/>
  <c r="C1663" i="9" a="1"/>
  <c r="C1663" i="9" s="1"/>
  <c r="C1664" i="9" a="1"/>
  <c r="C1664" i="9" s="1"/>
  <c r="C1665" i="9" a="1"/>
  <c r="C1665" i="9" s="1"/>
  <c r="C1666" i="9" a="1"/>
  <c r="C1666" i="9" s="1"/>
  <c r="C1667" i="9" a="1"/>
  <c r="C1667" i="9" s="1"/>
  <c r="C1668" i="9" a="1"/>
  <c r="C1668" i="9" s="1"/>
  <c r="C1669" i="9" a="1"/>
  <c r="C1669" i="9" s="1"/>
  <c r="C1670" i="9" a="1"/>
  <c r="C1670" i="9" s="1"/>
  <c r="C1671" i="9" a="1"/>
  <c r="C1671" i="9" s="1"/>
  <c r="C1672" i="9" a="1"/>
  <c r="C1672" i="9" s="1"/>
  <c r="C1673" i="9" a="1"/>
  <c r="C1673" i="9" s="1"/>
  <c r="C1674" i="9" a="1"/>
  <c r="C1674" i="9" s="1"/>
  <c r="C1675" i="9" a="1"/>
  <c r="C1675" i="9" s="1"/>
  <c r="C1676" i="9" a="1"/>
  <c r="C1676" i="9" s="1"/>
  <c r="C1677" i="9" a="1"/>
  <c r="C1677" i="9" s="1"/>
  <c r="C1678" i="9" a="1"/>
  <c r="C1678" i="9" s="1"/>
  <c r="C1679" i="9" a="1"/>
  <c r="C1679" i="9" s="1"/>
  <c r="C1680" i="9" a="1"/>
  <c r="C1680" i="9" s="1"/>
  <c r="C1681" i="9" a="1"/>
  <c r="C1681" i="9" s="1"/>
  <c r="C1682" i="9" a="1"/>
  <c r="C1682" i="9" s="1"/>
  <c r="C1683" i="9" a="1"/>
  <c r="C1683" i="9" s="1"/>
  <c r="C1684" i="9" a="1"/>
  <c r="C1684" i="9" s="1"/>
  <c r="C1685" i="9" a="1"/>
  <c r="C1685" i="9" s="1"/>
  <c r="C1686" i="9" a="1"/>
  <c r="C1686" i="9" s="1"/>
  <c r="C1687" i="9" a="1"/>
  <c r="C1687" i="9" s="1"/>
  <c r="C1796" i="9" a="1"/>
  <c r="C1796" i="9" s="1"/>
  <c r="C1689" i="9" a="1"/>
  <c r="C1689" i="9" s="1"/>
  <c r="C1690" i="9" a="1"/>
  <c r="C1690" i="9" s="1"/>
  <c r="C1691" i="9" a="1"/>
  <c r="C1691" i="9" s="1"/>
  <c r="C1692" i="9" a="1"/>
  <c r="C1692" i="9" s="1"/>
  <c r="C1693" i="9" a="1"/>
  <c r="C1693" i="9" s="1"/>
  <c r="C1694" i="9" a="1"/>
  <c r="C1694" i="9" s="1"/>
  <c r="C1695" i="9" a="1"/>
  <c r="C1695" i="9" s="1"/>
  <c r="C1696" i="9" a="1"/>
  <c r="C1696" i="9" s="1"/>
  <c r="C1697" i="9" a="1"/>
  <c r="C1697" i="9" s="1"/>
  <c r="C1698" i="9" a="1"/>
  <c r="C1698" i="9" s="1"/>
  <c r="C1699" i="9" a="1"/>
  <c r="C1699" i="9" s="1"/>
  <c r="C1700" i="9" a="1"/>
  <c r="C1700" i="9" s="1"/>
  <c r="C1701" i="9" a="1"/>
  <c r="C1701" i="9" s="1"/>
  <c r="C1702" i="9" a="1"/>
  <c r="C1702" i="9" s="1"/>
  <c r="C1703" i="9" a="1"/>
  <c r="C1703" i="9" s="1"/>
  <c r="C1704" i="9" a="1"/>
  <c r="C1704" i="9" s="1"/>
  <c r="C1705" i="9" a="1"/>
  <c r="C1705" i="9" s="1"/>
  <c r="C1706" i="9" a="1"/>
  <c r="C1706" i="9" s="1"/>
  <c r="C1707" i="9" a="1"/>
  <c r="C1707" i="9" s="1"/>
  <c r="C1708" i="9" a="1"/>
  <c r="C1708" i="9" s="1"/>
  <c r="C1709" i="9" a="1"/>
  <c r="C1709" i="9" s="1"/>
  <c r="C1710" i="9" a="1"/>
  <c r="C1710" i="9" s="1"/>
  <c r="C1711" i="9" a="1"/>
  <c r="C1711" i="9" s="1"/>
  <c r="C1712" i="9" a="1"/>
  <c r="C1712" i="9" s="1"/>
  <c r="C1713" i="9" a="1"/>
  <c r="C1713" i="9" s="1"/>
  <c r="C1714" i="9" a="1"/>
  <c r="C1714" i="9" s="1"/>
  <c r="C1715" i="9" a="1"/>
  <c r="C1715" i="9" s="1"/>
  <c r="C1716" i="9" a="1"/>
  <c r="C1716" i="9" s="1"/>
  <c r="C1717" i="9" a="1"/>
  <c r="C1717" i="9" s="1"/>
  <c r="C1718" i="9" a="1"/>
  <c r="C1718" i="9" s="1"/>
  <c r="C1719" i="9" a="1"/>
  <c r="C1719" i="9" s="1"/>
  <c r="C1720" i="9" a="1"/>
  <c r="C1720" i="9" s="1"/>
  <c r="C1721" i="9" a="1"/>
  <c r="C1721" i="9" s="1"/>
  <c r="C1722" i="9" a="1"/>
  <c r="C1722" i="9" s="1"/>
  <c r="C1723" i="9" a="1"/>
  <c r="C1723" i="9" s="1"/>
  <c r="C2408" i="9" a="1"/>
  <c r="C2408" i="9" s="1"/>
  <c r="C1725" i="9" a="1"/>
  <c r="C1725" i="9" s="1"/>
  <c r="C1726" i="9" a="1"/>
  <c r="C1726" i="9" s="1"/>
  <c r="C1727" i="9" a="1"/>
  <c r="C1727" i="9" s="1"/>
  <c r="C1728" i="9" a="1"/>
  <c r="C1728" i="9" s="1"/>
  <c r="C1729" i="9" a="1"/>
  <c r="C1729" i="9" s="1"/>
  <c r="C1730" i="9" a="1"/>
  <c r="C1730" i="9" s="1"/>
  <c r="C1731" i="9" a="1"/>
  <c r="C1731" i="9" s="1"/>
  <c r="C1732" i="9" a="1"/>
  <c r="C1732" i="9" s="1"/>
  <c r="C1733" i="9" a="1"/>
  <c r="C1733" i="9" s="1"/>
  <c r="C1734" i="9" a="1"/>
  <c r="C1734" i="9" s="1"/>
  <c r="C1735" i="9" a="1"/>
  <c r="C1735" i="9" s="1"/>
  <c r="C1736" i="9" a="1"/>
  <c r="C1736" i="9" s="1"/>
  <c r="C1737" i="9" a="1"/>
  <c r="C1737" i="9" s="1"/>
  <c r="C1738" i="9" a="1"/>
  <c r="C1738" i="9" s="1"/>
  <c r="C1739" i="9" a="1"/>
  <c r="C1739" i="9" s="1"/>
  <c r="C1740" i="9" a="1"/>
  <c r="C1740" i="9" s="1"/>
  <c r="C1741" i="9" a="1"/>
  <c r="C1741" i="9" s="1"/>
  <c r="C1742" i="9" a="1"/>
  <c r="C1742" i="9" s="1"/>
  <c r="C1743" i="9" a="1"/>
  <c r="C1743" i="9" s="1"/>
  <c r="C1744" i="9" a="1"/>
  <c r="C1744" i="9" s="1"/>
  <c r="C1745" i="9" a="1"/>
  <c r="C1745" i="9" s="1"/>
  <c r="C1746" i="9" a="1"/>
  <c r="C1746" i="9" s="1"/>
  <c r="C1747" i="9" a="1"/>
  <c r="C1747" i="9" s="1"/>
  <c r="C1748" i="9" a="1"/>
  <c r="C1748" i="9" s="1"/>
  <c r="C1749" i="9" a="1"/>
  <c r="C1749" i="9" s="1"/>
  <c r="C1750" i="9" a="1"/>
  <c r="C1750" i="9" s="1"/>
  <c r="C1751" i="9" a="1"/>
  <c r="C1751" i="9" s="1"/>
  <c r="C1752" i="9" a="1"/>
  <c r="C1752" i="9" s="1"/>
  <c r="C1753" i="9" a="1"/>
  <c r="C1753" i="9" s="1"/>
  <c r="C1754" i="9" a="1"/>
  <c r="C1754" i="9" s="1"/>
  <c r="C1755" i="9" a="1"/>
  <c r="C1755" i="9" s="1"/>
  <c r="C1756" i="9" a="1"/>
  <c r="C1756" i="9" s="1"/>
  <c r="C1757" i="9" a="1"/>
  <c r="C1757" i="9" s="1"/>
  <c r="C1758" i="9" a="1"/>
  <c r="C1758" i="9" s="1"/>
  <c r="C1759" i="9" a="1"/>
  <c r="C1759" i="9" s="1"/>
  <c r="C2444" i="9" a="1"/>
  <c r="C2444" i="9" s="1"/>
  <c r="C1761" i="9" a="1"/>
  <c r="C1761" i="9" s="1"/>
  <c r="C1762" i="9" a="1"/>
  <c r="C1762" i="9" s="1"/>
  <c r="C1763" i="9" a="1"/>
  <c r="C1763" i="9" s="1"/>
  <c r="C1764" i="9" a="1"/>
  <c r="C1764" i="9" s="1"/>
  <c r="C1765" i="9" a="1"/>
  <c r="C1765" i="9" s="1"/>
  <c r="C1766" i="9" a="1"/>
  <c r="C1766" i="9" s="1"/>
  <c r="C1767" i="9" a="1"/>
  <c r="C1767" i="9" s="1"/>
  <c r="C1768" i="9" a="1"/>
  <c r="C1768" i="9" s="1"/>
  <c r="C1769" i="9" a="1"/>
  <c r="C1769" i="9" s="1"/>
  <c r="C1770" i="9" a="1"/>
  <c r="C1770" i="9" s="1"/>
  <c r="C1771" i="9" a="1"/>
  <c r="C1771" i="9" s="1"/>
  <c r="C1772" i="9" a="1"/>
  <c r="C1772" i="9" s="1"/>
  <c r="C1773" i="9" a="1"/>
  <c r="C1773" i="9" s="1"/>
  <c r="C1774" i="9" a="1"/>
  <c r="C1774" i="9" s="1"/>
  <c r="C1775" i="9" a="1"/>
  <c r="C1775" i="9" s="1"/>
  <c r="C1776" i="9" a="1"/>
  <c r="C1776" i="9" s="1"/>
  <c r="C1777" i="9" a="1"/>
  <c r="C1777" i="9" s="1"/>
  <c r="C1778" i="9" a="1"/>
  <c r="C1778" i="9" s="1"/>
  <c r="C1779" i="9" a="1"/>
  <c r="C1779" i="9" s="1"/>
  <c r="C1780" i="9" a="1"/>
  <c r="C1780" i="9" s="1"/>
  <c r="C1781" i="9" a="1"/>
  <c r="C1781" i="9" s="1"/>
  <c r="C1782" i="9" a="1"/>
  <c r="C1782" i="9" s="1"/>
  <c r="C1783" i="9" a="1"/>
  <c r="C1783" i="9" s="1"/>
  <c r="C1784" i="9" a="1"/>
  <c r="C1784" i="9" s="1"/>
  <c r="C1785" i="9" a="1"/>
  <c r="C1785" i="9" s="1"/>
  <c r="C1786" i="9" a="1"/>
  <c r="C1786" i="9" s="1"/>
  <c r="C1787" i="9" a="1"/>
  <c r="C1787" i="9" s="1"/>
  <c r="C1788" i="9" a="1"/>
  <c r="C1788" i="9" s="1"/>
  <c r="C1789" i="9" a="1"/>
  <c r="C1789" i="9" s="1"/>
  <c r="C1790" i="9" a="1"/>
  <c r="C1790" i="9" s="1"/>
  <c r="C1791" i="9" a="1"/>
  <c r="C1791" i="9" s="1"/>
  <c r="C1792" i="9" a="1"/>
  <c r="C1792" i="9" s="1"/>
  <c r="C1793" i="9" a="1"/>
  <c r="C1793" i="9" s="1"/>
  <c r="C1794" i="9" a="1"/>
  <c r="C1794" i="9" s="1"/>
  <c r="C1795" i="9" a="1"/>
  <c r="C1795" i="9" s="1"/>
  <c r="C2480" i="9" a="1"/>
  <c r="C2480" i="9" s="1"/>
  <c r="C1797" i="9" a="1"/>
  <c r="C1797" i="9" s="1"/>
  <c r="C1798" i="9" a="1"/>
  <c r="C1798" i="9" s="1"/>
  <c r="C1799" i="9" a="1"/>
  <c r="C1799" i="9" s="1"/>
  <c r="C1800" i="9" a="1"/>
  <c r="C1800" i="9" s="1"/>
  <c r="C1801" i="9" a="1"/>
  <c r="C1801" i="9" s="1"/>
  <c r="C1802" i="9" a="1"/>
  <c r="C1802" i="9" s="1"/>
  <c r="C1803" i="9" a="1"/>
  <c r="C1803" i="9" s="1"/>
  <c r="C1804" i="9" a="1"/>
  <c r="C1804" i="9" s="1"/>
  <c r="C1805" i="9" a="1"/>
  <c r="C1805" i="9" s="1"/>
  <c r="C1806" i="9" a="1"/>
  <c r="C1806" i="9" s="1"/>
  <c r="C1807" i="9" a="1"/>
  <c r="C1807" i="9" s="1"/>
  <c r="C1808" i="9" a="1"/>
  <c r="C1808" i="9" s="1"/>
  <c r="C1809" i="9" a="1"/>
  <c r="C1809" i="9" s="1"/>
  <c r="C1810" i="9" a="1"/>
  <c r="C1810" i="9" s="1"/>
  <c r="C1811" i="9" a="1"/>
  <c r="C1811" i="9" s="1"/>
  <c r="C1812" i="9" a="1"/>
  <c r="C1812" i="9" s="1"/>
  <c r="C1813" i="9" a="1"/>
  <c r="C1813" i="9" s="1"/>
  <c r="C1814" i="9" a="1"/>
  <c r="C1814" i="9" s="1"/>
  <c r="C1815" i="9" a="1"/>
  <c r="C1815" i="9" s="1"/>
  <c r="C1816" i="9" a="1"/>
  <c r="C1816" i="9" s="1"/>
  <c r="C1817" i="9" a="1"/>
  <c r="C1817" i="9" s="1"/>
  <c r="C1818" i="9" a="1"/>
  <c r="C1818" i="9" s="1"/>
  <c r="C1819" i="9" a="1"/>
  <c r="C1819" i="9" s="1"/>
  <c r="C1820" i="9" a="1"/>
  <c r="C1820" i="9" s="1"/>
  <c r="C1821" i="9" a="1"/>
  <c r="C1821" i="9" s="1"/>
  <c r="C1822" i="9" a="1"/>
  <c r="C1822" i="9" s="1"/>
  <c r="C1823" i="9" a="1"/>
  <c r="C1823" i="9" s="1"/>
  <c r="C1824" i="9" a="1"/>
  <c r="C1824" i="9" s="1"/>
  <c r="C1825" i="9" a="1"/>
  <c r="C1825" i="9" s="1"/>
  <c r="C1826" i="9" a="1"/>
  <c r="C1826" i="9" s="1"/>
  <c r="C1827" i="9" a="1"/>
  <c r="C1827" i="9" s="1"/>
  <c r="C1828" i="9" a="1"/>
  <c r="C1828" i="9" s="1"/>
  <c r="C1829" i="9" a="1"/>
  <c r="C1829" i="9" s="1"/>
  <c r="C1830" i="9" a="1"/>
  <c r="C1830" i="9" s="1"/>
  <c r="C1831" i="9" a="1"/>
  <c r="C1831" i="9" s="1"/>
  <c r="C1832" i="9" a="1"/>
  <c r="C1832" i="9" s="1"/>
  <c r="C1833" i="9" a="1"/>
  <c r="C1833" i="9" s="1"/>
  <c r="C1834" i="9" a="1"/>
  <c r="C1834" i="9" s="1"/>
  <c r="C1835" i="9" a="1"/>
  <c r="C1835" i="9" s="1"/>
  <c r="C1836" i="9" a="1"/>
  <c r="C1836" i="9" s="1"/>
  <c r="C1837" i="9" a="1"/>
  <c r="C1837" i="9" s="1"/>
  <c r="C1838" i="9" a="1"/>
  <c r="C1838" i="9" s="1"/>
  <c r="C1839" i="9" a="1"/>
  <c r="C1839" i="9" s="1"/>
  <c r="C1840" i="9" a="1"/>
  <c r="C1840" i="9" s="1"/>
  <c r="C1841" i="9" a="1"/>
  <c r="C1841" i="9" s="1"/>
  <c r="C1842" i="9" a="1"/>
  <c r="C1842" i="9" s="1"/>
  <c r="C1843" i="9" a="1"/>
  <c r="C1843" i="9" s="1"/>
  <c r="C1844" i="9" a="1"/>
  <c r="C1844" i="9" s="1"/>
  <c r="C1845" i="9" a="1"/>
  <c r="C1845" i="9" s="1"/>
  <c r="C1846" i="9" a="1"/>
  <c r="C1846" i="9" s="1"/>
  <c r="C1847" i="9" a="1"/>
  <c r="C1847" i="9" s="1"/>
  <c r="C1848" i="9" a="1"/>
  <c r="C1848" i="9" s="1"/>
  <c r="C1849" i="9" a="1"/>
  <c r="C1849" i="9" s="1"/>
  <c r="C1850" i="9" a="1"/>
  <c r="C1850" i="9" s="1"/>
  <c r="C1851" i="9" a="1"/>
  <c r="C1851" i="9" s="1"/>
  <c r="C1852" i="9" a="1"/>
  <c r="C1852" i="9" s="1"/>
  <c r="C1853" i="9" a="1"/>
  <c r="C1853" i="9" s="1"/>
  <c r="C1854" i="9" a="1"/>
  <c r="C1854" i="9" s="1"/>
  <c r="C1855" i="9" a="1"/>
  <c r="C1855" i="9" s="1"/>
  <c r="C1856" i="9" a="1"/>
  <c r="C1856" i="9" s="1"/>
  <c r="C1857" i="9" a="1"/>
  <c r="C1857" i="9" s="1"/>
  <c r="C1858" i="9" a="1"/>
  <c r="C1858" i="9" s="1"/>
  <c r="C1859" i="9" a="1"/>
  <c r="C1859" i="9" s="1"/>
  <c r="C1860" i="9" a="1"/>
  <c r="C1860" i="9" s="1"/>
  <c r="C1861" i="9" a="1"/>
  <c r="C1861" i="9" s="1"/>
  <c r="C1862" i="9" a="1"/>
  <c r="C1862" i="9" s="1"/>
  <c r="C1863" i="9" a="1"/>
  <c r="C1863" i="9" s="1"/>
  <c r="C1864" i="9" a="1"/>
  <c r="C1864" i="9" s="1"/>
  <c r="C1865" i="9" a="1"/>
  <c r="C1865" i="9" s="1"/>
  <c r="C1866" i="9" a="1"/>
  <c r="C1866" i="9" s="1"/>
  <c r="C1867" i="9" a="1"/>
  <c r="C1867" i="9" s="1"/>
  <c r="C1868" i="9" a="1"/>
  <c r="C1868" i="9" s="1"/>
  <c r="C1869" i="9" a="1"/>
  <c r="C1869" i="9" s="1"/>
  <c r="C1870" i="9" a="1"/>
  <c r="C1870" i="9" s="1"/>
  <c r="C1871" i="9" a="1"/>
  <c r="C1871" i="9" s="1"/>
  <c r="C1872" i="9" a="1"/>
  <c r="C1872" i="9" s="1"/>
  <c r="C1873" i="9" a="1"/>
  <c r="C1873" i="9" s="1"/>
  <c r="C1874" i="9" a="1"/>
  <c r="C1874" i="9" s="1"/>
  <c r="C1875" i="9" a="1"/>
  <c r="C1875" i="9" s="1"/>
  <c r="C1876" i="9" a="1"/>
  <c r="C1876" i="9" s="1"/>
  <c r="C1877" i="9" a="1"/>
  <c r="C1877" i="9" s="1"/>
  <c r="C1878" i="9" a="1"/>
  <c r="C1878" i="9" s="1"/>
  <c r="C1879" i="9" a="1"/>
  <c r="C1879" i="9" s="1"/>
  <c r="C1880" i="9" a="1"/>
  <c r="C1880" i="9" s="1"/>
  <c r="C1881" i="9" a="1"/>
  <c r="C1881" i="9" s="1"/>
  <c r="C1882" i="9" a="1"/>
  <c r="C1882" i="9" s="1"/>
  <c r="C1883" i="9" a="1"/>
  <c r="C1883" i="9" s="1"/>
  <c r="C1884" i="9" a="1"/>
  <c r="C1884" i="9" s="1"/>
  <c r="C1885" i="9" a="1"/>
  <c r="C1885" i="9" s="1"/>
  <c r="C1886" i="9" a="1"/>
  <c r="C1886" i="9" s="1"/>
  <c r="C1887" i="9" a="1"/>
  <c r="C1887" i="9" s="1"/>
  <c r="C1888" i="9" a="1"/>
  <c r="C1888" i="9" s="1"/>
  <c r="C1889" i="9" a="1"/>
  <c r="C1889" i="9" s="1"/>
  <c r="C1890" i="9" a="1"/>
  <c r="C1890" i="9" s="1"/>
  <c r="C1891" i="9" a="1"/>
  <c r="C1891" i="9" s="1"/>
  <c r="C1892" i="9" a="1"/>
  <c r="C1892" i="9" s="1"/>
  <c r="C1893" i="9" a="1"/>
  <c r="C1893" i="9" s="1"/>
  <c r="C1894" i="9" a="1"/>
  <c r="C1894" i="9" s="1"/>
  <c r="C1895" i="9" a="1"/>
  <c r="C1895" i="9" s="1"/>
  <c r="C1896" i="9" a="1"/>
  <c r="C1896" i="9" s="1"/>
  <c r="C1897" i="9" a="1"/>
  <c r="C1897" i="9" s="1"/>
  <c r="C1898" i="9" a="1"/>
  <c r="C1898" i="9" s="1"/>
  <c r="C1899" i="9" a="1"/>
  <c r="C1899" i="9" s="1"/>
  <c r="C1900" i="9" a="1"/>
  <c r="C1900" i="9" s="1"/>
  <c r="C1901" i="9" a="1"/>
  <c r="C1901" i="9" s="1"/>
  <c r="C1902" i="9" a="1"/>
  <c r="C1902" i="9" s="1"/>
  <c r="C1903" i="9" a="1"/>
  <c r="C1903" i="9" s="1"/>
  <c r="C1904" i="9" a="1"/>
  <c r="C1904" i="9" s="1"/>
  <c r="C1905" i="9" a="1"/>
  <c r="C1905" i="9" s="1"/>
  <c r="C1906" i="9" a="1"/>
  <c r="C1906" i="9" s="1"/>
  <c r="C1907" i="9" a="1"/>
  <c r="C1907" i="9" s="1"/>
  <c r="C1908" i="9" a="1"/>
  <c r="C1908" i="9" s="1"/>
  <c r="C1909" i="9" a="1"/>
  <c r="C1909" i="9" s="1"/>
  <c r="C1910" i="9" a="1"/>
  <c r="C1910" i="9" s="1"/>
  <c r="C1911" i="9" a="1"/>
  <c r="C1911" i="9" s="1"/>
  <c r="C1912" i="9" a="1"/>
  <c r="C1912" i="9" s="1"/>
  <c r="C1913" i="9" a="1"/>
  <c r="C1913" i="9" s="1"/>
  <c r="C1914" i="9" a="1"/>
  <c r="C1914" i="9" s="1"/>
  <c r="C1915" i="9" a="1"/>
  <c r="C1915" i="9" s="1"/>
  <c r="C1916" i="9" a="1"/>
  <c r="C1916" i="9" s="1"/>
  <c r="C1917" i="9" a="1"/>
  <c r="C1917" i="9" s="1"/>
  <c r="C1918" i="9" a="1"/>
  <c r="C1918" i="9" s="1"/>
  <c r="C1919" i="9" a="1"/>
  <c r="C1919" i="9" s="1"/>
  <c r="C1920" i="9" a="1"/>
  <c r="C1920" i="9" s="1"/>
  <c r="C1921" i="9" a="1"/>
  <c r="C1921" i="9" s="1"/>
  <c r="C1922" i="9" a="1"/>
  <c r="C1922" i="9" s="1"/>
  <c r="C1923" i="9" a="1"/>
  <c r="C1923" i="9" s="1"/>
  <c r="C1924" i="9" a="1"/>
  <c r="C1924" i="9" s="1"/>
  <c r="C1925" i="9" a="1"/>
  <c r="C1925" i="9" s="1"/>
  <c r="C1926" i="9" a="1"/>
  <c r="C1926" i="9" s="1"/>
  <c r="C1927" i="9" a="1"/>
  <c r="C1927" i="9" s="1"/>
  <c r="C1928" i="9" a="1"/>
  <c r="C1928" i="9" s="1"/>
  <c r="C1929" i="9" a="1"/>
  <c r="C1929" i="9" s="1"/>
  <c r="C1930" i="9" a="1"/>
  <c r="C1930" i="9" s="1"/>
  <c r="C1931" i="9" a="1"/>
  <c r="C1931" i="9" s="1"/>
  <c r="C1932" i="9" a="1"/>
  <c r="C1932" i="9" s="1"/>
  <c r="C1933" i="9" a="1"/>
  <c r="C1933" i="9" s="1"/>
  <c r="C1934" i="9" a="1"/>
  <c r="C1934" i="9" s="1"/>
  <c r="C1935" i="9" a="1"/>
  <c r="C1935" i="9" s="1"/>
  <c r="C1936" i="9" a="1"/>
  <c r="C1936" i="9" s="1"/>
  <c r="C1937" i="9" a="1"/>
  <c r="C1937" i="9" s="1"/>
  <c r="C1938" i="9" a="1"/>
  <c r="C1938" i="9" s="1"/>
  <c r="C1939" i="9" a="1"/>
  <c r="C1939" i="9" s="1"/>
  <c r="C1940" i="9" a="1"/>
  <c r="C1940" i="9" s="1"/>
  <c r="C1941" i="9" a="1"/>
  <c r="C1941" i="9" s="1"/>
  <c r="C1942" i="9" a="1"/>
  <c r="C1942" i="9" s="1"/>
  <c r="C1943" i="9" a="1"/>
  <c r="C1943" i="9" s="1"/>
  <c r="C1944" i="9" a="1"/>
  <c r="C1944" i="9" s="1"/>
  <c r="C1945" i="9" a="1"/>
  <c r="C1945" i="9" s="1"/>
  <c r="C1946" i="9" a="1"/>
  <c r="C1946" i="9" s="1"/>
  <c r="C1947" i="9" a="1"/>
  <c r="C1947" i="9" s="1"/>
  <c r="C1948" i="9" a="1"/>
  <c r="C1948" i="9" s="1"/>
  <c r="C1949" i="9" a="1"/>
  <c r="C1949" i="9" s="1"/>
  <c r="C1950" i="9" a="1"/>
  <c r="C1950" i="9" s="1"/>
  <c r="C1951" i="9" a="1"/>
  <c r="C1951" i="9" s="1"/>
  <c r="C1952" i="9" a="1"/>
  <c r="C1952" i="9" s="1"/>
  <c r="C1953" i="9" a="1"/>
  <c r="C1953" i="9" s="1"/>
  <c r="C1954" i="9" a="1"/>
  <c r="C1954" i="9" s="1"/>
  <c r="C1955" i="9" a="1"/>
  <c r="C1955" i="9" s="1"/>
  <c r="C1956" i="9" a="1"/>
  <c r="C1956" i="9" s="1"/>
  <c r="C1957" i="9" a="1"/>
  <c r="C1957" i="9" s="1"/>
  <c r="C1958" i="9" a="1"/>
  <c r="C1958" i="9" s="1"/>
  <c r="C1959" i="9" a="1"/>
  <c r="C1959" i="9" s="1"/>
  <c r="C1960" i="9" a="1"/>
  <c r="C1960" i="9" s="1"/>
  <c r="C1961" i="9" a="1"/>
  <c r="C1961" i="9" s="1"/>
  <c r="C1962" i="9" a="1"/>
  <c r="C1962" i="9" s="1"/>
  <c r="C1963" i="9" a="1"/>
  <c r="C1963" i="9" s="1"/>
  <c r="C1964" i="9" a="1"/>
  <c r="C1964" i="9" s="1"/>
  <c r="C1965" i="9" a="1"/>
  <c r="C1965" i="9" s="1"/>
  <c r="C1966" i="9" a="1"/>
  <c r="C1966" i="9" s="1"/>
  <c r="C1967" i="9" a="1"/>
  <c r="C1967" i="9" s="1"/>
  <c r="C1968" i="9" a="1"/>
  <c r="C1968" i="9" s="1"/>
  <c r="C1969" i="9" a="1"/>
  <c r="C1969" i="9" s="1"/>
  <c r="C1970" i="9" a="1"/>
  <c r="C1970" i="9" s="1"/>
  <c r="C1971" i="9" a="1"/>
  <c r="C1971" i="9" s="1"/>
  <c r="C1972" i="9" a="1"/>
  <c r="C1972" i="9" s="1"/>
  <c r="C1973" i="9" a="1"/>
  <c r="C1973" i="9" s="1"/>
  <c r="C1974" i="9" a="1"/>
  <c r="C1974" i="9" s="1"/>
  <c r="C1975" i="9" a="1"/>
  <c r="C1975" i="9" s="1"/>
  <c r="C1976" i="9" a="1"/>
  <c r="C1976" i="9" s="1"/>
  <c r="C1977" i="9" a="1"/>
  <c r="C1977" i="9" s="1"/>
  <c r="C1978" i="9" a="1"/>
  <c r="C1978" i="9" s="1"/>
  <c r="C1979" i="9" a="1"/>
  <c r="C1979" i="9" s="1"/>
  <c r="C1980" i="9" a="1"/>
  <c r="C1980" i="9" s="1"/>
  <c r="C1981" i="9" a="1"/>
  <c r="C1981" i="9" s="1"/>
  <c r="C1982" i="9" a="1"/>
  <c r="C1982" i="9" s="1"/>
  <c r="C1983" i="9" a="1"/>
  <c r="C1983" i="9" s="1"/>
  <c r="C1984" i="9" a="1"/>
  <c r="C1984" i="9" s="1"/>
  <c r="C1985" i="9" a="1"/>
  <c r="C1985" i="9" s="1"/>
  <c r="C1986" i="9" a="1"/>
  <c r="C1986" i="9" s="1"/>
  <c r="C1987" i="9" a="1"/>
  <c r="C1987" i="9" s="1"/>
  <c r="C1988" i="9" a="1"/>
  <c r="C1988" i="9" s="1"/>
  <c r="C1989" i="9" a="1"/>
  <c r="C1989" i="9" s="1"/>
  <c r="C1990" i="9" a="1"/>
  <c r="C1990" i="9" s="1"/>
  <c r="C1991" i="9" a="1"/>
  <c r="C1991" i="9" s="1"/>
  <c r="C1992" i="9" a="1"/>
  <c r="C1992" i="9" s="1"/>
  <c r="C1993" i="9" a="1"/>
  <c r="C1993" i="9" s="1"/>
  <c r="C1994" i="9" a="1"/>
  <c r="C1994" i="9" s="1"/>
  <c r="C1995" i="9" a="1"/>
  <c r="C1995" i="9" s="1"/>
  <c r="C1996" i="9" a="1"/>
  <c r="C1996" i="9" s="1"/>
  <c r="C1997" i="9" a="1"/>
  <c r="C1997" i="9" s="1"/>
  <c r="C1998" i="9" a="1"/>
  <c r="C1998" i="9" s="1"/>
  <c r="C1999" i="9" a="1"/>
  <c r="C1999" i="9" s="1"/>
  <c r="C2000" i="9" a="1"/>
  <c r="C2000" i="9" s="1"/>
  <c r="C2001" i="9" a="1"/>
  <c r="C2001" i="9" s="1"/>
  <c r="C2002" i="9" a="1"/>
  <c r="C2002" i="9" s="1"/>
  <c r="C2003" i="9" a="1"/>
  <c r="C2003" i="9" s="1"/>
  <c r="C2004" i="9" a="1"/>
  <c r="C2004" i="9" s="1"/>
  <c r="C2005" i="9" a="1"/>
  <c r="C2005" i="9" s="1"/>
  <c r="C2006" i="9" a="1"/>
  <c r="C2006" i="9" s="1"/>
  <c r="C2007" i="9" a="1"/>
  <c r="C2007" i="9" s="1"/>
  <c r="C2008" i="9" a="1"/>
  <c r="C2008" i="9" s="1"/>
  <c r="C2009" i="9" a="1"/>
  <c r="C2009" i="9" s="1"/>
  <c r="C2010" i="9" a="1"/>
  <c r="C2010" i="9" s="1"/>
  <c r="C2011" i="9" a="1"/>
  <c r="C2011" i="9" s="1"/>
  <c r="C2048" i="9" a="1"/>
  <c r="C2048" i="9" s="1"/>
  <c r="C2013" i="9" a="1"/>
  <c r="C2013" i="9" s="1"/>
  <c r="C2014" i="9" a="1"/>
  <c r="C2014" i="9" s="1"/>
  <c r="C2015" i="9" a="1"/>
  <c r="C2015" i="9" s="1"/>
  <c r="C2016" i="9" a="1"/>
  <c r="C2016" i="9" s="1"/>
  <c r="C2017" i="9" a="1"/>
  <c r="C2017" i="9" s="1"/>
  <c r="C2018" i="9" a="1"/>
  <c r="C2018" i="9" s="1"/>
  <c r="C2019" i="9" a="1"/>
  <c r="C2019" i="9" s="1"/>
  <c r="C2020" i="9" a="1"/>
  <c r="C2020" i="9" s="1"/>
  <c r="C2021" i="9" a="1"/>
  <c r="C2021" i="9" s="1"/>
  <c r="C2022" i="9" a="1"/>
  <c r="C2022" i="9" s="1"/>
  <c r="C2023" i="9" a="1"/>
  <c r="C2023" i="9" s="1"/>
  <c r="C2024" i="9" a="1"/>
  <c r="C2024" i="9" s="1"/>
  <c r="C2025" i="9" a="1"/>
  <c r="C2025" i="9" s="1"/>
  <c r="C2026" i="9" a="1"/>
  <c r="C2026" i="9" s="1"/>
  <c r="C2027" i="9" a="1"/>
  <c r="C2027" i="9" s="1"/>
  <c r="C2028" i="9" a="1"/>
  <c r="C2028" i="9" s="1"/>
  <c r="C2029" i="9" a="1"/>
  <c r="C2029" i="9" s="1"/>
  <c r="C2030" i="9" a="1"/>
  <c r="C2030" i="9" s="1"/>
  <c r="C2031" i="9" a="1"/>
  <c r="C2031" i="9" s="1"/>
  <c r="C2032" i="9" a="1"/>
  <c r="C2032" i="9" s="1"/>
  <c r="C2033" i="9" a="1"/>
  <c r="C2033" i="9" s="1"/>
  <c r="C2034" i="9" a="1"/>
  <c r="C2034" i="9" s="1"/>
  <c r="C2035" i="9" a="1"/>
  <c r="C2035" i="9" s="1"/>
  <c r="C2036" i="9" a="1"/>
  <c r="C2036" i="9" s="1"/>
  <c r="C2037" i="9" a="1"/>
  <c r="C2037" i="9" s="1"/>
  <c r="C2038" i="9" a="1"/>
  <c r="C2038" i="9" s="1"/>
  <c r="C2039" i="9" a="1"/>
  <c r="C2039" i="9" s="1"/>
  <c r="C2040" i="9" a="1"/>
  <c r="C2040" i="9" s="1"/>
  <c r="C2041" i="9" a="1"/>
  <c r="C2041" i="9" s="1"/>
  <c r="C2042" i="9" a="1"/>
  <c r="C2042" i="9" s="1"/>
  <c r="C2043" i="9" a="1"/>
  <c r="C2043" i="9" s="1"/>
  <c r="C2044" i="9" a="1"/>
  <c r="C2044" i="9" s="1"/>
  <c r="C2045" i="9" a="1"/>
  <c r="C2045" i="9" s="1"/>
  <c r="C2046" i="9" a="1"/>
  <c r="C2046" i="9" s="1"/>
  <c r="C2047" i="9" a="1"/>
  <c r="C2047" i="9" s="1"/>
  <c r="C2012" i="9" a="1"/>
  <c r="C2012" i="9" s="1"/>
  <c r="C2049" i="9" a="1"/>
  <c r="C2049" i="9" s="1"/>
  <c r="C2050" i="9" a="1"/>
  <c r="C2050" i="9" s="1"/>
  <c r="C2051" i="9" a="1"/>
  <c r="C2051" i="9" s="1"/>
  <c r="C2052" i="9" a="1"/>
  <c r="C2052" i="9" s="1"/>
  <c r="C2053" i="9" a="1"/>
  <c r="C2053" i="9" s="1"/>
  <c r="C2054" i="9" a="1"/>
  <c r="C2054" i="9" s="1"/>
  <c r="C2055" i="9" a="1"/>
  <c r="C2055" i="9" s="1"/>
  <c r="C2056" i="9" a="1"/>
  <c r="C2056" i="9" s="1"/>
  <c r="C2057" i="9" a="1"/>
  <c r="C2057" i="9" s="1"/>
  <c r="C2058" i="9" a="1"/>
  <c r="C2058" i="9" s="1"/>
  <c r="C2059" i="9" a="1"/>
  <c r="C2059" i="9" s="1"/>
  <c r="C2060" i="9" a="1"/>
  <c r="C2060" i="9" s="1"/>
  <c r="C2061" i="9" a="1"/>
  <c r="C2061" i="9" s="1"/>
  <c r="C2062" i="9" a="1"/>
  <c r="C2062" i="9" s="1"/>
  <c r="C2063" i="9" a="1"/>
  <c r="C2063" i="9" s="1"/>
  <c r="C2064" i="9" a="1"/>
  <c r="C2064" i="9" s="1"/>
  <c r="C2065" i="9" a="1"/>
  <c r="C2065" i="9" s="1"/>
  <c r="C2066" i="9" a="1"/>
  <c r="C2066" i="9" s="1"/>
  <c r="C2067" i="9" a="1"/>
  <c r="C2067" i="9" s="1"/>
  <c r="C2068" i="9" a="1"/>
  <c r="C2068" i="9" s="1"/>
  <c r="C2069" i="9" a="1"/>
  <c r="C2069" i="9" s="1"/>
  <c r="C2070" i="9" a="1"/>
  <c r="C2070" i="9" s="1"/>
  <c r="C2071" i="9" a="1"/>
  <c r="C2071" i="9" s="1"/>
  <c r="C2072" i="9" a="1"/>
  <c r="C2072" i="9" s="1"/>
  <c r="C2073" i="9" a="1"/>
  <c r="C2073" i="9" s="1"/>
  <c r="C2074" i="9" a="1"/>
  <c r="C2074" i="9" s="1"/>
  <c r="C2075" i="9" a="1"/>
  <c r="C2075" i="9" s="1"/>
  <c r="C2076" i="9" a="1"/>
  <c r="C2076" i="9" s="1"/>
  <c r="C2077" i="9" a="1"/>
  <c r="C2077" i="9" s="1"/>
  <c r="C2078" i="9" a="1"/>
  <c r="C2078" i="9" s="1"/>
  <c r="C2079" i="9" a="1"/>
  <c r="C2079" i="9" s="1"/>
  <c r="C2080" i="9" a="1"/>
  <c r="C2080" i="9" s="1"/>
  <c r="C2081" i="9" a="1"/>
  <c r="C2081" i="9" s="1"/>
  <c r="C2082" i="9" a="1"/>
  <c r="C2082" i="9" s="1"/>
  <c r="C2083" i="9" a="1"/>
  <c r="C2083" i="9" s="1"/>
  <c r="C2084" i="9" a="1"/>
  <c r="C2084" i="9" s="1"/>
  <c r="C2085" i="9" a="1"/>
  <c r="C2085" i="9" s="1"/>
  <c r="C2086" i="9" a="1"/>
  <c r="C2086" i="9" s="1"/>
  <c r="C2087" i="9" a="1"/>
  <c r="C2087" i="9" s="1"/>
  <c r="C2088" i="9" a="1"/>
  <c r="C2088" i="9" s="1"/>
  <c r="C2089" i="9" a="1"/>
  <c r="C2089" i="9" s="1"/>
  <c r="C2090" i="9" a="1"/>
  <c r="C2090" i="9" s="1"/>
  <c r="C2091" i="9" a="1"/>
  <c r="C2091" i="9" s="1"/>
  <c r="C2092" i="9" a="1"/>
  <c r="C2092" i="9" s="1"/>
  <c r="C2093" i="9" a="1"/>
  <c r="C2093" i="9" s="1"/>
  <c r="C2094" i="9" a="1"/>
  <c r="C2094" i="9" s="1"/>
  <c r="C2095" i="9" a="1"/>
  <c r="C2095" i="9" s="1"/>
  <c r="C2096" i="9" a="1"/>
  <c r="C2096" i="9" s="1"/>
  <c r="C2097" i="9" a="1"/>
  <c r="C2097" i="9" s="1"/>
  <c r="C2098" i="9" a="1"/>
  <c r="C2098" i="9" s="1"/>
  <c r="C2099" i="9" a="1"/>
  <c r="C2099" i="9" s="1"/>
  <c r="C2100" i="9" a="1"/>
  <c r="C2100" i="9" s="1"/>
  <c r="C2101" i="9" a="1"/>
  <c r="C2101" i="9" s="1"/>
  <c r="C2102" i="9" a="1"/>
  <c r="C2102" i="9" s="1"/>
  <c r="C2103" i="9" a="1"/>
  <c r="C2103" i="9" s="1"/>
  <c r="C2104" i="9" a="1"/>
  <c r="C2104" i="9" s="1"/>
  <c r="C2105" i="9" a="1"/>
  <c r="C2105" i="9" s="1"/>
  <c r="C2106" i="9" a="1"/>
  <c r="C2106" i="9" s="1"/>
  <c r="C2107" i="9" a="1"/>
  <c r="C2107" i="9" s="1"/>
  <c r="C2108" i="9" a="1"/>
  <c r="C2108" i="9" s="1"/>
  <c r="C2109" i="9" a="1"/>
  <c r="C2109" i="9" s="1"/>
  <c r="C2110" i="9" a="1"/>
  <c r="C2110" i="9" s="1"/>
  <c r="C2111" i="9" a="1"/>
  <c r="C2111" i="9" s="1"/>
  <c r="C2112" i="9" a="1"/>
  <c r="C2112" i="9" s="1"/>
  <c r="C2113" i="9" a="1"/>
  <c r="C2113" i="9" s="1"/>
  <c r="C2114" i="9" a="1"/>
  <c r="C2114" i="9" s="1"/>
  <c r="C2115" i="9" a="1"/>
  <c r="C2115" i="9" s="1"/>
  <c r="C2116" i="9" a="1"/>
  <c r="C2116" i="9" s="1"/>
  <c r="C2117" i="9" a="1"/>
  <c r="C2117" i="9" s="1"/>
  <c r="C2118" i="9" a="1"/>
  <c r="C2118" i="9" s="1"/>
  <c r="C2119" i="9" a="1"/>
  <c r="C2119" i="9" s="1"/>
  <c r="C2120" i="9" a="1"/>
  <c r="C2120" i="9" s="1"/>
  <c r="C2121" i="9" a="1"/>
  <c r="C2121" i="9" s="1"/>
  <c r="C2122" i="9" a="1"/>
  <c r="C2122" i="9" s="1"/>
  <c r="C2123" i="9" a="1"/>
  <c r="C2123" i="9" s="1"/>
  <c r="C2124" i="9" a="1"/>
  <c r="C2124" i="9" s="1"/>
  <c r="C2125" i="9" a="1"/>
  <c r="C2125" i="9" s="1"/>
  <c r="C2126" i="9" a="1"/>
  <c r="C2126" i="9" s="1"/>
  <c r="C2127" i="9" a="1"/>
  <c r="C2127" i="9" s="1"/>
  <c r="C2128" i="9" a="1"/>
  <c r="C2128" i="9" s="1"/>
  <c r="C2129" i="9" a="1"/>
  <c r="C2129" i="9" s="1"/>
  <c r="C2130" i="9" a="1"/>
  <c r="C2130" i="9" s="1"/>
  <c r="C2131" i="9" a="1"/>
  <c r="C2131" i="9" s="1"/>
  <c r="C2132" i="9" a="1"/>
  <c r="C2132" i="9" s="1"/>
  <c r="C2133" i="9" a="1"/>
  <c r="C2133" i="9" s="1"/>
  <c r="C2134" i="9" a="1"/>
  <c r="C2134" i="9" s="1"/>
  <c r="C2135" i="9" a="1"/>
  <c r="C2135" i="9" s="1"/>
  <c r="C2136" i="9" a="1"/>
  <c r="C2136" i="9" s="1"/>
  <c r="C2137" i="9" a="1"/>
  <c r="C2137" i="9" s="1"/>
  <c r="C2138" i="9" a="1"/>
  <c r="C2138" i="9" s="1"/>
  <c r="C2139" i="9" a="1"/>
  <c r="C2139" i="9" s="1"/>
  <c r="C2140" i="9" a="1"/>
  <c r="C2140" i="9" s="1"/>
  <c r="C2141" i="9" a="1"/>
  <c r="C2141" i="9" s="1"/>
  <c r="C2142" i="9" a="1"/>
  <c r="C2142" i="9" s="1"/>
  <c r="C2143" i="9" a="1"/>
  <c r="C2143" i="9" s="1"/>
  <c r="C2144" i="9" a="1"/>
  <c r="C2144" i="9" s="1"/>
  <c r="C2145" i="9" a="1"/>
  <c r="C2145" i="9" s="1"/>
  <c r="C2146" i="9" a="1"/>
  <c r="C2146" i="9" s="1"/>
  <c r="C2147" i="9" a="1"/>
  <c r="C2147" i="9" s="1"/>
  <c r="C2148" i="9" a="1"/>
  <c r="C2148" i="9" s="1"/>
  <c r="C2149" i="9" a="1"/>
  <c r="C2149" i="9" s="1"/>
  <c r="C2150" i="9" a="1"/>
  <c r="C2150" i="9" s="1"/>
  <c r="C2151" i="9" a="1"/>
  <c r="C2151" i="9" s="1"/>
  <c r="C2152" i="9" a="1"/>
  <c r="C2152" i="9" s="1"/>
  <c r="C2153" i="9" a="1"/>
  <c r="C2153" i="9" s="1"/>
  <c r="C2154" i="9" a="1"/>
  <c r="C2154" i="9" s="1"/>
  <c r="C2155" i="9" a="1"/>
  <c r="C2155" i="9" s="1"/>
  <c r="C2156" i="9" a="1"/>
  <c r="C2156" i="9" s="1"/>
  <c r="C2157" i="9" a="1"/>
  <c r="C2157" i="9" s="1"/>
  <c r="C2158" i="9" a="1"/>
  <c r="C2158" i="9" s="1"/>
  <c r="C2159" i="9" a="1"/>
  <c r="C2159" i="9" s="1"/>
  <c r="C2160" i="9" a="1"/>
  <c r="C2160" i="9" s="1"/>
  <c r="C2161" i="9" a="1"/>
  <c r="C2161" i="9" s="1"/>
  <c r="C2162" i="9" a="1"/>
  <c r="C2162" i="9" s="1"/>
  <c r="C2163" i="9" a="1"/>
  <c r="C2163" i="9" s="1"/>
  <c r="C2164" i="9" a="1"/>
  <c r="C2164" i="9" s="1"/>
  <c r="C2165" i="9" a="1"/>
  <c r="C2165" i="9" s="1"/>
  <c r="C2166" i="9" a="1"/>
  <c r="C2166" i="9" s="1"/>
  <c r="C2167" i="9" a="1"/>
  <c r="C2167" i="9" s="1"/>
  <c r="C2168" i="9" a="1"/>
  <c r="C2168" i="9" s="1"/>
  <c r="C2169" i="9" a="1"/>
  <c r="C2169" i="9" s="1"/>
  <c r="C2170" i="9" a="1"/>
  <c r="C2170" i="9" s="1"/>
  <c r="C2171" i="9" a="1"/>
  <c r="C2171" i="9" s="1"/>
  <c r="C2172" i="9" a="1"/>
  <c r="C2172" i="9" s="1"/>
  <c r="C2173" i="9" a="1"/>
  <c r="C2173" i="9" s="1"/>
  <c r="C2174" i="9" a="1"/>
  <c r="C2174" i="9" s="1"/>
  <c r="C2175" i="9" a="1"/>
  <c r="C2175" i="9" s="1"/>
  <c r="C2176" i="9" a="1"/>
  <c r="C2176" i="9" s="1"/>
  <c r="C2177" i="9" a="1"/>
  <c r="C2177" i="9" s="1"/>
  <c r="C2178" i="9" a="1"/>
  <c r="C2178" i="9" s="1"/>
  <c r="C2179" i="9" a="1"/>
  <c r="C2179" i="9" s="1"/>
  <c r="C2180" i="9" a="1"/>
  <c r="C2180" i="9" s="1"/>
  <c r="C2181" i="9" a="1"/>
  <c r="C2181" i="9" s="1"/>
  <c r="C2182" i="9" a="1"/>
  <c r="C2182" i="9" s="1"/>
  <c r="C2183" i="9" a="1"/>
  <c r="C2183" i="9" s="1"/>
  <c r="C2184" i="9" a="1"/>
  <c r="C2184" i="9" s="1"/>
  <c r="C2185" i="9" a="1"/>
  <c r="C2185" i="9" s="1"/>
  <c r="C2186" i="9" a="1"/>
  <c r="C2186" i="9" s="1"/>
  <c r="C2187" i="9" a="1"/>
  <c r="C2187" i="9" s="1"/>
  <c r="C2188" i="9" a="1"/>
  <c r="C2188" i="9" s="1"/>
  <c r="C2189" i="9" a="1"/>
  <c r="C2189" i="9" s="1"/>
  <c r="C2190" i="9" a="1"/>
  <c r="C2190" i="9" s="1"/>
  <c r="C2191" i="9" a="1"/>
  <c r="C2191" i="9" s="1"/>
  <c r="C2192" i="9" a="1"/>
  <c r="C2192" i="9" s="1"/>
  <c r="C2193" i="9" a="1"/>
  <c r="C2193" i="9" s="1"/>
  <c r="C2194" i="9" a="1"/>
  <c r="C2194" i="9" s="1"/>
  <c r="C2195" i="9" a="1"/>
  <c r="C2195" i="9" s="1"/>
  <c r="C2196" i="9" a="1"/>
  <c r="C2196" i="9" s="1"/>
  <c r="C2197" i="9" a="1"/>
  <c r="C2197" i="9" s="1"/>
  <c r="C2198" i="9" a="1"/>
  <c r="C2198" i="9" s="1"/>
  <c r="C2199" i="9" a="1"/>
  <c r="C2199" i="9" s="1"/>
  <c r="C2200" i="9" a="1"/>
  <c r="C2200" i="9" s="1"/>
  <c r="C2201" i="9" a="1"/>
  <c r="C2201" i="9" s="1"/>
  <c r="C2202" i="9" a="1"/>
  <c r="C2202" i="9" s="1"/>
  <c r="C2203" i="9" a="1"/>
  <c r="C2203" i="9" s="1"/>
  <c r="C2204" i="9" a="1"/>
  <c r="C2204" i="9" s="1"/>
  <c r="C2205" i="9" a="1"/>
  <c r="C2205" i="9" s="1"/>
  <c r="C2206" i="9" a="1"/>
  <c r="C2206" i="9" s="1"/>
  <c r="C2207" i="9" a="1"/>
  <c r="C2207" i="9" s="1"/>
  <c r="C2208" i="9" a="1"/>
  <c r="C2208" i="9" s="1"/>
  <c r="C2209" i="9" a="1"/>
  <c r="C2209" i="9" s="1"/>
  <c r="C2210" i="9" a="1"/>
  <c r="C2210" i="9" s="1"/>
  <c r="C2211" i="9" a="1"/>
  <c r="C2211" i="9" s="1"/>
  <c r="C2212" i="9" a="1"/>
  <c r="C2212" i="9" s="1"/>
  <c r="C2213" i="9" a="1"/>
  <c r="C2213" i="9" s="1"/>
  <c r="C2214" i="9" a="1"/>
  <c r="C2214" i="9" s="1"/>
  <c r="C2215" i="9" a="1"/>
  <c r="C2215" i="9" s="1"/>
  <c r="C2216" i="9" a="1"/>
  <c r="C2216" i="9" s="1"/>
  <c r="C2217" i="9" a="1"/>
  <c r="C2217" i="9" s="1"/>
  <c r="C2218" i="9" a="1"/>
  <c r="C2218" i="9" s="1"/>
  <c r="C2219" i="9" a="1"/>
  <c r="C2219" i="9" s="1"/>
  <c r="C2220" i="9" a="1"/>
  <c r="C2220" i="9" s="1"/>
  <c r="C2221" i="9" a="1"/>
  <c r="C2221" i="9" s="1"/>
  <c r="C2222" i="9" a="1"/>
  <c r="C2222" i="9" s="1"/>
  <c r="C2223" i="9" a="1"/>
  <c r="C2223" i="9" s="1"/>
  <c r="C2224" i="9" a="1"/>
  <c r="C2224" i="9" s="1"/>
  <c r="C2225" i="9" a="1"/>
  <c r="C2225" i="9" s="1"/>
  <c r="C2226" i="9" a="1"/>
  <c r="C2226" i="9" s="1"/>
  <c r="C2227" i="9" a="1"/>
  <c r="C2227" i="9" s="1"/>
  <c r="C2228" i="9" a="1"/>
  <c r="C2228" i="9" s="1"/>
  <c r="C2229" i="9" a="1"/>
  <c r="C2229" i="9" s="1"/>
  <c r="C2230" i="9" a="1"/>
  <c r="C2230" i="9" s="1"/>
  <c r="C2231" i="9" a="1"/>
  <c r="C2231" i="9" s="1"/>
  <c r="C2232" i="9" a="1"/>
  <c r="C2232" i="9" s="1"/>
  <c r="C2233" i="9" a="1"/>
  <c r="C2233" i="9" s="1"/>
  <c r="C2234" i="9" a="1"/>
  <c r="C2234" i="9" s="1"/>
  <c r="C2235" i="9" a="1"/>
  <c r="C2235" i="9" s="1"/>
  <c r="C2236" i="9" a="1"/>
  <c r="C2236" i="9" s="1"/>
  <c r="C2237" i="9" a="1"/>
  <c r="C2237" i="9" s="1"/>
  <c r="C2238" i="9" a="1"/>
  <c r="C2238" i="9" s="1"/>
  <c r="C2239" i="9" a="1"/>
  <c r="C2239" i="9" s="1"/>
  <c r="C2240" i="9" a="1"/>
  <c r="C2240" i="9" s="1"/>
  <c r="C2241" i="9" a="1"/>
  <c r="C2241" i="9" s="1"/>
  <c r="C2242" i="9" a="1"/>
  <c r="C2242" i="9" s="1"/>
  <c r="C2243" i="9" a="1"/>
  <c r="C2243" i="9" s="1"/>
  <c r="C2244" i="9" a="1"/>
  <c r="C2244" i="9" s="1"/>
  <c r="C2245" i="9" a="1"/>
  <c r="C2245" i="9" s="1"/>
  <c r="C2246" i="9" a="1"/>
  <c r="C2246" i="9" s="1"/>
  <c r="C2247" i="9" a="1"/>
  <c r="C2247" i="9" s="1"/>
  <c r="C2248" i="9" a="1"/>
  <c r="C2248" i="9" s="1"/>
  <c r="C2249" i="9" a="1"/>
  <c r="C2249" i="9" s="1"/>
  <c r="C2250" i="9" a="1"/>
  <c r="C2250" i="9" s="1"/>
  <c r="C2251" i="9" a="1"/>
  <c r="C2251" i="9" s="1"/>
  <c r="C2252" i="9" a="1"/>
  <c r="C2252" i="9" s="1"/>
  <c r="C2253" i="9" a="1"/>
  <c r="C2253" i="9" s="1"/>
  <c r="C2254" i="9" a="1"/>
  <c r="C2254" i="9" s="1"/>
  <c r="C2255" i="9" a="1"/>
  <c r="C2255" i="9" s="1"/>
  <c r="C2256" i="9" a="1"/>
  <c r="C2256" i="9" s="1"/>
  <c r="C2257" i="9" a="1"/>
  <c r="C2257" i="9" s="1"/>
  <c r="C2258" i="9" a="1"/>
  <c r="C2258" i="9" s="1"/>
  <c r="C2259" i="9" a="1"/>
  <c r="C2259" i="9" s="1"/>
  <c r="C2260" i="9" a="1"/>
  <c r="C2260" i="9" s="1"/>
  <c r="C2261" i="9" a="1"/>
  <c r="C2261" i="9" s="1"/>
  <c r="C2262" i="9" a="1"/>
  <c r="C2262" i="9" s="1"/>
  <c r="C2263" i="9" a="1"/>
  <c r="C2263" i="9" s="1"/>
  <c r="C2264" i="9" a="1"/>
  <c r="C2264" i="9" s="1"/>
  <c r="C2265" i="9" a="1"/>
  <c r="C2265" i="9" s="1"/>
  <c r="C2266" i="9" a="1"/>
  <c r="C2266" i="9" s="1"/>
  <c r="C2267" i="9" a="1"/>
  <c r="C2267" i="9" s="1"/>
  <c r="C2268" i="9" a="1"/>
  <c r="C2268" i="9" s="1"/>
  <c r="C2269" i="9" a="1"/>
  <c r="C2269" i="9" s="1"/>
  <c r="C2270" i="9" a="1"/>
  <c r="C2270" i="9" s="1"/>
  <c r="C2271" i="9" a="1"/>
  <c r="C2271" i="9" s="1"/>
  <c r="C2272" i="9" a="1"/>
  <c r="C2272" i="9" s="1"/>
  <c r="C2273" i="9" a="1"/>
  <c r="C2273" i="9" s="1"/>
  <c r="C2274" i="9" a="1"/>
  <c r="C2274" i="9" s="1"/>
  <c r="C2275" i="9" a="1"/>
  <c r="C2275" i="9" s="1"/>
  <c r="C2276" i="9" a="1"/>
  <c r="C2276" i="9" s="1"/>
  <c r="C2277" i="9" a="1"/>
  <c r="C2277" i="9" s="1"/>
  <c r="C2278" i="9" a="1"/>
  <c r="C2278" i="9" s="1"/>
  <c r="C2279" i="9" a="1"/>
  <c r="C2279" i="9" s="1"/>
  <c r="C2280" i="9" a="1"/>
  <c r="C2280" i="9" s="1"/>
  <c r="C2281" i="9" a="1"/>
  <c r="C2281" i="9" s="1"/>
  <c r="C2282" i="9" a="1"/>
  <c r="C2282" i="9" s="1"/>
  <c r="C2283" i="9" a="1"/>
  <c r="C2283" i="9" s="1"/>
  <c r="C2284" i="9" a="1"/>
  <c r="C2284" i="9" s="1"/>
  <c r="C2285" i="9" a="1"/>
  <c r="C2285" i="9" s="1"/>
  <c r="C2286" i="9" a="1"/>
  <c r="C2286" i="9" s="1"/>
  <c r="C2287" i="9" a="1"/>
  <c r="C2287" i="9" s="1"/>
  <c r="C2288" i="9" a="1"/>
  <c r="C2288" i="9" s="1"/>
  <c r="C2289" i="9" a="1"/>
  <c r="C2289" i="9" s="1"/>
  <c r="C2290" i="9" a="1"/>
  <c r="C2290" i="9" s="1"/>
  <c r="C2291" i="9" a="1"/>
  <c r="C2291" i="9" s="1"/>
  <c r="C2292" i="9" a="1"/>
  <c r="C2292" i="9" s="1"/>
  <c r="C2293" i="9" a="1"/>
  <c r="C2293" i="9" s="1"/>
  <c r="C2294" i="9" a="1"/>
  <c r="C2294" i="9" s="1"/>
  <c r="C2295" i="9" a="1"/>
  <c r="C2295" i="9" s="1"/>
  <c r="C2296" i="9" a="1"/>
  <c r="C2296" i="9" s="1"/>
  <c r="C2297" i="9" a="1"/>
  <c r="C2297" i="9" s="1"/>
  <c r="C2298" i="9" a="1"/>
  <c r="C2298" i="9" s="1"/>
  <c r="C2299" i="9" a="1"/>
  <c r="C2299" i="9" s="1"/>
  <c r="C2300" i="9" a="1"/>
  <c r="C2300" i="9" s="1"/>
  <c r="C2301" i="9" a="1"/>
  <c r="C2301" i="9" s="1"/>
  <c r="C2302" i="9" a="1"/>
  <c r="C2302" i="9" s="1"/>
  <c r="C2303" i="9" a="1"/>
  <c r="C2303" i="9" s="1"/>
  <c r="C2304" i="9" a="1"/>
  <c r="C2304" i="9" s="1"/>
  <c r="C2305" i="9" a="1"/>
  <c r="C2305" i="9" s="1"/>
  <c r="C2306" i="9" a="1"/>
  <c r="C2306" i="9" s="1"/>
  <c r="C2307" i="9" a="1"/>
  <c r="C2307" i="9" s="1"/>
  <c r="C2308" i="9" a="1"/>
  <c r="C2308" i="9" s="1"/>
  <c r="C2309" i="9" a="1"/>
  <c r="C2309" i="9" s="1"/>
  <c r="C2310" i="9" a="1"/>
  <c r="C2310" i="9" s="1"/>
  <c r="C2311" i="9" a="1"/>
  <c r="C2311" i="9" s="1"/>
  <c r="C2312" i="9" a="1"/>
  <c r="C2312" i="9" s="1"/>
  <c r="C2313" i="9" a="1"/>
  <c r="C2313" i="9" s="1"/>
  <c r="C2314" i="9" a="1"/>
  <c r="C2314" i="9" s="1"/>
  <c r="C2315" i="9" a="1"/>
  <c r="C2315" i="9" s="1"/>
  <c r="C2316" i="9" a="1"/>
  <c r="C2316" i="9" s="1"/>
  <c r="C2317" i="9" a="1"/>
  <c r="C2317" i="9" s="1"/>
  <c r="C2318" i="9" a="1"/>
  <c r="C2318" i="9" s="1"/>
  <c r="C2319" i="9" a="1"/>
  <c r="C2319" i="9" s="1"/>
  <c r="C2320" i="9" a="1"/>
  <c r="C2320" i="9" s="1"/>
  <c r="C2321" i="9" a="1"/>
  <c r="C2321" i="9" s="1"/>
  <c r="C2322" i="9" a="1"/>
  <c r="C2322" i="9" s="1"/>
  <c r="C2323" i="9" a="1"/>
  <c r="C2323" i="9" s="1"/>
  <c r="C2324" i="9" a="1"/>
  <c r="C2324" i="9" s="1"/>
  <c r="C2325" i="9" a="1"/>
  <c r="C2325" i="9" s="1"/>
  <c r="C2326" i="9" a="1"/>
  <c r="C2326" i="9" s="1"/>
  <c r="C2327" i="9" a="1"/>
  <c r="C2327" i="9" s="1"/>
  <c r="C2328" i="9" a="1"/>
  <c r="C2328" i="9" s="1"/>
  <c r="C2329" i="9" a="1"/>
  <c r="C2329" i="9" s="1"/>
  <c r="C2330" i="9" a="1"/>
  <c r="C2330" i="9" s="1"/>
  <c r="C2331" i="9" a="1"/>
  <c r="C2331" i="9" s="1"/>
  <c r="C2332" i="9" a="1"/>
  <c r="C2332" i="9" s="1"/>
  <c r="C2333" i="9" a="1"/>
  <c r="C2333" i="9" s="1"/>
  <c r="C2334" i="9" a="1"/>
  <c r="C2334" i="9" s="1"/>
  <c r="C2335" i="9" a="1"/>
  <c r="C2335" i="9" s="1"/>
  <c r="C2336" i="9" a="1"/>
  <c r="C2336" i="9" s="1"/>
  <c r="C2337" i="9" a="1"/>
  <c r="C2337" i="9" s="1"/>
  <c r="C2338" i="9" a="1"/>
  <c r="C2338" i="9" s="1"/>
  <c r="C2339" i="9" a="1"/>
  <c r="C2339" i="9" s="1"/>
  <c r="C2340" i="9" a="1"/>
  <c r="C2340" i="9" s="1"/>
  <c r="C2341" i="9" a="1"/>
  <c r="C2341" i="9" s="1"/>
  <c r="C2342" i="9" a="1"/>
  <c r="C2342" i="9" s="1"/>
  <c r="C2343" i="9" a="1"/>
  <c r="C2343" i="9" s="1"/>
  <c r="C2344" i="9" a="1"/>
  <c r="C2344" i="9" s="1"/>
  <c r="C2345" i="9" a="1"/>
  <c r="C2345" i="9" s="1"/>
  <c r="C2346" i="9" a="1"/>
  <c r="C2346" i="9" s="1"/>
  <c r="C2347" i="9" a="1"/>
  <c r="C2347" i="9" s="1"/>
  <c r="C2348" i="9" a="1"/>
  <c r="C2348" i="9" s="1"/>
  <c r="C2349" i="9" a="1"/>
  <c r="C2349" i="9" s="1"/>
  <c r="C2350" i="9" a="1"/>
  <c r="C2350" i="9" s="1"/>
  <c r="C2351" i="9" a="1"/>
  <c r="C2351" i="9" s="1"/>
  <c r="C2352" i="9" a="1"/>
  <c r="C2352" i="9" s="1"/>
  <c r="C2353" i="9" a="1"/>
  <c r="C2353" i="9" s="1"/>
  <c r="C2354" i="9" a="1"/>
  <c r="C2354" i="9" s="1"/>
  <c r="C2355" i="9" a="1"/>
  <c r="C2355" i="9" s="1"/>
  <c r="C2356" i="9" a="1"/>
  <c r="C2356" i="9" s="1"/>
  <c r="C2357" i="9" a="1"/>
  <c r="C2357" i="9" s="1"/>
  <c r="C2358" i="9" a="1"/>
  <c r="C2358" i="9" s="1"/>
  <c r="C2359" i="9" a="1"/>
  <c r="C2359" i="9" s="1"/>
  <c r="C2360" i="9" a="1"/>
  <c r="C2360" i="9" s="1"/>
  <c r="C2361" i="9" a="1"/>
  <c r="C2361" i="9" s="1"/>
  <c r="C2362" i="9" a="1"/>
  <c r="C2362" i="9" s="1"/>
  <c r="C2363" i="9" a="1"/>
  <c r="C2363" i="9" s="1"/>
  <c r="C2364" i="9" a="1"/>
  <c r="C2364" i="9" s="1"/>
  <c r="C2365" i="9" a="1"/>
  <c r="C2365" i="9" s="1"/>
  <c r="C2366" i="9" a="1"/>
  <c r="C2366" i="9" s="1"/>
  <c r="C2367" i="9" a="1"/>
  <c r="C2367" i="9" s="1"/>
  <c r="C2368" i="9" a="1"/>
  <c r="C2368" i="9" s="1"/>
  <c r="C2369" i="9" a="1"/>
  <c r="C2369" i="9" s="1"/>
  <c r="C2370" i="9" a="1"/>
  <c r="C2370" i="9" s="1"/>
  <c r="C2371" i="9" a="1"/>
  <c r="C2371" i="9" s="1"/>
  <c r="C2372" i="9" a="1"/>
  <c r="C2372" i="9" s="1"/>
  <c r="C2373" i="9" a="1"/>
  <c r="C2373" i="9" s="1"/>
  <c r="C2374" i="9" a="1"/>
  <c r="C2374" i="9" s="1"/>
  <c r="C2375" i="9" a="1"/>
  <c r="C2375" i="9" s="1"/>
  <c r="C2376" i="9" a="1"/>
  <c r="C2376" i="9" s="1"/>
  <c r="C2377" i="9" a="1"/>
  <c r="C2377" i="9" s="1"/>
  <c r="C2378" i="9" a="1"/>
  <c r="C2378" i="9" s="1"/>
  <c r="C2379" i="9" a="1"/>
  <c r="C2379" i="9" s="1"/>
  <c r="C2380" i="9" a="1"/>
  <c r="C2380" i="9" s="1"/>
  <c r="C2381" i="9" a="1"/>
  <c r="C2381" i="9" s="1"/>
  <c r="C2382" i="9" a="1"/>
  <c r="C2382" i="9" s="1"/>
  <c r="C2383" i="9" a="1"/>
  <c r="C2383" i="9" s="1"/>
  <c r="C2384" i="9" a="1"/>
  <c r="C2384" i="9" s="1"/>
  <c r="C2385" i="9" a="1"/>
  <c r="C2385" i="9" s="1"/>
  <c r="C2386" i="9" a="1"/>
  <c r="C2386" i="9" s="1"/>
  <c r="C2387" i="9" a="1"/>
  <c r="C2387" i="9" s="1"/>
  <c r="C2388" i="9" a="1"/>
  <c r="C2388" i="9" s="1"/>
  <c r="C2389" i="9" a="1"/>
  <c r="C2389" i="9" s="1"/>
  <c r="C2390" i="9" a="1"/>
  <c r="C2390" i="9" s="1"/>
  <c r="C2391" i="9" a="1"/>
  <c r="C2391" i="9" s="1"/>
  <c r="C2392" i="9" a="1"/>
  <c r="C2392" i="9" s="1"/>
  <c r="C2393" i="9" a="1"/>
  <c r="C2393" i="9" s="1"/>
  <c r="C2394" i="9" a="1"/>
  <c r="C2394" i="9" s="1"/>
  <c r="C2395" i="9" a="1"/>
  <c r="C2395" i="9" s="1"/>
  <c r="C2396" i="9" a="1"/>
  <c r="C2396" i="9" s="1"/>
  <c r="C2397" i="9" a="1"/>
  <c r="C2397" i="9" s="1"/>
  <c r="C2398" i="9" a="1"/>
  <c r="C2398" i="9" s="1"/>
  <c r="C2399" i="9" a="1"/>
  <c r="C2399" i="9" s="1"/>
  <c r="C2400" i="9" a="1"/>
  <c r="C2400" i="9" s="1"/>
  <c r="C2401" i="9" a="1"/>
  <c r="C2401" i="9" s="1"/>
  <c r="C2402" i="9" a="1"/>
  <c r="C2402" i="9" s="1"/>
  <c r="C2403" i="9" a="1"/>
  <c r="C2403" i="9" s="1"/>
  <c r="C2404" i="9" a="1"/>
  <c r="C2404" i="9" s="1"/>
  <c r="C2405" i="9" a="1"/>
  <c r="C2405" i="9" s="1"/>
  <c r="C2406" i="9" a="1"/>
  <c r="C2406" i="9" s="1"/>
  <c r="C2407" i="9" a="1"/>
  <c r="C2407" i="9" s="1"/>
  <c r="C2624" i="9" a="1"/>
  <c r="C2624" i="9" s="1"/>
  <c r="C2409" i="9" a="1"/>
  <c r="C2409" i="9" s="1"/>
  <c r="C2410" i="9" a="1"/>
  <c r="C2410" i="9" s="1"/>
  <c r="C2411" i="9" a="1"/>
  <c r="C2411" i="9" s="1"/>
  <c r="C2412" i="9" a="1"/>
  <c r="C2412" i="9" s="1"/>
  <c r="C2413" i="9" a="1"/>
  <c r="C2413" i="9" s="1"/>
  <c r="C2414" i="9" a="1"/>
  <c r="C2414" i="9" s="1"/>
  <c r="C2415" i="9" a="1"/>
  <c r="C2415" i="9" s="1"/>
  <c r="C2416" i="9" a="1"/>
  <c r="C2416" i="9" s="1"/>
  <c r="C2417" i="9" a="1"/>
  <c r="C2417" i="9" s="1"/>
  <c r="C2418" i="9" a="1"/>
  <c r="C2418" i="9" s="1"/>
  <c r="C2419" i="9" a="1"/>
  <c r="C2419" i="9" s="1"/>
  <c r="C2420" i="9" a="1"/>
  <c r="C2420" i="9" s="1"/>
  <c r="C2421" i="9" a="1"/>
  <c r="C2421" i="9" s="1"/>
  <c r="C2422" i="9" a="1"/>
  <c r="C2422" i="9" s="1"/>
  <c r="C2423" i="9" a="1"/>
  <c r="C2423" i="9" s="1"/>
  <c r="C2424" i="9" a="1"/>
  <c r="C2424" i="9" s="1"/>
  <c r="C2425" i="9" a="1"/>
  <c r="C2425" i="9" s="1"/>
  <c r="C2426" i="9" a="1"/>
  <c r="C2426" i="9" s="1"/>
  <c r="C2427" i="9" a="1"/>
  <c r="C2427" i="9" s="1"/>
  <c r="C2428" i="9" a="1"/>
  <c r="C2428" i="9" s="1"/>
  <c r="C2429" i="9" a="1"/>
  <c r="C2429" i="9" s="1"/>
  <c r="C2430" i="9" a="1"/>
  <c r="C2430" i="9" s="1"/>
  <c r="C2431" i="9" a="1"/>
  <c r="C2431" i="9" s="1"/>
  <c r="C2432" i="9" a="1"/>
  <c r="C2432" i="9" s="1"/>
  <c r="C2433" i="9" a="1"/>
  <c r="C2433" i="9" s="1"/>
  <c r="C2434" i="9" a="1"/>
  <c r="C2434" i="9" s="1"/>
  <c r="C2435" i="9" a="1"/>
  <c r="C2435" i="9" s="1"/>
  <c r="C2436" i="9" a="1"/>
  <c r="C2436" i="9" s="1"/>
  <c r="C2437" i="9" a="1"/>
  <c r="C2437" i="9" s="1"/>
  <c r="C2438" i="9" a="1"/>
  <c r="C2438" i="9" s="1"/>
  <c r="C2439" i="9" a="1"/>
  <c r="C2439" i="9" s="1"/>
  <c r="C2440" i="9" a="1"/>
  <c r="C2440" i="9" s="1"/>
  <c r="C2441" i="9" a="1"/>
  <c r="C2441" i="9" s="1"/>
  <c r="C2442" i="9" a="1"/>
  <c r="C2442" i="9" s="1"/>
  <c r="C2443" i="9" a="1"/>
  <c r="C2443" i="9" s="1"/>
  <c r="C2516" i="9" a="1"/>
  <c r="C2516" i="9" s="1"/>
  <c r="C2445" i="9" a="1"/>
  <c r="C2445" i="9" s="1"/>
  <c r="C2446" i="9" a="1"/>
  <c r="C2446" i="9" s="1"/>
  <c r="C2447" i="9" a="1"/>
  <c r="C2447" i="9" s="1"/>
  <c r="C2448" i="9" a="1"/>
  <c r="C2448" i="9" s="1"/>
  <c r="C2449" i="9" a="1"/>
  <c r="C2449" i="9" s="1"/>
  <c r="C2450" i="9" a="1"/>
  <c r="C2450" i="9" s="1"/>
  <c r="C2451" i="9" a="1"/>
  <c r="C2451" i="9" s="1"/>
  <c r="C2452" i="9" a="1"/>
  <c r="C2452" i="9" s="1"/>
  <c r="C2453" i="9" a="1"/>
  <c r="C2453" i="9" s="1"/>
  <c r="C2454" i="9" a="1"/>
  <c r="C2454" i="9" s="1"/>
  <c r="C2455" i="9" a="1"/>
  <c r="C2455" i="9" s="1"/>
  <c r="C2456" i="9" a="1"/>
  <c r="C2456" i="9" s="1"/>
  <c r="C2457" i="9" a="1"/>
  <c r="C2457" i="9" s="1"/>
  <c r="C2458" i="9" a="1"/>
  <c r="C2458" i="9" s="1"/>
  <c r="C2459" i="9" a="1"/>
  <c r="C2459" i="9" s="1"/>
  <c r="C2460" i="9" a="1"/>
  <c r="C2460" i="9" s="1"/>
  <c r="C2461" i="9" a="1"/>
  <c r="C2461" i="9" s="1"/>
  <c r="C2462" i="9" a="1"/>
  <c r="C2462" i="9" s="1"/>
  <c r="C2463" i="9" a="1"/>
  <c r="C2463" i="9" s="1"/>
  <c r="C2464" i="9" a="1"/>
  <c r="C2464" i="9" s="1"/>
  <c r="C2465" i="9" a="1"/>
  <c r="C2465" i="9" s="1"/>
  <c r="C2466" i="9" a="1"/>
  <c r="C2466" i="9" s="1"/>
  <c r="C2467" i="9" a="1"/>
  <c r="C2467" i="9" s="1"/>
  <c r="C2468" i="9" a="1"/>
  <c r="C2468" i="9" s="1"/>
  <c r="C2469" i="9" a="1"/>
  <c r="C2469" i="9" s="1"/>
  <c r="C2470" i="9" a="1"/>
  <c r="C2470" i="9" s="1"/>
  <c r="C2471" i="9" a="1"/>
  <c r="C2471" i="9" s="1"/>
  <c r="C2472" i="9" a="1"/>
  <c r="C2472" i="9" s="1"/>
  <c r="C2473" i="9" a="1"/>
  <c r="C2473" i="9" s="1"/>
  <c r="C2474" i="9" a="1"/>
  <c r="C2474" i="9" s="1"/>
  <c r="C2475" i="9" a="1"/>
  <c r="C2475" i="9" s="1"/>
  <c r="C2476" i="9" a="1"/>
  <c r="C2476" i="9" s="1"/>
  <c r="C2477" i="9" a="1"/>
  <c r="C2477" i="9" s="1"/>
  <c r="C2478" i="9" a="1"/>
  <c r="C2478" i="9" s="1"/>
  <c r="C2479" i="9" a="1"/>
  <c r="C2479" i="9" s="1"/>
  <c r="C2552" i="9" a="1"/>
  <c r="C2552" i="9" s="1"/>
  <c r="C2481" i="9" a="1"/>
  <c r="C2481" i="9" s="1"/>
  <c r="C2482" i="9" a="1"/>
  <c r="C2482" i="9" s="1"/>
  <c r="C2483" i="9" a="1"/>
  <c r="C2483" i="9" s="1"/>
  <c r="C2484" i="9" a="1"/>
  <c r="C2484" i="9" s="1"/>
  <c r="C2485" i="9" a="1"/>
  <c r="C2485" i="9" s="1"/>
  <c r="C2486" i="9" a="1"/>
  <c r="C2486" i="9" s="1"/>
  <c r="C2487" i="9" a="1"/>
  <c r="C2487" i="9" s="1"/>
  <c r="C2488" i="9" a="1"/>
  <c r="C2488" i="9" s="1"/>
  <c r="C2489" i="9" a="1"/>
  <c r="C2489" i="9" s="1"/>
  <c r="C2490" i="9" a="1"/>
  <c r="C2490" i="9" s="1"/>
  <c r="C2491" i="9" a="1"/>
  <c r="C2491" i="9" s="1"/>
  <c r="C2492" i="9" a="1"/>
  <c r="C2492" i="9" s="1"/>
  <c r="C2493" i="9" a="1"/>
  <c r="C2493" i="9" s="1"/>
  <c r="C2494" i="9" a="1"/>
  <c r="C2494" i="9" s="1"/>
  <c r="C2495" i="9" a="1"/>
  <c r="C2495" i="9" s="1"/>
  <c r="C2496" i="9" a="1"/>
  <c r="C2496" i="9" s="1"/>
  <c r="C2497" i="9" a="1"/>
  <c r="C2497" i="9" s="1"/>
  <c r="C2498" i="9" a="1"/>
  <c r="C2498" i="9" s="1"/>
  <c r="C2499" i="9" a="1"/>
  <c r="C2499" i="9" s="1"/>
  <c r="C2500" i="9" a="1"/>
  <c r="C2500" i="9" s="1"/>
  <c r="C2501" i="9" a="1"/>
  <c r="C2501" i="9" s="1"/>
  <c r="C2502" i="9" a="1"/>
  <c r="C2502" i="9" s="1"/>
  <c r="C2503" i="9" a="1"/>
  <c r="C2503" i="9" s="1"/>
  <c r="C2504" i="9" a="1"/>
  <c r="C2504" i="9" s="1"/>
  <c r="C2505" i="9" a="1"/>
  <c r="C2505" i="9" s="1"/>
  <c r="C2506" i="9" a="1"/>
  <c r="C2506" i="9" s="1"/>
  <c r="C2507" i="9" a="1"/>
  <c r="C2507" i="9" s="1"/>
  <c r="C2508" i="9" a="1"/>
  <c r="C2508" i="9" s="1"/>
  <c r="C2509" i="9" a="1"/>
  <c r="C2509" i="9" s="1"/>
  <c r="C2510" i="9" a="1"/>
  <c r="C2510" i="9" s="1"/>
  <c r="C2511" i="9" a="1"/>
  <c r="C2511" i="9" s="1"/>
  <c r="C2512" i="9" a="1"/>
  <c r="C2512" i="9" s="1"/>
  <c r="C2513" i="9" a="1"/>
  <c r="C2513" i="9" s="1"/>
  <c r="C2514" i="9" a="1"/>
  <c r="C2514" i="9" s="1"/>
  <c r="C2515" i="9" a="1"/>
  <c r="C2515" i="9" s="1"/>
  <c r="C2588" i="9" a="1"/>
  <c r="C2588" i="9" s="1"/>
  <c r="C2517" i="9" a="1"/>
  <c r="C2517" i="9" s="1"/>
  <c r="C2518" i="9" a="1"/>
  <c r="C2518" i="9" s="1"/>
  <c r="C2519" i="9" a="1"/>
  <c r="C2519" i="9" s="1"/>
  <c r="C2520" i="9" a="1"/>
  <c r="C2520" i="9" s="1"/>
  <c r="C2521" i="9" a="1"/>
  <c r="C2521" i="9" s="1"/>
  <c r="C2522" i="9" a="1"/>
  <c r="C2522" i="9" s="1"/>
  <c r="C2523" i="9" a="1"/>
  <c r="C2523" i="9" s="1"/>
  <c r="C2524" i="9" a="1"/>
  <c r="C2524" i="9" s="1"/>
  <c r="C2525" i="9" a="1"/>
  <c r="C2525" i="9" s="1"/>
  <c r="C2526" i="9" a="1"/>
  <c r="C2526" i="9" s="1"/>
  <c r="C2527" i="9" a="1"/>
  <c r="C2527" i="9" s="1"/>
  <c r="C2528" i="9" a="1"/>
  <c r="C2528" i="9" s="1"/>
  <c r="C2529" i="9" a="1"/>
  <c r="C2529" i="9" s="1"/>
  <c r="C2530" i="9" a="1"/>
  <c r="C2530" i="9" s="1"/>
  <c r="C2531" i="9" a="1"/>
  <c r="C2531" i="9" s="1"/>
  <c r="C2532" i="9" a="1"/>
  <c r="C2532" i="9" s="1"/>
  <c r="C2533" i="9" a="1"/>
  <c r="C2533" i="9" s="1"/>
  <c r="C2534" i="9" a="1"/>
  <c r="C2534" i="9" s="1"/>
  <c r="C2535" i="9" a="1"/>
  <c r="C2535" i="9" s="1"/>
  <c r="C2536" i="9" a="1"/>
  <c r="C2536" i="9" s="1"/>
  <c r="C2537" i="9" a="1"/>
  <c r="C2537" i="9" s="1"/>
  <c r="C2538" i="9" a="1"/>
  <c r="C2538" i="9" s="1"/>
  <c r="C2539" i="9" a="1"/>
  <c r="C2539" i="9" s="1"/>
  <c r="C2540" i="9" a="1"/>
  <c r="C2540" i="9" s="1"/>
  <c r="C2541" i="9" a="1"/>
  <c r="C2541" i="9" s="1"/>
  <c r="C2542" i="9" a="1"/>
  <c r="C2542" i="9" s="1"/>
  <c r="C2543" i="9" a="1"/>
  <c r="C2543" i="9" s="1"/>
  <c r="C2544" i="9" a="1"/>
  <c r="C2544" i="9" s="1"/>
  <c r="C2545" i="9" a="1"/>
  <c r="C2545" i="9" s="1"/>
  <c r="C2546" i="9" a="1"/>
  <c r="C2546" i="9" s="1"/>
  <c r="C2547" i="9" a="1"/>
  <c r="C2547" i="9" s="1"/>
  <c r="C2548" i="9" a="1"/>
  <c r="C2548" i="9" s="1"/>
  <c r="C2549" i="9" a="1"/>
  <c r="C2549" i="9" s="1"/>
  <c r="C2550" i="9" a="1"/>
  <c r="C2550" i="9" s="1"/>
  <c r="C2551" i="9" a="1"/>
  <c r="C2551" i="9" s="1"/>
  <c r="C2660" i="9" a="1"/>
  <c r="C2660" i="9" s="1"/>
  <c r="C2553" i="9" a="1"/>
  <c r="C2553" i="9" s="1"/>
  <c r="C2554" i="9" a="1"/>
  <c r="C2554" i="9" s="1"/>
  <c r="C2555" i="9" a="1"/>
  <c r="C2555" i="9" s="1"/>
  <c r="C2556" i="9" a="1"/>
  <c r="C2556" i="9" s="1"/>
  <c r="C2557" i="9" a="1"/>
  <c r="C2557" i="9" s="1"/>
  <c r="C2558" i="9" a="1"/>
  <c r="C2558" i="9" s="1"/>
  <c r="C2559" i="9" a="1"/>
  <c r="C2559" i="9" s="1"/>
  <c r="C2560" i="9" a="1"/>
  <c r="C2560" i="9" s="1"/>
  <c r="C2561" i="9" a="1"/>
  <c r="C2561" i="9" s="1"/>
  <c r="C2562" i="9" a="1"/>
  <c r="C2562" i="9" s="1"/>
  <c r="C2563" i="9" a="1"/>
  <c r="C2563" i="9" s="1"/>
  <c r="C2564" i="9" a="1"/>
  <c r="C2564" i="9" s="1"/>
  <c r="C2565" i="9" a="1"/>
  <c r="C2565" i="9" s="1"/>
  <c r="C2566" i="9" a="1"/>
  <c r="C2566" i="9" s="1"/>
  <c r="C2567" i="9" a="1"/>
  <c r="C2567" i="9" s="1"/>
  <c r="C2568" i="9" a="1"/>
  <c r="C2568" i="9" s="1"/>
  <c r="C2569" i="9" a="1"/>
  <c r="C2569" i="9" s="1"/>
  <c r="C2570" i="9" a="1"/>
  <c r="C2570" i="9" s="1"/>
  <c r="C2571" i="9" a="1"/>
  <c r="C2571" i="9" s="1"/>
  <c r="C2572" i="9" a="1"/>
  <c r="C2572" i="9" s="1"/>
  <c r="C2573" i="9" a="1"/>
  <c r="C2573" i="9" s="1"/>
  <c r="C2574" i="9" a="1"/>
  <c r="C2574" i="9" s="1"/>
  <c r="C2575" i="9" a="1"/>
  <c r="C2575" i="9" s="1"/>
  <c r="C2576" i="9" a="1"/>
  <c r="C2576" i="9" s="1"/>
  <c r="C2577" i="9" a="1"/>
  <c r="C2577" i="9" s="1"/>
  <c r="C2578" i="9" a="1"/>
  <c r="C2578" i="9" s="1"/>
  <c r="C2579" i="9" a="1"/>
  <c r="C2579" i="9" s="1"/>
  <c r="C2580" i="9" a="1"/>
  <c r="C2580" i="9" s="1"/>
  <c r="C2581" i="9" a="1"/>
  <c r="C2581" i="9" s="1"/>
  <c r="C2582" i="9" a="1"/>
  <c r="C2582" i="9" s="1"/>
  <c r="C2583" i="9" a="1"/>
  <c r="C2583" i="9" s="1"/>
  <c r="C2584" i="9" a="1"/>
  <c r="C2584" i="9" s="1"/>
  <c r="C2585" i="9" a="1"/>
  <c r="C2585" i="9" s="1"/>
  <c r="C2586" i="9" a="1"/>
  <c r="C2586" i="9" s="1"/>
  <c r="C2587" i="9" a="1"/>
  <c r="C2587" i="9" s="1"/>
  <c r="C2696" i="9" a="1"/>
  <c r="C2696" i="9" s="1"/>
  <c r="C2589" i="9" a="1"/>
  <c r="C2589" i="9" s="1"/>
  <c r="C2590" i="9" a="1"/>
  <c r="C2590" i="9" s="1"/>
  <c r="C2591" i="9" a="1"/>
  <c r="C2591" i="9" s="1"/>
  <c r="C2592" i="9" a="1"/>
  <c r="C2592" i="9" s="1"/>
  <c r="C2593" i="9" a="1"/>
  <c r="C2593" i="9" s="1"/>
  <c r="C2594" i="9" a="1"/>
  <c r="C2594" i="9" s="1"/>
  <c r="C2595" i="9" a="1"/>
  <c r="C2595" i="9" s="1"/>
  <c r="C2596" i="9" a="1"/>
  <c r="C2596" i="9" s="1"/>
  <c r="C2597" i="9" a="1"/>
  <c r="C2597" i="9" s="1"/>
  <c r="C2598" i="9" a="1"/>
  <c r="C2598" i="9" s="1"/>
  <c r="C2599" i="9" a="1"/>
  <c r="C2599" i="9" s="1"/>
  <c r="C2600" i="9" a="1"/>
  <c r="C2600" i="9" s="1"/>
  <c r="C2601" i="9" a="1"/>
  <c r="C2601" i="9" s="1"/>
  <c r="C2602" i="9" a="1"/>
  <c r="C2602" i="9" s="1"/>
  <c r="C2603" i="9" a="1"/>
  <c r="C2603" i="9" s="1"/>
  <c r="C2604" i="9" a="1"/>
  <c r="C2604" i="9" s="1"/>
  <c r="C2605" i="9" a="1"/>
  <c r="C2605" i="9" s="1"/>
  <c r="C2606" i="9" a="1"/>
  <c r="C2606" i="9" s="1"/>
  <c r="C2607" i="9" a="1"/>
  <c r="C2607" i="9" s="1"/>
  <c r="C2608" i="9" a="1"/>
  <c r="C2608" i="9" s="1"/>
  <c r="C2609" i="9" a="1"/>
  <c r="C2609" i="9" s="1"/>
  <c r="C2610" i="9" a="1"/>
  <c r="C2610" i="9" s="1"/>
  <c r="C2611" i="9" a="1"/>
  <c r="C2611" i="9" s="1"/>
  <c r="C2612" i="9" a="1"/>
  <c r="C2612" i="9" s="1"/>
  <c r="C2613" i="9" a="1"/>
  <c r="C2613" i="9" s="1"/>
  <c r="C2614" i="9" a="1"/>
  <c r="C2614" i="9" s="1"/>
  <c r="C2615" i="9" a="1"/>
  <c r="C2615" i="9" s="1"/>
  <c r="C2616" i="9" a="1"/>
  <c r="C2616" i="9" s="1"/>
  <c r="C2617" i="9" a="1"/>
  <c r="C2617" i="9" s="1"/>
  <c r="C2618" i="9" a="1"/>
  <c r="C2618" i="9" s="1"/>
  <c r="C2619" i="9" a="1"/>
  <c r="C2619" i="9" s="1"/>
  <c r="C2620" i="9" a="1"/>
  <c r="C2620" i="9" s="1"/>
  <c r="C2621" i="9" a="1"/>
  <c r="C2621" i="9" s="1"/>
  <c r="C2622" i="9" a="1"/>
  <c r="C2622" i="9" s="1"/>
  <c r="C2623" i="9" a="1"/>
  <c r="C2623" i="9" s="1"/>
  <c r="C2732" i="9" a="1"/>
  <c r="C2732" i="9" s="1"/>
  <c r="C2625" i="9" a="1"/>
  <c r="C2625" i="9" s="1"/>
  <c r="C2626" i="9" a="1"/>
  <c r="C2626" i="9" s="1"/>
  <c r="C2627" i="9" a="1"/>
  <c r="C2627" i="9" s="1"/>
  <c r="C2628" i="9" a="1"/>
  <c r="C2628" i="9" s="1"/>
  <c r="C2629" i="9" a="1"/>
  <c r="C2629" i="9" s="1"/>
  <c r="C2630" i="9" a="1"/>
  <c r="C2630" i="9" s="1"/>
  <c r="C2631" i="9" a="1"/>
  <c r="C2631" i="9" s="1"/>
  <c r="C2632" i="9" a="1"/>
  <c r="C2632" i="9" s="1"/>
  <c r="C2633" i="9" a="1"/>
  <c r="C2633" i="9" s="1"/>
  <c r="C2634" i="9" a="1"/>
  <c r="C2634" i="9" s="1"/>
  <c r="C2635" i="9" a="1"/>
  <c r="C2635" i="9" s="1"/>
  <c r="C2636" i="9" a="1"/>
  <c r="C2636" i="9" s="1"/>
  <c r="C2637" i="9" a="1"/>
  <c r="C2637" i="9" s="1"/>
  <c r="C2638" i="9" a="1"/>
  <c r="C2638" i="9" s="1"/>
  <c r="C2639" i="9" a="1"/>
  <c r="C2639" i="9" s="1"/>
  <c r="C2640" i="9" a="1"/>
  <c r="C2640" i="9" s="1"/>
  <c r="C2641" i="9" a="1"/>
  <c r="C2641" i="9" s="1"/>
  <c r="C2642" i="9" a="1"/>
  <c r="C2642" i="9" s="1"/>
  <c r="C2643" i="9" a="1"/>
  <c r="C2643" i="9" s="1"/>
  <c r="C2644" i="9" a="1"/>
  <c r="C2644" i="9" s="1"/>
  <c r="C2645" i="9" a="1"/>
  <c r="C2645" i="9" s="1"/>
  <c r="C2646" i="9" a="1"/>
  <c r="C2646" i="9" s="1"/>
  <c r="C2647" i="9" a="1"/>
  <c r="C2647" i="9" s="1"/>
  <c r="C2648" i="9" a="1"/>
  <c r="C2648" i="9" s="1"/>
  <c r="C2649" i="9" a="1"/>
  <c r="C2649" i="9" s="1"/>
  <c r="C2650" i="9" a="1"/>
  <c r="C2650" i="9" s="1"/>
  <c r="C2651" i="9" a="1"/>
  <c r="C2651" i="9" s="1"/>
  <c r="C2652" i="9" a="1"/>
  <c r="C2652" i="9" s="1"/>
  <c r="C2653" i="9" a="1"/>
  <c r="C2653" i="9" s="1"/>
  <c r="C2654" i="9" a="1"/>
  <c r="C2654" i="9" s="1"/>
  <c r="C2655" i="9" a="1"/>
  <c r="C2655" i="9" s="1"/>
  <c r="C2656" i="9" a="1"/>
  <c r="C2656" i="9" s="1"/>
  <c r="C2657" i="9" a="1"/>
  <c r="C2657" i="9" s="1"/>
  <c r="C2658" i="9" a="1"/>
  <c r="C2658" i="9" s="1"/>
  <c r="C2659" i="9" a="1"/>
  <c r="C2659" i="9" s="1"/>
  <c r="C2768" i="9" a="1"/>
  <c r="C2768" i="9" s="1"/>
  <c r="C2661" i="9" a="1"/>
  <c r="C2661" i="9" s="1"/>
  <c r="C2662" i="9" a="1"/>
  <c r="C2662" i="9" s="1"/>
  <c r="C2663" i="9" a="1"/>
  <c r="C2663" i="9" s="1"/>
  <c r="C2664" i="9" a="1"/>
  <c r="C2664" i="9" s="1"/>
  <c r="C2665" i="9" a="1"/>
  <c r="C2665" i="9" s="1"/>
  <c r="C2666" i="9" a="1"/>
  <c r="C2666" i="9" s="1"/>
  <c r="C2667" i="9" a="1"/>
  <c r="C2667" i="9" s="1"/>
  <c r="C2668" i="9" a="1"/>
  <c r="C2668" i="9" s="1"/>
  <c r="C2669" i="9" a="1"/>
  <c r="C2669" i="9" s="1"/>
  <c r="C2670" i="9" a="1"/>
  <c r="C2670" i="9" s="1"/>
  <c r="C2671" i="9" a="1"/>
  <c r="C2671" i="9" s="1"/>
  <c r="C2672" i="9" a="1"/>
  <c r="C2672" i="9" s="1"/>
  <c r="C2673" i="9" a="1"/>
  <c r="C2673" i="9" s="1"/>
  <c r="C2674" i="9" a="1"/>
  <c r="C2674" i="9" s="1"/>
  <c r="C2675" i="9" a="1"/>
  <c r="C2675" i="9" s="1"/>
  <c r="C2676" i="9" a="1"/>
  <c r="C2676" i="9" s="1"/>
  <c r="C2677" i="9" a="1"/>
  <c r="C2677" i="9" s="1"/>
  <c r="C2678" i="9" a="1"/>
  <c r="C2678" i="9" s="1"/>
  <c r="C2679" i="9" a="1"/>
  <c r="C2679" i="9" s="1"/>
  <c r="C2680" i="9" a="1"/>
  <c r="C2680" i="9" s="1"/>
  <c r="C2681" i="9" a="1"/>
  <c r="C2681" i="9" s="1"/>
  <c r="C2682" i="9" a="1"/>
  <c r="C2682" i="9" s="1"/>
  <c r="C2683" i="9" a="1"/>
  <c r="C2683" i="9" s="1"/>
  <c r="C2684" i="9" a="1"/>
  <c r="C2684" i="9" s="1"/>
  <c r="C2685" i="9" a="1"/>
  <c r="C2685" i="9" s="1"/>
  <c r="C2686" i="9" a="1"/>
  <c r="C2686" i="9" s="1"/>
  <c r="C2687" i="9" a="1"/>
  <c r="C2687" i="9" s="1"/>
  <c r="C2688" i="9" a="1"/>
  <c r="C2688" i="9" s="1"/>
  <c r="C2689" i="9" a="1"/>
  <c r="C2689" i="9" s="1"/>
  <c r="C2690" i="9" a="1"/>
  <c r="C2690" i="9" s="1"/>
  <c r="C2691" i="9" a="1"/>
  <c r="C2691" i="9" s="1"/>
  <c r="C2692" i="9" a="1"/>
  <c r="C2692" i="9" s="1"/>
  <c r="C2693" i="9" a="1"/>
  <c r="C2693" i="9" s="1"/>
  <c r="C2694" i="9" a="1"/>
  <c r="C2694" i="9" s="1"/>
  <c r="C2695" i="9" a="1"/>
  <c r="C2695" i="9" s="1"/>
  <c r="C392" i="9" a="1"/>
  <c r="C392" i="9" s="1"/>
  <c r="C2697" i="9" a="1"/>
  <c r="C2697" i="9" s="1"/>
  <c r="C2698" i="9" a="1"/>
  <c r="C2698" i="9" s="1"/>
  <c r="C2699" i="9" a="1"/>
  <c r="C2699" i="9" s="1"/>
  <c r="C2700" i="9" a="1"/>
  <c r="C2700" i="9" s="1"/>
  <c r="C2701" i="9" a="1"/>
  <c r="C2701" i="9" s="1"/>
  <c r="C2702" i="9" a="1"/>
  <c r="C2702" i="9" s="1"/>
  <c r="C2703" i="9" a="1"/>
  <c r="C2703" i="9" s="1"/>
  <c r="C2704" i="9" a="1"/>
  <c r="C2704" i="9" s="1"/>
  <c r="C2705" i="9" a="1"/>
  <c r="C2705" i="9" s="1"/>
  <c r="C2706" i="9" a="1"/>
  <c r="C2706" i="9" s="1"/>
  <c r="C2707" i="9" a="1"/>
  <c r="C2707" i="9" s="1"/>
  <c r="C2708" i="9" a="1"/>
  <c r="C2708" i="9" s="1"/>
  <c r="C2709" i="9" a="1"/>
  <c r="C2709" i="9" s="1"/>
  <c r="C2710" i="9" a="1"/>
  <c r="C2710" i="9" s="1"/>
  <c r="C2711" i="9" a="1"/>
  <c r="C2711" i="9" s="1"/>
  <c r="C2712" i="9" a="1"/>
  <c r="C2712" i="9" s="1"/>
  <c r="C2713" i="9" a="1"/>
  <c r="C2713" i="9" s="1"/>
  <c r="C2714" i="9" a="1"/>
  <c r="C2714" i="9" s="1"/>
  <c r="C2715" i="9" a="1"/>
  <c r="C2715" i="9" s="1"/>
  <c r="C2716" i="9" a="1"/>
  <c r="C2716" i="9" s="1"/>
  <c r="C2717" i="9" a="1"/>
  <c r="C2717" i="9" s="1"/>
  <c r="C2718" i="9" a="1"/>
  <c r="C2718" i="9" s="1"/>
  <c r="C2719" i="9" a="1"/>
  <c r="C2719" i="9" s="1"/>
  <c r="C2720" i="9" a="1"/>
  <c r="C2720" i="9" s="1"/>
  <c r="C2721" i="9" a="1"/>
  <c r="C2721" i="9" s="1"/>
  <c r="C2722" i="9" a="1"/>
  <c r="C2722" i="9" s="1"/>
  <c r="C2723" i="9" a="1"/>
  <c r="C2723" i="9" s="1"/>
  <c r="C2724" i="9" a="1"/>
  <c r="C2724" i="9" s="1"/>
  <c r="C2725" i="9" a="1"/>
  <c r="C2725" i="9" s="1"/>
  <c r="C2726" i="9" a="1"/>
  <c r="C2726" i="9" s="1"/>
  <c r="C2727" i="9" a="1"/>
  <c r="C2727" i="9" s="1"/>
  <c r="C2728" i="9" a="1"/>
  <c r="C2728" i="9" s="1"/>
  <c r="C2729" i="9" a="1"/>
  <c r="C2729" i="9" s="1"/>
  <c r="C2730" i="9" a="1"/>
  <c r="C2730" i="9" s="1"/>
  <c r="C2731" i="9" a="1"/>
  <c r="C2731" i="9" s="1"/>
  <c r="C140" i="9" a="1"/>
  <c r="C140" i="9" s="1"/>
  <c r="C2733" i="9" a="1"/>
  <c r="C2733" i="9" s="1"/>
  <c r="C2734" i="9" a="1"/>
  <c r="C2734" i="9" s="1"/>
  <c r="C2735" i="9" a="1"/>
  <c r="C2735" i="9" s="1"/>
  <c r="C2736" i="9" a="1"/>
  <c r="C2736" i="9" s="1"/>
  <c r="C2737" i="9" a="1"/>
  <c r="C2737" i="9" s="1"/>
  <c r="C2738" i="9" a="1"/>
  <c r="C2738" i="9" s="1"/>
  <c r="C2739" i="9" a="1"/>
  <c r="C2739" i="9" s="1"/>
  <c r="C2740" i="9" a="1"/>
  <c r="C2740" i="9" s="1"/>
  <c r="C2741" i="9" a="1"/>
  <c r="C2741" i="9" s="1"/>
  <c r="C2742" i="9" a="1"/>
  <c r="C2742" i="9" s="1"/>
  <c r="C2743" i="9" a="1"/>
  <c r="C2743" i="9" s="1"/>
  <c r="C2744" i="9" a="1"/>
  <c r="C2744" i="9" s="1"/>
  <c r="C2745" i="9" a="1"/>
  <c r="C2745" i="9" s="1"/>
  <c r="C2746" i="9" a="1"/>
  <c r="C2746" i="9" s="1"/>
  <c r="C2747" i="9" a="1"/>
  <c r="C2747" i="9" s="1"/>
  <c r="C2748" i="9" a="1"/>
  <c r="C2748" i="9" s="1"/>
  <c r="C2749" i="9" a="1"/>
  <c r="C2749" i="9" s="1"/>
  <c r="C2750" i="9" a="1"/>
  <c r="C2750" i="9" s="1"/>
  <c r="C2751" i="9" a="1"/>
  <c r="C2751" i="9" s="1"/>
  <c r="C2752" i="9" a="1"/>
  <c r="C2752" i="9" s="1"/>
  <c r="C2753" i="9" a="1"/>
  <c r="C2753" i="9" s="1"/>
  <c r="C2754" i="9" a="1"/>
  <c r="C2754" i="9" s="1"/>
  <c r="C2755" i="9" a="1"/>
  <c r="C2755" i="9" s="1"/>
  <c r="C2756" i="9" a="1"/>
  <c r="C2756" i="9" s="1"/>
  <c r="C2757" i="9" a="1"/>
  <c r="C2757" i="9" s="1"/>
  <c r="C2758" i="9" a="1"/>
  <c r="C2758" i="9" s="1"/>
  <c r="C2759" i="9" a="1"/>
  <c r="C2759" i="9" s="1"/>
  <c r="C2760" i="9" a="1"/>
  <c r="C2760" i="9" s="1"/>
  <c r="C2761" i="9" a="1"/>
  <c r="C2761" i="9" s="1"/>
  <c r="C2762" i="9" a="1"/>
  <c r="C2762" i="9" s="1"/>
  <c r="C2763" i="9" a="1"/>
  <c r="C2763" i="9" s="1"/>
  <c r="C2764" i="9" a="1"/>
  <c r="C2764" i="9" s="1"/>
  <c r="C2765" i="9" a="1"/>
  <c r="C2765" i="9" s="1"/>
  <c r="C2766" i="9" a="1"/>
  <c r="C2766" i="9" s="1"/>
  <c r="C2767" i="9" a="1"/>
  <c r="C2767" i="9" s="1"/>
  <c r="C2769" i="9" a="1"/>
  <c r="C2769" i="9" s="1"/>
  <c r="C2770" i="9" a="1"/>
  <c r="C2770" i="9" s="1"/>
  <c r="C2771" i="9" a="1"/>
  <c r="C2771" i="9" s="1"/>
  <c r="C2772" i="9" a="1"/>
  <c r="C2772" i="9" s="1"/>
  <c r="C2" i="9" a="1"/>
  <c r="C2" i="9" s="1"/>
  <c r="C2726" i="7" l="1" a="1"/>
  <c r="C2726" i="7" s="1"/>
  <c r="C2745" i="7" a="1"/>
  <c r="C2745" i="7" s="1"/>
  <c r="C2744" i="7" a="1"/>
  <c r="C2744" i="7" s="1"/>
  <c r="C2742" i="7" a="1"/>
  <c r="C2742" i="7" s="1"/>
  <c r="C2739" i="7" a="1"/>
  <c r="C2739" i="7" s="1"/>
  <c r="C2714" i="7" a="1"/>
  <c r="C2714" i="7" s="1"/>
  <c r="C2763" i="7" a="1"/>
  <c r="C2763" i="7" s="1"/>
  <c r="H18" i="12"/>
  <c r="J18" i="12" s="1"/>
  <c r="C2772" i="7" a="1"/>
  <c r="C2772" i="7" s="1"/>
  <c r="C2748" i="7" a="1"/>
  <c r="C2748" i="7" s="1"/>
  <c r="C2762" i="7" a="1"/>
  <c r="C2762" i="7" s="1"/>
  <c r="C2738" i="7" a="1"/>
  <c r="C2738" i="7" s="1"/>
  <c r="C2799" i="7" a="1"/>
  <c r="C2799" i="7" s="1"/>
  <c r="C2787" i="7" a="1"/>
  <c r="C2787" i="7" s="1"/>
  <c r="C2798" i="7" a="1"/>
  <c r="C2798" i="7" s="1"/>
  <c r="C2786" i="7" a="1"/>
  <c r="C2786" i="7" s="1"/>
  <c r="C2809" i="7" a="1"/>
  <c r="C2809" i="7" s="1"/>
  <c r="C2797" i="7" a="1"/>
  <c r="C2797" i="7" s="1"/>
  <c r="C2773" i="7" a="1"/>
  <c r="C2773" i="7" s="1"/>
  <c r="C2761" i="7" a="1"/>
  <c r="C2761" i="7" s="1"/>
  <c r="C2808" i="7" a="1"/>
  <c r="C2808" i="7" s="1"/>
  <c r="C2796" i="7" a="1"/>
  <c r="C2796" i="7" s="1"/>
  <c r="C2807" i="7" a="1"/>
  <c r="C2807" i="7" s="1"/>
  <c r="C2795" i="7" a="1"/>
  <c r="C2795" i="7" s="1"/>
  <c r="C2771" i="7" a="1"/>
  <c r="C2771" i="7" s="1"/>
  <c r="C2759" i="7" a="1"/>
  <c r="C2759" i="7" s="1"/>
  <c r="C2806" i="7" a="1"/>
  <c r="C2806" i="7" s="1"/>
  <c r="C2794" i="7" a="1"/>
  <c r="C2794" i="7" s="1"/>
  <c r="C2770" i="7" a="1"/>
  <c r="C2770" i="7" s="1"/>
  <c r="C2758" i="7" a="1"/>
  <c r="C2758" i="7" s="1"/>
  <c r="C2805" i="7" a="1"/>
  <c r="C2805" i="7" s="1"/>
  <c r="C2793" i="7" a="1"/>
  <c r="C2793" i="7" s="1"/>
  <c r="C2804" i="7" a="1"/>
  <c r="C2804" i="7" s="1"/>
  <c r="C2792" i="7" a="1"/>
  <c r="C2792" i="7" s="1"/>
  <c r="C2803" i="7" a="1"/>
  <c r="C2803" i="7" s="1"/>
  <c r="C2791" i="7" a="1"/>
  <c r="C2791" i="7" s="1"/>
  <c r="C2767" i="7" a="1"/>
  <c r="C2767" i="7" s="1"/>
  <c r="C2755" i="7" a="1"/>
  <c r="C2755" i="7" s="1"/>
  <c r="C2802" i="7" a="1"/>
  <c r="C2802" i="7" s="1"/>
  <c r="C2790" i="7" a="1"/>
  <c r="C2790" i="7" s="1"/>
  <c r="C2801" i="7" a="1"/>
  <c r="C2801" i="7" s="1"/>
  <c r="C2789" i="7" a="1"/>
  <c r="C2789" i="7" s="1"/>
  <c r="C2765" i="7" a="1"/>
  <c r="C2765" i="7" s="1"/>
  <c r="C2753" i="7" a="1"/>
  <c r="C2753" i="7" s="1"/>
  <c r="C2800" i="7" a="1"/>
  <c r="C2800" i="7" s="1"/>
  <c r="C2788" i="7" a="1"/>
  <c r="C2788" i="7" s="1"/>
  <c r="C2764" i="7" a="1"/>
  <c r="C2764" i="7" s="1"/>
  <c r="C2752" i="7" a="1"/>
  <c r="C2752" i="7" s="1"/>
  <c r="F9" i="12"/>
  <c r="F4" i="12"/>
  <c r="G4" i="12"/>
  <c r="F2" i="12"/>
  <c r="H2" i="12" s="1"/>
  <c r="K2" i="12" s="1"/>
  <c r="H21" i="12"/>
  <c r="K21" i="12" s="1"/>
  <c r="J7" i="12"/>
  <c r="J5" i="12"/>
  <c r="K5" i="12"/>
  <c r="J15" i="12"/>
  <c r="K15" i="12"/>
  <c r="J3" i="12"/>
  <c r="K3" i="12"/>
  <c r="J14" i="12"/>
  <c r="K14" i="12"/>
  <c r="J6" i="12"/>
  <c r="K6" i="12"/>
  <c r="J23" i="12"/>
  <c r="J11" i="12"/>
  <c r="K11" i="12"/>
  <c r="J22" i="12"/>
  <c r="K22" i="12"/>
  <c r="F8" i="12"/>
  <c r="F12" i="12"/>
  <c r="H12" i="12" s="1"/>
  <c r="H19" i="12"/>
  <c r="H13" i="12"/>
  <c r="H24" i="12"/>
  <c r="H20" i="12"/>
  <c r="D77" i="6"/>
  <c r="E77" i="6"/>
  <c r="F77" i="6"/>
  <c r="G77" i="6"/>
  <c r="H77" i="6"/>
  <c r="I77" i="6"/>
  <c r="J77" i="6"/>
  <c r="K77" i="6"/>
  <c r="L77" i="6"/>
  <c r="M77" i="6"/>
  <c r="N77" i="6"/>
  <c r="C76" i="6"/>
  <c r="N76" i="6"/>
  <c r="M76" i="6"/>
  <c r="L76" i="6"/>
  <c r="K76" i="6"/>
  <c r="J76" i="6"/>
  <c r="I76" i="6"/>
  <c r="H76" i="6"/>
  <c r="G76" i="6"/>
  <c r="F76" i="6"/>
  <c r="E76" i="6"/>
  <c r="D76" i="6"/>
  <c r="N75" i="6"/>
  <c r="M75" i="6"/>
  <c r="L75" i="6"/>
  <c r="K75" i="6"/>
  <c r="J75" i="6"/>
  <c r="I75" i="6"/>
  <c r="H75" i="6"/>
  <c r="G75" i="6"/>
  <c r="F75" i="6"/>
  <c r="E75" i="6"/>
  <c r="D75" i="6"/>
  <c r="C75" i="6"/>
  <c r="N74" i="6"/>
  <c r="M74" i="6"/>
  <c r="L74" i="6"/>
  <c r="K74" i="6"/>
  <c r="J74" i="6"/>
  <c r="I74" i="6"/>
  <c r="H74" i="6"/>
  <c r="G74" i="6"/>
  <c r="F74" i="6"/>
  <c r="E74" i="6"/>
  <c r="D74" i="6"/>
  <c r="C74" i="6"/>
  <c r="N73" i="6"/>
  <c r="M73" i="6"/>
  <c r="L73" i="6"/>
  <c r="K73" i="6"/>
  <c r="J73" i="6"/>
  <c r="I73" i="6"/>
  <c r="H73" i="6"/>
  <c r="G73" i="6"/>
  <c r="F73" i="6"/>
  <c r="E73" i="6"/>
  <c r="D73" i="6"/>
  <c r="C73" i="6"/>
  <c r="N72" i="6"/>
  <c r="M72" i="6"/>
  <c r="L72" i="6"/>
  <c r="K72" i="6"/>
  <c r="J72" i="6"/>
  <c r="I72" i="6"/>
  <c r="H72" i="6"/>
  <c r="G72" i="6"/>
  <c r="F72" i="6"/>
  <c r="E72" i="6"/>
  <c r="D72" i="6"/>
  <c r="C72" i="6"/>
  <c r="N71" i="6"/>
  <c r="M71" i="6"/>
  <c r="L71" i="6"/>
  <c r="K71" i="6"/>
  <c r="J71" i="6"/>
  <c r="I71" i="6"/>
  <c r="H71" i="6"/>
  <c r="G71" i="6"/>
  <c r="F71" i="6"/>
  <c r="E71" i="6"/>
  <c r="D71" i="6"/>
  <c r="C71" i="6"/>
  <c r="N70" i="6"/>
  <c r="M70" i="6"/>
  <c r="L70" i="6"/>
  <c r="K70" i="6"/>
  <c r="J70" i="6"/>
  <c r="I70" i="6"/>
  <c r="H70" i="6"/>
  <c r="G70" i="6"/>
  <c r="F70" i="6"/>
  <c r="E70" i="6"/>
  <c r="D70" i="6"/>
  <c r="C70" i="6"/>
  <c r="N69" i="6"/>
  <c r="M69" i="6"/>
  <c r="L69" i="6"/>
  <c r="K69" i="6"/>
  <c r="J69" i="6"/>
  <c r="I69" i="6"/>
  <c r="H69" i="6"/>
  <c r="G69" i="6"/>
  <c r="F69" i="6"/>
  <c r="E69" i="6"/>
  <c r="D69" i="6"/>
  <c r="C69" i="6"/>
  <c r="N68" i="6"/>
  <c r="M68" i="6"/>
  <c r="L68" i="6"/>
  <c r="K68" i="6"/>
  <c r="J68" i="6"/>
  <c r="I68" i="6"/>
  <c r="H68" i="6"/>
  <c r="G68" i="6"/>
  <c r="F68" i="6"/>
  <c r="E68" i="6"/>
  <c r="D68" i="6"/>
  <c r="C68" i="6"/>
  <c r="N67" i="6"/>
  <c r="M67" i="6"/>
  <c r="L67" i="6"/>
  <c r="K67" i="6"/>
  <c r="J67" i="6"/>
  <c r="I67" i="6"/>
  <c r="H67" i="6"/>
  <c r="G67" i="6"/>
  <c r="F67" i="6"/>
  <c r="E67" i="6"/>
  <c r="D67" i="6"/>
  <c r="C67" i="6"/>
  <c r="N66" i="6"/>
  <c r="M66" i="6"/>
  <c r="L66" i="6"/>
  <c r="K66" i="6"/>
  <c r="J66" i="6"/>
  <c r="I66" i="6"/>
  <c r="H66" i="6"/>
  <c r="G66" i="6"/>
  <c r="F66" i="6"/>
  <c r="E66" i="6"/>
  <c r="D66" i="6"/>
  <c r="C66" i="6"/>
  <c r="N65" i="6"/>
  <c r="M65" i="6"/>
  <c r="L65" i="6"/>
  <c r="K65" i="6"/>
  <c r="I65" i="6"/>
  <c r="H65" i="6"/>
  <c r="G65" i="6"/>
  <c r="F65" i="6"/>
  <c r="E65" i="6"/>
  <c r="D65" i="6"/>
  <c r="C65" i="6"/>
  <c r="N64" i="6"/>
  <c r="M64" i="6"/>
  <c r="L64" i="6"/>
  <c r="K64" i="6"/>
  <c r="I64" i="6"/>
  <c r="H64" i="6"/>
  <c r="G64" i="6"/>
  <c r="F64" i="6"/>
  <c r="E64" i="6"/>
  <c r="D64" i="6"/>
  <c r="C64" i="6"/>
  <c r="N63" i="6"/>
  <c r="M63" i="6"/>
  <c r="L63" i="6"/>
  <c r="K63" i="6"/>
  <c r="I63" i="6"/>
  <c r="H63" i="6"/>
  <c r="G63" i="6"/>
  <c r="F63" i="6"/>
  <c r="E63" i="6"/>
  <c r="D63" i="6"/>
  <c r="C63" i="6"/>
  <c r="N62" i="6"/>
  <c r="M62" i="6"/>
  <c r="L62" i="6"/>
  <c r="K62" i="6"/>
  <c r="J62" i="6"/>
  <c r="I62" i="6"/>
  <c r="H62" i="6"/>
  <c r="G62" i="6"/>
  <c r="F62" i="6"/>
  <c r="E62" i="6"/>
  <c r="D62" i="6"/>
  <c r="C62" i="6"/>
  <c r="N61" i="6"/>
  <c r="M61" i="6"/>
  <c r="L61" i="6"/>
  <c r="K61" i="6"/>
  <c r="J61" i="6"/>
  <c r="I61" i="6"/>
  <c r="H61" i="6"/>
  <c r="G61" i="6"/>
  <c r="E61" i="6"/>
  <c r="D61" i="6"/>
  <c r="C61" i="6"/>
  <c r="N60" i="6"/>
  <c r="M60" i="6"/>
  <c r="L60" i="6"/>
  <c r="K60" i="6"/>
  <c r="J60" i="6"/>
  <c r="I60" i="6"/>
  <c r="H60" i="6"/>
  <c r="G60" i="6"/>
  <c r="F60" i="6"/>
  <c r="E60" i="6"/>
  <c r="D60" i="6"/>
  <c r="C60" i="6"/>
  <c r="N59" i="6"/>
  <c r="M59" i="6"/>
  <c r="L59" i="6"/>
  <c r="K59" i="6"/>
  <c r="J59" i="6"/>
  <c r="I59" i="6"/>
  <c r="H59" i="6"/>
  <c r="G59" i="6"/>
  <c r="F59" i="6"/>
  <c r="E59" i="6"/>
  <c r="D59" i="6"/>
  <c r="C59" i="6"/>
  <c r="N58" i="6"/>
  <c r="M58" i="6"/>
  <c r="L58" i="6"/>
  <c r="K58" i="6"/>
  <c r="J58" i="6"/>
  <c r="I58" i="6"/>
  <c r="H58" i="6"/>
  <c r="G58" i="6"/>
  <c r="F58" i="6"/>
  <c r="E58" i="6"/>
  <c r="D58" i="6"/>
  <c r="C58" i="6"/>
  <c r="N57" i="6"/>
  <c r="M57" i="6"/>
  <c r="L57" i="6"/>
  <c r="K57" i="6"/>
  <c r="J57" i="6"/>
  <c r="I57" i="6"/>
  <c r="H57" i="6"/>
  <c r="G57" i="6"/>
  <c r="F57" i="6"/>
  <c r="E57" i="6"/>
  <c r="D57" i="6"/>
  <c r="C57" i="6"/>
  <c r="N56" i="6"/>
  <c r="M56" i="6"/>
  <c r="L56" i="6"/>
  <c r="K56" i="6"/>
  <c r="J56" i="6"/>
  <c r="I56" i="6"/>
  <c r="H56" i="6"/>
  <c r="G56" i="6"/>
  <c r="F56" i="6"/>
  <c r="E56" i="6"/>
  <c r="D56" i="6"/>
  <c r="C56" i="6"/>
  <c r="N55" i="6"/>
  <c r="M55" i="6"/>
  <c r="L55" i="6"/>
  <c r="K55" i="6"/>
  <c r="J55" i="6"/>
  <c r="I55" i="6"/>
  <c r="H55" i="6"/>
  <c r="G55" i="6"/>
  <c r="F55" i="6"/>
  <c r="E55" i="6"/>
  <c r="D55" i="6"/>
  <c r="C55" i="6"/>
  <c r="N54" i="6"/>
  <c r="M54" i="6"/>
  <c r="L54" i="6"/>
  <c r="K54" i="6"/>
  <c r="J54" i="6"/>
  <c r="I54" i="6"/>
  <c r="H54" i="6"/>
  <c r="G54" i="6"/>
  <c r="F54" i="6"/>
  <c r="E54" i="6"/>
  <c r="D54" i="6"/>
  <c r="C54" i="6"/>
  <c r="N53" i="6"/>
  <c r="M53" i="6"/>
  <c r="L53" i="6"/>
  <c r="K53" i="6"/>
  <c r="J53" i="6"/>
  <c r="I53" i="6"/>
  <c r="H53" i="6"/>
  <c r="G53" i="6"/>
  <c r="F53" i="6"/>
  <c r="E53" i="6"/>
  <c r="D53" i="6"/>
  <c r="C53" i="6"/>
  <c r="N52" i="6"/>
  <c r="M52" i="6"/>
  <c r="L52" i="6"/>
  <c r="K52" i="6"/>
  <c r="J52" i="6"/>
  <c r="I52" i="6"/>
  <c r="H52" i="6"/>
  <c r="G52" i="6"/>
  <c r="F52" i="6"/>
  <c r="E52" i="6"/>
  <c r="D52" i="6"/>
  <c r="C52" i="6"/>
  <c r="N51" i="6"/>
  <c r="M51" i="6"/>
  <c r="L51" i="6"/>
  <c r="K51" i="6"/>
  <c r="J51" i="6"/>
  <c r="I51" i="6"/>
  <c r="H51" i="6"/>
  <c r="G51" i="6"/>
  <c r="F51" i="6"/>
  <c r="E51" i="6"/>
  <c r="D51" i="6"/>
  <c r="C51" i="6"/>
  <c r="N50" i="6"/>
  <c r="M50" i="6"/>
  <c r="L50" i="6"/>
  <c r="K50" i="6"/>
  <c r="J50" i="6"/>
  <c r="I50" i="6"/>
  <c r="H50" i="6"/>
  <c r="G50" i="6"/>
  <c r="F50" i="6"/>
  <c r="E50" i="6"/>
  <c r="D50" i="6"/>
  <c r="C50" i="6"/>
  <c r="N49" i="6"/>
  <c r="M49" i="6"/>
  <c r="L49" i="6"/>
  <c r="K49" i="6"/>
  <c r="J49" i="6"/>
  <c r="I49" i="6"/>
  <c r="H49" i="6"/>
  <c r="G49" i="6"/>
  <c r="F49" i="6"/>
  <c r="E49" i="6"/>
  <c r="D49" i="6"/>
  <c r="C49" i="6"/>
  <c r="N48" i="6"/>
  <c r="M48" i="6"/>
  <c r="L48" i="6"/>
  <c r="K48" i="6"/>
  <c r="J48" i="6"/>
  <c r="I48" i="6"/>
  <c r="H48" i="6"/>
  <c r="G48" i="6"/>
  <c r="F48" i="6"/>
  <c r="E48" i="6"/>
  <c r="D48" i="6"/>
  <c r="C48" i="6"/>
  <c r="N47" i="6"/>
  <c r="M47" i="6"/>
  <c r="L47" i="6"/>
  <c r="K47" i="6"/>
  <c r="J47" i="6"/>
  <c r="I47" i="6"/>
  <c r="H47" i="6"/>
  <c r="G47" i="6"/>
  <c r="F47" i="6"/>
  <c r="E47" i="6"/>
  <c r="D47" i="6"/>
  <c r="C47" i="6"/>
  <c r="N46" i="6"/>
  <c r="M46" i="6"/>
  <c r="L46" i="6"/>
  <c r="K46" i="6"/>
  <c r="J46" i="6"/>
  <c r="I46" i="6"/>
  <c r="H46" i="6"/>
  <c r="G46" i="6"/>
  <c r="F46" i="6"/>
  <c r="E46" i="6"/>
  <c r="D46" i="6"/>
  <c r="C46" i="6"/>
  <c r="N45" i="6"/>
  <c r="M45" i="6"/>
  <c r="L45" i="6"/>
  <c r="K45" i="6"/>
  <c r="J45" i="6"/>
  <c r="I45" i="6"/>
  <c r="H45" i="6"/>
  <c r="G45" i="6"/>
  <c r="F45" i="6"/>
  <c r="E45" i="6"/>
  <c r="D45" i="6"/>
  <c r="C45" i="6"/>
  <c r="N44" i="6"/>
  <c r="M44" i="6"/>
  <c r="L44" i="6"/>
  <c r="K44" i="6"/>
  <c r="J44" i="6"/>
  <c r="I44" i="6"/>
  <c r="H44" i="6"/>
  <c r="G44" i="6"/>
  <c r="F44" i="6"/>
  <c r="E44" i="6"/>
  <c r="D44" i="6"/>
  <c r="C44" i="6"/>
  <c r="N43" i="6"/>
  <c r="M43" i="6"/>
  <c r="L43" i="6"/>
  <c r="K43" i="6"/>
  <c r="J43" i="6"/>
  <c r="I43" i="6"/>
  <c r="H43" i="6"/>
  <c r="G43" i="6"/>
  <c r="F43" i="6"/>
  <c r="E43" i="6"/>
  <c r="D43" i="6"/>
  <c r="C43" i="6"/>
  <c r="N42" i="6"/>
  <c r="M42" i="6"/>
  <c r="L42" i="6"/>
  <c r="K42" i="6"/>
  <c r="J42" i="6"/>
  <c r="I42" i="6"/>
  <c r="H42" i="6"/>
  <c r="G42" i="6"/>
  <c r="F42" i="6"/>
  <c r="E42" i="6"/>
  <c r="D42" i="6"/>
  <c r="C42" i="6"/>
  <c r="N41" i="6"/>
  <c r="M41" i="6"/>
  <c r="L41" i="6"/>
  <c r="K41" i="6"/>
  <c r="J41" i="6"/>
  <c r="I41" i="6"/>
  <c r="H41" i="6"/>
  <c r="G41" i="6"/>
  <c r="F41" i="6"/>
  <c r="E41" i="6"/>
  <c r="D41" i="6"/>
  <c r="C41" i="6"/>
  <c r="N40" i="6"/>
  <c r="M40" i="6"/>
  <c r="L40" i="6"/>
  <c r="K40" i="6"/>
  <c r="J40" i="6"/>
  <c r="I40" i="6"/>
  <c r="H40" i="6"/>
  <c r="G40" i="6"/>
  <c r="F40" i="6"/>
  <c r="E40" i="6"/>
  <c r="D40" i="6"/>
  <c r="C40" i="6"/>
  <c r="N39" i="6"/>
  <c r="M39" i="6"/>
  <c r="L39" i="6"/>
  <c r="K39" i="6"/>
  <c r="J39" i="6"/>
  <c r="I39" i="6"/>
  <c r="H39" i="6"/>
  <c r="G39" i="6"/>
  <c r="F39" i="6"/>
  <c r="E39" i="6"/>
  <c r="D39" i="6"/>
  <c r="C39" i="6"/>
  <c r="N38" i="6"/>
  <c r="M38" i="6"/>
  <c r="L38" i="6"/>
  <c r="K38" i="6"/>
  <c r="J38" i="6"/>
  <c r="I38" i="6"/>
  <c r="H38" i="6"/>
  <c r="G38" i="6"/>
  <c r="F38" i="6"/>
  <c r="E38" i="6"/>
  <c r="D38" i="6"/>
  <c r="C38" i="6"/>
  <c r="N37" i="6"/>
  <c r="M37" i="6"/>
  <c r="L37" i="6"/>
  <c r="K37" i="6"/>
  <c r="J37" i="6"/>
  <c r="I37" i="6"/>
  <c r="H37" i="6"/>
  <c r="G37" i="6"/>
  <c r="F37" i="6"/>
  <c r="E37" i="6"/>
  <c r="D37" i="6"/>
  <c r="C37" i="6"/>
  <c r="N36" i="6"/>
  <c r="M36" i="6"/>
  <c r="L36" i="6"/>
  <c r="K36" i="6"/>
  <c r="J36" i="6"/>
  <c r="I36" i="6"/>
  <c r="H36" i="6"/>
  <c r="G36" i="6"/>
  <c r="F36" i="6"/>
  <c r="E36" i="6"/>
  <c r="D36" i="6"/>
  <c r="C36" i="6"/>
  <c r="N35" i="6"/>
  <c r="M35" i="6"/>
  <c r="L35" i="6"/>
  <c r="K35" i="6"/>
  <c r="J35" i="6"/>
  <c r="I35" i="6"/>
  <c r="H35" i="6"/>
  <c r="G35" i="6"/>
  <c r="F35" i="6"/>
  <c r="E35" i="6"/>
  <c r="D35" i="6"/>
  <c r="C35" i="6"/>
  <c r="N34" i="6"/>
  <c r="M34" i="6"/>
  <c r="L34" i="6"/>
  <c r="K34" i="6"/>
  <c r="J34" i="6"/>
  <c r="I34" i="6"/>
  <c r="H34" i="6"/>
  <c r="G34" i="6"/>
  <c r="F34" i="6"/>
  <c r="E34" i="6"/>
  <c r="D34" i="6"/>
  <c r="C34" i="6"/>
  <c r="N33" i="6"/>
  <c r="M33" i="6"/>
  <c r="L33" i="6"/>
  <c r="K33" i="6"/>
  <c r="J33" i="6"/>
  <c r="I33" i="6"/>
  <c r="H33" i="6"/>
  <c r="G33" i="6"/>
  <c r="F33" i="6"/>
  <c r="E33" i="6"/>
  <c r="D33" i="6"/>
  <c r="C33" i="6"/>
  <c r="N32" i="6"/>
  <c r="M32" i="6"/>
  <c r="L32" i="6"/>
  <c r="K32" i="6"/>
  <c r="J32" i="6"/>
  <c r="I32" i="6"/>
  <c r="H32" i="6"/>
  <c r="G32" i="6"/>
  <c r="F32" i="6"/>
  <c r="E32" i="6"/>
  <c r="D32" i="6"/>
  <c r="C32" i="6"/>
  <c r="N31" i="6"/>
  <c r="M31" i="6"/>
  <c r="L31" i="6"/>
  <c r="K31" i="6"/>
  <c r="J31" i="6"/>
  <c r="I31" i="6"/>
  <c r="H31" i="6"/>
  <c r="G31" i="6"/>
  <c r="F31" i="6"/>
  <c r="E31" i="6"/>
  <c r="D31" i="6"/>
  <c r="C31" i="6"/>
  <c r="N30" i="6"/>
  <c r="M30" i="6"/>
  <c r="L30" i="6"/>
  <c r="K30" i="6"/>
  <c r="J30" i="6"/>
  <c r="I30" i="6"/>
  <c r="H30" i="6"/>
  <c r="G30" i="6"/>
  <c r="F30" i="6"/>
  <c r="E30" i="6"/>
  <c r="D30" i="6"/>
  <c r="C30" i="6"/>
  <c r="N29" i="6"/>
  <c r="M29" i="6"/>
  <c r="L29" i="6"/>
  <c r="K29" i="6"/>
  <c r="J29" i="6"/>
  <c r="I29" i="6"/>
  <c r="H29" i="6"/>
  <c r="G29" i="6"/>
  <c r="F29" i="6"/>
  <c r="E29" i="6"/>
  <c r="D29" i="6"/>
  <c r="C29" i="6"/>
  <c r="N28" i="6"/>
  <c r="M28" i="6"/>
  <c r="L28" i="6"/>
  <c r="K28" i="6"/>
  <c r="J28" i="6"/>
  <c r="I28" i="6"/>
  <c r="H28" i="6"/>
  <c r="G28" i="6"/>
  <c r="F28" i="6"/>
  <c r="E28" i="6"/>
  <c r="D28" i="6"/>
  <c r="C28" i="6"/>
  <c r="N27" i="6"/>
  <c r="M27" i="6"/>
  <c r="L27" i="6"/>
  <c r="K27" i="6"/>
  <c r="J27" i="6"/>
  <c r="I27" i="6"/>
  <c r="H27" i="6"/>
  <c r="G27" i="6"/>
  <c r="F27" i="6"/>
  <c r="E27" i="6"/>
  <c r="D27" i="6"/>
  <c r="C27" i="6"/>
  <c r="N26" i="6"/>
  <c r="M26" i="6"/>
  <c r="L26" i="6"/>
  <c r="K26" i="6"/>
  <c r="J26" i="6"/>
  <c r="I26" i="6"/>
  <c r="H26" i="6"/>
  <c r="G26" i="6"/>
  <c r="F26" i="6"/>
  <c r="E26" i="6"/>
  <c r="D26" i="6"/>
  <c r="C26" i="6"/>
  <c r="N25" i="6"/>
  <c r="M25" i="6"/>
  <c r="L25" i="6"/>
  <c r="K25" i="6"/>
  <c r="J25" i="6"/>
  <c r="I25" i="6"/>
  <c r="H25" i="6"/>
  <c r="G25" i="6"/>
  <c r="F25" i="6"/>
  <c r="E25" i="6"/>
  <c r="D25" i="6"/>
  <c r="C25" i="6"/>
  <c r="N24" i="6"/>
  <c r="M24" i="6"/>
  <c r="L24" i="6"/>
  <c r="K24" i="6"/>
  <c r="J24" i="6"/>
  <c r="I24" i="6"/>
  <c r="H24" i="6"/>
  <c r="G24" i="6"/>
  <c r="F24" i="6"/>
  <c r="E24" i="6"/>
  <c r="D24" i="6"/>
  <c r="C24" i="6"/>
  <c r="N23" i="6"/>
  <c r="M23" i="6"/>
  <c r="L23" i="6"/>
  <c r="K23" i="6"/>
  <c r="J23" i="6"/>
  <c r="I23" i="6"/>
  <c r="H23" i="6"/>
  <c r="G23" i="6"/>
  <c r="F23" i="6"/>
  <c r="E23" i="6"/>
  <c r="D23" i="6"/>
  <c r="C23" i="6"/>
  <c r="N22" i="6"/>
  <c r="M22" i="6"/>
  <c r="L22" i="6"/>
  <c r="K22" i="6"/>
  <c r="J22" i="6"/>
  <c r="I22" i="6"/>
  <c r="H22" i="6"/>
  <c r="G22" i="6"/>
  <c r="F22" i="6"/>
  <c r="E22" i="6"/>
  <c r="D22" i="6"/>
  <c r="C22" i="6"/>
  <c r="N21" i="6"/>
  <c r="M21" i="6"/>
  <c r="L21" i="6"/>
  <c r="K21" i="6"/>
  <c r="J21" i="6"/>
  <c r="I21" i="6"/>
  <c r="H21" i="6"/>
  <c r="G21" i="6"/>
  <c r="F21" i="6"/>
  <c r="E21" i="6"/>
  <c r="D21" i="6"/>
  <c r="C21" i="6"/>
  <c r="N20" i="6"/>
  <c r="M20" i="6"/>
  <c r="L20" i="6"/>
  <c r="K20" i="6"/>
  <c r="J20" i="6"/>
  <c r="I20" i="6"/>
  <c r="H20" i="6"/>
  <c r="G20" i="6"/>
  <c r="F20" i="6"/>
  <c r="E20" i="6"/>
  <c r="D20" i="6"/>
  <c r="C20" i="6"/>
  <c r="N19" i="6"/>
  <c r="M19" i="6"/>
  <c r="L19" i="6"/>
  <c r="K19" i="6"/>
  <c r="J19" i="6"/>
  <c r="I19" i="6"/>
  <c r="H19" i="6"/>
  <c r="G19" i="6"/>
  <c r="F19" i="6"/>
  <c r="E19" i="6"/>
  <c r="D19" i="6"/>
  <c r="C19" i="6"/>
  <c r="N18" i="6"/>
  <c r="M18" i="6"/>
  <c r="L18" i="6"/>
  <c r="K18" i="6"/>
  <c r="J18" i="6"/>
  <c r="I18" i="6"/>
  <c r="H18" i="6"/>
  <c r="G18" i="6"/>
  <c r="F18" i="6"/>
  <c r="E18" i="6"/>
  <c r="D18" i="6"/>
  <c r="C18" i="6"/>
  <c r="N17" i="6"/>
  <c r="M17" i="6"/>
  <c r="L17" i="6"/>
  <c r="K17" i="6"/>
  <c r="J17" i="6"/>
  <c r="I17" i="6"/>
  <c r="H17" i="6"/>
  <c r="G17" i="6"/>
  <c r="F17" i="6"/>
  <c r="E17" i="6"/>
  <c r="D17" i="6"/>
  <c r="C17" i="6"/>
  <c r="N16" i="6"/>
  <c r="M16" i="6"/>
  <c r="L16" i="6"/>
  <c r="K16" i="6"/>
  <c r="J16" i="6"/>
  <c r="I16" i="6"/>
  <c r="H16" i="6"/>
  <c r="G16" i="6"/>
  <c r="F16" i="6"/>
  <c r="E16" i="6"/>
  <c r="D16" i="6"/>
  <c r="C16" i="6"/>
  <c r="N15" i="6"/>
  <c r="M15" i="6"/>
  <c r="L15" i="6"/>
  <c r="K15" i="6"/>
  <c r="J15" i="6"/>
  <c r="I15" i="6"/>
  <c r="H15" i="6"/>
  <c r="G15" i="6"/>
  <c r="F15" i="6"/>
  <c r="E15" i="6"/>
  <c r="D15" i="6"/>
  <c r="C15" i="6"/>
  <c r="N14" i="6"/>
  <c r="M14" i="6"/>
  <c r="L14" i="6"/>
  <c r="K14" i="6"/>
  <c r="J14" i="6"/>
  <c r="I14" i="6"/>
  <c r="H14" i="6"/>
  <c r="G14" i="6"/>
  <c r="F14" i="6"/>
  <c r="E14" i="6"/>
  <c r="D14" i="6"/>
  <c r="C14" i="6"/>
  <c r="N13" i="6"/>
  <c r="M13" i="6"/>
  <c r="L13" i="6"/>
  <c r="K13" i="6"/>
  <c r="J13" i="6"/>
  <c r="I13" i="6"/>
  <c r="H13" i="6"/>
  <c r="G13" i="6"/>
  <c r="F13" i="6"/>
  <c r="E13" i="6"/>
  <c r="D13" i="6"/>
  <c r="C13" i="6"/>
  <c r="N12" i="6"/>
  <c r="M12" i="6"/>
  <c r="L12" i="6"/>
  <c r="K12" i="6"/>
  <c r="J12" i="6"/>
  <c r="I12" i="6"/>
  <c r="H12" i="6"/>
  <c r="G12" i="6"/>
  <c r="F12" i="6"/>
  <c r="E12" i="6"/>
  <c r="D12" i="6"/>
  <c r="C12" i="6"/>
  <c r="N11" i="6"/>
  <c r="M11" i="6"/>
  <c r="L11" i="6"/>
  <c r="K11" i="6"/>
  <c r="J11" i="6"/>
  <c r="I11" i="6"/>
  <c r="H11" i="6"/>
  <c r="G11" i="6"/>
  <c r="F11" i="6"/>
  <c r="E11" i="6"/>
  <c r="D11" i="6"/>
  <c r="C11" i="6"/>
  <c r="N10" i="6"/>
  <c r="M10" i="6"/>
  <c r="L10" i="6"/>
  <c r="K10" i="6"/>
  <c r="J10" i="6"/>
  <c r="I10" i="6"/>
  <c r="H10" i="6"/>
  <c r="G10" i="6"/>
  <c r="F10" i="6"/>
  <c r="E10" i="6"/>
  <c r="D10" i="6"/>
  <c r="C10" i="6"/>
  <c r="N9" i="6"/>
  <c r="M9" i="6"/>
  <c r="L9" i="6"/>
  <c r="K9" i="6"/>
  <c r="J9" i="6"/>
  <c r="I9" i="6"/>
  <c r="H9" i="6"/>
  <c r="G9" i="6"/>
  <c r="F9" i="6"/>
  <c r="E9" i="6"/>
  <c r="D9" i="6"/>
  <c r="C9" i="6"/>
  <c r="N8" i="6"/>
  <c r="L8" i="6"/>
  <c r="K8" i="6"/>
  <c r="J8" i="6"/>
  <c r="I8" i="6"/>
  <c r="H8" i="6"/>
  <c r="G8" i="6"/>
  <c r="F8" i="6"/>
  <c r="E8" i="6"/>
  <c r="D8" i="6"/>
  <c r="C8" i="6"/>
  <c r="N7" i="6"/>
  <c r="M7" i="6"/>
  <c r="L7" i="6"/>
  <c r="K7" i="6"/>
  <c r="J7" i="6"/>
  <c r="I7" i="6"/>
  <c r="H7" i="6"/>
  <c r="G7" i="6"/>
  <c r="F7" i="6"/>
  <c r="E7" i="6"/>
  <c r="D7" i="6"/>
  <c r="C7" i="6"/>
  <c r="N6" i="6"/>
  <c r="M6" i="6"/>
  <c r="L6" i="6"/>
  <c r="K6" i="6"/>
  <c r="J6" i="6"/>
  <c r="I6" i="6"/>
  <c r="H6" i="6"/>
  <c r="G6" i="6"/>
  <c r="F6" i="6"/>
  <c r="E6" i="6"/>
  <c r="D6" i="6"/>
  <c r="C6" i="6"/>
  <c r="N5" i="6"/>
  <c r="M5" i="6"/>
  <c r="L5" i="6"/>
  <c r="K5" i="6"/>
  <c r="J5" i="6"/>
  <c r="I5" i="6"/>
  <c r="H5" i="6"/>
  <c r="G5" i="6"/>
  <c r="F5" i="6"/>
  <c r="E5" i="6"/>
  <c r="D5" i="6"/>
  <c r="C5" i="6"/>
  <c r="N4" i="6"/>
  <c r="M4" i="6"/>
  <c r="L4" i="6"/>
  <c r="K4" i="6"/>
  <c r="J4" i="6"/>
  <c r="I4" i="6"/>
  <c r="H4" i="6"/>
  <c r="G4" i="6"/>
  <c r="F4" i="6"/>
  <c r="E4" i="6"/>
  <c r="D4" i="6"/>
  <c r="C4" i="6"/>
  <c r="N3" i="6"/>
  <c r="M3" i="6"/>
  <c r="L3" i="6"/>
  <c r="K3" i="6"/>
  <c r="J3" i="6"/>
  <c r="I3" i="6"/>
  <c r="H3" i="6"/>
  <c r="G3" i="6"/>
  <c r="F3" i="6"/>
  <c r="E3" i="6"/>
  <c r="D3" i="6"/>
  <c r="C3" i="6"/>
  <c r="N2" i="6"/>
  <c r="M2" i="6"/>
  <c r="L2" i="6"/>
  <c r="K2" i="6"/>
  <c r="J2" i="6"/>
  <c r="I2" i="6"/>
  <c r="H2" i="6"/>
  <c r="G2" i="6"/>
  <c r="F2" i="6"/>
  <c r="E2" i="6"/>
  <c r="D2" i="6"/>
  <c r="C2" i="6"/>
  <c r="I65" i="4"/>
  <c r="I64" i="4"/>
  <c r="J64" i="6" s="1"/>
  <c r="I63" i="4"/>
  <c r="E61" i="4"/>
  <c r="F61" i="6" s="1"/>
  <c r="L8" i="4"/>
  <c r="M8" i="6" s="1"/>
  <c r="K18" i="12" l="1"/>
  <c r="C2708" i="7" a="1"/>
  <c r="C2708" i="7" s="1"/>
  <c r="C2720" i="7" a="1"/>
  <c r="C2720" i="7" s="1"/>
  <c r="C2732" i="7" a="1"/>
  <c r="C2732" i="7" s="1"/>
  <c r="C2707" i="7" a="1"/>
  <c r="C2707" i="7" s="1"/>
  <c r="C2719" i="7" a="1"/>
  <c r="C2719" i="7" s="1"/>
  <c r="C2731" i="7" a="1"/>
  <c r="C2731" i="7" s="1"/>
  <c r="C2711" i="7" a="1"/>
  <c r="C2711" i="7" s="1"/>
  <c r="C2723" i="7" a="1"/>
  <c r="C2723" i="7" s="1"/>
  <c r="C2735" i="7" a="1"/>
  <c r="C2735" i="7" s="1"/>
  <c r="C2705" i="7" a="1"/>
  <c r="C2705" i="7" s="1"/>
  <c r="C2717" i="7" a="1"/>
  <c r="C2717" i="7" s="1"/>
  <c r="C2729" i="7" a="1"/>
  <c r="C2729" i="7" s="1"/>
  <c r="G9" i="12"/>
  <c r="H9" i="12" s="1"/>
  <c r="K9" i="12" s="1"/>
  <c r="C2706" i="7" a="1"/>
  <c r="C2706" i="7" s="1"/>
  <c r="C2718" i="7" a="1"/>
  <c r="C2718" i="7" s="1"/>
  <c r="C2730" i="7" a="1"/>
  <c r="C2730" i="7" s="1"/>
  <c r="C2703" i="7" a="1"/>
  <c r="C2703" i="7" s="1"/>
  <c r="C2715" i="7" a="1"/>
  <c r="C2715" i="7" s="1"/>
  <c r="D2607" i="9" s="1" a="1"/>
  <c r="D2607" i="9" s="1"/>
  <c r="E2607" i="9" s="1"/>
  <c r="F2607" i="9" s="1"/>
  <c r="C2727" i="7" a="1"/>
  <c r="C2727" i="7" s="1"/>
  <c r="C2709" i="7" a="1"/>
  <c r="C2709" i="7" s="1"/>
  <c r="C2721" i="7" a="1"/>
  <c r="C2721" i="7" s="1"/>
  <c r="C2733" i="7" a="1"/>
  <c r="C2733" i="7" s="1"/>
  <c r="C2704" i="7" a="1"/>
  <c r="C2704" i="7" s="1"/>
  <c r="C2716" i="7" a="1"/>
  <c r="C2716" i="7" s="1"/>
  <c r="C2728" i="7" a="1"/>
  <c r="C2728" i="7" s="1"/>
  <c r="C2712" i="7" a="1"/>
  <c r="C2712" i="7" s="1"/>
  <c r="C2724" i="7" a="1"/>
  <c r="C2724" i="7" s="1"/>
  <c r="C2736" i="7" a="1"/>
  <c r="C2736" i="7" s="1"/>
  <c r="C2710" i="7" a="1"/>
  <c r="C2710" i="7" s="1"/>
  <c r="C2722" i="7" a="1"/>
  <c r="C2722" i="7" s="1"/>
  <c r="C2734" i="7" a="1"/>
  <c r="C2734" i="7" s="1"/>
  <c r="C2713" i="7" a="1"/>
  <c r="C2713" i="7" s="1"/>
  <c r="C2725" i="7" a="1"/>
  <c r="C2725" i="7" s="1"/>
  <c r="C2737" i="7" a="1"/>
  <c r="C2737" i="7" s="1"/>
  <c r="D2715" i="9" a="1"/>
  <c r="D2715" i="9" s="1"/>
  <c r="E2715" i="9" s="1"/>
  <c r="F2715" i="9" s="1"/>
  <c r="J63" i="6"/>
  <c r="F16" i="12"/>
  <c r="H16" i="12" s="1"/>
  <c r="J16" i="12" s="1"/>
  <c r="J65" i="6"/>
  <c r="F17" i="12"/>
  <c r="H17" i="12" s="1"/>
  <c r="K17" i="12" s="1"/>
  <c r="D2679" i="9" a="1"/>
  <c r="D2679" i="9" s="1"/>
  <c r="E2679" i="9" s="1"/>
  <c r="F2679" i="9" s="1"/>
  <c r="D2667" i="9" a="1"/>
  <c r="D2667" i="9" s="1"/>
  <c r="E2667" i="9" s="1"/>
  <c r="F2667" i="9" s="1"/>
  <c r="D2716" i="9" a="1"/>
  <c r="D2716" i="9" s="1"/>
  <c r="E2716" i="9" s="1"/>
  <c r="F2716" i="9" s="1"/>
  <c r="D2655" i="9" a="1"/>
  <c r="D2655" i="9" s="1"/>
  <c r="E2655" i="9" s="1"/>
  <c r="F2655" i="9" s="1"/>
  <c r="D2704" i="9" a="1"/>
  <c r="D2704" i="9" s="1"/>
  <c r="E2704" i="9" s="1"/>
  <c r="F2704" i="9" s="1"/>
  <c r="H4" i="12"/>
  <c r="J4" i="12" s="1"/>
  <c r="J21" i="12"/>
  <c r="J24" i="12"/>
  <c r="K24" i="12"/>
  <c r="J13" i="12"/>
  <c r="K13" i="12"/>
  <c r="J19" i="12"/>
  <c r="K19" i="12"/>
  <c r="J20" i="12"/>
  <c r="K20" i="12"/>
  <c r="J12" i="12"/>
  <c r="K12" i="12"/>
  <c r="J2" i="12"/>
  <c r="H8" i="12"/>
  <c r="H10" i="12"/>
  <c r="D2461" i="9" l="1" a="1"/>
  <c r="D2461" i="9" s="1"/>
  <c r="E2461" i="9" s="1"/>
  <c r="F2461" i="9" s="1"/>
  <c r="D2703" i="9" a="1"/>
  <c r="D2703" i="9" s="1"/>
  <c r="E2703" i="9" s="1"/>
  <c r="F2703" i="9" s="1"/>
  <c r="D2504" i="9" a="1"/>
  <c r="D2504" i="9" s="1"/>
  <c r="E2504" i="9" s="1"/>
  <c r="F2504" i="9" s="1"/>
  <c r="D2740" i="9" a="1"/>
  <c r="D2740" i="9" s="1"/>
  <c r="E2740" i="9" s="1"/>
  <c r="F2740" i="9" s="1"/>
  <c r="D2179" i="9" a="1"/>
  <c r="D2179" i="9" s="1"/>
  <c r="E2179" i="9" s="1"/>
  <c r="F2179" i="9" s="1"/>
  <c r="D2753" i="9" a="1"/>
  <c r="D2753" i="9" s="1"/>
  <c r="E2753" i="9" s="1"/>
  <c r="F2753" i="9" s="1"/>
  <c r="D2727" i="9" a="1"/>
  <c r="D2727" i="9" s="1"/>
  <c r="E2727" i="9" s="1"/>
  <c r="F2727" i="9" s="1"/>
  <c r="D2595" i="9" a="1"/>
  <c r="D2595" i="9" s="1"/>
  <c r="E2595" i="9" s="1"/>
  <c r="F2595" i="9" s="1"/>
  <c r="D2739" i="9" a="1"/>
  <c r="D2739" i="9" s="1"/>
  <c r="E2739" i="9" s="1"/>
  <c r="F2739" i="9" s="1"/>
  <c r="D2619" i="9" a="1"/>
  <c r="D2619" i="9" s="1"/>
  <c r="E2619" i="9" s="1"/>
  <c r="F2619" i="9" s="1"/>
  <c r="D2738" i="9" a="1"/>
  <c r="D2738" i="9" s="1"/>
  <c r="E2738" i="9" s="1"/>
  <c r="F2738" i="9" s="1"/>
  <c r="D2649" i="9" a="1"/>
  <c r="D2649" i="9" s="1"/>
  <c r="E2649" i="9" s="1"/>
  <c r="F2649" i="9" s="1"/>
  <c r="D2616" i="9" a="1"/>
  <c r="D2616" i="9" s="1"/>
  <c r="E2616" i="9" s="1"/>
  <c r="F2616" i="9" s="1"/>
  <c r="D2749" i="9" a="1"/>
  <c r="D2749" i="9" s="1"/>
  <c r="E2749" i="9" s="1"/>
  <c r="F2749" i="9" s="1"/>
  <c r="D2390" i="9" a="1"/>
  <c r="D2390" i="9" s="1"/>
  <c r="E2390" i="9" s="1"/>
  <c r="F2390" i="9" s="1"/>
  <c r="D2542" i="9" a="1"/>
  <c r="D2542" i="9" s="1"/>
  <c r="E2542" i="9" s="1"/>
  <c r="F2542" i="9" s="1"/>
  <c r="D2403" i="9" a="1"/>
  <c r="D2403" i="9" s="1"/>
  <c r="E2403" i="9" s="1"/>
  <c r="F2403" i="9" s="1"/>
  <c r="D2495" i="9" a="1"/>
  <c r="D2495" i="9" s="1"/>
  <c r="E2495" i="9" s="1"/>
  <c r="F2495" i="9" s="1"/>
  <c r="D2420" i="9" a="1"/>
  <c r="D2420" i="9" s="1"/>
  <c r="E2420" i="9" s="1"/>
  <c r="F2420" i="9" s="1"/>
  <c r="D2652" i="9" a="1"/>
  <c r="D2652" i="9" s="1"/>
  <c r="E2652" i="9" s="1"/>
  <c r="F2652" i="9" s="1"/>
  <c r="D2751" i="9" a="1"/>
  <c r="D2751" i="9" s="1"/>
  <c r="E2751" i="9" s="1"/>
  <c r="F2751" i="9" s="1"/>
  <c r="D2605" i="9" a="1"/>
  <c r="D2605" i="9" s="1"/>
  <c r="E2605" i="9" s="1"/>
  <c r="F2605" i="9" s="1"/>
  <c r="D2661" i="9" a="1"/>
  <c r="D2661" i="9" s="1"/>
  <c r="E2661" i="9" s="1"/>
  <c r="F2661" i="9" s="1"/>
  <c r="D2577" i="9" a="1"/>
  <c r="D2577" i="9" s="1"/>
  <c r="E2577" i="9" s="1"/>
  <c r="F2577" i="9" s="1"/>
  <c r="D2629" i="9" a="1"/>
  <c r="D2629" i="9" s="1"/>
  <c r="E2629" i="9" s="1"/>
  <c r="F2629" i="9" s="1"/>
  <c r="D2641" i="9" a="1"/>
  <c r="D2641" i="9" s="1"/>
  <c r="E2641" i="9" s="1"/>
  <c r="F2641" i="9" s="1"/>
  <c r="D2433" i="9" a="1"/>
  <c r="D2433" i="9" s="1"/>
  <c r="E2433" i="9" s="1"/>
  <c r="F2433" i="9" s="1"/>
  <c r="D2558" i="9" a="1"/>
  <c r="D2558" i="9" s="1"/>
  <c r="E2558" i="9" s="1"/>
  <c r="F2558" i="9" s="1"/>
  <c r="D392" i="9" a="1"/>
  <c r="D392" i="9" s="1"/>
  <c r="E392" i="9" s="1"/>
  <c r="F392" i="9" s="1"/>
  <c r="D2678" i="9" a="1"/>
  <c r="D2678" i="9" s="1"/>
  <c r="E2678" i="9" s="1"/>
  <c r="F2678" i="9" s="1"/>
  <c r="D2758" i="9" a="1"/>
  <c r="D2758" i="9" s="1"/>
  <c r="E2758" i="9" s="1"/>
  <c r="F2758" i="9" s="1"/>
  <c r="D2576" i="9" a="1"/>
  <c r="D2576" i="9" s="1"/>
  <c r="E2576" i="9" s="1"/>
  <c r="F2576" i="9" s="1"/>
  <c r="D2546" i="9" a="1"/>
  <c r="D2546" i="9" s="1"/>
  <c r="E2546" i="9" s="1"/>
  <c r="F2546" i="9" s="1"/>
  <c r="D2698" i="9" a="1"/>
  <c r="D2698" i="9" s="1"/>
  <c r="E2698" i="9" s="1"/>
  <c r="F2698" i="9" s="1"/>
  <c r="D2729" i="9" a="1"/>
  <c r="D2729" i="9" s="1"/>
  <c r="E2729" i="9" s="1"/>
  <c r="F2729" i="9" s="1"/>
  <c r="D2586" i="9" a="1"/>
  <c r="D2586" i="9" s="1"/>
  <c r="E2586" i="9" s="1"/>
  <c r="F2586" i="9" s="1"/>
  <c r="D2424" i="9" a="1"/>
  <c r="D2424" i="9" s="1"/>
  <c r="E2424" i="9" s="1"/>
  <c r="F2424" i="9" s="1"/>
  <c r="D2687" i="9" a="1"/>
  <c r="D2687" i="9" s="1"/>
  <c r="E2687" i="9" s="1"/>
  <c r="F2687" i="9" s="1"/>
  <c r="D2455" i="9" a="1"/>
  <c r="D2455" i="9" s="1"/>
  <c r="E2455" i="9" s="1"/>
  <c r="F2455" i="9" s="1"/>
  <c r="D2391" i="9" a="1"/>
  <c r="D2391" i="9" s="1"/>
  <c r="E2391" i="9" s="1"/>
  <c r="F2391" i="9" s="1"/>
  <c r="D2446" i="9" a="1"/>
  <c r="D2446" i="9" s="1"/>
  <c r="E2446" i="9" s="1"/>
  <c r="F2446" i="9" s="1"/>
  <c r="D2643" i="9" a="1"/>
  <c r="D2643" i="9" s="1"/>
  <c r="E2643" i="9" s="1"/>
  <c r="F2643" i="9" s="1"/>
  <c r="D2767" i="9" a="1"/>
  <c r="D2767" i="9" s="1"/>
  <c r="E2767" i="9" s="1"/>
  <c r="F2767" i="9" s="1"/>
  <c r="D2545" i="9" a="1"/>
  <c r="D2545" i="9" s="1"/>
  <c r="E2545" i="9" s="1"/>
  <c r="F2545" i="9" s="1"/>
  <c r="D2628" i="9" a="1"/>
  <c r="D2628" i="9" s="1"/>
  <c r="E2628" i="9" s="1"/>
  <c r="F2628" i="9" s="1"/>
  <c r="D2514" i="9" a="1"/>
  <c r="D2514" i="9" s="1"/>
  <c r="E2514" i="9" s="1"/>
  <c r="F2514" i="9" s="1"/>
  <c r="D2521" i="9" a="1"/>
  <c r="D2521" i="9" s="1"/>
  <c r="E2521" i="9" s="1"/>
  <c r="F2521" i="9" s="1"/>
  <c r="D2579" i="9" a="1"/>
  <c r="D2579" i="9" s="1"/>
  <c r="E2579" i="9" s="1"/>
  <c r="F2579" i="9" s="1"/>
  <c r="D2726" i="9" a="1"/>
  <c r="D2726" i="9" s="1"/>
  <c r="E2726" i="9" s="1"/>
  <c r="F2726" i="9" s="1"/>
  <c r="D2730" i="9" a="1"/>
  <c r="D2730" i="9" s="1"/>
  <c r="E2730" i="9" s="1"/>
  <c r="F2730" i="9" s="1"/>
  <c r="D2339" i="9" a="1"/>
  <c r="D2339" i="9" s="1"/>
  <c r="E2339" i="9" s="1"/>
  <c r="F2339" i="9" s="1"/>
  <c r="D2541" i="9" a="1"/>
  <c r="D2541" i="9" s="1"/>
  <c r="E2541" i="9" s="1"/>
  <c r="F2541" i="9" s="1"/>
  <c r="D2674" i="9" a="1"/>
  <c r="D2674" i="9" s="1"/>
  <c r="E2674" i="9" s="1"/>
  <c r="F2674" i="9" s="1"/>
  <c r="D2772" i="9" a="1"/>
  <c r="D2772" i="9" s="1"/>
  <c r="E2772" i="9" s="1"/>
  <c r="F2772" i="9" s="1"/>
  <c r="D2769" i="9" a="1"/>
  <c r="D2769" i="9" s="1"/>
  <c r="E2769" i="9" s="1"/>
  <c r="F2769" i="9" s="1"/>
  <c r="D2706" i="9" a="1"/>
  <c r="D2706" i="9" s="1"/>
  <c r="E2706" i="9" s="1"/>
  <c r="F2706" i="9" s="1"/>
  <c r="D2714" i="9" a="1"/>
  <c r="D2714" i="9" s="1"/>
  <c r="E2714" i="9" s="1"/>
  <c r="F2714" i="9" s="1"/>
  <c r="D2765" i="9" a="1"/>
  <c r="D2765" i="9" s="1"/>
  <c r="E2765" i="9" s="1"/>
  <c r="F2765" i="9" s="1"/>
  <c r="D2422" i="9" a="1"/>
  <c r="D2422" i="9" s="1"/>
  <c r="E2422" i="9" s="1"/>
  <c r="F2422" i="9" s="1"/>
  <c r="D2384" i="9" a="1"/>
  <c r="D2384" i="9" s="1"/>
  <c r="E2384" i="9" s="1"/>
  <c r="F2384" i="9" s="1"/>
  <c r="D2741" i="9" a="1"/>
  <c r="D2741" i="9" s="1"/>
  <c r="E2741" i="9" s="1"/>
  <c r="F2741" i="9" s="1"/>
  <c r="D2409" i="9" a="1"/>
  <c r="D2409" i="9" s="1"/>
  <c r="E2409" i="9" s="1"/>
  <c r="F2409" i="9" s="1"/>
  <c r="D2610" i="9" a="1"/>
  <c r="D2610" i="9" s="1"/>
  <c r="E2610" i="9" s="1"/>
  <c r="F2610" i="9" s="1"/>
  <c r="D2742" i="9" a="1"/>
  <c r="D2742" i="9" s="1"/>
  <c r="E2742" i="9" s="1"/>
  <c r="F2742" i="9" s="1"/>
  <c r="D2694" i="9" a="1"/>
  <c r="D2694" i="9" s="1"/>
  <c r="E2694" i="9" s="1"/>
  <c r="F2694" i="9" s="1"/>
  <c r="D2634" i="9" a="1"/>
  <c r="D2634" i="9" s="1"/>
  <c r="E2634" i="9" s="1"/>
  <c r="F2634" i="9" s="1"/>
  <c r="D2385" i="9" a="1"/>
  <c r="D2385" i="9" s="1"/>
  <c r="E2385" i="9" s="1"/>
  <c r="F2385" i="9" s="1"/>
  <c r="D2598" i="9" a="1"/>
  <c r="D2598" i="9" s="1"/>
  <c r="E2598" i="9" s="1"/>
  <c r="F2598" i="9" s="1"/>
  <c r="D2533" i="9" a="1"/>
  <c r="D2533" i="9" s="1"/>
  <c r="E2533" i="9" s="1"/>
  <c r="F2533" i="9" s="1"/>
  <c r="D2685" i="9" a="1"/>
  <c r="D2685" i="9" s="1"/>
  <c r="E2685" i="9" s="1"/>
  <c r="F2685" i="9" s="1"/>
  <c r="D2638" i="9" a="1"/>
  <c r="D2638" i="9" s="1"/>
  <c r="E2638" i="9" s="1"/>
  <c r="F2638" i="9" s="1"/>
  <c r="D2683" i="9" a="1"/>
  <c r="D2683" i="9" s="1"/>
  <c r="E2683" i="9" s="1"/>
  <c r="F2683" i="9" s="1"/>
  <c r="D2686" i="9" a="1"/>
  <c r="D2686" i="9" s="1"/>
  <c r="E2686" i="9" s="1"/>
  <c r="F2686" i="9" s="1"/>
  <c r="D2756" i="9" a="1"/>
  <c r="D2756" i="9" s="1"/>
  <c r="E2756" i="9" s="1"/>
  <c r="F2756" i="9" s="1"/>
  <c r="D2372" i="9" a="1"/>
  <c r="D2372" i="9" s="1"/>
  <c r="E2372" i="9" s="1"/>
  <c r="F2372" i="9" s="1"/>
  <c r="D2672" i="9" a="1"/>
  <c r="D2672" i="9" s="1"/>
  <c r="E2672" i="9" s="1"/>
  <c r="F2672" i="9" s="1"/>
  <c r="D2434" i="9" a="1"/>
  <c r="D2434" i="9" s="1"/>
  <c r="E2434" i="9" s="1"/>
  <c r="F2434" i="9" s="1"/>
  <c r="D2590" i="9" a="1"/>
  <c r="D2590" i="9" s="1"/>
  <c r="E2590" i="9" s="1"/>
  <c r="F2590" i="9" s="1"/>
  <c r="D2675" i="9" a="1"/>
  <c r="D2675" i="9" s="1"/>
  <c r="E2675" i="9" s="1"/>
  <c r="F2675" i="9" s="1"/>
  <c r="D2768" i="9" a="1"/>
  <c r="D2768" i="9" s="1"/>
  <c r="E2768" i="9" s="1"/>
  <c r="F2768" i="9" s="1"/>
  <c r="D2436" i="9" a="1"/>
  <c r="D2436" i="9" s="1"/>
  <c r="E2436" i="9" s="1"/>
  <c r="F2436" i="9" s="1"/>
  <c r="D2578" i="9" a="1"/>
  <c r="D2578" i="9" s="1"/>
  <c r="E2578" i="9" s="1"/>
  <c r="F2578" i="9" s="1"/>
  <c r="D2702" i="9" a="1"/>
  <c r="D2702" i="9" s="1"/>
  <c r="E2702" i="9" s="1"/>
  <c r="F2702" i="9" s="1"/>
  <c r="D2038" i="9" a="1"/>
  <c r="D2038" i="9" s="1"/>
  <c r="E2038" i="9" s="1"/>
  <c r="F2038" i="9" s="1"/>
  <c r="D2522" i="9" a="1"/>
  <c r="D2522" i="9" s="1"/>
  <c r="E2522" i="9" s="1"/>
  <c r="F2522" i="9" s="1"/>
  <c r="D2591" i="9" a="1"/>
  <c r="D2591" i="9" s="1"/>
  <c r="E2591" i="9" s="1"/>
  <c r="F2591" i="9" s="1"/>
  <c r="D2613" i="9" a="1"/>
  <c r="D2613" i="9" s="1"/>
  <c r="E2613" i="9" s="1"/>
  <c r="F2613" i="9" s="1"/>
  <c r="D2646" i="9" a="1"/>
  <c r="D2646" i="9" s="1"/>
  <c r="E2646" i="9" s="1"/>
  <c r="F2646" i="9" s="1"/>
  <c r="D2766" i="9" a="1"/>
  <c r="D2766" i="9" s="1"/>
  <c r="E2766" i="9" s="1"/>
  <c r="F2766" i="9" s="1"/>
  <c r="D2340" i="9" a="1"/>
  <c r="D2340" i="9" s="1"/>
  <c r="E2340" i="9" s="1"/>
  <c r="F2340" i="9" s="1"/>
  <c r="D2075" i="9" a="1"/>
  <c r="D2075" i="9" s="1"/>
  <c r="E2075" i="9" s="1"/>
  <c r="F2075" i="9" s="1"/>
  <c r="D2673" i="9" a="1"/>
  <c r="D2673" i="9" s="1"/>
  <c r="E2673" i="9" s="1"/>
  <c r="F2673" i="9" s="1"/>
  <c r="D2684" i="9" a="1"/>
  <c r="D2684" i="9" s="1"/>
  <c r="E2684" i="9" s="1"/>
  <c r="F2684" i="9" s="1"/>
  <c r="D2670" i="9" a="1"/>
  <c r="D2670" i="9" s="1"/>
  <c r="E2670" i="9" s="1"/>
  <c r="F2670" i="9" s="1"/>
  <c r="D2497" i="9" a="1"/>
  <c r="D2497" i="9" s="1"/>
  <c r="E2497" i="9" s="1"/>
  <c r="F2497" i="9" s="1"/>
  <c r="D2746" i="9" a="1"/>
  <c r="D2746" i="9" s="1"/>
  <c r="E2746" i="9" s="1"/>
  <c r="F2746" i="9" s="1"/>
  <c r="D2762" i="9" a="1"/>
  <c r="D2762" i="9" s="1"/>
  <c r="E2762" i="9" s="1"/>
  <c r="F2762" i="9" s="1"/>
  <c r="D2544" i="9" a="1"/>
  <c r="D2544" i="9" s="1"/>
  <c r="E2544" i="9" s="1"/>
  <c r="F2544" i="9" s="1"/>
  <c r="D2554" i="9" a="1"/>
  <c r="D2554" i="9" s="1"/>
  <c r="E2554" i="9" s="1"/>
  <c r="F2554" i="9" s="1"/>
  <c r="D2640" i="9" a="1"/>
  <c r="D2640" i="9" s="1"/>
  <c r="E2640" i="9" s="1"/>
  <c r="F2640" i="9" s="1"/>
  <c r="D2709" i="9" a="1"/>
  <c r="D2709" i="9" s="1"/>
  <c r="E2709" i="9" s="1"/>
  <c r="F2709" i="9" s="1"/>
  <c r="D2745" i="9" a="1"/>
  <c r="D2745" i="9" s="1"/>
  <c r="E2745" i="9" s="1"/>
  <c r="F2745" i="9" s="1"/>
  <c r="D2389" i="9" a="1"/>
  <c r="D2389" i="9" s="1"/>
  <c r="E2389" i="9" s="1"/>
  <c r="F2389" i="9" s="1"/>
  <c r="D2473" i="9" a="1"/>
  <c r="D2473" i="9" s="1"/>
  <c r="E2473" i="9" s="1"/>
  <c r="F2473" i="9" s="1"/>
  <c r="D2710" i="9" a="1"/>
  <c r="D2710" i="9" s="1"/>
  <c r="E2710" i="9" s="1"/>
  <c r="F2710" i="9" s="1"/>
  <c r="D2711" i="9" a="1"/>
  <c r="D2711" i="9" s="1"/>
  <c r="E2711" i="9" s="1"/>
  <c r="F2711" i="9" s="1"/>
  <c r="D2757" i="9" a="1"/>
  <c r="D2757" i="9" s="1"/>
  <c r="E2757" i="9" s="1"/>
  <c r="F2757" i="9" s="1"/>
  <c r="D2691" i="9" a="1"/>
  <c r="D2691" i="9" s="1"/>
  <c r="E2691" i="9" s="1"/>
  <c r="F2691" i="9" s="1"/>
  <c r="D2556" i="9" a="1"/>
  <c r="D2556" i="9" s="1"/>
  <c r="E2556" i="9" s="1"/>
  <c r="F2556" i="9" s="1"/>
  <c r="D2570" i="9" a="1"/>
  <c r="D2570" i="9" s="1"/>
  <c r="E2570" i="9" s="1"/>
  <c r="F2570" i="9" s="1"/>
  <c r="D2653" i="9" a="1"/>
  <c r="D2653" i="9" s="1"/>
  <c r="E2653" i="9" s="1"/>
  <c r="F2653" i="9" s="1"/>
  <c r="D2770" i="9" a="1"/>
  <c r="D2770" i="9" s="1"/>
  <c r="E2770" i="9" s="1"/>
  <c r="F2770" i="9" s="1"/>
  <c r="D2719" i="9" a="1"/>
  <c r="D2719" i="9" s="1"/>
  <c r="E2719" i="9" s="1"/>
  <c r="F2719" i="9" s="1"/>
  <c r="D2534" i="9" a="1"/>
  <c r="D2534" i="9" s="1"/>
  <c r="E2534" i="9" s="1"/>
  <c r="F2534" i="9" s="1"/>
  <c r="D2582" i="9" a="1"/>
  <c r="D2582" i="9" s="1"/>
  <c r="E2582" i="9" s="1"/>
  <c r="F2582" i="9" s="1"/>
  <c r="D2458" i="9" a="1"/>
  <c r="D2458" i="9" s="1"/>
  <c r="E2458" i="9" s="1"/>
  <c r="F2458" i="9" s="1"/>
  <c r="D2627" i="9" a="1"/>
  <c r="D2627" i="9" s="1"/>
  <c r="E2627" i="9" s="1"/>
  <c r="F2627" i="9" s="1"/>
  <c r="D2092" i="9" a="1"/>
  <c r="D2092" i="9" s="1"/>
  <c r="E2092" i="9" s="1"/>
  <c r="F2092" i="9" s="1"/>
  <c r="D2597" i="9" a="1"/>
  <c r="D2597" i="9" s="1"/>
  <c r="E2597" i="9" s="1"/>
  <c r="F2597" i="9" s="1"/>
  <c r="D2506" i="9" a="1"/>
  <c r="D2506" i="9" s="1"/>
  <c r="E2506" i="9" s="1"/>
  <c r="F2506" i="9" s="1"/>
  <c r="D2485" i="9" a="1"/>
  <c r="D2485" i="9" s="1"/>
  <c r="E2485" i="9" s="1"/>
  <c r="F2485" i="9" s="1"/>
  <c r="D2688" i="9" a="1"/>
  <c r="D2688" i="9" s="1"/>
  <c r="E2688" i="9" s="1"/>
  <c r="F2688" i="9" s="1"/>
  <c r="D140" i="9" a="1"/>
  <c r="D140" i="9" s="1"/>
  <c r="E140" i="9" s="1"/>
  <c r="F140" i="9" s="1"/>
  <c r="D2508" i="9" a="1"/>
  <c r="D2508" i="9" s="1"/>
  <c r="E2508" i="9" s="1"/>
  <c r="F2508" i="9" s="1"/>
  <c r="D2626" i="9" a="1"/>
  <c r="D2626" i="9" s="1"/>
  <c r="E2626" i="9" s="1"/>
  <c r="F2626" i="9" s="1"/>
  <c r="D2449" i="9" a="1"/>
  <c r="D2449" i="9" s="1"/>
  <c r="E2449" i="9" s="1"/>
  <c r="F2449" i="9" s="1"/>
  <c r="D2708" i="9" a="1"/>
  <c r="D2708" i="9" s="1"/>
  <c r="E2708" i="9" s="1"/>
  <c r="F2708" i="9" s="1"/>
  <c r="D2763" i="9" a="1"/>
  <c r="D2763" i="9" s="1"/>
  <c r="E2763" i="9" s="1"/>
  <c r="F2763" i="9" s="1"/>
  <c r="D2677" i="9" a="1"/>
  <c r="D2677" i="9" s="1"/>
  <c r="E2677" i="9" s="1"/>
  <c r="F2677" i="9" s="1"/>
  <c r="D2750" i="9" a="1"/>
  <c r="D2750" i="9" s="1"/>
  <c r="E2750" i="9" s="1"/>
  <c r="F2750" i="9" s="1"/>
  <c r="D2567" i="9" a="1"/>
  <c r="D2567" i="9" s="1"/>
  <c r="E2567" i="9" s="1"/>
  <c r="F2567" i="9" s="1"/>
  <c r="D2744" i="9" a="1"/>
  <c r="D2744" i="9" s="1"/>
  <c r="E2744" i="9" s="1"/>
  <c r="F2744" i="9" s="1"/>
  <c r="D2752" i="9" a="1"/>
  <c r="D2752" i="9" s="1"/>
  <c r="E2752" i="9" s="1"/>
  <c r="F2752" i="9" s="1"/>
  <c r="D2606" i="9" a="1"/>
  <c r="D2606" i="9" s="1"/>
  <c r="E2606" i="9" s="1"/>
  <c r="F2606" i="9" s="1"/>
  <c r="D2662" i="9" a="1"/>
  <c r="D2662" i="9" s="1"/>
  <c r="E2662" i="9" s="1"/>
  <c r="F2662" i="9" s="1"/>
  <c r="D2421" i="9" a="1"/>
  <c r="D2421" i="9" s="1"/>
  <c r="E2421" i="9" s="1"/>
  <c r="F2421" i="9" s="1"/>
  <c r="D2601" i="9" a="1"/>
  <c r="D2601" i="9" s="1"/>
  <c r="E2601" i="9" s="1"/>
  <c r="F2601" i="9" s="1"/>
  <c r="D2693" i="9" a="1"/>
  <c r="D2693" i="9" s="1"/>
  <c r="E2693" i="9" s="1"/>
  <c r="F2693" i="9" s="1"/>
  <c r="D2459" i="9" a="1"/>
  <c r="D2459" i="9" s="1"/>
  <c r="E2459" i="9" s="1"/>
  <c r="F2459" i="9" s="1"/>
  <c r="D2530" i="9" a="1"/>
  <c r="D2530" i="9" s="1"/>
  <c r="E2530" i="9" s="1"/>
  <c r="F2530" i="9" s="1"/>
  <c r="D2718" i="9" a="1"/>
  <c r="D2718" i="9" s="1"/>
  <c r="E2718" i="9" s="1"/>
  <c r="F2718" i="9" s="1"/>
  <c r="D2498" i="9" a="1"/>
  <c r="D2498" i="9" s="1"/>
  <c r="E2498" i="9" s="1"/>
  <c r="F2498" i="9" s="1"/>
  <c r="D2482" i="9" a="1"/>
  <c r="D2482" i="9" s="1"/>
  <c r="E2482" i="9" s="1"/>
  <c r="F2482" i="9" s="1"/>
  <c r="D2505" i="9" a="1"/>
  <c r="D2505" i="9" s="1"/>
  <c r="E2505" i="9" s="1"/>
  <c r="F2505" i="9" s="1"/>
  <c r="D2734" i="9" a="1"/>
  <c r="D2734" i="9" s="1"/>
  <c r="E2734" i="9" s="1"/>
  <c r="F2734" i="9" s="1"/>
  <c r="D2722" i="9" a="1"/>
  <c r="D2722" i="9" s="1"/>
  <c r="E2722" i="9" s="1"/>
  <c r="F2722" i="9" s="1"/>
  <c r="D2695" i="9" a="1"/>
  <c r="D2695" i="9" s="1"/>
  <c r="E2695" i="9" s="1"/>
  <c r="F2695" i="9" s="1"/>
  <c r="D2227" i="9" a="1"/>
  <c r="D2227" i="9" s="1"/>
  <c r="E2227" i="9" s="1"/>
  <c r="F2227" i="9" s="1"/>
  <c r="D2615" i="9" a="1"/>
  <c r="D2615" i="9" s="1"/>
  <c r="E2615" i="9" s="1"/>
  <c r="F2615" i="9" s="1"/>
  <c r="D2648" i="9" a="1"/>
  <c r="D2648" i="9" s="1"/>
  <c r="E2648" i="9" s="1"/>
  <c r="F2648" i="9" s="1"/>
  <c r="D2494" i="9" a="1"/>
  <c r="D2494" i="9" s="1"/>
  <c r="E2494" i="9" s="1"/>
  <c r="F2494" i="9" s="1"/>
  <c r="D2743" i="9" a="1"/>
  <c r="D2743" i="9" s="1"/>
  <c r="E2743" i="9" s="1"/>
  <c r="F2743" i="9" s="1"/>
  <c r="D2432" i="9" a="1"/>
  <c r="D2432" i="9" s="1"/>
  <c r="E2432" i="9" s="1"/>
  <c r="F2432" i="9" s="1"/>
  <c r="D2759" i="9" a="1"/>
  <c r="D2759" i="9" s="1"/>
  <c r="E2759" i="9" s="1"/>
  <c r="F2759" i="9" s="1"/>
  <c r="D2622" i="9" a="1"/>
  <c r="D2622" i="9" s="1"/>
  <c r="E2622" i="9" s="1"/>
  <c r="F2622" i="9" s="1"/>
  <c r="D2373" i="9" a="1"/>
  <c r="D2373" i="9" s="1"/>
  <c r="E2373" i="9" s="1"/>
  <c r="F2373" i="9" s="1"/>
  <c r="D2723" i="9" a="1"/>
  <c r="D2723" i="9" s="1"/>
  <c r="E2723" i="9" s="1"/>
  <c r="F2723" i="9" s="1"/>
  <c r="D2540" i="9" a="1"/>
  <c r="D2540" i="9" s="1"/>
  <c r="E2540" i="9" s="1"/>
  <c r="F2540" i="9" s="1"/>
  <c r="D2735" i="9" a="1"/>
  <c r="D2735" i="9" s="1"/>
  <c r="E2735" i="9" s="1"/>
  <c r="F2735" i="9" s="1"/>
  <c r="D2720" i="9" a="1"/>
  <c r="D2720" i="9" s="1"/>
  <c r="E2720" i="9" s="1"/>
  <c r="F2720" i="9" s="1"/>
  <c r="D2520" i="9" a="1"/>
  <c r="D2520" i="9" s="1"/>
  <c r="E2520" i="9" s="1"/>
  <c r="F2520" i="9" s="1"/>
  <c r="D2700" i="9" a="1"/>
  <c r="D2700" i="9" s="1"/>
  <c r="E2700" i="9" s="1"/>
  <c r="F2700" i="9" s="1"/>
  <c r="D2671" i="9" a="1"/>
  <c r="D2671" i="9" s="1"/>
  <c r="E2671" i="9" s="1"/>
  <c r="F2671" i="9" s="1"/>
  <c r="D2568" i="9" a="1"/>
  <c r="D2568" i="9" s="1"/>
  <c r="E2568" i="9" s="1"/>
  <c r="F2568" i="9" s="1"/>
  <c r="D2761" i="9" a="1"/>
  <c r="D2761" i="9" s="1"/>
  <c r="E2761" i="9" s="1"/>
  <c r="F2761" i="9" s="1"/>
  <c r="D2448" i="9" a="1"/>
  <c r="D2448" i="9" s="1"/>
  <c r="E2448" i="9" s="1"/>
  <c r="F2448" i="9" s="1"/>
  <c r="D2617" i="9" a="1"/>
  <c r="D2617" i="9" s="1"/>
  <c r="E2617" i="9" s="1"/>
  <c r="F2617" i="9" s="1"/>
  <c r="D2599" i="9" a="1"/>
  <c r="D2599" i="9" s="1"/>
  <c r="E2599" i="9" s="1"/>
  <c r="F2599" i="9" s="1"/>
  <c r="D2699" i="9" a="1"/>
  <c r="D2699" i="9" s="1"/>
  <c r="E2699" i="9" s="1"/>
  <c r="F2699" i="9" s="1"/>
  <c r="D2721" i="9" a="1"/>
  <c r="D2721" i="9" s="1"/>
  <c r="E2721" i="9" s="1"/>
  <c r="F2721" i="9" s="1"/>
  <c r="D2509" i="9" a="1"/>
  <c r="D2509" i="9" s="1"/>
  <c r="E2509" i="9" s="1"/>
  <c r="F2509" i="9" s="1"/>
  <c r="D2664" i="9" a="1"/>
  <c r="D2664" i="9" s="1"/>
  <c r="E2664" i="9" s="1"/>
  <c r="F2664" i="9" s="1"/>
  <c r="D2631" i="9" a="1"/>
  <c r="D2631" i="9" s="1"/>
  <c r="E2631" i="9" s="1"/>
  <c r="F2631" i="9" s="1"/>
  <c r="D2676" i="9" a="1"/>
  <c r="D2676" i="9" s="1"/>
  <c r="E2676" i="9" s="1"/>
  <c r="F2676" i="9" s="1"/>
  <c r="D2748" i="9" a="1"/>
  <c r="D2748" i="9" s="1"/>
  <c r="E2748" i="9" s="1"/>
  <c r="F2748" i="9" s="1"/>
  <c r="D2" i="9" a="1"/>
  <c r="D2" i="9" s="1"/>
  <c r="E2" i="9" s="1"/>
  <c r="F2" i="9" s="1"/>
  <c r="D2689" i="9" a="1"/>
  <c r="D2689" i="9" s="1"/>
  <c r="E2689" i="9" s="1"/>
  <c r="F2689" i="9" s="1"/>
  <c r="D2527" i="9" a="1"/>
  <c r="D2527" i="9" s="1"/>
  <c r="E2527" i="9" s="1"/>
  <c r="F2527" i="9" s="1"/>
  <c r="D2712" i="9" a="1"/>
  <c r="D2712" i="9" s="1"/>
  <c r="E2712" i="9" s="1"/>
  <c r="F2712" i="9" s="1"/>
  <c r="D2518" i="9" a="1"/>
  <c r="D2518" i="9" s="1"/>
  <c r="E2518" i="9" s="1"/>
  <c r="F2518" i="9" s="1"/>
  <c r="D2665" i="9" a="1"/>
  <c r="D2665" i="9" s="1"/>
  <c r="E2665" i="9" s="1"/>
  <c r="F2665" i="9" s="1"/>
  <c r="D2602" i="9" a="1"/>
  <c r="D2602" i="9" s="1"/>
  <c r="E2602" i="9" s="1"/>
  <c r="F2602" i="9" s="1"/>
  <c r="D2771" i="9" a="1"/>
  <c r="D2771" i="9" s="1"/>
  <c r="E2771" i="9" s="1"/>
  <c r="F2771" i="9" s="1"/>
  <c r="D2618" i="9" a="1"/>
  <c r="D2618" i="9" s="1"/>
  <c r="E2618" i="9" s="1"/>
  <c r="F2618" i="9" s="1"/>
  <c r="D2728" i="9" a="1"/>
  <c r="D2728" i="9" s="1"/>
  <c r="E2728" i="9" s="1"/>
  <c r="F2728" i="9" s="1"/>
  <c r="D2701" i="9" a="1"/>
  <c r="D2701" i="9" s="1"/>
  <c r="E2701" i="9" s="1"/>
  <c r="F2701" i="9" s="1"/>
  <c r="D2462" i="9" a="1"/>
  <c r="D2462" i="9" s="1"/>
  <c r="E2462" i="9" s="1"/>
  <c r="F2462" i="9" s="1"/>
  <c r="D2594" i="9" a="1"/>
  <c r="D2594" i="9" s="1"/>
  <c r="E2594" i="9" s="1"/>
  <c r="F2594" i="9" s="1"/>
  <c r="D2470" i="9" a="1"/>
  <c r="D2470" i="9" s="1"/>
  <c r="E2470" i="9" s="1"/>
  <c r="F2470" i="9" s="1"/>
  <c r="D2754" i="9" a="1"/>
  <c r="D2754" i="9" s="1"/>
  <c r="E2754" i="9" s="1"/>
  <c r="F2754" i="9" s="1"/>
  <c r="D2486" i="9" a="1"/>
  <c r="D2486" i="9" s="1"/>
  <c r="E2486" i="9" s="1"/>
  <c r="F2486" i="9" s="1"/>
  <c r="D2690" i="9" a="1"/>
  <c r="D2690" i="9" s="1"/>
  <c r="E2690" i="9" s="1"/>
  <c r="F2690" i="9" s="1"/>
  <c r="D2630" i="9" a="1"/>
  <c r="D2630" i="9" s="1"/>
  <c r="E2630" i="9" s="1"/>
  <c r="F2630" i="9" s="1"/>
  <c r="D2387" i="9" a="1"/>
  <c r="D2387" i="9" s="1"/>
  <c r="E2387" i="9" s="1"/>
  <c r="F2387" i="9" s="1"/>
  <c r="D2510" i="9" a="1"/>
  <c r="D2510" i="9" s="1"/>
  <c r="E2510" i="9" s="1"/>
  <c r="F2510" i="9" s="1"/>
  <c r="D2603" i="9" a="1"/>
  <c r="D2603" i="9" s="1"/>
  <c r="E2603" i="9" s="1"/>
  <c r="F2603" i="9" s="1"/>
  <c r="D2707" i="9" a="1"/>
  <c r="D2707" i="9" s="1"/>
  <c r="E2707" i="9" s="1"/>
  <c r="F2707" i="9" s="1"/>
  <c r="D2163" i="9" a="1"/>
  <c r="D2163" i="9" s="1"/>
  <c r="E2163" i="9" s="1"/>
  <c r="F2163" i="9" s="1"/>
  <c r="D2650" i="9" a="1"/>
  <c r="D2650" i="9" s="1"/>
  <c r="E2650" i="9" s="1"/>
  <c r="F2650" i="9" s="1"/>
  <c r="D2474" i="9" a="1"/>
  <c r="D2474" i="9" s="1"/>
  <c r="E2474" i="9" s="1"/>
  <c r="F2474" i="9" s="1"/>
  <c r="D2481" i="9" a="1"/>
  <c r="D2481" i="9" s="1"/>
  <c r="E2481" i="9" s="1"/>
  <c r="F2481" i="9" s="1"/>
  <c r="D2651" i="9" a="1"/>
  <c r="D2651" i="9" s="1"/>
  <c r="E2651" i="9" s="1"/>
  <c r="F2651" i="9" s="1"/>
  <c r="D2639" i="9" a="1"/>
  <c r="D2639" i="9" s="1"/>
  <c r="E2639" i="9" s="1"/>
  <c r="F2639" i="9" s="1"/>
  <c r="D2732" i="9" a="1"/>
  <c r="D2732" i="9" s="1"/>
  <c r="E2732" i="9" s="1"/>
  <c r="F2732" i="9" s="1"/>
  <c r="D2580" i="9" a="1"/>
  <c r="D2580" i="9" s="1"/>
  <c r="E2580" i="9" s="1"/>
  <c r="F2580" i="9" s="1"/>
  <c r="D2552" i="9" a="1"/>
  <c r="D2552" i="9" s="1"/>
  <c r="E2552" i="9" s="1"/>
  <c r="F2552" i="9" s="1"/>
  <c r="D2496" i="9" a="1"/>
  <c r="D2496" i="9" s="1"/>
  <c r="E2496" i="9" s="1"/>
  <c r="F2496" i="9" s="1"/>
  <c r="D2724" i="9" a="1"/>
  <c r="D2724" i="9" s="1"/>
  <c r="E2724" i="9" s="1"/>
  <c r="F2724" i="9" s="1"/>
  <c r="D2647" i="9" a="1"/>
  <c r="D2647" i="9" s="1"/>
  <c r="E2647" i="9" s="1"/>
  <c r="F2647" i="9" s="1"/>
  <c r="D2713" i="9" a="1"/>
  <c r="D2713" i="9" s="1"/>
  <c r="E2713" i="9" s="1"/>
  <c r="F2713" i="9" s="1"/>
  <c r="D2503" i="9" a="1"/>
  <c r="D2503" i="9" s="1"/>
  <c r="E2503" i="9" s="1"/>
  <c r="F2503" i="9" s="1"/>
  <c r="D2642" i="9" a="1"/>
  <c r="D2642" i="9" s="1"/>
  <c r="E2642" i="9" s="1"/>
  <c r="F2642" i="9" s="1"/>
  <c r="D2414" i="9" a="1"/>
  <c r="D2414" i="9" s="1"/>
  <c r="E2414" i="9" s="1"/>
  <c r="F2414" i="9" s="1"/>
  <c r="D2566" i="9" a="1"/>
  <c r="D2566" i="9" s="1"/>
  <c r="E2566" i="9" s="1"/>
  <c r="F2566" i="9" s="1"/>
  <c r="D2731" i="9" a="1"/>
  <c r="D2731" i="9" s="1"/>
  <c r="E2731" i="9" s="1"/>
  <c r="F2731" i="9" s="1"/>
  <c r="D2581" i="9" a="1"/>
  <c r="D2581" i="9" s="1"/>
  <c r="E2581" i="9" s="1"/>
  <c r="F2581" i="9" s="1"/>
  <c r="D2453" i="9" a="1"/>
  <c r="D2453" i="9" s="1"/>
  <c r="E2453" i="9" s="1"/>
  <c r="F2453" i="9" s="1"/>
  <c r="D2437" i="9" a="1"/>
  <c r="D2437" i="9" s="1"/>
  <c r="E2437" i="9" s="1"/>
  <c r="F2437" i="9" s="1"/>
  <c r="D2656" i="9" a="1"/>
  <c r="D2656" i="9" s="1"/>
  <c r="E2656" i="9" s="1"/>
  <c r="F2656" i="9" s="1"/>
  <c r="D680" i="9" a="1"/>
  <c r="D680" i="9" s="1"/>
  <c r="E680" i="9" s="1"/>
  <c r="F680" i="9" s="1"/>
  <c r="D2484" i="9" a="1"/>
  <c r="D2484" i="9" s="1"/>
  <c r="E2484" i="9" s="1"/>
  <c r="F2484" i="9" s="1"/>
  <c r="D2512" i="9" a="1"/>
  <c r="D2512" i="9" s="1"/>
  <c r="E2512" i="9" s="1"/>
  <c r="F2512" i="9" s="1"/>
  <c r="D2543" i="9" a="1"/>
  <c r="D2543" i="9" s="1"/>
  <c r="E2543" i="9" s="1"/>
  <c r="F2543" i="9" s="1"/>
  <c r="D2211" i="9" a="1"/>
  <c r="D2211" i="9" s="1"/>
  <c r="E2211" i="9" s="1"/>
  <c r="F2211" i="9" s="1"/>
  <c r="D2562" i="9" a="1"/>
  <c r="D2562" i="9" s="1"/>
  <c r="E2562" i="9" s="1"/>
  <c r="F2562" i="9" s="1"/>
  <c r="D2682" i="9" a="1"/>
  <c r="D2682" i="9" s="1"/>
  <c r="E2682" i="9" s="1"/>
  <c r="F2682" i="9" s="1"/>
  <c r="D2451" i="9" a="1"/>
  <c r="D2451" i="9" s="1"/>
  <c r="E2451" i="9" s="1"/>
  <c r="F2451" i="9" s="1"/>
  <c r="D2764" i="9" a="1"/>
  <c r="D2764" i="9" s="1"/>
  <c r="E2764" i="9" s="1"/>
  <c r="F2764" i="9" s="1"/>
  <c r="D2705" i="9" a="1"/>
  <c r="D2705" i="9" s="1"/>
  <c r="E2705" i="9" s="1"/>
  <c r="F2705" i="9" s="1"/>
  <c r="D2760" i="9" a="1"/>
  <c r="D2760" i="9" s="1"/>
  <c r="E2760" i="9" s="1"/>
  <c r="F2760" i="9" s="1"/>
  <c r="D2747" i="9" a="1"/>
  <c r="D2747" i="9" s="1"/>
  <c r="E2747" i="9" s="1"/>
  <c r="F2747" i="9" s="1"/>
  <c r="D2755" i="9" a="1"/>
  <c r="D2755" i="9" s="1"/>
  <c r="E2755" i="9" s="1"/>
  <c r="F2755" i="9" s="1"/>
  <c r="D2737" i="9" a="1"/>
  <c r="D2737" i="9" s="1"/>
  <c r="E2737" i="9" s="1"/>
  <c r="F2737" i="9" s="1"/>
  <c r="D2405" i="9" a="1"/>
  <c r="D2405" i="9" s="1"/>
  <c r="E2405" i="9" s="1"/>
  <c r="F2405" i="9" s="1"/>
  <c r="D2367" i="9" a="1"/>
  <c r="D2367" i="9" s="1"/>
  <c r="E2367" i="9" s="1"/>
  <c r="F2367" i="9" s="1"/>
  <c r="D2402" i="9" a="1"/>
  <c r="D2402" i="9" s="1"/>
  <c r="E2402" i="9" s="1"/>
  <c r="F2402" i="9" s="1"/>
  <c r="D2468" i="9" a="1"/>
  <c r="D2468" i="9" s="1"/>
  <c r="E2468" i="9" s="1"/>
  <c r="F2468" i="9" s="1"/>
  <c r="D2587" i="9" a="1"/>
  <c r="D2587" i="9" s="1"/>
  <c r="E2587" i="9" s="1"/>
  <c r="F2587" i="9" s="1"/>
  <c r="D2399" i="9" a="1"/>
  <c r="D2399" i="9" s="1"/>
  <c r="E2399" i="9" s="1"/>
  <c r="F2399" i="9" s="1"/>
  <c r="D2442" i="9" a="1"/>
  <c r="D2442" i="9" s="1"/>
  <c r="E2442" i="9" s="1"/>
  <c r="F2442" i="9" s="1"/>
  <c r="D2609" i="9" a="1"/>
  <c r="D2609" i="9" s="1"/>
  <c r="E2609" i="9" s="1"/>
  <c r="F2609" i="9" s="1"/>
  <c r="D2441" i="9" a="1"/>
  <c r="D2441" i="9" s="1"/>
  <c r="E2441" i="9" s="1"/>
  <c r="F2441" i="9" s="1"/>
  <c r="D2620" i="9" a="1"/>
  <c r="D2620" i="9" s="1"/>
  <c r="E2620" i="9" s="1"/>
  <c r="F2620" i="9" s="1"/>
  <c r="D2464" i="9" a="1"/>
  <c r="D2464" i="9" s="1"/>
  <c r="E2464" i="9" s="1"/>
  <c r="F2464" i="9" s="1"/>
  <c r="D2535" i="9" a="1"/>
  <c r="D2535" i="9" s="1"/>
  <c r="E2535" i="9" s="1"/>
  <c r="F2535" i="9" s="1"/>
  <c r="D2345" i="9" a="1"/>
  <c r="D2345" i="9" s="1"/>
  <c r="E2345" i="9" s="1"/>
  <c r="F2345" i="9" s="1"/>
  <c r="D2266" i="9" a="1"/>
  <c r="D2266" i="9" s="1"/>
  <c r="E2266" i="9" s="1"/>
  <c r="F2266" i="9" s="1"/>
  <c r="D2051" i="9" a="1"/>
  <c r="D2051" i="9" s="1"/>
  <c r="E2051" i="9" s="1"/>
  <c r="F2051" i="9" s="1"/>
  <c r="D2199" i="9" a="1"/>
  <c r="D2199" i="9" s="1"/>
  <c r="E2199" i="9" s="1"/>
  <c r="F2199" i="9" s="1"/>
  <c r="D2294" i="9" a="1"/>
  <c r="D2294" i="9" s="1"/>
  <c r="E2294" i="9" s="1"/>
  <c r="F2294" i="9" s="1"/>
  <c r="D2095" i="9" a="1"/>
  <c r="D2095" i="9" s="1"/>
  <c r="E2095" i="9" s="1"/>
  <c r="F2095" i="9" s="1"/>
  <c r="D2182" i="9" a="1"/>
  <c r="D2182" i="9" s="1"/>
  <c r="E2182" i="9" s="1"/>
  <c r="F2182" i="9" s="1"/>
  <c r="D2363" i="9" a="1"/>
  <c r="D2363" i="9" s="1"/>
  <c r="E2363" i="9" s="1"/>
  <c r="F2363" i="9" s="1"/>
  <c r="D2177" i="9" a="1"/>
  <c r="D2177" i="9" s="1"/>
  <c r="E2177" i="9" s="1"/>
  <c r="F2177" i="9" s="1"/>
  <c r="D2305" i="9" a="1"/>
  <c r="D2305" i="9" s="1"/>
  <c r="E2305" i="9" s="1"/>
  <c r="F2305" i="9" s="1"/>
  <c r="D2107" i="9" a="1"/>
  <c r="D2107" i="9" s="1"/>
  <c r="E2107" i="9" s="1"/>
  <c r="F2107" i="9" s="1"/>
  <c r="D2287" i="9" a="1"/>
  <c r="D2287" i="9" s="1"/>
  <c r="E2287" i="9" s="1"/>
  <c r="F2287" i="9" s="1"/>
  <c r="D2088" i="9" a="1"/>
  <c r="D2088" i="9" s="1"/>
  <c r="E2088" i="9" s="1"/>
  <c r="F2088" i="9" s="1"/>
  <c r="D2222" i="9" a="1"/>
  <c r="D2222" i="9" s="1"/>
  <c r="E2222" i="9" s="1"/>
  <c r="F2222" i="9" s="1"/>
  <c r="D2302" i="9" a="1"/>
  <c r="D2302" i="9" s="1"/>
  <c r="E2302" i="9" s="1"/>
  <c r="F2302" i="9" s="1"/>
  <c r="D2103" i="9" a="1"/>
  <c r="D2103" i="9" s="1"/>
  <c r="E2103" i="9" s="1"/>
  <c r="F2103" i="9" s="1"/>
  <c r="D2330" i="9" a="1"/>
  <c r="D2330" i="9" s="1"/>
  <c r="E2330" i="9" s="1"/>
  <c r="F2330" i="9" s="1"/>
  <c r="D2138" i="9" a="1"/>
  <c r="D2138" i="9" s="1"/>
  <c r="E2138" i="9" s="1"/>
  <c r="F2138" i="9" s="1"/>
  <c r="D2356" i="9" a="1"/>
  <c r="D2356" i="9" s="1"/>
  <c r="E2356" i="9" s="1"/>
  <c r="F2356" i="9" s="1"/>
  <c r="D2171" i="9" a="1"/>
  <c r="D2171" i="9" s="1"/>
  <c r="E2171" i="9" s="1"/>
  <c r="F2171" i="9" s="1"/>
  <c r="D2002" i="9" a="1"/>
  <c r="D2002" i="9" s="1"/>
  <c r="E2002" i="9" s="1"/>
  <c r="F2002" i="9" s="1"/>
  <c r="D1449" i="9" a="1"/>
  <c r="D1449" i="9" s="1"/>
  <c r="E1449" i="9" s="1"/>
  <c r="F1449" i="9" s="1"/>
  <c r="D1622" i="9" a="1"/>
  <c r="D1622" i="9" s="1"/>
  <c r="E1622" i="9" s="1"/>
  <c r="F1622" i="9" s="1"/>
  <c r="D1766" i="9" a="1"/>
  <c r="D1766" i="9" s="1"/>
  <c r="E1766" i="9" s="1"/>
  <c r="F1766" i="9" s="1"/>
  <c r="D1910" i="9" a="1"/>
  <c r="D1910" i="9" s="1"/>
  <c r="E1910" i="9" s="1"/>
  <c r="F1910" i="9" s="1"/>
  <c r="D2054" i="9" a="1"/>
  <c r="D2054" i="9" s="1"/>
  <c r="E2054" i="9" s="1"/>
  <c r="F2054" i="9" s="1"/>
  <c r="D1468" i="9" a="1"/>
  <c r="D1468" i="9" s="1"/>
  <c r="E1468" i="9" s="1"/>
  <c r="F1468" i="9" s="1"/>
  <c r="D1635" i="9" a="1"/>
  <c r="D1635" i="9" s="1"/>
  <c r="E1635" i="9" s="1"/>
  <c r="F1635" i="9" s="1"/>
  <c r="D1779" i="9" a="1"/>
  <c r="D1779" i="9" s="1"/>
  <c r="E1779" i="9" s="1"/>
  <c r="F1779" i="9" s="1"/>
  <c r="D1923" i="9" a="1"/>
  <c r="D1923" i="9" s="1"/>
  <c r="E1923" i="9" s="1"/>
  <c r="F1923" i="9" s="1"/>
  <c r="D2067" i="9" a="1"/>
  <c r="D2067" i="9" s="1"/>
  <c r="E2067" i="9" s="1"/>
  <c r="F2067" i="9" s="1"/>
  <c r="D1489" i="9" a="1"/>
  <c r="D1489" i="9" s="1"/>
  <c r="E1489" i="9" s="1"/>
  <c r="F1489" i="9" s="1"/>
  <c r="D1648" i="9" a="1"/>
  <c r="D1648" i="9" s="1"/>
  <c r="E1648" i="9" s="1"/>
  <c r="F1648" i="9" s="1"/>
  <c r="D1792" i="9" a="1"/>
  <c r="D1792" i="9" s="1"/>
  <c r="E1792" i="9" s="1"/>
  <c r="F1792" i="9" s="1"/>
  <c r="D1936" i="9" a="1"/>
  <c r="D1936" i="9" s="1"/>
  <c r="E1936" i="9" s="1"/>
  <c r="F1936" i="9" s="1"/>
  <c r="D1287" i="9" a="1"/>
  <c r="D1287" i="9" s="1"/>
  <c r="E1287" i="9" s="1"/>
  <c r="F1287" i="9" s="1"/>
  <c r="D1652" i="9" a="1"/>
  <c r="D1652" i="9" s="1"/>
  <c r="E1652" i="9" s="1"/>
  <c r="F1652" i="9" s="1"/>
  <c r="D1661" i="9" a="1"/>
  <c r="D1661" i="9" s="1"/>
  <c r="E1661" i="9" s="1"/>
  <c r="F1661" i="9" s="1"/>
  <c r="D1805" i="9" a="1"/>
  <c r="D1805" i="9" s="1"/>
  <c r="E1805" i="9" s="1"/>
  <c r="F1805" i="9" s="1"/>
  <c r="D1949" i="9" a="1"/>
  <c r="D1949" i="9" s="1"/>
  <c r="E1949" i="9" s="1"/>
  <c r="F1949" i="9" s="1"/>
  <c r="D1329" i="9" a="1"/>
  <c r="D1329" i="9" s="1"/>
  <c r="E1329" i="9" s="1"/>
  <c r="F1329" i="9" s="1"/>
  <c r="D1540" i="9" a="1"/>
  <c r="D1540" i="9" s="1"/>
  <c r="E1540" i="9" s="1"/>
  <c r="F1540" i="9" s="1"/>
  <c r="D1686" i="9" a="1"/>
  <c r="D1686" i="9" s="1"/>
  <c r="E1686" i="9" s="1"/>
  <c r="F1686" i="9" s="1"/>
  <c r="D1830" i="9" a="1"/>
  <c r="D1830" i="9" s="1"/>
  <c r="E1830" i="9" s="1"/>
  <c r="F1830" i="9" s="1"/>
  <c r="D1974" i="9" a="1"/>
  <c r="D1974" i="9" s="1"/>
  <c r="E1974" i="9" s="1"/>
  <c r="F1974" i="9" s="1"/>
  <c r="D2118" i="9" a="1"/>
  <c r="D2118" i="9" s="1"/>
  <c r="E2118" i="9" s="1"/>
  <c r="F2118" i="9" s="1"/>
  <c r="D2262" i="9" a="1"/>
  <c r="D2262" i="9" s="1"/>
  <c r="E2262" i="9" s="1"/>
  <c r="F2262" i="9" s="1"/>
  <c r="D1312" i="9" a="1"/>
  <c r="D1312" i="9" s="1"/>
  <c r="E1312" i="9" s="1"/>
  <c r="F1312" i="9" s="1"/>
  <c r="D1526" i="9" a="1"/>
  <c r="D1526" i="9" s="1"/>
  <c r="E1526" i="9" s="1"/>
  <c r="F1526" i="9" s="1"/>
  <c r="D1675" i="9" a="1"/>
  <c r="D1675" i="9" s="1"/>
  <c r="E1675" i="9" s="1"/>
  <c r="F1675" i="9" s="1"/>
  <c r="D1819" i="9" a="1"/>
  <c r="D1819" i="9" s="1"/>
  <c r="E1819" i="9" s="1"/>
  <c r="F1819" i="9" s="1"/>
  <c r="D1333" i="9" a="1"/>
  <c r="D1333" i="9" s="1"/>
  <c r="E1333" i="9" s="1"/>
  <c r="F1333" i="9" s="1"/>
  <c r="D1616" i="9" a="1"/>
  <c r="D1616" i="9" s="1"/>
  <c r="E1616" i="9" s="1"/>
  <c r="F1616" i="9" s="1"/>
  <c r="D1796" i="9" a="1"/>
  <c r="D1796" i="9" s="1"/>
  <c r="E1796" i="9" s="1"/>
  <c r="F1796" i="9" s="1"/>
  <c r="D1832" i="9" a="1"/>
  <c r="D1832" i="9" s="1"/>
  <c r="E1832" i="9" s="1"/>
  <c r="F1832" i="9" s="1"/>
  <c r="D1976" i="9" a="1"/>
  <c r="D1976" i="9" s="1"/>
  <c r="E1976" i="9" s="1"/>
  <c r="F1976" i="9" s="1"/>
  <c r="D2120" i="9" a="1"/>
  <c r="D2120" i="9" s="1"/>
  <c r="E2120" i="9" s="1"/>
  <c r="F2120" i="9" s="1"/>
  <c r="D2264" i="9" a="1"/>
  <c r="D2264" i="9" s="1"/>
  <c r="E2264" i="9" s="1"/>
  <c r="F2264" i="9" s="1"/>
  <c r="D1406" i="9" a="1"/>
  <c r="D1406" i="9" s="1"/>
  <c r="E1406" i="9" s="1"/>
  <c r="F1406" i="9" s="1"/>
  <c r="D1593" i="9" a="1"/>
  <c r="D1593" i="9" s="1"/>
  <c r="E1593" i="9" s="1"/>
  <c r="F1593" i="9" s="1"/>
  <c r="D2736" i="9" a="1"/>
  <c r="D2736" i="9" s="1"/>
  <c r="E2736" i="9" s="1"/>
  <c r="F2736" i="9" s="1"/>
  <c r="D2654" i="9" a="1"/>
  <c r="D2654" i="9" s="1"/>
  <c r="E2654" i="9" s="1"/>
  <c r="F2654" i="9" s="1"/>
  <c r="D2368" i="9" a="1"/>
  <c r="D2368" i="9" s="1"/>
  <c r="E2368" i="9" s="1"/>
  <c r="F2368" i="9" s="1"/>
  <c r="D2331" i="9" a="1"/>
  <c r="D2331" i="9" s="1"/>
  <c r="E2331" i="9" s="1"/>
  <c r="F2331" i="9" s="1"/>
  <c r="D2365" i="9" a="1"/>
  <c r="D2365" i="9" s="1"/>
  <c r="E2365" i="9" s="1"/>
  <c r="F2365" i="9" s="1"/>
  <c r="D2456" i="9" a="1"/>
  <c r="D2456" i="9" s="1"/>
  <c r="E2456" i="9" s="1"/>
  <c r="F2456" i="9" s="1"/>
  <c r="D2575" i="9" a="1"/>
  <c r="D2575" i="9" s="1"/>
  <c r="E2575" i="9" s="1"/>
  <c r="F2575" i="9" s="1"/>
  <c r="D2380" i="9" a="1"/>
  <c r="D2380" i="9" s="1"/>
  <c r="E2380" i="9" s="1"/>
  <c r="F2380" i="9" s="1"/>
  <c r="D2428" i="9" a="1"/>
  <c r="D2428" i="9" s="1"/>
  <c r="E2428" i="9" s="1"/>
  <c r="F2428" i="9" s="1"/>
  <c r="D2585" i="9" a="1"/>
  <c r="D2585" i="9" s="1"/>
  <c r="E2585" i="9" s="1"/>
  <c r="F2585" i="9" s="1"/>
  <c r="D2427" i="9" a="1"/>
  <c r="D2427" i="9" s="1"/>
  <c r="E2427" i="9" s="1"/>
  <c r="F2427" i="9" s="1"/>
  <c r="D2608" i="9" a="1"/>
  <c r="D2608" i="9" s="1"/>
  <c r="E2608" i="9" s="1"/>
  <c r="F2608" i="9" s="1"/>
  <c r="D2452" i="9" a="1"/>
  <c r="D2452" i="9" s="1"/>
  <c r="E2452" i="9" s="1"/>
  <c r="F2452" i="9" s="1"/>
  <c r="D2523" i="9" a="1"/>
  <c r="D2523" i="9" s="1"/>
  <c r="E2523" i="9" s="1"/>
  <c r="F2523" i="9" s="1"/>
  <c r="D1939" i="9" a="1"/>
  <c r="D1939" i="9" s="1"/>
  <c r="E1939" i="9" s="1"/>
  <c r="F1939" i="9" s="1"/>
  <c r="D2248" i="9" a="1"/>
  <c r="D2248" i="9" s="1"/>
  <c r="E2248" i="9" s="1"/>
  <c r="F2248" i="9" s="1"/>
  <c r="D1978" i="9" a="1"/>
  <c r="D1978" i="9" s="1"/>
  <c r="E1978" i="9" s="1"/>
  <c r="F1978" i="9" s="1"/>
  <c r="D2184" i="9" a="1"/>
  <c r="D2184" i="9" s="1"/>
  <c r="E2184" i="9" s="1"/>
  <c r="F2184" i="9" s="1"/>
  <c r="D2279" i="9" a="1"/>
  <c r="D2279" i="9" s="1"/>
  <c r="E2279" i="9" s="1"/>
  <c r="F2279" i="9" s="1"/>
  <c r="D2078" i="9" a="1"/>
  <c r="D2078" i="9" s="1"/>
  <c r="E2078" i="9" s="1"/>
  <c r="F2078" i="9" s="1"/>
  <c r="D2164" i="9" a="1"/>
  <c r="D2164" i="9" s="1"/>
  <c r="E2164" i="9" s="1"/>
  <c r="F2164" i="9" s="1"/>
  <c r="D2350" i="9" a="1"/>
  <c r="D2350" i="9" s="1"/>
  <c r="E2350" i="9" s="1"/>
  <c r="F2350" i="9" s="1"/>
  <c r="D2162" i="9" a="1"/>
  <c r="D2162" i="9" s="1"/>
  <c r="E2162" i="9" s="1"/>
  <c r="F2162" i="9" s="1"/>
  <c r="D2290" i="9" a="1"/>
  <c r="D2290" i="9" s="1"/>
  <c r="E2290" i="9" s="1"/>
  <c r="F2290" i="9" s="1"/>
  <c r="D2090" i="9" a="1"/>
  <c r="D2090" i="9" s="1"/>
  <c r="E2090" i="9" s="1"/>
  <c r="F2090" i="9" s="1"/>
  <c r="D2271" i="9" a="1"/>
  <c r="D2271" i="9" s="1"/>
  <c r="E2271" i="9" s="1"/>
  <c r="F2271" i="9" s="1"/>
  <c r="D2069" i="9" a="1"/>
  <c r="D2069" i="9" s="1"/>
  <c r="E2069" i="9" s="1"/>
  <c r="F2069" i="9" s="1"/>
  <c r="D2207" i="9" a="1"/>
  <c r="D2207" i="9" s="1"/>
  <c r="E2207" i="9" s="1"/>
  <c r="F2207" i="9" s="1"/>
  <c r="D2284" i="9" a="1"/>
  <c r="D2284" i="9" s="1"/>
  <c r="E2284" i="9" s="1"/>
  <c r="F2284" i="9" s="1"/>
  <c r="D2086" i="9" a="1"/>
  <c r="D2086" i="9" s="1"/>
  <c r="E2086" i="9" s="1"/>
  <c r="F2086" i="9" s="1"/>
  <c r="D2316" i="9" a="1"/>
  <c r="D2316" i="9" s="1"/>
  <c r="E2316" i="9" s="1"/>
  <c r="F2316" i="9" s="1"/>
  <c r="D2119" i="9" a="1"/>
  <c r="D2119" i="9" s="1"/>
  <c r="E2119" i="9" s="1"/>
  <c r="F2119" i="9" s="1"/>
  <c r="D2343" i="9" a="1"/>
  <c r="D2343" i="9" s="1"/>
  <c r="E2343" i="9" s="1"/>
  <c r="F2343" i="9" s="1"/>
  <c r="D2153" i="9" a="1"/>
  <c r="D2153" i="9" s="1"/>
  <c r="E2153" i="9" s="1"/>
  <c r="F2153" i="9" s="1"/>
  <c r="D1943" i="9" a="1"/>
  <c r="D1943" i="9" s="1"/>
  <c r="E1943" i="9" s="1"/>
  <c r="F1943" i="9" s="1"/>
  <c r="D1467" i="9" a="1"/>
  <c r="D1467" i="9" s="1"/>
  <c r="E1467" i="9" s="1"/>
  <c r="F1467" i="9" s="1"/>
  <c r="D1634" i="9" a="1"/>
  <c r="D1634" i="9" s="1"/>
  <c r="E1634" i="9" s="1"/>
  <c r="F1634" i="9" s="1"/>
  <c r="D1778" i="9" a="1"/>
  <c r="D1778" i="9" s="1"/>
  <c r="E1778" i="9" s="1"/>
  <c r="F1778" i="9" s="1"/>
  <c r="D1922" i="9" a="1"/>
  <c r="D1922" i="9" s="1"/>
  <c r="E1922" i="9" s="1"/>
  <c r="F1922" i="9" s="1"/>
  <c r="D2066" i="9" a="1"/>
  <c r="D2066" i="9" s="1"/>
  <c r="E2066" i="9" s="1"/>
  <c r="F2066" i="9" s="1"/>
  <c r="D1488" i="9" a="1"/>
  <c r="D1488" i="9" s="1"/>
  <c r="E1488" i="9" s="1"/>
  <c r="F1488" i="9" s="1"/>
  <c r="D1647" i="9" a="1"/>
  <c r="D1647" i="9" s="1"/>
  <c r="E1647" i="9" s="1"/>
  <c r="F1647" i="9" s="1"/>
  <c r="D1791" i="9" a="1"/>
  <c r="D1791" i="9" s="1"/>
  <c r="E1791" i="9" s="1"/>
  <c r="F1791" i="9" s="1"/>
  <c r="D1935" i="9" a="1"/>
  <c r="D1935" i="9" s="1"/>
  <c r="E1935" i="9" s="1"/>
  <c r="F1935" i="9" s="1"/>
  <c r="D1286" i="9" a="1"/>
  <c r="D1286" i="9" s="1"/>
  <c r="E1286" i="9" s="1"/>
  <c r="F1286" i="9" s="1"/>
  <c r="D1505" i="9" a="1"/>
  <c r="D1505" i="9" s="1"/>
  <c r="E1505" i="9" s="1"/>
  <c r="F1505" i="9" s="1"/>
  <c r="D1660" i="9" a="1"/>
  <c r="D1660" i="9" s="1"/>
  <c r="E1660" i="9" s="1"/>
  <c r="F1660" i="9" s="1"/>
  <c r="D1804" i="9" a="1"/>
  <c r="D1804" i="9" s="1"/>
  <c r="E1804" i="9" s="1"/>
  <c r="F1804" i="9" s="1"/>
  <c r="D1948" i="9" a="1"/>
  <c r="D1948" i="9" s="1"/>
  <c r="E1948" i="9" s="1"/>
  <c r="F1948" i="9" s="1"/>
  <c r="D1310" i="9" a="1"/>
  <c r="D1310" i="9" s="1"/>
  <c r="E1310" i="9" s="1"/>
  <c r="F1310" i="9" s="1"/>
  <c r="D1524" i="9" a="1"/>
  <c r="D1524" i="9" s="1"/>
  <c r="E1524" i="9" s="1"/>
  <c r="F1524" i="9" s="1"/>
  <c r="D1673" i="9" a="1"/>
  <c r="D1673" i="9" s="1"/>
  <c r="E1673" i="9" s="1"/>
  <c r="F1673" i="9" s="1"/>
  <c r="D1817" i="9" a="1"/>
  <c r="D1817" i="9" s="1"/>
  <c r="E1817" i="9" s="1"/>
  <c r="F1817" i="9" s="1"/>
  <c r="D1961" i="9" a="1"/>
  <c r="D1961" i="9" s="1"/>
  <c r="E1961" i="9" s="1"/>
  <c r="F1961" i="9" s="1"/>
  <c r="D1347" i="9" a="1"/>
  <c r="D1347" i="9" s="1"/>
  <c r="E1347" i="9" s="1"/>
  <c r="F1347" i="9" s="1"/>
  <c r="D1554" i="9" a="1"/>
  <c r="D1554" i="9" s="1"/>
  <c r="E1554" i="9" s="1"/>
  <c r="F1554" i="9" s="1"/>
  <c r="D1698" i="9" a="1"/>
  <c r="D1698" i="9" s="1"/>
  <c r="E1698" i="9" s="1"/>
  <c r="F1698" i="9" s="1"/>
  <c r="D1842" i="9" a="1"/>
  <c r="D1842" i="9" s="1"/>
  <c r="E1842" i="9" s="1"/>
  <c r="F1842" i="9" s="1"/>
  <c r="D1986" i="9" a="1"/>
  <c r="D1986" i="9" s="1"/>
  <c r="E1986" i="9" s="1"/>
  <c r="F1986" i="9" s="1"/>
  <c r="D2130" i="9" a="1"/>
  <c r="D2130" i="9" s="1"/>
  <c r="E2130" i="9" s="1"/>
  <c r="F2130" i="9" s="1"/>
  <c r="D2274" i="9" a="1"/>
  <c r="D2274" i="9" s="1"/>
  <c r="E2274" i="9" s="1"/>
  <c r="F2274" i="9" s="1"/>
  <c r="D1332" i="9" a="1"/>
  <c r="D1332" i="9" s="1"/>
  <c r="E1332" i="9" s="1"/>
  <c r="F1332" i="9" s="1"/>
  <c r="D1541" i="9" a="1"/>
  <c r="D1541" i="9" s="1"/>
  <c r="E1541" i="9" s="1"/>
  <c r="F1541" i="9" s="1"/>
  <c r="D1687" i="9" a="1"/>
  <c r="D1687" i="9" s="1"/>
  <c r="E1687" i="9" s="1"/>
  <c r="F1687" i="9" s="1"/>
  <c r="D1831" i="9" a="1"/>
  <c r="D1831" i="9" s="1"/>
  <c r="E1831" i="9" s="1"/>
  <c r="F1831" i="9" s="1"/>
  <c r="D1349" i="9" a="1"/>
  <c r="D1349" i="9" s="1"/>
  <c r="E1349" i="9" s="1"/>
  <c r="F1349" i="9" s="1"/>
  <c r="D1556" i="9" a="1"/>
  <c r="D1556" i="9" s="1"/>
  <c r="E1556" i="9" s="1"/>
  <c r="F1556" i="9" s="1"/>
  <c r="D1700" i="9" a="1"/>
  <c r="D1700" i="9" s="1"/>
  <c r="E1700" i="9" s="1"/>
  <c r="F1700" i="9" s="1"/>
  <c r="D1844" i="9" a="1"/>
  <c r="D1844" i="9" s="1"/>
  <c r="E1844" i="9" s="1"/>
  <c r="F1844" i="9" s="1"/>
  <c r="D1988" i="9" a="1"/>
  <c r="D1988" i="9" s="1"/>
  <c r="E1988" i="9" s="1"/>
  <c r="F1988" i="9" s="1"/>
  <c r="D2132" i="9" a="1"/>
  <c r="D2132" i="9" s="1"/>
  <c r="E2132" i="9" s="1"/>
  <c r="F2132" i="9" s="1"/>
  <c r="D2276" i="9" a="1"/>
  <c r="D2276" i="9" s="1"/>
  <c r="E2276" i="9" s="1"/>
  <c r="F2276" i="9" s="1"/>
  <c r="D1424" i="9" a="1"/>
  <c r="D1424" i="9" s="1"/>
  <c r="E1424" i="9" s="1"/>
  <c r="F1424" i="9" s="1"/>
  <c r="D2733" i="9" a="1"/>
  <c r="D2733" i="9" s="1"/>
  <c r="E2733" i="9" s="1"/>
  <c r="F2733" i="9" s="1"/>
  <c r="D2666" i="9" a="1"/>
  <c r="D2666" i="9" s="1"/>
  <c r="E2666" i="9" s="1"/>
  <c r="F2666" i="9" s="1"/>
  <c r="D2338" i="9" a="1"/>
  <c r="D2338" i="9" s="1"/>
  <c r="E2338" i="9" s="1"/>
  <c r="F2338" i="9" s="1"/>
  <c r="D2589" i="9" a="1"/>
  <c r="D2589" i="9" s="1"/>
  <c r="E2589" i="9" s="1"/>
  <c r="F2589" i="9" s="1"/>
  <c r="D2307" i="9" a="1"/>
  <c r="D2307" i="9" s="1"/>
  <c r="E2307" i="9" s="1"/>
  <c r="F2307" i="9" s="1"/>
  <c r="D2516" i="9" a="1"/>
  <c r="D2516" i="9" s="1"/>
  <c r="E2516" i="9" s="1"/>
  <c r="F2516" i="9" s="1"/>
  <c r="D2563" i="9" a="1"/>
  <c r="D2563" i="9" s="1"/>
  <c r="E2563" i="9" s="1"/>
  <c r="F2563" i="9" s="1"/>
  <c r="D2359" i="9" a="1"/>
  <c r="D2359" i="9" s="1"/>
  <c r="E2359" i="9" s="1"/>
  <c r="F2359" i="9" s="1"/>
  <c r="D2397" i="9" a="1"/>
  <c r="D2397" i="9" s="1"/>
  <c r="E2397" i="9" s="1"/>
  <c r="F2397" i="9" s="1"/>
  <c r="D2573" i="9" a="1"/>
  <c r="D2573" i="9" s="1"/>
  <c r="E2573" i="9" s="1"/>
  <c r="F2573" i="9" s="1"/>
  <c r="D2413" i="9" a="1"/>
  <c r="D2413" i="9" s="1"/>
  <c r="E2413" i="9" s="1"/>
  <c r="F2413" i="9" s="1"/>
  <c r="D2596" i="9" a="1"/>
  <c r="D2596" i="9" s="1"/>
  <c r="E2596" i="9" s="1"/>
  <c r="F2596" i="9" s="1"/>
  <c r="D2440" i="9" a="1"/>
  <c r="D2440" i="9" s="1"/>
  <c r="E2440" i="9" s="1"/>
  <c r="F2440" i="9" s="1"/>
  <c r="D2511" i="9" a="1"/>
  <c r="D2511" i="9" s="1"/>
  <c r="E2511" i="9" s="1"/>
  <c r="F2511" i="9" s="1"/>
  <c r="D2196" i="9" a="1"/>
  <c r="D2196" i="9" s="1"/>
  <c r="E2196" i="9" s="1"/>
  <c r="F2196" i="9" s="1"/>
  <c r="D2233" i="9" a="1"/>
  <c r="D2233" i="9" s="1"/>
  <c r="E2233" i="9" s="1"/>
  <c r="F2233" i="9" s="1"/>
  <c r="D2354" i="9" a="1"/>
  <c r="D2354" i="9" s="1"/>
  <c r="E2354" i="9" s="1"/>
  <c r="F2354" i="9" s="1"/>
  <c r="D2167" i="9" a="1"/>
  <c r="D2167" i="9" s="1"/>
  <c r="E2167" i="9" s="1"/>
  <c r="F2167" i="9" s="1"/>
  <c r="D2261" i="9" a="1"/>
  <c r="D2261" i="9" s="1"/>
  <c r="E2261" i="9" s="1"/>
  <c r="F2261" i="9" s="1"/>
  <c r="D2047" i="9" a="1"/>
  <c r="D2047" i="9" s="1"/>
  <c r="E2047" i="9" s="1"/>
  <c r="F2047" i="9" s="1"/>
  <c r="D2148" i="9" a="1"/>
  <c r="D2148" i="9" s="1"/>
  <c r="E2148" i="9" s="1"/>
  <c r="F2148" i="9" s="1"/>
  <c r="D2336" i="9" a="1"/>
  <c r="D2336" i="9" s="1"/>
  <c r="E2336" i="9" s="1"/>
  <c r="F2336" i="9" s="1"/>
  <c r="D2146" i="9" a="1"/>
  <c r="D2146" i="9" s="1"/>
  <c r="E2146" i="9" s="1"/>
  <c r="F2146" i="9" s="1"/>
  <c r="D2272" i="9" a="1"/>
  <c r="D2272" i="9" s="1"/>
  <c r="E2272" i="9" s="1"/>
  <c r="F2272" i="9" s="1"/>
  <c r="D2071" i="9" a="1"/>
  <c r="D2071" i="9" s="1"/>
  <c r="E2071" i="9" s="1"/>
  <c r="F2071" i="9" s="1"/>
  <c r="D2256" i="9" a="1"/>
  <c r="D2256" i="9" s="1"/>
  <c r="E2256" i="9" s="1"/>
  <c r="F2256" i="9" s="1"/>
  <c r="D2023" i="9" a="1"/>
  <c r="D2023" i="9" s="1"/>
  <c r="E2023" i="9" s="1"/>
  <c r="F2023" i="9" s="1"/>
  <c r="D2189" i="9" a="1"/>
  <c r="D2189" i="9" s="1"/>
  <c r="E2189" i="9" s="1"/>
  <c r="F2189" i="9" s="1"/>
  <c r="D2269" i="9" a="1"/>
  <c r="D2269" i="9" s="1"/>
  <c r="E2269" i="9" s="1"/>
  <c r="F2269" i="9" s="1"/>
  <c r="D2063" i="9" a="1"/>
  <c r="D2063" i="9" s="1"/>
  <c r="E2063" i="9" s="1"/>
  <c r="F2063" i="9" s="1"/>
  <c r="D2299" i="9" a="1"/>
  <c r="D2299" i="9" s="1"/>
  <c r="E2299" i="9" s="1"/>
  <c r="F2299" i="9" s="1"/>
  <c r="D2102" i="9" a="1"/>
  <c r="D2102" i="9" s="1"/>
  <c r="E2102" i="9" s="1"/>
  <c r="F2102" i="9" s="1"/>
  <c r="D2329" i="9" a="1"/>
  <c r="D2329" i="9" s="1"/>
  <c r="E2329" i="9" s="1"/>
  <c r="F2329" i="9" s="1"/>
  <c r="D2136" i="9" a="1"/>
  <c r="D2136" i="9" s="1"/>
  <c r="E2136" i="9" s="1"/>
  <c r="F2136" i="9" s="1"/>
  <c r="D1999" i="9" a="1"/>
  <c r="D1999" i="9" s="1"/>
  <c r="E1999" i="9" s="1"/>
  <c r="F1999" i="9" s="1"/>
  <c r="D1485" i="9" a="1"/>
  <c r="D1485" i="9" s="1"/>
  <c r="E1485" i="9" s="1"/>
  <c r="F1485" i="9" s="1"/>
  <c r="D1646" i="9" a="1"/>
  <c r="D1646" i="9" s="1"/>
  <c r="E1646" i="9" s="1"/>
  <c r="F1646" i="9" s="1"/>
  <c r="D1790" i="9" a="1"/>
  <c r="D1790" i="9" s="1"/>
  <c r="E1790" i="9" s="1"/>
  <c r="F1790" i="9" s="1"/>
  <c r="D1934" i="9" a="1"/>
  <c r="D1934" i="9" s="1"/>
  <c r="E1934" i="9" s="1"/>
  <c r="F1934" i="9" s="1"/>
  <c r="D1285" i="9" a="1"/>
  <c r="D1285" i="9" s="1"/>
  <c r="E1285" i="9" s="1"/>
  <c r="F1285" i="9" s="1"/>
  <c r="D1504" i="9" a="1"/>
  <c r="D1504" i="9" s="1"/>
  <c r="E1504" i="9" s="1"/>
  <c r="F1504" i="9" s="1"/>
  <c r="D1659" i="9" a="1"/>
  <c r="D1659" i="9" s="1"/>
  <c r="E1659" i="9" s="1"/>
  <c r="F1659" i="9" s="1"/>
  <c r="D1803" i="9" a="1"/>
  <c r="D1803" i="9" s="1"/>
  <c r="E1803" i="9" s="1"/>
  <c r="F1803" i="9" s="1"/>
  <c r="D1947" i="9" a="1"/>
  <c r="D1947" i="9" s="1"/>
  <c r="E1947" i="9" s="1"/>
  <c r="F1947" i="9" s="1"/>
  <c r="D1309" i="9" a="1"/>
  <c r="D1309" i="9" s="1"/>
  <c r="E1309" i="9" s="1"/>
  <c r="F1309" i="9" s="1"/>
  <c r="D1523" i="9" a="1"/>
  <c r="D1523" i="9" s="1"/>
  <c r="E1523" i="9" s="1"/>
  <c r="F1523" i="9" s="1"/>
  <c r="D1672" i="9" a="1"/>
  <c r="D1672" i="9" s="1"/>
  <c r="E1672" i="9" s="1"/>
  <c r="F1672" i="9" s="1"/>
  <c r="D1816" i="9" a="1"/>
  <c r="D1816" i="9" s="1"/>
  <c r="E1816" i="9" s="1"/>
  <c r="F1816" i="9" s="1"/>
  <c r="D1960" i="9" a="1"/>
  <c r="D1960" i="9" s="1"/>
  <c r="E1960" i="9" s="1"/>
  <c r="F1960" i="9" s="1"/>
  <c r="D1436" i="9" a="1"/>
  <c r="D1436" i="9" s="1"/>
  <c r="E1436" i="9" s="1"/>
  <c r="F1436" i="9" s="1"/>
  <c r="D1539" i="9" a="1"/>
  <c r="D1539" i="9" s="1"/>
  <c r="E1539" i="9" s="1"/>
  <c r="F1539" i="9" s="1"/>
  <c r="D1685" i="9" a="1"/>
  <c r="D1685" i="9" s="1"/>
  <c r="E1685" i="9" s="1"/>
  <c r="F1685" i="9" s="1"/>
  <c r="D1829" i="9" a="1"/>
  <c r="D1829" i="9" s="1"/>
  <c r="E1829" i="9" s="1"/>
  <c r="F1829" i="9" s="1"/>
  <c r="D1973" i="9" a="1"/>
  <c r="D1973" i="9" s="1"/>
  <c r="E1973" i="9" s="1"/>
  <c r="F1973" i="9" s="1"/>
  <c r="D1365" i="9" a="1"/>
  <c r="D1365" i="9" s="1"/>
  <c r="E1365" i="9" s="1"/>
  <c r="F1365" i="9" s="1"/>
  <c r="D1566" i="9" a="1"/>
  <c r="D1566" i="9" s="1"/>
  <c r="E1566" i="9" s="1"/>
  <c r="F1566" i="9" s="1"/>
  <c r="D1710" i="9" a="1"/>
  <c r="D1710" i="9" s="1"/>
  <c r="E1710" i="9" s="1"/>
  <c r="F1710" i="9" s="1"/>
  <c r="D1854" i="9" a="1"/>
  <c r="D1854" i="9" s="1"/>
  <c r="E1854" i="9" s="1"/>
  <c r="F1854" i="9" s="1"/>
  <c r="D1998" i="9" a="1"/>
  <c r="D1998" i="9" s="1"/>
  <c r="E1998" i="9" s="1"/>
  <c r="F1998" i="9" s="1"/>
  <c r="D2142" i="9" a="1"/>
  <c r="D2142" i="9" s="1"/>
  <c r="E2142" i="9" s="1"/>
  <c r="F2142" i="9" s="1"/>
  <c r="D2286" i="9" a="1"/>
  <c r="D2286" i="9" s="1"/>
  <c r="E2286" i="9" s="1"/>
  <c r="F2286" i="9" s="1"/>
  <c r="D1348" i="9" a="1"/>
  <c r="D1348" i="9" s="1"/>
  <c r="E1348" i="9" s="1"/>
  <c r="F1348" i="9" s="1"/>
  <c r="D1555" i="9" a="1"/>
  <c r="D1555" i="9" s="1"/>
  <c r="E1555" i="9" s="1"/>
  <c r="F1555" i="9" s="1"/>
  <c r="D1699" i="9" a="1"/>
  <c r="D1699" i="9" s="1"/>
  <c r="E1699" i="9" s="1"/>
  <c r="F1699" i="9" s="1"/>
  <c r="D1843" i="9" a="1"/>
  <c r="D1843" i="9" s="1"/>
  <c r="E1843" i="9" s="1"/>
  <c r="F1843" i="9" s="1"/>
  <c r="D1369" i="9" a="1"/>
  <c r="D1369" i="9" s="1"/>
  <c r="E1369" i="9" s="1"/>
  <c r="F1369" i="9" s="1"/>
  <c r="D1568" i="9" a="1"/>
  <c r="D1568" i="9" s="1"/>
  <c r="E1568" i="9" s="1"/>
  <c r="F1568" i="9" s="1"/>
  <c r="D1712" i="9" a="1"/>
  <c r="D1712" i="9" s="1"/>
  <c r="E1712" i="9" s="1"/>
  <c r="F1712" i="9" s="1"/>
  <c r="D1856" i="9" a="1"/>
  <c r="D1856" i="9" s="1"/>
  <c r="E1856" i="9" s="1"/>
  <c r="F1856" i="9" s="1"/>
  <c r="D2000" i="9" a="1"/>
  <c r="D2000" i="9" s="1"/>
  <c r="E2000" i="9" s="1"/>
  <c r="F2000" i="9" s="1"/>
  <c r="D2144" i="9" a="1"/>
  <c r="D2144" i="9" s="1"/>
  <c r="E2144" i="9" s="1"/>
  <c r="F2144" i="9" s="1"/>
  <c r="D2288" i="9" a="1"/>
  <c r="D2288" i="9" s="1"/>
  <c r="E2288" i="9" s="1"/>
  <c r="F2288" i="9" s="1"/>
  <c r="D1442" i="9" a="1"/>
  <c r="D1442" i="9" s="1"/>
  <c r="E1442" i="9" s="1"/>
  <c r="F1442" i="9" s="1"/>
  <c r="D1617" i="9" a="1"/>
  <c r="D1617" i="9" s="1"/>
  <c r="E1617" i="9" s="1"/>
  <c r="F1617" i="9" s="1"/>
  <c r="D1761" i="9" a="1"/>
  <c r="D1761" i="9" s="1"/>
  <c r="E1761" i="9" s="1"/>
  <c r="F1761" i="9" s="1"/>
  <c r="D1905" i="9" a="1"/>
  <c r="D1905" i="9" s="1"/>
  <c r="E1905" i="9" s="1"/>
  <c r="F1905" i="9" s="1"/>
  <c r="D2049" i="9" a="1"/>
  <c r="D2049" i="9" s="1"/>
  <c r="E2049" i="9" s="1"/>
  <c r="F2049" i="9" s="1"/>
  <c r="D2193" i="9" a="1"/>
  <c r="D2193" i="9" s="1"/>
  <c r="E2193" i="9" s="1"/>
  <c r="F2193" i="9" s="1"/>
  <c r="D2337" i="9" a="1"/>
  <c r="D2337" i="9" s="1"/>
  <c r="E2337" i="9" s="1"/>
  <c r="F2337" i="9" s="1"/>
  <c r="D1479" i="9" a="1"/>
  <c r="D1479" i="9" s="1"/>
  <c r="E1479" i="9" s="1"/>
  <c r="F1479" i="9" s="1"/>
  <c r="D1642" i="9" a="1"/>
  <c r="D1642" i="9" s="1"/>
  <c r="E1642" i="9" s="1"/>
  <c r="F1642" i="9" s="1"/>
  <c r="D1786" i="9" a="1"/>
  <c r="D1786" i="9" s="1"/>
  <c r="E1786" i="9" s="1"/>
  <c r="F1786" i="9" s="1"/>
  <c r="D1930" i="9" a="1"/>
  <c r="D1930" i="9" s="1"/>
  <c r="E1930" i="9" s="1"/>
  <c r="F1930" i="9" s="1"/>
  <c r="D1428" i="9" a="1"/>
  <c r="D1428" i="9" s="1"/>
  <c r="E1428" i="9" s="1"/>
  <c r="F1428" i="9" s="1"/>
  <c r="D1607" i="9" a="1"/>
  <c r="D1607" i="9" s="1"/>
  <c r="E1607" i="9" s="1"/>
  <c r="F1607" i="9" s="1"/>
  <c r="D2637" i="9" a="1"/>
  <c r="D2637" i="9" s="1"/>
  <c r="E2637" i="9" s="1"/>
  <c r="F2637" i="9" s="1"/>
  <c r="D2450" i="9" a="1"/>
  <c r="D2450" i="9" s="1"/>
  <c r="E2450" i="9" s="1"/>
  <c r="F2450" i="9" s="1"/>
  <c r="D2555" i="9" a="1"/>
  <c r="D2555" i="9" s="1"/>
  <c r="E2555" i="9" s="1"/>
  <c r="F2555" i="9" s="1"/>
  <c r="D2565" i="9" a="1"/>
  <c r="D2565" i="9" s="1"/>
  <c r="E2565" i="9" s="1"/>
  <c r="F2565" i="9" s="1"/>
  <c r="D2636" i="9" a="1"/>
  <c r="D2636" i="9" s="1"/>
  <c r="E2636" i="9" s="1"/>
  <c r="F2636" i="9" s="1"/>
  <c r="D2416" i="9" a="1"/>
  <c r="D2416" i="9" s="1"/>
  <c r="E2416" i="9" s="1"/>
  <c r="F2416" i="9" s="1"/>
  <c r="D2551" i="9" a="1"/>
  <c r="D2551" i="9" s="1"/>
  <c r="E2551" i="9" s="1"/>
  <c r="F2551" i="9" s="1"/>
  <c r="D2275" i="9" a="1"/>
  <c r="D2275" i="9" s="1"/>
  <c r="E2275" i="9" s="1"/>
  <c r="F2275" i="9" s="1"/>
  <c r="D2379" i="9" a="1"/>
  <c r="D2379" i="9" s="1"/>
  <c r="E2379" i="9" s="1"/>
  <c r="F2379" i="9" s="1"/>
  <c r="D2561" i="9" a="1"/>
  <c r="D2561" i="9" s="1"/>
  <c r="E2561" i="9" s="1"/>
  <c r="F2561" i="9" s="1"/>
  <c r="D2396" i="9" a="1"/>
  <c r="D2396" i="9" s="1"/>
  <c r="E2396" i="9" s="1"/>
  <c r="F2396" i="9" s="1"/>
  <c r="D2584" i="9" a="1"/>
  <c r="D2584" i="9" s="1"/>
  <c r="E2584" i="9" s="1"/>
  <c r="F2584" i="9" s="1"/>
  <c r="D2426" i="9" a="1"/>
  <c r="D2426" i="9" s="1"/>
  <c r="E2426" i="9" s="1"/>
  <c r="F2426" i="9" s="1"/>
  <c r="D2499" i="9" a="1"/>
  <c r="D2499" i="9" s="1"/>
  <c r="E2499" i="9" s="1"/>
  <c r="F2499" i="9" s="1"/>
  <c r="D2147" i="9" a="1"/>
  <c r="D2147" i="9" s="1"/>
  <c r="E2147" i="9" s="1"/>
  <c r="F2147" i="9" s="1"/>
  <c r="D2218" i="9" a="1"/>
  <c r="D2218" i="9" s="1"/>
  <c r="E2218" i="9" s="1"/>
  <c r="F2218" i="9" s="1"/>
  <c r="D2341" i="9" a="1"/>
  <c r="D2341" i="9" s="1"/>
  <c r="E2341" i="9" s="1"/>
  <c r="F2341" i="9" s="1"/>
  <c r="D2151" i="9" a="1"/>
  <c r="D2151" i="9" s="1"/>
  <c r="E2151" i="9" s="1"/>
  <c r="F2151" i="9" s="1"/>
  <c r="D2246" i="9" a="1"/>
  <c r="D2246" i="9" s="1"/>
  <c r="E2246" i="9" s="1"/>
  <c r="F2246" i="9" s="1"/>
  <c r="D2324" i="9" a="1"/>
  <c r="D2324" i="9" s="1"/>
  <c r="E2324" i="9" s="1"/>
  <c r="F2324" i="9" s="1"/>
  <c r="D2129" i="9" a="1"/>
  <c r="D2129" i="9" s="1"/>
  <c r="E2129" i="9" s="1"/>
  <c r="F2129" i="9" s="1"/>
  <c r="D2321" i="9" a="1"/>
  <c r="D2321" i="9" s="1"/>
  <c r="E2321" i="9" s="1"/>
  <c r="F2321" i="9" s="1"/>
  <c r="D2127" i="9" a="1"/>
  <c r="D2127" i="9" s="1"/>
  <c r="E2127" i="9" s="1"/>
  <c r="F2127" i="9" s="1"/>
  <c r="D2257" i="9" a="1"/>
  <c r="D2257" i="9" s="1"/>
  <c r="E2257" i="9" s="1"/>
  <c r="F2257" i="9" s="1"/>
  <c r="D2026" i="9" a="1"/>
  <c r="D2026" i="9" s="1"/>
  <c r="E2026" i="9" s="1"/>
  <c r="F2026" i="9" s="1"/>
  <c r="D2239" i="9" a="1"/>
  <c r="D2239" i="9" s="1"/>
  <c r="E2239" i="9" s="1"/>
  <c r="F2239" i="9" s="1"/>
  <c r="D2360" i="9" a="1"/>
  <c r="D2360" i="9" s="1"/>
  <c r="E2360" i="9" s="1"/>
  <c r="F2360" i="9" s="1"/>
  <c r="D2174" i="9" a="1"/>
  <c r="D2174" i="9" s="1"/>
  <c r="E2174" i="9" s="1"/>
  <c r="F2174" i="9" s="1"/>
  <c r="D2254" i="9" a="1"/>
  <c r="D2254" i="9" s="1"/>
  <c r="E2254" i="9" s="1"/>
  <c r="F2254" i="9" s="1"/>
  <c r="D2003" i="9" a="1"/>
  <c r="D2003" i="9" s="1"/>
  <c r="E2003" i="9" s="1"/>
  <c r="F2003" i="9" s="1"/>
  <c r="D2283" i="9" a="1"/>
  <c r="D2283" i="9" s="1"/>
  <c r="E2283" i="9" s="1"/>
  <c r="F2283" i="9" s="1"/>
  <c r="D2083" i="9" a="1"/>
  <c r="D2083" i="9" s="1"/>
  <c r="E2083" i="9" s="1"/>
  <c r="F2083" i="9" s="1"/>
  <c r="D2315" i="9" a="1"/>
  <c r="D2315" i="9" s="1"/>
  <c r="E2315" i="9" s="1"/>
  <c r="F2315" i="9" s="1"/>
  <c r="D2117" i="9" a="1"/>
  <c r="D2117" i="9" s="1"/>
  <c r="E2117" i="9" s="1"/>
  <c r="F2117" i="9" s="1"/>
  <c r="D1284" i="9" a="1"/>
  <c r="D1284" i="9" s="1"/>
  <c r="E1284" i="9" s="1"/>
  <c r="F1284" i="9" s="1"/>
  <c r="D1503" i="9" a="1"/>
  <c r="D1503" i="9" s="1"/>
  <c r="E1503" i="9" s="1"/>
  <c r="F1503" i="9" s="1"/>
  <c r="D1658" i="9" a="1"/>
  <c r="D1658" i="9" s="1"/>
  <c r="E1658" i="9" s="1"/>
  <c r="F1658" i="9" s="1"/>
  <c r="D1802" i="9" a="1"/>
  <c r="D1802" i="9" s="1"/>
  <c r="E1802" i="9" s="1"/>
  <c r="F1802" i="9" s="1"/>
  <c r="D1946" i="9" a="1"/>
  <c r="D1946" i="9" s="1"/>
  <c r="E1946" i="9" s="1"/>
  <c r="F1946" i="9" s="1"/>
  <c r="D1308" i="9" a="1"/>
  <c r="D1308" i="9" s="1"/>
  <c r="E1308" i="9" s="1"/>
  <c r="F1308" i="9" s="1"/>
  <c r="D1521" i="9" a="1"/>
  <c r="D1521" i="9" s="1"/>
  <c r="E1521" i="9" s="1"/>
  <c r="F1521" i="9" s="1"/>
  <c r="D1671" i="9" a="1"/>
  <c r="D1671" i="9" s="1"/>
  <c r="E1671" i="9" s="1"/>
  <c r="F1671" i="9" s="1"/>
  <c r="D1815" i="9" a="1"/>
  <c r="D1815" i="9" s="1"/>
  <c r="E1815" i="9" s="1"/>
  <c r="F1815" i="9" s="1"/>
  <c r="D1959" i="9" a="1"/>
  <c r="D1959" i="9" s="1"/>
  <c r="E1959" i="9" s="1"/>
  <c r="F1959" i="9" s="1"/>
  <c r="D1325" i="9" a="1"/>
  <c r="D1325" i="9" s="1"/>
  <c r="E1325" i="9" s="1"/>
  <c r="F1325" i="9" s="1"/>
  <c r="D1538" i="9" a="1"/>
  <c r="D1538" i="9" s="1"/>
  <c r="E1538" i="9" s="1"/>
  <c r="F1538" i="9" s="1"/>
  <c r="D1684" i="9" a="1"/>
  <c r="D1684" i="9" s="1"/>
  <c r="E1684" i="9" s="1"/>
  <c r="F1684" i="9" s="1"/>
  <c r="D1828" i="9" a="1"/>
  <c r="D1828" i="9" s="1"/>
  <c r="E1828" i="9" s="1"/>
  <c r="F1828" i="9" s="1"/>
  <c r="D1972" i="9" a="1"/>
  <c r="D1972" i="9" s="1"/>
  <c r="E1972" i="9" s="1"/>
  <c r="F1972" i="9" s="1"/>
  <c r="D1346" i="9" a="1"/>
  <c r="D1346" i="9" s="1"/>
  <c r="E1346" i="9" s="1"/>
  <c r="F1346" i="9" s="1"/>
  <c r="D1553" i="9" a="1"/>
  <c r="D1553" i="9" s="1"/>
  <c r="E1553" i="9" s="1"/>
  <c r="F1553" i="9" s="1"/>
  <c r="D1697" i="9" a="1"/>
  <c r="D1697" i="9" s="1"/>
  <c r="E1697" i="9" s="1"/>
  <c r="F1697" i="9" s="1"/>
  <c r="D1841" i="9" a="1"/>
  <c r="D1841" i="9" s="1"/>
  <c r="E1841" i="9" s="1"/>
  <c r="F1841" i="9" s="1"/>
  <c r="D1985" i="9" a="1"/>
  <c r="D1985" i="9" s="1"/>
  <c r="E1985" i="9" s="1"/>
  <c r="F1985" i="9" s="1"/>
  <c r="D1383" i="9" a="1"/>
  <c r="D1383" i="9" s="1"/>
  <c r="E1383" i="9" s="1"/>
  <c r="F1383" i="9" s="1"/>
  <c r="D1578" i="9" a="1"/>
  <c r="D1578" i="9" s="1"/>
  <c r="E1578" i="9" s="1"/>
  <c r="F1578" i="9" s="1"/>
  <c r="D1722" i="9" a="1"/>
  <c r="D1722" i="9" s="1"/>
  <c r="E1722" i="9" s="1"/>
  <c r="F1722" i="9" s="1"/>
  <c r="D1866" i="9" a="1"/>
  <c r="D1866" i="9" s="1"/>
  <c r="E1866" i="9" s="1"/>
  <c r="F1866" i="9" s="1"/>
  <c r="D2010" i="9" a="1"/>
  <c r="D2010" i="9" s="1"/>
  <c r="E2010" i="9" s="1"/>
  <c r="F2010" i="9" s="1"/>
  <c r="D2154" i="9" a="1"/>
  <c r="D2154" i="9" s="1"/>
  <c r="E2154" i="9" s="1"/>
  <c r="F2154" i="9" s="1"/>
  <c r="D2298" i="9" a="1"/>
  <c r="D2298" i="9" s="1"/>
  <c r="E2298" i="9" s="1"/>
  <c r="F2298" i="9" s="1"/>
  <c r="D1368" i="9" a="1"/>
  <c r="D1368" i="9" s="1"/>
  <c r="E1368" i="9" s="1"/>
  <c r="F1368" i="9" s="1"/>
  <c r="D1567" i="9" a="1"/>
  <c r="D1567" i="9" s="1"/>
  <c r="E1567" i="9" s="1"/>
  <c r="F1567" i="9" s="1"/>
  <c r="D1711" i="9" a="1"/>
  <c r="D1711" i="9" s="1"/>
  <c r="E1711" i="9" s="1"/>
  <c r="F1711" i="9" s="1"/>
  <c r="D1855" i="9" a="1"/>
  <c r="D1855" i="9" s="1"/>
  <c r="E1855" i="9" s="1"/>
  <c r="F1855" i="9" s="1"/>
  <c r="D1385" i="9" a="1"/>
  <c r="D1385" i="9" s="1"/>
  <c r="E1385" i="9" s="1"/>
  <c r="F1385" i="9" s="1"/>
  <c r="D1688" i="9" a="1"/>
  <c r="D1688" i="9" s="1"/>
  <c r="E1688" i="9" s="1"/>
  <c r="F1688" i="9" s="1"/>
  <c r="D2408" i="9" a="1"/>
  <c r="D2408" i="9" s="1"/>
  <c r="E2408" i="9" s="1"/>
  <c r="F2408" i="9" s="1"/>
  <c r="D1868" i="9" a="1"/>
  <c r="D1868" i="9" s="1"/>
  <c r="E1868" i="9" s="1"/>
  <c r="F1868" i="9" s="1"/>
  <c r="D2048" i="9" a="1"/>
  <c r="D2048" i="9" s="1"/>
  <c r="E2048" i="9" s="1"/>
  <c r="F2048" i="9" s="1"/>
  <c r="D2156" i="9" a="1"/>
  <c r="D2156" i="9" s="1"/>
  <c r="E2156" i="9" s="1"/>
  <c r="F2156" i="9" s="1"/>
  <c r="D2300" i="9" a="1"/>
  <c r="D2300" i="9" s="1"/>
  <c r="E2300" i="9" s="1"/>
  <c r="F2300" i="9" s="1"/>
  <c r="D1460" i="9" a="1"/>
  <c r="D1460" i="9" s="1"/>
  <c r="E1460" i="9" s="1"/>
  <c r="F1460" i="9" s="1"/>
  <c r="D1629" i="9" a="1"/>
  <c r="D1629" i="9" s="1"/>
  <c r="E1629" i="9" s="1"/>
  <c r="F1629" i="9" s="1"/>
  <c r="D1773" i="9" a="1"/>
  <c r="D1773" i="9" s="1"/>
  <c r="E1773" i="9" s="1"/>
  <c r="F1773" i="9" s="1"/>
  <c r="D1917" i="9" a="1"/>
  <c r="D1917" i="9" s="1"/>
  <c r="E1917" i="9" s="1"/>
  <c r="F1917" i="9" s="1"/>
  <c r="D2061" i="9" a="1"/>
  <c r="D2061" i="9" s="1"/>
  <c r="E2061" i="9" s="1"/>
  <c r="F2061" i="9" s="1"/>
  <c r="D2366" i="9" a="1"/>
  <c r="D2366" i="9" s="1"/>
  <c r="E2366" i="9" s="1"/>
  <c r="F2366" i="9" s="1"/>
  <c r="D2438" i="9" a="1"/>
  <c r="D2438" i="9" s="1"/>
  <c r="E2438" i="9" s="1"/>
  <c r="F2438" i="9" s="1"/>
  <c r="D2531" i="9" a="1"/>
  <c r="D2531" i="9" s="1"/>
  <c r="E2531" i="9" s="1"/>
  <c r="F2531" i="9" s="1"/>
  <c r="D2553" i="9" a="1"/>
  <c r="D2553" i="9" s="1"/>
  <c r="E2553" i="9" s="1"/>
  <c r="F2553" i="9" s="1"/>
  <c r="D2612" i="9" a="1"/>
  <c r="D2612" i="9" s="1"/>
  <c r="E2612" i="9" s="1"/>
  <c r="F2612" i="9" s="1"/>
  <c r="D2401" i="9" a="1"/>
  <c r="D2401" i="9" s="1"/>
  <c r="E2401" i="9" s="1"/>
  <c r="F2401" i="9" s="1"/>
  <c r="D2539" i="9" a="1"/>
  <c r="D2539" i="9" s="1"/>
  <c r="E2539" i="9" s="1"/>
  <c r="F2539" i="9" s="1"/>
  <c r="D2550" i="9" a="1"/>
  <c r="D2550" i="9" s="1"/>
  <c r="E2550" i="9" s="1"/>
  <c r="F2550" i="9" s="1"/>
  <c r="D2353" i="9" a="1"/>
  <c r="D2353" i="9" s="1"/>
  <c r="E2353" i="9" s="1"/>
  <c r="F2353" i="9" s="1"/>
  <c r="D2549" i="9" a="1"/>
  <c r="D2549" i="9" s="1"/>
  <c r="E2549" i="9" s="1"/>
  <c r="F2549" i="9" s="1"/>
  <c r="D2378" i="9" a="1"/>
  <c r="D2378" i="9" s="1"/>
  <c r="E2378" i="9" s="1"/>
  <c r="F2378" i="9" s="1"/>
  <c r="D2572" i="9" a="1"/>
  <c r="D2572" i="9" s="1"/>
  <c r="E2572" i="9" s="1"/>
  <c r="F2572" i="9" s="1"/>
  <c r="D2411" i="9" a="1"/>
  <c r="D2411" i="9" s="1"/>
  <c r="E2411" i="9" s="1"/>
  <c r="F2411" i="9" s="1"/>
  <c r="D2487" i="9" a="1"/>
  <c r="D2487" i="9" s="1"/>
  <c r="E2487" i="9" s="1"/>
  <c r="F2487" i="9" s="1"/>
  <c r="D2128" i="9" a="1"/>
  <c r="D2128" i="9" s="1"/>
  <c r="E2128" i="9" s="1"/>
  <c r="F2128" i="9" s="1"/>
  <c r="D2200" i="9" a="1"/>
  <c r="D2200" i="9" s="1"/>
  <c r="E2200" i="9" s="1"/>
  <c r="F2200" i="9" s="1"/>
  <c r="D2327" i="9" a="1"/>
  <c r="D2327" i="9" s="1"/>
  <c r="E2327" i="9" s="1"/>
  <c r="F2327" i="9" s="1"/>
  <c r="D2134" i="9" a="1"/>
  <c r="D2134" i="9" s="1"/>
  <c r="E2134" i="9" s="1"/>
  <c r="F2134" i="9" s="1"/>
  <c r="D2231" i="9" a="1"/>
  <c r="D2231" i="9" s="1"/>
  <c r="E2231" i="9" s="1"/>
  <c r="F2231" i="9" s="1"/>
  <c r="D2308" i="9" a="1"/>
  <c r="D2308" i="9" s="1"/>
  <c r="E2308" i="9" s="1"/>
  <c r="F2308" i="9" s="1"/>
  <c r="D2112" i="9" a="1"/>
  <c r="D2112" i="9" s="1"/>
  <c r="E2112" i="9" s="1"/>
  <c r="F2112" i="9" s="1"/>
  <c r="D2306" i="9" a="1"/>
  <c r="D2306" i="9" s="1"/>
  <c r="E2306" i="9" s="1"/>
  <c r="F2306" i="9" s="1"/>
  <c r="D2110" i="9" a="1"/>
  <c r="D2110" i="9" s="1"/>
  <c r="E2110" i="9" s="1"/>
  <c r="F2110" i="9" s="1"/>
  <c r="D2242" i="9" a="1"/>
  <c r="D2242" i="9" s="1"/>
  <c r="E2242" i="9" s="1"/>
  <c r="F2242" i="9" s="1"/>
  <c r="D2398" i="9" a="1"/>
  <c r="D2398" i="9" s="1"/>
  <c r="E2398" i="9" s="1"/>
  <c r="F2398" i="9" s="1"/>
  <c r="D2223" i="9" a="1"/>
  <c r="D2223" i="9" s="1"/>
  <c r="E2223" i="9" s="1"/>
  <c r="F2223" i="9" s="1"/>
  <c r="D2347" i="9" a="1"/>
  <c r="D2347" i="9" s="1"/>
  <c r="E2347" i="9" s="1"/>
  <c r="F2347" i="9" s="1"/>
  <c r="D2159" i="9" a="1"/>
  <c r="D2159" i="9" s="1"/>
  <c r="E2159" i="9" s="1"/>
  <c r="F2159" i="9" s="1"/>
  <c r="D2236" i="9" a="1"/>
  <c r="D2236" i="9" s="1"/>
  <c r="E2236" i="9" s="1"/>
  <c r="F2236" i="9" s="1"/>
  <c r="D2431" i="9" a="1"/>
  <c r="D2431" i="9" s="1"/>
  <c r="E2431" i="9" s="1"/>
  <c r="F2431" i="9" s="1"/>
  <c r="D2268" i="9" a="1"/>
  <c r="D2268" i="9" s="1"/>
  <c r="E2268" i="9" s="1"/>
  <c r="F2268" i="9" s="1"/>
  <c r="D2062" i="9" a="1"/>
  <c r="D2062" i="9" s="1"/>
  <c r="E2062" i="9" s="1"/>
  <c r="F2062" i="9" s="1"/>
  <c r="D2297" i="9" a="1"/>
  <c r="D2297" i="9" s="1"/>
  <c r="E2297" i="9" s="1"/>
  <c r="F2297" i="9" s="1"/>
  <c r="D2100" i="9" a="1"/>
  <c r="D2100" i="9" s="1"/>
  <c r="E2100" i="9" s="1"/>
  <c r="F2100" i="9" s="1"/>
  <c r="D1305" i="9" a="1"/>
  <c r="D1305" i="9" s="1"/>
  <c r="E1305" i="9" s="1"/>
  <c r="F1305" i="9" s="1"/>
  <c r="D1520" i="9" a="1"/>
  <c r="D1520" i="9" s="1"/>
  <c r="E1520" i="9" s="1"/>
  <c r="F1520" i="9" s="1"/>
  <c r="D1670" i="9" a="1"/>
  <c r="D1670" i="9" s="1"/>
  <c r="E1670" i="9" s="1"/>
  <c r="F1670" i="9" s="1"/>
  <c r="D1814" i="9" a="1"/>
  <c r="D1814" i="9" s="1"/>
  <c r="E1814" i="9" s="1"/>
  <c r="F1814" i="9" s="1"/>
  <c r="D1958" i="9" a="1"/>
  <c r="D1958" i="9" s="1"/>
  <c r="E1958" i="9" s="1"/>
  <c r="F1958" i="9" s="1"/>
  <c r="D1324" i="9" a="1"/>
  <c r="D1324" i="9" s="1"/>
  <c r="E1324" i="9" s="1"/>
  <c r="F1324" i="9" s="1"/>
  <c r="D1537" i="9" a="1"/>
  <c r="D1537" i="9" s="1"/>
  <c r="E1537" i="9" s="1"/>
  <c r="F1537" i="9" s="1"/>
  <c r="D1683" i="9" a="1"/>
  <c r="D1683" i="9" s="1"/>
  <c r="E1683" i="9" s="1"/>
  <c r="F1683" i="9" s="1"/>
  <c r="D1827" i="9" a="1"/>
  <c r="D1827" i="9" s="1"/>
  <c r="E1827" i="9" s="1"/>
  <c r="F1827" i="9" s="1"/>
  <c r="D1971" i="9" a="1"/>
  <c r="D1971" i="9" s="1"/>
  <c r="E1971" i="9" s="1"/>
  <c r="F1971" i="9" s="1"/>
  <c r="D1345" i="9" a="1"/>
  <c r="D1345" i="9" s="1"/>
  <c r="E1345" i="9" s="1"/>
  <c r="F1345" i="9" s="1"/>
  <c r="D1552" i="9" a="1"/>
  <c r="D1552" i="9" s="1"/>
  <c r="E1552" i="9" s="1"/>
  <c r="F1552" i="9" s="1"/>
  <c r="D1696" i="9" a="1"/>
  <c r="D1696" i="9" s="1"/>
  <c r="E1696" i="9" s="1"/>
  <c r="F1696" i="9" s="1"/>
  <c r="D1840" i="9" a="1"/>
  <c r="D1840" i="9" s="1"/>
  <c r="E1840" i="9" s="1"/>
  <c r="F1840" i="9" s="1"/>
  <c r="D1984" i="9" a="1"/>
  <c r="D1984" i="9" s="1"/>
  <c r="E1984" i="9" s="1"/>
  <c r="F1984" i="9" s="1"/>
  <c r="D1472" i="9" a="1"/>
  <c r="D1472" i="9" s="1"/>
  <c r="E1472" i="9" s="1"/>
  <c r="F1472" i="9" s="1"/>
  <c r="D1565" i="9" a="1"/>
  <c r="D1565" i="9" s="1"/>
  <c r="E1565" i="9" s="1"/>
  <c r="F1565" i="9" s="1"/>
  <c r="D1709" i="9" a="1"/>
  <c r="D1709" i="9" s="1"/>
  <c r="E1709" i="9" s="1"/>
  <c r="F1709" i="9" s="1"/>
  <c r="D1853" i="9" a="1"/>
  <c r="D1853" i="9" s="1"/>
  <c r="E1853" i="9" s="1"/>
  <c r="F1853" i="9" s="1"/>
  <c r="D1997" i="9" a="1"/>
  <c r="D1997" i="9" s="1"/>
  <c r="E1997" i="9" s="1"/>
  <c r="F1997" i="9" s="1"/>
  <c r="D1401" i="9" a="1"/>
  <c r="D1401" i="9" s="1"/>
  <c r="E1401" i="9" s="1"/>
  <c r="F1401" i="9" s="1"/>
  <c r="D1590" i="9" a="1"/>
  <c r="D1590" i="9" s="1"/>
  <c r="E1590" i="9" s="1"/>
  <c r="F1590" i="9" s="1"/>
  <c r="D1734" i="9" a="1"/>
  <c r="D1734" i="9" s="1"/>
  <c r="E1734" i="9" s="1"/>
  <c r="F1734" i="9" s="1"/>
  <c r="D1878" i="9" a="1"/>
  <c r="D1878" i="9" s="1"/>
  <c r="E1878" i="9" s="1"/>
  <c r="F1878" i="9" s="1"/>
  <c r="D2022" i="9" a="1"/>
  <c r="D2022" i="9" s="1"/>
  <c r="E2022" i="9" s="1"/>
  <c r="F2022" i="9" s="1"/>
  <c r="D2166" i="9" a="1"/>
  <c r="D2166" i="9" s="1"/>
  <c r="E2166" i="9" s="1"/>
  <c r="F2166" i="9" s="1"/>
  <c r="D2310" i="9" a="1"/>
  <c r="D2310" i="9" s="1"/>
  <c r="E2310" i="9" s="1"/>
  <c r="F2310" i="9" s="1"/>
  <c r="D1384" i="9" a="1"/>
  <c r="D1384" i="9" s="1"/>
  <c r="E1384" i="9" s="1"/>
  <c r="F1384" i="9" s="1"/>
  <c r="D1579" i="9" a="1"/>
  <c r="D1579" i="9" s="1"/>
  <c r="E1579" i="9" s="1"/>
  <c r="F1579" i="9" s="1"/>
  <c r="D1723" i="9" a="1"/>
  <c r="D1723" i="9" s="1"/>
  <c r="E1723" i="9" s="1"/>
  <c r="F1723" i="9" s="1"/>
  <c r="D1867" i="9" a="1"/>
  <c r="D1867" i="9" s="1"/>
  <c r="E1867" i="9" s="1"/>
  <c r="F1867" i="9" s="1"/>
  <c r="D1405" i="9" a="1"/>
  <c r="D1405" i="9" s="1"/>
  <c r="E1405" i="9" s="1"/>
  <c r="F1405" i="9" s="1"/>
  <c r="D1592" i="9" a="1"/>
  <c r="D1592" i="9" s="1"/>
  <c r="E1592" i="9" s="1"/>
  <c r="F1592" i="9" s="1"/>
  <c r="D1736" i="9" a="1"/>
  <c r="D1736" i="9" s="1"/>
  <c r="E1736" i="9" s="1"/>
  <c r="F1736" i="9" s="1"/>
  <c r="D1880" i="9" a="1"/>
  <c r="D1880" i="9" s="1"/>
  <c r="E1880" i="9" s="1"/>
  <c r="F1880" i="9" s="1"/>
  <c r="D2024" i="9" a="1"/>
  <c r="D2024" i="9" s="1"/>
  <c r="E2024" i="9" s="1"/>
  <c r="F2024" i="9" s="1"/>
  <c r="D2168" i="9" a="1"/>
  <c r="D2168" i="9" s="1"/>
  <c r="E2168" i="9" s="1"/>
  <c r="F2168" i="9" s="1"/>
  <c r="D2312" i="9" a="1"/>
  <c r="D2312" i="9" s="1"/>
  <c r="E2312" i="9" s="1"/>
  <c r="F2312" i="9" s="1"/>
  <c r="D1478" i="9" a="1"/>
  <c r="D1478" i="9" s="1"/>
  <c r="E1478" i="9" s="1"/>
  <c r="F1478" i="9" s="1"/>
  <c r="D1641" i="9" a="1"/>
  <c r="D1641" i="9" s="1"/>
  <c r="E1641" i="9" s="1"/>
  <c r="F1641" i="9" s="1"/>
  <c r="D1785" i="9" a="1"/>
  <c r="D1785" i="9" s="1"/>
  <c r="E1785" i="9" s="1"/>
  <c r="F1785" i="9" s="1"/>
  <c r="D1929" i="9" a="1"/>
  <c r="D1929" i="9" s="1"/>
  <c r="E1929" i="9" s="1"/>
  <c r="F1929" i="9" s="1"/>
  <c r="D2073" i="9" a="1"/>
  <c r="D2073" i="9" s="1"/>
  <c r="E2073" i="9" s="1"/>
  <c r="F2073" i="9" s="1"/>
  <c r="D2217" i="9" a="1"/>
  <c r="D2217" i="9" s="1"/>
  <c r="E2217" i="9" s="1"/>
  <c r="F2217" i="9" s="1"/>
  <c r="D1299" i="9" a="1"/>
  <c r="D1299" i="9" s="1"/>
  <c r="E1299" i="9" s="1"/>
  <c r="F1299" i="9" s="1"/>
  <c r="D2614" i="9" a="1"/>
  <c r="D2614" i="9" s="1"/>
  <c r="E2614" i="9" s="1"/>
  <c r="F2614" i="9" s="1"/>
  <c r="D2569" i="9" a="1"/>
  <c r="D2569" i="9" s="1"/>
  <c r="E2569" i="9" s="1"/>
  <c r="F2569" i="9" s="1"/>
  <c r="D2519" i="9" a="1"/>
  <c r="D2519" i="9" s="1"/>
  <c r="E2519" i="9" s="1"/>
  <c r="F2519" i="9" s="1"/>
  <c r="D2529" i="9" a="1"/>
  <c r="D2529" i="9" s="1"/>
  <c r="E2529" i="9" s="1"/>
  <c r="F2529" i="9" s="1"/>
  <c r="D2600" i="9" a="1"/>
  <c r="D2600" i="9" s="1"/>
  <c r="E2600" i="9" s="1"/>
  <c r="F2600" i="9" s="1"/>
  <c r="D2381" i="9" a="1"/>
  <c r="D2381" i="9" s="1"/>
  <c r="E2381" i="9" s="1"/>
  <c r="F2381" i="9" s="1"/>
  <c r="D2515" i="9" a="1"/>
  <c r="D2515" i="9" s="1"/>
  <c r="E2515" i="9" s="1"/>
  <c r="F2515" i="9" s="1"/>
  <c r="D2538" i="9" a="1"/>
  <c r="D2538" i="9" s="1"/>
  <c r="E2538" i="9" s="1"/>
  <c r="F2538" i="9" s="1"/>
  <c r="D2259" i="9" a="1"/>
  <c r="D2259" i="9" s="1"/>
  <c r="E2259" i="9" s="1"/>
  <c r="F2259" i="9" s="1"/>
  <c r="D2537" i="9" a="1"/>
  <c r="D2537" i="9" s="1"/>
  <c r="E2537" i="9" s="1"/>
  <c r="F2537" i="9" s="1"/>
  <c r="D2352" i="9" a="1"/>
  <c r="D2352" i="9" s="1"/>
  <c r="E2352" i="9" s="1"/>
  <c r="F2352" i="9" s="1"/>
  <c r="D2560" i="9" a="1"/>
  <c r="D2560" i="9" s="1"/>
  <c r="E2560" i="9" s="1"/>
  <c r="F2560" i="9" s="1"/>
  <c r="D2393" i="9" a="1"/>
  <c r="D2393" i="9" s="1"/>
  <c r="E2393" i="9" s="1"/>
  <c r="F2393" i="9" s="1"/>
  <c r="D2475" i="9" a="1"/>
  <c r="D2475" i="9" s="1"/>
  <c r="E2475" i="9" s="1"/>
  <c r="F2475" i="9" s="1"/>
  <c r="D2111" i="9" a="1"/>
  <c r="D2111" i="9" s="1"/>
  <c r="E2111" i="9" s="1"/>
  <c r="F2111" i="9" s="1"/>
  <c r="D2185" i="9" a="1"/>
  <c r="D2185" i="9" s="1"/>
  <c r="E2185" i="9" s="1"/>
  <c r="F2185" i="9" s="1"/>
  <c r="D2311" i="9" a="1"/>
  <c r="D2311" i="9" s="1"/>
  <c r="E2311" i="9" s="1"/>
  <c r="F2311" i="9" s="1"/>
  <c r="D2115" i="9" a="1"/>
  <c r="D2115" i="9" s="1"/>
  <c r="E2115" i="9" s="1"/>
  <c r="F2115" i="9" s="1"/>
  <c r="D2213" i="9" a="1"/>
  <c r="D2213" i="9" s="1"/>
  <c r="E2213" i="9" s="1"/>
  <c r="F2213" i="9" s="1"/>
  <c r="D2293" i="9" a="1"/>
  <c r="D2293" i="9" s="1"/>
  <c r="E2293" i="9" s="1"/>
  <c r="F2293" i="9" s="1"/>
  <c r="D2093" i="9" a="1"/>
  <c r="D2093" i="9" s="1"/>
  <c r="E2093" i="9" s="1"/>
  <c r="F2093" i="9" s="1"/>
  <c r="D2291" i="9" a="1"/>
  <c r="D2291" i="9" s="1"/>
  <c r="E2291" i="9" s="1"/>
  <c r="F2291" i="9" s="1"/>
  <c r="D2091" i="9" a="1"/>
  <c r="D2091" i="9" s="1"/>
  <c r="E2091" i="9" s="1"/>
  <c r="F2091" i="9" s="1"/>
  <c r="D2224" i="9" a="1"/>
  <c r="D2224" i="9" s="1"/>
  <c r="E2224" i="9" s="1"/>
  <c r="F2224" i="9" s="1"/>
  <c r="D2386" i="9" a="1"/>
  <c r="D2386" i="9" s="1"/>
  <c r="E2386" i="9" s="1"/>
  <c r="F2386" i="9" s="1"/>
  <c r="D2208" i="9" a="1"/>
  <c r="D2208" i="9" s="1"/>
  <c r="E2208" i="9" s="1"/>
  <c r="F2208" i="9" s="1"/>
  <c r="D2332" i="9" a="1"/>
  <c r="D2332" i="9" s="1"/>
  <c r="E2332" i="9" s="1"/>
  <c r="F2332" i="9" s="1"/>
  <c r="D2140" i="9" a="1"/>
  <c r="D2140" i="9" s="1"/>
  <c r="E2140" i="9" s="1"/>
  <c r="F2140" i="9" s="1"/>
  <c r="D2221" i="9" a="1"/>
  <c r="D2221" i="9" s="1"/>
  <c r="E2221" i="9" s="1"/>
  <c r="F2221" i="9" s="1"/>
  <c r="D2419" i="9" a="1"/>
  <c r="D2419" i="9" s="1"/>
  <c r="E2419" i="9" s="1"/>
  <c r="F2419" i="9" s="1"/>
  <c r="D2251" i="9" a="1"/>
  <c r="D2251" i="9" s="1"/>
  <c r="E2251" i="9" s="1"/>
  <c r="F2251" i="9" s="1"/>
  <c r="D1991" i="9" a="1"/>
  <c r="D1991" i="9" s="1"/>
  <c r="E1991" i="9" s="1"/>
  <c r="F1991" i="9" s="1"/>
  <c r="D2282" i="9" a="1"/>
  <c r="D2282" i="9" s="1"/>
  <c r="E2282" i="9" s="1"/>
  <c r="F2282" i="9" s="1"/>
  <c r="D2081" i="9" a="1"/>
  <c r="D2081" i="9" s="1"/>
  <c r="E2081" i="9" s="1"/>
  <c r="F2081" i="9" s="1"/>
  <c r="D1323" i="9" a="1"/>
  <c r="D1323" i="9" s="1"/>
  <c r="E1323" i="9" s="1"/>
  <c r="F1323" i="9" s="1"/>
  <c r="D1536" i="9" a="1"/>
  <c r="D1536" i="9" s="1"/>
  <c r="E1536" i="9" s="1"/>
  <c r="F1536" i="9" s="1"/>
  <c r="D1682" i="9" a="1"/>
  <c r="D1682" i="9" s="1"/>
  <c r="E1682" i="9" s="1"/>
  <c r="F1682" i="9" s="1"/>
  <c r="D1826" i="9" a="1"/>
  <c r="D1826" i="9" s="1"/>
  <c r="E1826" i="9" s="1"/>
  <c r="F1826" i="9" s="1"/>
  <c r="D1970" i="9" a="1"/>
  <c r="D1970" i="9" s="1"/>
  <c r="E1970" i="9" s="1"/>
  <c r="F1970" i="9" s="1"/>
  <c r="D1344" i="9" a="1"/>
  <c r="D1344" i="9" s="1"/>
  <c r="E1344" i="9" s="1"/>
  <c r="F1344" i="9" s="1"/>
  <c r="D1551" i="9" a="1"/>
  <c r="D1551" i="9" s="1"/>
  <c r="E1551" i="9" s="1"/>
  <c r="F1551" i="9" s="1"/>
  <c r="D1695" i="9" a="1"/>
  <c r="D1695" i="9" s="1"/>
  <c r="E1695" i="9" s="1"/>
  <c r="F1695" i="9" s="1"/>
  <c r="D1839" i="9" a="1"/>
  <c r="D1839" i="9" s="1"/>
  <c r="E1839" i="9" s="1"/>
  <c r="F1839" i="9" s="1"/>
  <c r="D1983" i="9" a="1"/>
  <c r="D1983" i="9" s="1"/>
  <c r="E1983" i="9" s="1"/>
  <c r="F1983" i="9" s="1"/>
  <c r="D1361" i="9" a="1"/>
  <c r="D1361" i="9" s="1"/>
  <c r="E1361" i="9" s="1"/>
  <c r="F1361" i="9" s="1"/>
  <c r="D1564" i="9" a="1"/>
  <c r="D1564" i="9" s="1"/>
  <c r="E1564" i="9" s="1"/>
  <c r="F1564" i="9" s="1"/>
  <c r="D1708" i="9" a="1"/>
  <c r="D1708" i="9" s="1"/>
  <c r="E1708" i="9" s="1"/>
  <c r="F1708" i="9" s="1"/>
  <c r="D1852" i="9" a="1"/>
  <c r="D1852" i="9" s="1"/>
  <c r="E1852" i="9" s="1"/>
  <c r="F1852" i="9" s="1"/>
  <c r="D1996" i="9" a="1"/>
  <c r="D1996" i="9" s="1"/>
  <c r="E1996" i="9" s="1"/>
  <c r="F1996" i="9" s="1"/>
  <c r="D1382" i="9" a="1"/>
  <c r="D1382" i="9" s="1"/>
  <c r="E1382" i="9" s="1"/>
  <c r="F1382" i="9" s="1"/>
  <c r="D1577" i="9" a="1"/>
  <c r="D1577" i="9" s="1"/>
  <c r="E1577" i="9" s="1"/>
  <c r="F1577" i="9" s="1"/>
  <c r="D1721" i="9" a="1"/>
  <c r="D1721" i="9" s="1"/>
  <c r="E1721" i="9" s="1"/>
  <c r="F1721" i="9" s="1"/>
  <c r="D1865" i="9" a="1"/>
  <c r="D1865" i="9" s="1"/>
  <c r="E1865" i="9" s="1"/>
  <c r="F1865" i="9" s="1"/>
  <c r="D2009" i="9" a="1"/>
  <c r="D2009" i="9" s="1"/>
  <c r="E2009" i="9" s="1"/>
  <c r="F2009" i="9" s="1"/>
  <c r="D1419" i="9" a="1"/>
  <c r="D1419" i="9" s="1"/>
  <c r="E1419" i="9" s="1"/>
  <c r="F1419" i="9" s="1"/>
  <c r="D1602" i="9" a="1"/>
  <c r="D1602" i="9" s="1"/>
  <c r="E1602" i="9" s="1"/>
  <c r="F1602" i="9" s="1"/>
  <c r="D1746" i="9" a="1"/>
  <c r="D1746" i="9" s="1"/>
  <c r="E1746" i="9" s="1"/>
  <c r="F1746" i="9" s="1"/>
  <c r="D1890" i="9" a="1"/>
  <c r="D1890" i="9" s="1"/>
  <c r="E1890" i="9" s="1"/>
  <c r="F1890" i="9" s="1"/>
  <c r="D2034" i="9" a="1"/>
  <c r="D2034" i="9" s="1"/>
  <c r="E2034" i="9" s="1"/>
  <c r="F2034" i="9" s="1"/>
  <c r="D2178" i="9" a="1"/>
  <c r="D2178" i="9" s="1"/>
  <c r="E2178" i="9" s="1"/>
  <c r="F2178" i="9" s="1"/>
  <c r="D2322" i="9" a="1"/>
  <c r="D2322" i="9" s="1"/>
  <c r="E2322" i="9" s="1"/>
  <c r="F2322" i="9" s="1"/>
  <c r="D1404" i="9" a="1"/>
  <c r="D1404" i="9" s="1"/>
  <c r="E1404" i="9" s="1"/>
  <c r="F1404" i="9" s="1"/>
  <c r="D1591" i="9" a="1"/>
  <c r="D1591" i="9" s="1"/>
  <c r="E1591" i="9" s="1"/>
  <c r="F1591" i="9" s="1"/>
  <c r="D1735" i="9" a="1"/>
  <c r="D1735" i="9" s="1"/>
  <c r="E1735" i="9" s="1"/>
  <c r="F1735" i="9" s="1"/>
  <c r="D1879" i="9" a="1"/>
  <c r="D1879" i="9" s="1"/>
  <c r="E1879" i="9" s="1"/>
  <c r="F1879" i="9" s="1"/>
  <c r="D1421" i="9" a="1"/>
  <c r="D1421" i="9" s="1"/>
  <c r="E1421" i="9" s="1"/>
  <c r="F1421" i="9" s="1"/>
  <c r="D1604" i="9" a="1"/>
  <c r="D1604" i="9" s="1"/>
  <c r="E1604" i="9" s="1"/>
  <c r="F1604" i="9" s="1"/>
  <c r="D1748" i="9" a="1"/>
  <c r="D1748" i="9" s="1"/>
  <c r="E1748" i="9" s="1"/>
  <c r="F1748" i="9" s="1"/>
  <c r="D1892" i="9" a="1"/>
  <c r="D1892" i="9" s="1"/>
  <c r="E1892" i="9" s="1"/>
  <c r="F1892" i="9" s="1"/>
  <c r="D2036" i="9" a="1"/>
  <c r="D2036" i="9" s="1"/>
  <c r="E2036" i="9" s="1"/>
  <c r="F2036" i="9" s="1"/>
  <c r="D2180" i="9" a="1"/>
  <c r="D2180" i="9" s="1"/>
  <c r="E2180" i="9" s="1"/>
  <c r="F2180" i="9" s="1"/>
  <c r="D1205" i="9" a="1"/>
  <c r="D1205" i="9" s="1"/>
  <c r="E1205" i="9" s="1"/>
  <c r="F1205" i="9" s="1"/>
  <c r="D1496" i="9" a="1"/>
  <c r="D1496" i="9" s="1"/>
  <c r="E1496" i="9" s="1"/>
  <c r="F1496" i="9" s="1"/>
  <c r="D1653" i="9" a="1"/>
  <c r="D1653" i="9" s="1"/>
  <c r="E1653" i="9" s="1"/>
  <c r="F1653" i="9" s="1"/>
  <c r="D1797" i="9" a="1"/>
  <c r="D1797" i="9" s="1"/>
  <c r="E1797" i="9" s="1"/>
  <c r="F1797" i="9" s="1"/>
  <c r="D2663" i="9" a="1"/>
  <c r="D2663" i="9" s="1"/>
  <c r="E2663" i="9" s="1"/>
  <c r="F2663" i="9" s="1"/>
  <c r="D2557" i="9" a="1"/>
  <c r="D2557" i="9" s="1"/>
  <c r="E2557" i="9" s="1"/>
  <c r="F2557" i="9" s="1"/>
  <c r="D2507" i="9" a="1"/>
  <c r="D2507" i="9" s="1"/>
  <c r="E2507" i="9" s="1"/>
  <c r="F2507" i="9" s="1"/>
  <c r="D2517" i="9" a="1"/>
  <c r="D2517" i="9" s="1"/>
  <c r="E2517" i="9" s="1"/>
  <c r="F2517" i="9" s="1"/>
  <c r="D2696" i="9" a="1"/>
  <c r="D2696" i="9" s="1"/>
  <c r="E2696" i="9" s="1"/>
  <c r="F2696" i="9" s="1"/>
  <c r="D2364" i="9" a="1"/>
  <c r="D2364" i="9" s="1"/>
  <c r="E2364" i="9" s="1"/>
  <c r="F2364" i="9" s="1"/>
  <c r="D2491" i="9" a="1"/>
  <c r="D2491" i="9" s="1"/>
  <c r="E2491" i="9" s="1"/>
  <c r="F2491" i="9" s="1"/>
  <c r="D2526" i="9" a="1"/>
  <c r="D2526" i="9" s="1"/>
  <c r="E2526" i="9" s="1"/>
  <c r="F2526" i="9" s="1"/>
  <c r="D2681" i="9" a="1"/>
  <c r="D2681" i="9" s="1"/>
  <c r="E2681" i="9" s="1"/>
  <c r="F2681" i="9" s="1"/>
  <c r="D2525" i="9" a="1"/>
  <c r="D2525" i="9" s="1"/>
  <c r="E2525" i="9" s="1"/>
  <c r="F2525" i="9" s="1"/>
  <c r="D2244" i="9" a="1"/>
  <c r="D2244" i="9" s="1"/>
  <c r="E2244" i="9" s="1"/>
  <c r="F2244" i="9" s="1"/>
  <c r="D2548" i="9" a="1"/>
  <c r="D2548" i="9" s="1"/>
  <c r="E2548" i="9" s="1"/>
  <c r="F2548" i="9" s="1"/>
  <c r="D2377" i="9" a="1"/>
  <c r="D2377" i="9" s="1"/>
  <c r="E2377" i="9" s="1"/>
  <c r="F2377" i="9" s="1"/>
  <c r="D2463" i="9" a="1"/>
  <c r="D2463" i="9" s="1"/>
  <c r="E2463" i="9" s="1"/>
  <c r="F2463" i="9" s="1"/>
  <c r="D2355" i="9" a="1"/>
  <c r="D2355" i="9" s="1"/>
  <c r="E2355" i="9" s="1"/>
  <c r="F2355" i="9" s="1"/>
  <c r="D2170" i="9" a="1"/>
  <c r="D2170" i="9" s="1"/>
  <c r="E2170" i="9" s="1"/>
  <c r="F2170" i="9" s="1"/>
  <c r="D2295" i="9" a="1"/>
  <c r="D2295" i="9" s="1"/>
  <c r="E2295" i="9" s="1"/>
  <c r="F2295" i="9" s="1"/>
  <c r="D2098" i="9" a="1"/>
  <c r="D2098" i="9" s="1"/>
  <c r="E2098" i="9" s="1"/>
  <c r="F2098" i="9" s="1"/>
  <c r="D2198" i="9" a="1"/>
  <c r="D2198" i="9" s="1"/>
  <c r="E2198" i="9" s="1"/>
  <c r="F2198" i="9" s="1"/>
  <c r="D2278" i="9" a="1"/>
  <c r="D2278" i="9" s="1"/>
  <c r="E2278" i="9" s="1"/>
  <c r="F2278" i="9" s="1"/>
  <c r="D2076" i="9" a="1"/>
  <c r="D2076" i="9" s="1"/>
  <c r="E2076" i="9" s="1"/>
  <c r="F2076" i="9" s="1"/>
  <c r="D2273" i="9" a="1"/>
  <c r="D2273" i="9" s="1"/>
  <c r="E2273" i="9" s="1"/>
  <c r="F2273" i="9" s="1"/>
  <c r="D2074" i="9" a="1"/>
  <c r="D2074" i="9" s="1"/>
  <c r="E2074" i="9" s="1"/>
  <c r="F2074" i="9" s="1"/>
  <c r="D2209" i="9" a="1"/>
  <c r="D2209" i="9" s="1"/>
  <c r="E2209" i="9" s="1"/>
  <c r="F2209" i="9" s="1"/>
  <c r="D2374" i="9" a="1"/>
  <c r="D2374" i="9" s="1"/>
  <c r="E2374" i="9" s="1"/>
  <c r="F2374" i="9" s="1"/>
  <c r="D2191" i="9" a="1"/>
  <c r="D2191" i="9" s="1"/>
  <c r="E2191" i="9" s="1"/>
  <c r="F2191" i="9" s="1"/>
  <c r="D2318" i="9" a="1"/>
  <c r="D2318" i="9" s="1"/>
  <c r="E2318" i="9" s="1"/>
  <c r="F2318" i="9" s="1"/>
  <c r="D2123" i="9" a="1"/>
  <c r="D2123" i="9" s="1"/>
  <c r="E2123" i="9" s="1"/>
  <c r="F2123" i="9" s="1"/>
  <c r="D2206" i="9" a="1"/>
  <c r="D2206" i="9" s="1"/>
  <c r="E2206" i="9" s="1"/>
  <c r="F2206" i="9" s="1"/>
  <c r="D2407" i="9" a="1"/>
  <c r="D2407" i="9" s="1"/>
  <c r="E2407" i="9" s="1"/>
  <c r="F2407" i="9" s="1"/>
  <c r="D2235" i="9" a="1"/>
  <c r="D2235" i="9" s="1"/>
  <c r="E2235" i="9" s="1"/>
  <c r="F2235" i="9" s="1"/>
  <c r="D2430" i="9" a="1"/>
  <c r="D2430" i="9" s="1"/>
  <c r="E2430" i="9" s="1"/>
  <c r="F2430" i="9" s="1"/>
  <c r="D2267" i="9" a="1"/>
  <c r="D2267" i="9" s="1"/>
  <c r="E2267" i="9" s="1"/>
  <c r="F2267" i="9" s="1"/>
  <c r="D2059" i="9" a="1"/>
  <c r="D2059" i="9" s="1"/>
  <c r="E2059" i="9" s="1"/>
  <c r="F2059" i="9" s="1"/>
  <c r="D1341" i="9" a="1"/>
  <c r="D1341" i="9" s="1"/>
  <c r="E1341" i="9" s="1"/>
  <c r="F1341" i="9" s="1"/>
  <c r="D1550" i="9" a="1"/>
  <c r="D1550" i="9" s="1"/>
  <c r="E1550" i="9" s="1"/>
  <c r="F1550" i="9" s="1"/>
  <c r="D1694" i="9" a="1"/>
  <c r="D1694" i="9" s="1"/>
  <c r="E1694" i="9" s="1"/>
  <c r="F1694" i="9" s="1"/>
  <c r="D1838" i="9" a="1"/>
  <c r="D1838" i="9" s="1"/>
  <c r="E1838" i="9" s="1"/>
  <c r="F1838" i="9" s="1"/>
  <c r="D1982" i="9" a="1"/>
  <c r="D1982" i="9" s="1"/>
  <c r="E1982" i="9" s="1"/>
  <c r="F1982" i="9" s="1"/>
  <c r="D1360" i="9" a="1"/>
  <c r="D1360" i="9" s="1"/>
  <c r="E1360" i="9" s="1"/>
  <c r="F1360" i="9" s="1"/>
  <c r="D1563" i="9" a="1"/>
  <c r="D1563" i="9" s="1"/>
  <c r="E1563" i="9" s="1"/>
  <c r="F1563" i="9" s="1"/>
  <c r="D1707" i="9" a="1"/>
  <c r="D1707" i="9" s="1"/>
  <c r="E1707" i="9" s="1"/>
  <c r="F1707" i="9" s="1"/>
  <c r="D1851" i="9" a="1"/>
  <c r="D1851" i="9" s="1"/>
  <c r="E1851" i="9" s="1"/>
  <c r="F1851" i="9" s="1"/>
  <c r="D1995" i="9" a="1"/>
  <c r="D1995" i="9" s="1"/>
  <c r="E1995" i="9" s="1"/>
  <c r="F1995" i="9" s="1"/>
  <c r="D1381" i="9" a="1"/>
  <c r="D1381" i="9" s="1"/>
  <c r="E1381" i="9" s="1"/>
  <c r="F1381" i="9" s="1"/>
  <c r="D1576" i="9" a="1"/>
  <c r="D1576" i="9" s="1"/>
  <c r="E1576" i="9" s="1"/>
  <c r="F1576" i="9" s="1"/>
  <c r="D1720" i="9" a="1"/>
  <c r="D1720" i="9" s="1"/>
  <c r="E1720" i="9" s="1"/>
  <c r="F1720" i="9" s="1"/>
  <c r="D1864" i="9" a="1"/>
  <c r="D1864" i="9" s="1"/>
  <c r="E1864" i="9" s="1"/>
  <c r="F1864" i="9" s="1"/>
  <c r="D2008" i="9" a="1"/>
  <c r="D2008" i="9" s="1"/>
  <c r="E2008" i="9" s="1"/>
  <c r="F2008" i="9" s="1"/>
  <c r="D1508" i="9" a="1"/>
  <c r="D1508" i="9" s="1"/>
  <c r="E1508" i="9" s="1"/>
  <c r="F1508" i="9" s="1"/>
  <c r="D1589" i="9" a="1"/>
  <c r="D1589" i="9" s="1"/>
  <c r="E1589" i="9" s="1"/>
  <c r="F1589" i="9" s="1"/>
  <c r="D1733" i="9" a="1"/>
  <c r="D1733" i="9" s="1"/>
  <c r="E1733" i="9" s="1"/>
  <c r="F1733" i="9" s="1"/>
  <c r="D1877" i="9" a="1"/>
  <c r="D1877" i="9" s="1"/>
  <c r="E1877" i="9" s="1"/>
  <c r="F1877" i="9" s="1"/>
  <c r="D2021" i="9" a="1"/>
  <c r="D2021" i="9" s="1"/>
  <c r="E2021" i="9" s="1"/>
  <c r="F2021" i="9" s="1"/>
  <c r="D1437" i="9" a="1"/>
  <c r="D1437" i="9" s="1"/>
  <c r="E1437" i="9" s="1"/>
  <c r="F1437" i="9" s="1"/>
  <c r="D1614" i="9" a="1"/>
  <c r="D1614" i="9" s="1"/>
  <c r="E1614" i="9" s="1"/>
  <c r="F1614" i="9" s="1"/>
  <c r="D1758" i="9" a="1"/>
  <c r="D1758" i="9" s="1"/>
  <c r="E1758" i="9" s="1"/>
  <c r="F1758" i="9" s="1"/>
  <c r="D1902" i="9" a="1"/>
  <c r="D1902" i="9" s="1"/>
  <c r="E1902" i="9" s="1"/>
  <c r="F1902" i="9" s="1"/>
  <c r="D2046" i="9" a="1"/>
  <c r="D2046" i="9" s="1"/>
  <c r="E2046" i="9" s="1"/>
  <c r="F2046" i="9" s="1"/>
  <c r="D2190" i="9" a="1"/>
  <c r="D2190" i="9" s="1"/>
  <c r="E2190" i="9" s="1"/>
  <c r="F2190" i="9" s="1"/>
  <c r="D2334" i="9" a="1"/>
  <c r="D2334" i="9" s="1"/>
  <c r="E2334" i="9" s="1"/>
  <c r="F2334" i="9" s="1"/>
  <c r="D1420" i="9" a="1"/>
  <c r="D1420" i="9" s="1"/>
  <c r="E1420" i="9" s="1"/>
  <c r="F1420" i="9" s="1"/>
  <c r="D1603" i="9" a="1"/>
  <c r="D1603" i="9" s="1"/>
  <c r="E1603" i="9" s="1"/>
  <c r="F1603" i="9" s="1"/>
  <c r="D1747" i="9" a="1"/>
  <c r="D1747" i="9" s="1"/>
  <c r="E1747" i="9" s="1"/>
  <c r="F1747" i="9" s="1"/>
  <c r="D1891" i="9" a="1"/>
  <c r="D1891" i="9" s="1"/>
  <c r="E1891" i="9" s="1"/>
  <c r="F1891" i="9" s="1"/>
  <c r="D1441" i="9" a="1"/>
  <c r="D1441" i="9" s="1"/>
  <c r="E1441" i="9" s="1"/>
  <c r="F1441" i="9" s="1"/>
  <c r="D1724" i="9" a="1"/>
  <c r="D1724" i="9" s="1"/>
  <c r="E1724" i="9" s="1"/>
  <c r="F1724" i="9" s="1"/>
  <c r="D2444" i="9" a="1"/>
  <c r="D2444" i="9" s="1"/>
  <c r="E2444" i="9" s="1"/>
  <c r="F2444" i="9" s="1"/>
  <c r="D1904" i="9" a="1"/>
  <c r="D1904" i="9" s="1"/>
  <c r="E1904" i="9" s="1"/>
  <c r="F1904" i="9" s="1"/>
  <c r="D2012" i="9" a="1"/>
  <c r="D2012" i="9" s="1"/>
  <c r="E2012" i="9" s="1"/>
  <c r="F2012" i="9" s="1"/>
  <c r="D2192" i="9" a="1"/>
  <c r="D2192" i="9" s="1"/>
  <c r="E2192" i="9" s="1"/>
  <c r="F2192" i="9" s="1"/>
  <c r="D1298" i="9" a="1"/>
  <c r="D1298" i="9" s="1"/>
  <c r="E1298" i="9" s="1"/>
  <c r="F1298" i="9" s="1"/>
  <c r="D1513" i="9" a="1"/>
  <c r="D1513" i="9" s="1"/>
  <c r="E1513" i="9" s="1"/>
  <c r="F1513" i="9" s="1"/>
  <c r="D2592" i="9" a="1"/>
  <c r="D2592" i="9" s="1"/>
  <c r="E2592" i="9" s="1"/>
  <c r="F2592" i="9" s="1"/>
  <c r="D2423" i="9" a="1"/>
  <c r="D2423" i="9" s="1"/>
  <c r="E2423" i="9" s="1"/>
  <c r="F2423" i="9" s="1"/>
  <c r="D2483" i="9" a="1"/>
  <c r="D2483" i="9" s="1"/>
  <c r="E2483" i="9" s="1"/>
  <c r="F2483" i="9" s="1"/>
  <c r="D2493" i="9" a="1"/>
  <c r="D2493" i="9" s="1"/>
  <c r="E2493" i="9" s="1"/>
  <c r="F2493" i="9" s="1"/>
  <c r="D2564" i="9" a="1"/>
  <c r="D2564" i="9" s="1"/>
  <c r="E2564" i="9" s="1"/>
  <c r="F2564" i="9" s="1"/>
  <c r="D2292" i="9" a="1"/>
  <c r="D2292" i="9" s="1"/>
  <c r="E2292" i="9" s="1"/>
  <c r="F2292" i="9" s="1"/>
  <c r="D2479" i="9" a="1"/>
  <c r="D2479" i="9" s="1"/>
  <c r="E2479" i="9" s="1"/>
  <c r="F2479" i="9" s="1"/>
  <c r="D2502" i="9" a="1"/>
  <c r="D2502" i="9" s="1"/>
  <c r="E2502" i="9" s="1"/>
  <c r="F2502" i="9" s="1"/>
  <c r="D2669" i="9" a="1"/>
  <c r="D2669" i="9" s="1"/>
  <c r="E2669" i="9" s="1"/>
  <c r="F2669" i="9" s="1"/>
  <c r="D2513" i="9" a="1"/>
  <c r="D2513" i="9" s="1"/>
  <c r="E2513" i="9" s="1"/>
  <c r="F2513" i="9" s="1"/>
  <c r="D2692" i="9" a="1"/>
  <c r="D2692" i="9" s="1"/>
  <c r="E2692" i="9" s="1"/>
  <c r="F2692" i="9" s="1"/>
  <c r="D2536" i="9" a="1"/>
  <c r="D2536" i="9" s="1"/>
  <c r="E2536" i="9" s="1"/>
  <c r="F2536" i="9" s="1"/>
  <c r="D2351" i="9" a="1"/>
  <c r="D2351" i="9" s="1"/>
  <c r="E2351" i="9" s="1"/>
  <c r="F2351" i="9" s="1"/>
  <c r="D2439" i="9" a="1"/>
  <c r="D2439" i="9" s="1"/>
  <c r="E2439" i="9" s="1"/>
  <c r="F2439" i="9" s="1"/>
  <c r="D2342" i="9" a="1"/>
  <c r="D2342" i="9" s="1"/>
  <c r="E2342" i="9" s="1"/>
  <c r="F2342" i="9" s="1"/>
  <c r="D2152" i="9" a="1"/>
  <c r="D2152" i="9" s="1"/>
  <c r="E2152" i="9" s="1"/>
  <c r="F2152" i="9" s="1"/>
  <c r="D2280" i="9" a="1"/>
  <c r="D2280" i="9" s="1"/>
  <c r="E2280" i="9" s="1"/>
  <c r="F2280" i="9" s="1"/>
  <c r="D2079" i="9" a="1"/>
  <c r="D2079" i="9" s="1"/>
  <c r="E2079" i="9" s="1"/>
  <c r="F2079" i="9" s="1"/>
  <c r="D2183" i="9" a="1"/>
  <c r="D2183" i="9" s="1"/>
  <c r="E2183" i="9" s="1"/>
  <c r="F2183" i="9" s="1"/>
  <c r="D2260" i="9" a="1"/>
  <c r="D2260" i="9" s="1"/>
  <c r="E2260" i="9" s="1"/>
  <c r="F2260" i="9" s="1"/>
  <c r="D2039" i="9" a="1"/>
  <c r="D2039" i="9" s="1"/>
  <c r="E2039" i="9" s="1"/>
  <c r="F2039" i="9" s="1"/>
  <c r="D2258" i="9" a="1"/>
  <c r="D2258" i="9" s="1"/>
  <c r="E2258" i="9" s="1"/>
  <c r="F2258" i="9" s="1"/>
  <c r="D2035" i="9" a="1"/>
  <c r="D2035" i="9" s="1"/>
  <c r="E2035" i="9" s="1"/>
  <c r="F2035" i="9" s="1"/>
  <c r="D2194" i="9" a="1"/>
  <c r="D2194" i="9" s="1"/>
  <c r="E2194" i="9" s="1"/>
  <c r="F2194" i="9" s="1"/>
  <c r="D2361" i="9" a="1"/>
  <c r="D2361" i="9" s="1"/>
  <c r="E2361" i="9" s="1"/>
  <c r="F2361" i="9" s="1"/>
  <c r="D2175" i="9" a="1"/>
  <c r="D2175" i="9" s="1"/>
  <c r="E2175" i="9" s="1"/>
  <c r="F2175" i="9" s="1"/>
  <c r="D2303" i="9" a="1"/>
  <c r="D2303" i="9" s="1"/>
  <c r="E2303" i="9" s="1"/>
  <c r="F2303" i="9" s="1"/>
  <c r="D2104" i="9" a="1"/>
  <c r="D2104" i="9" s="1"/>
  <c r="E2104" i="9" s="1"/>
  <c r="F2104" i="9" s="1"/>
  <c r="D2188" i="9" a="1"/>
  <c r="D2188" i="9" s="1"/>
  <c r="E2188" i="9" s="1"/>
  <c r="F2188" i="9" s="1"/>
  <c r="D2395" i="9" a="1"/>
  <c r="D2395" i="9" s="1"/>
  <c r="E2395" i="9" s="1"/>
  <c r="F2395" i="9" s="1"/>
  <c r="D2220" i="9" a="1"/>
  <c r="D2220" i="9" s="1"/>
  <c r="E2220" i="9" s="1"/>
  <c r="F2220" i="9" s="1"/>
  <c r="D2418" i="9" a="1"/>
  <c r="D2418" i="9" s="1"/>
  <c r="E2418" i="9" s="1"/>
  <c r="F2418" i="9" s="1"/>
  <c r="D2249" i="9" a="1"/>
  <c r="D2249" i="9" s="1"/>
  <c r="E2249" i="9" s="1"/>
  <c r="F2249" i="9" s="1"/>
  <c r="D1990" i="9" a="1"/>
  <c r="D1990" i="9" s="1"/>
  <c r="E1990" i="9" s="1"/>
  <c r="F1990" i="9" s="1"/>
  <c r="D1359" i="9" a="1"/>
  <c r="D1359" i="9" s="1"/>
  <c r="E1359" i="9" s="1"/>
  <c r="F1359" i="9" s="1"/>
  <c r="D1562" i="9" a="1"/>
  <c r="D1562" i="9" s="1"/>
  <c r="E1562" i="9" s="1"/>
  <c r="F1562" i="9" s="1"/>
  <c r="D1706" i="9" a="1"/>
  <c r="D1706" i="9" s="1"/>
  <c r="E1706" i="9" s="1"/>
  <c r="F1706" i="9" s="1"/>
  <c r="D1850" i="9" a="1"/>
  <c r="D1850" i="9" s="1"/>
  <c r="E1850" i="9" s="1"/>
  <c r="F1850" i="9" s="1"/>
  <c r="D1994" i="9" a="1"/>
  <c r="D1994" i="9" s="1"/>
  <c r="E1994" i="9" s="1"/>
  <c r="F1994" i="9" s="1"/>
  <c r="D1380" i="9" a="1"/>
  <c r="D1380" i="9" s="1"/>
  <c r="E1380" i="9" s="1"/>
  <c r="F1380" i="9" s="1"/>
  <c r="D1575" i="9" a="1"/>
  <c r="D1575" i="9" s="1"/>
  <c r="E1575" i="9" s="1"/>
  <c r="F1575" i="9" s="1"/>
  <c r="D1719" i="9" a="1"/>
  <c r="D1719" i="9" s="1"/>
  <c r="E1719" i="9" s="1"/>
  <c r="F1719" i="9" s="1"/>
  <c r="D1863" i="9" a="1"/>
  <c r="D1863" i="9" s="1"/>
  <c r="E1863" i="9" s="1"/>
  <c r="F1863" i="9" s="1"/>
  <c r="D2007" i="9" a="1"/>
  <c r="D2007" i="9" s="1"/>
  <c r="E2007" i="9" s="1"/>
  <c r="F2007" i="9" s="1"/>
  <c r="D1397" i="9" a="1"/>
  <c r="D1397" i="9" s="1"/>
  <c r="E1397" i="9" s="1"/>
  <c r="F1397" i="9" s="1"/>
  <c r="D1588" i="9" a="1"/>
  <c r="D1588" i="9" s="1"/>
  <c r="E1588" i="9" s="1"/>
  <c r="F1588" i="9" s="1"/>
  <c r="D1732" i="9" a="1"/>
  <c r="D1732" i="9" s="1"/>
  <c r="E1732" i="9" s="1"/>
  <c r="F1732" i="9" s="1"/>
  <c r="D1876" i="9" a="1"/>
  <c r="D1876" i="9" s="1"/>
  <c r="E1876" i="9" s="1"/>
  <c r="F1876" i="9" s="1"/>
  <c r="D2020" i="9" a="1"/>
  <c r="D2020" i="9" s="1"/>
  <c r="E2020" i="9" s="1"/>
  <c r="F2020" i="9" s="1"/>
  <c r="D1418" i="9" a="1"/>
  <c r="D1418" i="9" s="1"/>
  <c r="E1418" i="9" s="1"/>
  <c r="F1418" i="9" s="1"/>
  <c r="D1601" i="9" a="1"/>
  <c r="D1601" i="9" s="1"/>
  <c r="E1601" i="9" s="1"/>
  <c r="F1601" i="9" s="1"/>
  <c r="D1745" i="9" a="1"/>
  <c r="D1745" i="9" s="1"/>
  <c r="E1745" i="9" s="1"/>
  <c r="F1745" i="9" s="1"/>
  <c r="D1889" i="9" a="1"/>
  <c r="D1889" i="9" s="1"/>
  <c r="E1889" i="9" s="1"/>
  <c r="F1889" i="9" s="1"/>
  <c r="D2033" i="9" a="1"/>
  <c r="D2033" i="9" s="1"/>
  <c r="E2033" i="9" s="1"/>
  <c r="F2033" i="9" s="1"/>
  <c r="D1455" i="9" a="1"/>
  <c r="D1455" i="9" s="1"/>
  <c r="E1455" i="9" s="1"/>
  <c r="F1455" i="9" s="1"/>
  <c r="D1626" i="9" a="1"/>
  <c r="D1626" i="9" s="1"/>
  <c r="E1626" i="9" s="1"/>
  <c r="F1626" i="9" s="1"/>
  <c r="D1770" i="9" a="1"/>
  <c r="D1770" i="9" s="1"/>
  <c r="E1770" i="9" s="1"/>
  <c r="F1770" i="9" s="1"/>
  <c r="D1914" i="9" a="1"/>
  <c r="D1914" i="9" s="1"/>
  <c r="E1914" i="9" s="1"/>
  <c r="F1914" i="9" s="1"/>
  <c r="D2058" i="9" a="1"/>
  <c r="D2058" i="9" s="1"/>
  <c r="E2058" i="9" s="1"/>
  <c r="F2058" i="9" s="1"/>
  <c r="D2202" i="9" a="1"/>
  <c r="D2202" i="9" s="1"/>
  <c r="E2202" i="9" s="1"/>
  <c r="F2202" i="9" s="1"/>
  <c r="D2346" i="9" a="1"/>
  <c r="D2346" i="9" s="1"/>
  <c r="E2346" i="9" s="1"/>
  <c r="F2346" i="9" s="1"/>
  <c r="D1440" i="9" a="1"/>
  <c r="D1440" i="9" s="1"/>
  <c r="E1440" i="9" s="1"/>
  <c r="F1440" i="9" s="1"/>
  <c r="D1615" i="9" a="1"/>
  <c r="D1615" i="9" s="1"/>
  <c r="E1615" i="9" s="1"/>
  <c r="F1615" i="9" s="1"/>
  <c r="D1759" i="9" a="1"/>
  <c r="D1759" i="9" s="1"/>
  <c r="E1759" i="9" s="1"/>
  <c r="F1759" i="9" s="1"/>
  <c r="D1903" i="9" a="1"/>
  <c r="D1903" i="9" s="1"/>
  <c r="E1903" i="9" s="1"/>
  <c r="F1903" i="9" s="1"/>
  <c r="D1457" i="9" a="1"/>
  <c r="D1457" i="9" s="1"/>
  <c r="E1457" i="9" s="1"/>
  <c r="F1457" i="9" s="1"/>
  <c r="D1628" i="9" a="1"/>
  <c r="D1628" i="9" s="1"/>
  <c r="E1628" i="9" s="1"/>
  <c r="F1628" i="9" s="1"/>
  <c r="D1772" i="9" a="1"/>
  <c r="D1772" i="9" s="1"/>
  <c r="E1772" i="9" s="1"/>
  <c r="F1772" i="9" s="1"/>
  <c r="D1916" i="9" a="1"/>
  <c r="D1916" i="9" s="1"/>
  <c r="E1916" i="9" s="1"/>
  <c r="F1916" i="9" s="1"/>
  <c r="D2060" i="9" a="1"/>
  <c r="D2060" i="9" s="1"/>
  <c r="E2060" i="9" s="1"/>
  <c r="F2060" i="9" s="1"/>
  <c r="D2204" i="9" a="1"/>
  <c r="D2204" i="9" s="1"/>
  <c r="E2204" i="9" s="1"/>
  <c r="F2204" i="9" s="1"/>
  <c r="D1316" i="9" a="1"/>
  <c r="D1316" i="9" s="1"/>
  <c r="E1316" i="9" s="1"/>
  <c r="F1316" i="9" s="1"/>
  <c r="D1528" i="9" a="1"/>
  <c r="D1528" i="9" s="1"/>
  <c r="E1528" i="9" s="1"/>
  <c r="F1528" i="9" s="1"/>
  <c r="D2604" i="9" a="1"/>
  <c r="D2604" i="9" s="1"/>
  <c r="E2604" i="9" s="1"/>
  <c r="F2604" i="9" s="1"/>
  <c r="D2624" i="9" a="1"/>
  <c r="D2624" i="9" s="1"/>
  <c r="E2624" i="9" s="1"/>
  <c r="F2624" i="9" s="1"/>
  <c r="D2471" i="9" a="1"/>
  <c r="D2471" i="9" s="1"/>
  <c r="E2471" i="9" s="1"/>
  <c r="F2471" i="9" s="1"/>
  <c r="D2469" i="9" a="1"/>
  <c r="D2469" i="9" s="1"/>
  <c r="E2469" i="9" s="1"/>
  <c r="F2469" i="9" s="1"/>
  <c r="D2660" i="9" a="1"/>
  <c r="D2660" i="9" s="1"/>
  <c r="E2660" i="9" s="1"/>
  <c r="F2660" i="9" s="1"/>
  <c r="D2659" i="9" a="1"/>
  <c r="D2659" i="9" s="1"/>
  <c r="E2659" i="9" s="1"/>
  <c r="F2659" i="9" s="1"/>
  <c r="D2467" i="9" a="1"/>
  <c r="D2467" i="9" s="1"/>
  <c r="E2467" i="9" s="1"/>
  <c r="F2467" i="9" s="1"/>
  <c r="D2490" i="9" a="1"/>
  <c r="D2490" i="9" s="1"/>
  <c r="E2490" i="9" s="1"/>
  <c r="F2490" i="9" s="1"/>
  <c r="D2657" i="9" a="1"/>
  <c r="D2657" i="9" s="1"/>
  <c r="E2657" i="9" s="1"/>
  <c r="F2657" i="9" s="1"/>
  <c r="D2501" i="9" a="1"/>
  <c r="D2501" i="9" s="1"/>
  <c r="E2501" i="9" s="1"/>
  <c r="F2501" i="9" s="1"/>
  <c r="D2680" i="9" a="1"/>
  <c r="D2680" i="9" s="1"/>
  <c r="E2680" i="9" s="1"/>
  <c r="F2680" i="9" s="1"/>
  <c r="D2524" i="9" a="1"/>
  <c r="D2524" i="9" s="1"/>
  <c r="E2524" i="9" s="1"/>
  <c r="F2524" i="9" s="1"/>
  <c r="D2583" i="9" a="1"/>
  <c r="D2583" i="9" s="1"/>
  <c r="E2583" i="9" s="1"/>
  <c r="F2583" i="9" s="1"/>
  <c r="D2425" i="9" a="1"/>
  <c r="D2425" i="9" s="1"/>
  <c r="E2425" i="9" s="1"/>
  <c r="F2425" i="9" s="1"/>
  <c r="D2328" i="9" a="1"/>
  <c r="D2328" i="9" s="1"/>
  <c r="E2328" i="9" s="1"/>
  <c r="F2328" i="9" s="1"/>
  <c r="D2135" i="9" a="1"/>
  <c r="D2135" i="9" s="1"/>
  <c r="E2135" i="9" s="1"/>
  <c r="F2135" i="9" s="1"/>
  <c r="D2263" i="9" a="1"/>
  <c r="D2263" i="9" s="1"/>
  <c r="E2263" i="9" s="1"/>
  <c r="F2263" i="9" s="1"/>
  <c r="D2050" i="9" a="1"/>
  <c r="D2050" i="9" s="1"/>
  <c r="E2050" i="9" s="1"/>
  <c r="F2050" i="9" s="1"/>
  <c r="D2165" i="9" a="1"/>
  <c r="D2165" i="9" s="1"/>
  <c r="E2165" i="9" s="1"/>
  <c r="F2165" i="9" s="1"/>
  <c r="D2245" i="9" a="1"/>
  <c r="D2245" i="9" s="1"/>
  <c r="E2245" i="9" s="1"/>
  <c r="F2245" i="9" s="1"/>
  <c r="D2412" i="9" a="1"/>
  <c r="D2412" i="9" s="1"/>
  <c r="E2412" i="9" s="1"/>
  <c r="F2412" i="9" s="1"/>
  <c r="D2243" i="9" a="1"/>
  <c r="D2243" i="9" s="1"/>
  <c r="E2243" i="9" s="1"/>
  <c r="F2243" i="9" s="1"/>
  <c r="D2362" i="9" a="1"/>
  <c r="D2362" i="9" s="1"/>
  <c r="E2362" i="9" s="1"/>
  <c r="F2362" i="9" s="1"/>
  <c r="D2176" i="9" a="1"/>
  <c r="D2176" i="9" s="1"/>
  <c r="E2176" i="9" s="1"/>
  <c r="F2176" i="9" s="1"/>
  <c r="D2348" i="9" a="1"/>
  <c r="D2348" i="9" s="1"/>
  <c r="E2348" i="9" s="1"/>
  <c r="F2348" i="9" s="1"/>
  <c r="D2160" i="9" a="1"/>
  <c r="D2160" i="9" s="1"/>
  <c r="E2160" i="9" s="1"/>
  <c r="F2160" i="9" s="1"/>
  <c r="D2285" i="9" a="1"/>
  <c r="D2285" i="9" s="1"/>
  <c r="E2285" i="9" s="1"/>
  <c r="F2285" i="9" s="1"/>
  <c r="D2087" i="9" a="1"/>
  <c r="D2087" i="9" s="1"/>
  <c r="E2087" i="9" s="1"/>
  <c r="F2087" i="9" s="1"/>
  <c r="D2173" i="9" a="1"/>
  <c r="D2173" i="9" s="1"/>
  <c r="E2173" i="9" s="1"/>
  <c r="F2173" i="9" s="1"/>
  <c r="D2383" i="9" a="1"/>
  <c r="D2383" i="9" s="1"/>
  <c r="E2383" i="9" s="1"/>
  <c r="F2383" i="9" s="1"/>
  <c r="D2203" i="9" a="1"/>
  <c r="D2203" i="9" s="1"/>
  <c r="E2203" i="9" s="1"/>
  <c r="F2203" i="9" s="1"/>
  <c r="D2406" i="9" a="1"/>
  <c r="D2406" i="9" s="1"/>
  <c r="E2406" i="9" s="1"/>
  <c r="F2406" i="9" s="1"/>
  <c r="D2234" i="9" a="1"/>
  <c r="D2234" i="9" s="1"/>
  <c r="E2234" i="9" s="1"/>
  <c r="F2234" i="9" s="1"/>
  <c r="D1955" i="9" a="1"/>
  <c r="D1955" i="9" s="1"/>
  <c r="E1955" i="9" s="1"/>
  <c r="F1955" i="9" s="1"/>
  <c r="D1377" i="9" a="1"/>
  <c r="D1377" i="9" s="1"/>
  <c r="E1377" i="9" s="1"/>
  <c r="F1377" i="9" s="1"/>
  <c r="D1574" i="9" a="1"/>
  <c r="D1574" i="9" s="1"/>
  <c r="E1574" i="9" s="1"/>
  <c r="F1574" i="9" s="1"/>
  <c r="D1718" i="9" a="1"/>
  <c r="D1718" i="9" s="1"/>
  <c r="E1718" i="9" s="1"/>
  <c r="F1718" i="9" s="1"/>
  <c r="D1862" i="9" a="1"/>
  <c r="D1862" i="9" s="1"/>
  <c r="E1862" i="9" s="1"/>
  <c r="F1862" i="9" s="1"/>
  <c r="D2006" i="9" a="1"/>
  <c r="D2006" i="9" s="1"/>
  <c r="E2006" i="9" s="1"/>
  <c r="F2006" i="9" s="1"/>
  <c r="D1396" i="9" a="1"/>
  <c r="D1396" i="9" s="1"/>
  <c r="E1396" i="9" s="1"/>
  <c r="F1396" i="9" s="1"/>
  <c r="D1587" i="9" a="1"/>
  <c r="D1587" i="9" s="1"/>
  <c r="E1587" i="9" s="1"/>
  <c r="F1587" i="9" s="1"/>
  <c r="D1731" i="9" a="1"/>
  <c r="D1731" i="9" s="1"/>
  <c r="E1731" i="9" s="1"/>
  <c r="F1731" i="9" s="1"/>
  <c r="D1875" i="9" a="1"/>
  <c r="D1875" i="9" s="1"/>
  <c r="E1875" i="9" s="1"/>
  <c r="F1875" i="9" s="1"/>
  <c r="D2019" i="9" a="1"/>
  <c r="D2019" i="9" s="1"/>
  <c r="E2019" i="9" s="1"/>
  <c r="F2019" i="9" s="1"/>
  <c r="D1417" i="9" a="1"/>
  <c r="D1417" i="9" s="1"/>
  <c r="E1417" i="9" s="1"/>
  <c r="F1417" i="9" s="1"/>
  <c r="D1600" i="9" a="1"/>
  <c r="D1600" i="9" s="1"/>
  <c r="E1600" i="9" s="1"/>
  <c r="F1600" i="9" s="1"/>
  <c r="D1744" i="9" a="1"/>
  <c r="D1744" i="9" s="1"/>
  <c r="E1744" i="9" s="1"/>
  <c r="F1744" i="9" s="1"/>
  <c r="D1888" i="9" a="1"/>
  <c r="D1888" i="9" s="1"/>
  <c r="E1888" i="9" s="1"/>
  <c r="F1888" i="9" s="1"/>
  <c r="D2032" i="9" a="1"/>
  <c r="D2032" i="9" s="1"/>
  <c r="E2032" i="9" s="1"/>
  <c r="F2032" i="9" s="1"/>
  <c r="D1544" i="9" a="1"/>
  <c r="D1544" i="9" s="1"/>
  <c r="E1544" i="9" s="1"/>
  <c r="F1544" i="9" s="1"/>
  <c r="D1613" i="9" a="1"/>
  <c r="D1613" i="9" s="1"/>
  <c r="E1613" i="9" s="1"/>
  <c r="F1613" i="9" s="1"/>
  <c r="D1757" i="9" a="1"/>
  <c r="D1757" i="9" s="1"/>
  <c r="E1757" i="9" s="1"/>
  <c r="F1757" i="9" s="1"/>
  <c r="D1901" i="9" a="1"/>
  <c r="D1901" i="9" s="1"/>
  <c r="E1901" i="9" s="1"/>
  <c r="F1901" i="9" s="1"/>
  <c r="D2045" i="9" a="1"/>
  <c r="D2045" i="9" s="1"/>
  <c r="E2045" i="9" s="1"/>
  <c r="F2045" i="9" s="1"/>
  <c r="D1473" i="9" a="1"/>
  <c r="D1473" i="9" s="1"/>
  <c r="E1473" i="9" s="1"/>
  <c r="F1473" i="9" s="1"/>
  <c r="D1638" i="9" a="1"/>
  <c r="D1638" i="9" s="1"/>
  <c r="E1638" i="9" s="1"/>
  <c r="F1638" i="9" s="1"/>
  <c r="D1782" i="9" a="1"/>
  <c r="D1782" i="9" s="1"/>
  <c r="E1782" i="9" s="1"/>
  <c r="F1782" i="9" s="1"/>
  <c r="D1926" i="9" a="1"/>
  <c r="D1926" i="9" s="1"/>
  <c r="E1926" i="9" s="1"/>
  <c r="F1926" i="9" s="1"/>
  <c r="D2070" i="9" a="1"/>
  <c r="D2070" i="9" s="1"/>
  <c r="E2070" i="9" s="1"/>
  <c r="F2070" i="9" s="1"/>
  <c r="D2214" i="9" a="1"/>
  <c r="D2214" i="9" s="1"/>
  <c r="E2214" i="9" s="1"/>
  <c r="F2214" i="9" s="1"/>
  <c r="D2357" i="9" a="1"/>
  <c r="D2357" i="9" s="1"/>
  <c r="E2357" i="9" s="1"/>
  <c r="F2357" i="9" s="1"/>
  <c r="D1456" i="9" a="1"/>
  <c r="D1456" i="9" s="1"/>
  <c r="E1456" i="9" s="1"/>
  <c r="F1456" i="9" s="1"/>
  <c r="D1627" i="9" a="1"/>
  <c r="D1627" i="9" s="1"/>
  <c r="E1627" i="9" s="1"/>
  <c r="F1627" i="9" s="1"/>
  <c r="D1771" i="9" a="1"/>
  <c r="D1771" i="9" s="1"/>
  <c r="E1771" i="9" s="1"/>
  <c r="F1771" i="9" s="1"/>
  <c r="D1915" i="9" a="1"/>
  <c r="D1915" i="9" s="1"/>
  <c r="E1915" i="9" s="1"/>
  <c r="F1915" i="9" s="1"/>
  <c r="D1477" i="9" a="1"/>
  <c r="D1477" i="9" s="1"/>
  <c r="E1477" i="9" s="1"/>
  <c r="F1477" i="9" s="1"/>
  <c r="D1640" i="9" a="1"/>
  <c r="D1640" i="9" s="1"/>
  <c r="E1640" i="9" s="1"/>
  <c r="F1640" i="9" s="1"/>
  <c r="D1784" i="9" a="1"/>
  <c r="D1784" i="9" s="1"/>
  <c r="E1784" i="9" s="1"/>
  <c r="F1784" i="9" s="1"/>
  <c r="D1928" i="9" a="1"/>
  <c r="D1928" i="9" s="1"/>
  <c r="E1928" i="9" s="1"/>
  <c r="F1928" i="9" s="1"/>
  <c r="D2072" i="9" a="1"/>
  <c r="D2072" i="9" s="1"/>
  <c r="E2072" i="9" s="1"/>
  <c r="F2072" i="9" s="1"/>
  <c r="D2216" i="9" a="1"/>
  <c r="D2216" i="9" s="1"/>
  <c r="E2216" i="9" s="1"/>
  <c r="F2216" i="9" s="1"/>
  <c r="D2658" i="9" a="1"/>
  <c r="D2658" i="9" s="1"/>
  <c r="E2658" i="9" s="1"/>
  <c r="F2658" i="9" s="1"/>
  <c r="D2532" i="9" a="1"/>
  <c r="D2532" i="9" s="1"/>
  <c r="E2532" i="9" s="1"/>
  <c r="F2532" i="9" s="1"/>
  <c r="D2447" i="9" a="1"/>
  <c r="D2447" i="9" s="1"/>
  <c r="E2447" i="9" s="1"/>
  <c r="F2447" i="9" s="1"/>
  <c r="D2457" i="9" a="1"/>
  <c r="D2457" i="9" s="1"/>
  <c r="E2457" i="9" s="1"/>
  <c r="F2457" i="9" s="1"/>
  <c r="D2528" i="9" a="1"/>
  <c r="D2528" i="9" s="1"/>
  <c r="E2528" i="9" s="1"/>
  <c r="F2528" i="9" s="1"/>
  <c r="D2635" i="9" a="1"/>
  <c r="D2635" i="9" s="1"/>
  <c r="E2635" i="9" s="1"/>
  <c r="F2635" i="9" s="1"/>
  <c r="D2443" i="9" a="1"/>
  <c r="D2443" i="9" s="1"/>
  <c r="E2443" i="9" s="1"/>
  <c r="F2443" i="9" s="1"/>
  <c r="D2478" i="9" a="1"/>
  <c r="D2478" i="9" s="1"/>
  <c r="E2478" i="9" s="1"/>
  <c r="F2478" i="9" s="1"/>
  <c r="D2645" i="9" a="1"/>
  <c r="D2645" i="9" s="1"/>
  <c r="E2645" i="9" s="1"/>
  <c r="F2645" i="9" s="1"/>
  <c r="D2489" i="9" a="1"/>
  <c r="D2489" i="9" s="1"/>
  <c r="E2489" i="9" s="1"/>
  <c r="F2489" i="9" s="1"/>
  <c r="D2668" i="9" a="1"/>
  <c r="D2668" i="9" s="1"/>
  <c r="E2668" i="9" s="1"/>
  <c r="F2668" i="9" s="1"/>
  <c r="D2500" i="9" a="1"/>
  <c r="D2500" i="9" s="1"/>
  <c r="E2500" i="9" s="1"/>
  <c r="F2500" i="9" s="1"/>
  <c r="D2571" i="9" a="1"/>
  <c r="D2571" i="9" s="1"/>
  <c r="E2571" i="9" s="1"/>
  <c r="F2571" i="9" s="1"/>
  <c r="D2410" i="9" a="1"/>
  <c r="D2410" i="9" s="1"/>
  <c r="E2410" i="9" s="1"/>
  <c r="F2410" i="9" s="1"/>
  <c r="D2314" i="9" a="1"/>
  <c r="D2314" i="9" s="1"/>
  <c r="E2314" i="9" s="1"/>
  <c r="F2314" i="9" s="1"/>
  <c r="D2116" i="9" a="1"/>
  <c r="D2116" i="9" s="1"/>
  <c r="E2116" i="9" s="1"/>
  <c r="F2116" i="9" s="1"/>
  <c r="D2247" i="9" a="1"/>
  <c r="D2247" i="9" s="1"/>
  <c r="E2247" i="9" s="1"/>
  <c r="F2247" i="9" s="1"/>
  <c r="D1931" i="9" a="1"/>
  <c r="D1931" i="9" s="1"/>
  <c r="E1931" i="9" s="1"/>
  <c r="F1931" i="9" s="1"/>
  <c r="D2150" i="9" a="1"/>
  <c r="D2150" i="9" s="1"/>
  <c r="E2150" i="9" s="1"/>
  <c r="F2150" i="9" s="1"/>
  <c r="D2230" i="9" a="1"/>
  <c r="D2230" i="9" s="1"/>
  <c r="E2230" i="9" s="1"/>
  <c r="F2230" i="9" s="1"/>
  <c r="D2400" i="9" a="1"/>
  <c r="D2400" i="9" s="1"/>
  <c r="E2400" i="9" s="1"/>
  <c r="F2400" i="9" s="1"/>
  <c r="D2225" i="9" a="1"/>
  <c r="D2225" i="9" s="1"/>
  <c r="E2225" i="9" s="1"/>
  <c r="F2225" i="9" s="1"/>
  <c r="D2349" i="9" a="1"/>
  <c r="D2349" i="9" s="1"/>
  <c r="E2349" i="9" s="1"/>
  <c r="F2349" i="9" s="1"/>
  <c r="D2161" i="9" a="1"/>
  <c r="D2161" i="9" s="1"/>
  <c r="E2161" i="9" s="1"/>
  <c r="F2161" i="9" s="1"/>
  <c r="D2333" i="9" a="1"/>
  <c r="D2333" i="9" s="1"/>
  <c r="E2333" i="9" s="1"/>
  <c r="F2333" i="9" s="1"/>
  <c r="D2141" i="9" a="1"/>
  <c r="D2141" i="9" s="1"/>
  <c r="E2141" i="9" s="1"/>
  <c r="F2141" i="9" s="1"/>
  <c r="D2270" i="9" a="1"/>
  <c r="D2270" i="9" s="1"/>
  <c r="E2270" i="9" s="1"/>
  <c r="F2270" i="9" s="1"/>
  <c r="D2064" i="9" a="1"/>
  <c r="D2064" i="9" s="1"/>
  <c r="E2064" i="9" s="1"/>
  <c r="F2064" i="9" s="1"/>
  <c r="D2158" i="9" a="1"/>
  <c r="D2158" i="9" s="1"/>
  <c r="E2158" i="9" s="1"/>
  <c r="F2158" i="9" s="1"/>
  <c r="D2371" i="9" a="1"/>
  <c r="D2371" i="9" s="1"/>
  <c r="E2371" i="9" s="1"/>
  <c r="F2371" i="9" s="1"/>
  <c r="D2187" i="9" a="1"/>
  <c r="D2187" i="9" s="1"/>
  <c r="E2187" i="9" s="1"/>
  <c r="F2187" i="9" s="1"/>
  <c r="D2394" i="9" a="1"/>
  <c r="D2394" i="9" s="1"/>
  <c r="E2394" i="9" s="1"/>
  <c r="F2394" i="9" s="1"/>
  <c r="D2219" i="9" a="1"/>
  <c r="D2219" i="9" s="1"/>
  <c r="E2219" i="9" s="1"/>
  <c r="F2219" i="9" s="1"/>
  <c r="D1847" i="9" a="1"/>
  <c r="D1847" i="9" s="1"/>
  <c r="E1847" i="9" s="1"/>
  <c r="F1847" i="9" s="1"/>
  <c r="D1395" i="9" a="1"/>
  <c r="D1395" i="9" s="1"/>
  <c r="E1395" i="9" s="1"/>
  <c r="F1395" i="9" s="1"/>
  <c r="D1586" i="9" a="1"/>
  <c r="D1586" i="9" s="1"/>
  <c r="E1586" i="9" s="1"/>
  <c r="F1586" i="9" s="1"/>
  <c r="D1730" i="9" a="1"/>
  <c r="D1730" i="9" s="1"/>
  <c r="E1730" i="9" s="1"/>
  <c r="F1730" i="9" s="1"/>
  <c r="D1874" i="9" a="1"/>
  <c r="D1874" i="9" s="1"/>
  <c r="E1874" i="9" s="1"/>
  <c r="F1874" i="9" s="1"/>
  <c r="D2018" i="9" a="1"/>
  <c r="D2018" i="9" s="1"/>
  <c r="E2018" i="9" s="1"/>
  <c r="F2018" i="9" s="1"/>
  <c r="D1416" i="9" a="1"/>
  <c r="D1416" i="9" s="1"/>
  <c r="E1416" i="9" s="1"/>
  <c r="F1416" i="9" s="1"/>
  <c r="D1599" i="9" a="1"/>
  <c r="D1599" i="9" s="1"/>
  <c r="E1599" i="9" s="1"/>
  <c r="F1599" i="9" s="1"/>
  <c r="D1743" i="9" a="1"/>
  <c r="D1743" i="9" s="1"/>
  <c r="E1743" i="9" s="1"/>
  <c r="F1743" i="9" s="1"/>
  <c r="D1887" i="9" a="1"/>
  <c r="D1887" i="9" s="1"/>
  <c r="E1887" i="9" s="1"/>
  <c r="F1887" i="9" s="1"/>
  <c r="D2031" i="9" a="1"/>
  <c r="D2031" i="9" s="1"/>
  <c r="E2031" i="9" s="1"/>
  <c r="F2031" i="9" s="1"/>
  <c r="D1433" i="9" a="1"/>
  <c r="D1433" i="9" s="1"/>
  <c r="E1433" i="9" s="1"/>
  <c r="F1433" i="9" s="1"/>
  <c r="D1612" i="9" a="1"/>
  <c r="D1612" i="9" s="1"/>
  <c r="E1612" i="9" s="1"/>
  <c r="F1612" i="9" s="1"/>
  <c r="D1756" i="9" a="1"/>
  <c r="D1756" i="9" s="1"/>
  <c r="E1756" i="9" s="1"/>
  <c r="F1756" i="9" s="1"/>
  <c r="D1900" i="9" a="1"/>
  <c r="D1900" i="9" s="1"/>
  <c r="E1900" i="9" s="1"/>
  <c r="F1900" i="9" s="1"/>
  <c r="D2044" i="9" a="1"/>
  <c r="D2044" i="9" s="1"/>
  <c r="E2044" i="9" s="1"/>
  <c r="F2044" i="9" s="1"/>
  <c r="D1454" i="9" a="1"/>
  <c r="D1454" i="9" s="1"/>
  <c r="E1454" i="9" s="1"/>
  <c r="F1454" i="9" s="1"/>
  <c r="D1625" i="9" a="1"/>
  <c r="D1625" i="9" s="1"/>
  <c r="E1625" i="9" s="1"/>
  <c r="F1625" i="9" s="1"/>
  <c r="D1769" i="9" a="1"/>
  <c r="D1769" i="9" s="1"/>
  <c r="E1769" i="9" s="1"/>
  <c r="F1769" i="9" s="1"/>
  <c r="D1913" i="9" a="1"/>
  <c r="D1913" i="9" s="1"/>
  <c r="E1913" i="9" s="1"/>
  <c r="F1913" i="9" s="1"/>
  <c r="D2057" i="9" a="1"/>
  <c r="D2057" i="9" s="1"/>
  <c r="E2057" i="9" s="1"/>
  <c r="F2057" i="9" s="1"/>
  <c r="D1491" i="9" a="1"/>
  <c r="D1491" i="9" s="1"/>
  <c r="E1491" i="9" s="1"/>
  <c r="F1491" i="9" s="1"/>
  <c r="D1650" i="9" a="1"/>
  <c r="D1650" i="9" s="1"/>
  <c r="E1650" i="9" s="1"/>
  <c r="F1650" i="9" s="1"/>
  <c r="D1794" i="9" a="1"/>
  <c r="D1794" i="9" s="1"/>
  <c r="E1794" i="9" s="1"/>
  <c r="F1794" i="9" s="1"/>
  <c r="D1938" i="9" a="1"/>
  <c r="D1938" i="9" s="1"/>
  <c r="E1938" i="9" s="1"/>
  <c r="F1938" i="9" s="1"/>
  <c r="D2082" i="9" a="1"/>
  <c r="D2082" i="9" s="1"/>
  <c r="E2082" i="9" s="1"/>
  <c r="F2082" i="9" s="1"/>
  <c r="D2226" i="9" a="1"/>
  <c r="D2226" i="9" s="1"/>
  <c r="E2226" i="9" s="1"/>
  <c r="F2226" i="9" s="1"/>
  <c r="D2369" i="9" a="1"/>
  <c r="D2369" i="9" s="1"/>
  <c r="E2369" i="9" s="1"/>
  <c r="F2369" i="9" s="1"/>
  <c r="D1476" i="9" a="1"/>
  <c r="D1476" i="9" s="1"/>
  <c r="E1476" i="9" s="1"/>
  <c r="F1476" i="9" s="1"/>
  <c r="D1639" i="9" a="1"/>
  <c r="D1639" i="9" s="1"/>
  <c r="E1639" i="9" s="1"/>
  <c r="F1639" i="9" s="1"/>
  <c r="D1783" i="9" a="1"/>
  <c r="D1783" i="9" s="1"/>
  <c r="E1783" i="9" s="1"/>
  <c r="F1783" i="9" s="1"/>
  <c r="D1178" i="9" a="1"/>
  <c r="D1178" i="9" s="1"/>
  <c r="E1178" i="9" s="1"/>
  <c r="F1178" i="9" s="1"/>
  <c r="D1493" i="9" a="1"/>
  <c r="D1493" i="9" s="1"/>
  <c r="E1493" i="9" s="1"/>
  <c r="F1493" i="9" s="1"/>
  <c r="D1760" i="9" a="1"/>
  <c r="D1760" i="9" s="1"/>
  <c r="E1760" i="9" s="1"/>
  <c r="F1760" i="9" s="1"/>
  <c r="D2480" i="9" a="1"/>
  <c r="D2480" i="9" s="1"/>
  <c r="E2480" i="9" s="1"/>
  <c r="F2480" i="9" s="1"/>
  <c r="D1940" i="9" a="1"/>
  <c r="D1940" i="9" s="1"/>
  <c r="E1940" i="9" s="1"/>
  <c r="F1940" i="9" s="1"/>
  <c r="D2717" i="9" a="1"/>
  <c r="D2717" i="9" s="1"/>
  <c r="E2717" i="9" s="1"/>
  <c r="F2717" i="9" s="1"/>
  <c r="D2593" i="9" a="1"/>
  <c r="D2593" i="9" s="1"/>
  <c r="E2593" i="9" s="1"/>
  <c r="F2593" i="9" s="1"/>
  <c r="D2472" i="9" a="1"/>
  <c r="D2472" i="9" s="1"/>
  <c r="E2472" i="9" s="1"/>
  <c r="F2472" i="9" s="1"/>
  <c r="D2435" i="9" a="1"/>
  <c r="D2435" i="9" s="1"/>
  <c r="E2435" i="9" s="1"/>
  <c r="F2435" i="9" s="1"/>
  <c r="D2445" i="9" a="1"/>
  <c r="D2445" i="9" s="1"/>
  <c r="E2445" i="9" s="1"/>
  <c r="F2445" i="9" s="1"/>
  <c r="D2588" i="9" a="1"/>
  <c r="D2588" i="9" s="1"/>
  <c r="E2588" i="9" s="1"/>
  <c r="F2588" i="9" s="1"/>
  <c r="D2623" i="9" a="1"/>
  <c r="D2623" i="9" s="1"/>
  <c r="E2623" i="9" s="1"/>
  <c r="F2623" i="9" s="1"/>
  <c r="D2429" i="9" a="1"/>
  <c r="D2429" i="9" s="1"/>
  <c r="E2429" i="9" s="1"/>
  <c r="F2429" i="9" s="1"/>
  <c r="D2466" i="9" a="1"/>
  <c r="D2466" i="9" s="1"/>
  <c r="E2466" i="9" s="1"/>
  <c r="F2466" i="9" s="1"/>
  <c r="D2633" i="9" a="1"/>
  <c r="D2633" i="9" s="1"/>
  <c r="E2633" i="9" s="1"/>
  <c r="F2633" i="9" s="1"/>
  <c r="D2477" i="9" a="1"/>
  <c r="D2477" i="9" s="1"/>
  <c r="E2477" i="9" s="1"/>
  <c r="F2477" i="9" s="1"/>
  <c r="D2644" i="9" a="1"/>
  <c r="D2644" i="9" s="1"/>
  <c r="E2644" i="9" s="1"/>
  <c r="F2644" i="9" s="1"/>
  <c r="D2488" i="9" a="1"/>
  <c r="D2488" i="9" s="1"/>
  <c r="E2488" i="9" s="1"/>
  <c r="F2488" i="9" s="1"/>
  <c r="D2559" i="9" a="1"/>
  <c r="D2559" i="9" s="1"/>
  <c r="E2559" i="9" s="1"/>
  <c r="F2559" i="9" s="1"/>
  <c r="D2392" i="9" a="1"/>
  <c r="D2392" i="9" s="1"/>
  <c r="E2392" i="9" s="1"/>
  <c r="F2392" i="9" s="1"/>
  <c r="D2296" i="9" a="1"/>
  <c r="D2296" i="9" s="1"/>
  <c r="E2296" i="9" s="1"/>
  <c r="F2296" i="9" s="1"/>
  <c r="D2099" i="9" a="1"/>
  <c r="D2099" i="9" s="1"/>
  <c r="E2099" i="9" s="1"/>
  <c r="F2099" i="9" s="1"/>
  <c r="D2232" i="9" a="1"/>
  <c r="D2232" i="9" s="1"/>
  <c r="E2232" i="9" s="1"/>
  <c r="F2232" i="9" s="1"/>
  <c r="D2326" i="9" a="1"/>
  <c r="D2326" i="9" s="1"/>
  <c r="E2326" i="9" s="1"/>
  <c r="F2326" i="9" s="1"/>
  <c r="D2131" i="9" a="1"/>
  <c r="D2131" i="9" s="1"/>
  <c r="E2131" i="9" s="1"/>
  <c r="F2131" i="9" s="1"/>
  <c r="D2212" i="9" a="1"/>
  <c r="D2212" i="9" s="1"/>
  <c r="E2212" i="9" s="1"/>
  <c r="F2212" i="9" s="1"/>
  <c r="D2388" i="9" a="1"/>
  <c r="D2388" i="9" s="1"/>
  <c r="E2388" i="9" s="1"/>
  <c r="F2388" i="9" s="1"/>
  <c r="D2210" i="9" a="1"/>
  <c r="D2210" i="9" s="1"/>
  <c r="E2210" i="9" s="1"/>
  <c r="F2210" i="9" s="1"/>
  <c r="D2335" i="9" a="1"/>
  <c r="D2335" i="9" s="1"/>
  <c r="E2335" i="9" s="1"/>
  <c r="F2335" i="9" s="1"/>
  <c r="D2143" i="9" a="1"/>
  <c r="D2143" i="9" s="1"/>
  <c r="E2143" i="9" s="1"/>
  <c r="F2143" i="9" s="1"/>
  <c r="D2319" i="9" a="1"/>
  <c r="D2319" i="9" s="1"/>
  <c r="E2319" i="9" s="1"/>
  <c r="F2319" i="9" s="1"/>
  <c r="D2124" i="9" a="1"/>
  <c r="D2124" i="9" s="1"/>
  <c r="E2124" i="9" s="1"/>
  <c r="F2124" i="9" s="1"/>
  <c r="D2255" i="9" a="1"/>
  <c r="D2255" i="9" s="1"/>
  <c r="E2255" i="9" s="1"/>
  <c r="F2255" i="9" s="1"/>
  <c r="D2011" i="9" a="1"/>
  <c r="D2011" i="9" s="1"/>
  <c r="E2011" i="9" s="1"/>
  <c r="F2011" i="9" s="1"/>
  <c r="D2139" i="9" a="1"/>
  <c r="D2139" i="9" s="1"/>
  <c r="E2139" i="9" s="1"/>
  <c r="F2139" i="9" s="1"/>
  <c r="D2358" i="9" a="1"/>
  <c r="D2358" i="9" s="1"/>
  <c r="E2358" i="9" s="1"/>
  <c r="F2358" i="9" s="1"/>
  <c r="D2172" i="9" a="1"/>
  <c r="D2172" i="9" s="1"/>
  <c r="E2172" i="9" s="1"/>
  <c r="F2172" i="9" s="1"/>
  <c r="D2382" i="9" a="1"/>
  <c r="D2382" i="9" s="1"/>
  <c r="E2382" i="9" s="1"/>
  <c r="F2382" i="9" s="1"/>
  <c r="D2201" i="9" a="1"/>
  <c r="D2201" i="9" s="1"/>
  <c r="E2201" i="9" s="1"/>
  <c r="F2201" i="9" s="1"/>
  <c r="D1951" i="9" a="1"/>
  <c r="D1951" i="9" s="1"/>
  <c r="E1951" i="9" s="1"/>
  <c r="F1951" i="9" s="1"/>
  <c r="D1413" i="9" a="1"/>
  <c r="D1413" i="9" s="1"/>
  <c r="E1413" i="9" s="1"/>
  <c r="F1413" i="9" s="1"/>
  <c r="D1598" i="9" a="1"/>
  <c r="D1598" i="9" s="1"/>
  <c r="E1598" i="9" s="1"/>
  <c r="F1598" i="9" s="1"/>
  <c r="D1742" i="9" a="1"/>
  <c r="D1742" i="9" s="1"/>
  <c r="E1742" i="9" s="1"/>
  <c r="F1742" i="9" s="1"/>
  <c r="D1886" i="9" a="1"/>
  <c r="D1886" i="9" s="1"/>
  <c r="E1886" i="9" s="1"/>
  <c r="F1886" i="9" s="1"/>
  <c r="D2030" i="9" a="1"/>
  <c r="D2030" i="9" s="1"/>
  <c r="E2030" i="9" s="1"/>
  <c r="F2030" i="9" s="1"/>
  <c r="D1432" i="9" a="1"/>
  <c r="D1432" i="9" s="1"/>
  <c r="E1432" i="9" s="1"/>
  <c r="F1432" i="9" s="1"/>
  <c r="D1611" i="9" a="1"/>
  <c r="D1611" i="9" s="1"/>
  <c r="E1611" i="9" s="1"/>
  <c r="F1611" i="9" s="1"/>
  <c r="D1755" i="9" a="1"/>
  <c r="D1755" i="9" s="1"/>
  <c r="E1755" i="9" s="1"/>
  <c r="F1755" i="9" s="1"/>
  <c r="D1899" i="9" a="1"/>
  <c r="D1899" i="9" s="1"/>
  <c r="E1899" i="9" s="1"/>
  <c r="F1899" i="9" s="1"/>
  <c r="D2043" i="9" a="1"/>
  <c r="D2043" i="9" s="1"/>
  <c r="E2043" i="9" s="1"/>
  <c r="F2043" i="9" s="1"/>
  <c r="D1453" i="9" a="1"/>
  <c r="D1453" i="9" s="1"/>
  <c r="E1453" i="9" s="1"/>
  <c r="F1453" i="9" s="1"/>
  <c r="D1624" i="9" a="1"/>
  <c r="D1624" i="9" s="1"/>
  <c r="E1624" i="9" s="1"/>
  <c r="F1624" i="9" s="1"/>
  <c r="D1768" i="9" a="1"/>
  <c r="D1768" i="9" s="1"/>
  <c r="E1768" i="9" s="1"/>
  <c r="F1768" i="9" s="1"/>
  <c r="D1912" i="9" a="1"/>
  <c r="D1912" i="9" s="1"/>
  <c r="E1912" i="9" s="1"/>
  <c r="F1912" i="9" s="1"/>
  <c r="D2056" i="9" a="1"/>
  <c r="D2056" i="9" s="1"/>
  <c r="E2056" i="9" s="1"/>
  <c r="F2056" i="9" s="1"/>
  <c r="D1580" i="9" a="1"/>
  <c r="D1580" i="9" s="1"/>
  <c r="E1580" i="9" s="1"/>
  <c r="F1580" i="9" s="1"/>
  <c r="D1637" i="9" a="1"/>
  <c r="D1637" i="9" s="1"/>
  <c r="E1637" i="9" s="1"/>
  <c r="F1637" i="9" s="1"/>
  <c r="D1781" i="9" a="1"/>
  <c r="D1781" i="9" s="1"/>
  <c r="E1781" i="9" s="1"/>
  <c r="F1781" i="9" s="1"/>
  <c r="D1925" i="9" a="1"/>
  <c r="D1925" i="9" s="1"/>
  <c r="E1925" i="9" s="1"/>
  <c r="F1925" i="9" s="1"/>
  <c r="D1400" i="9" a="1"/>
  <c r="D1400" i="9" s="1"/>
  <c r="E1400" i="9" s="1"/>
  <c r="F1400" i="9" s="1"/>
  <c r="D1509" i="9" a="1"/>
  <c r="D1509" i="9" s="1"/>
  <c r="E1509" i="9" s="1"/>
  <c r="F1509" i="9" s="1"/>
  <c r="D1662" i="9" a="1"/>
  <c r="D1662" i="9" s="1"/>
  <c r="E1662" i="9" s="1"/>
  <c r="F1662" i="9" s="1"/>
  <c r="D1806" i="9" a="1"/>
  <c r="D1806" i="9" s="1"/>
  <c r="E1806" i="9" s="1"/>
  <c r="F1806" i="9" s="1"/>
  <c r="D1950" i="9" a="1"/>
  <c r="D1950" i="9" s="1"/>
  <c r="E1950" i="9" s="1"/>
  <c r="F1950" i="9" s="1"/>
  <c r="D2094" i="9" a="1"/>
  <c r="D2094" i="9" s="1"/>
  <c r="E2094" i="9" s="1"/>
  <c r="F2094" i="9" s="1"/>
  <c r="D2238" i="9" a="1"/>
  <c r="D2238" i="9" s="1"/>
  <c r="E2238" i="9" s="1"/>
  <c r="F2238" i="9" s="1"/>
  <c r="D1069" i="9" a="1"/>
  <c r="D1069" i="9" s="1"/>
  <c r="E1069" i="9" s="1"/>
  <c r="F1069" i="9" s="1"/>
  <c r="D1492" i="9" a="1"/>
  <c r="D1492" i="9" s="1"/>
  <c r="E1492" i="9" s="1"/>
  <c r="F1492" i="9" s="1"/>
  <c r="D1651" i="9" a="1"/>
  <c r="D1651" i="9" s="1"/>
  <c r="E1651" i="9" s="1"/>
  <c r="F1651" i="9" s="1"/>
  <c r="D2574" i="9" a="1"/>
  <c r="D2574" i="9" s="1"/>
  <c r="E2574" i="9" s="1"/>
  <c r="F2574" i="9" s="1"/>
  <c r="D2725" i="9" a="1"/>
  <c r="D2725" i="9" s="1"/>
  <c r="E2725" i="9" s="1"/>
  <c r="F2725" i="9" s="1"/>
  <c r="D2460" i="9" a="1"/>
  <c r="D2460" i="9" s="1"/>
  <c r="E2460" i="9" s="1"/>
  <c r="F2460" i="9" s="1"/>
  <c r="D2404" i="9" a="1"/>
  <c r="D2404" i="9" s="1"/>
  <c r="E2404" i="9" s="1"/>
  <c r="F2404" i="9" s="1"/>
  <c r="D2417" i="9" a="1"/>
  <c r="D2417" i="9" s="1"/>
  <c r="E2417" i="9" s="1"/>
  <c r="F2417" i="9" s="1"/>
  <c r="D2492" i="9" a="1"/>
  <c r="D2492" i="9" s="1"/>
  <c r="E2492" i="9" s="1"/>
  <c r="F2492" i="9" s="1"/>
  <c r="D2611" i="9" a="1"/>
  <c r="D2611" i="9" s="1"/>
  <c r="E2611" i="9" s="1"/>
  <c r="F2611" i="9" s="1"/>
  <c r="D2415" i="9" a="1"/>
  <c r="D2415" i="9" s="1"/>
  <c r="E2415" i="9" s="1"/>
  <c r="F2415" i="9" s="1"/>
  <c r="D2454" i="9" a="1"/>
  <c r="D2454" i="9" s="1"/>
  <c r="E2454" i="9" s="1"/>
  <c r="F2454" i="9" s="1"/>
  <c r="D2621" i="9" a="1"/>
  <c r="D2621" i="9" s="1"/>
  <c r="E2621" i="9" s="1"/>
  <c r="F2621" i="9" s="1"/>
  <c r="D2465" i="9" a="1"/>
  <c r="D2465" i="9" s="1"/>
  <c r="E2465" i="9" s="1"/>
  <c r="F2465" i="9" s="1"/>
  <c r="D2632" i="9" a="1"/>
  <c r="D2632" i="9" s="1"/>
  <c r="E2632" i="9" s="1"/>
  <c r="F2632" i="9" s="1"/>
  <c r="D2476" i="9" a="1"/>
  <c r="D2476" i="9" s="1"/>
  <c r="E2476" i="9" s="1"/>
  <c r="F2476" i="9" s="1"/>
  <c r="D2547" i="9" a="1"/>
  <c r="D2547" i="9" s="1"/>
  <c r="E2547" i="9" s="1"/>
  <c r="F2547" i="9" s="1"/>
  <c r="D2375" i="9" a="1"/>
  <c r="D2375" i="9" s="1"/>
  <c r="E2375" i="9" s="1"/>
  <c r="F2375" i="9" s="1"/>
  <c r="D2281" i="9" a="1"/>
  <c r="D2281" i="9" s="1"/>
  <c r="E2281" i="9" s="1"/>
  <c r="F2281" i="9" s="1"/>
  <c r="D2080" i="9" a="1"/>
  <c r="D2080" i="9" s="1"/>
  <c r="E2080" i="9" s="1"/>
  <c r="F2080" i="9" s="1"/>
  <c r="D2215" i="9" a="1"/>
  <c r="D2215" i="9" s="1"/>
  <c r="E2215" i="9" s="1"/>
  <c r="F2215" i="9" s="1"/>
  <c r="D2309" i="9" a="1"/>
  <c r="D2309" i="9" s="1"/>
  <c r="E2309" i="9" s="1"/>
  <c r="F2309" i="9" s="1"/>
  <c r="D2114" i="9" a="1"/>
  <c r="D2114" i="9" s="1"/>
  <c r="E2114" i="9" s="1"/>
  <c r="F2114" i="9" s="1"/>
  <c r="D2197" i="9" a="1"/>
  <c r="D2197" i="9" s="1"/>
  <c r="E2197" i="9" s="1"/>
  <c r="F2197" i="9" s="1"/>
  <c r="D2376" i="9" a="1"/>
  <c r="D2376" i="9" s="1"/>
  <c r="E2376" i="9" s="1"/>
  <c r="F2376" i="9" s="1"/>
  <c r="D2195" i="9" a="1"/>
  <c r="D2195" i="9" s="1"/>
  <c r="E2195" i="9" s="1"/>
  <c r="F2195" i="9" s="1"/>
  <c r="D2320" i="9" a="1"/>
  <c r="D2320" i="9" s="1"/>
  <c r="E2320" i="9" s="1"/>
  <c r="F2320" i="9" s="1"/>
  <c r="D2126" i="9" a="1"/>
  <c r="D2126" i="9" s="1"/>
  <c r="E2126" i="9" s="1"/>
  <c r="F2126" i="9" s="1"/>
  <c r="D2304" i="9" a="1"/>
  <c r="D2304" i="9" s="1"/>
  <c r="E2304" i="9" s="1"/>
  <c r="F2304" i="9" s="1"/>
  <c r="D2105" i="9" a="1"/>
  <c r="D2105" i="9" s="1"/>
  <c r="E2105" i="9" s="1"/>
  <c r="F2105" i="9" s="1"/>
  <c r="D2237" i="9" a="1"/>
  <c r="D2237" i="9" s="1"/>
  <c r="E2237" i="9" s="1"/>
  <c r="F2237" i="9" s="1"/>
  <c r="D2317" i="9" a="1"/>
  <c r="D2317" i="9" s="1"/>
  <c r="E2317" i="9" s="1"/>
  <c r="F2317" i="9" s="1"/>
  <c r="D2122" i="9" a="1"/>
  <c r="D2122" i="9" s="1"/>
  <c r="E2122" i="9" s="1"/>
  <c r="F2122" i="9" s="1"/>
  <c r="D2344" i="9" a="1"/>
  <c r="D2344" i="9" s="1"/>
  <c r="E2344" i="9" s="1"/>
  <c r="F2344" i="9" s="1"/>
  <c r="D2155" i="9" a="1"/>
  <c r="D2155" i="9" s="1"/>
  <c r="E2155" i="9" s="1"/>
  <c r="F2155" i="9" s="1"/>
  <c r="D2370" i="9" a="1"/>
  <c r="D2370" i="9" s="1"/>
  <c r="E2370" i="9" s="1"/>
  <c r="F2370" i="9" s="1"/>
  <c r="D2186" i="9" a="1"/>
  <c r="D2186" i="9" s="1"/>
  <c r="E2186" i="9" s="1"/>
  <c r="F2186" i="9" s="1"/>
  <c r="D1835" i="9" a="1"/>
  <c r="D1835" i="9" s="1"/>
  <c r="E1835" i="9" s="1"/>
  <c r="F1835" i="9" s="1"/>
  <c r="D1431" i="9" a="1"/>
  <c r="D1431" i="9" s="1"/>
  <c r="E1431" i="9" s="1"/>
  <c r="F1431" i="9" s="1"/>
  <c r="D1610" i="9" a="1"/>
  <c r="D1610" i="9" s="1"/>
  <c r="E1610" i="9" s="1"/>
  <c r="F1610" i="9" s="1"/>
  <c r="D1754" i="9" a="1"/>
  <c r="D1754" i="9" s="1"/>
  <c r="E1754" i="9" s="1"/>
  <c r="F1754" i="9" s="1"/>
  <c r="D1898" i="9" a="1"/>
  <c r="D1898" i="9" s="1"/>
  <c r="E1898" i="9" s="1"/>
  <c r="F1898" i="9" s="1"/>
  <c r="D2042" i="9" a="1"/>
  <c r="D2042" i="9" s="1"/>
  <c r="E2042" i="9" s="1"/>
  <c r="F2042" i="9" s="1"/>
  <c r="D1452" i="9" a="1"/>
  <c r="D1452" i="9" s="1"/>
  <c r="E1452" i="9" s="1"/>
  <c r="F1452" i="9" s="1"/>
  <c r="D1623" i="9" a="1"/>
  <c r="D1623" i="9" s="1"/>
  <c r="E1623" i="9" s="1"/>
  <c r="F1623" i="9" s="1"/>
  <c r="D1767" i="9" a="1"/>
  <c r="D1767" i="9" s="1"/>
  <c r="E1767" i="9" s="1"/>
  <c r="F1767" i="9" s="1"/>
  <c r="D1911" i="9" a="1"/>
  <c r="D1911" i="9" s="1"/>
  <c r="E1911" i="9" s="1"/>
  <c r="F1911" i="9" s="1"/>
  <c r="D2055" i="9" a="1"/>
  <c r="D2055" i="9" s="1"/>
  <c r="E2055" i="9" s="1"/>
  <c r="F2055" i="9" s="1"/>
  <c r="D1469" i="9" a="1"/>
  <c r="D1469" i="9" s="1"/>
  <c r="E1469" i="9" s="1"/>
  <c r="F1469" i="9" s="1"/>
  <c r="D1636" i="9" a="1"/>
  <c r="D1636" i="9" s="1"/>
  <c r="E1636" i="9" s="1"/>
  <c r="F1636" i="9" s="1"/>
  <c r="D1780" i="9" a="1"/>
  <c r="D1780" i="9" s="1"/>
  <c r="E1780" i="9" s="1"/>
  <c r="F1780" i="9" s="1"/>
  <c r="D1924" i="9" a="1"/>
  <c r="D1924" i="9" s="1"/>
  <c r="E1924" i="9" s="1"/>
  <c r="F1924" i="9" s="1"/>
  <c r="D2068" i="9" a="1"/>
  <c r="D2068" i="9" s="1"/>
  <c r="E2068" i="9" s="1"/>
  <c r="F2068" i="9" s="1"/>
  <c r="D1490" i="9" a="1"/>
  <c r="D1490" i="9" s="1"/>
  <c r="E1490" i="9" s="1"/>
  <c r="F1490" i="9" s="1"/>
  <c r="D1649" i="9" a="1"/>
  <c r="D1649" i="9" s="1"/>
  <c r="E1649" i="9" s="1"/>
  <c r="F1649" i="9" s="1"/>
  <c r="D1793" i="9" a="1"/>
  <c r="D1793" i="9" s="1"/>
  <c r="E1793" i="9" s="1"/>
  <c r="F1793" i="9" s="1"/>
  <c r="D1937" i="9" a="1"/>
  <c r="D1937" i="9" s="1"/>
  <c r="E1937" i="9" s="1"/>
  <c r="F1937" i="9" s="1"/>
  <c r="D1311" i="9" a="1"/>
  <c r="D1311" i="9" s="1"/>
  <c r="E1311" i="9" s="1"/>
  <c r="F1311" i="9" s="1"/>
  <c r="D1525" i="9" a="1"/>
  <c r="D1525" i="9" s="1"/>
  <c r="E1525" i="9" s="1"/>
  <c r="F1525" i="9" s="1"/>
  <c r="D1674" i="9" a="1"/>
  <c r="D1674" i="9" s="1"/>
  <c r="E1674" i="9" s="1"/>
  <c r="F1674" i="9" s="1"/>
  <c r="D1818" i="9" a="1"/>
  <c r="D1818" i="9" s="1"/>
  <c r="E1818" i="9" s="1"/>
  <c r="F1818" i="9" s="1"/>
  <c r="D1962" i="9" a="1"/>
  <c r="D1962" i="9" s="1"/>
  <c r="E1962" i="9" s="1"/>
  <c r="F1962" i="9" s="1"/>
  <c r="D2106" i="9" a="1"/>
  <c r="D2106" i="9" s="1"/>
  <c r="E2106" i="9" s="1"/>
  <c r="F2106" i="9" s="1"/>
  <c r="D2250" i="9" a="1"/>
  <c r="D2250" i="9" s="1"/>
  <c r="E2250" i="9" s="1"/>
  <c r="F2250" i="9" s="1"/>
  <c r="D1795" i="9" a="1"/>
  <c r="D1795" i="9" s="1"/>
  <c r="E1795" i="9" s="1"/>
  <c r="F1795" i="9" s="1"/>
  <c r="D2084" i="9" a="1"/>
  <c r="D2084" i="9" s="1"/>
  <c r="E2084" i="9" s="1"/>
  <c r="F2084" i="9" s="1"/>
  <c r="D1569" i="9" a="1"/>
  <c r="D1569" i="9" s="1"/>
  <c r="E1569" i="9" s="1"/>
  <c r="F1569" i="9" s="1"/>
  <c r="D1821" i="9" a="1"/>
  <c r="D1821" i="9" s="1"/>
  <c r="E1821" i="9" s="1"/>
  <c r="F1821" i="9" s="1"/>
  <c r="D2001" i="9" a="1"/>
  <c r="D2001" i="9" s="1"/>
  <c r="E2001" i="9" s="1"/>
  <c r="F2001" i="9" s="1"/>
  <c r="D2181" i="9" a="1"/>
  <c r="D2181" i="9" s="1"/>
  <c r="E2181" i="9" s="1"/>
  <c r="F2181" i="9" s="1"/>
  <c r="D1317" i="9" a="1"/>
  <c r="D1317" i="9" s="1"/>
  <c r="E1317" i="9" s="1"/>
  <c r="F1317" i="9" s="1"/>
  <c r="D1546" i="9" a="1"/>
  <c r="D1546" i="9" s="1"/>
  <c r="E1546" i="9" s="1"/>
  <c r="F1546" i="9" s="1"/>
  <c r="D1702" i="9" a="1"/>
  <c r="D1702" i="9" s="1"/>
  <c r="E1702" i="9" s="1"/>
  <c r="F1702" i="9" s="1"/>
  <c r="D1858" i="9" a="1"/>
  <c r="D1858" i="9" s="1"/>
  <c r="E1858" i="9" s="1"/>
  <c r="F1858" i="9" s="1"/>
  <c r="D1336" i="9" a="1"/>
  <c r="D1336" i="9" s="1"/>
  <c r="E1336" i="9" s="1"/>
  <c r="F1336" i="9" s="1"/>
  <c r="D1559" i="9" a="1"/>
  <c r="D1559" i="9" s="1"/>
  <c r="E1559" i="9" s="1"/>
  <c r="F1559" i="9" s="1"/>
  <c r="D1715" i="9" a="1"/>
  <c r="D1715" i="9" s="1"/>
  <c r="E1715" i="9" s="1"/>
  <c r="F1715" i="9" s="1"/>
  <c r="D1321" i="9" a="1"/>
  <c r="D1321" i="9" s="1"/>
  <c r="E1321" i="9" s="1"/>
  <c r="F1321" i="9" s="1"/>
  <c r="D1533" i="9" a="1"/>
  <c r="D1533" i="9" s="1"/>
  <c r="E1533" i="9" s="1"/>
  <c r="F1533" i="9" s="1"/>
  <c r="D1680" i="9" a="1"/>
  <c r="D1680" i="9" s="1"/>
  <c r="E1680" i="9" s="1"/>
  <c r="F1680" i="9" s="1"/>
  <c r="D1824" i="9" a="1"/>
  <c r="D1824" i="9" s="1"/>
  <c r="E1824" i="9" s="1"/>
  <c r="F1824" i="9" s="1"/>
  <c r="D1968" i="9" a="1"/>
  <c r="D1968" i="9" s="1"/>
  <c r="E1968" i="9" s="1"/>
  <c r="F1968" i="9" s="1"/>
  <c r="D1358" i="9" a="1"/>
  <c r="D1358" i="9" s="1"/>
  <c r="E1358" i="9" s="1"/>
  <c r="F1358" i="9" s="1"/>
  <c r="D1561" i="9" a="1"/>
  <c r="D1561" i="9" s="1"/>
  <c r="E1561" i="9" s="1"/>
  <c r="F1561" i="9" s="1"/>
  <c r="D1705" i="9" a="1"/>
  <c r="D1705" i="9" s="1"/>
  <c r="E1705" i="9" s="1"/>
  <c r="F1705" i="9" s="1"/>
  <c r="D1849" i="9" a="1"/>
  <c r="D1849" i="9" s="1"/>
  <c r="E1849" i="9" s="1"/>
  <c r="F1849" i="9" s="1"/>
  <c r="D1993" i="9" a="1"/>
  <c r="D1993" i="9" s="1"/>
  <c r="E1993" i="9" s="1"/>
  <c r="F1993" i="9" s="1"/>
  <c r="D2137" i="9" a="1"/>
  <c r="D2137" i="9" s="1"/>
  <c r="E2137" i="9" s="1"/>
  <c r="F2137" i="9" s="1"/>
  <c r="D1967" i="9" a="1"/>
  <c r="D1967" i="9" s="1"/>
  <c r="E1967" i="9" s="1"/>
  <c r="F1967" i="9" s="1"/>
  <c r="D1244" i="9" a="1"/>
  <c r="D1244" i="9" s="1"/>
  <c r="E1244" i="9" s="1"/>
  <c r="F1244" i="9" s="1"/>
  <c r="D1181" i="9" a="1"/>
  <c r="D1181" i="9" s="1"/>
  <c r="E1181" i="9" s="1"/>
  <c r="F1181" i="9" s="1"/>
  <c r="D1177" i="9" a="1"/>
  <c r="D1177" i="9" s="1"/>
  <c r="E1177" i="9" s="1"/>
  <c r="F1177" i="9" s="1"/>
  <c r="D671" i="9" a="1"/>
  <c r="D671" i="9" s="1"/>
  <c r="E671" i="9" s="1"/>
  <c r="F671" i="9" s="1"/>
  <c r="D795" i="9" a="1"/>
  <c r="D795" i="9" s="1"/>
  <c r="E795" i="9" s="1"/>
  <c r="F795" i="9" s="1"/>
  <c r="D938" i="9" a="1"/>
  <c r="D938" i="9" s="1"/>
  <c r="E938" i="9" s="1"/>
  <c r="F938" i="9" s="1"/>
  <c r="D1082" i="9" a="1"/>
  <c r="D1082" i="9" s="1"/>
  <c r="E1082" i="9" s="1"/>
  <c r="F1082" i="9" s="1"/>
  <c r="D644" i="9" a="1"/>
  <c r="D644" i="9" s="1"/>
  <c r="E644" i="9" s="1"/>
  <c r="F644" i="9" s="1"/>
  <c r="D880" i="9" a="1"/>
  <c r="D880" i="9" s="1"/>
  <c r="E880" i="9" s="1"/>
  <c r="F880" i="9" s="1"/>
  <c r="D1023" i="9" a="1"/>
  <c r="D1023" i="9" s="1"/>
  <c r="E1023" i="9" s="1"/>
  <c r="F1023" i="9" s="1"/>
  <c r="D1167" i="9" a="1"/>
  <c r="D1167" i="9" s="1"/>
  <c r="E1167" i="9" s="1"/>
  <c r="F1167" i="9" s="1"/>
  <c r="D552" i="9" a="1"/>
  <c r="D552" i="9" s="1"/>
  <c r="E552" i="9" s="1"/>
  <c r="F552" i="9" s="1"/>
  <c r="D869" i="9" a="1"/>
  <c r="D869" i="9" s="1"/>
  <c r="E869" i="9" s="1"/>
  <c r="F869" i="9" s="1"/>
  <c r="D1012" i="9" a="1"/>
  <c r="D1012" i="9" s="1"/>
  <c r="E1012" i="9" s="1"/>
  <c r="F1012" i="9" s="1"/>
  <c r="D1156" i="9" a="1"/>
  <c r="D1156" i="9" s="1"/>
  <c r="E1156" i="9" s="1"/>
  <c r="F1156" i="9" s="1"/>
  <c r="D675" i="9" a="1"/>
  <c r="D675" i="9" s="1"/>
  <c r="E675" i="9" s="1"/>
  <c r="F675" i="9" s="1"/>
  <c r="D798" i="9" a="1"/>
  <c r="D798" i="9" s="1"/>
  <c r="E798" i="9" s="1"/>
  <c r="F798" i="9" s="1"/>
  <c r="D941" i="9" a="1"/>
  <c r="D941" i="9" s="1"/>
  <c r="E941" i="9" s="1"/>
  <c r="F941" i="9" s="1"/>
  <c r="D1085" i="9" a="1"/>
  <c r="D1085" i="9" s="1"/>
  <c r="E1085" i="9" s="1"/>
  <c r="F1085" i="9" s="1"/>
  <c r="D579" i="9" a="1"/>
  <c r="D579" i="9" s="1"/>
  <c r="E579" i="9" s="1"/>
  <c r="F579" i="9" s="1"/>
  <c r="D766" i="9" a="1"/>
  <c r="D766" i="9" s="1"/>
  <c r="E766" i="9" s="1"/>
  <c r="F766" i="9" s="1"/>
  <c r="D883" i="9" a="1"/>
  <c r="D883" i="9" s="1"/>
  <c r="E883" i="9" s="1"/>
  <c r="F883" i="9" s="1"/>
  <c r="D1026" i="9" a="1"/>
  <c r="D1026" i="9" s="1"/>
  <c r="E1026" i="9" s="1"/>
  <c r="F1026" i="9" s="1"/>
  <c r="D1170" i="9" a="1"/>
  <c r="D1170" i="9" s="1"/>
  <c r="E1170" i="9" s="1"/>
  <c r="F1170" i="9" s="1"/>
  <c r="D1314" i="9" a="1"/>
  <c r="D1314" i="9" s="1"/>
  <c r="E1314" i="9" s="1"/>
  <c r="F1314" i="9" s="1"/>
  <c r="D1458" i="9" a="1"/>
  <c r="D1458" i="9" s="1"/>
  <c r="E1458" i="9" s="1"/>
  <c r="F1458" i="9" s="1"/>
  <c r="D557" i="9" a="1"/>
  <c r="D557" i="9" s="1"/>
  <c r="E557" i="9" s="1"/>
  <c r="F557" i="9" s="1"/>
  <c r="D760" i="9" a="1"/>
  <c r="D760" i="9" s="1"/>
  <c r="E760" i="9" s="1"/>
  <c r="F760" i="9" s="1"/>
  <c r="D872" i="9" a="1"/>
  <c r="D872" i="9" s="1"/>
  <c r="E872" i="9" s="1"/>
  <c r="F872" i="9" s="1"/>
  <c r="D1015" i="9" a="1"/>
  <c r="D1015" i="9" s="1"/>
  <c r="E1015" i="9" s="1"/>
  <c r="F1015" i="9" s="1"/>
  <c r="D1159" i="9" a="1"/>
  <c r="D1159" i="9" s="1"/>
  <c r="E1159" i="9" s="1"/>
  <c r="F1159" i="9" s="1"/>
  <c r="D1303" i="9" a="1"/>
  <c r="D1303" i="9" s="1"/>
  <c r="E1303" i="9" s="1"/>
  <c r="F1303" i="9" s="1"/>
  <c r="D1447" i="9" a="1"/>
  <c r="D1447" i="9" s="1"/>
  <c r="E1447" i="9" s="1"/>
  <c r="F1447" i="9" s="1"/>
  <c r="D535" i="9" a="1"/>
  <c r="D535" i="9" s="1"/>
  <c r="E535" i="9" s="1"/>
  <c r="F535" i="9" s="1"/>
  <c r="D750" i="9" a="1"/>
  <c r="D750" i="9" s="1"/>
  <c r="E750" i="9" s="1"/>
  <c r="F750" i="9" s="1"/>
  <c r="D968" i="9" a="1"/>
  <c r="D968" i="9" s="1"/>
  <c r="E968" i="9" s="1"/>
  <c r="F968" i="9" s="1"/>
  <c r="D1807" i="9" a="1"/>
  <c r="D1807" i="9" s="1"/>
  <c r="E1807" i="9" s="1"/>
  <c r="F1807" i="9" s="1"/>
  <c r="D2096" i="9" a="1"/>
  <c r="D2096" i="9" s="1"/>
  <c r="E2096" i="9" s="1"/>
  <c r="F2096" i="9" s="1"/>
  <c r="D1581" i="9" a="1"/>
  <c r="D1581" i="9" s="1"/>
  <c r="E1581" i="9" s="1"/>
  <c r="F1581" i="9" s="1"/>
  <c r="D1833" i="9" a="1"/>
  <c r="D1833" i="9" s="1"/>
  <c r="E1833" i="9" s="1"/>
  <c r="F1833" i="9" s="1"/>
  <c r="D2013" i="9" a="1"/>
  <c r="D2013" i="9" s="1"/>
  <c r="E2013" i="9" s="1"/>
  <c r="F2013" i="9" s="1"/>
  <c r="D2205" i="9" a="1"/>
  <c r="D2205" i="9" s="1"/>
  <c r="E2205" i="9" s="1"/>
  <c r="F2205" i="9" s="1"/>
  <c r="D1335" i="9" a="1"/>
  <c r="D1335" i="9" s="1"/>
  <c r="E1335" i="9" s="1"/>
  <c r="F1335" i="9" s="1"/>
  <c r="D1558" i="9" a="1"/>
  <c r="D1558" i="9" s="1"/>
  <c r="E1558" i="9" s="1"/>
  <c r="F1558" i="9" s="1"/>
  <c r="D1714" i="9" a="1"/>
  <c r="D1714" i="9" s="1"/>
  <c r="E1714" i="9" s="1"/>
  <c r="F1714" i="9" s="1"/>
  <c r="D1870" i="9" a="1"/>
  <c r="D1870" i="9" s="1"/>
  <c r="E1870" i="9" s="1"/>
  <c r="F1870" i="9" s="1"/>
  <c r="D1356" i="9" a="1"/>
  <c r="D1356" i="9" s="1"/>
  <c r="E1356" i="9" s="1"/>
  <c r="F1356" i="9" s="1"/>
  <c r="D1571" i="9" a="1"/>
  <c r="D1571" i="9" s="1"/>
  <c r="E1571" i="9" s="1"/>
  <c r="F1571" i="9" s="1"/>
  <c r="D1727" i="9" a="1"/>
  <c r="D1727" i="9" s="1"/>
  <c r="E1727" i="9" s="1"/>
  <c r="F1727" i="9" s="1"/>
  <c r="D1337" i="9" a="1"/>
  <c r="D1337" i="9" s="1"/>
  <c r="E1337" i="9" s="1"/>
  <c r="F1337" i="9" s="1"/>
  <c r="D1548" i="9" a="1"/>
  <c r="D1548" i="9" s="1"/>
  <c r="E1548" i="9" s="1"/>
  <c r="F1548" i="9" s="1"/>
  <c r="D1692" i="9" a="1"/>
  <c r="D1692" i="9" s="1"/>
  <c r="E1692" i="9" s="1"/>
  <c r="F1692" i="9" s="1"/>
  <c r="D1836" i="9" a="1"/>
  <c r="D1836" i="9" s="1"/>
  <c r="E1836" i="9" s="1"/>
  <c r="F1836" i="9" s="1"/>
  <c r="D1980" i="9" a="1"/>
  <c r="D1980" i="9" s="1"/>
  <c r="E1980" i="9" s="1"/>
  <c r="F1980" i="9" s="1"/>
  <c r="D1376" i="9" a="1"/>
  <c r="D1376" i="9" s="1"/>
  <c r="E1376" i="9" s="1"/>
  <c r="F1376" i="9" s="1"/>
  <c r="D1573" i="9" a="1"/>
  <c r="D1573" i="9" s="1"/>
  <c r="E1573" i="9" s="1"/>
  <c r="F1573" i="9" s="1"/>
  <c r="D1717" i="9" a="1"/>
  <c r="D1717" i="9" s="1"/>
  <c r="E1717" i="9" s="1"/>
  <c r="F1717" i="9" s="1"/>
  <c r="D1861" i="9" a="1"/>
  <c r="D1861" i="9" s="1"/>
  <c r="E1861" i="9" s="1"/>
  <c r="F1861" i="9" s="1"/>
  <c r="D2005" i="9" a="1"/>
  <c r="D2005" i="9" s="1"/>
  <c r="E2005" i="9" s="1"/>
  <c r="F2005" i="9" s="1"/>
  <c r="D2149" i="9" a="1"/>
  <c r="D2149" i="9" s="1"/>
  <c r="E2149" i="9" s="1"/>
  <c r="F2149" i="9" s="1"/>
  <c r="D1871" i="9" a="1"/>
  <c r="D1871" i="9" s="1"/>
  <c r="E1871" i="9" s="1"/>
  <c r="F1871" i="9" s="1"/>
  <c r="D1216" i="9" a="1"/>
  <c r="D1216" i="9" s="1"/>
  <c r="E1216" i="9" s="1"/>
  <c r="F1216" i="9" s="1"/>
  <c r="D1093" i="9" a="1"/>
  <c r="D1093" i="9" s="1"/>
  <c r="E1093" i="9" s="1"/>
  <c r="F1093" i="9" s="1"/>
  <c r="D1057" i="9" a="1"/>
  <c r="D1057" i="9" s="1"/>
  <c r="E1057" i="9" s="1"/>
  <c r="F1057" i="9" s="1"/>
  <c r="D685" i="9" a="1"/>
  <c r="D685" i="9" s="1"/>
  <c r="E685" i="9" s="1"/>
  <c r="F685" i="9" s="1"/>
  <c r="D807" i="9" a="1"/>
  <c r="D807" i="9" s="1"/>
  <c r="E807" i="9" s="1"/>
  <c r="F807" i="9" s="1"/>
  <c r="D950" i="9" a="1"/>
  <c r="D950" i="9" s="1"/>
  <c r="E950" i="9" s="1"/>
  <c r="F950" i="9" s="1"/>
  <c r="D1094" i="9" a="1"/>
  <c r="D1094" i="9" s="1"/>
  <c r="E1094" i="9" s="1"/>
  <c r="F1094" i="9" s="1"/>
  <c r="D597" i="9" a="1"/>
  <c r="D597" i="9" s="1"/>
  <c r="E597" i="9" s="1"/>
  <c r="F597" i="9" s="1"/>
  <c r="D892" i="9" a="1"/>
  <c r="D892" i="9" s="1"/>
  <c r="E892" i="9" s="1"/>
  <c r="F892" i="9" s="1"/>
  <c r="D1035" i="9" a="1"/>
  <c r="D1035" i="9" s="1"/>
  <c r="E1035" i="9" s="1"/>
  <c r="F1035" i="9" s="1"/>
  <c r="D1179" i="9" a="1"/>
  <c r="D1179" i="9" s="1"/>
  <c r="E1179" i="9" s="1"/>
  <c r="F1179" i="9" s="1"/>
  <c r="D573" i="9" a="1"/>
  <c r="D573" i="9" s="1"/>
  <c r="E573" i="9" s="1"/>
  <c r="F573" i="9" s="1"/>
  <c r="D765" i="9" a="1"/>
  <c r="D765" i="9" s="1"/>
  <c r="E765" i="9" s="1"/>
  <c r="F765" i="9" s="1"/>
  <c r="D881" i="9" a="1"/>
  <c r="D881" i="9" s="1"/>
  <c r="E881" i="9" s="1"/>
  <c r="F881" i="9" s="1"/>
  <c r="D1024" i="9" a="1"/>
  <c r="D1024" i="9" s="1"/>
  <c r="E1024" i="9" s="1"/>
  <c r="F1024" i="9" s="1"/>
  <c r="D1168" i="9" a="1"/>
  <c r="D1168" i="9" s="1"/>
  <c r="E1168" i="9" s="1"/>
  <c r="F1168" i="9" s="1"/>
  <c r="D690" i="9" a="1"/>
  <c r="D690" i="9" s="1"/>
  <c r="E690" i="9" s="1"/>
  <c r="F690" i="9" s="1"/>
  <c r="D810" i="9" a="1"/>
  <c r="D810" i="9" s="1"/>
  <c r="E810" i="9" s="1"/>
  <c r="F810" i="9" s="1"/>
  <c r="D953" i="9" a="1"/>
  <c r="D953" i="9" s="1"/>
  <c r="E953" i="9" s="1"/>
  <c r="F953" i="9" s="1"/>
  <c r="D1097" i="9" a="1"/>
  <c r="D1097" i="9" s="1"/>
  <c r="E1097" i="9" s="1"/>
  <c r="F1097" i="9" s="1"/>
  <c r="D601" i="9" a="1"/>
  <c r="D601" i="9" s="1"/>
  <c r="E601" i="9" s="1"/>
  <c r="F601" i="9" s="1"/>
  <c r="D772" i="9" a="1"/>
  <c r="D772" i="9" s="1"/>
  <c r="E772" i="9" s="1"/>
  <c r="F772" i="9" s="1"/>
  <c r="D895" i="9" a="1"/>
  <c r="D895" i="9" s="1"/>
  <c r="E895" i="9" s="1"/>
  <c r="F895" i="9" s="1"/>
  <c r="D1038" i="9" a="1"/>
  <c r="D1038" i="9" s="1"/>
  <c r="E1038" i="9" s="1"/>
  <c r="F1038" i="9" s="1"/>
  <c r="D1182" i="9" a="1"/>
  <c r="D1182" i="9" s="1"/>
  <c r="E1182" i="9" s="1"/>
  <c r="F1182" i="9" s="1"/>
  <c r="D1326" i="9" a="1"/>
  <c r="D1326" i="9" s="1"/>
  <c r="E1326" i="9" s="1"/>
  <c r="F1326" i="9" s="1"/>
  <c r="D1470" i="9" a="1"/>
  <c r="D1470" i="9" s="1"/>
  <c r="E1470" i="9" s="1"/>
  <c r="F1470" i="9" s="1"/>
  <c r="D581" i="9" a="1"/>
  <c r="D581" i="9" s="1"/>
  <c r="E581" i="9" s="1"/>
  <c r="F581" i="9" s="1"/>
  <c r="D884" i="9" a="1"/>
  <c r="D884" i="9" s="1"/>
  <c r="E884" i="9" s="1"/>
  <c r="F884" i="9" s="1"/>
  <c r="D1027" i="9" a="1"/>
  <c r="D1027" i="9" s="1"/>
  <c r="E1027" i="9" s="1"/>
  <c r="F1027" i="9" s="1"/>
  <c r="D1171" i="9" a="1"/>
  <c r="D1171" i="9" s="1"/>
  <c r="E1171" i="9" s="1"/>
  <c r="F1171" i="9" s="1"/>
  <c r="D1315" i="9" a="1"/>
  <c r="D1315" i="9" s="1"/>
  <c r="E1315" i="9" s="1"/>
  <c r="F1315" i="9" s="1"/>
  <c r="D1459" i="9" a="1"/>
  <c r="D1459" i="9" s="1"/>
  <c r="E1459" i="9" s="1"/>
  <c r="F1459" i="9" s="1"/>
  <c r="D560" i="9" a="1"/>
  <c r="D560" i="9" s="1"/>
  <c r="E560" i="9" s="1"/>
  <c r="F560" i="9" s="1"/>
  <c r="D761" i="9" a="1"/>
  <c r="D761" i="9" s="1"/>
  <c r="E761" i="9" s="1"/>
  <c r="F761" i="9" s="1"/>
  <c r="D873" i="9" a="1"/>
  <c r="D873" i="9" s="1"/>
  <c r="E873" i="9" s="1"/>
  <c r="F873" i="9" s="1"/>
  <c r="D1297" i="9" a="1"/>
  <c r="D1297" i="9" s="1"/>
  <c r="E1297" i="9" s="1"/>
  <c r="F1297" i="9" s="1"/>
  <c r="D2108" i="9" a="1"/>
  <c r="D2108" i="9" s="1"/>
  <c r="E2108" i="9" s="1"/>
  <c r="F2108" i="9" s="1"/>
  <c r="D1605" i="9" a="1"/>
  <c r="D1605" i="9" s="1"/>
  <c r="E1605" i="9" s="1"/>
  <c r="F1605" i="9" s="1"/>
  <c r="D1845" i="9" a="1"/>
  <c r="D1845" i="9" s="1"/>
  <c r="E1845" i="9" s="1"/>
  <c r="F1845" i="9" s="1"/>
  <c r="D2025" i="9" a="1"/>
  <c r="D2025" i="9" s="1"/>
  <c r="E2025" i="9" s="1"/>
  <c r="F2025" i="9" s="1"/>
  <c r="D2229" i="9" a="1"/>
  <c r="D2229" i="9" s="1"/>
  <c r="E2229" i="9" s="1"/>
  <c r="F2229" i="9" s="1"/>
  <c r="D1353" i="9" a="1"/>
  <c r="D1353" i="9" s="1"/>
  <c r="E1353" i="9" s="1"/>
  <c r="F1353" i="9" s="1"/>
  <c r="D1570" i="9" a="1"/>
  <c r="D1570" i="9" s="1"/>
  <c r="E1570" i="9" s="1"/>
  <c r="F1570" i="9" s="1"/>
  <c r="D1726" i="9" a="1"/>
  <c r="D1726" i="9" s="1"/>
  <c r="E1726" i="9" s="1"/>
  <c r="F1726" i="9" s="1"/>
  <c r="D1882" i="9" a="1"/>
  <c r="D1882" i="9" s="1"/>
  <c r="E1882" i="9" s="1"/>
  <c r="F1882" i="9" s="1"/>
  <c r="D1372" i="9" a="1"/>
  <c r="D1372" i="9" s="1"/>
  <c r="E1372" i="9" s="1"/>
  <c r="F1372" i="9" s="1"/>
  <c r="D1583" i="9" a="1"/>
  <c r="D1583" i="9" s="1"/>
  <c r="E1583" i="9" s="1"/>
  <c r="F1583" i="9" s="1"/>
  <c r="D1739" i="9" a="1"/>
  <c r="D1739" i="9" s="1"/>
  <c r="E1739" i="9" s="1"/>
  <c r="F1739" i="9" s="1"/>
  <c r="D1357" i="9" a="1"/>
  <c r="D1357" i="9" s="1"/>
  <c r="E1357" i="9" s="1"/>
  <c r="F1357" i="9" s="1"/>
  <c r="D1560" i="9" a="1"/>
  <c r="D1560" i="9" s="1"/>
  <c r="E1560" i="9" s="1"/>
  <c r="F1560" i="9" s="1"/>
  <c r="D1704" i="9" a="1"/>
  <c r="D1704" i="9" s="1"/>
  <c r="E1704" i="9" s="1"/>
  <c r="F1704" i="9" s="1"/>
  <c r="D1848" i="9" a="1"/>
  <c r="D1848" i="9" s="1"/>
  <c r="E1848" i="9" s="1"/>
  <c r="F1848" i="9" s="1"/>
  <c r="D1992" i="9" a="1"/>
  <c r="D1992" i="9" s="1"/>
  <c r="E1992" i="9" s="1"/>
  <c r="F1992" i="9" s="1"/>
  <c r="D1394" i="9" a="1"/>
  <c r="D1394" i="9" s="1"/>
  <c r="E1394" i="9" s="1"/>
  <c r="F1394" i="9" s="1"/>
  <c r="D1585" i="9" a="1"/>
  <c r="D1585" i="9" s="1"/>
  <c r="E1585" i="9" s="1"/>
  <c r="F1585" i="9" s="1"/>
  <c r="D1729" i="9" a="1"/>
  <c r="D1729" i="9" s="1"/>
  <c r="E1729" i="9" s="1"/>
  <c r="F1729" i="9" s="1"/>
  <c r="D1873" i="9" a="1"/>
  <c r="D1873" i="9" s="1"/>
  <c r="E1873" i="9" s="1"/>
  <c r="F1873" i="9" s="1"/>
  <c r="D2017" i="9" a="1"/>
  <c r="D2017" i="9" s="1"/>
  <c r="E2017" i="9" s="1"/>
  <c r="F2017" i="9" s="1"/>
  <c r="D1927" i="9" a="1"/>
  <c r="D1927" i="9" s="1"/>
  <c r="E1927" i="9" s="1"/>
  <c r="F1927" i="9" s="1"/>
  <c r="D2014" i="9" a="1"/>
  <c r="D2014" i="9" s="1"/>
  <c r="E2014" i="9" s="1"/>
  <c r="F2014" i="9" s="1"/>
  <c r="D1189" i="9" a="1"/>
  <c r="D1189" i="9" s="1"/>
  <c r="E1189" i="9" s="1"/>
  <c r="F1189" i="9" s="1"/>
  <c r="D182" i="9" a="1"/>
  <c r="D182" i="9" s="1"/>
  <c r="E182" i="9" s="1"/>
  <c r="F182" i="9" s="1"/>
  <c r="D702" i="9" a="1"/>
  <c r="D702" i="9" s="1"/>
  <c r="E702" i="9" s="1"/>
  <c r="F702" i="9" s="1"/>
  <c r="D819" i="9" a="1"/>
  <c r="D819" i="9" s="1"/>
  <c r="E819" i="9" s="1"/>
  <c r="F819" i="9" s="1"/>
  <c r="D962" i="9" a="1"/>
  <c r="D962" i="9" s="1"/>
  <c r="E962" i="9" s="1"/>
  <c r="F962" i="9" s="1"/>
  <c r="D1106" i="9" a="1"/>
  <c r="D1106" i="9" s="1"/>
  <c r="E1106" i="9" s="1"/>
  <c r="F1106" i="9" s="1"/>
  <c r="D618" i="9" a="1"/>
  <c r="D618" i="9" s="1"/>
  <c r="E618" i="9" s="1"/>
  <c r="F618" i="9" s="1"/>
  <c r="D903" i="9" a="1"/>
  <c r="D903" i="9" s="1"/>
  <c r="E903" i="9" s="1"/>
  <c r="F903" i="9" s="1"/>
  <c r="D1047" i="9" a="1"/>
  <c r="D1047" i="9" s="1"/>
  <c r="E1047" i="9" s="1"/>
  <c r="F1047" i="9" s="1"/>
  <c r="D1191" i="9" a="1"/>
  <c r="D1191" i="9" s="1"/>
  <c r="E1191" i="9" s="1"/>
  <c r="F1191" i="9" s="1"/>
  <c r="D599" i="9" a="1"/>
  <c r="D599" i="9" s="1"/>
  <c r="E599" i="9" s="1"/>
  <c r="F599" i="9" s="1"/>
  <c r="D771" i="9" a="1"/>
  <c r="D771" i="9" s="1"/>
  <c r="E771" i="9" s="1"/>
  <c r="F771" i="9" s="1"/>
  <c r="D893" i="9" a="1"/>
  <c r="D893" i="9" s="1"/>
  <c r="E893" i="9" s="1"/>
  <c r="F893" i="9" s="1"/>
  <c r="D1036" i="9" a="1"/>
  <c r="D1036" i="9" s="1"/>
  <c r="E1036" i="9" s="1"/>
  <c r="F1036" i="9" s="1"/>
  <c r="D231" i="9" a="1"/>
  <c r="D231" i="9" s="1"/>
  <c r="E231" i="9" s="1"/>
  <c r="F231" i="9" s="1"/>
  <c r="D707" i="9" a="1"/>
  <c r="D707" i="9" s="1"/>
  <c r="E707" i="9" s="1"/>
  <c r="F707" i="9" s="1"/>
  <c r="D822" i="9" a="1"/>
  <c r="D822" i="9" s="1"/>
  <c r="E822" i="9" s="1"/>
  <c r="F822" i="9" s="1"/>
  <c r="D965" i="9" a="1"/>
  <c r="D965" i="9" s="1"/>
  <c r="E965" i="9" s="1"/>
  <c r="F965" i="9" s="1"/>
  <c r="D1109" i="9" a="1"/>
  <c r="D1109" i="9" s="1"/>
  <c r="E1109" i="9" s="1"/>
  <c r="F1109" i="9" s="1"/>
  <c r="D622" i="9" a="1"/>
  <c r="D622" i="9" s="1"/>
  <c r="E622" i="9" s="1"/>
  <c r="F622" i="9" s="1"/>
  <c r="D778" i="9" a="1"/>
  <c r="D778" i="9" s="1"/>
  <c r="E778" i="9" s="1"/>
  <c r="F778" i="9" s="1"/>
  <c r="D906" i="9" a="1"/>
  <c r="D906" i="9" s="1"/>
  <c r="E906" i="9" s="1"/>
  <c r="F906" i="9" s="1"/>
  <c r="D1050" i="9" a="1"/>
  <c r="D1050" i="9" s="1"/>
  <c r="E1050" i="9" s="1"/>
  <c r="F1050" i="9" s="1"/>
  <c r="D1194" i="9" a="1"/>
  <c r="D1194" i="9" s="1"/>
  <c r="E1194" i="9" s="1"/>
  <c r="F1194" i="9" s="1"/>
  <c r="D1338" i="9" a="1"/>
  <c r="D1338" i="9" s="1"/>
  <c r="E1338" i="9" s="1"/>
  <c r="F1338" i="9" s="1"/>
  <c r="D1482" i="9" a="1"/>
  <c r="D1482" i="9" s="1"/>
  <c r="E1482" i="9" s="1"/>
  <c r="F1482" i="9" s="1"/>
  <c r="D603" i="9" a="1"/>
  <c r="D603" i="9" s="1"/>
  <c r="E603" i="9" s="1"/>
  <c r="F603" i="9" s="1"/>
  <c r="D896" i="9" a="1"/>
  <c r="D896" i="9" s="1"/>
  <c r="E896" i="9" s="1"/>
  <c r="F896" i="9" s="1"/>
  <c r="D1039" i="9" a="1"/>
  <c r="D1039" i="9" s="1"/>
  <c r="E1039" i="9" s="1"/>
  <c r="F1039" i="9" s="1"/>
  <c r="D1183" i="9" a="1"/>
  <c r="D1183" i="9" s="1"/>
  <c r="E1183" i="9" s="1"/>
  <c r="F1183" i="9" s="1"/>
  <c r="D1327" i="9" a="1"/>
  <c r="D1327" i="9" s="1"/>
  <c r="E1327" i="9" s="1"/>
  <c r="F1327" i="9" s="1"/>
  <c r="D1471" i="9" a="1"/>
  <c r="D1471" i="9" s="1"/>
  <c r="E1471" i="9" s="1"/>
  <c r="F1471" i="9" s="1"/>
  <c r="D582" i="9" a="1"/>
  <c r="D582" i="9" s="1"/>
  <c r="E582" i="9" s="1"/>
  <c r="F582" i="9" s="1"/>
  <c r="D767" i="9" a="1"/>
  <c r="D767" i="9" s="1"/>
  <c r="E767" i="9" s="1"/>
  <c r="F767" i="9" s="1"/>
  <c r="D885" i="9" a="1"/>
  <c r="D885" i="9" s="1"/>
  <c r="E885" i="9" s="1"/>
  <c r="F885" i="9" s="1"/>
  <c r="D1028" i="9" a="1"/>
  <c r="D1028" i="9" s="1"/>
  <c r="E1028" i="9" s="1"/>
  <c r="F1028" i="9" s="1"/>
  <c r="D1172" i="9" a="1"/>
  <c r="D1172" i="9" s="1"/>
  <c r="E1172" i="9" s="1"/>
  <c r="F1172" i="9" s="1"/>
  <c r="D694" i="9" a="1"/>
  <c r="D694" i="9" s="1"/>
  <c r="E694" i="9" s="1"/>
  <c r="F694" i="9" s="1"/>
  <c r="D814" i="9" a="1"/>
  <c r="D814" i="9" s="1"/>
  <c r="E814" i="9" s="1"/>
  <c r="F814" i="9" s="1"/>
  <c r="D957" i="9" a="1"/>
  <c r="D957" i="9" s="1"/>
  <c r="E957" i="9" s="1"/>
  <c r="F957" i="9" s="1"/>
  <c r="D1101" i="9" a="1"/>
  <c r="D1101" i="9" s="1"/>
  <c r="E1101" i="9" s="1"/>
  <c r="F1101" i="9" s="1"/>
  <c r="D1245" i="9" a="1"/>
  <c r="D1245" i="9" s="1"/>
  <c r="E1245" i="9" s="1"/>
  <c r="F1245" i="9" s="1"/>
  <c r="D681" i="9" a="1"/>
  <c r="D681" i="9" s="1"/>
  <c r="E681" i="9" s="1"/>
  <c r="F681" i="9" s="1"/>
  <c r="D803" i="9" a="1"/>
  <c r="D803" i="9" s="1"/>
  <c r="E803" i="9" s="1"/>
  <c r="F803" i="9" s="1"/>
  <c r="D946" i="9" a="1"/>
  <c r="D946" i="9" s="1"/>
  <c r="E946" i="9" s="1"/>
  <c r="F946" i="9" s="1"/>
  <c r="D1090" i="9" a="1"/>
  <c r="D1090" i="9" s="1"/>
  <c r="E1090" i="9" s="1"/>
  <c r="F1090" i="9" s="1"/>
  <c r="D1234" i="9" a="1"/>
  <c r="D1234" i="9" s="1"/>
  <c r="E1234" i="9" s="1"/>
  <c r="F1234" i="9" s="1"/>
  <c r="D1378" i="9" a="1"/>
  <c r="D1378" i="9" s="1"/>
  <c r="E1378" i="9" s="1"/>
  <c r="F1378" i="9" s="1"/>
  <c r="D1522" i="9" a="1"/>
  <c r="D1522" i="9" s="1"/>
  <c r="E1522" i="9" s="1"/>
  <c r="F1522" i="9" s="1"/>
  <c r="D682" i="9" a="1"/>
  <c r="D682" i="9" s="1"/>
  <c r="E682" i="9" s="1"/>
  <c r="F682" i="9" s="1"/>
  <c r="D804" i="9" a="1"/>
  <c r="D804" i="9" s="1"/>
  <c r="E804" i="9" s="1"/>
  <c r="F804" i="9" s="1"/>
  <c r="D947" i="9" a="1"/>
  <c r="D947" i="9" s="1"/>
  <c r="E947" i="9" s="1"/>
  <c r="F947" i="9" s="1"/>
  <c r="D1091" i="9" a="1"/>
  <c r="D1091" i="9" s="1"/>
  <c r="E1091" i="9" s="1"/>
  <c r="F1091" i="9" s="1"/>
  <c r="D1235" i="9" a="1"/>
  <c r="D1235" i="9" s="1"/>
  <c r="E1235" i="9" s="1"/>
  <c r="F1235" i="9" s="1"/>
  <c r="D1379" i="9" a="1"/>
  <c r="D1379" i="9" s="1"/>
  <c r="E1379" i="9" s="1"/>
  <c r="F1379" i="9" s="1"/>
  <c r="D299" i="9" a="1"/>
  <c r="D299" i="9" s="1"/>
  <c r="E299" i="9" s="1"/>
  <c r="F299" i="9" s="1"/>
  <c r="D715" i="9" a="1"/>
  <c r="D715" i="9" s="1"/>
  <c r="E715" i="9" s="1"/>
  <c r="F715" i="9" s="1"/>
  <c r="D829" i="9" a="1"/>
  <c r="D829" i="9" s="1"/>
  <c r="E829" i="9" s="1"/>
  <c r="F829" i="9" s="1"/>
  <c r="D972" i="9" a="1"/>
  <c r="D972" i="9" s="1"/>
  <c r="E972" i="9" s="1"/>
  <c r="F972" i="9" s="1"/>
  <c r="D1116" i="9" a="1"/>
  <c r="D1116" i="9" s="1"/>
  <c r="E1116" i="9" s="1"/>
  <c r="F1116" i="9" s="1"/>
  <c r="D1313" i="9" a="1"/>
  <c r="D1313" i="9" s="1"/>
  <c r="E1313" i="9" s="1"/>
  <c r="F1313" i="9" s="1"/>
  <c r="D2228" i="9" a="1"/>
  <c r="D2228" i="9" s="1"/>
  <c r="E2228" i="9" s="1"/>
  <c r="F2228" i="9" s="1"/>
  <c r="D1665" i="9" a="1"/>
  <c r="D1665" i="9" s="1"/>
  <c r="E1665" i="9" s="1"/>
  <c r="F1665" i="9" s="1"/>
  <c r="D1857" i="9" a="1"/>
  <c r="D1857" i="9" s="1"/>
  <c r="E1857" i="9" s="1"/>
  <c r="F1857" i="9" s="1"/>
  <c r="D2037" i="9" a="1"/>
  <c r="D2037" i="9" s="1"/>
  <c r="E2037" i="9" s="1"/>
  <c r="F2037" i="9" s="1"/>
  <c r="D2241" i="9" a="1"/>
  <c r="D2241" i="9" s="1"/>
  <c r="E2241" i="9" s="1"/>
  <c r="F2241" i="9" s="1"/>
  <c r="D1371" i="9" a="1"/>
  <c r="D1371" i="9" s="1"/>
  <c r="E1371" i="9" s="1"/>
  <c r="F1371" i="9" s="1"/>
  <c r="D1582" i="9" a="1"/>
  <c r="D1582" i="9" s="1"/>
  <c r="E1582" i="9" s="1"/>
  <c r="F1582" i="9" s="1"/>
  <c r="D1738" i="9" a="1"/>
  <c r="D1738" i="9" s="1"/>
  <c r="E1738" i="9" s="1"/>
  <c r="F1738" i="9" s="1"/>
  <c r="D1894" i="9" a="1"/>
  <c r="D1894" i="9" s="1"/>
  <c r="E1894" i="9" s="1"/>
  <c r="F1894" i="9" s="1"/>
  <c r="D1392" i="9" a="1"/>
  <c r="D1392" i="9" s="1"/>
  <c r="E1392" i="9" s="1"/>
  <c r="F1392" i="9" s="1"/>
  <c r="D1595" i="9" a="1"/>
  <c r="D1595" i="9" s="1"/>
  <c r="E1595" i="9" s="1"/>
  <c r="F1595" i="9" s="1"/>
  <c r="D1751" i="9" a="1"/>
  <c r="D1751" i="9" s="1"/>
  <c r="E1751" i="9" s="1"/>
  <c r="F1751" i="9" s="1"/>
  <c r="D1373" i="9" a="1"/>
  <c r="D1373" i="9" s="1"/>
  <c r="E1373" i="9" s="1"/>
  <c r="F1373" i="9" s="1"/>
  <c r="D1572" i="9" a="1"/>
  <c r="D1572" i="9" s="1"/>
  <c r="E1572" i="9" s="1"/>
  <c r="F1572" i="9" s="1"/>
  <c r="D1716" i="9" a="1"/>
  <c r="D1716" i="9" s="1"/>
  <c r="E1716" i="9" s="1"/>
  <c r="F1716" i="9" s="1"/>
  <c r="D1860" i="9" a="1"/>
  <c r="D1860" i="9" s="1"/>
  <c r="E1860" i="9" s="1"/>
  <c r="F1860" i="9" s="1"/>
  <c r="D2004" i="9" a="1"/>
  <c r="D2004" i="9" s="1"/>
  <c r="E2004" i="9" s="1"/>
  <c r="F2004" i="9" s="1"/>
  <c r="D1412" i="9" a="1"/>
  <c r="D1412" i="9" s="1"/>
  <c r="E1412" i="9" s="1"/>
  <c r="F1412" i="9" s="1"/>
  <c r="D1597" i="9" a="1"/>
  <c r="D1597" i="9" s="1"/>
  <c r="E1597" i="9" s="1"/>
  <c r="F1597" i="9" s="1"/>
  <c r="D1741" i="9" a="1"/>
  <c r="D1741" i="9" s="1"/>
  <c r="E1741" i="9" s="1"/>
  <c r="F1741" i="9" s="1"/>
  <c r="D1885" i="9" a="1"/>
  <c r="D1885" i="9" s="1"/>
  <c r="E1885" i="9" s="1"/>
  <c r="F1885" i="9" s="1"/>
  <c r="D2029" i="9" a="1"/>
  <c r="D2029" i="9" s="1"/>
  <c r="E2029" i="9" s="1"/>
  <c r="F2029" i="9" s="1"/>
  <c r="D1987" i="9" a="1"/>
  <c r="D1987" i="9" s="1"/>
  <c r="E1987" i="9" s="1"/>
  <c r="F1987" i="9" s="1"/>
  <c r="D1963" i="9" a="1"/>
  <c r="D1963" i="9" s="1"/>
  <c r="E1963" i="9" s="1"/>
  <c r="F1963" i="9" s="1"/>
  <c r="D1117" i="9" a="1"/>
  <c r="D1117" i="9" s="1"/>
  <c r="E1117" i="9" s="1"/>
  <c r="F1117" i="9" s="1"/>
  <c r="D1281" i="9" a="1"/>
  <c r="D1281" i="9" s="1"/>
  <c r="E1281" i="9" s="1"/>
  <c r="F1281" i="9" s="1"/>
  <c r="D323" i="9" a="1"/>
  <c r="D323" i="9" s="1"/>
  <c r="E323" i="9" s="1"/>
  <c r="F323" i="9" s="1"/>
  <c r="D717" i="9" a="1"/>
  <c r="D717" i="9" s="1"/>
  <c r="E717" i="9" s="1"/>
  <c r="F717" i="9" s="1"/>
  <c r="D831" i="9" a="1"/>
  <c r="D831" i="9" s="1"/>
  <c r="E831" i="9" s="1"/>
  <c r="F831" i="9" s="1"/>
  <c r="D974" i="9" a="1"/>
  <c r="D974" i="9" s="1"/>
  <c r="E974" i="9" s="1"/>
  <c r="F974" i="9" s="1"/>
  <c r="D1118" i="9" a="1"/>
  <c r="D1118" i="9" s="1"/>
  <c r="E1118" i="9" s="1"/>
  <c r="F1118" i="9" s="1"/>
  <c r="D637" i="9" a="1"/>
  <c r="D637" i="9" s="1"/>
  <c r="E637" i="9" s="1"/>
  <c r="F637" i="9" s="1"/>
  <c r="D915" i="9" a="1"/>
  <c r="D915" i="9" s="1"/>
  <c r="E915" i="9" s="1"/>
  <c r="F915" i="9" s="1"/>
  <c r="D1059" i="9" a="1"/>
  <c r="D1059" i="9" s="1"/>
  <c r="E1059" i="9" s="1"/>
  <c r="F1059" i="9" s="1"/>
  <c r="D1203" i="9" a="1"/>
  <c r="D1203" i="9" s="1"/>
  <c r="E1203" i="9" s="1"/>
  <c r="F1203" i="9" s="1"/>
  <c r="D619" i="9" a="1"/>
  <c r="D619" i="9" s="1"/>
  <c r="E619" i="9" s="1"/>
  <c r="F619" i="9" s="1"/>
  <c r="D777" i="9" a="1"/>
  <c r="D777" i="9" s="1"/>
  <c r="E777" i="9" s="1"/>
  <c r="F777" i="9" s="1"/>
  <c r="D904" i="9" a="1"/>
  <c r="D904" i="9" s="1"/>
  <c r="E904" i="9" s="1"/>
  <c r="F904" i="9" s="1"/>
  <c r="D1048" i="9" a="1"/>
  <c r="D1048" i="9" s="1"/>
  <c r="E1048" i="9" s="1"/>
  <c r="F1048" i="9" s="1"/>
  <c r="D384" i="9" a="1"/>
  <c r="D384" i="9" s="1"/>
  <c r="E384" i="9" s="1"/>
  <c r="F384" i="9" s="1"/>
  <c r="D720" i="9" a="1"/>
  <c r="D720" i="9" s="1"/>
  <c r="E720" i="9" s="1"/>
  <c r="F720" i="9" s="1"/>
  <c r="D834" i="9" a="1"/>
  <c r="D834" i="9" s="1"/>
  <c r="E834" i="9" s="1"/>
  <c r="F834" i="9" s="1"/>
  <c r="D977" i="9" a="1"/>
  <c r="D977" i="9" s="1"/>
  <c r="E977" i="9" s="1"/>
  <c r="F977" i="9" s="1"/>
  <c r="D1121" i="9" a="1"/>
  <c r="D1121" i="9" s="1"/>
  <c r="E1121" i="9" s="1"/>
  <c r="F1121" i="9" s="1"/>
  <c r="D640" i="9" a="1"/>
  <c r="D640" i="9" s="1"/>
  <c r="E640" i="9" s="1"/>
  <c r="F640" i="9" s="1"/>
  <c r="D784" i="9" a="1"/>
  <c r="D784" i="9" s="1"/>
  <c r="E784" i="9" s="1"/>
  <c r="F784" i="9" s="1"/>
  <c r="D918" i="9" a="1"/>
  <c r="D918" i="9" s="1"/>
  <c r="E918" i="9" s="1"/>
  <c r="F918" i="9" s="1"/>
  <c r="D1062" i="9" a="1"/>
  <c r="D1062" i="9" s="1"/>
  <c r="E1062" i="9" s="1"/>
  <c r="F1062" i="9" s="1"/>
  <c r="D1206" i="9" a="1"/>
  <c r="D1206" i="9" s="1"/>
  <c r="E1206" i="9" s="1"/>
  <c r="F1206" i="9" s="1"/>
  <c r="D1350" i="9" a="1"/>
  <c r="D1350" i="9" s="1"/>
  <c r="E1350" i="9" s="1"/>
  <c r="F1350" i="9" s="1"/>
  <c r="D1494" i="9" a="1"/>
  <c r="D1494" i="9" s="1"/>
  <c r="E1494" i="9" s="1"/>
  <c r="F1494" i="9" s="1"/>
  <c r="D625" i="9" a="1"/>
  <c r="D625" i="9" s="1"/>
  <c r="E625" i="9" s="1"/>
  <c r="F625" i="9" s="1"/>
  <c r="D907" i="9" a="1"/>
  <c r="D907" i="9" s="1"/>
  <c r="E907" i="9" s="1"/>
  <c r="F907" i="9" s="1"/>
  <c r="D1051" i="9" a="1"/>
  <c r="D1051" i="9" s="1"/>
  <c r="E1051" i="9" s="1"/>
  <c r="F1051" i="9" s="1"/>
  <c r="D1195" i="9" a="1"/>
  <c r="D1195" i="9" s="1"/>
  <c r="E1195" i="9" s="1"/>
  <c r="F1195" i="9" s="1"/>
  <c r="D1339" i="9" a="1"/>
  <c r="D1339" i="9" s="1"/>
  <c r="E1339" i="9" s="1"/>
  <c r="F1339" i="9" s="1"/>
  <c r="D1483" i="9" a="1"/>
  <c r="D1483" i="9" s="1"/>
  <c r="E1483" i="9" s="1"/>
  <c r="F1483" i="9" s="1"/>
  <c r="D606" i="9" a="1"/>
  <c r="D606" i="9" s="1"/>
  <c r="E606" i="9" s="1"/>
  <c r="F606" i="9" s="1"/>
  <c r="D773" i="9" a="1"/>
  <c r="D773" i="9" s="1"/>
  <c r="E773" i="9" s="1"/>
  <c r="F773" i="9" s="1"/>
  <c r="D1004" i="9" a="1"/>
  <c r="D1004" i="9" s="1"/>
  <c r="E1004" i="9" s="1"/>
  <c r="F1004" i="9" s="1"/>
  <c r="D1148" i="9" a="1"/>
  <c r="D1148" i="9" s="1"/>
  <c r="E1148" i="9" s="1"/>
  <c r="F1148" i="9" s="1"/>
  <c r="D271" i="9" a="1"/>
  <c r="D271" i="9" s="1"/>
  <c r="E271" i="9" s="1"/>
  <c r="F271" i="9" s="1"/>
  <c r="D711" i="9" a="1"/>
  <c r="D711" i="9" s="1"/>
  <c r="E711" i="9" s="1"/>
  <c r="F711" i="9" s="1"/>
  <c r="D826" i="9" a="1"/>
  <c r="D826" i="9" s="1"/>
  <c r="E826" i="9" s="1"/>
  <c r="F826" i="9" s="1"/>
  <c r="D969" i="9" a="1"/>
  <c r="D969" i="9" s="1"/>
  <c r="E969" i="9" s="1"/>
  <c r="F969" i="9" s="1"/>
  <c r="D1113" i="9" a="1"/>
  <c r="D1113" i="9" s="1"/>
  <c r="E1113" i="9" s="1"/>
  <c r="F1113" i="9" s="1"/>
  <c r="D1257" i="9" a="1"/>
  <c r="D1257" i="9" s="1"/>
  <c r="E1257" i="9" s="1"/>
  <c r="F1257" i="9" s="1"/>
  <c r="D698" i="9" a="1"/>
  <c r="D698" i="9" s="1"/>
  <c r="E698" i="9" s="1"/>
  <c r="F698" i="9" s="1"/>
  <c r="D815" i="9" a="1"/>
  <c r="D815" i="9" s="1"/>
  <c r="E815" i="9" s="1"/>
  <c r="F815" i="9" s="1"/>
  <c r="D958" i="9" a="1"/>
  <c r="D958" i="9" s="1"/>
  <c r="E958" i="9" s="1"/>
  <c r="F958" i="9" s="1"/>
  <c r="D1102" i="9" a="1"/>
  <c r="D1102" i="9" s="1"/>
  <c r="E1102" i="9" s="1"/>
  <c r="F1102" i="9" s="1"/>
  <c r="D1246" i="9" a="1"/>
  <c r="D1246" i="9" s="1"/>
  <c r="E1246" i="9" s="1"/>
  <c r="F1246" i="9" s="1"/>
  <c r="D1390" i="9" a="1"/>
  <c r="D1390" i="9" s="1"/>
  <c r="E1390" i="9" s="1"/>
  <c r="F1390" i="9" s="1"/>
  <c r="D1534" i="9" a="1"/>
  <c r="D1534" i="9" s="1"/>
  <c r="E1534" i="9" s="1"/>
  <c r="F1534" i="9" s="1"/>
  <c r="D699" i="9" a="1"/>
  <c r="D699" i="9" s="1"/>
  <c r="E699" i="9" s="1"/>
  <c r="F699" i="9" s="1"/>
  <c r="D816" i="9" a="1"/>
  <c r="D816" i="9" s="1"/>
  <c r="E816" i="9" s="1"/>
  <c r="F816" i="9" s="1"/>
  <c r="D959" i="9" a="1"/>
  <c r="D959" i="9" s="1"/>
  <c r="E959" i="9" s="1"/>
  <c r="F959" i="9" s="1"/>
  <c r="D1103" i="9" a="1"/>
  <c r="D1103" i="9" s="1"/>
  <c r="E1103" i="9" s="1"/>
  <c r="F1103" i="9" s="1"/>
  <c r="D1247" i="9" a="1"/>
  <c r="D1247" i="9" s="1"/>
  <c r="E1247" i="9" s="1"/>
  <c r="F1247" i="9" s="1"/>
  <c r="D1391" i="9" a="1"/>
  <c r="D1391" i="9" s="1"/>
  <c r="E1391" i="9" s="1"/>
  <c r="F1391" i="9" s="1"/>
  <c r="D449" i="9" a="1"/>
  <c r="D449" i="9" s="1"/>
  <c r="E449" i="9" s="1"/>
  <c r="F449" i="9" s="1"/>
  <c r="D1512" i="9" a="1"/>
  <c r="D1512" i="9" s="1"/>
  <c r="E1512" i="9" s="1"/>
  <c r="F1512" i="9" s="1"/>
  <c r="D2240" i="9" a="1"/>
  <c r="D2240" i="9" s="1"/>
  <c r="E2240" i="9" s="1"/>
  <c r="F2240" i="9" s="1"/>
  <c r="D1677" i="9" a="1"/>
  <c r="D1677" i="9" s="1"/>
  <c r="E1677" i="9" s="1"/>
  <c r="F1677" i="9" s="1"/>
  <c r="D1869" i="9" a="1"/>
  <c r="D1869" i="9" s="1"/>
  <c r="E1869" i="9" s="1"/>
  <c r="F1869" i="9" s="1"/>
  <c r="D2085" i="9" a="1"/>
  <c r="D2085" i="9" s="1"/>
  <c r="E2085" i="9" s="1"/>
  <c r="F2085" i="9" s="1"/>
  <c r="D2253" i="9" a="1"/>
  <c r="D2253" i="9" s="1"/>
  <c r="E2253" i="9" s="1"/>
  <c r="F2253" i="9" s="1"/>
  <c r="D1389" i="9" a="1"/>
  <c r="D1389" i="9" s="1"/>
  <c r="E1389" i="9" s="1"/>
  <c r="F1389" i="9" s="1"/>
  <c r="D1594" i="9" a="1"/>
  <c r="D1594" i="9" s="1"/>
  <c r="E1594" i="9" s="1"/>
  <c r="F1594" i="9" s="1"/>
  <c r="D1750" i="9" a="1"/>
  <c r="D1750" i="9" s="1"/>
  <c r="E1750" i="9" s="1"/>
  <c r="F1750" i="9" s="1"/>
  <c r="D1906" i="9" a="1"/>
  <c r="D1906" i="9" s="1"/>
  <c r="E1906" i="9" s="1"/>
  <c r="F1906" i="9" s="1"/>
  <c r="D1408" i="9" a="1"/>
  <c r="D1408" i="9" s="1"/>
  <c r="E1408" i="9" s="1"/>
  <c r="F1408" i="9" s="1"/>
  <c r="D1619" i="9" a="1"/>
  <c r="D1619" i="9" s="1"/>
  <c r="E1619" i="9" s="1"/>
  <c r="F1619" i="9" s="1"/>
  <c r="D1763" i="9" a="1"/>
  <c r="D1763" i="9" s="1"/>
  <c r="E1763" i="9" s="1"/>
  <c r="F1763" i="9" s="1"/>
  <c r="D1393" i="9" a="1"/>
  <c r="D1393" i="9" s="1"/>
  <c r="E1393" i="9" s="1"/>
  <c r="F1393" i="9" s="1"/>
  <c r="D1584" i="9" a="1"/>
  <c r="D1584" i="9" s="1"/>
  <c r="E1584" i="9" s="1"/>
  <c r="F1584" i="9" s="1"/>
  <c r="D1728" i="9" a="1"/>
  <c r="D1728" i="9" s="1"/>
  <c r="E1728" i="9" s="1"/>
  <c r="F1728" i="9" s="1"/>
  <c r="D1872" i="9" a="1"/>
  <c r="D1872" i="9" s="1"/>
  <c r="E1872" i="9" s="1"/>
  <c r="F1872" i="9" s="1"/>
  <c r="D2016" i="9" a="1"/>
  <c r="D2016" i="9" s="1"/>
  <c r="E2016" i="9" s="1"/>
  <c r="F2016" i="9" s="1"/>
  <c r="D1430" i="9" a="1"/>
  <c r="D1430" i="9" s="1"/>
  <c r="E1430" i="9" s="1"/>
  <c r="F1430" i="9" s="1"/>
  <c r="D1609" i="9" a="1"/>
  <c r="D1609" i="9" s="1"/>
  <c r="E1609" i="9" s="1"/>
  <c r="F1609" i="9" s="1"/>
  <c r="D1753" i="9" a="1"/>
  <c r="D1753" i="9" s="1"/>
  <c r="E1753" i="9" s="1"/>
  <c r="F1753" i="9" s="1"/>
  <c r="D1897" i="9" a="1"/>
  <c r="D1897" i="9" s="1"/>
  <c r="E1897" i="9" s="1"/>
  <c r="F1897" i="9" s="1"/>
  <c r="D2041" i="9" a="1"/>
  <c r="D2041" i="9" s="1"/>
  <c r="E2041" i="9" s="1"/>
  <c r="F2041" i="9" s="1"/>
  <c r="D1919" i="9" a="1"/>
  <c r="D1919" i="9" s="1"/>
  <c r="E1919" i="9" s="1"/>
  <c r="F1919" i="9" s="1"/>
  <c r="D1859" i="9" a="1"/>
  <c r="D1859" i="9" s="1"/>
  <c r="E1859" i="9" s="1"/>
  <c r="F1859" i="9" s="1"/>
  <c r="D1265" i="9" a="1"/>
  <c r="D1265" i="9" s="1"/>
  <c r="E1265" i="9" s="1"/>
  <c r="F1265" i="9" s="1"/>
  <c r="D1263" i="9" a="1"/>
  <c r="D1263" i="9" s="1"/>
  <c r="E1263" i="9" s="1"/>
  <c r="F1263" i="9" s="1"/>
  <c r="D470" i="9" a="1"/>
  <c r="D470" i="9" s="1"/>
  <c r="E470" i="9" s="1"/>
  <c r="F470" i="9" s="1"/>
  <c r="D730" i="9" a="1"/>
  <c r="D730" i="9" s="1"/>
  <c r="E730" i="9" s="1"/>
  <c r="F730" i="9" s="1"/>
  <c r="D843" i="9" a="1"/>
  <c r="D843" i="9" s="1"/>
  <c r="E843" i="9" s="1"/>
  <c r="F843" i="9" s="1"/>
  <c r="D986" i="9" a="1"/>
  <c r="D986" i="9" s="1"/>
  <c r="E986" i="9" s="1"/>
  <c r="F986" i="9" s="1"/>
  <c r="D1130" i="9" a="1"/>
  <c r="D1130" i="9" s="1"/>
  <c r="E1130" i="9" s="1"/>
  <c r="F1130" i="9" s="1"/>
  <c r="D653" i="9" a="1"/>
  <c r="D653" i="9" s="1"/>
  <c r="E653" i="9" s="1"/>
  <c r="F653" i="9" s="1"/>
  <c r="D927" i="9" a="1"/>
  <c r="D927" i="9" s="1"/>
  <c r="E927" i="9" s="1"/>
  <c r="F927" i="9" s="1"/>
  <c r="D1071" i="9" a="1"/>
  <c r="D1071" i="9" s="1"/>
  <c r="E1071" i="9" s="1"/>
  <c r="F1071" i="9" s="1"/>
  <c r="D1215" i="9" a="1"/>
  <c r="D1215" i="9" s="1"/>
  <c r="E1215" i="9" s="1"/>
  <c r="F1215" i="9" s="1"/>
  <c r="D638" i="9" a="1"/>
  <c r="D638" i="9" s="1"/>
  <c r="E638" i="9" s="1"/>
  <c r="F638" i="9" s="1"/>
  <c r="D783" i="9" a="1"/>
  <c r="D783" i="9" s="1"/>
  <c r="E783" i="9" s="1"/>
  <c r="F783" i="9" s="1"/>
  <c r="D916" i="9" a="1"/>
  <c r="D916" i="9" s="1"/>
  <c r="E916" i="9" s="1"/>
  <c r="F916" i="9" s="1"/>
  <c r="D1060" i="9" a="1"/>
  <c r="D1060" i="9" s="1"/>
  <c r="E1060" i="9" s="1"/>
  <c r="F1060" i="9" s="1"/>
  <c r="D487" i="9" a="1"/>
  <c r="D487" i="9" s="1"/>
  <c r="E487" i="9" s="1"/>
  <c r="F487" i="9" s="1"/>
  <c r="D733" i="9" a="1"/>
  <c r="D733" i="9" s="1"/>
  <c r="E733" i="9" s="1"/>
  <c r="F733" i="9" s="1"/>
  <c r="D846" i="9" a="1"/>
  <c r="D846" i="9" s="1"/>
  <c r="E846" i="9" s="1"/>
  <c r="F846" i="9" s="1"/>
  <c r="D989" i="9" a="1"/>
  <c r="D989" i="9" s="1"/>
  <c r="E989" i="9" s="1"/>
  <c r="F989" i="9" s="1"/>
  <c r="D1133" i="9" a="1"/>
  <c r="D1133" i="9" s="1"/>
  <c r="E1133" i="9" s="1"/>
  <c r="F1133" i="9" s="1"/>
  <c r="D657" i="9" a="1"/>
  <c r="D657" i="9" s="1"/>
  <c r="E657" i="9" s="1"/>
  <c r="F657" i="9" s="1"/>
  <c r="D791" i="9" a="1"/>
  <c r="D791" i="9" s="1"/>
  <c r="E791" i="9" s="1"/>
  <c r="F791" i="9" s="1"/>
  <c r="D930" i="9" a="1"/>
  <c r="D930" i="9" s="1"/>
  <c r="E930" i="9" s="1"/>
  <c r="F930" i="9" s="1"/>
  <c r="D1074" i="9" a="1"/>
  <c r="D1074" i="9" s="1"/>
  <c r="E1074" i="9" s="1"/>
  <c r="F1074" i="9" s="1"/>
  <c r="D1218" i="9" a="1"/>
  <c r="D1218" i="9" s="1"/>
  <c r="E1218" i="9" s="1"/>
  <c r="F1218" i="9" s="1"/>
  <c r="D1362" i="9" a="1"/>
  <c r="D1362" i="9" s="1"/>
  <c r="E1362" i="9" s="1"/>
  <c r="F1362" i="9" s="1"/>
  <c r="D1506" i="9" a="1"/>
  <c r="D1506" i="9" s="1"/>
  <c r="E1506" i="9" s="1"/>
  <c r="F1506" i="9" s="1"/>
  <c r="D642" i="9" a="1"/>
  <c r="D642" i="9" s="1"/>
  <c r="E642" i="9" s="1"/>
  <c r="F642" i="9" s="1"/>
  <c r="D919" i="9" a="1"/>
  <c r="D919" i="9" s="1"/>
  <c r="E919" i="9" s="1"/>
  <c r="F919" i="9" s="1"/>
  <c r="D1063" i="9" a="1"/>
  <c r="D1063" i="9" s="1"/>
  <c r="E1063" i="9" s="1"/>
  <c r="F1063" i="9" s="1"/>
  <c r="D1207" i="9" a="1"/>
  <c r="D1207" i="9" s="1"/>
  <c r="E1207" i="9" s="1"/>
  <c r="F1207" i="9" s="1"/>
  <c r="D1351" i="9" a="1"/>
  <c r="D1351" i="9" s="1"/>
  <c r="E1351" i="9" s="1"/>
  <c r="F1351" i="9" s="1"/>
  <c r="D1495" i="9" a="1"/>
  <c r="D1495" i="9" s="1"/>
  <c r="E1495" i="9" s="1"/>
  <c r="F1495" i="9" s="1"/>
  <c r="D626" i="9" a="1"/>
  <c r="D626" i="9" s="1"/>
  <c r="E626" i="9" s="1"/>
  <c r="F626" i="9" s="1"/>
  <c r="D779" i="9" a="1"/>
  <c r="D779" i="9" s="1"/>
  <c r="E779" i="9" s="1"/>
  <c r="F779" i="9" s="1"/>
  <c r="D908" i="9" a="1"/>
  <c r="D908" i="9" s="1"/>
  <c r="E908" i="9" s="1"/>
  <c r="F908" i="9" s="1"/>
  <c r="D1052" i="9" a="1"/>
  <c r="D1052" i="9" s="1"/>
  <c r="E1052" i="9" s="1"/>
  <c r="F1052" i="9" s="1"/>
  <c r="D427" i="9" a="1"/>
  <c r="D427" i="9" s="1"/>
  <c r="E427" i="9" s="1"/>
  <c r="F427" i="9" s="1"/>
  <c r="D724" i="9" a="1"/>
  <c r="D724" i="9" s="1"/>
  <c r="E724" i="9" s="1"/>
  <c r="F724" i="9" s="1"/>
  <c r="D838" i="9" a="1"/>
  <c r="D838" i="9" s="1"/>
  <c r="E838" i="9" s="1"/>
  <c r="F838" i="9" s="1"/>
  <c r="D981" i="9" a="1"/>
  <c r="D981" i="9" s="1"/>
  <c r="E981" i="9" s="1"/>
  <c r="F981" i="9" s="1"/>
  <c r="D1125" i="9" a="1"/>
  <c r="D1125" i="9" s="1"/>
  <c r="E1125" i="9" s="1"/>
  <c r="F1125" i="9" s="1"/>
  <c r="D281" i="9" a="1"/>
  <c r="D281" i="9" s="1"/>
  <c r="E281" i="9" s="1"/>
  <c r="F281" i="9" s="1"/>
  <c r="D713" i="9" a="1"/>
  <c r="D713" i="9" s="1"/>
  <c r="E713" i="9" s="1"/>
  <c r="F713" i="9" s="1"/>
  <c r="D827" i="9" a="1"/>
  <c r="D827" i="9" s="1"/>
  <c r="E827" i="9" s="1"/>
  <c r="F827" i="9" s="1"/>
  <c r="D970" i="9" a="1"/>
  <c r="D970" i="9" s="1"/>
  <c r="E970" i="9" s="1"/>
  <c r="F970" i="9" s="1"/>
  <c r="D1114" i="9" a="1"/>
  <c r="D1114" i="9" s="1"/>
  <c r="E1114" i="9" s="1"/>
  <c r="F1114" i="9" s="1"/>
  <c r="D1258" i="9" a="1"/>
  <c r="D1258" i="9" s="1"/>
  <c r="E1258" i="9" s="1"/>
  <c r="F1258" i="9" s="1"/>
  <c r="D1402" i="9" a="1"/>
  <c r="D1402" i="9" s="1"/>
  <c r="E1402" i="9" s="1"/>
  <c r="F1402" i="9" s="1"/>
  <c r="D290" i="9" a="1"/>
  <c r="D290" i="9" s="1"/>
  <c r="E290" i="9" s="1"/>
  <c r="F290" i="9" s="1"/>
  <c r="D714" i="9" a="1"/>
  <c r="D714" i="9" s="1"/>
  <c r="E714" i="9" s="1"/>
  <c r="F714" i="9" s="1"/>
  <c r="D828" i="9" a="1"/>
  <c r="D828" i="9" s="1"/>
  <c r="E828" i="9" s="1"/>
  <c r="F828" i="9" s="1"/>
  <c r="D971" i="9" a="1"/>
  <c r="D971" i="9" s="1"/>
  <c r="E971" i="9" s="1"/>
  <c r="F971" i="9" s="1"/>
  <c r="D1115" i="9" a="1"/>
  <c r="D1115" i="9" s="1"/>
  <c r="E1115" i="9" s="1"/>
  <c r="F1115" i="9" s="1"/>
  <c r="D1259" i="9" a="1"/>
  <c r="D1259" i="9" s="1"/>
  <c r="E1259" i="9" s="1"/>
  <c r="F1259" i="9" s="1"/>
  <c r="D1403" i="9" a="1"/>
  <c r="D1403" i="9" s="1"/>
  <c r="E1403" i="9" s="1"/>
  <c r="F1403" i="9" s="1"/>
  <c r="D508" i="9" a="1"/>
  <c r="D508" i="9" s="1"/>
  <c r="E508" i="9" s="1"/>
  <c r="F508" i="9" s="1"/>
  <c r="D1527" i="9" a="1"/>
  <c r="D1527" i="9" s="1"/>
  <c r="E1527" i="9" s="1"/>
  <c r="F1527" i="9" s="1"/>
  <c r="D2252" i="9" a="1"/>
  <c r="D2252" i="9" s="1"/>
  <c r="E2252" i="9" s="1"/>
  <c r="F2252" i="9" s="1"/>
  <c r="D1689" i="9" a="1"/>
  <c r="D1689" i="9" s="1"/>
  <c r="E1689" i="9" s="1"/>
  <c r="F1689" i="9" s="1"/>
  <c r="D1881" i="9" a="1"/>
  <c r="D1881" i="9" s="1"/>
  <c r="E1881" i="9" s="1"/>
  <c r="F1881" i="9" s="1"/>
  <c r="D2097" i="9" a="1"/>
  <c r="D2097" i="9" s="1"/>
  <c r="E2097" i="9" s="1"/>
  <c r="F2097" i="9" s="1"/>
  <c r="D2265" i="9" a="1"/>
  <c r="D2265" i="9" s="1"/>
  <c r="E2265" i="9" s="1"/>
  <c r="F2265" i="9" s="1"/>
  <c r="D1407" i="9" a="1"/>
  <c r="D1407" i="9" s="1"/>
  <c r="E1407" i="9" s="1"/>
  <c r="F1407" i="9" s="1"/>
  <c r="D1606" i="9" a="1"/>
  <c r="D1606" i="9" s="1"/>
  <c r="E1606" i="9" s="1"/>
  <c r="F1606" i="9" s="1"/>
  <c r="D1762" i="9" a="1"/>
  <c r="D1762" i="9" s="1"/>
  <c r="E1762" i="9" s="1"/>
  <c r="F1762" i="9" s="1"/>
  <c r="D1918" i="9" a="1"/>
  <c r="D1918" i="9" s="1"/>
  <c r="E1918" i="9" s="1"/>
  <c r="F1918" i="9" s="1"/>
  <c r="D1444" i="9" a="1"/>
  <c r="D1444" i="9" s="1"/>
  <c r="E1444" i="9" s="1"/>
  <c r="F1444" i="9" s="1"/>
  <c r="D1631" i="9" a="1"/>
  <c r="D1631" i="9" s="1"/>
  <c r="E1631" i="9" s="1"/>
  <c r="F1631" i="9" s="1"/>
  <c r="D1775" i="9" a="1"/>
  <c r="D1775" i="9" s="1"/>
  <c r="E1775" i="9" s="1"/>
  <c r="F1775" i="9" s="1"/>
  <c r="D1409" i="9" a="1"/>
  <c r="D1409" i="9" s="1"/>
  <c r="E1409" i="9" s="1"/>
  <c r="F1409" i="9" s="1"/>
  <c r="D1596" i="9" a="1"/>
  <c r="D1596" i="9" s="1"/>
  <c r="E1596" i="9" s="1"/>
  <c r="F1596" i="9" s="1"/>
  <c r="D1740" i="9" a="1"/>
  <c r="D1740" i="9" s="1"/>
  <c r="E1740" i="9" s="1"/>
  <c r="F1740" i="9" s="1"/>
  <c r="D1884" i="9" a="1"/>
  <c r="D1884" i="9" s="1"/>
  <c r="E1884" i="9" s="1"/>
  <c r="F1884" i="9" s="1"/>
  <c r="D2028" i="9" a="1"/>
  <c r="D2028" i="9" s="1"/>
  <c r="E2028" i="9" s="1"/>
  <c r="F2028" i="9" s="1"/>
  <c r="D1448" i="9" a="1"/>
  <c r="D1448" i="9" s="1"/>
  <c r="E1448" i="9" s="1"/>
  <c r="F1448" i="9" s="1"/>
  <c r="D1621" i="9" a="1"/>
  <c r="D1621" i="9" s="1"/>
  <c r="E1621" i="9" s="1"/>
  <c r="F1621" i="9" s="1"/>
  <c r="D1765" i="9" a="1"/>
  <c r="D1765" i="9" s="1"/>
  <c r="E1765" i="9" s="1"/>
  <c r="F1765" i="9" s="1"/>
  <c r="D1909" i="9" a="1"/>
  <c r="D1909" i="9" s="1"/>
  <c r="E1909" i="9" s="1"/>
  <c r="F1909" i="9" s="1"/>
  <c r="D2053" i="9" a="1"/>
  <c r="D2053" i="9" s="1"/>
  <c r="E2053" i="9" s="1"/>
  <c r="F2053" i="9" s="1"/>
  <c r="D2027" i="9" a="1"/>
  <c r="D2027" i="9" s="1"/>
  <c r="E2027" i="9" s="1"/>
  <c r="F2027" i="9" s="1"/>
  <c r="D1141" i="9" a="1"/>
  <c r="D1141" i="9" s="1"/>
  <c r="E1141" i="9" s="1"/>
  <c r="F1141" i="9" s="1"/>
  <c r="D1241" i="9" a="1"/>
  <c r="D1241" i="9" s="1"/>
  <c r="E1241" i="9" s="1"/>
  <c r="F1241" i="9" s="1"/>
  <c r="D1238" i="9" a="1"/>
  <c r="D1238" i="9" s="1"/>
  <c r="E1238" i="9" s="1"/>
  <c r="F1238" i="9" s="1"/>
  <c r="D518" i="9" a="1"/>
  <c r="D518" i="9" s="1"/>
  <c r="E518" i="9" s="1"/>
  <c r="F518" i="9" s="1"/>
  <c r="D743" i="9" a="1"/>
  <c r="D743" i="9" s="1"/>
  <c r="E743" i="9" s="1"/>
  <c r="F743" i="9" s="1"/>
  <c r="D855" i="9" a="1"/>
  <c r="D855" i="9" s="1"/>
  <c r="E855" i="9" s="1"/>
  <c r="F855" i="9" s="1"/>
  <c r="D998" i="9" a="1"/>
  <c r="D998" i="9" s="1"/>
  <c r="E998" i="9" s="1"/>
  <c r="F998" i="9" s="1"/>
  <c r="D1142" i="9" a="1"/>
  <c r="D1142" i="9" s="1"/>
  <c r="E1142" i="9" s="1"/>
  <c r="F1142" i="9" s="1"/>
  <c r="D672" i="9" a="1"/>
  <c r="D672" i="9" s="1"/>
  <c r="E672" i="9" s="1"/>
  <c r="F672" i="9" s="1"/>
  <c r="D796" i="9" a="1"/>
  <c r="D796" i="9" s="1"/>
  <c r="E796" i="9" s="1"/>
  <c r="F796" i="9" s="1"/>
  <c r="D939" i="9" a="1"/>
  <c r="D939" i="9" s="1"/>
  <c r="E939" i="9" s="1"/>
  <c r="F939" i="9" s="1"/>
  <c r="D1083" i="9" a="1"/>
  <c r="D1083" i="9" s="1"/>
  <c r="E1083" i="9" s="1"/>
  <c r="F1083" i="9" s="1"/>
  <c r="D1227" i="9" a="1"/>
  <c r="D1227" i="9" s="1"/>
  <c r="E1227" i="9" s="1"/>
  <c r="F1227" i="9" s="1"/>
  <c r="D654" i="9" a="1"/>
  <c r="D654" i="9" s="1"/>
  <c r="E654" i="9" s="1"/>
  <c r="F654" i="9" s="1"/>
  <c r="D790" i="9" a="1"/>
  <c r="D790" i="9" s="1"/>
  <c r="E790" i="9" s="1"/>
  <c r="F790" i="9" s="1"/>
  <c r="D928" i="9" a="1"/>
  <c r="D928" i="9" s="1"/>
  <c r="E928" i="9" s="1"/>
  <c r="F928" i="9" s="1"/>
  <c r="D1072" i="9" a="1"/>
  <c r="D1072" i="9" s="1"/>
  <c r="E1072" i="9" s="1"/>
  <c r="F1072" i="9" s="1"/>
  <c r="D526" i="9" a="1"/>
  <c r="D526" i="9" s="1"/>
  <c r="E526" i="9" s="1"/>
  <c r="F526" i="9" s="1"/>
  <c r="D746" i="9" a="1"/>
  <c r="D746" i="9" s="1"/>
  <c r="E746" i="9" s="1"/>
  <c r="F746" i="9" s="1"/>
  <c r="D858" i="9" a="1"/>
  <c r="D858" i="9" s="1"/>
  <c r="E858" i="9" s="1"/>
  <c r="F858" i="9" s="1"/>
  <c r="D1001" i="9" a="1"/>
  <c r="D1001" i="9" s="1"/>
  <c r="E1001" i="9" s="1"/>
  <c r="F1001" i="9" s="1"/>
  <c r="D1145" i="9" a="1"/>
  <c r="D1145" i="9" s="1"/>
  <c r="E1145" i="9" s="1"/>
  <c r="F1145" i="9" s="1"/>
  <c r="D676" i="9" a="1"/>
  <c r="D676" i="9" s="1"/>
  <c r="E676" i="9" s="1"/>
  <c r="F676" i="9" s="1"/>
  <c r="D799" i="9" a="1"/>
  <c r="D799" i="9" s="1"/>
  <c r="E799" i="9" s="1"/>
  <c r="F799" i="9" s="1"/>
  <c r="D942" i="9" a="1"/>
  <c r="D942" i="9" s="1"/>
  <c r="E942" i="9" s="1"/>
  <c r="F942" i="9" s="1"/>
  <c r="D1086" i="9" a="1"/>
  <c r="D1086" i="9" s="1"/>
  <c r="E1086" i="9" s="1"/>
  <c r="F1086" i="9" s="1"/>
  <c r="D1230" i="9" a="1"/>
  <c r="D1230" i="9" s="1"/>
  <c r="E1230" i="9" s="1"/>
  <c r="F1230" i="9" s="1"/>
  <c r="D1374" i="9" a="1"/>
  <c r="D1374" i="9" s="1"/>
  <c r="E1374" i="9" s="1"/>
  <c r="F1374" i="9" s="1"/>
  <c r="D1518" i="9" a="1"/>
  <c r="D1518" i="9" s="1"/>
  <c r="E1518" i="9" s="1"/>
  <c r="F1518" i="9" s="1"/>
  <c r="D658" i="9" a="1"/>
  <c r="D658" i="9" s="1"/>
  <c r="E658" i="9" s="1"/>
  <c r="F658" i="9" s="1"/>
  <c r="D931" i="9" a="1"/>
  <c r="D931" i="9" s="1"/>
  <c r="E931" i="9" s="1"/>
  <c r="F931" i="9" s="1"/>
  <c r="D1075" i="9" a="1"/>
  <c r="D1075" i="9" s="1"/>
  <c r="E1075" i="9" s="1"/>
  <c r="F1075" i="9" s="1"/>
  <c r="D1219" i="9" a="1"/>
  <c r="D1219" i="9" s="1"/>
  <c r="E1219" i="9" s="1"/>
  <c r="F1219" i="9" s="1"/>
  <c r="D1363" i="9" a="1"/>
  <c r="D1363" i="9" s="1"/>
  <c r="E1363" i="9" s="1"/>
  <c r="F1363" i="9" s="1"/>
  <c r="D1507" i="9" a="1"/>
  <c r="D1507" i="9" s="1"/>
  <c r="E1507" i="9" s="1"/>
  <c r="F1507" i="9" s="1"/>
  <c r="D752" i="9" a="1"/>
  <c r="D752" i="9" s="1"/>
  <c r="E752" i="9" s="1"/>
  <c r="F752" i="9" s="1"/>
  <c r="D785" i="9" a="1"/>
  <c r="D785" i="9" s="1"/>
  <c r="E785" i="9" s="1"/>
  <c r="F785" i="9" s="1"/>
  <c r="D920" i="9" a="1"/>
  <c r="D920" i="9" s="1"/>
  <c r="E920" i="9" s="1"/>
  <c r="F920" i="9" s="1"/>
  <c r="D1064" i="9" a="1"/>
  <c r="D1064" i="9" s="1"/>
  <c r="E1064" i="9" s="1"/>
  <c r="F1064" i="9" s="1"/>
  <c r="D499" i="9" a="1"/>
  <c r="D499" i="9" s="1"/>
  <c r="E499" i="9" s="1"/>
  <c r="F499" i="9" s="1"/>
  <c r="D737" i="9" a="1"/>
  <c r="D737" i="9" s="1"/>
  <c r="E737" i="9" s="1"/>
  <c r="F737" i="9" s="1"/>
  <c r="D850" i="9" a="1"/>
  <c r="D850" i="9" s="1"/>
  <c r="E850" i="9" s="1"/>
  <c r="F850" i="9" s="1"/>
  <c r="D993" i="9" a="1"/>
  <c r="D993" i="9" s="1"/>
  <c r="E993" i="9" s="1"/>
  <c r="F993" i="9" s="1"/>
  <c r="D1137" i="9" a="1"/>
  <c r="D1137" i="9" s="1"/>
  <c r="E1137" i="9" s="1"/>
  <c r="F1137" i="9" s="1"/>
  <c r="D436" i="9" a="1"/>
  <c r="D436" i="9" s="1"/>
  <c r="E436" i="9" s="1"/>
  <c r="F436" i="9" s="1"/>
  <c r="D725" i="9" a="1"/>
  <c r="D725" i="9" s="1"/>
  <c r="E725" i="9" s="1"/>
  <c r="F725" i="9" s="1"/>
  <c r="D839" i="9" a="1"/>
  <c r="D839" i="9" s="1"/>
  <c r="E839" i="9" s="1"/>
  <c r="F839" i="9" s="1"/>
  <c r="D982" i="9" a="1"/>
  <c r="D982" i="9" s="1"/>
  <c r="E982" i="9" s="1"/>
  <c r="F982" i="9" s="1"/>
  <c r="D1126" i="9" a="1"/>
  <c r="D1126" i="9" s="1"/>
  <c r="E1126" i="9" s="1"/>
  <c r="F1126" i="9" s="1"/>
  <c r="D1270" i="9" a="1"/>
  <c r="D1270" i="9" s="1"/>
  <c r="E1270" i="9" s="1"/>
  <c r="F1270" i="9" s="1"/>
  <c r="D1414" i="9" a="1"/>
  <c r="D1414" i="9" s="1"/>
  <c r="E1414" i="9" s="1"/>
  <c r="F1414" i="9" s="1"/>
  <c r="D446" i="9" a="1"/>
  <c r="D446" i="9" s="1"/>
  <c r="E446" i="9" s="1"/>
  <c r="F446" i="9" s="1"/>
  <c r="D726" i="9" a="1"/>
  <c r="D726" i="9" s="1"/>
  <c r="E726" i="9" s="1"/>
  <c r="F726" i="9" s="1"/>
  <c r="D840" i="9" a="1"/>
  <c r="D840" i="9" s="1"/>
  <c r="E840" i="9" s="1"/>
  <c r="F840" i="9" s="1"/>
  <c r="D983" i="9" a="1"/>
  <c r="D983" i="9" s="1"/>
  <c r="E983" i="9" s="1"/>
  <c r="F983" i="9" s="1"/>
  <c r="D1127" i="9" a="1"/>
  <c r="D1127" i="9" s="1"/>
  <c r="E1127" i="9" s="1"/>
  <c r="F1127" i="9" s="1"/>
  <c r="D1271" i="9" a="1"/>
  <c r="D1271" i="9" s="1"/>
  <c r="E1271" i="9" s="1"/>
  <c r="F1271" i="9" s="1"/>
  <c r="D1415" i="9" a="1"/>
  <c r="D1415" i="9" s="1"/>
  <c r="E1415" i="9" s="1"/>
  <c r="F1415" i="9" s="1"/>
  <c r="D545" i="9" a="1"/>
  <c r="D545" i="9" s="1"/>
  <c r="E545" i="9" s="1"/>
  <c r="F545" i="9" s="1"/>
  <c r="D754" i="9" a="1"/>
  <c r="D754" i="9" s="1"/>
  <c r="E754" i="9" s="1"/>
  <c r="F754" i="9" s="1"/>
  <c r="D1664" i="9" a="1"/>
  <c r="D1664" i="9" s="1"/>
  <c r="E1664" i="9" s="1"/>
  <c r="F1664" i="9" s="1"/>
  <c r="D1334" i="9" a="1"/>
  <c r="D1334" i="9" s="1"/>
  <c r="E1334" i="9" s="1"/>
  <c r="F1334" i="9" s="1"/>
  <c r="D1701" i="9" a="1"/>
  <c r="D1701" i="9" s="1"/>
  <c r="E1701" i="9" s="1"/>
  <c r="F1701" i="9" s="1"/>
  <c r="D1893" i="9" a="1"/>
  <c r="D1893" i="9" s="1"/>
  <c r="E1893" i="9" s="1"/>
  <c r="F1893" i="9" s="1"/>
  <c r="D2109" i="9" a="1"/>
  <c r="D2109" i="9" s="1"/>
  <c r="E2109" i="9" s="1"/>
  <c r="F2109" i="9" s="1"/>
  <c r="D2277" i="9" a="1"/>
  <c r="D2277" i="9" s="1"/>
  <c r="E2277" i="9" s="1"/>
  <c r="F2277" i="9" s="1"/>
  <c r="D1425" i="9" a="1"/>
  <c r="D1425" i="9" s="1"/>
  <c r="E1425" i="9" s="1"/>
  <c r="F1425" i="9" s="1"/>
  <c r="D1618" i="9" a="1"/>
  <c r="D1618" i="9" s="1"/>
  <c r="E1618" i="9" s="1"/>
  <c r="F1618" i="9" s="1"/>
  <c r="D1774" i="9" a="1"/>
  <c r="D1774" i="9" s="1"/>
  <c r="E1774" i="9" s="1"/>
  <c r="F1774" i="9" s="1"/>
  <c r="D1942" i="9" a="1"/>
  <c r="D1942" i="9" s="1"/>
  <c r="E1942" i="9" s="1"/>
  <c r="F1942" i="9" s="1"/>
  <c r="D1464" i="9" a="1"/>
  <c r="D1464" i="9" s="1"/>
  <c r="E1464" i="9" s="1"/>
  <c r="F1464" i="9" s="1"/>
  <c r="D1643" i="9" a="1"/>
  <c r="D1643" i="9" s="1"/>
  <c r="E1643" i="9" s="1"/>
  <c r="F1643" i="9" s="1"/>
  <c r="D1787" i="9" a="1"/>
  <c r="D1787" i="9" s="1"/>
  <c r="E1787" i="9" s="1"/>
  <c r="F1787" i="9" s="1"/>
  <c r="D1429" i="9" a="1"/>
  <c r="D1429" i="9" s="1"/>
  <c r="E1429" i="9" s="1"/>
  <c r="F1429" i="9" s="1"/>
  <c r="D1608" i="9" a="1"/>
  <c r="D1608" i="9" s="1"/>
  <c r="E1608" i="9" s="1"/>
  <c r="F1608" i="9" s="1"/>
  <c r="D1752" i="9" a="1"/>
  <c r="D1752" i="9" s="1"/>
  <c r="E1752" i="9" s="1"/>
  <c r="F1752" i="9" s="1"/>
  <c r="D1896" i="9" a="1"/>
  <c r="D1896" i="9" s="1"/>
  <c r="E1896" i="9" s="1"/>
  <c r="F1896" i="9" s="1"/>
  <c r="D2040" i="9" a="1"/>
  <c r="D2040" i="9" s="1"/>
  <c r="E2040" i="9" s="1"/>
  <c r="F2040" i="9" s="1"/>
  <c r="D1466" i="9" a="1"/>
  <c r="D1466" i="9" s="1"/>
  <c r="E1466" i="9" s="1"/>
  <c r="F1466" i="9" s="1"/>
  <c r="D1633" i="9" a="1"/>
  <c r="D1633" i="9" s="1"/>
  <c r="E1633" i="9" s="1"/>
  <c r="F1633" i="9" s="1"/>
  <c r="D1777" i="9" a="1"/>
  <c r="D1777" i="9" s="1"/>
  <c r="E1777" i="9" s="1"/>
  <c r="F1777" i="9" s="1"/>
  <c r="D1921" i="9" a="1"/>
  <c r="D1921" i="9" s="1"/>
  <c r="E1921" i="9" s="1"/>
  <c r="F1921" i="9" s="1"/>
  <c r="D2065" i="9" a="1"/>
  <c r="D2065" i="9" s="1"/>
  <c r="E2065" i="9" s="1"/>
  <c r="F2065" i="9" s="1"/>
  <c r="D1979" i="9" a="1"/>
  <c r="D1979" i="9" s="1"/>
  <c r="E1979" i="9" s="1"/>
  <c r="F1979" i="9" s="1"/>
  <c r="D1269" i="9" a="1"/>
  <c r="D1269" i="9" s="1"/>
  <c r="E1269" i="9" s="1"/>
  <c r="F1269" i="9" s="1"/>
  <c r="D1214" i="9" a="1"/>
  <c r="D1214" i="9" s="1"/>
  <c r="E1214" i="9" s="1"/>
  <c r="F1214" i="9" s="1"/>
  <c r="D1208" i="9" a="1"/>
  <c r="D1208" i="9" s="1"/>
  <c r="E1208" i="9" s="1"/>
  <c r="F1208" i="9" s="1"/>
  <c r="D547" i="9" a="1"/>
  <c r="D547" i="9" s="1"/>
  <c r="E547" i="9" s="1"/>
  <c r="F547" i="9" s="1"/>
  <c r="D757" i="9" a="1"/>
  <c r="D757" i="9" s="1"/>
  <c r="E757" i="9" s="1"/>
  <c r="F757" i="9" s="1"/>
  <c r="D867" i="9" a="1"/>
  <c r="D867" i="9" s="1"/>
  <c r="E867" i="9" s="1"/>
  <c r="F867" i="9" s="1"/>
  <c r="D1010" i="9" a="1"/>
  <c r="D1010" i="9" s="1"/>
  <c r="E1010" i="9" s="1"/>
  <c r="F1010" i="9" s="1"/>
  <c r="D1154" i="9" a="1"/>
  <c r="D1154" i="9" s="1"/>
  <c r="E1154" i="9" s="1"/>
  <c r="F1154" i="9" s="1"/>
  <c r="D686" i="9" a="1"/>
  <c r="D686" i="9" s="1"/>
  <c r="E686" i="9" s="1"/>
  <c r="F686" i="9" s="1"/>
  <c r="D808" i="9" a="1"/>
  <c r="D808" i="9" s="1"/>
  <c r="E808" i="9" s="1"/>
  <c r="F808" i="9" s="1"/>
  <c r="D951" i="9" a="1"/>
  <c r="D951" i="9" s="1"/>
  <c r="E951" i="9" s="1"/>
  <c r="F951" i="9" s="1"/>
  <c r="D1095" i="9" a="1"/>
  <c r="D1095" i="9" s="1"/>
  <c r="E1095" i="9" s="1"/>
  <c r="F1095" i="9" s="1"/>
  <c r="D1239" i="9" a="1"/>
  <c r="D1239" i="9" s="1"/>
  <c r="E1239" i="9" s="1"/>
  <c r="F1239" i="9" s="1"/>
  <c r="D674" i="9" a="1"/>
  <c r="D674" i="9" s="1"/>
  <c r="E674" i="9" s="1"/>
  <c r="F674" i="9" s="1"/>
  <c r="D797" i="9" a="1"/>
  <c r="D797" i="9" s="1"/>
  <c r="E797" i="9" s="1"/>
  <c r="F797" i="9" s="1"/>
  <c r="D940" i="9" a="1"/>
  <c r="D940" i="9" s="1"/>
  <c r="E940" i="9" s="1"/>
  <c r="F940" i="9" s="1"/>
  <c r="D1084" i="9" a="1"/>
  <c r="D1084" i="9" s="1"/>
  <c r="E1084" i="9" s="1"/>
  <c r="F1084" i="9" s="1"/>
  <c r="D554" i="9" a="1"/>
  <c r="D554" i="9" s="1"/>
  <c r="E554" i="9" s="1"/>
  <c r="F554" i="9" s="1"/>
  <c r="D759" i="9" a="1"/>
  <c r="D759" i="9" s="1"/>
  <c r="E759" i="9" s="1"/>
  <c r="F759" i="9" s="1"/>
  <c r="D870" i="9" a="1"/>
  <c r="D870" i="9" s="1"/>
  <c r="E870" i="9" s="1"/>
  <c r="F870" i="9" s="1"/>
  <c r="D1013" i="9" a="1"/>
  <c r="D1013" i="9" s="1"/>
  <c r="E1013" i="9" s="1"/>
  <c r="F1013" i="9" s="1"/>
  <c r="D1157" i="9" a="1"/>
  <c r="D1157" i="9" s="1"/>
  <c r="E1157" i="9" s="1"/>
  <c r="F1157" i="9" s="1"/>
  <c r="D691" i="9" a="1"/>
  <c r="D691" i="9" s="1"/>
  <c r="E691" i="9" s="1"/>
  <c r="F691" i="9" s="1"/>
  <c r="D811" i="9" a="1"/>
  <c r="D811" i="9" s="1"/>
  <c r="E811" i="9" s="1"/>
  <c r="F811" i="9" s="1"/>
  <c r="D954" i="9" a="1"/>
  <c r="D954" i="9" s="1"/>
  <c r="E954" i="9" s="1"/>
  <c r="F954" i="9" s="1"/>
  <c r="D1098" i="9" a="1"/>
  <c r="D1098" i="9" s="1"/>
  <c r="E1098" i="9" s="1"/>
  <c r="F1098" i="9" s="1"/>
  <c r="D1242" i="9" a="1"/>
  <c r="D1242" i="9" s="1"/>
  <c r="E1242" i="9" s="1"/>
  <c r="F1242" i="9" s="1"/>
  <c r="D1386" i="9" a="1"/>
  <c r="D1386" i="9" s="1"/>
  <c r="E1386" i="9" s="1"/>
  <c r="F1386" i="9" s="1"/>
  <c r="D1530" i="9" a="1"/>
  <c r="D1530" i="9" s="1"/>
  <c r="E1530" i="9" s="1"/>
  <c r="F1530" i="9" s="1"/>
  <c r="D677" i="9" a="1"/>
  <c r="D677" i="9" s="1"/>
  <c r="E677" i="9" s="1"/>
  <c r="F677" i="9" s="1"/>
  <c r="D800" i="9" a="1"/>
  <c r="D800" i="9" s="1"/>
  <c r="E800" i="9" s="1"/>
  <c r="F800" i="9" s="1"/>
  <c r="D943" i="9" a="1"/>
  <c r="D943" i="9" s="1"/>
  <c r="E943" i="9" s="1"/>
  <c r="F943" i="9" s="1"/>
  <c r="D1087" i="9" a="1"/>
  <c r="D1087" i="9" s="1"/>
  <c r="E1087" i="9" s="1"/>
  <c r="F1087" i="9" s="1"/>
  <c r="D1231" i="9" a="1"/>
  <c r="D1231" i="9" s="1"/>
  <c r="E1231" i="9" s="1"/>
  <c r="F1231" i="9" s="1"/>
  <c r="D1375" i="9" a="1"/>
  <c r="D1375" i="9" s="1"/>
  <c r="E1375" i="9" s="1"/>
  <c r="F1375" i="9" s="1"/>
  <c r="D1519" i="9" a="1"/>
  <c r="D1519" i="9" s="1"/>
  <c r="E1519" i="9" s="1"/>
  <c r="F1519" i="9" s="1"/>
  <c r="D660" i="9" a="1"/>
  <c r="D660" i="9" s="1"/>
  <c r="E660" i="9" s="1"/>
  <c r="F660" i="9" s="1"/>
  <c r="D792" i="9" a="1"/>
  <c r="D792" i="9" s="1"/>
  <c r="E792" i="9" s="1"/>
  <c r="F792" i="9" s="1"/>
  <c r="D1040" i="9" a="1"/>
  <c r="D1040" i="9" s="1"/>
  <c r="E1040" i="9" s="1"/>
  <c r="F1040" i="9" s="1"/>
  <c r="D1184" i="9" a="1"/>
  <c r="D1184" i="9" s="1"/>
  <c r="E1184" i="9" s="1"/>
  <c r="F1184" i="9" s="1"/>
  <c r="D538" i="9" a="1"/>
  <c r="D538" i="9" s="1"/>
  <c r="E538" i="9" s="1"/>
  <c r="F538" i="9" s="1"/>
  <c r="D751" i="9" a="1"/>
  <c r="D751" i="9" s="1"/>
  <c r="E751" i="9" s="1"/>
  <c r="F751" i="9" s="1"/>
  <c r="D1676" i="9" a="1"/>
  <c r="D1676" i="9" s="1"/>
  <c r="E1676" i="9" s="1"/>
  <c r="F1676" i="9" s="1"/>
  <c r="D1352" i="9" a="1"/>
  <c r="D1352" i="9" s="1"/>
  <c r="E1352" i="9" s="1"/>
  <c r="F1352" i="9" s="1"/>
  <c r="D1713" i="9" a="1"/>
  <c r="D1713" i="9" s="1"/>
  <c r="E1713" i="9" s="1"/>
  <c r="F1713" i="9" s="1"/>
  <c r="D1941" i="9" a="1"/>
  <c r="D1941" i="9" s="1"/>
  <c r="E1941" i="9" s="1"/>
  <c r="F1941" i="9" s="1"/>
  <c r="D2121" i="9" a="1"/>
  <c r="D2121" i="9" s="1"/>
  <c r="E2121" i="9" s="1"/>
  <c r="F2121" i="9" s="1"/>
  <c r="D2289" i="9" a="1"/>
  <c r="D2289" i="9" s="1"/>
  <c r="E2289" i="9" s="1"/>
  <c r="F2289" i="9" s="1"/>
  <c r="D1443" i="9" a="1"/>
  <c r="D1443" i="9" s="1"/>
  <c r="E1443" i="9" s="1"/>
  <c r="F1443" i="9" s="1"/>
  <c r="D1630" i="9" a="1"/>
  <c r="D1630" i="9" s="1"/>
  <c r="E1630" i="9" s="1"/>
  <c r="F1630" i="9" s="1"/>
  <c r="D1798" i="9" a="1"/>
  <c r="D1798" i="9" s="1"/>
  <c r="E1798" i="9" s="1"/>
  <c r="F1798" i="9" s="1"/>
  <c r="D1954" i="9" a="1"/>
  <c r="D1954" i="9" s="1"/>
  <c r="E1954" i="9" s="1"/>
  <c r="F1954" i="9" s="1"/>
  <c r="D1480" i="9" a="1"/>
  <c r="D1480" i="9" s="1"/>
  <c r="E1480" i="9" s="1"/>
  <c r="F1480" i="9" s="1"/>
  <c r="D1655" i="9" a="1"/>
  <c r="D1655" i="9" s="1"/>
  <c r="E1655" i="9" s="1"/>
  <c r="F1655" i="9" s="1"/>
  <c r="D1799" i="9" a="1"/>
  <c r="D1799" i="9" s="1"/>
  <c r="E1799" i="9" s="1"/>
  <c r="F1799" i="9" s="1"/>
  <c r="D1445" i="9" a="1"/>
  <c r="D1445" i="9" s="1"/>
  <c r="E1445" i="9" s="1"/>
  <c r="F1445" i="9" s="1"/>
  <c r="D1620" i="9" a="1"/>
  <c r="D1620" i="9" s="1"/>
  <c r="E1620" i="9" s="1"/>
  <c r="F1620" i="9" s="1"/>
  <c r="D1764" i="9" a="1"/>
  <c r="D1764" i="9" s="1"/>
  <c r="E1764" i="9" s="1"/>
  <c r="F1764" i="9" s="1"/>
  <c r="D1908" i="9" a="1"/>
  <c r="D1908" i="9" s="1"/>
  <c r="E1908" i="9" s="1"/>
  <c r="F1908" i="9" s="1"/>
  <c r="D2052" i="9" a="1"/>
  <c r="D2052" i="9" s="1"/>
  <c r="E2052" i="9" s="1"/>
  <c r="F2052" i="9" s="1"/>
  <c r="D1484" i="9" a="1"/>
  <c r="D1484" i="9" s="1"/>
  <c r="E1484" i="9" s="1"/>
  <c r="F1484" i="9" s="1"/>
  <c r="D1645" i="9" a="1"/>
  <c r="D1645" i="9" s="1"/>
  <c r="E1645" i="9" s="1"/>
  <c r="F1645" i="9" s="1"/>
  <c r="D1789" i="9" a="1"/>
  <c r="D1789" i="9" s="1"/>
  <c r="E1789" i="9" s="1"/>
  <c r="F1789" i="9" s="1"/>
  <c r="D1933" i="9" a="1"/>
  <c r="D1933" i="9" s="1"/>
  <c r="E1933" i="9" s="1"/>
  <c r="F1933" i="9" s="1"/>
  <c r="D2077" i="9" a="1"/>
  <c r="D2077" i="9" s="1"/>
  <c r="E2077" i="9" s="1"/>
  <c r="F2077" i="9" s="1"/>
  <c r="D1907" i="9" a="1"/>
  <c r="D1907" i="9" s="1"/>
  <c r="E1907" i="9" s="1"/>
  <c r="F1907" i="9" s="1"/>
  <c r="D1249" i="9" a="1"/>
  <c r="D1249" i="9" s="1"/>
  <c r="E1249" i="9" s="1"/>
  <c r="F1249" i="9" s="1"/>
  <c r="D1292" i="9" a="1"/>
  <c r="D1292" i="9" s="1"/>
  <c r="E1292" i="9" s="1"/>
  <c r="F1292" i="9" s="1"/>
  <c r="D1180" i="9" a="1"/>
  <c r="D1180" i="9" s="1"/>
  <c r="E1180" i="9" s="1"/>
  <c r="F1180" i="9" s="1"/>
  <c r="D571" i="9" a="1"/>
  <c r="D571" i="9" s="1"/>
  <c r="E571" i="9" s="1"/>
  <c r="F571" i="9" s="1"/>
  <c r="D764" i="9" a="1"/>
  <c r="D764" i="9" s="1"/>
  <c r="E764" i="9" s="1"/>
  <c r="F764" i="9" s="1"/>
  <c r="D879" i="9" a="1"/>
  <c r="D879" i="9" s="1"/>
  <c r="E879" i="9" s="1"/>
  <c r="F879" i="9" s="1"/>
  <c r="D1022" i="9" a="1"/>
  <c r="D1022" i="9" s="1"/>
  <c r="E1022" i="9" s="1"/>
  <c r="F1022" i="9" s="1"/>
  <c r="D192" i="9" a="1"/>
  <c r="D192" i="9" s="1"/>
  <c r="E192" i="9" s="1"/>
  <c r="F192" i="9" s="1"/>
  <c r="D705" i="9" a="1"/>
  <c r="D705" i="9" s="1"/>
  <c r="E705" i="9" s="1"/>
  <c r="F705" i="9" s="1"/>
  <c r="D820" i="9" a="1"/>
  <c r="D820" i="9" s="1"/>
  <c r="E820" i="9" s="1"/>
  <c r="F820" i="9" s="1"/>
  <c r="D963" i="9" a="1"/>
  <c r="D963" i="9" s="1"/>
  <c r="E963" i="9" s="1"/>
  <c r="F963" i="9" s="1"/>
  <c r="D1107" i="9" a="1"/>
  <c r="D1107" i="9" s="1"/>
  <c r="E1107" i="9" s="1"/>
  <c r="F1107" i="9" s="1"/>
  <c r="D1251" i="9" a="1"/>
  <c r="D1251" i="9" s="1"/>
  <c r="E1251" i="9" s="1"/>
  <c r="F1251" i="9" s="1"/>
  <c r="D688" i="9" a="1"/>
  <c r="D688" i="9" s="1"/>
  <c r="E688" i="9" s="1"/>
  <c r="F688" i="9" s="1"/>
  <c r="D809" i="9" a="1"/>
  <c r="D809" i="9" s="1"/>
  <c r="E809" i="9" s="1"/>
  <c r="F809" i="9" s="1"/>
  <c r="D952" i="9" a="1"/>
  <c r="D952" i="9" s="1"/>
  <c r="E952" i="9" s="1"/>
  <c r="F952" i="9" s="1"/>
  <c r="D1096" i="9" a="1"/>
  <c r="D1096" i="9" s="1"/>
  <c r="E1096" i="9" s="1"/>
  <c r="F1096" i="9" s="1"/>
  <c r="D578" i="9" a="1"/>
  <c r="D578" i="9" s="1"/>
  <c r="E578" i="9" s="1"/>
  <c r="F578" i="9" s="1"/>
  <c r="D882" i="9" a="1"/>
  <c r="D882" i="9" s="1"/>
  <c r="E882" i="9" s="1"/>
  <c r="F882" i="9" s="1"/>
  <c r="D1025" i="9" a="1"/>
  <c r="D1025" i="9" s="1"/>
  <c r="E1025" i="9" s="1"/>
  <c r="F1025" i="9" s="1"/>
  <c r="D241" i="9" a="1"/>
  <c r="D241" i="9" s="1"/>
  <c r="E241" i="9" s="1"/>
  <c r="F241" i="9" s="1"/>
  <c r="D708" i="9" a="1"/>
  <c r="D708" i="9" s="1"/>
  <c r="E708" i="9" s="1"/>
  <c r="F708" i="9" s="1"/>
  <c r="D823" i="9" a="1"/>
  <c r="D823" i="9" s="1"/>
  <c r="E823" i="9" s="1"/>
  <c r="F823" i="9" s="1"/>
  <c r="D966" i="9" a="1"/>
  <c r="D966" i="9" s="1"/>
  <c r="E966" i="9" s="1"/>
  <c r="F966" i="9" s="1"/>
  <c r="D1110" i="9" a="1"/>
  <c r="D1110" i="9" s="1"/>
  <c r="E1110" i="9" s="1"/>
  <c r="F1110" i="9" s="1"/>
  <c r="D1254" i="9" a="1"/>
  <c r="D1254" i="9" s="1"/>
  <c r="E1254" i="9" s="1"/>
  <c r="F1254" i="9" s="1"/>
  <c r="D1398" i="9" a="1"/>
  <c r="D1398" i="9" s="1"/>
  <c r="E1398" i="9" s="1"/>
  <c r="F1398" i="9" s="1"/>
  <c r="D1542" i="9" a="1"/>
  <c r="D1542" i="9" s="1"/>
  <c r="E1542" i="9" s="1"/>
  <c r="F1542" i="9" s="1"/>
  <c r="D692" i="9" a="1"/>
  <c r="D692" i="9" s="1"/>
  <c r="E692" i="9" s="1"/>
  <c r="F692" i="9" s="1"/>
  <c r="D812" i="9" a="1"/>
  <c r="D812" i="9" s="1"/>
  <c r="E812" i="9" s="1"/>
  <c r="F812" i="9" s="1"/>
  <c r="D955" i="9" a="1"/>
  <c r="D955" i="9" s="1"/>
  <c r="E955" i="9" s="1"/>
  <c r="F955" i="9" s="1"/>
  <c r="D1099" i="9" a="1"/>
  <c r="D1099" i="9" s="1"/>
  <c r="E1099" i="9" s="1"/>
  <c r="F1099" i="9" s="1"/>
  <c r="D1243" i="9" a="1"/>
  <c r="D1243" i="9" s="1"/>
  <c r="E1243" i="9" s="1"/>
  <c r="F1243" i="9" s="1"/>
  <c r="D1387" i="9" a="1"/>
  <c r="D1387" i="9" s="1"/>
  <c r="E1387" i="9" s="1"/>
  <c r="F1387" i="9" s="1"/>
  <c r="D1531" i="9" a="1"/>
  <c r="D1531" i="9" s="1"/>
  <c r="E1531" i="9" s="1"/>
  <c r="F1531" i="9" s="1"/>
  <c r="D678" i="9" a="1"/>
  <c r="D678" i="9" s="1"/>
  <c r="E678" i="9" s="1"/>
  <c r="F678" i="9" s="1"/>
  <c r="D801" i="9" a="1"/>
  <c r="D801" i="9" s="1"/>
  <c r="E801" i="9" s="1"/>
  <c r="F801" i="9" s="1"/>
  <c r="D944" i="9" a="1"/>
  <c r="D944" i="9" s="1"/>
  <c r="E944" i="9" s="1"/>
  <c r="F944" i="9" s="1"/>
  <c r="D1088" i="9" a="1"/>
  <c r="D1088" i="9" s="1"/>
  <c r="E1088" i="9" s="1"/>
  <c r="F1088" i="9" s="1"/>
  <c r="D561" i="9" a="1"/>
  <c r="D561" i="9" s="1"/>
  <c r="E561" i="9" s="1"/>
  <c r="F561" i="9" s="1"/>
  <c r="D874" i="9" a="1"/>
  <c r="D874" i="9" s="1"/>
  <c r="E874" i="9" s="1"/>
  <c r="F874" i="9" s="1"/>
  <c r="D1017" i="9" a="1"/>
  <c r="D1017" i="9" s="1"/>
  <c r="E1017" i="9" s="1"/>
  <c r="F1017" i="9" s="1"/>
  <c r="D1808" i="9" a="1"/>
  <c r="D1808" i="9" s="1"/>
  <c r="E1808" i="9" s="1"/>
  <c r="F1808" i="9" s="1"/>
  <c r="D1370" i="9" a="1"/>
  <c r="D1370" i="9" s="1"/>
  <c r="E1370" i="9" s="1"/>
  <c r="F1370" i="9" s="1"/>
  <c r="D1725" i="9" a="1"/>
  <c r="D1725" i="9" s="1"/>
  <c r="E1725" i="9" s="1"/>
  <c r="F1725" i="9" s="1"/>
  <c r="D1953" i="9" a="1"/>
  <c r="D1953" i="9" s="1"/>
  <c r="E1953" i="9" s="1"/>
  <c r="F1953" i="9" s="1"/>
  <c r="D2133" i="9" a="1"/>
  <c r="D2133" i="9" s="1"/>
  <c r="E2133" i="9" s="1"/>
  <c r="F2133" i="9" s="1"/>
  <c r="D2301" i="9" a="1"/>
  <c r="D2301" i="9" s="1"/>
  <c r="E2301" i="9" s="1"/>
  <c r="F2301" i="9" s="1"/>
  <c r="D1461" i="9" a="1"/>
  <c r="D1461" i="9" s="1"/>
  <c r="E1461" i="9" s="1"/>
  <c r="F1461" i="9" s="1"/>
  <c r="D1654" i="9" a="1"/>
  <c r="D1654" i="9" s="1"/>
  <c r="E1654" i="9" s="1"/>
  <c r="F1654" i="9" s="1"/>
  <c r="D1810" i="9" a="1"/>
  <c r="D1810" i="9" s="1"/>
  <c r="E1810" i="9" s="1"/>
  <c r="F1810" i="9" s="1"/>
  <c r="D1966" i="9" a="1"/>
  <c r="D1966" i="9" s="1"/>
  <c r="E1966" i="9" s="1"/>
  <c r="F1966" i="9" s="1"/>
  <c r="D1500" i="9" a="1"/>
  <c r="D1500" i="9" s="1"/>
  <c r="E1500" i="9" s="1"/>
  <c r="F1500" i="9" s="1"/>
  <c r="D1667" i="9" a="1"/>
  <c r="D1667" i="9" s="1"/>
  <c r="E1667" i="9" s="1"/>
  <c r="F1667" i="9" s="1"/>
  <c r="D1811" i="9" a="1"/>
  <c r="D1811" i="9" s="1"/>
  <c r="E1811" i="9" s="1"/>
  <c r="F1811" i="9" s="1"/>
  <c r="D1465" i="9" a="1"/>
  <c r="D1465" i="9" s="1"/>
  <c r="E1465" i="9" s="1"/>
  <c r="F1465" i="9" s="1"/>
  <c r="D1632" i="9" a="1"/>
  <c r="D1632" i="9" s="1"/>
  <c r="E1632" i="9" s="1"/>
  <c r="F1632" i="9" s="1"/>
  <c r="D1776" i="9" a="1"/>
  <c r="D1776" i="9" s="1"/>
  <c r="E1776" i="9" s="1"/>
  <c r="F1776" i="9" s="1"/>
  <c r="D1920" i="9" a="1"/>
  <c r="D1920" i="9" s="1"/>
  <c r="E1920" i="9" s="1"/>
  <c r="F1920" i="9" s="1"/>
  <c r="D1280" i="9" a="1"/>
  <c r="D1280" i="9" s="1"/>
  <c r="E1280" i="9" s="1"/>
  <c r="F1280" i="9" s="1"/>
  <c r="D1502" i="9" a="1"/>
  <c r="D1502" i="9" s="1"/>
  <c r="E1502" i="9" s="1"/>
  <c r="F1502" i="9" s="1"/>
  <c r="D1657" i="9" a="1"/>
  <c r="D1657" i="9" s="1"/>
  <c r="E1657" i="9" s="1"/>
  <c r="F1657" i="9" s="1"/>
  <c r="D1801" i="9" a="1"/>
  <c r="D1801" i="9" s="1"/>
  <c r="E1801" i="9" s="1"/>
  <c r="F1801" i="9" s="1"/>
  <c r="D1945" i="9" a="1"/>
  <c r="D1945" i="9" s="1"/>
  <c r="E1945" i="9" s="1"/>
  <c r="F1945" i="9" s="1"/>
  <c r="D2089" i="9" a="1"/>
  <c r="D2089" i="9" s="1"/>
  <c r="E2089" i="9" s="1"/>
  <c r="F2089" i="9" s="1"/>
  <c r="D1895" i="9" a="1"/>
  <c r="D1895" i="9" s="1"/>
  <c r="E1895" i="9" s="1"/>
  <c r="F1895" i="9" s="1"/>
  <c r="D1217" i="9" a="1"/>
  <c r="D1217" i="9" s="1"/>
  <c r="E1217" i="9" s="1"/>
  <c r="F1217" i="9" s="1"/>
  <c r="D1105" i="9" a="1"/>
  <c r="D1105" i="9" s="1"/>
  <c r="E1105" i="9" s="1"/>
  <c r="F1105" i="9" s="1"/>
  <c r="D1081" i="9" a="1"/>
  <c r="D1081" i="9" s="1"/>
  <c r="E1081" i="9" s="1"/>
  <c r="F1081" i="9" s="1"/>
  <c r="D593" i="9" a="1"/>
  <c r="D593" i="9" s="1"/>
  <c r="E593" i="9" s="1"/>
  <c r="F593" i="9" s="1"/>
  <c r="D770" i="9" a="1"/>
  <c r="D770" i="9" s="1"/>
  <c r="E770" i="9" s="1"/>
  <c r="F770" i="9" s="1"/>
  <c r="D891" i="9" a="1"/>
  <c r="D891" i="9" s="1"/>
  <c r="E891" i="9" s="1"/>
  <c r="F891" i="9" s="1"/>
  <c r="D1034" i="9" a="1"/>
  <c r="D1034" i="9" s="1"/>
  <c r="E1034" i="9" s="1"/>
  <c r="F1034" i="9" s="1"/>
  <c r="D339" i="9" a="1"/>
  <c r="D339" i="9" s="1"/>
  <c r="E339" i="9" s="1"/>
  <c r="F339" i="9" s="1"/>
  <c r="D718" i="9" a="1"/>
  <c r="D718" i="9" s="1"/>
  <c r="E718" i="9" s="1"/>
  <c r="F718" i="9" s="1"/>
  <c r="D832" i="9" a="1"/>
  <c r="D832" i="9" s="1"/>
  <c r="E832" i="9" s="1"/>
  <c r="F832" i="9" s="1"/>
  <c r="D975" i="9" a="1"/>
  <c r="D975" i="9" s="1"/>
  <c r="E975" i="9" s="1"/>
  <c r="F975" i="9" s="1"/>
  <c r="D1119" i="9" a="1"/>
  <c r="D1119" i="9" s="1"/>
  <c r="E1119" i="9" s="1"/>
  <c r="F1119" i="9" s="1"/>
  <c r="D201" i="9" a="1"/>
  <c r="D201" i="9" s="1"/>
  <c r="E201" i="9" s="1"/>
  <c r="F201" i="9" s="1"/>
  <c r="D706" i="9" a="1"/>
  <c r="D706" i="9" s="1"/>
  <c r="E706" i="9" s="1"/>
  <c r="F706" i="9" s="1"/>
  <c r="D821" i="9" a="1"/>
  <c r="D821" i="9" s="1"/>
  <c r="E821" i="9" s="1"/>
  <c r="F821" i="9" s="1"/>
  <c r="D964" i="9" a="1"/>
  <c r="D964" i="9" s="1"/>
  <c r="E964" i="9" s="1"/>
  <c r="F964" i="9" s="1"/>
  <c r="D1108" i="9" a="1"/>
  <c r="D1108" i="9" s="1"/>
  <c r="E1108" i="9" s="1"/>
  <c r="F1108" i="9" s="1"/>
  <c r="D600" i="9" a="1"/>
  <c r="D600" i="9" s="1"/>
  <c r="E600" i="9" s="1"/>
  <c r="F600" i="9" s="1"/>
  <c r="D894" i="9" a="1"/>
  <c r="D894" i="9" s="1"/>
  <c r="E894" i="9" s="1"/>
  <c r="F894" i="9" s="1"/>
  <c r="D1037" i="9" a="1"/>
  <c r="D1037" i="9" s="1"/>
  <c r="E1037" i="9" s="1"/>
  <c r="F1037" i="9" s="1"/>
  <c r="D464" i="9" a="1"/>
  <c r="D464" i="9" s="1"/>
  <c r="E464" i="9" s="1"/>
  <c r="F464" i="9" s="1"/>
  <c r="D721" i="9" a="1"/>
  <c r="D721" i="9" s="1"/>
  <c r="E721" i="9" s="1"/>
  <c r="F721" i="9" s="1"/>
  <c r="D835" i="9" a="1"/>
  <c r="D835" i="9" s="1"/>
  <c r="E835" i="9" s="1"/>
  <c r="F835" i="9" s="1"/>
  <c r="D978" i="9" a="1"/>
  <c r="D978" i="9" s="1"/>
  <c r="E978" i="9" s="1"/>
  <c r="F978" i="9" s="1"/>
  <c r="D1122" i="9" a="1"/>
  <c r="D1122" i="9" s="1"/>
  <c r="E1122" i="9" s="1"/>
  <c r="F1122" i="9" s="1"/>
  <c r="D1266" i="9" a="1"/>
  <c r="D1266" i="9" s="1"/>
  <c r="E1266" i="9" s="1"/>
  <c r="F1266" i="9" s="1"/>
  <c r="D1410" i="9" a="1"/>
  <c r="D1410" i="9" s="1"/>
  <c r="E1410" i="9" s="1"/>
  <c r="F1410" i="9" s="1"/>
  <c r="D251" i="9" a="1"/>
  <c r="D251" i="9" s="1"/>
  <c r="E251" i="9" s="1"/>
  <c r="F251" i="9" s="1"/>
  <c r="D709" i="9" a="1"/>
  <c r="D709" i="9" s="1"/>
  <c r="E709" i="9" s="1"/>
  <c r="F709" i="9" s="1"/>
  <c r="D824" i="9" a="1"/>
  <c r="D824" i="9" s="1"/>
  <c r="E824" i="9" s="1"/>
  <c r="F824" i="9" s="1"/>
  <c r="D967" i="9" a="1"/>
  <c r="D967" i="9" s="1"/>
  <c r="E967" i="9" s="1"/>
  <c r="F967" i="9" s="1"/>
  <c r="D1111" i="9" a="1"/>
  <c r="D1111" i="9" s="1"/>
  <c r="E1111" i="9" s="1"/>
  <c r="F1111" i="9" s="1"/>
  <c r="D1255" i="9" a="1"/>
  <c r="D1255" i="9" s="1"/>
  <c r="E1255" i="9" s="1"/>
  <c r="F1255" i="9" s="1"/>
  <c r="D1399" i="9" a="1"/>
  <c r="D1399" i="9" s="1"/>
  <c r="E1399" i="9" s="1"/>
  <c r="F1399" i="9" s="1"/>
  <c r="D1543" i="9" a="1"/>
  <c r="D1543" i="9" s="1"/>
  <c r="E1543" i="9" s="1"/>
  <c r="F1543" i="9" s="1"/>
  <c r="D693" i="9" a="1"/>
  <c r="D693" i="9" s="1"/>
  <c r="E693" i="9" s="1"/>
  <c r="F693" i="9" s="1"/>
  <c r="D813" i="9" a="1"/>
  <c r="D813" i="9" s="1"/>
  <c r="E813" i="9" s="1"/>
  <c r="F813" i="9" s="1"/>
  <c r="D956" i="9" a="1"/>
  <c r="D956" i="9" s="1"/>
  <c r="E956" i="9" s="1"/>
  <c r="F956" i="9" s="1"/>
  <c r="D1100" i="9" a="1"/>
  <c r="D1100" i="9" s="1"/>
  <c r="E1100" i="9" s="1"/>
  <c r="F1100" i="9" s="1"/>
  <c r="D587" i="9" a="1"/>
  <c r="D587" i="9" s="1"/>
  <c r="E587" i="9" s="1"/>
  <c r="F587" i="9" s="1"/>
  <c r="D886" i="9" a="1"/>
  <c r="D886" i="9" s="1"/>
  <c r="E886" i="9" s="1"/>
  <c r="F886" i="9" s="1"/>
  <c r="D1029" i="9" a="1"/>
  <c r="D1029" i="9" s="1"/>
  <c r="E1029" i="9" s="1"/>
  <c r="F1029" i="9" s="1"/>
  <c r="D1173" i="9" a="1"/>
  <c r="D1173" i="9" s="1"/>
  <c r="E1173" i="9" s="1"/>
  <c r="F1173" i="9" s="1"/>
  <c r="D1293" i="9" a="1"/>
  <c r="D1293" i="9" s="1"/>
  <c r="E1293" i="9" s="1"/>
  <c r="F1293" i="9" s="1"/>
  <c r="D1820" i="9" a="1"/>
  <c r="D1820" i="9" s="1"/>
  <c r="E1820" i="9" s="1"/>
  <c r="F1820" i="9" s="1"/>
  <c r="D1388" i="9" a="1"/>
  <c r="D1388" i="9" s="1"/>
  <c r="E1388" i="9" s="1"/>
  <c r="F1388" i="9" s="1"/>
  <c r="D1737" i="9" a="1"/>
  <c r="D1737" i="9" s="1"/>
  <c r="E1737" i="9" s="1"/>
  <c r="F1737" i="9" s="1"/>
  <c r="D1965" i="9" a="1"/>
  <c r="D1965" i="9" s="1"/>
  <c r="E1965" i="9" s="1"/>
  <c r="F1965" i="9" s="1"/>
  <c r="D2145" i="9" a="1"/>
  <c r="D2145" i="9" s="1"/>
  <c r="E2145" i="9" s="1"/>
  <c r="F2145" i="9" s="1"/>
  <c r="D2313" i="9" a="1"/>
  <c r="D2313" i="9" s="1"/>
  <c r="E2313" i="9" s="1"/>
  <c r="F2313" i="9" s="1"/>
  <c r="D1497" i="9" a="1"/>
  <c r="D1497" i="9" s="1"/>
  <c r="E1497" i="9" s="1"/>
  <c r="F1497" i="9" s="1"/>
  <c r="D1666" i="9" a="1"/>
  <c r="D1666" i="9" s="1"/>
  <c r="E1666" i="9" s="1"/>
  <c r="F1666" i="9" s="1"/>
  <c r="D1822" i="9" a="1"/>
  <c r="D1822" i="9" s="1"/>
  <c r="E1822" i="9" s="1"/>
  <c r="F1822" i="9" s="1"/>
  <c r="D1262" i="9" a="1"/>
  <c r="D1262" i="9" s="1"/>
  <c r="E1262" i="9" s="1"/>
  <c r="F1262" i="9" s="1"/>
  <c r="D1515" i="9" a="1"/>
  <c r="D1515" i="9" s="1"/>
  <c r="E1515" i="9" s="1"/>
  <c r="F1515" i="9" s="1"/>
  <c r="D1679" i="9" a="1"/>
  <c r="D1679" i="9" s="1"/>
  <c r="E1679" i="9" s="1"/>
  <c r="F1679" i="9" s="1"/>
  <c r="D1823" i="9" a="1"/>
  <c r="D1823" i="9" s="1"/>
  <c r="E1823" i="9" s="1"/>
  <c r="F1823" i="9" s="1"/>
  <c r="D1481" i="9" a="1"/>
  <c r="D1481" i="9" s="1"/>
  <c r="E1481" i="9" s="1"/>
  <c r="F1481" i="9" s="1"/>
  <c r="D1644" i="9" a="1"/>
  <c r="D1644" i="9" s="1"/>
  <c r="E1644" i="9" s="1"/>
  <c r="F1644" i="9" s="1"/>
  <c r="D1788" i="9" a="1"/>
  <c r="D1788" i="9" s="1"/>
  <c r="E1788" i="9" s="1"/>
  <c r="F1788" i="9" s="1"/>
  <c r="D1932" i="9" a="1"/>
  <c r="D1932" i="9" s="1"/>
  <c r="E1932" i="9" s="1"/>
  <c r="F1932" i="9" s="1"/>
  <c r="D1304" i="9" a="1"/>
  <c r="D1304" i="9" s="1"/>
  <c r="E1304" i="9" s="1"/>
  <c r="F1304" i="9" s="1"/>
  <c r="D1517" i="9" a="1"/>
  <c r="D1517" i="9" s="1"/>
  <c r="E1517" i="9" s="1"/>
  <c r="F1517" i="9" s="1"/>
  <c r="D1669" i="9" a="1"/>
  <c r="D1669" i="9" s="1"/>
  <c r="E1669" i="9" s="1"/>
  <c r="F1669" i="9" s="1"/>
  <c r="D1813" i="9" a="1"/>
  <c r="D1813" i="9" s="1"/>
  <c r="E1813" i="9" s="1"/>
  <c r="F1813" i="9" s="1"/>
  <c r="D1957" i="9" a="1"/>
  <c r="D1957" i="9" s="1"/>
  <c r="E1957" i="9" s="1"/>
  <c r="F1957" i="9" s="1"/>
  <c r="D2101" i="9" a="1"/>
  <c r="D2101" i="9" s="1"/>
  <c r="E2101" i="9" s="1"/>
  <c r="F2101" i="9" s="1"/>
  <c r="D1975" i="9" a="1"/>
  <c r="D1975" i="9" s="1"/>
  <c r="E1975" i="9" s="1"/>
  <c r="F1975" i="9" s="1"/>
  <c r="D1190" i="9" a="1"/>
  <c r="D1190" i="9" s="1"/>
  <c r="E1190" i="9" s="1"/>
  <c r="F1190" i="9" s="1"/>
  <c r="D1264" i="9" a="1"/>
  <c r="D1264" i="9" s="1"/>
  <c r="E1264" i="9" s="1"/>
  <c r="F1264" i="9" s="1"/>
  <c r="D1261" i="9" a="1"/>
  <c r="D1261" i="9" s="1"/>
  <c r="E1261" i="9" s="1"/>
  <c r="F1261" i="9" s="1"/>
  <c r="D617" i="9" a="1"/>
  <c r="D617" i="9" s="1"/>
  <c r="E617" i="9" s="1"/>
  <c r="F617" i="9" s="1"/>
  <c r="D776" i="9" a="1"/>
  <c r="D776" i="9" s="1"/>
  <c r="E776" i="9" s="1"/>
  <c r="F776" i="9" s="1"/>
  <c r="D902" i="9" a="1"/>
  <c r="D902" i="9" s="1"/>
  <c r="E902" i="9" s="1"/>
  <c r="F902" i="9" s="1"/>
  <c r="D1046" i="9" a="1"/>
  <c r="D1046" i="9" s="1"/>
  <c r="E1046" i="9" s="1"/>
  <c r="F1046" i="9" s="1"/>
  <c r="D474" i="9" a="1"/>
  <c r="D474" i="9" s="1"/>
  <c r="E474" i="9" s="1"/>
  <c r="F474" i="9" s="1"/>
  <c r="D731" i="9" a="1"/>
  <c r="D731" i="9" s="1"/>
  <c r="E731" i="9" s="1"/>
  <c r="F731" i="9" s="1"/>
  <c r="D844" i="9" a="1"/>
  <c r="D844" i="9" s="1"/>
  <c r="E844" i="9" s="1"/>
  <c r="F844" i="9" s="1"/>
  <c r="D987" i="9" a="1"/>
  <c r="D987" i="9" s="1"/>
  <c r="E987" i="9" s="1"/>
  <c r="F987" i="9" s="1"/>
  <c r="D1131" i="9" a="1"/>
  <c r="D1131" i="9" s="1"/>
  <c r="E1131" i="9" s="1"/>
  <c r="F1131" i="9" s="1"/>
  <c r="D357" i="9" a="1"/>
  <c r="D357" i="9" s="1"/>
  <c r="E357" i="9" s="1"/>
  <c r="F357" i="9" s="1"/>
  <c r="D719" i="9" a="1"/>
  <c r="D719" i="9" s="1"/>
  <c r="E719" i="9" s="1"/>
  <c r="F719" i="9" s="1"/>
  <c r="D833" i="9" a="1"/>
  <c r="D833" i="9" s="1"/>
  <c r="E833" i="9" s="1"/>
  <c r="F833" i="9" s="1"/>
  <c r="D976" i="9" a="1"/>
  <c r="D976" i="9" s="1"/>
  <c r="E976" i="9" s="1"/>
  <c r="F976" i="9" s="1"/>
  <c r="D1120" i="9" a="1"/>
  <c r="D1120" i="9" s="1"/>
  <c r="E1120" i="9" s="1"/>
  <c r="F1120" i="9" s="1"/>
  <c r="D620" i="9" a="1"/>
  <c r="D620" i="9" s="1"/>
  <c r="E620" i="9" s="1"/>
  <c r="F620" i="9" s="1"/>
  <c r="D905" i="9" a="1"/>
  <c r="D905" i="9" s="1"/>
  <c r="E905" i="9" s="1"/>
  <c r="F905" i="9" s="1"/>
  <c r="D1049" i="9" a="1"/>
  <c r="D1049" i="9" s="1"/>
  <c r="E1049" i="9" s="1"/>
  <c r="F1049" i="9" s="1"/>
  <c r="D489" i="9" a="1"/>
  <c r="D489" i="9" s="1"/>
  <c r="E489" i="9" s="1"/>
  <c r="F489" i="9" s="1"/>
  <c r="D734" i="9" a="1"/>
  <c r="D734" i="9" s="1"/>
  <c r="E734" i="9" s="1"/>
  <c r="F734" i="9" s="1"/>
  <c r="D847" i="9" a="1"/>
  <c r="D847" i="9" s="1"/>
  <c r="E847" i="9" s="1"/>
  <c r="F847" i="9" s="1"/>
  <c r="D990" i="9" a="1"/>
  <c r="D990" i="9" s="1"/>
  <c r="E990" i="9" s="1"/>
  <c r="F990" i="9" s="1"/>
  <c r="D1134" i="9" a="1"/>
  <c r="D1134" i="9" s="1"/>
  <c r="E1134" i="9" s="1"/>
  <c r="F1134" i="9" s="1"/>
  <c r="D1278" i="9" a="1"/>
  <c r="D1278" i="9" s="1"/>
  <c r="E1278" i="9" s="1"/>
  <c r="F1278" i="9" s="1"/>
  <c r="D1422" i="9" a="1"/>
  <c r="D1422" i="9" s="1"/>
  <c r="E1422" i="9" s="1"/>
  <c r="F1422" i="9" s="1"/>
  <c r="D408" i="9" a="1"/>
  <c r="D408" i="9" s="1"/>
  <c r="E408" i="9" s="1"/>
  <c r="F408" i="9" s="1"/>
  <c r="D722" i="9" a="1"/>
  <c r="D722" i="9" s="1"/>
  <c r="E722" i="9" s="1"/>
  <c r="F722" i="9" s="1"/>
  <c r="D836" i="9" a="1"/>
  <c r="D836" i="9" s="1"/>
  <c r="E836" i="9" s="1"/>
  <c r="F836" i="9" s="1"/>
  <c r="D979" i="9" a="1"/>
  <c r="D979" i="9" s="1"/>
  <c r="E979" i="9" s="1"/>
  <c r="F979" i="9" s="1"/>
  <c r="D1123" i="9" a="1"/>
  <c r="D1123" i="9" s="1"/>
  <c r="E1123" i="9" s="1"/>
  <c r="F1123" i="9" s="1"/>
  <c r="D1267" i="9" a="1"/>
  <c r="D1267" i="9" s="1"/>
  <c r="E1267" i="9" s="1"/>
  <c r="F1267" i="9" s="1"/>
  <c r="D1411" i="9" a="1"/>
  <c r="D1411" i="9" s="1"/>
  <c r="E1411" i="9" s="1"/>
  <c r="F1411" i="9" s="1"/>
  <c r="D261" i="9" a="1"/>
  <c r="D261" i="9" s="1"/>
  <c r="E261" i="9" s="1"/>
  <c r="F261" i="9" s="1"/>
  <c r="D710" i="9" a="1"/>
  <c r="D710" i="9" s="1"/>
  <c r="E710" i="9" s="1"/>
  <c r="F710" i="9" s="1"/>
  <c r="D932" i="9" a="1"/>
  <c r="D932" i="9" s="1"/>
  <c r="E932" i="9" s="1"/>
  <c r="F932" i="9" s="1"/>
  <c r="D1076" i="9" a="1"/>
  <c r="D1076" i="9" s="1"/>
  <c r="E1076" i="9" s="1"/>
  <c r="F1076" i="9" s="1"/>
  <c r="D1220" i="9" a="1"/>
  <c r="D1220" i="9" s="1"/>
  <c r="E1220" i="9" s="1"/>
  <c r="F1220" i="9" s="1"/>
  <c r="D716" i="9" a="1"/>
  <c r="D716" i="9" s="1"/>
  <c r="E716" i="9" s="1"/>
  <c r="F716" i="9" s="1"/>
  <c r="D897" i="9" a="1"/>
  <c r="D897" i="9" s="1"/>
  <c r="E897" i="9" s="1"/>
  <c r="F897" i="9" s="1"/>
  <c r="D1041" i="9" a="1"/>
  <c r="D1041" i="9" s="1"/>
  <c r="E1041" i="9" s="1"/>
  <c r="F1041" i="9" s="1"/>
  <c r="D1511" i="9" a="1"/>
  <c r="D1511" i="9" s="1"/>
  <c r="E1511" i="9" s="1"/>
  <c r="F1511" i="9" s="1"/>
  <c r="D1952" i="9" a="1"/>
  <c r="D1952" i="9" s="1"/>
  <c r="E1952" i="9" s="1"/>
  <c r="F1952" i="9" s="1"/>
  <c r="D1545" i="9" a="1"/>
  <c r="D1545" i="9" s="1"/>
  <c r="E1545" i="9" s="1"/>
  <c r="F1545" i="9" s="1"/>
  <c r="D1749" i="9" a="1"/>
  <c r="D1749" i="9" s="1"/>
  <c r="E1749" i="9" s="1"/>
  <c r="F1749" i="9" s="1"/>
  <c r="D1977" i="9" a="1"/>
  <c r="D1977" i="9" s="1"/>
  <c r="E1977" i="9" s="1"/>
  <c r="F1977" i="9" s="1"/>
  <c r="D2157" i="9" a="1"/>
  <c r="D2157" i="9" s="1"/>
  <c r="E2157" i="9" s="1"/>
  <c r="F2157" i="9" s="1"/>
  <c r="D2325" i="9" a="1"/>
  <c r="D2325" i="9" s="1"/>
  <c r="E2325" i="9" s="1"/>
  <c r="F2325" i="9" s="1"/>
  <c r="D1514" i="9" a="1"/>
  <c r="D1514" i="9" s="1"/>
  <c r="E1514" i="9" s="1"/>
  <c r="F1514" i="9" s="1"/>
  <c r="D1678" i="9" a="1"/>
  <c r="D1678" i="9" s="1"/>
  <c r="E1678" i="9" s="1"/>
  <c r="F1678" i="9" s="1"/>
  <c r="D1834" i="9" a="1"/>
  <c r="D1834" i="9" s="1"/>
  <c r="E1834" i="9" s="1"/>
  <c r="F1834" i="9" s="1"/>
  <c r="D1300" i="9" a="1"/>
  <c r="D1300" i="9" s="1"/>
  <c r="E1300" i="9" s="1"/>
  <c r="F1300" i="9" s="1"/>
  <c r="D1532" i="9" a="1"/>
  <c r="D1532" i="9" s="1"/>
  <c r="E1532" i="9" s="1"/>
  <c r="F1532" i="9" s="1"/>
  <c r="D1691" i="9" a="1"/>
  <c r="D1691" i="9" s="1"/>
  <c r="E1691" i="9" s="1"/>
  <c r="F1691" i="9" s="1"/>
  <c r="D1277" i="9" a="1"/>
  <c r="D1277" i="9" s="1"/>
  <c r="E1277" i="9" s="1"/>
  <c r="F1277" i="9" s="1"/>
  <c r="D1501" i="9" a="1"/>
  <c r="D1501" i="9" s="1"/>
  <c r="E1501" i="9" s="1"/>
  <c r="F1501" i="9" s="1"/>
  <c r="D1656" i="9" a="1"/>
  <c r="D1656" i="9" s="1"/>
  <c r="E1656" i="9" s="1"/>
  <c r="F1656" i="9" s="1"/>
  <c r="D1800" i="9" a="1"/>
  <c r="D1800" i="9" s="1"/>
  <c r="E1800" i="9" s="1"/>
  <c r="F1800" i="9" s="1"/>
  <c r="D1944" i="9" a="1"/>
  <c r="D1944" i="9" s="1"/>
  <c r="E1944" i="9" s="1"/>
  <c r="F1944" i="9" s="1"/>
  <c r="D1322" i="9" a="1"/>
  <c r="D1322" i="9" s="1"/>
  <c r="E1322" i="9" s="1"/>
  <c r="F1322" i="9" s="1"/>
  <c r="D1535" i="9" a="1"/>
  <c r="D1535" i="9" s="1"/>
  <c r="E1535" i="9" s="1"/>
  <c r="F1535" i="9" s="1"/>
  <c r="D1681" i="9" a="1"/>
  <c r="D1681" i="9" s="1"/>
  <c r="E1681" i="9" s="1"/>
  <c r="F1681" i="9" s="1"/>
  <c r="D1825" i="9" a="1"/>
  <c r="D1825" i="9" s="1"/>
  <c r="E1825" i="9" s="1"/>
  <c r="F1825" i="9" s="1"/>
  <c r="D1969" i="9" a="1"/>
  <c r="D1969" i="9" s="1"/>
  <c r="E1969" i="9" s="1"/>
  <c r="F1969" i="9" s="1"/>
  <c r="D2113" i="9" a="1"/>
  <c r="D2113" i="9" s="1"/>
  <c r="E2113" i="9" s="1"/>
  <c r="F2113" i="9" s="1"/>
  <c r="D1883" i="9" a="1"/>
  <c r="D1883" i="9" s="1"/>
  <c r="E1883" i="9" s="1"/>
  <c r="F1883" i="9" s="1"/>
  <c r="D1129" i="9" a="1"/>
  <c r="D1129" i="9" s="1"/>
  <c r="E1129" i="9" s="1"/>
  <c r="F1129" i="9" s="1"/>
  <c r="D1240" i="9" a="1"/>
  <c r="D1240" i="9" s="1"/>
  <c r="E1240" i="9" s="1"/>
  <c r="F1240" i="9" s="1"/>
  <c r="D1232" i="9" a="1"/>
  <c r="D1232" i="9" s="1"/>
  <c r="E1232" i="9" s="1"/>
  <c r="F1232" i="9" s="1"/>
  <c r="D636" i="9" a="1"/>
  <c r="D636" i="9" s="1"/>
  <c r="E636" i="9" s="1"/>
  <c r="F636" i="9" s="1"/>
  <c r="D782" i="9" a="1"/>
  <c r="D782" i="9" s="1"/>
  <c r="E782" i="9" s="1"/>
  <c r="F782" i="9" s="1"/>
  <c r="D914" i="9" a="1"/>
  <c r="D914" i="9" s="1"/>
  <c r="E914" i="9" s="1"/>
  <c r="F914" i="9" s="1"/>
  <c r="D1058" i="9" a="1"/>
  <c r="D1058" i="9" s="1"/>
  <c r="E1058" i="9" s="1"/>
  <c r="F1058" i="9" s="1"/>
  <c r="D520" i="9" a="1"/>
  <c r="D520" i="9" s="1"/>
  <c r="E520" i="9" s="1"/>
  <c r="F520" i="9" s="1"/>
  <c r="D744" i="9" a="1"/>
  <c r="D744" i="9" s="1"/>
  <c r="E744" i="9" s="1"/>
  <c r="F744" i="9" s="1"/>
  <c r="D856" i="9" a="1"/>
  <c r="D856" i="9" s="1"/>
  <c r="E856" i="9" s="1"/>
  <c r="F856" i="9" s="1"/>
  <c r="D999" i="9" a="1"/>
  <c r="D999" i="9" s="1"/>
  <c r="E999" i="9" s="1"/>
  <c r="F999" i="9" s="1"/>
  <c r="D1143" i="9" a="1"/>
  <c r="D1143" i="9" s="1"/>
  <c r="E1143" i="9" s="1"/>
  <c r="F1143" i="9" s="1"/>
  <c r="D482" i="9" a="1"/>
  <c r="D482" i="9" s="1"/>
  <c r="E482" i="9" s="1"/>
  <c r="F482" i="9" s="1"/>
  <c r="D732" i="9" a="1"/>
  <c r="D732" i="9" s="1"/>
  <c r="E732" i="9" s="1"/>
  <c r="F732" i="9" s="1"/>
  <c r="D845" i="9" a="1"/>
  <c r="D845" i="9" s="1"/>
  <c r="E845" i="9" s="1"/>
  <c r="F845" i="9" s="1"/>
  <c r="D988" i="9" a="1"/>
  <c r="D988" i="9" s="1"/>
  <c r="E988" i="9" s="1"/>
  <c r="F988" i="9" s="1"/>
  <c r="D1132" i="9" a="1"/>
  <c r="D1132" i="9" s="1"/>
  <c r="E1132" i="9" s="1"/>
  <c r="F1132" i="9" s="1"/>
  <c r="D639" i="9" a="1"/>
  <c r="D639" i="9" s="1"/>
  <c r="E639" i="9" s="1"/>
  <c r="F639" i="9" s="1"/>
  <c r="D917" i="9" a="1"/>
  <c r="D917" i="9" s="1"/>
  <c r="E917" i="9" s="1"/>
  <c r="F917" i="9" s="1"/>
  <c r="D1061" i="9" a="1"/>
  <c r="D1061" i="9" s="1"/>
  <c r="E1061" i="9" s="1"/>
  <c r="F1061" i="9" s="1"/>
  <c r="D528" i="9" a="1"/>
  <c r="D528" i="9" s="1"/>
  <c r="E528" i="9" s="1"/>
  <c r="F528" i="9" s="1"/>
  <c r="D747" i="9" a="1"/>
  <c r="D747" i="9" s="1"/>
  <c r="E747" i="9" s="1"/>
  <c r="F747" i="9" s="1"/>
  <c r="D859" i="9" a="1"/>
  <c r="D859" i="9" s="1"/>
  <c r="E859" i="9" s="1"/>
  <c r="F859" i="9" s="1"/>
  <c r="D1002" i="9" a="1"/>
  <c r="D1002" i="9" s="1"/>
  <c r="E1002" i="9" s="1"/>
  <c r="F1002" i="9" s="1"/>
  <c r="D1146" i="9" a="1"/>
  <c r="D1146" i="9" s="1"/>
  <c r="E1146" i="9" s="1"/>
  <c r="F1146" i="9" s="1"/>
  <c r="D1290" i="9" a="1"/>
  <c r="D1290" i="9" s="1"/>
  <c r="E1290" i="9" s="1"/>
  <c r="F1290" i="9" s="1"/>
  <c r="D1434" i="9" a="1"/>
  <c r="D1434" i="9" s="1"/>
  <c r="E1434" i="9" s="1"/>
  <c r="F1434" i="9" s="1"/>
  <c r="D491" i="9" a="1"/>
  <c r="D491" i="9" s="1"/>
  <c r="E491" i="9" s="1"/>
  <c r="F491" i="9" s="1"/>
  <c r="D735" i="9" a="1"/>
  <c r="D735" i="9" s="1"/>
  <c r="E735" i="9" s="1"/>
  <c r="F735" i="9" s="1"/>
  <c r="D848" i="9" a="1"/>
  <c r="D848" i="9" s="1"/>
  <c r="E848" i="9" s="1"/>
  <c r="F848" i="9" s="1"/>
  <c r="D991" i="9" a="1"/>
  <c r="D991" i="9" s="1"/>
  <c r="E991" i="9" s="1"/>
  <c r="F991" i="9" s="1"/>
  <c r="D1135" i="9" a="1"/>
  <c r="D1135" i="9" s="1"/>
  <c r="E1135" i="9" s="1"/>
  <c r="F1135" i="9" s="1"/>
  <c r="D1279" i="9" a="1"/>
  <c r="D1279" i="9" s="1"/>
  <c r="E1279" i="9" s="1"/>
  <c r="F1279" i="9" s="1"/>
  <c r="D1423" i="9" a="1"/>
  <c r="D1423" i="9" s="1"/>
  <c r="E1423" i="9" s="1"/>
  <c r="F1423" i="9" s="1"/>
  <c r="D417" i="9" a="1"/>
  <c r="D417" i="9" s="1"/>
  <c r="E417" i="9" s="1"/>
  <c r="F417" i="9" s="1"/>
  <c r="D723" i="9" a="1"/>
  <c r="D723" i="9" s="1"/>
  <c r="E723" i="9" s="1"/>
  <c r="F723" i="9" s="1"/>
  <c r="D837" i="9" a="1"/>
  <c r="D837" i="9" s="1"/>
  <c r="E837" i="9" s="1"/>
  <c r="F837" i="9" s="1"/>
  <c r="D980" i="9" a="1"/>
  <c r="D980" i="9" s="1"/>
  <c r="E980" i="9" s="1"/>
  <c r="F980" i="9" s="1"/>
  <c r="D1124" i="9" a="1"/>
  <c r="D1124" i="9" s="1"/>
  <c r="E1124" i="9" s="1"/>
  <c r="F1124" i="9" s="1"/>
  <c r="D1663" i="9" a="1"/>
  <c r="D1663" i="9" s="1"/>
  <c r="E1663" i="9" s="1"/>
  <c r="F1663" i="9" s="1"/>
  <c r="D1964" i="9" a="1"/>
  <c r="D1964" i="9" s="1"/>
  <c r="E1964" i="9" s="1"/>
  <c r="F1964" i="9" s="1"/>
  <c r="D1557" i="9" a="1"/>
  <c r="D1557" i="9" s="1"/>
  <c r="E1557" i="9" s="1"/>
  <c r="F1557" i="9" s="1"/>
  <c r="D1809" i="9" a="1"/>
  <c r="D1809" i="9" s="1"/>
  <c r="E1809" i="9" s="1"/>
  <c r="F1809" i="9" s="1"/>
  <c r="D1989" i="9" a="1"/>
  <c r="D1989" i="9" s="1"/>
  <c r="E1989" i="9" s="1"/>
  <c r="F1989" i="9" s="1"/>
  <c r="D2169" i="9" a="1"/>
  <c r="D2169" i="9" s="1"/>
  <c r="E2169" i="9" s="1"/>
  <c r="F2169" i="9" s="1"/>
  <c r="D1237" i="9" a="1"/>
  <c r="D1237" i="9" s="1"/>
  <c r="E1237" i="9" s="1"/>
  <c r="F1237" i="9" s="1"/>
  <c r="D1529" i="9" a="1"/>
  <c r="D1529" i="9" s="1"/>
  <c r="E1529" i="9" s="1"/>
  <c r="F1529" i="9" s="1"/>
  <c r="D1690" i="9" a="1"/>
  <c r="D1690" i="9" s="1"/>
  <c r="E1690" i="9" s="1"/>
  <c r="F1690" i="9" s="1"/>
  <c r="D1846" i="9" a="1"/>
  <c r="D1846" i="9" s="1"/>
  <c r="E1846" i="9" s="1"/>
  <c r="F1846" i="9" s="1"/>
  <c r="D1320" i="9" a="1"/>
  <c r="D1320" i="9" s="1"/>
  <c r="E1320" i="9" s="1"/>
  <c r="F1320" i="9" s="1"/>
  <c r="D1547" i="9" a="1"/>
  <c r="D1547" i="9" s="1"/>
  <c r="E1547" i="9" s="1"/>
  <c r="F1547" i="9" s="1"/>
  <c r="D1703" i="9" a="1"/>
  <c r="D1703" i="9" s="1"/>
  <c r="E1703" i="9" s="1"/>
  <c r="F1703" i="9" s="1"/>
  <c r="D1301" i="9" a="1"/>
  <c r="D1301" i="9" s="1"/>
  <c r="E1301" i="9" s="1"/>
  <c r="F1301" i="9" s="1"/>
  <c r="D1516" i="9" a="1"/>
  <c r="D1516" i="9" s="1"/>
  <c r="E1516" i="9" s="1"/>
  <c r="F1516" i="9" s="1"/>
  <c r="D1668" i="9" a="1"/>
  <c r="D1668" i="9" s="1"/>
  <c r="E1668" i="9" s="1"/>
  <c r="F1668" i="9" s="1"/>
  <c r="D1812" i="9" a="1"/>
  <c r="D1812" i="9" s="1"/>
  <c r="E1812" i="9" s="1"/>
  <c r="F1812" i="9" s="1"/>
  <c r="D1956" i="9" a="1"/>
  <c r="D1956" i="9" s="1"/>
  <c r="E1956" i="9" s="1"/>
  <c r="F1956" i="9" s="1"/>
  <c r="D1340" i="9" a="1"/>
  <c r="D1340" i="9" s="1"/>
  <c r="E1340" i="9" s="1"/>
  <c r="F1340" i="9" s="1"/>
  <c r="D1549" i="9" a="1"/>
  <c r="D1549" i="9" s="1"/>
  <c r="E1549" i="9" s="1"/>
  <c r="F1549" i="9" s="1"/>
  <c r="D1693" i="9" a="1"/>
  <c r="D1693" i="9" s="1"/>
  <c r="E1693" i="9" s="1"/>
  <c r="F1693" i="9" s="1"/>
  <c r="D1837" i="9" a="1"/>
  <c r="D1837" i="9" s="1"/>
  <c r="E1837" i="9" s="1"/>
  <c r="F1837" i="9" s="1"/>
  <c r="D1981" i="9" a="1"/>
  <c r="D1981" i="9" s="1"/>
  <c r="E1981" i="9" s="1"/>
  <c r="F1981" i="9" s="1"/>
  <c r="D2125" i="9" a="1"/>
  <c r="D2125" i="9" s="1"/>
  <c r="E2125" i="9" s="1"/>
  <c r="F2125" i="9" s="1"/>
  <c r="D2015" i="9" a="1"/>
  <c r="D2015" i="9" s="1"/>
  <c r="E2015" i="9" s="1"/>
  <c r="F2015" i="9" s="1"/>
  <c r="D1268" i="9" a="1"/>
  <c r="D1268" i="9" s="1"/>
  <c r="E1268" i="9" s="1"/>
  <c r="F1268" i="9" s="1"/>
  <c r="D1213" i="9" a="1"/>
  <c r="D1213" i="9" s="1"/>
  <c r="E1213" i="9" s="1"/>
  <c r="F1213" i="9" s="1"/>
  <c r="D1204" i="9" a="1"/>
  <c r="D1204" i="9" s="1"/>
  <c r="E1204" i="9" s="1"/>
  <c r="F1204" i="9" s="1"/>
  <c r="D651" i="9" a="1"/>
  <c r="D651" i="9" s="1"/>
  <c r="E651" i="9" s="1"/>
  <c r="F651" i="9" s="1"/>
  <c r="D861" i="9" a="1"/>
  <c r="D861" i="9" s="1"/>
  <c r="E861" i="9" s="1"/>
  <c r="F861" i="9" s="1"/>
  <c r="D926" i="9" a="1"/>
  <c r="D926" i="9" s="1"/>
  <c r="E926" i="9" s="1"/>
  <c r="F926" i="9" s="1"/>
  <c r="D1070" i="9" a="1"/>
  <c r="D1070" i="9" s="1"/>
  <c r="E1070" i="9" s="1"/>
  <c r="F1070" i="9" s="1"/>
  <c r="D551" i="9" a="1"/>
  <c r="D551" i="9" s="1"/>
  <c r="E551" i="9" s="1"/>
  <c r="F551" i="9" s="1"/>
  <c r="D758" i="9" a="1"/>
  <c r="D758" i="9" s="1"/>
  <c r="E758" i="9" s="1"/>
  <c r="F758" i="9" s="1"/>
  <c r="D868" i="9" a="1"/>
  <c r="D868" i="9" s="1"/>
  <c r="E868" i="9" s="1"/>
  <c r="F868" i="9" s="1"/>
  <c r="D1011" i="9" a="1"/>
  <c r="D1011" i="9" s="1"/>
  <c r="E1011" i="9" s="1"/>
  <c r="F1011" i="9" s="1"/>
  <c r="D1155" i="9" a="1"/>
  <c r="D1155" i="9" s="1"/>
  <c r="E1155" i="9" s="1"/>
  <c r="F1155" i="9" s="1"/>
  <c r="D524" i="9" a="1"/>
  <c r="D524" i="9" s="1"/>
  <c r="E524" i="9" s="1"/>
  <c r="F524" i="9" s="1"/>
  <c r="D745" i="9" a="1"/>
  <c r="D745" i="9" s="1"/>
  <c r="E745" i="9" s="1"/>
  <c r="F745" i="9" s="1"/>
  <c r="D857" i="9" a="1"/>
  <c r="D857" i="9" s="1"/>
  <c r="E857" i="9" s="1"/>
  <c r="F857" i="9" s="1"/>
  <c r="D1000" i="9" a="1"/>
  <c r="D1000" i="9" s="1"/>
  <c r="E1000" i="9" s="1"/>
  <c r="F1000" i="9" s="1"/>
  <c r="D1144" i="9" a="1"/>
  <c r="D1144" i="9" s="1"/>
  <c r="E1144" i="9" s="1"/>
  <c r="F1144" i="9" s="1"/>
  <c r="D656" i="9" a="1"/>
  <c r="D656" i="9" s="1"/>
  <c r="E656" i="9" s="1"/>
  <c r="F656" i="9" s="1"/>
  <c r="D929" i="9" a="1"/>
  <c r="D929" i="9" s="1"/>
  <c r="E929" i="9" s="1"/>
  <c r="F929" i="9" s="1"/>
  <c r="D1073" i="9" a="1"/>
  <c r="D1073" i="9" s="1"/>
  <c r="E1073" i="9" s="1"/>
  <c r="F1073" i="9" s="1"/>
  <c r="D556" i="9" a="1"/>
  <c r="D556" i="9" s="1"/>
  <c r="E556" i="9" s="1"/>
  <c r="F556" i="9" s="1"/>
  <c r="D871" i="9" a="1"/>
  <c r="D871" i="9" s="1"/>
  <c r="E871" i="9" s="1"/>
  <c r="F871" i="9" s="1"/>
  <c r="D1014" i="9" a="1"/>
  <c r="D1014" i="9" s="1"/>
  <c r="E1014" i="9" s="1"/>
  <c r="F1014" i="9" s="1"/>
  <c r="D1158" i="9" a="1"/>
  <c r="D1158" i="9" s="1"/>
  <c r="E1158" i="9" s="1"/>
  <c r="F1158" i="9" s="1"/>
  <c r="D1302" i="9" a="1"/>
  <c r="D1302" i="9" s="1"/>
  <c r="E1302" i="9" s="1"/>
  <c r="F1302" i="9" s="1"/>
  <c r="D1446" i="9" a="1"/>
  <c r="D1446" i="9" s="1"/>
  <c r="E1446" i="9" s="1"/>
  <c r="F1446" i="9" s="1"/>
  <c r="D530" i="9" a="1"/>
  <c r="D530" i="9" s="1"/>
  <c r="E530" i="9" s="1"/>
  <c r="F530" i="9" s="1"/>
  <c r="D749" i="9" a="1"/>
  <c r="D749" i="9" s="1"/>
  <c r="E749" i="9" s="1"/>
  <c r="F749" i="9" s="1"/>
  <c r="D860" i="9" a="1"/>
  <c r="D860" i="9" s="1"/>
  <c r="E860" i="9" s="1"/>
  <c r="F860" i="9" s="1"/>
  <c r="D1003" i="9" a="1"/>
  <c r="D1003" i="9" s="1"/>
  <c r="E1003" i="9" s="1"/>
  <c r="F1003" i="9" s="1"/>
  <c r="D1147" i="9" a="1"/>
  <c r="D1147" i="9" s="1"/>
  <c r="E1147" i="9" s="1"/>
  <c r="F1147" i="9" s="1"/>
  <c r="D1291" i="9" a="1"/>
  <c r="D1291" i="9" s="1"/>
  <c r="E1291" i="9" s="1"/>
  <c r="F1291" i="9" s="1"/>
  <c r="D1435" i="9" a="1"/>
  <c r="D1435" i="9" s="1"/>
  <c r="E1435" i="9" s="1"/>
  <c r="F1435" i="9" s="1"/>
  <c r="D497" i="9" a="1"/>
  <c r="D497" i="9" s="1"/>
  <c r="E497" i="9" s="1"/>
  <c r="F497" i="9" s="1"/>
  <c r="D736" i="9" a="1"/>
  <c r="D736" i="9" s="1"/>
  <c r="E736" i="9" s="1"/>
  <c r="F736" i="9" s="1"/>
  <c r="D849" i="9" a="1"/>
  <c r="D849" i="9" s="1"/>
  <c r="E849" i="9" s="1"/>
  <c r="F849" i="9" s="1"/>
  <c r="D992" i="9" a="1"/>
  <c r="D992" i="9" s="1"/>
  <c r="E992" i="9" s="1"/>
  <c r="F992" i="9" s="1"/>
  <c r="D1136" i="9" a="1"/>
  <c r="D1136" i="9" s="1"/>
  <c r="E1136" i="9" s="1"/>
  <c r="F1136" i="9" s="1"/>
  <c r="D1160" i="9" a="1"/>
  <c r="D1160" i="9" s="1"/>
  <c r="E1160" i="9" s="1"/>
  <c r="F1160" i="9" s="1"/>
  <c r="D933" i="9" a="1"/>
  <c r="D933" i="9" s="1"/>
  <c r="E933" i="9" s="1"/>
  <c r="F933" i="9" s="1"/>
  <c r="D1221" i="9" a="1"/>
  <c r="D1221" i="9" s="1"/>
  <c r="E1221" i="9" s="1"/>
  <c r="F1221" i="9" s="1"/>
  <c r="D762" i="9" a="1"/>
  <c r="D762" i="9" s="1"/>
  <c r="E762" i="9" s="1"/>
  <c r="F762" i="9" s="1"/>
  <c r="D922" i="9" a="1"/>
  <c r="D922" i="9" s="1"/>
  <c r="E922" i="9" s="1"/>
  <c r="F922" i="9" s="1"/>
  <c r="D1162" i="9" a="1"/>
  <c r="D1162" i="9" s="1"/>
  <c r="E1162" i="9" s="1"/>
  <c r="F1162" i="9" s="1"/>
  <c r="D1354" i="9" a="1"/>
  <c r="D1354" i="9" s="1"/>
  <c r="E1354" i="9" s="1"/>
  <c r="F1354" i="9" s="1"/>
  <c r="D563" i="9" a="1"/>
  <c r="D563" i="9" s="1"/>
  <c r="E563" i="9" s="1"/>
  <c r="F563" i="9" s="1"/>
  <c r="D1019" i="9" a="1"/>
  <c r="D1019" i="9" s="1"/>
  <c r="E1019" i="9" s="1"/>
  <c r="F1019" i="9" s="1"/>
  <c r="D1211" i="9" a="1"/>
  <c r="D1211" i="9" s="1"/>
  <c r="E1211" i="9" s="1"/>
  <c r="F1211" i="9" s="1"/>
  <c r="D1451" i="9" a="1"/>
  <c r="D1451" i="9" s="1"/>
  <c r="E1451" i="9" s="1"/>
  <c r="F1451" i="9" s="1"/>
  <c r="D683" i="9" a="1"/>
  <c r="D683" i="9" s="1"/>
  <c r="E683" i="9" s="1"/>
  <c r="F683" i="9" s="1"/>
  <c r="D841" i="9" a="1"/>
  <c r="D841" i="9" s="1"/>
  <c r="E841" i="9" s="1"/>
  <c r="F841" i="9" s="1"/>
  <c r="D996" i="9" a="1"/>
  <c r="D996" i="9" s="1"/>
  <c r="E996" i="9" s="1"/>
  <c r="F996" i="9" s="1"/>
  <c r="D1152" i="9" a="1"/>
  <c r="D1152" i="9" s="1"/>
  <c r="E1152" i="9" s="1"/>
  <c r="F1152" i="9" s="1"/>
  <c r="D516" i="9" a="1"/>
  <c r="D516" i="9" s="1"/>
  <c r="E516" i="9" s="1"/>
  <c r="F516" i="9" s="1"/>
  <c r="D742" i="9" a="1"/>
  <c r="D742" i="9" s="1"/>
  <c r="E742" i="9" s="1"/>
  <c r="F742" i="9" s="1"/>
  <c r="D854" i="9" a="1"/>
  <c r="D854" i="9" s="1"/>
  <c r="E854" i="9" s="1"/>
  <c r="F854" i="9" s="1"/>
  <c r="D997" i="9" a="1"/>
  <c r="D997" i="9" s="1"/>
  <c r="E997" i="9" s="1"/>
  <c r="F997" i="9" s="1"/>
  <c r="D1169" i="9" a="1"/>
  <c r="D1169" i="9" s="1"/>
  <c r="E1169" i="9" s="1"/>
  <c r="F1169" i="9" s="1"/>
  <c r="D1273" i="9" a="1"/>
  <c r="D1273" i="9" s="1"/>
  <c r="E1273" i="9" s="1"/>
  <c r="F1273" i="9" s="1"/>
  <c r="D30" i="9" a="1"/>
  <c r="D30" i="9" s="1"/>
  <c r="E30" i="9" s="1"/>
  <c r="F30" i="9" s="1"/>
  <c r="D161" i="9" a="1"/>
  <c r="D161" i="9" s="1"/>
  <c r="E161" i="9" s="1"/>
  <c r="F161" i="9" s="1"/>
  <c r="D295" i="9" a="1"/>
  <c r="D295" i="9" s="1"/>
  <c r="E295" i="9" s="1"/>
  <c r="F295" i="9" s="1"/>
  <c r="D468" i="9" a="1"/>
  <c r="D468" i="9" s="1"/>
  <c r="E468" i="9" s="1"/>
  <c r="F468" i="9" s="1"/>
  <c r="D621" i="9" a="1"/>
  <c r="D621" i="9" s="1"/>
  <c r="E621" i="9" s="1"/>
  <c r="F621" i="9" s="1"/>
  <c r="D59" i="9" a="1"/>
  <c r="D59" i="9" s="1"/>
  <c r="E59" i="9" s="1"/>
  <c r="F59" i="9" s="1"/>
  <c r="D219" i="9" a="1"/>
  <c r="D219" i="9" s="1"/>
  <c r="E219" i="9" s="1"/>
  <c r="F219" i="9" s="1"/>
  <c r="D337" i="9" a="1"/>
  <c r="D337" i="9" s="1"/>
  <c r="E337" i="9" s="1"/>
  <c r="F337" i="9" s="1"/>
  <c r="D461" i="9" a="1"/>
  <c r="D461" i="9" s="1"/>
  <c r="E461" i="9" s="1"/>
  <c r="F461" i="9" s="1"/>
  <c r="D594" i="9" a="1"/>
  <c r="D594" i="9" s="1"/>
  <c r="E594" i="9" s="1"/>
  <c r="F594" i="9" s="1"/>
  <c r="D134" i="9" a="1"/>
  <c r="D134" i="9" s="1"/>
  <c r="E134" i="9" s="1"/>
  <c r="F134" i="9" s="1"/>
  <c r="D249" i="9" a="1"/>
  <c r="D249" i="9" s="1"/>
  <c r="E249" i="9" s="1"/>
  <c r="F249" i="9" s="1"/>
  <c r="D445" i="9" a="1"/>
  <c r="D445" i="9" s="1"/>
  <c r="E445" i="9" s="1"/>
  <c r="F445" i="9" s="1"/>
  <c r="D585" i="9" a="1"/>
  <c r="D585" i="9" s="1"/>
  <c r="E585" i="9" s="1"/>
  <c r="F585" i="9" s="1"/>
  <c r="D738" i="9" a="1"/>
  <c r="D738" i="9" s="1"/>
  <c r="E738" i="9" s="1"/>
  <c r="F738" i="9" s="1"/>
  <c r="D89" i="9" a="1"/>
  <c r="D89" i="9" s="1"/>
  <c r="E89" i="9" s="1"/>
  <c r="F89" i="9" s="1"/>
  <c r="D230" i="9" a="1"/>
  <c r="D230" i="9" s="1"/>
  <c r="E230" i="9" s="1"/>
  <c r="F230" i="9" s="1"/>
  <c r="D365" i="9" a="1"/>
  <c r="D365" i="9" s="1"/>
  <c r="E365" i="9" s="1"/>
  <c r="F365" i="9" s="1"/>
  <c r="D533" i="9" a="1"/>
  <c r="D533" i="9" s="1"/>
  <c r="E533" i="9" s="1"/>
  <c r="F533" i="9" s="1"/>
  <c r="D670" i="9" a="1"/>
  <c r="D670" i="9" s="1"/>
  <c r="E670" i="9" s="1"/>
  <c r="F670" i="9" s="1"/>
  <c r="D98" i="9" a="1"/>
  <c r="D98" i="9" s="1"/>
  <c r="E98" i="9" s="1"/>
  <c r="F98" i="9" s="1"/>
  <c r="D90" i="9" a="1"/>
  <c r="D90" i="9" s="1"/>
  <c r="E90" i="9" s="1"/>
  <c r="F90" i="9" s="1"/>
  <c r="D242" i="9" a="1"/>
  <c r="D242" i="9" s="1"/>
  <c r="E242" i="9" s="1"/>
  <c r="F242" i="9" s="1"/>
  <c r="D376" i="9" a="1"/>
  <c r="D376" i="9" s="1"/>
  <c r="E376" i="9" s="1"/>
  <c r="F376" i="9" s="1"/>
  <c r="D507" i="9" a="1"/>
  <c r="D507" i="9" s="1"/>
  <c r="E507" i="9" s="1"/>
  <c r="F507" i="9" s="1"/>
  <c r="D127" i="9" a="1"/>
  <c r="D127" i="9" s="1"/>
  <c r="E127" i="9" s="1"/>
  <c r="F127" i="9" s="1"/>
  <c r="D272" i="9" a="1"/>
  <c r="D272" i="9" s="1"/>
  <c r="E272" i="9" s="1"/>
  <c r="F272" i="9" s="1"/>
  <c r="D437" i="9" a="1"/>
  <c r="D437" i="9" s="1"/>
  <c r="E437" i="9" s="1"/>
  <c r="F437" i="9" s="1"/>
  <c r="D635" i="9" a="1"/>
  <c r="D635" i="9" s="1"/>
  <c r="E635" i="9" s="1"/>
  <c r="F635" i="9" s="1"/>
  <c r="D110" i="9" a="1"/>
  <c r="D110" i="9" s="1"/>
  <c r="E110" i="9" s="1"/>
  <c r="F110" i="9" s="1"/>
  <c r="D244" i="9" a="1"/>
  <c r="D244" i="9" s="1"/>
  <c r="E244" i="9" s="1"/>
  <c r="F244" i="9" s="1"/>
  <c r="D377" i="9" a="1"/>
  <c r="D377" i="9" s="1"/>
  <c r="E377" i="9" s="1"/>
  <c r="F377" i="9" s="1"/>
  <c r="D19" i="9" a="1"/>
  <c r="D19" i="9" s="1"/>
  <c r="E19" i="9" s="1"/>
  <c r="F19" i="9" s="1"/>
  <c r="D167" i="9" a="1"/>
  <c r="D167" i="9" s="1"/>
  <c r="E167" i="9" s="1"/>
  <c r="F167" i="9" s="1"/>
  <c r="D628" i="9" a="1"/>
  <c r="D628" i="9" s="1"/>
  <c r="E628" i="9" s="1"/>
  <c r="F628" i="9" s="1"/>
  <c r="D945" i="9" a="1"/>
  <c r="D945" i="9" s="1"/>
  <c r="E945" i="9" s="1"/>
  <c r="F945" i="9" s="1"/>
  <c r="D1233" i="9" a="1"/>
  <c r="D1233" i="9" s="1"/>
  <c r="E1233" i="9" s="1"/>
  <c r="F1233" i="9" s="1"/>
  <c r="D768" i="9" a="1"/>
  <c r="D768" i="9" s="1"/>
  <c r="E768" i="9" s="1"/>
  <c r="F768" i="9" s="1"/>
  <c r="D934" i="9" a="1"/>
  <c r="D934" i="9" s="1"/>
  <c r="E934" i="9" s="1"/>
  <c r="F934" i="9" s="1"/>
  <c r="D1174" i="9" a="1"/>
  <c r="D1174" i="9" s="1"/>
  <c r="E1174" i="9" s="1"/>
  <c r="F1174" i="9" s="1"/>
  <c r="D1366" i="9" a="1"/>
  <c r="D1366" i="9" s="1"/>
  <c r="E1366" i="9" s="1"/>
  <c r="F1366" i="9" s="1"/>
  <c r="D590" i="9" a="1"/>
  <c r="D590" i="9" s="1"/>
  <c r="E590" i="9" s="1"/>
  <c r="F590" i="9" s="1"/>
  <c r="D1031" i="9" a="1"/>
  <c r="D1031" i="9" s="1"/>
  <c r="E1031" i="9" s="1"/>
  <c r="F1031" i="9" s="1"/>
  <c r="D1223" i="9" a="1"/>
  <c r="D1223" i="9" s="1"/>
  <c r="E1223" i="9" s="1"/>
  <c r="F1223" i="9" s="1"/>
  <c r="D1463" i="9" a="1"/>
  <c r="D1463" i="9" s="1"/>
  <c r="E1463" i="9" s="1"/>
  <c r="F1463" i="9" s="1"/>
  <c r="D700" i="9" a="1"/>
  <c r="D700" i="9" s="1"/>
  <c r="E700" i="9" s="1"/>
  <c r="F700" i="9" s="1"/>
  <c r="D853" i="9" a="1"/>
  <c r="D853" i="9" s="1"/>
  <c r="E853" i="9" s="1"/>
  <c r="F853" i="9" s="1"/>
  <c r="D1008" i="9" a="1"/>
  <c r="D1008" i="9" s="1"/>
  <c r="E1008" i="9" s="1"/>
  <c r="F1008" i="9" s="1"/>
  <c r="D1164" i="9" a="1"/>
  <c r="D1164" i="9" s="1"/>
  <c r="E1164" i="9" s="1"/>
  <c r="F1164" i="9" s="1"/>
  <c r="D546" i="9" a="1"/>
  <c r="D546" i="9" s="1"/>
  <c r="E546" i="9" s="1"/>
  <c r="F546" i="9" s="1"/>
  <c r="D756" i="9" a="1"/>
  <c r="D756" i="9" s="1"/>
  <c r="E756" i="9" s="1"/>
  <c r="F756" i="9" s="1"/>
  <c r="D866" i="9" a="1"/>
  <c r="D866" i="9" s="1"/>
  <c r="E866" i="9" s="1"/>
  <c r="F866" i="9" s="1"/>
  <c r="D1009" i="9" a="1"/>
  <c r="D1009" i="9" s="1"/>
  <c r="E1009" i="9" s="1"/>
  <c r="F1009" i="9" s="1"/>
  <c r="D1275" i="9" a="1"/>
  <c r="D1275" i="9" s="1"/>
  <c r="E1275" i="9" s="1"/>
  <c r="F1275" i="9" s="1"/>
  <c r="D1252" i="9" a="1"/>
  <c r="D1252" i="9" s="1"/>
  <c r="E1252" i="9" s="1"/>
  <c r="F1252" i="9" s="1"/>
  <c r="D40" i="9" a="1"/>
  <c r="D40" i="9" s="1"/>
  <c r="E40" i="9" s="1"/>
  <c r="F40" i="9" s="1"/>
  <c r="D179" i="9" a="1"/>
  <c r="D179" i="9" s="1"/>
  <c r="E179" i="9" s="1"/>
  <c r="F179" i="9" s="1"/>
  <c r="D313" i="9" a="1"/>
  <c r="D313" i="9" s="1"/>
  <c r="E313" i="9" s="1"/>
  <c r="F313" i="9" s="1"/>
  <c r="D485" i="9" a="1"/>
  <c r="D485" i="9" s="1"/>
  <c r="E485" i="9" s="1"/>
  <c r="F485" i="9" s="1"/>
  <c r="D631" i="9" a="1"/>
  <c r="D631" i="9" s="1"/>
  <c r="E631" i="9" s="1"/>
  <c r="F631" i="9" s="1"/>
  <c r="D68" i="9" a="1"/>
  <c r="D68" i="9" s="1"/>
  <c r="E68" i="9" s="1"/>
  <c r="F68" i="9" s="1"/>
  <c r="D228" i="9" a="1"/>
  <c r="D228" i="9" s="1"/>
  <c r="E228" i="9" s="1"/>
  <c r="F228" i="9" s="1"/>
  <c r="D345" i="9" a="1"/>
  <c r="D345" i="9" s="1"/>
  <c r="E345" i="9" s="1"/>
  <c r="F345" i="9" s="1"/>
  <c r="D476" i="9" a="1"/>
  <c r="D476" i="9" s="1"/>
  <c r="E476" i="9" s="1"/>
  <c r="F476" i="9" s="1"/>
  <c r="D614" i="9" a="1"/>
  <c r="D614" i="9" s="1"/>
  <c r="E614" i="9" s="1"/>
  <c r="F614" i="9" s="1"/>
  <c r="D144" i="9" a="1"/>
  <c r="D144" i="9" s="1"/>
  <c r="E144" i="9" s="1"/>
  <c r="F144" i="9" s="1"/>
  <c r="D270" i="9" a="1"/>
  <c r="D270" i="9" s="1"/>
  <c r="E270" i="9" s="1"/>
  <c r="F270" i="9" s="1"/>
  <c r="D452" i="9" a="1"/>
  <c r="D452" i="9" s="1"/>
  <c r="E452" i="9" s="1"/>
  <c r="F452" i="9" s="1"/>
  <c r="D595" i="9" a="1"/>
  <c r="D595" i="9" s="1"/>
  <c r="E595" i="9" s="1"/>
  <c r="F595" i="9" s="1"/>
  <c r="D748" i="9" a="1"/>
  <c r="D748" i="9" s="1"/>
  <c r="E748" i="9" s="1"/>
  <c r="F748" i="9" s="1"/>
  <c r="D107" i="9" a="1"/>
  <c r="D107" i="9" s="1"/>
  <c r="E107" i="9" s="1"/>
  <c r="F107" i="9" s="1"/>
  <c r="D250" i="9" a="1"/>
  <c r="D250" i="9" s="1"/>
  <c r="E250" i="9" s="1"/>
  <c r="F250" i="9" s="1"/>
  <c r="D375" i="9" a="1"/>
  <c r="D375" i="9" s="1"/>
  <c r="E375" i="9" s="1"/>
  <c r="F375" i="9" s="1"/>
  <c r="D542" i="9" a="1"/>
  <c r="D542" i="9" s="1"/>
  <c r="E542" i="9" s="1"/>
  <c r="F542" i="9" s="1"/>
  <c r="D679" i="9" a="1"/>
  <c r="D679" i="9" s="1"/>
  <c r="E679" i="9" s="1"/>
  <c r="F679" i="9" s="1"/>
  <c r="D117" i="9" a="1"/>
  <c r="D117" i="9" s="1"/>
  <c r="E117" i="9" s="1"/>
  <c r="F117" i="9" s="1"/>
  <c r="D99" i="9" a="1"/>
  <c r="D99" i="9" s="1"/>
  <c r="E99" i="9" s="1"/>
  <c r="F99" i="9" s="1"/>
  <c r="D262" i="9" a="1"/>
  <c r="D262" i="9" s="1"/>
  <c r="E262" i="9" s="1"/>
  <c r="F262" i="9" s="1"/>
  <c r="D385" i="9" a="1"/>
  <c r="D385" i="9" s="1"/>
  <c r="E385" i="9" s="1"/>
  <c r="F385" i="9" s="1"/>
  <c r="D517" i="9" a="1"/>
  <c r="D517" i="9" s="1"/>
  <c r="E517" i="9" s="1"/>
  <c r="F517" i="9" s="1"/>
  <c r="D146" i="9" a="1"/>
  <c r="D146" i="9" s="1"/>
  <c r="E146" i="9" s="1"/>
  <c r="F146" i="9" s="1"/>
  <c r="D301" i="9" a="1"/>
  <c r="D301" i="9" s="1"/>
  <c r="E301" i="9" s="1"/>
  <c r="F301" i="9" s="1"/>
  <c r="D455" i="9" a="1"/>
  <c r="D455" i="9" s="1"/>
  <c r="E455" i="9" s="1"/>
  <c r="F455" i="9" s="1"/>
  <c r="D655" i="9" a="1"/>
  <c r="D655" i="9" s="1"/>
  <c r="E655" i="9" s="1"/>
  <c r="F655" i="9" s="1"/>
  <c r="D120" i="9" a="1"/>
  <c r="D120" i="9" s="1"/>
  <c r="E120" i="9" s="1"/>
  <c r="F120" i="9" s="1"/>
  <c r="D253" i="9" a="1"/>
  <c r="D253" i="9" s="1"/>
  <c r="E253" i="9" s="1"/>
  <c r="F253" i="9" s="1"/>
  <c r="D387" i="9" a="1"/>
  <c r="D387" i="9" s="1"/>
  <c r="E387" i="9" s="1"/>
  <c r="F387" i="9" s="1"/>
  <c r="D27" i="9" a="1"/>
  <c r="D27" i="9" s="1"/>
  <c r="E27" i="9" s="1"/>
  <c r="F27" i="9" s="1"/>
  <c r="D175" i="9" a="1"/>
  <c r="D175" i="9" s="1"/>
  <c r="E175" i="9" s="1"/>
  <c r="F175" i="9" s="1"/>
  <c r="D333" i="9" a="1"/>
  <c r="D333" i="9" s="1"/>
  <c r="E333" i="9" s="1"/>
  <c r="F333" i="9" s="1"/>
  <c r="D645" i="9" a="1"/>
  <c r="D645" i="9" s="1"/>
  <c r="E645" i="9" s="1"/>
  <c r="F645" i="9" s="1"/>
  <c r="D1005" i="9" a="1"/>
  <c r="D1005" i="9" s="1"/>
  <c r="E1005" i="9" s="1"/>
  <c r="F1005" i="9" s="1"/>
  <c r="D572" i="9" a="1"/>
  <c r="D572" i="9" s="1"/>
  <c r="E572" i="9" s="1"/>
  <c r="F572" i="9" s="1"/>
  <c r="D774" i="9" a="1"/>
  <c r="D774" i="9" s="1"/>
  <c r="E774" i="9" s="1"/>
  <c r="F774" i="9" s="1"/>
  <c r="D994" i="9" a="1"/>
  <c r="D994" i="9" s="1"/>
  <c r="E994" i="9" s="1"/>
  <c r="F994" i="9" s="1"/>
  <c r="D1186" i="9" a="1"/>
  <c r="D1186" i="9" s="1"/>
  <c r="E1186" i="9" s="1"/>
  <c r="F1186" i="9" s="1"/>
  <c r="D1426" i="9" a="1"/>
  <c r="D1426" i="9" s="1"/>
  <c r="E1426" i="9" s="1"/>
  <c r="F1426" i="9" s="1"/>
  <c r="D610" i="9" a="1"/>
  <c r="D610" i="9" s="1"/>
  <c r="E610" i="9" s="1"/>
  <c r="F610" i="9" s="1"/>
  <c r="D852" i="9" a="1"/>
  <c r="D852" i="9" s="1"/>
  <c r="E852" i="9" s="1"/>
  <c r="F852" i="9" s="1"/>
  <c r="D1043" i="9" a="1"/>
  <c r="D1043" i="9" s="1"/>
  <c r="E1043" i="9" s="1"/>
  <c r="F1043" i="9" s="1"/>
  <c r="D1283" i="9" a="1"/>
  <c r="D1283" i="9" s="1"/>
  <c r="E1283" i="9" s="1"/>
  <c r="F1283" i="9" s="1"/>
  <c r="D1475" i="9" a="1"/>
  <c r="D1475" i="9" s="1"/>
  <c r="E1475" i="9" s="1"/>
  <c r="F1475" i="9" s="1"/>
  <c r="D727" i="9" a="1"/>
  <c r="D727" i="9" s="1"/>
  <c r="E727" i="9" s="1"/>
  <c r="F727" i="9" s="1"/>
  <c r="D865" i="9" a="1"/>
  <c r="D865" i="9" s="1"/>
  <c r="E865" i="9" s="1"/>
  <c r="F865" i="9" s="1"/>
  <c r="D1020" i="9" a="1"/>
  <c r="D1020" i="9" s="1"/>
  <c r="E1020" i="9" s="1"/>
  <c r="F1020" i="9" s="1"/>
  <c r="D1176" i="9" a="1"/>
  <c r="D1176" i="9" s="1"/>
  <c r="E1176" i="9" s="1"/>
  <c r="F1176" i="9" s="1"/>
  <c r="D570" i="9" a="1"/>
  <c r="D570" i="9" s="1"/>
  <c r="E570" i="9" s="1"/>
  <c r="F570" i="9" s="1"/>
  <c r="D878" i="9" a="1"/>
  <c r="D878" i="9" s="1"/>
  <c r="E878" i="9" s="1"/>
  <c r="F878" i="9" s="1"/>
  <c r="D1021" i="9" a="1"/>
  <c r="D1021" i="9" s="1"/>
  <c r="E1021" i="9" s="1"/>
  <c r="F1021" i="9" s="1"/>
  <c r="D1364" i="9" a="1"/>
  <c r="D1364" i="9" s="1"/>
  <c r="E1364" i="9" s="1"/>
  <c r="F1364" i="9" s="1"/>
  <c r="D1225" i="9" a="1"/>
  <c r="D1225" i="9" s="1"/>
  <c r="E1225" i="9" s="1"/>
  <c r="F1225" i="9" s="1"/>
  <c r="D49" i="9" a="1"/>
  <c r="D49" i="9" s="1"/>
  <c r="E49" i="9" s="1"/>
  <c r="F49" i="9" s="1"/>
  <c r="D188" i="9" a="1"/>
  <c r="D188" i="9" s="1"/>
  <c r="E188" i="9" s="1"/>
  <c r="F188" i="9" s="1"/>
  <c r="D356" i="9" a="1"/>
  <c r="D356" i="9" s="1"/>
  <c r="E356" i="9" s="1"/>
  <c r="F356" i="9" s="1"/>
  <c r="D493" i="9" a="1"/>
  <c r="D493" i="9" s="1"/>
  <c r="E493" i="9" s="1"/>
  <c r="F493" i="9" s="1"/>
  <c r="D641" i="9" a="1"/>
  <c r="D641" i="9" s="1"/>
  <c r="E641" i="9" s="1"/>
  <c r="F641" i="9" s="1"/>
  <c r="D87" i="9" a="1"/>
  <c r="D87" i="9" s="1"/>
  <c r="E87" i="9" s="1"/>
  <c r="F87" i="9" s="1"/>
  <c r="D239" i="9" a="1"/>
  <c r="D239" i="9" s="1"/>
  <c r="E239" i="9" s="1"/>
  <c r="F239" i="9" s="1"/>
  <c r="D355" i="9" a="1"/>
  <c r="D355" i="9" s="1"/>
  <c r="E355" i="9" s="1"/>
  <c r="F355" i="9" s="1"/>
  <c r="D494" i="9" a="1"/>
  <c r="D494" i="9" s="1"/>
  <c r="E494" i="9" s="1"/>
  <c r="F494" i="9" s="1"/>
  <c r="D3" i="9" a="1"/>
  <c r="D3" i="9" s="1"/>
  <c r="E3" i="9" s="1"/>
  <c r="F3" i="9" s="1"/>
  <c r="D152" i="9" a="1"/>
  <c r="D152" i="9" s="1"/>
  <c r="E152" i="9" s="1"/>
  <c r="F152" i="9" s="1"/>
  <c r="D279" i="9" a="1"/>
  <c r="D279" i="9" s="1"/>
  <c r="E279" i="9" s="1"/>
  <c r="F279" i="9" s="1"/>
  <c r="D469" i="9" a="1"/>
  <c r="D469" i="9" s="1"/>
  <c r="E469" i="9" s="1"/>
  <c r="F469" i="9" s="1"/>
  <c r="D605" i="9" a="1"/>
  <c r="D605" i="9" s="1"/>
  <c r="E605" i="9" s="1"/>
  <c r="F605" i="9" s="1"/>
  <c r="D755" i="9" a="1"/>
  <c r="D755" i="9" s="1"/>
  <c r="E755" i="9" s="1"/>
  <c r="F755" i="9" s="1"/>
  <c r="D116" i="9" a="1"/>
  <c r="D116" i="9" s="1"/>
  <c r="E116" i="9" s="1"/>
  <c r="F116" i="9" s="1"/>
  <c r="D260" i="9" a="1"/>
  <c r="D260" i="9" s="1"/>
  <c r="E260" i="9" s="1"/>
  <c r="F260" i="9" s="1"/>
  <c r="D383" i="9" a="1"/>
  <c r="D383" i="9" s="1"/>
  <c r="E383" i="9" s="1"/>
  <c r="F383" i="9" s="1"/>
  <c r="D550" i="9" a="1"/>
  <c r="D550" i="9" s="1"/>
  <c r="E550" i="9" s="1"/>
  <c r="F550" i="9" s="1"/>
  <c r="D689" i="9" a="1"/>
  <c r="D689" i="9" s="1"/>
  <c r="E689" i="9" s="1"/>
  <c r="F689" i="9" s="1"/>
  <c r="D126" i="9" a="1"/>
  <c r="D126" i="9" s="1"/>
  <c r="E126" i="9" s="1"/>
  <c r="F126" i="9" s="1"/>
  <c r="D108" i="9" a="1"/>
  <c r="D108" i="9" s="1"/>
  <c r="E108" i="9" s="1"/>
  <c r="F108" i="9" s="1"/>
  <c r="D282" i="9" a="1"/>
  <c r="D282" i="9" s="1"/>
  <c r="E282" i="9" s="1"/>
  <c r="F282" i="9" s="1"/>
  <c r="D393" i="9" a="1"/>
  <c r="D393" i="9" s="1"/>
  <c r="E393" i="9" s="1"/>
  <c r="F393" i="9" s="1"/>
  <c r="D534" i="9" a="1"/>
  <c r="D534" i="9" s="1"/>
  <c r="E534" i="9" s="1"/>
  <c r="F534" i="9" s="1"/>
  <c r="D165" i="9" a="1"/>
  <c r="D165" i="9" s="1"/>
  <c r="E165" i="9" s="1"/>
  <c r="F165" i="9" s="1"/>
  <c r="D308" i="9" a="1"/>
  <c r="D308" i="9" s="1"/>
  <c r="E308" i="9" s="1"/>
  <c r="F308" i="9" s="1"/>
  <c r="D472" i="9" a="1"/>
  <c r="D472" i="9" s="1"/>
  <c r="E472" i="9" s="1"/>
  <c r="F472" i="9" s="1"/>
  <c r="D673" i="9" a="1"/>
  <c r="D673" i="9" s="1"/>
  <c r="E673" i="9" s="1"/>
  <c r="F673" i="9" s="1"/>
  <c r="D128" i="9" a="1"/>
  <c r="D128" i="9" s="1"/>
  <c r="E128" i="9" s="1"/>
  <c r="F128" i="9" s="1"/>
  <c r="D264" i="9" a="1"/>
  <c r="D264" i="9" s="1"/>
  <c r="E264" i="9" s="1"/>
  <c r="F264" i="9" s="1"/>
  <c r="D394" i="9" a="1"/>
  <c r="D394" i="9" s="1"/>
  <c r="E394" i="9" s="1"/>
  <c r="F394" i="9" s="1"/>
  <c r="D36" i="9" a="1"/>
  <c r="D36" i="9" s="1"/>
  <c r="E36" i="9" s="1"/>
  <c r="F36" i="9" s="1"/>
  <c r="D195" i="9" a="1"/>
  <c r="D195" i="9" s="1"/>
  <c r="E195" i="9" s="1"/>
  <c r="F195" i="9" s="1"/>
  <c r="D342" i="9" a="1"/>
  <c r="D342" i="9" s="1"/>
  <c r="E342" i="9" s="1"/>
  <c r="F342" i="9" s="1"/>
  <c r="D509" i="9" a="1"/>
  <c r="D509" i="9" s="1"/>
  <c r="E509" i="9" s="1"/>
  <c r="F509" i="9" s="1"/>
  <c r="D102" i="9" a="1"/>
  <c r="D102" i="9" s="1"/>
  <c r="E102" i="9" s="1"/>
  <c r="F102" i="9" s="1"/>
  <c r="D225" i="9" a="1"/>
  <c r="D225" i="9" s="1"/>
  <c r="E225" i="9" s="1"/>
  <c r="F225" i="9" s="1"/>
  <c r="D370" i="9" a="1"/>
  <c r="D370" i="9" s="1"/>
  <c r="E370" i="9" s="1"/>
  <c r="F370" i="9" s="1"/>
  <c r="D38" i="9" a="1"/>
  <c r="D38" i="9" s="1"/>
  <c r="E38" i="9" s="1"/>
  <c r="F38" i="9" s="1"/>
  <c r="D187" i="9" a="1"/>
  <c r="D187" i="9" s="1"/>
  <c r="E187" i="9" s="1"/>
  <c r="F187" i="9" s="1"/>
  <c r="D343" i="9" a="1"/>
  <c r="D343" i="9" s="1"/>
  <c r="E343" i="9" s="1"/>
  <c r="F343" i="9" s="1"/>
  <c r="D663" i="9" a="1"/>
  <c r="D663" i="9" s="1"/>
  <c r="E663" i="9" s="1"/>
  <c r="F663" i="9" s="1"/>
  <c r="D1053" i="9" a="1"/>
  <c r="D1053" i="9" s="1"/>
  <c r="E1053" i="9" s="1"/>
  <c r="F1053" i="9" s="1"/>
  <c r="D543" i="9" a="1"/>
  <c r="D543" i="9" s="1"/>
  <c r="E543" i="9" s="1"/>
  <c r="F543" i="9" s="1"/>
  <c r="D780" i="9" a="1"/>
  <c r="D780" i="9" s="1"/>
  <c r="E780" i="9" s="1"/>
  <c r="F780" i="9" s="1"/>
  <c r="D1006" i="9" a="1"/>
  <c r="D1006" i="9" s="1"/>
  <c r="E1006" i="9" s="1"/>
  <c r="F1006" i="9" s="1"/>
  <c r="D1198" i="9" a="1"/>
  <c r="D1198" i="9" s="1"/>
  <c r="E1198" i="9" s="1"/>
  <c r="F1198" i="9" s="1"/>
  <c r="D1438" i="9" a="1"/>
  <c r="D1438" i="9" s="1"/>
  <c r="E1438" i="9" s="1"/>
  <c r="F1438" i="9" s="1"/>
  <c r="D630" i="9" a="1"/>
  <c r="D630" i="9" s="1"/>
  <c r="E630" i="9" s="1"/>
  <c r="F630" i="9" s="1"/>
  <c r="D864" i="9" a="1"/>
  <c r="D864" i="9" s="1"/>
  <c r="E864" i="9" s="1"/>
  <c r="F864" i="9" s="1"/>
  <c r="D1055" i="9" a="1"/>
  <c r="D1055" i="9" s="1"/>
  <c r="E1055" i="9" s="1"/>
  <c r="F1055" i="9" s="1"/>
  <c r="D1295" i="9" a="1"/>
  <c r="D1295" i="9" s="1"/>
  <c r="E1295" i="9" s="1"/>
  <c r="F1295" i="9" s="1"/>
  <c r="D1487" i="9" a="1"/>
  <c r="D1487" i="9" s="1"/>
  <c r="E1487" i="9" s="1"/>
  <c r="F1487" i="9" s="1"/>
  <c r="D741" i="9" a="1"/>
  <c r="D741" i="9" s="1"/>
  <c r="E741" i="9" s="1"/>
  <c r="F741" i="9" s="1"/>
  <c r="D877" i="9" a="1"/>
  <c r="D877" i="9" s="1"/>
  <c r="E877" i="9" s="1"/>
  <c r="F877" i="9" s="1"/>
  <c r="D1032" i="9" a="1"/>
  <c r="D1032" i="9" s="1"/>
  <c r="E1032" i="9" s="1"/>
  <c r="F1032" i="9" s="1"/>
  <c r="D1188" i="9" a="1"/>
  <c r="D1188" i="9" s="1"/>
  <c r="E1188" i="9" s="1"/>
  <c r="F1188" i="9" s="1"/>
  <c r="D592" i="9" a="1"/>
  <c r="D592" i="9" s="1"/>
  <c r="E592" i="9" s="1"/>
  <c r="F592" i="9" s="1"/>
  <c r="D890" i="9" a="1"/>
  <c r="D890" i="9" s="1"/>
  <c r="E890" i="9" s="1"/>
  <c r="F890" i="9" s="1"/>
  <c r="D1033" i="9" a="1"/>
  <c r="D1033" i="9" s="1"/>
  <c r="E1033" i="9" s="1"/>
  <c r="F1033" i="9" s="1"/>
  <c r="D1228" i="9" a="1"/>
  <c r="D1228" i="9" s="1"/>
  <c r="E1228" i="9" s="1"/>
  <c r="F1228" i="9" s="1"/>
  <c r="D1193" i="9" a="1"/>
  <c r="D1193" i="9" s="1"/>
  <c r="E1193" i="9" s="1"/>
  <c r="F1193" i="9" s="1"/>
  <c r="D58" i="9" a="1"/>
  <c r="D58" i="9" s="1"/>
  <c r="E58" i="9" s="1"/>
  <c r="F58" i="9" s="1"/>
  <c r="D198" i="9" a="1"/>
  <c r="D198" i="9" s="1"/>
  <c r="E198" i="9" s="1"/>
  <c r="F198" i="9" s="1"/>
  <c r="D336" i="9" a="1"/>
  <c r="D336" i="9" s="1"/>
  <c r="E336" i="9" s="1"/>
  <c r="F336" i="9" s="1"/>
  <c r="D503" i="9" a="1"/>
  <c r="D503" i="9" s="1"/>
  <c r="E503" i="9" s="1"/>
  <c r="F503" i="9" s="1"/>
  <c r="D650" i="9" a="1"/>
  <c r="D650" i="9" s="1"/>
  <c r="E650" i="9" s="1"/>
  <c r="F650" i="9" s="1"/>
  <c r="D105" i="9" a="1"/>
  <c r="D105" i="9" s="1"/>
  <c r="E105" i="9" s="1"/>
  <c r="F105" i="9" s="1"/>
  <c r="D248" i="9" a="1"/>
  <c r="D248" i="9" s="1"/>
  <c r="E248" i="9" s="1"/>
  <c r="F248" i="9" s="1"/>
  <c r="D364" i="9" a="1"/>
  <c r="D364" i="9" s="1"/>
  <c r="E364" i="9" s="1"/>
  <c r="F364" i="9" s="1"/>
  <c r="D504" i="9" a="1"/>
  <c r="D504" i="9" s="1"/>
  <c r="E504" i="9" s="1"/>
  <c r="F504" i="9" s="1"/>
  <c r="D14" i="9" a="1"/>
  <c r="D14" i="9" s="1"/>
  <c r="E14" i="9" s="1"/>
  <c r="F14" i="9" s="1"/>
  <c r="D162" i="9" a="1"/>
  <c r="D162" i="9" s="1"/>
  <c r="E162" i="9" s="1"/>
  <c r="F162" i="9" s="1"/>
  <c r="D297" i="9" a="1"/>
  <c r="D297" i="9" s="1"/>
  <c r="E297" i="9" s="1"/>
  <c r="F297" i="9" s="1"/>
  <c r="D477" i="9" a="1"/>
  <c r="D477" i="9" s="1"/>
  <c r="E477" i="9" s="1"/>
  <c r="F477" i="9" s="1"/>
  <c r="D615" i="9" a="1"/>
  <c r="D615" i="9" s="1"/>
  <c r="E615" i="9" s="1"/>
  <c r="F615" i="9" s="1"/>
  <c r="D135" i="9" a="1"/>
  <c r="D135" i="9" s="1"/>
  <c r="E135" i="9" s="1"/>
  <c r="F135" i="9" s="1"/>
  <c r="D280" i="9" a="1"/>
  <c r="D280" i="9" s="1"/>
  <c r="E280" i="9" s="1"/>
  <c r="F280" i="9" s="1"/>
  <c r="D400" i="9" a="1"/>
  <c r="D400" i="9" s="1"/>
  <c r="E400" i="9" s="1"/>
  <c r="F400" i="9" s="1"/>
  <c r="D559" i="9" a="1"/>
  <c r="D559" i="9" s="1"/>
  <c r="E559" i="9" s="1"/>
  <c r="F559" i="9" s="1"/>
  <c r="D697" i="9" a="1"/>
  <c r="D697" i="9" s="1"/>
  <c r="E697" i="9" s="1"/>
  <c r="F697" i="9" s="1"/>
  <c r="D136" i="9" a="1"/>
  <c r="D136" i="9" s="1"/>
  <c r="E136" i="9" s="1"/>
  <c r="F136" i="9" s="1"/>
  <c r="D118" i="9" a="1"/>
  <c r="D118" i="9" s="1"/>
  <c r="E118" i="9" s="1"/>
  <c r="F118" i="9" s="1"/>
  <c r="D291" i="9" a="1"/>
  <c r="D291" i="9" s="1"/>
  <c r="E291" i="9" s="1"/>
  <c r="F291" i="9" s="1"/>
  <c r="D401" i="9" a="1"/>
  <c r="D401" i="9" s="1"/>
  <c r="E401" i="9" s="1"/>
  <c r="F401" i="9" s="1"/>
  <c r="D6" i="9" a="1"/>
  <c r="D6" i="9" s="1"/>
  <c r="E6" i="9" s="1"/>
  <c r="F6" i="9" s="1"/>
  <c r="D174" i="9" a="1"/>
  <c r="D174" i="9" s="1"/>
  <c r="E174" i="9" s="1"/>
  <c r="F174" i="9" s="1"/>
  <c r="D317" i="9" a="1"/>
  <c r="D317" i="9" s="1"/>
  <c r="E317" i="9" s="1"/>
  <c r="F317" i="9" s="1"/>
  <c r="D480" i="9" a="1"/>
  <c r="D480" i="9" s="1"/>
  <c r="E480" i="9" s="1"/>
  <c r="F480" i="9" s="1"/>
  <c r="D7" i="9" a="1"/>
  <c r="D7" i="9" s="1"/>
  <c r="E7" i="9" s="1"/>
  <c r="F7" i="9" s="1"/>
  <c r="D138" i="9" a="1"/>
  <c r="D138" i="9" s="1"/>
  <c r="E138" i="9" s="1"/>
  <c r="F138" i="9" s="1"/>
  <c r="D273" i="9" a="1"/>
  <c r="D273" i="9" s="1"/>
  <c r="E273" i="9" s="1"/>
  <c r="F273" i="9" s="1"/>
  <c r="D402" i="9" a="1"/>
  <c r="D402" i="9" s="1"/>
  <c r="E402" i="9" s="1"/>
  <c r="F402" i="9" s="1"/>
  <c r="D46" i="9" a="1"/>
  <c r="D46" i="9" s="1"/>
  <c r="E46" i="9" s="1"/>
  <c r="F46" i="9" s="1"/>
  <c r="D204" i="9" a="1"/>
  <c r="D204" i="9" s="1"/>
  <c r="E204" i="9" s="1"/>
  <c r="F204" i="9" s="1"/>
  <c r="D351" i="9" a="1"/>
  <c r="D351" i="9" s="1"/>
  <c r="E351" i="9" s="1"/>
  <c r="F351" i="9" s="1"/>
  <c r="D519" i="9" a="1"/>
  <c r="D519" i="9" s="1"/>
  <c r="E519" i="9" s="1"/>
  <c r="F519" i="9" s="1"/>
  <c r="D112" i="9" a="1"/>
  <c r="D112" i="9" s="1"/>
  <c r="E112" i="9" s="1"/>
  <c r="F112" i="9" s="1"/>
  <c r="D255" i="9" a="1"/>
  <c r="D255" i="9" s="1"/>
  <c r="E255" i="9" s="1"/>
  <c r="F255" i="9" s="1"/>
  <c r="D378" i="9" a="1"/>
  <c r="D378" i="9" s="1"/>
  <c r="E378" i="9" s="1"/>
  <c r="F378" i="9" s="1"/>
  <c r="D48" i="9" a="1"/>
  <c r="D48" i="9" s="1"/>
  <c r="E48" i="9" s="1"/>
  <c r="F48" i="9" s="1"/>
  <c r="D197" i="9" a="1"/>
  <c r="D197" i="9" s="1"/>
  <c r="E197" i="9" s="1"/>
  <c r="F197" i="9" s="1"/>
  <c r="D353" i="9" a="1"/>
  <c r="D353" i="9" s="1"/>
  <c r="E353" i="9" s="1"/>
  <c r="F353" i="9" s="1"/>
  <c r="D529" i="9" a="1"/>
  <c r="D529" i="9" s="1"/>
  <c r="E529" i="9" s="1"/>
  <c r="F529" i="9" s="1"/>
  <c r="D95" i="9" a="1"/>
  <c r="D95" i="9" s="1"/>
  <c r="E95" i="9" s="1"/>
  <c r="F95" i="9" s="1"/>
  <c r="D257" i="9" a="1"/>
  <c r="D257" i="9" s="1"/>
  <c r="E257" i="9" s="1"/>
  <c r="F257" i="9" s="1"/>
  <c r="D379" i="9" a="1"/>
  <c r="D379" i="9" s="1"/>
  <c r="E379" i="9" s="1"/>
  <c r="F379" i="9" s="1"/>
  <c r="D502" i="9" a="1"/>
  <c r="D502" i="9" s="1"/>
  <c r="E502" i="9" s="1"/>
  <c r="F502" i="9" s="1"/>
  <c r="D788" i="9" a="1"/>
  <c r="D788" i="9" s="1"/>
  <c r="E788" i="9" s="1"/>
  <c r="F788" i="9" s="1"/>
  <c r="D1065" i="9" a="1"/>
  <c r="D1065" i="9" s="1"/>
  <c r="E1065" i="9" s="1"/>
  <c r="F1065" i="9" s="1"/>
  <c r="D562" i="9" a="1"/>
  <c r="D562" i="9" s="1"/>
  <c r="E562" i="9" s="1"/>
  <c r="F562" i="9" s="1"/>
  <c r="D786" i="9" a="1"/>
  <c r="D786" i="9" s="1"/>
  <c r="E786" i="9" s="1"/>
  <c r="F786" i="9" s="1"/>
  <c r="D1018" i="9" a="1"/>
  <c r="D1018" i="9" s="1"/>
  <c r="E1018" i="9" s="1"/>
  <c r="F1018" i="9" s="1"/>
  <c r="D1210" i="9" a="1"/>
  <c r="D1210" i="9" s="1"/>
  <c r="E1210" i="9" s="1"/>
  <c r="F1210" i="9" s="1"/>
  <c r="D1450" i="9" a="1"/>
  <c r="D1450" i="9" s="1"/>
  <c r="E1450" i="9" s="1"/>
  <c r="F1450" i="9" s="1"/>
  <c r="D647" i="9" a="1"/>
  <c r="D647" i="9" s="1"/>
  <c r="E647" i="9" s="1"/>
  <c r="F647" i="9" s="1"/>
  <c r="D876" i="9" a="1"/>
  <c r="D876" i="9" s="1"/>
  <c r="E876" i="9" s="1"/>
  <c r="F876" i="9" s="1"/>
  <c r="D1067" i="9" a="1"/>
  <c r="D1067" i="9" s="1"/>
  <c r="E1067" i="9" s="1"/>
  <c r="F1067" i="9" s="1"/>
  <c r="D1307" i="9" a="1"/>
  <c r="D1307" i="9" s="1"/>
  <c r="E1307" i="9" s="1"/>
  <c r="F1307" i="9" s="1"/>
  <c r="D1499" i="9" a="1"/>
  <c r="D1499" i="9" s="1"/>
  <c r="E1499" i="9" s="1"/>
  <c r="F1499" i="9" s="1"/>
  <c r="D763" i="9" a="1"/>
  <c r="D763" i="9" s="1"/>
  <c r="E763" i="9" s="1"/>
  <c r="F763" i="9" s="1"/>
  <c r="D889" i="9" a="1"/>
  <c r="D889" i="9" s="1"/>
  <c r="E889" i="9" s="1"/>
  <c r="F889" i="9" s="1"/>
  <c r="D1044" i="9" a="1"/>
  <c r="D1044" i="9" s="1"/>
  <c r="E1044" i="9" s="1"/>
  <c r="F1044" i="9" s="1"/>
  <c r="D1200" i="9" a="1"/>
  <c r="D1200" i="9" s="1"/>
  <c r="E1200" i="9" s="1"/>
  <c r="F1200" i="9" s="1"/>
  <c r="D612" i="9" a="1"/>
  <c r="D612" i="9" s="1"/>
  <c r="E612" i="9" s="1"/>
  <c r="F612" i="9" s="1"/>
  <c r="D901" i="9" a="1"/>
  <c r="D901" i="9" s="1"/>
  <c r="E901" i="9" s="1"/>
  <c r="F901" i="9" s="1"/>
  <c r="D1045" i="9" a="1"/>
  <c r="D1045" i="9" s="1"/>
  <c r="E1045" i="9" s="1"/>
  <c r="F1045" i="9" s="1"/>
  <c r="D1201" i="9" a="1"/>
  <c r="D1201" i="9" s="1"/>
  <c r="E1201" i="9" s="1"/>
  <c r="F1201" i="9" s="1"/>
  <c r="D1153" i="9" a="1"/>
  <c r="D1153" i="9" s="1"/>
  <c r="E1153" i="9" s="1"/>
  <c r="F1153" i="9" s="1"/>
  <c r="D77" i="9" a="1"/>
  <c r="D77" i="9" s="1"/>
  <c r="E77" i="9" s="1"/>
  <c r="F77" i="9" s="1"/>
  <c r="D208" i="9" a="1"/>
  <c r="D208" i="9" s="1"/>
  <c r="E208" i="9" s="1"/>
  <c r="F208" i="9" s="1"/>
  <c r="D344" i="9" a="1"/>
  <c r="D344" i="9" s="1"/>
  <c r="E344" i="9" s="1"/>
  <c r="F344" i="9" s="1"/>
  <c r="D512" i="9" a="1"/>
  <c r="D512" i="9" s="1"/>
  <c r="E512" i="9" s="1"/>
  <c r="F512" i="9" s="1"/>
  <c r="D659" i="9" a="1"/>
  <c r="D659" i="9" s="1"/>
  <c r="E659" i="9" s="1"/>
  <c r="F659" i="9" s="1"/>
  <c r="D115" i="9" a="1"/>
  <c r="D115" i="9" s="1"/>
  <c r="E115" i="9" s="1"/>
  <c r="F115" i="9" s="1"/>
  <c r="D259" i="9" a="1"/>
  <c r="D259" i="9" s="1"/>
  <c r="E259" i="9" s="1"/>
  <c r="F259" i="9" s="1"/>
  <c r="D381" i="9" a="1"/>
  <c r="D381" i="9" s="1"/>
  <c r="E381" i="9" s="1"/>
  <c r="F381" i="9" s="1"/>
  <c r="D513" i="9" a="1"/>
  <c r="D513" i="9" s="1"/>
  <c r="E513" i="9" s="1"/>
  <c r="F513" i="9" s="1"/>
  <c r="D31" i="9" a="1"/>
  <c r="D31" i="9" s="1"/>
  <c r="E31" i="9" s="1"/>
  <c r="F31" i="9" s="1"/>
  <c r="D171" i="9" a="1"/>
  <c r="D171" i="9" s="1"/>
  <c r="E171" i="9" s="1"/>
  <c r="F171" i="9" s="1"/>
  <c r="D315" i="9" a="1"/>
  <c r="D315" i="9" s="1"/>
  <c r="E315" i="9" s="1"/>
  <c r="F315" i="9" s="1"/>
  <c r="D486" i="9" a="1"/>
  <c r="D486" i="9" s="1"/>
  <c r="E486" i="9" s="1"/>
  <c r="F486" i="9" s="1"/>
  <c r="D623" i="9" a="1"/>
  <c r="D623" i="9" s="1"/>
  <c r="E623" i="9" s="1"/>
  <c r="F623" i="9" s="1"/>
  <c r="D4" i="9" a="1"/>
  <c r="D4" i="9" s="1"/>
  <c r="E4" i="9" s="1"/>
  <c r="F4" i="9" s="1"/>
  <c r="D153" i="9" a="1"/>
  <c r="D153" i="9" s="1"/>
  <c r="E153" i="9" s="1"/>
  <c r="F153" i="9" s="1"/>
  <c r="D289" i="9" a="1"/>
  <c r="D289" i="9" s="1"/>
  <c r="E289" i="9" s="1"/>
  <c r="F289" i="9" s="1"/>
  <c r="D407" i="9" a="1"/>
  <c r="D407" i="9" s="1"/>
  <c r="E407" i="9" s="1"/>
  <c r="F407" i="9" s="1"/>
  <c r="D569" i="9" a="1"/>
  <c r="D569" i="9" s="1"/>
  <c r="E569" i="9" s="1"/>
  <c r="F569" i="9" s="1"/>
  <c r="D5" i="9" a="1"/>
  <c r="D5" i="9" s="1"/>
  <c r="E5" i="9" s="1"/>
  <c r="F5" i="9" s="1"/>
  <c r="D145" i="9" a="1"/>
  <c r="D145" i="9" s="1"/>
  <c r="E145" i="9" s="1"/>
  <c r="F145" i="9" s="1"/>
  <c r="D137" i="9" a="1"/>
  <c r="D137" i="9" s="1"/>
  <c r="E137" i="9" s="1"/>
  <c r="F137" i="9" s="1"/>
  <c r="D300" i="9" a="1"/>
  <c r="D300" i="9" s="1"/>
  <c r="E300" i="9" s="1"/>
  <c r="F300" i="9" s="1"/>
  <c r="D409" i="9" a="1"/>
  <c r="D409" i="9" s="1"/>
  <c r="E409" i="9" s="1"/>
  <c r="F409" i="9" s="1"/>
  <c r="D35" i="9" a="1"/>
  <c r="D35" i="9" s="1"/>
  <c r="E35" i="9" s="1"/>
  <c r="F35" i="9" s="1"/>
  <c r="D184" i="9" a="1"/>
  <c r="D184" i="9" s="1"/>
  <c r="E184" i="9" s="1"/>
  <c r="F184" i="9" s="1"/>
  <c r="D341" i="9" a="1"/>
  <c r="D341" i="9" s="1"/>
  <c r="E341" i="9" s="1"/>
  <c r="F341" i="9" s="1"/>
  <c r="D488" i="9" a="1"/>
  <c r="D488" i="9" s="1"/>
  <c r="E488" i="9" s="1"/>
  <c r="F488" i="9" s="1"/>
  <c r="D18" i="9" a="1"/>
  <c r="D18" i="9" s="1"/>
  <c r="E18" i="9" s="1"/>
  <c r="F18" i="9" s="1"/>
  <c r="D147" i="9" a="1"/>
  <c r="D147" i="9" s="1"/>
  <c r="E147" i="9" s="1"/>
  <c r="F147" i="9" s="1"/>
  <c r="D283" i="9" a="1"/>
  <c r="D283" i="9" s="1"/>
  <c r="E283" i="9" s="1"/>
  <c r="F283" i="9" s="1"/>
  <c r="D411" i="9" a="1"/>
  <c r="D411" i="9" s="1"/>
  <c r="E411" i="9" s="1"/>
  <c r="F411" i="9" s="1"/>
  <c r="D65" i="9" a="1"/>
  <c r="D65" i="9" s="1"/>
  <c r="E65" i="9" s="1"/>
  <c r="F65" i="9" s="1"/>
  <c r="D215" i="9" a="1"/>
  <c r="D215" i="9" s="1"/>
  <c r="E215" i="9" s="1"/>
  <c r="F215" i="9" s="1"/>
  <c r="D369" i="9" a="1"/>
  <c r="D369" i="9" s="1"/>
  <c r="E369" i="9" s="1"/>
  <c r="F369" i="9" s="1"/>
  <c r="D527" i="9" a="1"/>
  <c r="D527" i="9" s="1"/>
  <c r="E527" i="9" s="1"/>
  <c r="F527" i="9" s="1"/>
  <c r="D121" i="9" a="1"/>
  <c r="D121" i="9" s="1"/>
  <c r="E121" i="9" s="1"/>
  <c r="F121" i="9" s="1"/>
  <c r="D266" i="9" a="1"/>
  <c r="D266" i="9" s="1"/>
  <c r="E266" i="9" s="1"/>
  <c r="F266" i="9" s="1"/>
  <c r="D388" i="9" a="1"/>
  <c r="D388" i="9" s="1"/>
  <c r="E388" i="9" s="1"/>
  <c r="F388" i="9" s="1"/>
  <c r="D56" i="9" a="1"/>
  <c r="D56" i="9" s="1"/>
  <c r="E56" i="9" s="1"/>
  <c r="F56" i="9" s="1"/>
  <c r="D206" i="9" a="1"/>
  <c r="D206" i="9" s="1"/>
  <c r="E206" i="9" s="1"/>
  <c r="F206" i="9" s="1"/>
  <c r="D362" i="9" a="1"/>
  <c r="D362" i="9" s="1"/>
  <c r="E362" i="9" s="1"/>
  <c r="F362" i="9" s="1"/>
  <c r="D537" i="9" a="1"/>
  <c r="D537" i="9" s="1"/>
  <c r="E537" i="9" s="1"/>
  <c r="F537" i="9" s="1"/>
  <c r="D103" i="9" a="1"/>
  <c r="D103" i="9" s="1"/>
  <c r="E103" i="9" s="1"/>
  <c r="F103" i="9" s="1"/>
  <c r="D268" i="9" a="1"/>
  <c r="D268" i="9" s="1"/>
  <c r="E268" i="9" s="1"/>
  <c r="F268" i="9" s="1"/>
  <c r="D397" i="9" a="1"/>
  <c r="D397" i="9" s="1"/>
  <c r="E397" i="9" s="1"/>
  <c r="F397" i="9" s="1"/>
  <c r="D511" i="9" a="1"/>
  <c r="D511" i="9" s="1"/>
  <c r="E511" i="9" s="1"/>
  <c r="F511" i="9" s="1"/>
  <c r="D1077" i="9" a="1"/>
  <c r="D1077" i="9" s="1"/>
  <c r="E1077" i="9" s="1"/>
  <c r="F1077" i="9" s="1"/>
  <c r="D588" i="9" a="1"/>
  <c r="D588" i="9" s="1"/>
  <c r="E588" i="9" s="1"/>
  <c r="F588" i="9" s="1"/>
  <c r="D793" i="9" a="1"/>
  <c r="D793" i="9" s="1"/>
  <c r="E793" i="9" s="1"/>
  <c r="F793" i="9" s="1"/>
  <c r="D1030" i="9" a="1"/>
  <c r="D1030" i="9" s="1"/>
  <c r="E1030" i="9" s="1"/>
  <c r="F1030" i="9" s="1"/>
  <c r="D1222" i="9" a="1"/>
  <c r="D1222" i="9" s="1"/>
  <c r="E1222" i="9" s="1"/>
  <c r="F1222" i="9" s="1"/>
  <c r="D1462" i="9" a="1"/>
  <c r="D1462" i="9" s="1"/>
  <c r="E1462" i="9" s="1"/>
  <c r="F1462" i="9" s="1"/>
  <c r="D665" i="9" a="1"/>
  <c r="D665" i="9" s="1"/>
  <c r="E665" i="9" s="1"/>
  <c r="F665" i="9" s="1"/>
  <c r="D888" i="9" a="1"/>
  <c r="D888" i="9" s="1"/>
  <c r="E888" i="9" s="1"/>
  <c r="F888" i="9" s="1"/>
  <c r="D1079" i="9" a="1"/>
  <c r="D1079" i="9" s="1"/>
  <c r="E1079" i="9" s="1"/>
  <c r="F1079" i="9" s="1"/>
  <c r="D1319" i="9" a="1"/>
  <c r="D1319" i="9" s="1"/>
  <c r="E1319" i="9" s="1"/>
  <c r="F1319" i="9" s="1"/>
  <c r="D154" i="9" a="1"/>
  <c r="D154" i="9" s="1"/>
  <c r="E154" i="9" s="1"/>
  <c r="F154" i="9" s="1"/>
  <c r="D769" i="9" a="1"/>
  <c r="D769" i="9" s="1"/>
  <c r="E769" i="9" s="1"/>
  <c r="F769" i="9" s="1"/>
  <c r="D900" i="9" a="1"/>
  <c r="D900" i="9" s="1"/>
  <c r="E900" i="9" s="1"/>
  <c r="F900" i="9" s="1"/>
  <c r="D1056" i="9" a="1"/>
  <c r="D1056" i="9" s="1"/>
  <c r="E1056" i="9" s="1"/>
  <c r="F1056" i="9" s="1"/>
  <c r="D1212" i="9" a="1"/>
  <c r="D1212" i="9" s="1"/>
  <c r="E1212" i="9" s="1"/>
  <c r="F1212" i="9" s="1"/>
  <c r="D634" i="9" a="1"/>
  <c r="D634" i="9" s="1"/>
  <c r="E634" i="9" s="1"/>
  <c r="F634" i="9" s="1"/>
  <c r="D913" i="9" a="1"/>
  <c r="D913" i="9" s="1"/>
  <c r="E913" i="9" s="1"/>
  <c r="F913" i="9" s="1"/>
  <c r="D1166" i="9" a="1"/>
  <c r="D1166" i="9" s="1"/>
  <c r="E1166" i="9" s="1"/>
  <c r="F1166" i="9" s="1"/>
  <c r="D1288" i="9" a="1"/>
  <c r="D1288" i="9" s="1"/>
  <c r="E1288" i="9" s="1"/>
  <c r="F1288" i="9" s="1"/>
  <c r="D86" i="9" a="1"/>
  <c r="D86" i="9" s="1"/>
  <c r="E86" i="9" s="1"/>
  <c r="F86" i="9" s="1"/>
  <c r="D218" i="9" a="1"/>
  <c r="D218" i="9" s="1"/>
  <c r="E218" i="9" s="1"/>
  <c r="F218" i="9" s="1"/>
  <c r="D373" i="9" a="1"/>
  <c r="D373" i="9" s="1"/>
  <c r="E373" i="9" s="1"/>
  <c r="F373" i="9" s="1"/>
  <c r="D531" i="9" a="1"/>
  <c r="D531" i="9" s="1"/>
  <c r="E531" i="9" s="1"/>
  <c r="F531" i="9" s="1"/>
  <c r="D668" i="9" a="1"/>
  <c r="D668" i="9" s="1"/>
  <c r="E668" i="9" s="1"/>
  <c r="F668" i="9" s="1"/>
  <c r="D124" i="9" a="1"/>
  <c r="D124" i="9" s="1"/>
  <c r="E124" i="9" s="1"/>
  <c r="F124" i="9" s="1"/>
  <c r="D278" i="9" a="1"/>
  <c r="D278" i="9" s="1"/>
  <c r="E278" i="9" s="1"/>
  <c r="F278" i="9" s="1"/>
  <c r="D398" i="9" a="1"/>
  <c r="D398" i="9" s="1"/>
  <c r="E398" i="9" s="1"/>
  <c r="F398" i="9" s="1"/>
  <c r="D522" i="9" a="1"/>
  <c r="D522" i="9" s="1"/>
  <c r="E522" i="9" s="1"/>
  <c r="F522" i="9" s="1"/>
  <c r="D50" i="9" a="1"/>
  <c r="D50" i="9" s="1"/>
  <c r="E50" i="9" s="1"/>
  <c r="F50" i="9" s="1"/>
  <c r="D180" i="9" a="1"/>
  <c r="D180" i="9" s="1"/>
  <c r="E180" i="9" s="1"/>
  <c r="F180" i="9" s="1"/>
  <c r="D346" i="9" a="1"/>
  <c r="D346" i="9" s="1"/>
  <c r="E346" i="9" s="1"/>
  <c r="F346" i="9" s="1"/>
  <c r="D495" i="9" a="1"/>
  <c r="D495" i="9" s="1"/>
  <c r="E495" i="9" s="1"/>
  <c r="F495" i="9" s="1"/>
  <c r="D632" i="9" a="1"/>
  <c r="D632" i="9" s="1"/>
  <c r="E632" i="9" s="1"/>
  <c r="F632" i="9" s="1"/>
  <c r="D15" i="9" a="1"/>
  <c r="D15" i="9" s="1"/>
  <c r="E15" i="9" s="1"/>
  <c r="F15" i="9" s="1"/>
  <c r="D163" i="9" a="1"/>
  <c r="D163" i="9" s="1"/>
  <c r="E163" i="9" s="1"/>
  <c r="F163" i="9" s="1"/>
  <c r="D298" i="9" a="1"/>
  <c r="D298" i="9" s="1"/>
  <c r="E298" i="9" s="1"/>
  <c r="F298" i="9" s="1"/>
  <c r="D416" i="9" a="1"/>
  <c r="D416" i="9" s="1"/>
  <c r="E416" i="9" s="1"/>
  <c r="F416" i="9" s="1"/>
  <c r="D577" i="9" a="1"/>
  <c r="D577" i="9" s="1"/>
  <c r="E577" i="9" s="1"/>
  <c r="F577" i="9" s="1"/>
  <c r="D16" i="9" a="1"/>
  <c r="D16" i="9" s="1"/>
  <c r="E16" i="9" s="1"/>
  <c r="F16" i="9" s="1"/>
  <c r="D17" i="9" a="1"/>
  <c r="D17" i="9" s="1"/>
  <c r="E17" i="9" s="1"/>
  <c r="F17" i="9" s="1"/>
  <c r="D155" i="9" a="1"/>
  <c r="D155" i="9" s="1"/>
  <c r="E155" i="9" s="1"/>
  <c r="F155" i="9" s="1"/>
  <c r="D307" i="9" a="1"/>
  <c r="D307" i="9" s="1"/>
  <c r="E307" i="9" s="1"/>
  <c r="F307" i="9" s="1"/>
  <c r="D418" i="9" a="1"/>
  <c r="D418" i="9" s="1"/>
  <c r="E418" i="9" s="1"/>
  <c r="F418" i="9" s="1"/>
  <c r="D44" i="9" a="1"/>
  <c r="D44" i="9" s="1"/>
  <c r="E44" i="9" s="1"/>
  <c r="F44" i="9" s="1"/>
  <c r="D193" i="9" a="1"/>
  <c r="D193" i="9" s="1"/>
  <c r="E193" i="9" s="1"/>
  <c r="F193" i="9" s="1"/>
  <c r="D349" i="9" a="1"/>
  <c r="D349" i="9" s="1"/>
  <c r="E349" i="9" s="1"/>
  <c r="F349" i="9" s="1"/>
  <c r="D525" i="9" a="1"/>
  <c r="D525" i="9" s="1"/>
  <c r="E525" i="9" s="1"/>
  <c r="F525" i="9" s="1"/>
  <c r="D26" i="9" a="1"/>
  <c r="D26" i="9" s="1"/>
  <c r="E26" i="9" s="1"/>
  <c r="F26" i="9" s="1"/>
  <c r="D156" i="9" a="1"/>
  <c r="D156" i="9" s="1"/>
  <c r="E156" i="9" s="1"/>
  <c r="F156" i="9" s="1"/>
  <c r="D292" i="9" a="1"/>
  <c r="D292" i="9" s="1"/>
  <c r="E292" i="9" s="1"/>
  <c r="F292" i="9" s="1"/>
  <c r="D429" i="9" a="1"/>
  <c r="D429" i="9" s="1"/>
  <c r="E429" i="9" s="1"/>
  <c r="F429" i="9" s="1"/>
  <c r="D83" i="9" a="1"/>
  <c r="D83" i="9" s="1"/>
  <c r="E83" i="9" s="1"/>
  <c r="F83" i="9" s="1"/>
  <c r="D224" i="9" a="1"/>
  <c r="D224" i="9" s="1"/>
  <c r="E224" i="9" s="1"/>
  <c r="F224" i="9" s="1"/>
  <c r="D395" i="9" a="1"/>
  <c r="D395" i="9" s="1"/>
  <c r="E395" i="9" s="1"/>
  <c r="F395" i="9" s="1"/>
  <c r="D608" i="9" a="1"/>
  <c r="D608" i="9" s="1"/>
  <c r="E608" i="9" s="1"/>
  <c r="F608" i="9" s="1"/>
  <c r="D130" i="9" a="1"/>
  <c r="D130" i="9" s="1"/>
  <c r="E130" i="9" s="1"/>
  <c r="F130" i="9" s="1"/>
  <c r="D275" i="9" a="1"/>
  <c r="D275" i="9" s="1"/>
  <c r="E275" i="9" s="1"/>
  <c r="F275" i="9" s="1"/>
  <c r="D396" i="9" a="1"/>
  <c r="D396" i="9" s="1"/>
  <c r="E396" i="9" s="1"/>
  <c r="F396" i="9" s="1"/>
  <c r="D66" i="9" a="1"/>
  <c r="D66" i="9" s="1"/>
  <c r="E66" i="9" s="1"/>
  <c r="F66" i="9" s="1"/>
  <c r="D226" i="9" a="1"/>
  <c r="D226" i="9" s="1"/>
  <c r="E226" i="9" s="1"/>
  <c r="F226" i="9" s="1"/>
  <c r="D371" i="9" a="1"/>
  <c r="D371" i="9" s="1"/>
  <c r="E371" i="9" s="1"/>
  <c r="F371" i="9" s="1"/>
  <c r="D1089" i="9" a="1"/>
  <c r="D1089" i="9" s="1"/>
  <c r="E1089" i="9" s="1"/>
  <c r="F1089" i="9" s="1"/>
  <c r="D609" i="9" a="1"/>
  <c r="D609" i="9" s="1"/>
  <c r="E609" i="9" s="1"/>
  <c r="F609" i="9" s="1"/>
  <c r="D851" i="9" a="1"/>
  <c r="D851" i="9" s="1"/>
  <c r="E851" i="9" s="1"/>
  <c r="F851" i="9" s="1"/>
  <c r="D1042" i="9" a="1"/>
  <c r="D1042" i="9" s="1"/>
  <c r="E1042" i="9" s="1"/>
  <c r="F1042" i="9" s="1"/>
  <c r="D1282" i="9" a="1"/>
  <c r="D1282" i="9" s="1"/>
  <c r="E1282" i="9" s="1"/>
  <c r="F1282" i="9" s="1"/>
  <c r="D1474" i="9" a="1"/>
  <c r="D1474" i="9" s="1"/>
  <c r="E1474" i="9" s="1"/>
  <c r="F1474" i="9" s="1"/>
  <c r="D740" i="9" a="1"/>
  <c r="D740" i="9" s="1"/>
  <c r="E740" i="9" s="1"/>
  <c r="F740" i="9" s="1"/>
  <c r="D899" i="9" a="1"/>
  <c r="D899" i="9" s="1"/>
  <c r="E899" i="9" s="1"/>
  <c r="F899" i="9" s="1"/>
  <c r="D1139" i="9" a="1"/>
  <c r="D1139" i="9" s="1"/>
  <c r="E1139" i="9" s="1"/>
  <c r="F1139" i="9" s="1"/>
  <c r="D1331" i="9" a="1"/>
  <c r="D1331" i="9" s="1"/>
  <c r="E1331" i="9" s="1"/>
  <c r="F1331" i="9" s="1"/>
  <c r="D565" i="9" a="1"/>
  <c r="D565" i="9" s="1"/>
  <c r="E565" i="9" s="1"/>
  <c r="F565" i="9" s="1"/>
  <c r="D775" i="9" a="1"/>
  <c r="D775" i="9" s="1"/>
  <c r="E775" i="9" s="1"/>
  <c r="F775" i="9" s="1"/>
  <c r="D912" i="9" a="1"/>
  <c r="D912" i="9" s="1"/>
  <c r="E912" i="9" s="1"/>
  <c r="F912" i="9" s="1"/>
  <c r="D1068" i="9" a="1"/>
  <c r="D1068" i="9" s="1"/>
  <c r="E1068" i="9" s="1"/>
  <c r="F1068" i="9" s="1"/>
  <c r="D1224" i="9" a="1"/>
  <c r="D1224" i="9" s="1"/>
  <c r="E1224" i="9" s="1"/>
  <c r="F1224" i="9" s="1"/>
  <c r="D649" i="9" a="1"/>
  <c r="D649" i="9" s="1"/>
  <c r="E649" i="9" s="1"/>
  <c r="F649" i="9" s="1"/>
  <c r="D925" i="9" a="1"/>
  <c r="D925" i="9" s="1"/>
  <c r="E925" i="9" s="1"/>
  <c r="F925" i="9" s="1"/>
  <c r="D1274" i="9" a="1"/>
  <c r="D1274" i="9" s="1"/>
  <c r="E1274" i="9" s="1"/>
  <c r="F1274" i="9" s="1"/>
  <c r="D1272" i="9" a="1"/>
  <c r="D1272" i="9" s="1"/>
  <c r="E1272" i="9" s="1"/>
  <c r="F1272" i="9" s="1"/>
  <c r="D96" i="9" a="1"/>
  <c r="D96" i="9" s="1"/>
  <c r="E96" i="9" s="1"/>
  <c r="F96" i="9" s="1"/>
  <c r="D238" i="9" a="1"/>
  <c r="D238" i="9" s="1"/>
  <c r="E238" i="9" s="1"/>
  <c r="F238" i="9" s="1"/>
  <c r="D380" i="9" a="1"/>
  <c r="D380" i="9" s="1"/>
  <c r="E380" i="9" s="1"/>
  <c r="F380" i="9" s="1"/>
  <c r="D539" i="9" a="1"/>
  <c r="D539" i="9" s="1"/>
  <c r="E539" i="9" s="1"/>
  <c r="F539" i="9" s="1"/>
  <c r="D687" i="9" a="1"/>
  <c r="D687" i="9" s="1"/>
  <c r="E687" i="9" s="1"/>
  <c r="F687" i="9" s="1"/>
  <c r="D133" i="9" a="1"/>
  <c r="D133" i="9" s="1"/>
  <c r="E133" i="9" s="1"/>
  <c r="F133" i="9" s="1"/>
  <c r="D288" i="9" a="1"/>
  <c r="D288" i="9" s="1"/>
  <c r="E288" i="9" s="1"/>
  <c r="F288" i="9" s="1"/>
  <c r="D406" i="9" a="1"/>
  <c r="D406" i="9" s="1"/>
  <c r="E406" i="9" s="1"/>
  <c r="F406" i="9" s="1"/>
  <c r="D532" i="9" a="1"/>
  <c r="D532" i="9" s="1"/>
  <c r="E532" i="9" s="1"/>
  <c r="F532" i="9" s="1"/>
  <c r="D69" i="9" a="1"/>
  <c r="D69" i="9" s="1"/>
  <c r="E69" i="9" s="1"/>
  <c r="F69" i="9" s="1"/>
  <c r="D190" i="9" a="1"/>
  <c r="D190" i="9" s="1"/>
  <c r="E190" i="9" s="1"/>
  <c r="F190" i="9" s="1"/>
  <c r="D374" i="9" a="1"/>
  <c r="D374" i="9" s="1"/>
  <c r="E374" i="9" s="1"/>
  <c r="F374" i="9" s="1"/>
  <c r="D514" i="9" a="1"/>
  <c r="D514" i="9" s="1"/>
  <c r="E514" i="9" s="1"/>
  <c r="F514" i="9" s="1"/>
  <c r="D652" i="9" a="1"/>
  <c r="D652" i="9" s="1"/>
  <c r="E652" i="9" s="1"/>
  <c r="F652" i="9" s="1"/>
  <c r="D24" i="9" a="1"/>
  <c r="D24" i="9" s="1"/>
  <c r="E24" i="9" s="1"/>
  <c r="F24" i="9" s="1"/>
  <c r="D172" i="9" a="1"/>
  <c r="D172" i="9" s="1"/>
  <c r="E172" i="9" s="1"/>
  <c r="F172" i="9" s="1"/>
  <c r="D306" i="9" a="1"/>
  <c r="D306" i="9" s="1"/>
  <c r="E306" i="9" s="1"/>
  <c r="F306" i="9" s="1"/>
  <c r="D453" i="9" a="1"/>
  <c r="D453" i="9" s="1"/>
  <c r="E453" i="9" s="1"/>
  <c r="F453" i="9" s="1"/>
  <c r="D586" i="9" a="1"/>
  <c r="D586" i="9" s="1"/>
  <c r="E586" i="9" s="1"/>
  <c r="F586" i="9" s="1"/>
  <c r="D33" i="9" a="1"/>
  <c r="D33" i="9" s="1"/>
  <c r="E33" i="9" s="1"/>
  <c r="F33" i="9" s="1"/>
  <c r="D25" i="9" a="1"/>
  <c r="D25" i="9" s="1"/>
  <c r="E25" i="9" s="1"/>
  <c r="F25" i="9" s="1"/>
  <c r="D164" i="9" a="1"/>
  <c r="D164" i="9" s="1"/>
  <c r="E164" i="9" s="1"/>
  <c r="F164" i="9" s="1"/>
  <c r="D324" i="9" a="1"/>
  <c r="D324" i="9" s="1"/>
  <c r="E324" i="9" s="1"/>
  <c r="F324" i="9" s="1"/>
  <c r="D447" i="9" a="1"/>
  <c r="D447" i="9" s="1"/>
  <c r="E447" i="9" s="1"/>
  <c r="F447" i="9" s="1"/>
  <c r="D63" i="9" a="1"/>
  <c r="D63" i="9" s="1"/>
  <c r="E63" i="9" s="1"/>
  <c r="F63" i="9" s="1"/>
  <c r="D203" i="9" a="1"/>
  <c r="D203" i="9" s="1"/>
  <c r="E203" i="9" s="1"/>
  <c r="F203" i="9" s="1"/>
  <c r="D359" i="9" a="1"/>
  <c r="D359" i="9" s="1"/>
  <c r="E359" i="9" s="1"/>
  <c r="F359" i="9" s="1"/>
  <c r="D553" i="9" a="1"/>
  <c r="D553" i="9" s="1"/>
  <c r="E553" i="9" s="1"/>
  <c r="F553" i="9" s="1"/>
  <c r="D45" i="9" a="1"/>
  <c r="D45" i="9" s="1"/>
  <c r="E45" i="9" s="1"/>
  <c r="F45" i="9" s="1"/>
  <c r="D1149" i="9" a="1"/>
  <c r="D1149" i="9" s="1"/>
  <c r="E1149" i="9" s="1"/>
  <c r="F1149" i="9" s="1"/>
  <c r="D629" i="9" a="1"/>
  <c r="D629" i="9" s="1"/>
  <c r="E629" i="9" s="1"/>
  <c r="F629" i="9" s="1"/>
  <c r="D863" i="9" a="1"/>
  <c r="D863" i="9" s="1"/>
  <c r="E863" i="9" s="1"/>
  <c r="F863" i="9" s="1"/>
  <c r="D1054" i="9" a="1"/>
  <c r="D1054" i="9" s="1"/>
  <c r="E1054" i="9" s="1"/>
  <c r="F1054" i="9" s="1"/>
  <c r="D1294" i="9" a="1"/>
  <c r="D1294" i="9" s="1"/>
  <c r="E1294" i="9" s="1"/>
  <c r="F1294" i="9" s="1"/>
  <c r="D1486" i="9" a="1"/>
  <c r="D1486" i="9" s="1"/>
  <c r="E1486" i="9" s="1"/>
  <c r="F1486" i="9" s="1"/>
  <c r="D753" i="9" a="1"/>
  <c r="D753" i="9" s="1"/>
  <c r="E753" i="9" s="1"/>
  <c r="F753" i="9" s="1"/>
  <c r="D911" i="9" a="1"/>
  <c r="D911" i="9" s="1"/>
  <c r="E911" i="9" s="1"/>
  <c r="F911" i="9" s="1"/>
  <c r="D1151" i="9" a="1"/>
  <c r="D1151" i="9" s="1"/>
  <c r="E1151" i="9" s="1"/>
  <c r="F1151" i="9" s="1"/>
  <c r="D1343" i="9" a="1"/>
  <c r="D1343" i="9" s="1"/>
  <c r="E1343" i="9" s="1"/>
  <c r="F1343" i="9" s="1"/>
  <c r="D591" i="9" a="1"/>
  <c r="D591" i="9" s="1"/>
  <c r="E591" i="9" s="1"/>
  <c r="F591" i="9" s="1"/>
  <c r="D781" i="9" a="1"/>
  <c r="D781" i="9" s="1"/>
  <c r="E781" i="9" s="1"/>
  <c r="F781" i="9" s="1"/>
  <c r="D924" i="9" a="1"/>
  <c r="D924" i="9" s="1"/>
  <c r="E924" i="9" s="1"/>
  <c r="F924" i="9" s="1"/>
  <c r="D1080" i="9" a="1"/>
  <c r="D1080" i="9" s="1"/>
  <c r="E1080" i="9" s="1"/>
  <c r="F1080" i="9" s="1"/>
  <c r="D1236" i="9" a="1"/>
  <c r="D1236" i="9" s="1"/>
  <c r="E1236" i="9" s="1"/>
  <c r="F1236" i="9" s="1"/>
  <c r="D667" i="9" a="1"/>
  <c r="D667" i="9" s="1"/>
  <c r="E667" i="9" s="1"/>
  <c r="F667" i="9" s="1"/>
  <c r="D937" i="9" a="1"/>
  <c r="D937" i="9" s="1"/>
  <c r="E937" i="9" s="1"/>
  <c r="F937" i="9" s="1"/>
  <c r="D1296" i="9" a="1"/>
  <c r="D1296" i="9" s="1"/>
  <c r="E1296" i="9" s="1"/>
  <c r="F1296" i="9" s="1"/>
  <c r="D1253" i="9" a="1"/>
  <c r="D1253" i="9" s="1"/>
  <c r="E1253" i="9" s="1"/>
  <c r="F1253" i="9" s="1"/>
  <c r="D1250" i="9" a="1"/>
  <c r="D1250" i="9" s="1"/>
  <c r="E1250" i="9" s="1"/>
  <c r="F1250" i="9" s="1"/>
  <c r="D104" i="9" a="1"/>
  <c r="D104" i="9" s="1"/>
  <c r="E104" i="9" s="1"/>
  <c r="F104" i="9" s="1"/>
  <c r="D247" i="9" a="1"/>
  <c r="D247" i="9" s="1"/>
  <c r="E247" i="9" s="1"/>
  <c r="F247" i="9" s="1"/>
  <c r="D390" i="9" a="1"/>
  <c r="D390" i="9" s="1"/>
  <c r="E390" i="9" s="1"/>
  <c r="F390" i="9" s="1"/>
  <c r="D566" i="9" a="1"/>
  <c r="D566" i="9" s="1"/>
  <c r="E566" i="9" s="1"/>
  <c r="F566" i="9" s="1"/>
  <c r="D695" i="9" a="1"/>
  <c r="D695" i="9" s="1"/>
  <c r="E695" i="9" s="1"/>
  <c r="F695" i="9" s="1"/>
  <c r="D143" i="9" a="1"/>
  <c r="D143" i="9" s="1"/>
  <c r="E143" i="9" s="1"/>
  <c r="F143" i="9" s="1"/>
  <c r="D296" i="9" a="1"/>
  <c r="D296" i="9" s="1"/>
  <c r="E296" i="9" s="1"/>
  <c r="F296" i="9" s="1"/>
  <c r="D415" i="9" a="1"/>
  <c r="D415" i="9" s="1"/>
  <c r="E415" i="9" s="1"/>
  <c r="F415" i="9" s="1"/>
  <c r="D540" i="9" a="1"/>
  <c r="D540" i="9" s="1"/>
  <c r="E540" i="9" s="1"/>
  <c r="F540" i="9" s="1"/>
  <c r="D78" i="9" a="1"/>
  <c r="D78" i="9" s="1"/>
  <c r="E78" i="9" s="1"/>
  <c r="F78" i="9" s="1"/>
  <c r="D199" i="9" a="1"/>
  <c r="D199" i="9" s="1"/>
  <c r="E199" i="9" s="1"/>
  <c r="F199" i="9" s="1"/>
  <c r="D382" i="9" a="1"/>
  <c r="D382" i="9" s="1"/>
  <c r="E382" i="9" s="1"/>
  <c r="F382" i="9" s="1"/>
  <c r="D523" i="9" a="1"/>
  <c r="D523" i="9" s="1"/>
  <c r="E523" i="9" s="1"/>
  <c r="F523" i="9" s="1"/>
  <c r="D661" i="9" a="1"/>
  <c r="D661" i="9" s="1"/>
  <c r="E661" i="9" s="1"/>
  <c r="F661" i="9" s="1"/>
  <c r="D32" i="9" a="1"/>
  <c r="D32" i="9" s="1"/>
  <c r="E32" i="9" s="1"/>
  <c r="F32" i="9" s="1"/>
  <c r="D181" i="9" a="1"/>
  <c r="D181" i="9" s="1"/>
  <c r="E181" i="9" s="1"/>
  <c r="F181" i="9" s="1"/>
  <c r="D322" i="9" a="1"/>
  <c r="D322" i="9" s="1"/>
  <c r="E322" i="9" s="1"/>
  <c r="F322" i="9" s="1"/>
  <c r="D462" i="9" a="1"/>
  <c r="D462" i="9" s="1"/>
  <c r="E462" i="9" s="1"/>
  <c r="F462" i="9" s="1"/>
  <c r="D596" i="9" a="1"/>
  <c r="D596" i="9" s="1"/>
  <c r="E596" i="9" s="1"/>
  <c r="F596" i="9" s="1"/>
  <c r="D43" i="9" a="1"/>
  <c r="D43" i="9" s="1"/>
  <c r="E43" i="9" s="1"/>
  <c r="F43" i="9" s="1"/>
  <c r="D34" i="9" a="1"/>
  <c r="D34" i="9" s="1"/>
  <c r="E34" i="9" s="1"/>
  <c r="F34" i="9" s="1"/>
  <c r="D183" i="9" a="1"/>
  <c r="D183" i="9" s="1"/>
  <c r="E183" i="9" s="1"/>
  <c r="F183" i="9" s="1"/>
  <c r="D331" i="9" a="1"/>
  <c r="D331" i="9" s="1"/>
  <c r="E331" i="9" s="1"/>
  <c r="F331" i="9" s="1"/>
  <c r="D454" i="9" a="1"/>
  <c r="D454" i="9" s="1"/>
  <c r="E454" i="9" s="1"/>
  <c r="F454" i="9" s="1"/>
  <c r="D81" i="9" a="1"/>
  <c r="D81" i="9" s="1"/>
  <c r="E81" i="9" s="1"/>
  <c r="F81" i="9" s="1"/>
  <c r="D213" i="9" a="1"/>
  <c r="D213" i="9" s="1"/>
  <c r="E213" i="9" s="1"/>
  <c r="F213" i="9" s="1"/>
  <c r="D367" i="9" a="1"/>
  <c r="D367" i="9" s="1"/>
  <c r="E367" i="9" s="1"/>
  <c r="F367" i="9" s="1"/>
  <c r="D580" i="9" a="1"/>
  <c r="D580" i="9" s="1"/>
  <c r="E580" i="9" s="1"/>
  <c r="F580" i="9" s="1"/>
  <c r="D54" i="9" a="1"/>
  <c r="D54" i="9" s="1"/>
  <c r="E54" i="9" s="1"/>
  <c r="F54" i="9" s="1"/>
  <c r="D185" i="9" a="1"/>
  <c r="D185" i="9" s="1"/>
  <c r="E185" i="9" s="1"/>
  <c r="F185" i="9" s="1"/>
  <c r="D325" i="9" a="1"/>
  <c r="D325" i="9" s="1"/>
  <c r="E325" i="9" s="1"/>
  <c r="F325" i="9" s="1"/>
  <c r="D802" i="9" a="1"/>
  <c r="D802" i="9" s="1"/>
  <c r="E802" i="9" s="1"/>
  <c r="F802" i="9" s="1"/>
  <c r="D1161" i="9" a="1"/>
  <c r="D1161" i="9" s="1"/>
  <c r="E1161" i="9" s="1"/>
  <c r="F1161" i="9" s="1"/>
  <c r="D646" i="9" a="1"/>
  <c r="D646" i="9" s="1"/>
  <c r="E646" i="9" s="1"/>
  <c r="F646" i="9" s="1"/>
  <c r="D875" i="9" a="1"/>
  <c r="D875" i="9" s="1"/>
  <c r="E875" i="9" s="1"/>
  <c r="F875" i="9" s="1"/>
  <c r="D1066" i="9" a="1"/>
  <c r="D1066" i="9" s="1"/>
  <c r="E1066" i="9" s="1"/>
  <c r="F1066" i="9" s="1"/>
  <c r="D1306" i="9" a="1"/>
  <c r="D1306" i="9" s="1"/>
  <c r="E1306" i="9" s="1"/>
  <c r="F1306" i="9" s="1"/>
  <c r="D1498" i="9" a="1"/>
  <c r="D1498" i="9" s="1"/>
  <c r="E1498" i="9" s="1"/>
  <c r="F1498" i="9" s="1"/>
  <c r="D923" i="9" a="1"/>
  <c r="D923" i="9" s="1"/>
  <c r="E923" i="9" s="1"/>
  <c r="F923" i="9" s="1"/>
  <c r="D1163" i="9" a="1"/>
  <c r="D1163" i="9" s="1"/>
  <c r="E1163" i="9" s="1"/>
  <c r="F1163" i="9" s="1"/>
  <c r="D1355" i="9" a="1"/>
  <c r="D1355" i="9" s="1"/>
  <c r="E1355" i="9" s="1"/>
  <c r="F1355" i="9" s="1"/>
  <c r="D611" i="9" a="1"/>
  <c r="D611" i="9" s="1"/>
  <c r="E611" i="9" s="1"/>
  <c r="F611" i="9" s="1"/>
  <c r="D787" i="9" a="1"/>
  <c r="D787" i="9" s="1"/>
  <c r="E787" i="9" s="1"/>
  <c r="F787" i="9" s="1"/>
  <c r="D936" i="9" a="1"/>
  <c r="D936" i="9" s="1"/>
  <c r="E936" i="9" s="1"/>
  <c r="F936" i="9" s="1"/>
  <c r="D1092" i="9" a="1"/>
  <c r="D1092" i="9" s="1"/>
  <c r="E1092" i="9" s="1"/>
  <c r="F1092" i="9" s="1"/>
  <c r="D1248" i="9" a="1"/>
  <c r="D1248" i="9" s="1"/>
  <c r="E1248" i="9" s="1"/>
  <c r="F1248" i="9" s="1"/>
  <c r="D684" i="9" a="1"/>
  <c r="D684" i="9" s="1"/>
  <c r="E684" i="9" s="1"/>
  <c r="F684" i="9" s="1"/>
  <c r="D806" i="9" a="1"/>
  <c r="D806" i="9" s="1"/>
  <c r="E806" i="9" s="1"/>
  <c r="F806" i="9" s="1"/>
  <c r="D949" i="9" a="1"/>
  <c r="D949" i="9" s="1"/>
  <c r="E949" i="9" s="1"/>
  <c r="F949" i="9" s="1"/>
  <c r="D1276" i="9" a="1"/>
  <c r="D1276" i="9" s="1"/>
  <c r="E1276" i="9" s="1"/>
  <c r="F1276" i="9" s="1"/>
  <c r="D1226" i="9" a="1"/>
  <c r="D1226" i="9" s="1"/>
  <c r="E1226" i="9" s="1"/>
  <c r="F1226" i="9" s="1"/>
  <c r="D1328" i="9" a="1"/>
  <c r="D1328" i="9" s="1"/>
  <c r="E1328" i="9" s="1"/>
  <c r="F1328" i="9" s="1"/>
  <c r="D114" i="9" a="1"/>
  <c r="D114" i="9" s="1"/>
  <c r="E114" i="9" s="1"/>
  <c r="F114" i="9" s="1"/>
  <c r="D258" i="9" a="1"/>
  <c r="D258" i="9" s="1"/>
  <c r="E258" i="9" s="1"/>
  <c r="F258" i="9" s="1"/>
  <c r="D405" i="9" a="1"/>
  <c r="D405" i="9" s="1"/>
  <c r="E405" i="9" s="1"/>
  <c r="F405" i="9" s="1"/>
  <c r="D574" i="9" a="1"/>
  <c r="D574" i="9" s="1"/>
  <c r="E574" i="9" s="1"/>
  <c r="F574" i="9" s="1"/>
  <c r="D703" i="9" a="1"/>
  <c r="D703" i="9" s="1"/>
  <c r="E703" i="9" s="1"/>
  <c r="F703" i="9" s="1"/>
  <c r="D151" i="9" a="1"/>
  <c r="D151" i="9" s="1"/>
  <c r="E151" i="9" s="1"/>
  <c r="F151" i="9" s="1"/>
  <c r="D305" i="9" a="1"/>
  <c r="D305" i="9" s="1"/>
  <c r="E305" i="9" s="1"/>
  <c r="F305" i="9" s="1"/>
  <c r="D425" i="9" a="1"/>
  <c r="D425" i="9" s="1"/>
  <c r="E425" i="9" s="1"/>
  <c r="F425" i="9" s="1"/>
  <c r="D548" i="9" a="1"/>
  <c r="D548" i="9" s="1"/>
  <c r="E548" i="9" s="1"/>
  <c r="F548" i="9" s="1"/>
  <c r="D88" i="9" a="1"/>
  <c r="D88" i="9" s="1"/>
  <c r="E88" i="9" s="1"/>
  <c r="F88" i="9" s="1"/>
  <c r="D210" i="9" a="1"/>
  <c r="D210" i="9" s="1"/>
  <c r="E210" i="9" s="1"/>
  <c r="F210" i="9" s="1"/>
  <c r="D391" i="9" a="1"/>
  <c r="D391" i="9" s="1"/>
  <c r="E391" i="9" s="1"/>
  <c r="F391" i="9" s="1"/>
  <c r="D541" i="9" a="1"/>
  <c r="D541" i="9" s="1"/>
  <c r="E541" i="9" s="1"/>
  <c r="F541" i="9" s="1"/>
  <c r="D669" i="9" a="1"/>
  <c r="D669" i="9" s="1"/>
  <c r="E669" i="9" s="1"/>
  <c r="F669" i="9" s="1"/>
  <c r="D42" i="9" a="1"/>
  <c r="D42" i="9" s="1"/>
  <c r="E42" i="9" s="1"/>
  <c r="F42" i="9" s="1"/>
  <c r="D191" i="9" a="1"/>
  <c r="D191" i="9" s="1"/>
  <c r="E191" i="9" s="1"/>
  <c r="F191" i="9" s="1"/>
  <c r="D330" i="9" a="1"/>
  <c r="D330" i="9" s="1"/>
  <c r="E330" i="9" s="1"/>
  <c r="F330" i="9" s="1"/>
  <c r="D478" i="9" a="1"/>
  <c r="D478" i="9" s="1"/>
  <c r="E478" i="9" s="1"/>
  <c r="F478" i="9" s="1"/>
  <c r="D616" i="9" a="1"/>
  <c r="D616" i="9" s="1"/>
  <c r="E616" i="9" s="1"/>
  <c r="F616" i="9" s="1"/>
  <c r="D52" i="9" a="1"/>
  <c r="D52" i="9" s="1"/>
  <c r="E52" i="9" s="1"/>
  <c r="F52" i="9" s="1"/>
  <c r="D53" i="9" a="1"/>
  <c r="D53" i="9" s="1"/>
  <c r="E53" i="9" s="1"/>
  <c r="F53" i="9" s="1"/>
  <c r="D202" i="9" a="1"/>
  <c r="D202" i="9" s="1"/>
  <c r="E202" i="9" s="1"/>
  <c r="F202" i="9" s="1"/>
  <c r="D340" i="9" a="1"/>
  <c r="D340" i="9" s="1"/>
  <c r="E340" i="9" s="1"/>
  <c r="F340" i="9" s="1"/>
  <c r="D463" i="9" a="1"/>
  <c r="D463" i="9" s="1"/>
  <c r="E463" i="9" s="1"/>
  <c r="F463" i="9" s="1"/>
  <c r="D1112" i="9" a="1"/>
  <c r="D1112" i="9" s="1"/>
  <c r="E1112" i="9" s="1"/>
  <c r="F1112" i="9" s="1"/>
  <c r="D862" i="9" a="1"/>
  <c r="D862" i="9" s="1"/>
  <c r="E862" i="9" s="1"/>
  <c r="F862" i="9" s="1"/>
  <c r="D1185" i="9" a="1"/>
  <c r="D1185" i="9" s="1"/>
  <c r="E1185" i="9" s="1"/>
  <c r="F1185" i="9" s="1"/>
  <c r="D664" i="9" a="1"/>
  <c r="D664" i="9" s="1"/>
  <c r="E664" i="9" s="1"/>
  <c r="F664" i="9" s="1"/>
  <c r="D887" i="9" a="1"/>
  <c r="D887" i="9" s="1"/>
  <c r="E887" i="9" s="1"/>
  <c r="F887" i="9" s="1"/>
  <c r="D1078" i="9" a="1"/>
  <c r="D1078" i="9" s="1"/>
  <c r="E1078" i="9" s="1"/>
  <c r="F1078" i="9" s="1"/>
  <c r="D1318" i="9" a="1"/>
  <c r="D1318" i="9" s="1"/>
  <c r="E1318" i="9" s="1"/>
  <c r="F1318" i="9" s="1"/>
  <c r="D1510" i="9" a="1"/>
  <c r="D1510" i="9" s="1"/>
  <c r="E1510" i="9" s="1"/>
  <c r="F1510" i="9" s="1"/>
  <c r="D935" i="9" a="1"/>
  <c r="D935" i="9" s="1"/>
  <c r="E935" i="9" s="1"/>
  <c r="F935" i="9" s="1"/>
  <c r="D1175" i="9" a="1"/>
  <c r="D1175" i="9" s="1"/>
  <c r="E1175" i="9" s="1"/>
  <c r="F1175" i="9" s="1"/>
  <c r="D1367" i="9" a="1"/>
  <c r="D1367" i="9" s="1"/>
  <c r="E1367" i="9" s="1"/>
  <c r="F1367" i="9" s="1"/>
  <c r="D633" i="9" a="1"/>
  <c r="D633" i="9" s="1"/>
  <c r="E633" i="9" s="1"/>
  <c r="F633" i="9" s="1"/>
  <c r="D794" i="9" a="1"/>
  <c r="D794" i="9" s="1"/>
  <c r="E794" i="9" s="1"/>
  <c r="F794" i="9" s="1"/>
  <c r="D948" i="9" a="1"/>
  <c r="D948" i="9" s="1"/>
  <c r="E948" i="9" s="1"/>
  <c r="F948" i="9" s="1"/>
  <c r="D1104" i="9" a="1"/>
  <c r="D1104" i="9" s="1"/>
  <c r="E1104" i="9" s="1"/>
  <c r="F1104" i="9" s="1"/>
  <c r="D173" i="9" a="1"/>
  <c r="D173" i="9" s="1"/>
  <c r="E173" i="9" s="1"/>
  <c r="F173" i="9" s="1"/>
  <c r="D701" i="9" a="1"/>
  <c r="D701" i="9" s="1"/>
  <c r="E701" i="9" s="1"/>
  <c r="F701" i="9" s="1"/>
  <c r="D818" i="9" a="1"/>
  <c r="D818" i="9" s="1"/>
  <c r="E818" i="9" s="1"/>
  <c r="F818" i="9" s="1"/>
  <c r="D961" i="9" a="1"/>
  <c r="D961" i="9" s="1"/>
  <c r="E961" i="9" s="1"/>
  <c r="F961" i="9" s="1"/>
  <c r="D1260" i="9" a="1"/>
  <c r="D1260" i="9" s="1"/>
  <c r="E1260" i="9" s="1"/>
  <c r="F1260" i="9" s="1"/>
  <c r="D1196" i="9" a="1"/>
  <c r="D1196" i="9" s="1"/>
  <c r="E1196" i="9" s="1"/>
  <c r="F1196" i="9" s="1"/>
  <c r="D1192" i="9" a="1"/>
  <c r="D1192" i="9" s="1"/>
  <c r="E1192" i="9" s="1"/>
  <c r="F1192" i="9" s="1"/>
  <c r="D123" i="9" a="1"/>
  <c r="D123" i="9" s="1"/>
  <c r="E123" i="9" s="1"/>
  <c r="F123" i="9" s="1"/>
  <c r="D269" i="9" a="1"/>
  <c r="D269" i="9" s="1"/>
  <c r="E269" i="9" s="1"/>
  <c r="F269" i="9" s="1"/>
  <c r="D424" i="9" a="1"/>
  <c r="D424" i="9" s="1"/>
  <c r="E424" i="9" s="1"/>
  <c r="F424" i="9" s="1"/>
  <c r="D584" i="9" a="1"/>
  <c r="D584" i="9" s="1"/>
  <c r="E584" i="9" s="1"/>
  <c r="F584" i="9" s="1"/>
  <c r="D712" i="9" a="1"/>
  <c r="D712" i="9" s="1"/>
  <c r="E712" i="9" s="1"/>
  <c r="F712" i="9" s="1"/>
  <c r="D170" i="9" a="1"/>
  <c r="D170" i="9" s="1"/>
  <c r="E170" i="9" s="1"/>
  <c r="F170" i="9" s="1"/>
  <c r="D314" i="9" a="1"/>
  <c r="D314" i="9" s="1"/>
  <c r="E314" i="9" s="1"/>
  <c r="F314" i="9" s="1"/>
  <c r="D434" i="9" a="1"/>
  <c r="D434" i="9" s="1"/>
  <c r="E434" i="9" s="1"/>
  <c r="F434" i="9" s="1"/>
  <c r="D558" i="9" a="1"/>
  <c r="D558" i="9" s="1"/>
  <c r="E558" i="9" s="1"/>
  <c r="F558" i="9" s="1"/>
  <c r="D97" i="9" a="1"/>
  <c r="D97" i="9" s="1"/>
  <c r="E97" i="9" s="1"/>
  <c r="F97" i="9" s="1"/>
  <c r="D220" i="9" a="1"/>
  <c r="D220" i="9" s="1"/>
  <c r="E220" i="9" s="1"/>
  <c r="F220" i="9" s="1"/>
  <c r="D399" i="9" a="1"/>
  <c r="D399" i="9" s="1"/>
  <c r="E399" i="9" s="1"/>
  <c r="F399" i="9" s="1"/>
  <c r="D549" i="9" a="1"/>
  <c r="D549" i="9" s="1"/>
  <c r="E549" i="9" s="1"/>
  <c r="F549" i="9" s="1"/>
  <c r="D696" i="9" a="1"/>
  <c r="D696" i="9" s="1"/>
  <c r="E696" i="9" s="1"/>
  <c r="F696" i="9" s="1"/>
  <c r="D51" i="9" a="1"/>
  <c r="D51" i="9" s="1"/>
  <c r="E51" i="9" s="1"/>
  <c r="F51" i="9" s="1"/>
  <c r="D200" i="9" a="1"/>
  <c r="D200" i="9" s="1"/>
  <c r="E200" i="9" s="1"/>
  <c r="F200" i="9" s="1"/>
  <c r="D338" i="9" a="1"/>
  <c r="D338" i="9" s="1"/>
  <c r="E338" i="9" s="1"/>
  <c r="F338" i="9" s="1"/>
  <c r="D496" i="9" a="1"/>
  <c r="D496" i="9" s="1"/>
  <c r="E496" i="9" s="1"/>
  <c r="F496" i="9" s="1"/>
  <c r="D624" i="9" a="1"/>
  <c r="D624" i="9" s="1"/>
  <c r="E624" i="9" s="1"/>
  <c r="F624" i="9" s="1"/>
  <c r="D61" i="9" a="1"/>
  <c r="D61" i="9" s="1"/>
  <c r="E61" i="9" s="1"/>
  <c r="F61" i="9" s="1"/>
  <c r="D62" i="9" a="1"/>
  <c r="D62" i="9" s="1"/>
  <c r="E62" i="9" s="1"/>
  <c r="F62" i="9" s="1"/>
  <c r="D212" i="9" a="1"/>
  <c r="D212" i="9" s="1"/>
  <c r="E212" i="9" s="1"/>
  <c r="F212" i="9" s="1"/>
  <c r="D348" i="9" a="1"/>
  <c r="D348" i="9" s="1"/>
  <c r="E348" i="9" s="1"/>
  <c r="F348" i="9" s="1"/>
  <c r="D471" i="9" a="1"/>
  <c r="D471" i="9" s="1"/>
  <c r="E471" i="9" s="1"/>
  <c r="F471" i="9" s="1"/>
  <c r="D100" i="9" a="1"/>
  <c r="D100" i="9" s="1"/>
  <c r="E100" i="9" s="1"/>
  <c r="F100" i="9" s="1"/>
  <c r="D243" i="9" a="1"/>
  <c r="D243" i="9" s="1"/>
  <c r="E243" i="9" s="1"/>
  <c r="F243" i="9" s="1"/>
  <c r="D410" i="9" a="1"/>
  <c r="D410" i="9" s="1"/>
  <c r="E410" i="9" s="1"/>
  <c r="F410" i="9" s="1"/>
  <c r="D598" i="9" a="1"/>
  <c r="D598" i="9" s="1"/>
  <c r="E598" i="9" s="1"/>
  <c r="F598" i="9" s="1"/>
  <c r="D73" i="9" a="1"/>
  <c r="D73" i="9" s="1"/>
  <c r="E73" i="9" s="1"/>
  <c r="F73" i="9" s="1"/>
  <c r="D214" i="9" a="1"/>
  <c r="D214" i="9" s="1"/>
  <c r="E214" i="9" s="1"/>
  <c r="F214" i="9" s="1"/>
  <c r="D350" i="9" a="1"/>
  <c r="D350" i="9" s="1"/>
  <c r="E350" i="9" s="1"/>
  <c r="F350" i="9" s="1"/>
  <c r="D536" i="9" a="1"/>
  <c r="D536" i="9" s="1"/>
  <c r="E536" i="9" s="1"/>
  <c r="F536" i="9" s="1"/>
  <c r="D139" i="9" a="1"/>
  <c r="D139" i="9" s="1"/>
  <c r="E139" i="9" s="1"/>
  <c r="F139" i="9" s="1"/>
  <c r="D1016" i="9" a="1"/>
  <c r="D1016" i="9" s="1"/>
  <c r="E1016" i="9" s="1"/>
  <c r="F1016" i="9" s="1"/>
  <c r="D909" i="9" a="1"/>
  <c r="D909" i="9" s="1"/>
  <c r="E909" i="9" s="1"/>
  <c r="F909" i="9" s="1"/>
  <c r="D1197" i="9" a="1"/>
  <c r="D1197" i="9" s="1"/>
  <c r="E1197" i="9" s="1"/>
  <c r="F1197" i="9" s="1"/>
  <c r="D739" i="9" a="1"/>
  <c r="D739" i="9" s="1"/>
  <c r="E739" i="9" s="1"/>
  <c r="F739" i="9" s="1"/>
  <c r="D898" i="9" a="1"/>
  <c r="D898" i="9" s="1"/>
  <c r="E898" i="9" s="1"/>
  <c r="F898" i="9" s="1"/>
  <c r="D1138" i="9" a="1"/>
  <c r="D1138" i="9" s="1"/>
  <c r="E1138" i="9" s="1"/>
  <c r="F1138" i="9" s="1"/>
  <c r="D1330" i="9" a="1"/>
  <c r="D1330" i="9" s="1"/>
  <c r="E1330" i="9" s="1"/>
  <c r="F1330" i="9" s="1"/>
  <c r="D506" i="9" a="1"/>
  <c r="D506" i="9" s="1"/>
  <c r="E506" i="9" s="1"/>
  <c r="F506" i="9" s="1"/>
  <c r="D995" i="9" a="1"/>
  <c r="D995" i="9" s="1"/>
  <c r="E995" i="9" s="1"/>
  <c r="F995" i="9" s="1"/>
  <c r="D1187" i="9" a="1"/>
  <c r="D1187" i="9" s="1"/>
  <c r="E1187" i="9" s="1"/>
  <c r="F1187" i="9" s="1"/>
  <c r="D1427" i="9" a="1"/>
  <c r="D1427" i="9" s="1"/>
  <c r="E1427" i="9" s="1"/>
  <c r="F1427" i="9" s="1"/>
  <c r="D648" i="9" a="1"/>
  <c r="D648" i="9" s="1"/>
  <c r="E648" i="9" s="1"/>
  <c r="F648" i="9" s="1"/>
  <c r="D805" i="9" a="1"/>
  <c r="D805" i="9" s="1"/>
  <c r="E805" i="9" s="1"/>
  <c r="F805" i="9" s="1"/>
  <c r="D960" i="9" a="1"/>
  <c r="D960" i="9" s="1"/>
  <c r="E960" i="9" s="1"/>
  <c r="F960" i="9" s="1"/>
  <c r="D1128" i="9" a="1"/>
  <c r="D1128" i="9" s="1"/>
  <c r="E1128" i="9" s="1"/>
  <c r="F1128" i="9" s="1"/>
  <c r="D316" i="9" a="1"/>
  <c r="D316" i="9" s="1"/>
  <c r="E316" i="9" s="1"/>
  <c r="F316" i="9" s="1"/>
  <c r="D789" i="9" a="1"/>
  <c r="D789" i="9" s="1"/>
  <c r="E789" i="9" s="1"/>
  <c r="F789" i="9" s="1"/>
  <c r="D830" i="9" a="1"/>
  <c r="D830" i="9" s="1"/>
  <c r="E830" i="9" s="1"/>
  <c r="F830" i="9" s="1"/>
  <c r="D973" i="9" a="1"/>
  <c r="D973" i="9" s="1"/>
  <c r="E973" i="9" s="1"/>
  <c r="F973" i="9" s="1"/>
  <c r="D1229" i="9" a="1"/>
  <c r="D1229" i="9" s="1"/>
  <c r="E1229" i="9" s="1"/>
  <c r="F1229" i="9" s="1"/>
  <c r="D1165" i="9" a="1"/>
  <c r="D1165" i="9" s="1"/>
  <c r="E1165" i="9" s="1"/>
  <c r="F1165" i="9" s="1"/>
  <c r="D12" i="9" a="1"/>
  <c r="D12" i="9" s="1"/>
  <c r="E12" i="9" s="1"/>
  <c r="F12" i="9" s="1"/>
  <c r="D132" i="9" a="1"/>
  <c r="D132" i="9" s="1"/>
  <c r="E132" i="9" s="1"/>
  <c r="F132" i="9" s="1"/>
  <c r="D277" i="9" a="1"/>
  <c r="D277" i="9" s="1"/>
  <c r="E277" i="9" s="1"/>
  <c r="F277" i="9" s="1"/>
  <c r="D433" i="9" a="1"/>
  <c r="D433" i="9" s="1"/>
  <c r="E433" i="9" s="1"/>
  <c r="F433" i="9" s="1"/>
  <c r="D604" i="9" a="1"/>
  <c r="D604" i="9" s="1"/>
  <c r="E604" i="9" s="1"/>
  <c r="F604" i="9" s="1"/>
  <c r="D23" i="9" a="1"/>
  <c r="D23" i="9" s="1"/>
  <c r="E23" i="9" s="1"/>
  <c r="F23" i="9" s="1"/>
  <c r="D189" i="9" a="1"/>
  <c r="D189" i="9" s="1"/>
  <c r="E189" i="9" s="1"/>
  <c r="F189" i="9" s="1"/>
  <c r="D321" i="9" a="1"/>
  <c r="D321" i="9" s="1"/>
  <c r="E321" i="9" s="1"/>
  <c r="F321" i="9" s="1"/>
  <c r="D444" i="9" a="1"/>
  <c r="D444" i="9" s="1"/>
  <c r="E444" i="9" s="1"/>
  <c r="F444" i="9" s="1"/>
  <c r="D567" i="9" a="1"/>
  <c r="D567" i="9" s="1"/>
  <c r="E567" i="9" s="1"/>
  <c r="F567" i="9" s="1"/>
  <c r="D106" i="9" a="1"/>
  <c r="D106" i="9" s="1"/>
  <c r="E106" i="9" s="1"/>
  <c r="F106" i="9" s="1"/>
  <c r="D229" i="9" a="1"/>
  <c r="D229" i="9" s="1"/>
  <c r="E229" i="9" s="1"/>
  <c r="F229" i="9" s="1"/>
  <c r="D426" i="9" a="1"/>
  <c r="D426" i="9" s="1"/>
  <c r="E426" i="9" s="1"/>
  <c r="F426" i="9" s="1"/>
  <c r="D568" i="9" a="1"/>
  <c r="D568" i="9" s="1"/>
  <c r="E568" i="9" s="1"/>
  <c r="F568" i="9" s="1"/>
  <c r="D704" i="9" a="1"/>
  <c r="D704" i="9" s="1"/>
  <c r="E704" i="9" s="1"/>
  <c r="F704" i="9" s="1"/>
  <c r="D60" i="9" a="1"/>
  <c r="D60" i="9" s="1"/>
  <c r="E60" i="9" s="1"/>
  <c r="F60" i="9" s="1"/>
  <c r="D211" i="9" a="1"/>
  <c r="D211" i="9" s="1"/>
  <c r="E211" i="9" s="1"/>
  <c r="F211" i="9" s="1"/>
  <c r="D347" i="9" a="1"/>
  <c r="D347" i="9" s="1"/>
  <c r="E347" i="9" s="1"/>
  <c r="F347" i="9" s="1"/>
  <c r="D505" i="9" a="1"/>
  <c r="D505" i="9" s="1"/>
  <c r="E505" i="9" s="1"/>
  <c r="F505" i="9" s="1"/>
  <c r="D643" i="9" a="1"/>
  <c r="D643" i="9" s="1"/>
  <c r="E643" i="9" s="1"/>
  <c r="F643" i="9" s="1"/>
  <c r="D71" i="9" a="1"/>
  <c r="D71" i="9" s="1"/>
  <c r="E71" i="9" s="1"/>
  <c r="F71" i="9" s="1"/>
  <c r="D72" i="9" a="1"/>
  <c r="D72" i="9" s="1"/>
  <c r="E72" i="9" s="1"/>
  <c r="F72" i="9" s="1"/>
  <c r="D222" i="9" a="1"/>
  <c r="D222" i="9" s="1"/>
  <c r="E222" i="9" s="1"/>
  <c r="F222" i="9" s="1"/>
  <c r="D358" i="9" a="1"/>
  <c r="D358" i="9" s="1"/>
  <c r="E358" i="9" s="1"/>
  <c r="F358" i="9" s="1"/>
  <c r="D479" i="9" a="1"/>
  <c r="D479" i="9" s="1"/>
  <c r="E479" i="9" s="1"/>
  <c r="F479" i="9" s="1"/>
  <c r="D109" i="9" a="1"/>
  <c r="D109" i="9" s="1"/>
  <c r="E109" i="9" s="1"/>
  <c r="F109" i="9" s="1"/>
  <c r="D252" i="9" a="1"/>
  <c r="D252" i="9" s="1"/>
  <c r="E252" i="9" s="1"/>
  <c r="F252" i="9" s="1"/>
  <c r="D419" i="9" a="1"/>
  <c r="D419" i="9" s="1"/>
  <c r="E419" i="9" s="1"/>
  <c r="F419" i="9" s="1"/>
  <c r="D607" i="9" a="1"/>
  <c r="D607" i="9" s="1"/>
  <c r="E607" i="9" s="1"/>
  <c r="F607" i="9" s="1"/>
  <c r="D82" i="9" a="1"/>
  <c r="D82" i="9" s="1"/>
  <c r="E82" i="9" s="1"/>
  <c r="F82" i="9" s="1"/>
  <c r="D223" i="9" a="1"/>
  <c r="D223" i="9" s="1"/>
  <c r="E223" i="9" s="1"/>
  <c r="F223" i="9" s="1"/>
  <c r="D360" i="9" a="1"/>
  <c r="D360" i="9" s="1"/>
  <c r="E360" i="9" s="1"/>
  <c r="F360" i="9" s="1"/>
  <c r="D481" i="9" a="1"/>
  <c r="D481" i="9" s="1"/>
  <c r="E481" i="9" s="1"/>
  <c r="F481" i="9" s="1"/>
  <c r="D148" i="9" a="1"/>
  <c r="D148" i="9" s="1"/>
  <c r="E148" i="9" s="1"/>
  <c r="F148" i="9" s="1"/>
  <c r="D1256" i="9" a="1"/>
  <c r="D1256" i="9" s="1"/>
  <c r="E1256" i="9" s="1"/>
  <c r="F1256" i="9" s="1"/>
  <c r="D921" i="9" a="1"/>
  <c r="D921" i="9" s="1"/>
  <c r="E921" i="9" s="1"/>
  <c r="F921" i="9" s="1"/>
  <c r="D1209" i="9" a="1"/>
  <c r="D1209" i="9" s="1"/>
  <c r="E1209" i="9" s="1"/>
  <c r="F1209" i="9" s="1"/>
  <c r="D825" i="9" a="1"/>
  <c r="D825" i="9" s="1"/>
  <c r="E825" i="9" s="1"/>
  <c r="F825" i="9" s="1"/>
  <c r="D910" i="9" a="1"/>
  <c r="D910" i="9" s="1"/>
  <c r="E910" i="9" s="1"/>
  <c r="F910" i="9" s="1"/>
  <c r="D1150" i="9" a="1"/>
  <c r="D1150" i="9" s="1"/>
  <c r="E1150" i="9" s="1"/>
  <c r="F1150" i="9" s="1"/>
  <c r="D1342" i="9" a="1"/>
  <c r="D1342" i="9" s="1"/>
  <c r="E1342" i="9" s="1"/>
  <c r="F1342" i="9" s="1"/>
  <c r="D544" i="9" a="1"/>
  <c r="D544" i="9" s="1"/>
  <c r="E544" i="9" s="1"/>
  <c r="F544" i="9" s="1"/>
  <c r="D1007" i="9" a="1"/>
  <c r="D1007" i="9" s="1"/>
  <c r="E1007" i="9" s="1"/>
  <c r="F1007" i="9" s="1"/>
  <c r="D1199" i="9" a="1"/>
  <c r="D1199" i="9" s="1"/>
  <c r="E1199" i="9" s="1"/>
  <c r="F1199" i="9" s="1"/>
  <c r="D1439" i="9" a="1"/>
  <c r="D1439" i="9" s="1"/>
  <c r="E1439" i="9" s="1"/>
  <c r="F1439" i="9" s="1"/>
  <c r="D666" i="9" a="1"/>
  <c r="D666" i="9" s="1"/>
  <c r="E666" i="9" s="1"/>
  <c r="F666" i="9" s="1"/>
  <c r="D817" i="9" a="1"/>
  <c r="D817" i="9" s="1"/>
  <c r="E817" i="9" s="1"/>
  <c r="F817" i="9" s="1"/>
  <c r="D984" i="9" a="1"/>
  <c r="D984" i="9" s="1"/>
  <c r="E984" i="9" s="1"/>
  <c r="F984" i="9" s="1"/>
  <c r="D1140" i="9" a="1"/>
  <c r="D1140" i="9" s="1"/>
  <c r="E1140" i="9" s="1"/>
  <c r="F1140" i="9" s="1"/>
  <c r="D458" i="9" a="1"/>
  <c r="D458" i="9" s="1"/>
  <c r="E458" i="9" s="1"/>
  <c r="F458" i="9" s="1"/>
  <c r="D728" i="9" a="1"/>
  <c r="D728" i="9" s="1"/>
  <c r="E728" i="9" s="1"/>
  <c r="F728" i="9" s="1"/>
  <c r="D842" i="9" a="1"/>
  <c r="D842" i="9" s="1"/>
  <c r="E842" i="9" s="1"/>
  <c r="F842" i="9" s="1"/>
  <c r="D985" i="9" a="1"/>
  <c r="D985" i="9" s="1"/>
  <c r="E985" i="9" s="1"/>
  <c r="F985" i="9" s="1"/>
  <c r="D1202" i="9" a="1"/>
  <c r="D1202" i="9" s="1"/>
  <c r="E1202" i="9" s="1"/>
  <c r="F1202" i="9" s="1"/>
  <c r="D1289" i="9" a="1"/>
  <c r="D1289" i="9" s="1"/>
  <c r="E1289" i="9" s="1"/>
  <c r="F1289" i="9" s="1"/>
  <c r="D22" i="9" a="1"/>
  <c r="D22" i="9" s="1"/>
  <c r="E22" i="9" s="1"/>
  <c r="F22" i="9" s="1"/>
  <c r="D142" i="9" a="1"/>
  <c r="D142" i="9" s="1"/>
  <c r="E142" i="9" s="1"/>
  <c r="F142" i="9" s="1"/>
  <c r="D287" i="9" a="1"/>
  <c r="D287" i="9" s="1"/>
  <c r="E287" i="9" s="1"/>
  <c r="F287" i="9" s="1"/>
  <c r="D443" i="9" a="1"/>
  <c r="D443" i="9" s="1"/>
  <c r="E443" i="9" s="1"/>
  <c r="F443" i="9" s="1"/>
  <c r="D613" i="9" a="1"/>
  <c r="D613" i="9" s="1"/>
  <c r="E613" i="9" s="1"/>
  <c r="F613" i="9" s="1"/>
  <c r="D41" i="9" a="1"/>
  <c r="D41" i="9" s="1"/>
  <c r="E41" i="9" s="1"/>
  <c r="F41" i="9" s="1"/>
  <c r="D209" i="9" a="1"/>
  <c r="D209" i="9" s="1"/>
  <c r="E209" i="9" s="1"/>
  <c r="F209" i="9" s="1"/>
  <c r="D329" i="9" a="1"/>
  <c r="D329" i="9" s="1"/>
  <c r="E329" i="9" s="1"/>
  <c r="F329" i="9" s="1"/>
  <c r="D451" i="9" a="1"/>
  <c r="D451" i="9" s="1"/>
  <c r="E451" i="9" s="1"/>
  <c r="F451" i="9" s="1"/>
  <c r="D575" i="9" a="1"/>
  <c r="D575" i="9" s="1"/>
  <c r="E575" i="9" s="1"/>
  <c r="F575" i="9" s="1"/>
  <c r="D125" i="9" a="1"/>
  <c r="D125" i="9" s="1"/>
  <c r="E125" i="9" s="1"/>
  <c r="F125" i="9" s="1"/>
  <c r="D240" i="9" a="1"/>
  <c r="D240" i="9" s="1"/>
  <c r="E240" i="9" s="1"/>
  <c r="F240" i="9" s="1"/>
  <c r="D435" i="9" a="1"/>
  <c r="D435" i="9" s="1"/>
  <c r="E435" i="9" s="1"/>
  <c r="F435" i="9" s="1"/>
  <c r="D576" i="9" a="1"/>
  <c r="D576" i="9" s="1"/>
  <c r="E576" i="9" s="1"/>
  <c r="F576" i="9" s="1"/>
  <c r="D729" i="9" a="1"/>
  <c r="D729" i="9" s="1"/>
  <c r="E729" i="9" s="1"/>
  <c r="F729" i="9" s="1"/>
  <c r="D70" i="9" a="1"/>
  <c r="D70" i="9" s="1"/>
  <c r="E70" i="9" s="1"/>
  <c r="F70" i="9" s="1"/>
  <c r="D221" i="9" a="1"/>
  <c r="D221" i="9" s="1"/>
  <c r="E221" i="9" s="1"/>
  <c r="F221" i="9" s="1"/>
  <c r="D428" i="9" a="1"/>
  <c r="D428" i="9" s="1"/>
  <c r="E428" i="9" s="1"/>
  <c r="F428" i="9" s="1"/>
  <c r="D515" i="9" a="1"/>
  <c r="D515" i="9" s="1"/>
  <c r="E515" i="9" s="1"/>
  <c r="F515" i="9" s="1"/>
  <c r="D662" i="9" a="1"/>
  <c r="D662" i="9" s="1"/>
  <c r="E662" i="9" s="1"/>
  <c r="F662" i="9" s="1"/>
  <c r="D79" i="9" a="1"/>
  <c r="D79" i="9" s="1"/>
  <c r="E79" i="9" s="1"/>
  <c r="F79" i="9" s="1"/>
  <c r="D80" i="9" a="1"/>
  <c r="D80" i="9" s="1"/>
  <c r="E80" i="9" s="1"/>
  <c r="F80" i="9" s="1"/>
  <c r="D232" i="9" a="1"/>
  <c r="D232" i="9" s="1"/>
  <c r="E232" i="9" s="1"/>
  <c r="F232" i="9" s="1"/>
  <c r="D366" i="9" a="1"/>
  <c r="D366" i="9" s="1"/>
  <c r="E366" i="9" s="1"/>
  <c r="F366" i="9" s="1"/>
  <c r="D498" i="9" a="1"/>
  <c r="D498" i="9" s="1"/>
  <c r="E498" i="9" s="1"/>
  <c r="F498" i="9" s="1"/>
  <c r="D119" i="9" a="1"/>
  <c r="D119" i="9" s="1"/>
  <c r="E119" i="9" s="1"/>
  <c r="F119" i="9" s="1"/>
  <c r="D263" i="9" a="1"/>
  <c r="D263" i="9" s="1"/>
  <c r="E263" i="9" s="1"/>
  <c r="F263" i="9" s="1"/>
  <c r="D500" i="9" a="1"/>
  <c r="D500" i="9" s="1"/>
  <c r="E500" i="9" s="1"/>
  <c r="F500" i="9" s="1"/>
  <c r="D627" i="9" a="1"/>
  <c r="D627" i="9" s="1"/>
  <c r="E627" i="9" s="1"/>
  <c r="F627" i="9" s="1"/>
  <c r="D101" i="9" a="1"/>
  <c r="D101" i="9" s="1"/>
  <c r="E101" i="9" s="1"/>
  <c r="F101" i="9" s="1"/>
  <c r="D234" i="9" a="1"/>
  <c r="D234" i="9" s="1"/>
  <c r="E234" i="9" s="1"/>
  <c r="F234" i="9" s="1"/>
  <c r="D589" i="9" a="1"/>
  <c r="D589" i="9" s="1"/>
  <c r="E589" i="9" s="1"/>
  <c r="F589" i="9" s="1"/>
  <c r="D111" i="9" a="1"/>
  <c r="D111" i="9" s="1"/>
  <c r="E111" i="9" s="1"/>
  <c r="F111" i="9" s="1"/>
  <c r="D430" i="9" a="1"/>
  <c r="D430" i="9" s="1"/>
  <c r="E430" i="9" s="1"/>
  <c r="F430" i="9" s="1"/>
  <c r="D74" i="9" a="1"/>
  <c r="D74" i="9" s="1"/>
  <c r="E74" i="9" s="1"/>
  <c r="F74" i="9" s="1"/>
  <c r="D303" i="9" a="1"/>
  <c r="D303" i="9" s="1"/>
  <c r="E303" i="9" s="1"/>
  <c r="F303" i="9" s="1"/>
  <c r="D20" i="9" a="1"/>
  <c r="D20" i="9" s="1"/>
  <c r="E20" i="9" s="1"/>
  <c r="F20" i="9" s="1"/>
  <c r="D256" i="9" a="1"/>
  <c r="D256" i="9" s="1"/>
  <c r="E256" i="9" s="1"/>
  <c r="F256" i="9" s="1"/>
  <c r="D483" i="9" a="1"/>
  <c r="D483" i="9" s="1"/>
  <c r="E483" i="9" s="1"/>
  <c r="F483" i="9" s="1"/>
  <c r="D85" i="9" a="1"/>
  <c r="D85" i="9" s="1"/>
  <c r="E85" i="9" s="1"/>
  <c r="F85" i="9" s="1"/>
  <c r="D286" i="9" a="1"/>
  <c r="D286" i="9" s="1"/>
  <c r="E286" i="9" s="1"/>
  <c r="F286" i="9" s="1"/>
  <c r="D442" i="9" a="1"/>
  <c r="D442" i="9" s="1"/>
  <c r="E442" i="9" s="1"/>
  <c r="F442" i="9" s="1"/>
  <c r="D29" i="9" a="1"/>
  <c r="D29" i="9" s="1"/>
  <c r="E29" i="9" s="1"/>
  <c r="F29" i="9" s="1"/>
  <c r="D64" i="9" a="1"/>
  <c r="D64" i="9" s="1"/>
  <c r="E64" i="9" s="1"/>
  <c r="F64" i="9" s="1"/>
  <c r="D129" i="9" a="1"/>
  <c r="D129" i="9" s="1"/>
  <c r="E129" i="9" s="1"/>
  <c r="F129" i="9" s="1"/>
  <c r="D439" i="9" a="1"/>
  <c r="D439" i="9" s="1"/>
  <c r="E439" i="9" s="1"/>
  <c r="F439" i="9" s="1"/>
  <c r="D93" i="9" a="1"/>
  <c r="D93" i="9" s="1"/>
  <c r="E93" i="9" s="1"/>
  <c r="F93" i="9" s="1"/>
  <c r="D310" i="9" a="1"/>
  <c r="D310" i="9" s="1"/>
  <c r="E310" i="9" s="1"/>
  <c r="F310" i="9" s="1"/>
  <c r="D166" i="9" a="1"/>
  <c r="D166" i="9" s="1"/>
  <c r="E166" i="9" s="1"/>
  <c r="F166" i="9" s="1"/>
  <c r="D157" i="9" a="1"/>
  <c r="D157" i="9" s="1"/>
  <c r="E157" i="9" s="1"/>
  <c r="F157" i="9" s="1"/>
  <c r="D457" i="9" a="1"/>
  <c r="D457" i="9" s="1"/>
  <c r="E457" i="9" s="1"/>
  <c r="F457" i="9" s="1"/>
  <c r="D149" i="9" a="1"/>
  <c r="D149" i="9" s="1"/>
  <c r="E149" i="9" s="1"/>
  <c r="F149" i="9" s="1"/>
  <c r="D326" i="9" a="1"/>
  <c r="D326" i="9" s="1"/>
  <c r="E326" i="9" s="1"/>
  <c r="F326" i="9" s="1"/>
  <c r="D75" i="9" a="1"/>
  <c r="D75" i="9" s="1"/>
  <c r="E75" i="9" s="1"/>
  <c r="F75" i="9" s="1"/>
  <c r="D285" i="9" a="1"/>
  <c r="D285" i="9" s="1"/>
  <c r="E285" i="9" s="1"/>
  <c r="F285" i="9" s="1"/>
  <c r="D510" i="9" a="1"/>
  <c r="D510" i="9" s="1"/>
  <c r="E510" i="9" s="1"/>
  <c r="F510" i="9" s="1"/>
  <c r="D141" i="9" a="1"/>
  <c r="D141" i="9" s="1"/>
  <c r="E141" i="9" s="1"/>
  <c r="F141" i="9" s="1"/>
  <c r="D304" i="9" a="1"/>
  <c r="D304" i="9" s="1"/>
  <c r="E304" i="9" s="1"/>
  <c r="F304" i="9" s="1"/>
  <c r="D460" i="9" a="1"/>
  <c r="D460" i="9" s="1"/>
  <c r="E460" i="9" s="1"/>
  <c r="F460" i="9" s="1"/>
  <c r="D194" i="9" a="1"/>
  <c r="D194" i="9" s="1"/>
  <c r="E194" i="9" s="1"/>
  <c r="F194" i="9" s="1"/>
  <c r="D235" i="9" a="1"/>
  <c r="D235" i="9" s="1"/>
  <c r="E235" i="9" s="1"/>
  <c r="F235" i="9" s="1"/>
  <c r="D465" i="9" a="1"/>
  <c r="D465" i="9" s="1"/>
  <c r="E465" i="9" s="1"/>
  <c r="F465" i="9" s="1"/>
  <c r="D158" i="9" a="1"/>
  <c r="D158" i="9" s="1"/>
  <c r="E158" i="9" s="1"/>
  <c r="F158" i="9" s="1"/>
  <c r="D334" i="9" a="1"/>
  <c r="D334" i="9" s="1"/>
  <c r="E334" i="9" s="1"/>
  <c r="F334" i="9" s="1"/>
  <c r="D84" i="9" a="1"/>
  <c r="D84" i="9" s="1"/>
  <c r="E84" i="9" s="1"/>
  <c r="F84" i="9" s="1"/>
  <c r="D311" i="9" a="1"/>
  <c r="D311" i="9" s="1"/>
  <c r="E311" i="9" s="1"/>
  <c r="F311" i="9" s="1"/>
  <c r="D564" i="9" a="1"/>
  <c r="D564" i="9" s="1"/>
  <c r="E564" i="9" s="1"/>
  <c r="F564" i="9" s="1"/>
  <c r="D150" i="9" a="1"/>
  <c r="D150" i="9" s="1"/>
  <c r="E150" i="9" s="1"/>
  <c r="F150" i="9" s="1"/>
  <c r="D312" i="9" a="1"/>
  <c r="D312" i="9" s="1"/>
  <c r="E312" i="9" s="1"/>
  <c r="F312" i="9" s="1"/>
  <c r="D467" i="9" a="1"/>
  <c r="D467" i="9" s="1"/>
  <c r="E467" i="9" s="1"/>
  <c r="F467" i="9" s="1"/>
  <c r="D335" i="9" a="1"/>
  <c r="D335" i="9" s="1"/>
  <c r="E335" i="9" s="1"/>
  <c r="F335" i="9" s="1"/>
  <c r="D521" i="9" a="1"/>
  <c r="D521" i="9" s="1"/>
  <c r="E521" i="9" s="1"/>
  <c r="F521" i="9" s="1"/>
  <c r="D267" i="9" a="1"/>
  <c r="D267" i="9" s="1"/>
  <c r="E267" i="9" s="1"/>
  <c r="F267" i="9" s="1"/>
  <c r="D309" i="9" a="1"/>
  <c r="D309" i="9" s="1"/>
  <c r="E309" i="9" s="1"/>
  <c r="F309" i="9" s="1"/>
  <c r="D245" i="9" a="1"/>
  <c r="D245" i="9" s="1"/>
  <c r="E245" i="9" s="1"/>
  <c r="F245" i="9" s="1"/>
  <c r="D473" i="9" a="1"/>
  <c r="D473" i="9" s="1"/>
  <c r="E473" i="9" s="1"/>
  <c r="F473" i="9" s="1"/>
  <c r="D168" i="9" a="1"/>
  <c r="D168" i="9" s="1"/>
  <c r="E168" i="9" s="1"/>
  <c r="F168" i="9" s="1"/>
  <c r="D352" i="9" a="1"/>
  <c r="D352" i="9" s="1"/>
  <c r="E352" i="9" s="1"/>
  <c r="F352" i="9" s="1"/>
  <c r="D94" i="9" a="1"/>
  <c r="D94" i="9" s="1"/>
  <c r="E94" i="9" s="1"/>
  <c r="F94" i="9" s="1"/>
  <c r="D319" i="9" a="1"/>
  <c r="D319" i="9" s="1"/>
  <c r="E319" i="9" s="1"/>
  <c r="F319" i="9" s="1"/>
  <c r="D583" i="9" a="1"/>
  <c r="D583" i="9" s="1"/>
  <c r="E583" i="9" s="1"/>
  <c r="F583" i="9" s="1"/>
  <c r="D160" i="9" a="1"/>
  <c r="D160" i="9" s="1"/>
  <c r="E160" i="9" s="1"/>
  <c r="F160" i="9" s="1"/>
  <c r="D328" i="9" a="1"/>
  <c r="D328" i="9" s="1"/>
  <c r="E328" i="9" s="1"/>
  <c r="F328" i="9" s="1"/>
  <c r="D475" i="9" a="1"/>
  <c r="D475" i="9" s="1"/>
  <c r="E475" i="9" s="1"/>
  <c r="F475" i="9" s="1"/>
  <c r="D354" i="9" a="1"/>
  <c r="D354" i="9" s="1"/>
  <c r="E354" i="9" s="1"/>
  <c r="F354" i="9" s="1"/>
  <c r="D404" i="9" a="1"/>
  <c r="D404" i="9" s="1"/>
  <c r="E404" i="9" s="1"/>
  <c r="F404" i="9" s="1"/>
  <c r="D294" i="9" a="1"/>
  <c r="D294" i="9" s="1"/>
  <c r="E294" i="9" s="1"/>
  <c r="F294" i="9" s="1"/>
  <c r="D332" i="9" a="1"/>
  <c r="D332" i="9" s="1"/>
  <c r="E332" i="9" s="1"/>
  <c r="F332" i="9" s="1"/>
  <c r="D254" i="9" a="1"/>
  <c r="D254" i="9" s="1"/>
  <c r="E254" i="9" s="1"/>
  <c r="F254" i="9" s="1"/>
  <c r="D490" i="9" a="1"/>
  <c r="D490" i="9" s="1"/>
  <c r="E490" i="9" s="1"/>
  <c r="F490" i="9" s="1"/>
  <c r="D176" i="9" a="1"/>
  <c r="D176" i="9" s="1"/>
  <c r="E176" i="9" s="1"/>
  <c r="F176" i="9" s="1"/>
  <c r="D361" i="9" a="1"/>
  <c r="D361" i="9" s="1"/>
  <c r="E361" i="9" s="1"/>
  <c r="F361" i="9" s="1"/>
  <c r="D113" i="9" a="1"/>
  <c r="D113" i="9" s="1"/>
  <c r="E113" i="9" s="1"/>
  <c r="F113" i="9" s="1"/>
  <c r="D327" i="9" a="1"/>
  <c r="D327" i="9" s="1"/>
  <c r="E327" i="9" s="1"/>
  <c r="F327" i="9" s="1"/>
  <c r="D602" i="9" a="1"/>
  <c r="D602" i="9" s="1"/>
  <c r="E602" i="9" s="1"/>
  <c r="F602" i="9" s="1"/>
  <c r="D169" i="9" a="1"/>
  <c r="D169" i="9" s="1"/>
  <c r="E169" i="9" s="1"/>
  <c r="F169" i="9" s="1"/>
  <c r="D484" i="9" a="1"/>
  <c r="D484" i="9" s="1"/>
  <c r="E484" i="9" s="1"/>
  <c r="F484" i="9" s="1"/>
  <c r="D13" i="9" a="1"/>
  <c r="D13" i="9" s="1"/>
  <c r="E13" i="9" s="1"/>
  <c r="F13" i="9" s="1"/>
  <c r="D368" i="9" a="1"/>
  <c r="D368" i="9" s="1"/>
  <c r="E368" i="9" s="1"/>
  <c r="F368" i="9" s="1"/>
  <c r="D265" i="9" a="1"/>
  <c r="D265" i="9" s="1"/>
  <c r="E265" i="9" s="1"/>
  <c r="F265" i="9" s="1"/>
  <c r="D555" i="9" a="1"/>
  <c r="D555" i="9" s="1"/>
  <c r="E555" i="9" s="1"/>
  <c r="F555" i="9" s="1"/>
  <c r="D186" i="9" a="1"/>
  <c r="D186" i="9" s="1"/>
  <c r="E186" i="9" s="1"/>
  <c r="F186" i="9" s="1"/>
  <c r="D403" i="9" a="1"/>
  <c r="D403" i="9" s="1"/>
  <c r="E403" i="9" s="1"/>
  <c r="F403" i="9" s="1"/>
  <c r="D131" i="9" a="1"/>
  <c r="D131" i="9" s="1"/>
  <c r="E131" i="9" s="1"/>
  <c r="F131" i="9" s="1"/>
  <c r="D389" i="9" a="1"/>
  <c r="D389" i="9" s="1"/>
  <c r="E389" i="9" s="1"/>
  <c r="F389" i="9" s="1"/>
  <c r="D11" i="9" a="1"/>
  <c r="D11" i="9" s="1"/>
  <c r="E11" i="9" s="1"/>
  <c r="F11" i="9" s="1"/>
  <c r="D178" i="9" a="1"/>
  <c r="D178" i="9" s="1"/>
  <c r="E178" i="9" s="1"/>
  <c r="F178" i="9" s="1"/>
  <c r="D492" i="9" a="1"/>
  <c r="D492" i="9" s="1"/>
  <c r="E492" i="9" s="1"/>
  <c r="F492" i="9" s="1"/>
  <c r="D501" i="9" a="1"/>
  <c r="D501" i="9" s="1"/>
  <c r="E501" i="9" s="1"/>
  <c r="F501" i="9" s="1"/>
  <c r="D438" i="9" a="1"/>
  <c r="D438" i="9" s="1"/>
  <c r="E438" i="9" s="1"/>
  <c r="F438" i="9" s="1"/>
  <c r="D274" i="9" a="1"/>
  <c r="D274" i="9" s="1"/>
  <c r="E274" i="9" s="1"/>
  <c r="F274" i="9" s="1"/>
  <c r="D9" i="9" a="1"/>
  <c r="D9" i="9" s="1"/>
  <c r="E9" i="9" s="1"/>
  <c r="F9" i="9" s="1"/>
  <c r="D196" i="9" a="1"/>
  <c r="D196" i="9" s="1"/>
  <c r="E196" i="9" s="1"/>
  <c r="F196" i="9" s="1"/>
  <c r="D413" i="9" a="1"/>
  <c r="D413" i="9" s="1"/>
  <c r="E413" i="9" s="1"/>
  <c r="F413" i="9" s="1"/>
  <c r="D284" i="9" a="1"/>
  <c r="D284" i="9" s="1"/>
  <c r="E284" i="9" s="1"/>
  <c r="F284" i="9" s="1"/>
  <c r="D422" i="9" a="1"/>
  <c r="D422" i="9" s="1"/>
  <c r="E422" i="9" s="1"/>
  <c r="F422" i="9" s="1"/>
  <c r="D21" i="9" a="1"/>
  <c r="D21" i="9" s="1"/>
  <c r="E21" i="9" s="1"/>
  <c r="F21" i="9" s="1"/>
  <c r="D207" i="9" a="1"/>
  <c r="D207" i="9" s="1"/>
  <c r="E207" i="9" s="1"/>
  <c r="F207" i="9" s="1"/>
  <c r="D363" i="9" a="1"/>
  <c r="D363" i="9" s="1"/>
  <c r="E363" i="9" s="1"/>
  <c r="F363" i="9" s="1"/>
  <c r="D122" i="9" a="1"/>
  <c r="D122" i="9" s="1"/>
  <c r="E122" i="9" s="1"/>
  <c r="F122" i="9" s="1"/>
  <c r="D448" i="9" a="1"/>
  <c r="D448" i="9" s="1"/>
  <c r="E448" i="9" s="1"/>
  <c r="F448" i="9" s="1"/>
  <c r="D302" i="9" a="1"/>
  <c r="D302" i="9" s="1"/>
  <c r="E302" i="9" s="1"/>
  <c r="F302" i="9" s="1"/>
  <c r="D28" i="9" a="1"/>
  <c r="D28" i="9" s="1"/>
  <c r="E28" i="9" s="1"/>
  <c r="F28" i="9" s="1"/>
  <c r="D205" i="9" a="1"/>
  <c r="D205" i="9" s="1"/>
  <c r="E205" i="9" s="1"/>
  <c r="F205" i="9" s="1"/>
  <c r="D421" i="9" a="1"/>
  <c r="D421" i="9" s="1"/>
  <c r="E421" i="9" s="1"/>
  <c r="F421" i="9" s="1"/>
  <c r="D159" i="9" a="1"/>
  <c r="D159" i="9" s="1"/>
  <c r="E159" i="9" s="1"/>
  <c r="F159" i="9" s="1"/>
  <c r="D432" i="9" a="1"/>
  <c r="D432" i="9" s="1"/>
  <c r="E432" i="9" s="1"/>
  <c r="F432" i="9" s="1"/>
  <c r="D39" i="9" a="1"/>
  <c r="D39" i="9" s="1"/>
  <c r="E39" i="9" s="1"/>
  <c r="F39" i="9" s="1"/>
  <c r="D217" i="9" a="1"/>
  <c r="D217" i="9" s="1"/>
  <c r="E217" i="9" s="1"/>
  <c r="F217" i="9" s="1"/>
  <c r="D372" i="9" a="1"/>
  <c r="D372" i="9" s="1"/>
  <c r="E372" i="9" s="1"/>
  <c r="F372" i="9" s="1"/>
  <c r="D414" i="9" a="1"/>
  <c r="D414" i="9" s="1"/>
  <c r="E414" i="9" s="1"/>
  <c r="F414" i="9" s="1"/>
  <c r="D91" i="9" a="1"/>
  <c r="D91" i="9" s="1"/>
  <c r="E91" i="9" s="1"/>
  <c r="F91" i="9" s="1"/>
  <c r="D456" i="9" a="1"/>
  <c r="D456" i="9" s="1"/>
  <c r="E456" i="9" s="1"/>
  <c r="F456" i="9" s="1"/>
  <c r="D318" i="9" a="1"/>
  <c r="D318" i="9" s="1"/>
  <c r="E318" i="9" s="1"/>
  <c r="F318" i="9" s="1"/>
  <c r="D37" i="9" a="1"/>
  <c r="D37" i="9" s="1"/>
  <c r="E37" i="9" s="1"/>
  <c r="F37" i="9" s="1"/>
  <c r="D216" i="9" a="1"/>
  <c r="D216" i="9" s="1"/>
  <c r="E216" i="9" s="1"/>
  <c r="F216" i="9" s="1"/>
  <c r="D431" i="9" a="1"/>
  <c r="D431" i="9" s="1"/>
  <c r="E431" i="9" s="1"/>
  <c r="F431" i="9" s="1"/>
  <c r="D177" i="9" a="1"/>
  <c r="D177" i="9" s="1"/>
  <c r="E177" i="9" s="1"/>
  <c r="F177" i="9" s="1"/>
  <c r="D441" i="9" a="1"/>
  <c r="D441" i="9" s="1"/>
  <c r="E441" i="9" s="1"/>
  <c r="F441" i="9" s="1"/>
  <c r="D57" i="9" a="1"/>
  <c r="D57" i="9" s="1"/>
  <c r="E57" i="9" s="1"/>
  <c r="F57" i="9" s="1"/>
  <c r="D227" i="9" a="1"/>
  <c r="D227" i="9" s="1"/>
  <c r="E227" i="9" s="1"/>
  <c r="F227" i="9" s="1"/>
  <c r="D233" i="9" a="1"/>
  <c r="D233" i="9" s="1"/>
  <c r="E233" i="9" s="1"/>
  <c r="F233" i="9" s="1"/>
  <c r="D8" i="9" a="1"/>
  <c r="D8" i="9" s="1"/>
  <c r="E8" i="9" s="1"/>
  <c r="F8" i="9" s="1"/>
  <c r="D412" i="9" a="1"/>
  <c r="D412" i="9" s="1"/>
  <c r="E412" i="9" s="1"/>
  <c r="F412" i="9" s="1"/>
  <c r="D47" i="9" a="1"/>
  <c r="D47" i="9" s="1"/>
  <c r="E47" i="9" s="1"/>
  <c r="F47" i="9" s="1"/>
  <c r="D320" i="9" a="1"/>
  <c r="D320" i="9" s="1"/>
  <c r="E320" i="9" s="1"/>
  <c r="F320" i="9" s="1"/>
  <c r="D440" i="9" a="1"/>
  <c r="D440" i="9" s="1"/>
  <c r="E440" i="9" s="1"/>
  <c r="F440" i="9" s="1"/>
  <c r="D236" i="9" a="1"/>
  <c r="D236" i="9" s="1"/>
  <c r="E236" i="9" s="1"/>
  <c r="F236" i="9" s="1"/>
  <c r="D459" i="9" a="1"/>
  <c r="D459" i="9" s="1"/>
  <c r="E459" i="9" s="1"/>
  <c r="F459" i="9" s="1"/>
  <c r="D67" i="9" a="1"/>
  <c r="D67" i="9" s="1"/>
  <c r="E67" i="9" s="1"/>
  <c r="F67" i="9" s="1"/>
  <c r="D237" i="9" a="1"/>
  <c r="D237" i="9" s="1"/>
  <c r="E237" i="9" s="1"/>
  <c r="F237" i="9" s="1"/>
  <c r="D423" i="9" a="1"/>
  <c r="D423" i="9" s="1"/>
  <c r="E423" i="9" s="1"/>
  <c r="F423" i="9" s="1"/>
  <c r="D386" i="9" a="1"/>
  <c r="D386" i="9" s="1"/>
  <c r="E386" i="9" s="1"/>
  <c r="F386" i="9" s="1"/>
  <c r="D92" i="9" a="1"/>
  <c r="D92" i="9" s="1"/>
  <c r="E92" i="9" s="1"/>
  <c r="F92" i="9" s="1"/>
  <c r="D420" i="9" a="1"/>
  <c r="D420" i="9" s="1"/>
  <c r="E420" i="9" s="1"/>
  <c r="F420" i="9" s="1"/>
  <c r="D55" i="9" a="1"/>
  <c r="D55" i="9" s="1"/>
  <c r="E55" i="9" s="1"/>
  <c r="F55" i="9" s="1"/>
  <c r="D293" i="9" a="1"/>
  <c r="D293" i="9" s="1"/>
  <c r="E293" i="9" s="1"/>
  <c r="F293" i="9" s="1"/>
  <c r="D10" i="9" a="1"/>
  <c r="D10" i="9" s="1"/>
  <c r="E10" i="9" s="1"/>
  <c r="F10" i="9" s="1"/>
  <c r="D246" i="9" a="1"/>
  <c r="D246" i="9" s="1"/>
  <c r="E246" i="9" s="1"/>
  <c r="F246" i="9" s="1"/>
  <c r="D466" i="9" a="1"/>
  <c r="D466" i="9" s="1"/>
  <c r="E466" i="9" s="1"/>
  <c r="F466" i="9" s="1"/>
  <c r="D76" i="9" a="1"/>
  <c r="D76" i="9" s="1"/>
  <c r="E76" i="9" s="1"/>
  <c r="F76" i="9" s="1"/>
  <c r="D276" i="9" a="1"/>
  <c r="D276" i="9" s="1"/>
  <c r="E276" i="9" s="1"/>
  <c r="F276" i="9" s="1"/>
  <c r="D450" i="9" a="1"/>
  <c r="D450" i="9" s="1"/>
  <c r="E450" i="9" s="1"/>
  <c r="F450" i="9" s="1"/>
  <c r="D2697" i="9" a="1"/>
  <c r="D2697" i="9" s="1"/>
  <c r="E2697" i="9" s="1"/>
  <c r="F2697" i="9" s="1"/>
  <c r="D2625" i="9" a="1"/>
  <c r="D2625" i="9" s="1"/>
  <c r="E2625" i="9" s="1"/>
  <c r="F2625" i="9" s="1"/>
  <c r="D2323" i="9" a="1"/>
  <c r="D2323" i="9" s="1"/>
  <c r="E2323" i="9" s="1"/>
  <c r="F2323" i="9" s="1"/>
  <c r="K16" i="12"/>
  <c r="J9" i="12"/>
  <c r="K4" i="12"/>
  <c r="J17" i="12"/>
  <c r="J10" i="12"/>
  <c r="K10" i="12"/>
  <c r="J8" i="12"/>
  <c r="K8"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<sst xmlns="http://schemas.openxmlformats.org/spreadsheetml/2006/main" count="14610" uniqueCount="1065">
  <si>
    <t xml:space="preserve">Site Name </t>
  </si>
  <si>
    <t>PV Inverter Size (kW)</t>
  </si>
  <si>
    <t xml:space="preserve">Battery Name </t>
  </si>
  <si>
    <t>Battery Inverter/Hybrid Size</t>
  </si>
  <si>
    <t>Generator  Size</t>
  </si>
  <si>
    <t>Genset/Grid set point kit</t>
  </si>
  <si>
    <t xml:space="preserve">Country </t>
  </si>
  <si>
    <t>Province</t>
  </si>
  <si>
    <t xml:space="preserve">Location </t>
  </si>
  <si>
    <t>Meter</t>
  </si>
  <si>
    <t>Contract Type</t>
  </si>
  <si>
    <t>Business Type</t>
  </si>
  <si>
    <t>Operational Satus</t>
  </si>
  <si>
    <t xml:space="preserve">Sales Type </t>
  </si>
  <si>
    <t>Investment Party</t>
  </si>
  <si>
    <t>Project Number</t>
  </si>
  <si>
    <t>Commisioned Date</t>
  </si>
  <si>
    <t xml:space="preserve">Installer Name </t>
  </si>
  <si>
    <t>Platform</t>
  </si>
  <si>
    <t>Vaal Maseru Klerksdorp</t>
  </si>
  <si>
    <t>Solar MD</t>
  </si>
  <si>
    <t>Sunsynk</t>
  </si>
  <si>
    <t>null</t>
  </si>
  <si>
    <t>South Africa</t>
  </si>
  <si>
    <t>Free state</t>
  </si>
  <si>
    <t>Cnr of Mikro and Von Wielligh Streets, Klerksdorp</t>
  </si>
  <si>
    <t>PPA</t>
  </si>
  <si>
    <t>Commercial</t>
  </si>
  <si>
    <t>Decommissioned</t>
  </si>
  <si>
    <t>SSI</t>
  </si>
  <si>
    <t>P00044</t>
  </si>
  <si>
    <t>21 Melrose</t>
  </si>
  <si>
    <t>3x12kW</t>
  </si>
  <si>
    <t>None</t>
  </si>
  <si>
    <t>Gauteng</t>
  </si>
  <si>
    <t>21 Melrose St Melrose</t>
  </si>
  <si>
    <t>N/A</t>
  </si>
  <si>
    <t>RTO</t>
  </si>
  <si>
    <t>Residential</t>
  </si>
  <si>
    <t>Reduced Demand</t>
  </si>
  <si>
    <t>Anuva</t>
  </si>
  <si>
    <t>P00062</t>
  </si>
  <si>
    <t xml:space="preserve">SA Energy </t>
  </si>
  <si>
    <t>African Global Plastics</t>
  </si>
  <si>
    <t>1st St &amp; 11th road, Kew, Sandton, 2090</t>
  </si>
  <si>
    <t>Alester Meter</t>
  </si>
  <si>
    <t>Manufacture</t>
  </si>
  <si>
    <t>P00008</t>
  </si>
  <si>
    <t>mypower24</t>
  </si>
  <si>
    <t xml:space="preserve">Alpine Heath Residential </t>
  </si>
  <si>
    <t>KZN</t>
  </si>
  <si>
    <t>Busingatha, South Africa</t>
  </si>
  <si>
    <t>Eastron Meter</t>
  </si>
  <si>
    <t>12B Fund</t>
  </si>
  <si>
    <t>isolarCloud</t>
  </si>
  <si>
    <t>Bendstore Plaza Shops</t>
  </si>
  <si>
    <t>Limpopo</t>
  </si>
  <si>
    <t>Stand 87, Bendstore Plaza, Giyani Main Rd, Giyani-BA, Giyani, 0832</t>
  </si>
  <si>
    <t>Retail</t>
  </si>
  <si>
    <t>P00072</t>
  </si>
  <si>
    <t>Bendstore Spar</t>
  </si>
  <si>
    <t>Beyerskloof</t>
  </si>
  <si>
    <t>Western Cape</t>
  </si>
  <si>
    <t>Koelenhof Street, R304, Koelenhof, Stellenbosch, 7600</t>
  </si>
  <si>
    <t xml:space="preserve">BP Parys </t>
  </si>
  <si>
    <t>63 Bree St, Parys, 9585</t>
  </si>
  <si>
    <t>Buffalo Rock</t>
  </si>
  <si>
    <t>2x12kW</t>
  </si>
  <si>
    <t>Mpumalanga</t>
  </si>
  <si>
    <t>Hazyview Ehlanzeni District Municipality MP</t>
  </si>
  <si>
    <t>P00054</t>
  </si>
  <si>
    <t>Checkers De Aar</t>
  </si>
  <si>
    <t>NuVo</t>
  </si>
  <si>
    <t>Northern Cape</t>
  </si>
  <si>
    <t>21 Alexander St, De Aar, 7000, South Africa</t>
  </si>
  <si>
    <t>P00038</t>
  </si>
  <si>
    <t>iSolarCloud &amp; NuVo</t>
  </si>
  <si>
    <t>Checkers Silverlakes Gen</t>
  </si>
  <si>
    <t>Nuvo</t>
  </si>
  <si>
    <t>Chamberlain Shopping Cntr (Six Fountains Cnr Solomon Mahlangu Dr, Bendeman Blvd, &amp;, Pretoria, 0081</t>
  </si>
  <si>
    <t>Checkers Silverlakes No Gen</t>
  </si>
  <si>
    <t>Checkrite Inanda</t>
  </si>
  <si>
    <t>6th Ave, Springs New, Springs, 1560</t>
  </si>
  <si>
    <t>P00056</t>
  </si>
  <si>
    <t>iSolarCloud</t>
  </si>
  <si>
    <t>Club Houghton</t>
  </si>
  <si>
    <t>6x12kW Sunsynk Inverters</t>
  </si>
  <si>
    <t>Osborn Rd, Houghton Estate, Johannesburg, 2198, South Africa</t>
  </si>
  <si>
    <t>P00067</t>
  </si>
  <si>
    <t>Sunsysnk;SolarMd</t>
  </si>
  <si>
    <t>Coldstar International</t>
  </si>
  <si>
    <t>Coldstar International, 3 Rana Rd, Isipingo Rail, Isipingo, 4110 | client miss use data</t>
  </si>
  <si>
    <t>P00051</t>
  </si>
  <si>
    <t>Cultura Fresh</t>
  </si>
  <si>
    <t>Agricultural</t>
  </si>
  <si>
    <t>Demco</t>
  </si>
  <si>
    <t>Industries East, 12 -14 Moller Street, Germiston. 1401</t>
  </si>
  <si>
    <t>P00035</t>
  </si>
  <si>
    <t>Giba Gorge Main</t>
  </si>
  <si>
    <t>5QCJ+XM2 Clifton Canyon, Pinetown Rural</t>
  </si>
  <si>
    <t>P00069</t>
  </si>
  <si>
    <t>soliscloud</t>
  </si>
  <si>
    <t>Giba Gorge Storage</t>
  </si>
  <si>
    <t>SolisCloud</t>
  </si>
  <si>
    <t>Golden Spot Resort</t>
  </si>
  <si>
    <t>HR2M+GQ7 Alkmaar (-25.4487127, 30.8344204)</t>
  </si>
  <si>
    <t>P00071</t>
  </si>
  <si>
    <t>Golden Spot Shops</t>
  </si>
  <si>
    <t>P00060</t>
  </si>
  <si>
    <t>HB Dunn</t>
  </si>
  <si>
    <t>1x50 kW</t>
  </si>
  <si>
    <t>Kriel Nkangala District Municipality MP</t>
  </si>
  <si>
    <t>P00045</t>
  </si>
  <si>
    <t xml:space="preserve">Helderberg Collage </t>
  </si>
  <si>
    <t>Hilston Rotoflo</t>
  </si>
  <si>
    <t>28 Hilston Rd, Kya Sand, Randburg, 2163</t>
  </si>
  <si>
    <t>P00055</t>
  </si>
  <si>
    <t>Huis Herfsblaar</t>
  </si>
  <si>
    <t>Edging Pretoria, 1244 Webb Rd, Queenswood, Pretoria, 0186, South Africa</t>
  </si>
  <si>
    <t>P00034</t>
  </si>
  <si>
    <t xml:space="preserve">Kool Village </t>
  </si>
  <si>
    <t>Kool Village, 89 Virginia Way, Virginia, 9430</t>
  </si>
  <si>
    <t>Mambha Cash &amp; Carry</t>
  </si>
  <si>
    <t>P00015</t>
  </si>
  <si>
    <t>Mathe Group Company</t>
  </si>
  <si>
    <t>4/160 Buckman Blvd, Cato Ridge, 3699, South Africa</t>
  </si>
  <si>
    <t>P00059</t>
  </si>
  <si>
    <t>Mdluli</t>
  </si>
  <si>
    <t>Makoko, South Africa,1251</t>
  </si>
  <si>
    <t>P00083</t>
  </si>
  <si>
    <t>mypower24&amp;IsolarCloud</t>
  </si>
  <si>
    <t xml:space="preserve">Meredale Heights </t>
  </si>
  <si>
    <t>40 thomas street</t>
  </si>
  <si>
    <t>P00052</t>
  </si>
  <si>
    <t>Monument Park Checkers</t>
  </si>
  <si>
    <t>242 Voortrekker Rd, Monument, Krugersdorp, 1739, South Africa</t>
  </si>
  <si>
    <t>P00037</t>
  </si>
  <si>
    <t>isloarcloud &amp;Nuvo</t>
  </si>
  <si>
    <t>Nkambeni Industrial</t>
  </si>
  <si>
    <t>Atess PCS500</t>
  </si>
  <si>
    <t>139 Numbi Rd Numbi Gate Kruger National Park, Hazyview, 1350</t>
  </si>
  <si>
    <t>P00040</t>
  </si>
  <si>
    <t xml:space="preserve">Opal Students </t>
  </si>
  <si>
    <t>Opal students</t>
  </si>
  <si>
    <t>P00057</t>
  </si>
  <si>
    <t>Orthochem Bethlehem</t>
  </si>
  <si>
    <t>6 Sauer Street Bethlehem Free State 9700</t>
  </si>
  <si>
    <t>P00063</t>
  </si>
  <si>
    <t xml:space="preserve">isolarcloud, &amp; NuVO </t>
  </si>
  <si>
    <t xml:space="preserve">Plastiplate </t>
  </si>
  <si>
    <t>6 adderley, Roodepoort, 1724, South Africa</t>
  </si>
  <si>
    <t>P00061</t>
  </si>
  <si>
    <t>PNB Unlimited</t>
  </si>
  <si>
    <t>North West</t>
  </si>
  <si>
    <t>8X4H+VXW Amaoti</t>
  </si>
  <si>
    <t>Q-lity Meat</t>
  </si>
  <si>
    <t>P00007</t>
  </si>
  <si>
    <t>Quintondale</t>
  </si>
  <si>
    <t>43 Orchards Street, Johannesburg, Johannesburg, Gauteng 2192, South Africa</t>
  </si>
  <si>
    <t>P00065</t>
  </si>
  <si>
    <t xml:space="preserve">Riverside Lodge </t>
  </si>
  <si>
    <t>Hartbeespoort, South Africa</t>
  </si>
  <si>
    <t>P00053</t>
  </si>
  <si>
    <t>Sakhumnotho</t>
  </si>
  <si>
    <t>R3W5+96X Johannesburg</t>
  </si>
  <si>
    <t>P00043</t>
  </si>
  <si>
    <t>SaveMore Alldays - Store</t>
  </si>
  <si>
    <t>R572, Alldays, 0909</t>
  </si>
  <si>
    <t>P00050</t>
  </si>
  <si>
    <t xml:space="preserve">Savemore Liquor Alldays </t>
  </si>
  <si>
    <t>84C3+PG2 Alldays</t>
  </si>
  <si>
    <t>Saverite Durban</t>
  </si>
  <si>
    <t>Saverite PMB</t>
  </si>
  <si>
    <t>457 Langalibalele St, Pietermaritzburg, 3200</t>
  </si>
  <si>
    <t>Secunda Plaza Choppies</t>
  </si>
  <si>
    <t>8337 Pichlerplien, Secunda, 2302, South Africa</t>
  </si>
  <si>
    <t>P00076</t>
  </si>
  <si>
    <t>Secunda Plaza Shops</t>
  </si>
  <si>
    <t>8309 Louwrens Muller St, Secunda, 2302, South Africa</t>
  </si>
  <si>
    <t>P00075</t>
  </si>
  <si>
    <t xml:space="preserve">Shoprite Dube </t>
  </si>
  <si>
    <t>Shoprite Maponya Center, 1980 Mahalefele Rd, Dube, Soweto, 1801</t>
  </si>
  <si>
    <t>Shoprite Hillbrow</t>
  </si>
  <si>
    <t xml:space="preserve">500kVa </t>
  </si>
  <si>
    <t xml:space="preserve">Shoprite Ladybrand </t>
  </si>
  <si>
    <t>248 Voortrekkers Ave, CBD, Ladybrand, 9745, South Africa</t>
  </si>
  <si>
    <t>Shoprite Mini Ganyesa</t>
  </si>
  <si>
    <t>P00078</t>
  </si>
  <si>
    <t>Shoprite Naledi</t>
  </si>
  <si>
    <t>PRVC+MPW Soweto</t>
  </si>
  <si>
    <t>Spring Glade</t>
  </si>
  <si>
    <t>VR7R+269 Roodepoort</t>
  </si>
  <si>
    <t>Thakadu Industrial</t>
  </si>
  <si>
    <t>D53 Thakadu Gate, Madikwe Game Reserve Molatedi, 2838</t>
  </si>
  <si>
    <t>The Alec</t>
  </si>
  <si>
    <t>48 Goldreich St, Hillbrow, Johannesburg, 2198, South Africa</t>
  </si>
  <si>
    <t>Three Peaks</t>
  </si>
  <si>
    <t>22A Underwood Rd, Hatton Estate, Pinetown, 3610</t>
  </si>
  <si>
    <t>P00064</t>
  </si>
  <si>
    <t xml:space="preserve">TPF Foods </t>
  </si>
  <si>
    <t>Q2R4+98G Johannesburg</t>
  </si>
  <si>
    <t>Trouw Nutrition</t>
  </si>
  <si>
    <t>Watt Place Rotoflo</t>
  </si>
  <si>
    <t>10 Watt Pl, Kya Sand, Randburg, 2163, South Africa</t>
  </si>
  <si>
    <t>P00048</t>
  </si>
  <si>
    <t>isolarCloud &amp; Nuvo</t>
  </si>
  <si>
    <t>Zwartop Golf Course</t>
  </si>
  <si>
    <t>ZwartKop Golf and Country club, 108 Golf Avenue Club view Centurion 0157</t>
  </si>
  <si>
    <t>Shoprite Thokoza</t>
  </si>
  <si>
    <t>9102 Khumalo St, Thokoza, 1426</t>
  </si>
  <si>
    <t>IsolarCloud</t>
  </si>
  <si>
    <t xml:space="preserve">U Save Botrivier </t>
  </si>
  <si>
    <t>3 8th Ave, Bot River, 7185, South Africa</t>
  </si>
  <si>
    <t>SR Morula TF 1</t>
  </si>
  <si>
    <t>8408 Mangope Rd, Mabopane Unit M, Mabopane, 0190, South Africa</t>
  </si>
  <si>
    <t>P00091</t>
  </si>
  <si>
    <t>SR Morula TF 1 - Shoprite</t>
  </si>
  <si>
    <t>8409 Mangope Rd, Mabopane Unit M, Mabopane, 0190, South Africa</t>
  </si>
  <si>
    <t>SR Morula TF 2</t>
  </si>
  <si>
    <t>8410 Mangope Rd, Mabopane Unit M, Mabopane, 0190, South Africa</t>
  </si>
  <si>
    <t>Olievenhoutbosch 1</t>
  </si>
  <si>
    <t>33WW+C5W Centurion</t>
  </si>
  <si>
    <t>Olievenhoutbosch 2</t>
  </si>
  <si>
    <t>IPID - Floor 6</t>
  </si>
  <si>
    <t>7633+M46 Pretoria</t>
  </si>
  <si>
    <t>IPID - Floor 4</t>
  </si>
  <si>
    <t>Shoprite Newlands</t>
  </si>
  <si>
    <t>Newlands City Centre, 2 Marble Ray Drive, New Dawn Park, Durban, 4037</t>
  </si>
  <si>
    <t>Grootpan</t>
  </si>
  <si>
    <t>Deye</t>
  </si>
  <si>
    <t>Daye</t>
  </si>
  <si>
    <t>2G4H+RXQ Ga-Motlatla</t>
  </si>
  <si>
    <t>OTG 4 U</t>
  </si>
  <si>
    <t>Deye Cloud</t>
  </si>
  <si>
    <t>Medipost</t>
  </si>
  <si>
    <t>593 Nico Smith St, Gezina, Pretoria, 0084</t>
  </si>
  <si>
    <t>Makalali</t>
  </si>
  <si>
    <t>Makalali game reserve Road D202 Harmony Block 33, Gravelotte</t>
  </si>
  <si>
    <t>Agriculural</t>
  </si>
  <si>
    <t>Engen Lotus Gardens</t>
  </si>
  <si>
    <t>63WC+CQ4 Pretoria</t>
  </si>
  <si>
    <t>Shoprite Ekhaya</t>
  </si>
  <si>
    <t>Ekhaya Mall, R546, Evander, 2285</t>
  </si>
  <si>
    <t>Producing</t>
  </si>
  <si>
    <t>Roan Foods</t>
  </si>
  <si>
    <t>Zambia</t>
  </si>
  <si>
    <t>Lusaka</t>
  </si>
  <si>
    <t>J8VC+WPJ, Lusaka, Zambia</t>
  </si>
  <si>
    <t>Dorman Energy</t>
  </si>
  <si>
    <t>3117 Angelfish St, Kaalfontein, Midrand, 1632</t>
  </si>
  <si>
    <t>Alpine Heath Resort</t>
  </si>
  <si>
    <t>Checkers Lichtenburg</t>
  </si>
  <si>
    <t>33 Nelson Mandela Dr, Lichtenburg, 2740</t>
  </si>
  <si>
    <t>Jan</t>
  </si>
  <si>
    <t>Feb</t>
  </si>
  <si>
    <t>Mar</t>
  </si>
  <si>
    <t>Apr</t>
  </si>
  <si>
    <t>May</t>
  </si>
  <si>
    <t>Jun</t>
  </si>
  <si>
    <t>Jul</t>
  </si>
  <si>
    <t>Aug</t>
  </si>
  <si>
    <t>Sep</t>
  </si>
  <si>
    <t>Oct</t>
  </si>
  <si>
    <t>Nov</t>
  </si>
  <si>
    <t>Dec</t>
  </si>
  <si>
    <t>Secunda Plaza choppies</t>
  </si>
  <si>
    <t>Date</t>
  </si>
  <si>
    <t>Expected Utilisation%</t>
  </si>
  <si>
    <t>Site Name</t>
  </si>
  <si>
    <t>Expected Production (kWh)</t>
  </si>
  <si>
    <t>Measured Value (kWh)</t>
  </si>
  <si>
    <t>Engen Kaalfontein</t>
  </si>
  <si>
    <t>Measured (kWh)</t>
  </si>
  <si>
    <t>Expected (kWh)</t>
  </si>
  <si>
    <t>Performance</t>
  </si>
  <si>
    <t>PF Band</t>
  </si>
  <si>
    <t>Underperforming
Low demand
Excessive rain and cloudy weather for approx. 2 weeks
-50% less production compared to Feb 2024
Avg load: Feb 2024: 200kW; Feb 2025 150-160kW</t>
  </si>
  <si>
    <t>Underperforming due to Low demand
System performance is &gt;65% expected production 
System Performance improved by 9% compared to last month
System Performance decreased by 55% compared to march 2024
System Performance affected by rain on some days</t>
  </si>
  <si>
    <t>1. Underperformance due to low demand
2. Production is 63% of expected 
3. Production is 45% Compared to April 2024
4. Production is the same compared to last month</t>
  </si>
  <si>
    <t>1. Production is 102% of the expected energy.
2. Production is 16% less compared to May 2024.
3. Production is 39% more compared to last month.
4. There is no downtime on the solar, Eskom, and communication.</t>
  </si>
  <si>
    <t>1. Production is 108% of the expected energy.
2. Production is 6% less compared to June 2024.
3. Production is 6% more compared to last month.
4. There is no downtime on the solar, Eskom, and communication.</t>
  </si>
  <si>
    <t>1. Production is 96% of the expected energy.
2. Production is 10% less compared to Jul 2024.
3. Production is 12% less compared to last month.
4. There is no downtime on the solar, Eskom, and communication.</t>
  </si>
  <si>
    <t xml:space="preserve">1. Production is 76% of the expected energy.
2. Production is 6% less compared to Aug 2024.
3. Production is 20% less compared to last month.
4. System performed moderately, client loads are slightly low.  </t>
  </si>
  <si>
    <t xml:space="preserve">1. Production is 60% of the expected energy.
2. Production is 146% less compared to Sep 2024.
3. Production is 16% less compared to last month.
4. System performed moderately; client load demand is low.  </t>
  </si>
  <si>
    <t xml:space="preserve">1. Production is 67% of the expected energy.
2. Production is 1% more compared to Oct 2024.
3. Production is 7% more compared to last month.
4. System performed poorly; client load demand is low.  </t>
  </si>
  <si>
    <t xml:space="preserve">1. Production is 61% of the expected energy.
2. Production is 20% less compared to Nov 2024.
3. Production is 3% less compared to last month.
4. System performed poorly; client load demand is low.  </t>
  </si>
  <si>
    <t xml:space="preserve"> System performed poorly; client load demand is low.</t>
  </si>
  <si>
    <t xml:space="preserve">The system performed poorly due to load demand. The system was on bu pass from the 22nd-30th, there was a phase rotation from city power, the issue is now resolved </t>
  </si>
  <si>
    <t>Performance decreased by 25% due to rainy weather
-36% lower production, compared to Feb 2024
Intermittent comms, IOT sim required</t>
  </si>
  <si>
    <t>Fix Comms - Install IoT simcard</t>
  </si>
  <si>
    <t xml:space="preserve">1. Production is 96% of the expected energy.
2. Production is 17% less compared to May 2024.
3. Production is 14% more compared to last month.
4. The system is performing well, monitoring platform was offline for 31 day, to install IoT sim to improve internet stability </t>
  </si>
  <si>
    <t xml:space="preserve">1. Production is 82% of the expected energy.
2. Production is 27% less compared to Jun 2024.
3. Production is 14% less compared to last month.
4. The system is performing moderate, monitoring platform was offline for 30 days, to install IoT sim to improve internet stability </t>
  </si>
  <si>
    <t>1. Production is 20% of the expected energy.
2. Production is 81% less compared to Jul 2024.
3. Production is 62% less compared to last month.
4. The system is performing poor. The reading are incorrect  from monitoring. Billing meter is offline.</t>
  </si>
  <si>
    <t xml:space="preserve">1. Production is 60% of the expected energy.
2. Production is 18% less compared to Aug 2024.
3. Production is 40% more compared to last month.
4. The system is performing poorly. The reading are incorrect on the billing meter. </t>
  </si>
  <si>
    <t xml:space="preserve">1. Production is 56% of the expected energy.
2. Production is 43% less compared to Sep 2024.
3. Production is 4% less compared to last month.
4. The system is performing poorly. The system is offline, and the system needs site attendance  </t>
  </si>
  <si>
    <t>1. Production is 58% of the expected energy.
2. Production is 54% less compared to Oct 2024.
3. Production is 2% more compared to last month.
4. The system is performing poorly. The system is offline, The system was under performing due to faulty controls logger; issue was resoved. System performance should increase next month</t>
  </si>
  <si>
    <t>1. Production is 51% of the expected energy.
2. Production is 52% less compared to Nov 2024.
3. Production is 7% less compared to last month.
4. System performed poorly. controls system has faulty software. Logger to be replaced</t>
  </si>
  <si>
    <t xml:space="preserve"> System performed poorly. controls system has faulty software. Logger to be replaced</t>
  </si>
  <si>
    <t xml:space="preserve">Performed poorly due to controls malfunction </t>
  </si>
  <si>
    <t>Performed poorly due to controls' malfunction, to be fixed this month</t>
  </si>
  <si>
    <t>Performed poorly due to load demand</t>
  </si>
  <si>
    <t>System performed moderately due to load demand</t>
  </si>
  <si>
    <t>Performed as expected</t>
  </si>
  <si>
    <t>Low load demand, 15-20kW avg
System performing as expected due to low loads</t>
  </si>
  <si>
    <t xml:space="preserve">Rain
Load Demand Low </t>
  </si>
  <si>
    <t>Load Demand Low</t>
  </si>
  <si>
    <t>1. Production is 65% of the expected energy. 
2. Production is 6% more compared to last month.
3. There was a power outage for 1 day,  client load is lower than the system installed</t>
  </si>
  <si>
    <t xml:space="preserve">1. Production is 50% of the expected energy.
2. Production is 15% less compared to last month.
4. The system comms went ofline for 8 days, client load demand is lower than the system installed. </t>
  </si>
  <si>
    <t>1. Production is 40% of the expected energy.
2. Production is 10% less compared to last month.
4. The system is performing poorly due to low load demand</t>
  </si>
  <si>
    <t>1. Production is 15% of the expected energy.
2. Production is 25% less compared to last month.
4. Inverter reading has 10 days (10/08/25-31/08/25) of missing data (actual reading should be higher), the system has been operational regardless of comms being offline on the monitoring, and the comms are online again.</t>
  </si>
  <si>
    <t>1. Production is 28% of the expected energy.
2. Production is 13% more compared to last month.
4. The system produced poorly due to reduced load demand</t>
  </si>
  <si>
    <t>1. Production is 40% of the expected energy.
2. Production is 12% more compared to last month.
4. The system produced poorly due to reduced load demand</t>
  </si>
  <si>
    <t>1. Production is 20% of the expected energy.
2. Production is 20% less compared to last month.
4. The system produced poorly due to reduced load demand</t>
  </si>
  <si>
    <t xml:space="preserve"> The system produced poorly due to business closure</t>
  </si>
  <si>
    <t>The system is performing moderately, reduced demand and affected by rainy weather .</t>
  </si>
  <si>
    <t>Client Load Demand went Lower than Installed Capacity</t>
  </si>
  <si>
    <t>Fluctuating loads
Load demand lower as of Jan 2024
Production lower than expected simulated production but improved from prior year by 10-15%. Due to increased ramp rate settings.
Rainy weather affected Feb performance</t>
  </si>
  <si>
    <t>Fluctuating loads
Load demand lower as of Jan 2024
System performance is &gt;80% expected production 
Performance improved by 1% compared to last month
Performance Improved by 4,2% compared to march 2024
Performance affected by rain on some days</t>
  </si>
  <si>
    <t>1. Fuctuating load &amp; Reduced 
2. Production is 62% of expected energy
3. Production is 7% less  Compared to April 2024
4. Production is 20% less compared to last month
5. Loadscheding for three days</t>
  </si>
  <si>
    <t xml:space="preserve">1. Production is 67% of the expected energy.
2. Production is 7% less compared to May 2024.
3. Production is 5% more compared to last month.
4. Production is in line with historical production, High fluctuating loads and Reduced. There was 3 times comms loss and 1-time grid loss. </t>
  </si>
  <si>
    <t>1. Production is 70% of the expected energy.
2. Production is 6% less compared to Jun 2024.
3. Production is 3% more compared to last month.
4. The system is performing moderate, monitoring platform was offline for 2 days.</t>
  </si>
  <si>
    <t xml:space="preserve">1. Production is 69% of the expected energy.
2. Production is 7% less compared to Jul 2024.
3. Production is 1% less compared to last month.
4. The system is performing poorly, monitoring platform was offline for 5 days. Days: 8th ,9th ,10th, 30th, 31th </t>
  </si>
  <si>
    <t xml:space="preserve">1. Production is 70% of the expected energy.
2. Production is 9% more compared to Aug 2024.
3. Production is 1% more compared to last month.
4. The system is performing modaretly. Load demand is modarate.  </t>
  </si>
  <si>
    <t>1. Production is 56% of the expected energy.
2. Production is 162% more compared to Sep 2024.
3. Production is 14% less compared to last month.
4. The system is performing poorly. There was no PV production for 5 for 5 days (25th -30th), monitoring is offline</t>
  </si>
  <si>
    <t>1. Production is 61% of the expected energy.
2. Production is 27% less compared to Oct 2024.
3. Production is 5% More compared to last month.
4. The system is performing poorly. There was  not producing pv from 1 Oct - 7 Oct due to PV String poor insulation and a fault alarm, that issue has been resolved and the system is working well.</t>
  </si>
  <si>
    <t>1. Production is 71% of the expected energy.
2. Production is 20% less compared to Nov 2024.
3. Production is 10% More compared to last month.
4. The system performed moderately. Client loads are moderate.</t>
  </si>
  <si>
    <t>System performed well</t>
  </si>
  <si>
    <t>System performed moderatly due to reduced demand</t>
  </si>
  <si>
    <t>Performing well, &gt;90% efficiency
Feb 2025 production slightly less than Feb 2024 due to rainy weather</t>
  </si>
  <si>
    <t xml:space="preserve">Performing well, &gt;90% efficiency
Improved performance by 1,1% compared to last month 
Performance increased by 11% compared to March 2024
To Install a Monitoring system. </t>
  </si>
  <si>
    <t>1. Billing meter was offline for 2 days in April
2. Production is 66% of expected energy
3. Production is 22% less compared to April 2024
4. Production is 28% less compared to last month
5. To install Monitoring platform 
6. Power Outage for tree days</t>
  </si>
  <si>
    <t xml:space="preserve">1. Production is 77% of the expected energy. 
2. Production is 12% less compared to May 2024. 
3. Production is 11% more compared to last month.
4. The no monitoring platform to identify the decreas in energy production. Monitoring platform will be installed during 0&amp;M ,  </t>
  </si>
  <si>
    <t>1. Production is 73% of the expected energy.
2. Production is 16% less compared to Jun 2024.
3. Production is 4% less compared to last month.
4. The system is performing moderate, The is no monitoring platform (30 days offline). System needs intervansion to improve performance.</t>
  </si>
  <si>
    <t>1. Production is 65% of the expected energy.
2. Production is 27% less compared to Jul 2024.
3. Production is 8% less compared to last month.
4. The system is performing moderate, The is no monitoring platform (31 days offline). System needs intervansion to improve performance.</t>
  </si>
  <si>
    <t xml:space="preserve">1. Production is 64% of the expected energy.
2. Production is 20% less compared to Aug 2024.
3. Production is 1% less compared to last month.
4. The system is performing poorly. Monitoring platform is added, comms currently offline due to nertwork issues. Monitoring offline from 21 Aug - 31 Aug. </t>
  </si>
  <si>
    <t>1. Production is 91% of the expected energy.
2. Production is 17% more compared to Sep 2024.
3. Production is 27% more compared to last month.
4. System performed as expected.</t>
  </si>
  <si>
    <t>1. Production is 114% of the expected energy.
2. Production is 12% more compared to Oct 2024.
3. Production is 23% more compared to last month.
4. System performed more than expected.</t>
  </si>
  <si>
    <t xml:space="preserve">1. Production is 96% of the expected energy.
2. Production is 8% less compared to Nov 2024.
3. Production is 18% less compared to last month.
4. System performed well.  </t>
  </si>
  <si>
    <t>The system performed as expected</t>
  </si>
  <si>
    <t xml:space="preserve">The performed moderately </t>
  </si>
  <si>
    <t xml:space="preserve">Assessment required
Improved performance from 2024
</t>
  </si>
  <si>
    <t>One Inverter stopped producing from the 13th Feb - 07 March
Billing meter reading incorrectly  
Rain affect
Power Cut - 4</t>
  </si>
  <si>
    <t xml:space="preserve">
Billing meter reading incorrectly  </t>
  </si>
  <si>
    <t xml:space="preserve">1. Production is 57% of the expected energy. 
2. Production is 9% less compared to May 2024. 
3. Production is 5% more compared to last month.
4. The system is performing poorly, the evening cycling is not yet implemented. </t>
  </si>
  <si>
    <t xml:space="preserve">1. Production is 45% of the expected energy.
2. Production is 34% less compared to Jun 2024.
3. Production is 12% less compared to last month.
4. The system is performing poorly, the battery cycling should be set up to increase daily load demand </t>
  </si>
  <si>
    <t>1. Production is 52% of the expected energy.
2. Production is 31% less compared to Jul 2024.
3. Production is 7% more compared to last month.
4. The system is performing poorly, the battery cycling should be adjusted to increase daily load</t>
  </si>
  <si>
    <t>1. Production is 77% of the expected energy.
2. Production is 3% less compared to Aug 2024.
3. Production is 25% more compared to last month.
4. The system performed moderately, issues are resolved, More performance improvement expected.</t>
  </si>
  <si>
    <t>1.  Production is 96% of the expected energy.
2. Production is 231% more compared to Sep 2024.
3. Production is 19% more compared to last month.
4. System performed as expected.</t>
  </si>
  <si>
    <t>1.  Production is 94% of the expected energy.
2. Production is 29% more compared to Oct 2024.
3. Production is 2% less compared to last month.
4. System performed as expected.</t>
  </si>
  <si>
    <t>1.  Production is 99% of the expected energy.
2. Production is 88% more compared to Nov 2024.
3. Production is 7% more compared to last month.
4. System performed as expected.</t>
  </si>
  <si>
    <t>Monitoring offline, need to improve comms, add IOT
No performance data</t>
  </si>
  <si>
    <t xml:space="preserve">System comms are restored toward the end of the month,  monlthy perfomance to evaluted from next month </t>
  </si>
  <si>
    <t>1. Production is 58% of the expected energy.
2. Production is 10% more compared to last Oct year 2024.
4. The system produced poorly due to reduced load demand</t>
  </si>
  <si>
    <t xml:space="preserve">System went offline </t>
  </si>
  <si>
    <t>Performing well
Performing 10% higher than expected</t>
  </si>
  <si>
    <t>Rain
Load Reduction</t>
  </si>
  <si>
    <t>1. System performing well
2. Production is 98% of expected energy</t>
  </si>
  <si>
    <t xml:space="preserve">1. Production is 113% of the expected energy. 
2. Production is 11% more compared to last month.
3. The system is performing as expected. No power outage, no comms loss, PV production loss. </t>
  </si>
  <si>
    <t xml:space="preserve">1. Production is 105% of the expected energy.
2. Production is 21% more compared to Jun 2024.
3. Production is 8% less compared to last month.
4. The system is performing as expected. No power outage, no comms loss, no PV production loss. </t>
  </si>
  <si>
    <t xml:space="preserve">1. Production is 97% of the expected energy.
2. Production is 7% more compared to Jul 2024.
3. Production is 8% less compared to last month.
4. The system is performing as expected. No power outage, no comms loss, no PV production loss. </t>
  </si>
  <si>
    <t xml:space="preserve">1. Production is 99% of the expected energy.
2. Production is 13% less compared to Aug 2024.
3. Production is 4% more compared to last month.
4. The system is performing as expected. No power outage, no comms loss, no PV production loss. </t>
  </si>
  <si>
    <t>1. Production is 99% of the expected energy.
2. Production is 8% less compared to Sep 2024.
3. Production is the same compared to last month.
4. The system is performing as expected.</t>
  </si>
  <si>
    <t>1. Production is 107% of the expected energy.
2. Production is 8% more compared to Oct 2024.
3. Production is 8% more compared to last month.
4. The system performed more than expected.</t>
  </si>
  <si>
    <t>1. Production is 103% of the expected energy.
2. Production is 8% less compared to Nov 2024.
3. Production is 4% less compared to last month.
4. The system performed more than expected.</t>
  </si>
  <si>
    <t>No PV production on the 14th, System performed well</t>
  </si>
  <si>
    <t>Commissioned March</t>
  </si>
  <si>
    <t>1. System performing well
2. Monitoring platform false reporting offline due to communication issue</t>
  </si>
  <si>
    <t>1. System performing well
2. Monitoring platform false reporting offline due to communication issue
3. Production is 99% expected energy</t>
  </si>
  <si>
    <t xml:space="preserve">1. Production is 128% of the expected energy.
2. Production is 29% more compared to last month. 
3. The system is performing more than expected. No power outage, no comms loss, PV production loss. </t>
  </si>
  <si>
    <t xml:space="preserve">1. Production is 103% of the expected energy.
2. Production is 24% less compared to last month. 
3. The system is performing more than expected. No power outage, comms offline for 1 day, PV off for 1 day, grid outage for 1 day. </t>
  </si>
  <si>
    <t>1. Production is 100% of the expected energy.
2. Production is 3% less compared to last month. 
3. The system is performing well.</t>
  </si>
  <si>
    <t>1. Production is 111% of the expected energy.
2. Production is 11% more compared to last month. 
3. The system is performing well.</t>
  </si>
  <si>
    <t>1. Production is 96% of the expected energy.
2. Production is 7% less compared to last month. 
3. The system is performing well.</t>
  </si>
  <si>
    <t>1. Production is 108% of the expected energy.
2. Production is 12% more compared to last month. 
3. The system performed more than expected</t>
  </si>
  <si>
    <t>1. Production is 84% of the expected energy.
2. Production is 24% less compared to last month. 
3. The system performed well. Production reduced to rainy weather</t>
  </si>
  <si>
    <t>System performed as expected</t>
  </si>
  <si>
    <t>1. System performing well
2. Monitoring platform false reporting offline due communication issue</t>
  </si>
  <si>
    <t>1. Sysstem performing well
2. Monitoring platform false reporting offline due to communication issue
3. Production is 87% expected energy</t>
  </si>
  <si>
    <t xml:space="preserve">1. Production is 107% of the expected energy.
2. Production is 20% more compared to last month. 
3. The system is performing more than expected. No power outage, no comms loss, PV production loss. </t>
  </si>
  <si>
    <t xml:space="preserve">1. Production is 77% of the expected energy.
2. Production is 30% less compared to last month. 
3. The system performed moderately, Load demand reduced compared to last month. Comms off for 3 days, 1 day grid outage, 3 days PV not producing. </t>
  </si>
  <si>
    <t>1. Production is 75% of the expected energy.
2. Production is 2% less compared to last month. 
3. The system performed moderately, Load demand reduced compared to last month.</t>
  </si>
  <si>
    <t>1. Production is 89% of the expected energy.
2. Production is 14% more compared to last month. 
3. The system performed well.</t>
  </si>
  <si>
    <t xml:space="preserve">1. Production is 65% of the expected energy.
2. Production is 24% less compared to last month. 
3. The system performed poorly due to load demand inconsistency. </t>
  </si>
  <si>
    <t>1. Production is 99% of the expected energy.
2. Production is 36% more compared to last month. 
3. The system performed as expected</t>
  </si>
  <si>
    <t>1. Production is 75% of the expected energy.
2. Production is 24% less compared to last month. 
3. The system performed moderately. Client load was reduced on some days, and rainy weather affected performance</t>
  </si>
  <si>
    <t>No PV production from 11-14th; 16-19th</t>
  </si>
  <si>
    <t>System performed moderately due to bad weather days</t>
  </si>
  <si>
    <t>Perfomance reduced significantly to rain and intermittent power outages
January performance was as expected</t>
  </si>
  <si>
    <t xml:space="preserve">Load-Reduced by almost half since February. 
Hence solar production reduced </t>
  </si>
  <si>
    <t>1. Production is 65% of the expected energy.  
2. Production is 13% less  compared to last month.
3. The system underperformed due to faulty due to 4 strings not producing because of faulty circuit breakers. The client electrition swapped one Grid CT the wrong way around. The system has been fixed. The was a power outage for 1 day.</t>
  </si>
  <si>
    <t>1. Production is 115% of the expected energy.  
2. Production is 50% more compared to last month.
3. System is performing as expected</t>
  </si>
  <si>
    <t>Reduced load demand compared to 2024
Reduced production due to rainy weather
Inline with historic performance</t>
  </si>
  <si>
    <t>System performance &gt; 65% expected production
System production increased by 4.8% compared to last month
System production decreased by 8,8% compared to March 2024
Reduced load demand compared to 2024
Reduced production due to rainy weather
Inline with historic performance</t>
  </si>
  <si>
    <t>1. Load demand is low
2. Production is 57% of expected energy
3. Production is 33% less compared to April 2024
4. Production is 11% less compared to last month</t>
  </si>
  <si>
    <t xml:space="preserve">1. Production is 77% of the expected energy. 
2. Production is 5% less compared to May 2024. 
3. Production is 20% more compared to last month.
4. System production reduced due to load being reduced </t>
  </si>
  <si>
    <t xml:space="preserve">1. Production is 76% of the expected energy. 
2. Production is 9% less compared to May 2024. 
3. Production is 1% less compared to last month.
4. System production reduced due to load being reduced </t>
  </si>
  <si>
    <t xml:space="preserve">1. Production is 65% of the expected energy. 
2. Production is 36% less compared to Jul 2024. 
3. Productions 11% less compared to last month.
4. System production reduced due to load being reduced </t>
  </si>
  <si>
    <t>1. Production is 47% of the expected energy. 
2. Production is 47% less compared to Aug 2024. 
3. Productions 18% less compared to last month.
4. System production reduced poorly due to long hours power outages. The system was on bypass: 2025/08/01-2025/08/06 and 2025/08/24 - 2025/08/27</t>
  </si>
  <si>
    <t>1. Production is 50% of the expected energy. 
2. Production is 32% less compared to Sep 2024. 
3. Productions 3% more compared to last month.
4. The system performed poorly due to load demand</t>
  </si>
  <si>
    <t>1. Production is 53% of the expected energy. 
2. Production is 26% less compared to Oct 2024. 
3. Productions 3% more compared to last month.
4. The system performed poorly due to load demand</t>
  </si>
  <si>
    <t xml:space="preserve">1. Production is 42% of the expected energy. 
2. Production is 40% less compared to Nov 2024. 
3. Productions 11% less compared to last month.
4. The system performed poorly due to load demand. There was grid maintenance sytsem was placed on bypass by onsite maintance technician </t>
  </si>
  <si>
    <t>System performed poorly, one inveter is faulty and needs maintanance</t>
  </si>
  <si>
    <t>System performed poorly due to low load demand</t>
  </si>
  <si>
    <t xml:space="preserve">The system performed poorly due to load demand. The system was on bu pass from the 24nd - 27th, there was a phase rotation from city power, the issue is now resolved </t>
  </si>
  <si>
    <t>Performance affected by rainy weather
Reduced load demand
Unable to check export settings as comms are offline
Awaiting tech to attend site
Requires further investigation</t>
  </si>
  <si>
    <t>Performance is &gt; 80% Expected production
Performance improved by 6% compared to last month 
Performance affected by rainy weather
Reduced load demand
Awaiting tech to attend site (not urgent)
Requires further investigation</t>
  </si>
  <si>
    <t xml:space="preserve">1. Load is reduced, no solar production for 4 days 
2. Production is 53% of expected energy
3. Production is 29% less compared to last month
4. Technician to attend site </t>
  </si>
  <si>
    <t>1. Production is 91% of the expected energy 
2. Production is 38% more compared to last month 
3. System performed well, there is was  no grid power loss, PV shutdown, and communication loss.</t>
  </si>
  <si>
    <t xml:space="preserve">1. Production is 91% of the expected energy.
2. Production is 12% less compared to Jun 2024.
3. Production is the same compared to last month.
4. The system is performing well . No power outage, no comms loss, no PV production loss. </t>
  </si>
  <si>
    <t xml:space="preserve">1. Production is 108% of the expected energy.
2. Production is 62% less compared to Jul 2024.
3. Production is 17% more compared to last month.
4. The system is performing well . No power outage, no comms loss, no PV production loss. </t>
  </si>
  <si>
    <t xml:space="preserve">1. Production is 110% of the expected energy.
2. Production is 116% more compared to Aug 2024.
3. Production is 2% more compared to last month.
4. The system is performing well . No power outage, no comms loss, no PV production loss. </t>
  </si>
  <si>
    <t xml:space="preserve">1. Production is 103% of the expected energy.
2. Production is 31% more compared to Sep 2024.
3. Production is 7% less compared to last month.
4. The system is performing well . No power outage, no comms loss, no PV production loss. </t>
  </si>
  <si>
    <t>1. Production is 103% of the expected energy.
2. Production is 31% more compared to Sep 2024.
3. Production is 16% more compared to last month.
4. The system performed more than expected</t>
  </si>
  <si>
    <t>1. Production is 128% of the expected energy.
2. Production is 42% more compared to Nov 2024.
3. Production is 15% more compared to last month.
4. The system performed more than expected</t>
  </si>
  <si>
    <t>1. Production is 106% of the expected energy.
2. Production is 5% less compared to last month. 
4. The system is performing well.</t>
  </si>
  <si>
    <t>The system if performing well</t>
  </si>
  <si>
    <t>No recorded monthly readings</t>
  </si>
  <si>
    <t>Client Demand very low on Friday and weekends, soiling</t>
  </si>
  <si>
    <t>Client Demand very low on Friday and weekends,
 Load reduction genset kit now serving its purpose</t>
  </si>
  <si>
    <t>Fluctuating loads, system slightly oversized
Closure Friday 12:00 - Sunday, reduce expected utilisation
Rainy weather further reduced performance
Tariff adjustment required as no expectation of improved performance</t>
  </si>
  <si>
    <t>Fluctuating loads, system slightly oversized
Rainy weather further reduced performance
Tariff adjustment required as no expectation of improved performance</t>
  </si>
  <si>
    <t>1. Production is 61% of the expected energy. 
2. Production is 21% more compared to last month.
3. The system is performing poorly due to Fluctuating loads, system slightly oversized.
Tariff adjustment required as no expectation of improved performance</t>
  </si>
  <si>
    <t>1. Production is 69% of the expected energy. 
2. Production is 8% more compared to last month.
3. The system is performing poorly maily due to low demand. The system was offline, with no PV Production for 9 days (days: 7, 8, 14, 15, 16, 22, 27, 25, 29).</t>
  </si>
  <si>
    <t>Performed poorly due to reduced loads</t>
  </si>
  <si>
    <t>Performed poorly due to reduced loads,and frequent power cuts during the day, and bad weather</t>
  </si>
  <si>
    <t>System was offline from Dec-Feb being repaired,
 System fully operation as of March 2025</t>
  </si>
  <si>
    <t xml:space="preserve">The system started producing on the 5th of March
Load demand is low and inconsistent </t>
  </si>
  <si>
    <t xml:space="preserve">1. Monitoring platform false reporting 
2. Load demand reduced 
3. Performance reduced </t>
  </si>
  <si>
    <t xml:space="preserve">1. Production is 61% of the expected energy. 
2. Production is 20% less compared to May 2024. 
3. Production is 25% more compared to last month.
4. The system is performing poorly due to a reduced client load demand. The system lost comms for 3 days. </t>
  </si>
  <si>
    <t>1. Production is 60% of the expected energy. 
2. Production is 17% less compared to May 2024. 
3. Production is 1% less compared to last month.
4. The system is performing poorly due to a reduced client load demand. The system lost comms for 4 days (days: 15,16,17,10)</t>
  </si>
  <si>
    <t>1. Production is 69% of the expected energy. 
2. Production is 40% less compared to Jul 2024. 
3. Production is 9% more compared to last month.
4. The system is performing poorly due to a reduced client load demand. The system lost comms for 6 days (days: 23-28).</t>
  </si>
  <si>
    <t xml:space="preserve">1. Production is 72% of the expected energy. 
2. Production is 31% less compared to Aug 2024. 
3. Production is 3% more compared to last month.
4. The system performed moderately. Loads are slightly low. </t>
  </si>
  <si>
    <t xml:space="preserve">1. Production is 64% of the expected energy. 
2. Production is 18% less compared to Sep 2024. 
3. Production is 8% less compared to last month.
4. The system performed poorly. Loads are slightly low. </t>
  </si>
  <si>
    <t xml:space="preserve">1. Production is 81% of the expected energy. 
2. Production is 23% less compared to Oct 2024. 
3. Production is 17% more compared to last month.
4. The system performed moderately. Load demand is reduced. </t>
  </si>
  <si>
    <t xml:space="preserve">1. Production is 76% of the expected energy. 
2. Production is 63% more compared to Nov 2024. 
3. Production is 5% less compared to last month.
4. The system performed moderately. Load demand is reduced. </t>
  </si>
  <si>
    <t>The system performed poorly due to the company closure</t>
  </si>
  <si>
    <t>Performed poorly due to reduced loads, client loads aore sometimes zero</t>
  </si>
  <si>
    <t xml:space="preserve">Performed poorly due to reduced loads, client loads aore sometimes zero, EPM might be faulty </t>
  </si>
  <si>
    <t xml:space="preserve">The system performed poorly due to broken inverters </t>
  </si>
  <si>
    <t>Performance affected by rainy weather
Fluctuating loads
Low load demand
Inline with historic performance</t>
  </si>
  <si>
    <t>Fluctuating loads
Low load demand
Inline with historic performance</t>
  </si>
  <si>
    <t xml:space="preserve">1. Fluctuating loads
2. Low load demand
3. System underperformed </t>
  </si>
  <si>
    <t>1. Production is 60% of the expected energy. 
2. Production is 25% more compared to May 2024. 
3. Production is 24% more compared to last month.
4. The system is performing poorly due to a reduced client load demand.</t>
  </si>
  <si>
    <t>1. Production is 44% of the expected energy. 
2. Production is 1% more compared to May 2024. 
3. Production is 16% less compared to last month.
4. The system is performing poorly due to a reduced client load demand. The comms and pv was off for 9 days  (Days: 12,13,14,15,16,17,22,28,29)</t>
  </si>
  <si>
    <t xml:space="preserve">1. Production is 66% of the expected energy. 
2. Production is 5% less compared to Jul 2024. 
3. Production is 22% more compared to last month.
4. The system is performing poorly due to a reduced client load demand. </t>
  </si>
  <si>
    <t>1. Production is 20% of the expected energy. 
2. Production is 61% less compared to Aug 2024. 
3. Production is 46% more compared to last month.
4.  The recorded reading on the sheet is incorrect. The readings from PNP Scada are 3283 kwh + August's new modem recorded data = Correct August reading. I am not sure where the 1766,10 kwh reading is coming from. I will align with the team to fix it</t>
  </si>
  <si>
    <t xml:space="preserve">1. Production is 50% of the expected energy. 
2. Production is 14% more compared to Sep 2024. 
3. Production is 30% more compared to last month.
4. The system performed poorly due to low load demand. </t>
  </si>
  <si>
    <t>1. Production is 62% of the expected energy. 
2. Production is 291% more compared to Oct 2024. 
3. Production is 12% more compared to last month.
4. The system performed poorly due to low demand.</t>
  </si>
  <si>
    <t>1. Production is 62% of the expected energy. 
2. Production is 9% more compared to Nov 2024. 
3. Production is the same compared to last month.
4. The system performed poorly due to low demand.</t>
  </si>
  <si>
    <t>Load Demand sometimes is very low</t>
  </si>
  <si>
    <t>Performance affeccted due to rain
Fluctuating load
Low load demand
Affected by power outages in the area</t>
  </si>
  <si>
    <t>Fluctuating load
Low load demand
Billing meter is offline 
PV was not production from 22/03/2025 - 28/03/2025</t>
  </si>
  <si>
    <t xml:space="preserve">1. Fluctuating load
2. Low load demand
3. The billing meter is offline 
</t>
  </si>
  <si>
    <t xml:space="preserve">1. Production is 78% of the expected energy. 
2. Production is 22% more compared to May 2024. 
3. Production is 28% more compared to last month.
4. The system is performing moderately due to a reduced client load demand. No power outage, no comms loss, no PV production loss. </t>
  </si>
  <si>
    <t>1. Production is 44% of the expected energy. 
2. Production is 26% less compared to Jun 2024. 
3. Production is 34% less compared to last month.
4. Wrong readings recorded, system was offline for 12 das (day: 7-19)</t>
  </si>
  <si>
    <t xml:space="preserve">System performed well </t>
  </si>
  <si>
    <t xml:space="preserve">1. Production is 115% of the expected energy. 
2. Production is 9% more compared to May 2024. 
3. Production is 25% more compared to last month.
4. The system is performing well. No power outage, no comms loss,no PV production loss. </t>
  </si>
  <si>
    <t xml:space="preserve">1. Production is 112% of the expected energy. 
2. Production is 10% more compared to Jun 2024. 
3. Production is 3% less compared to last month.
4. The system is performing well. No power outage, no comms loss,no PV production loss. </t>
  </si>
  <si>
    <t>Data needs to be extracted locally onsite, recorded data is missing</t>
  </si>
  <si>
    <t xml:space="preserve">First month of commisioning </t>
  </si>
  <si>
    <t xml:space="preserve">System performed as expected </t>
  </si>
  <si>
    <t>Performance affected by rainy weather
Performing as expected</t>
  </si>
  <si>
    <t xml:space="preserve">1. Production is 115% of the expected energy. 
2. Production is 21% more compared to last month.
3. The system is performing well. </t>
  </si>
  <si>
    <t xml:space="preserve">1. Production is 106% of the expected energy. 
2. Production is 76% more compared to Jun 2024. 
3. Production is 9% less compared to last month.
4. The system is performing well. No power outage, no comms loss,no PV production loss. </t>
  </si>
  <si>
    <t xml:space="preserve">1. Production is 92% of the expected energy. 
2. Production is 10% more compared to Jul 2024. 
3. Production is 12% less compared to last month.
4. The system is performing well. No power outage, no comms loss,no PV production loss. </t>
  </si>
  <si>
    <t xml:space="preserve">1. Production is 94% of the expected energy. 
2. Production is 18% more compared to Jul 2024. 
3. Production is 2% more compared to last month.
4. The system is performing well. No power outage, no comms loss,no PV production loss. </t>
  </si>
  <si>
    <t>1. Production is 79% of the expected energy. 
2. Production is 15% more compared to Sep 2024. 
3. Production is 15% more compared to last month.
4. The system is performing moderately; production is affected by load demand</t>
  </si>
  <si>
    <t>1. Production is 90% of the expected energy. 
2. Production is 1% more compared to Oct 2024. 
3. Production is 11% more compared to last month.
4. The system performed well as expected.</t>
  </si>
  <si>
    <t>1. Production is 69% of the expected energy. 
2. Production is 18% less compared to Nov 2024. 
3. Production is 21% less compared to last month.
4. The system is performing poorly due to reduced load demand</t>
  </si>
  <si>
    <t xml:space="preserve">System is offline </t>
  </si>
  <si>
    <t xml:space="preserve">The system performed moderately due to slightly reducded loads </t>
  </si>
  <si>
    <t>Performance reduced due to one inverter being oflfine and one currently damaged
Damaged inverter awaiting techs to attend to site
Offline inverter awaiting action upon feedback from management</t>
  </si>
  <si>
    <t>1. Two inverters offline
2. No monitoring</t>
  </si>
  <si>
    <t xml:space="preserve">1. Two inverters offline
2. No monitoring </t>
  </si>
  <si>
    <t xml:space="preserve">1. Production is 49% of the expected energy. 
2. Production is 7% less compared to May 2024. 
3. Production is 31% less compared to last month.
4. The system is performing poorly.  One inverter is switched off. The second inverter was offline for 29 days. </t>
  </si>
  <si>
    <t>1. Production is 50% of the expected energy. 
2. Production is 21% less compared to May 2024. 
3. Production is 1% more compared to last month.
4. The system is performing poorly.  One inverter is switched off.  Reduced load demand.</t>
  </si>
  <si>
    <t>1. Production is 58% of the expected energy. 
2. Production is 17% more compared to May 2024. 
3. Production is 8% more compared to last month.
4. The system is performing poorly.  One inverter is switched off.  Reduced load demand.</t>
  </si>
  <si>
    <t>1. Production is 64% of the expected energy. 
2. Production is 8% less compared to May 2024. 
3. Production is 6% less compared to last month.
4. The system is performing poorly.  One inverter is switched off.  Reduced load demand.</t>
  </si>
  <si>
    <t xml:space="preserve">1. Production is 73% of the expected energy. 
2. Production is 4% less compared to Sep 2024. 
3. Production is 9% more compared to last month.
4. The system is performing moderately. </t>
  </si>
  <si>
    <t xml:space="preserve">1. Production is 102% of the expected energy. 
2. Production is 28% more compared to Oct 2024. 
3. Production is 29% more compared to last month.
4. The system is performing well. </t>
  </si>
  <si>
    <t xml:space="preserve">1. Production is 108% of the expected energy. 
2. Production is 36% more compared to Nov 2024. 
3. Production is 6% more compared to last month.
4. The system is performing well. </t>
  </si>
  <si>
    <t>The system performed moderatly</t>
  </si>
  <si>
    <t>Performance affected by rain
2025 performance improved from 2024 performance
Expect better yield with improved weather and regurlar cleaning</t>
  </si>
  <si>
    <t>Performance is &gt; 90% expected production
Performance improved by 9% compared to last month
Performance improved by 0% compared to march 2024</t>
  </si>
  <si>
    <t>1. Production affected by 3 days of power outage.
2. Production is 81%  of expected energy 
3. Production is 13% less compared to April 2024
4. Production is 13% less compared to last month</t>
  </si>
  <si>
    <t>1. Production is 103% of the expected energy.
2. Production is 11% less compared to May 2024.
3. Production is 14% more compared to last month.
4. The system have improved and performing well.</t>
  </si>
  <si>
    <t>1. Production is 108% of the expected energy.
2. Production is 67% more compared to Jun 2024.
3. Production is 2% more compared to last month.
4. The system is performing well.</t>
  </si>
  <si>
    <t>Performed moderately due to slightly reduced load and weather</t>
  </si>
  <si>
    <t>Fluctuating loads
Power outages
Rainy weather</t>
  </si>
  <si>
    <t>1. Grid outage: 31/03/25
2.  Fluctuating load</t>
  </si>
  <si>
    <t>1. System performed well</t>
  </si>
  <si>
    <t>1. Production is 103% of the expected energy. 
2. Production is 23% more compared to last month.
3. The system is performing well. There was no grid loss, comms loss and no PV loss.</t>
  </si>
  <si>
    <t>1. Production is 89% of the expected energy. 
2. Production is 14% less compared to last month.
3. The system is performing well. There system lost comms and PV (days: 6,12,13)</t>
  </si>
  <si>
    <t>Performed well</t>
  </si>
  <si>
    <t>System performed poorly due to load demand</t>
  </si>
  <si>
    <t>System performing well
Slight decrease in performance as compared to 2024, mainly due to increased rain in 2025</t>
  </si>
  <si>
    <t xml:space="preserve">System performance is &gt;95% expected production 
System decreased by 1.3% compared to last month
System decreased by 16% compared to march 2024
Performance affected by rain and cloudy weather on some days
To install Monitoring system </t>
  </si>
  <si>
    <t xml:space="preserve">1. System is producing well
2. Production is 81% of expected energy
3. Production is 19% less compared to April 2024
4. Production is 17% less compared to last month
5. To install monitoring plartform </t>
  </si>
  <si>
    <t xml:space="preserve">1. Production is 92% of the expected energy.
2. Production is 1% less compared to May 2024.
3. Production is 11% more compared to last month.
4. The is no monitoring platform onsite, the system is performing well. </t>
  </si>
  <si>
    <t xml:space="preserve">1. Production is 83% of the expected energy.
2. Production is 3% less compared to May 2024.
3. Production is 24% less compared to last month.
4. The is no monitoring platform onsite, the system is performing well. </t>
  </si>
  <si>
    <t xml:space="preserve">1. Production is 84% of the expected energy.
2. Production is 9% less compared to Jul 2024.
3. Production is 1% more compared to last month.
4. There is no monitoring platform onsite, the system is performing well. </t>
  </si>
  <si>
    <t xml:space="preserve">1. Production is 74% of the expected energy.
2. Production is 16% less compared to Aug 2024.
3. Production is 10% less compared to last month.
4. There is no monitoring platform onsite, the system is performing modarate. </t>
  </si>
  <si>
    <t xml:space="preserve">1. Production is 76% of the expected energy.
2. Production is 11% less compared to Sep 2024.
3. Production is 2% More compared to last month.
4. There is no monitoring platform onsite, the system is performing modarate. </t>
  </si>
  <si>
    <t xml:space="preserve">1. Production is 92% of the expected energy.
2. Production is 16% less compared to Oct 2024.
3. Production is 16% more compared to last month.
4. The system performed well. </t>
  </si>
  <si>
    <t xml:space="preserve">1. Production is 87% of the expected energy.
2. Production is 21% less compared to Nov 2024.
3. Production is 5% less compared to last month.
4. The system performed well. </t>
  </si>
  <si>
    <t>System performing as expected
Rain in Feb 2025 reduced production
Expect system yield to increase with improved weather</t>
  </si>
  <si>
    <t>System performance is &gt; 90% expected production
System performance increased by 13% compared to last month
System performance decreased by 3,3% compared to march 2024</t>
  </si>
  <si>
    <t>1. System performing well 
2. Production is 86% of expected energy
3. Production is 13% less compared to April 2024
4. Production is 6% less compared to lasth month</t>
  </si>
  <si>
    <t xml:space="preserve">1. Production is 119% of the expected energy.
2. Production is 10% more compared to May 2024.
3. Production is 5% more compared to last month. 
4. The system is performing well, The monitoring platform is offline. </t>
  </si>
  <si>
    <t xml:space="preserve">1. Production is 79% of the expected energy.
2. Production is 17% less compared to Jul 2024.
3. Production is 31% less compared to last month. 
4. The system performed modarate. The monitoring platform is offline. </t>
  </si>
  <si>
    <t xml:space="preserve">1. Production is 90% of the expected energy.
2. Production is 7% less compared to Aug 2024.
3. Production is 10% more compared to last month. 
4. The system performed well. The monitoring platform is offline. </t>
  </si>
  <si>
    <t xml:space="preserve">1. Production is 71% of the expected energy.
2. Production is 1% less compared to Sep 2024.
3. Production is 19% more compared to last month. 
4. The system performed moderately, in line with historic performance. The monitoring platform is offline. </t>
  </si>
  <si>
    <t xml:space="preserve">1. Production is 87% of the expected energy.
2. Production is 13% less compared to Oct 2024.
3. Production is 16% more compared to last month. 
4. The system performed well. </t>
  </si>
  <si>
    <t xml:space="preserve">1. Production is 88% of the expected energy.
2. Production is 9% more compared to Nov 2024.
3. Production is 1% more compared to last month. 
4. The system performed well. </t>
  </si>
  <si>
    <t xml:space="preserve">The company had no loads during maintenance in october </t>
  </si>
  <si>
    <t>Performance affected by rainy weather
Loads are back to normal
Some power outages</t>
  </si>
  <si>
    <t>System performance is &gt; 85% Expected production 
System performance increased by 16% compared to last month
System performance decreased by 4,1% compared to last year
Customer loads are back to normal</t>
  </si>
  <si>
    <t>1. The System has under-performed, due to rain
2. Production is 68% of expected energy
3. Production is 28% less compared to April 204
4. Production is 19% less compared to last month</t>
  </si>
  <si>
    <t xml:space="preserve">1. Production is 111% of the expected energy.
2. Production is 7% more compared to May 2024.
3. Production is 21% more compared to last month.
4. There was no grid loss, comms loss and no PV loss. The system is performing well.  </t>
  </si>
  <si>
    <t xml:space="preserve">1. Production is 98% of the expected energy.
2. Production is 11% more compared to May 2024.
3. Production is 13% less compared to last month.
4. The system is performing well. System PV was off for 3 days (Day: 10-12) </t>
  </si>
  <si>
    <t xml:space="preserve">1. Production is 98% of the expected energy.
2. Production is 15% less compared to Jul 2024.
3. Production is 2% less compared to last month.
4. The system is performing well. </t>
  </si>
  <si>
    <t xml:space="preserve">1. Production is 88% of the expected energy.
2. Production is 14% less compared to Aug 2024.
3. Production is 8% less compared to last month.
4. The system is performing well. </t>
  </si>
  <si>
    <t xml:space="preserve">1. Production is 81% of the expected energy.
2. Production is 2% less compared to Sep 2024.
3. Production is 7% less compared to last month.
4. The system is performing well. </t>
  </si>
  <si>
    <t xml:space="preserve">1. Production is 85% of the expected energy.
2. Production is 20% more compared to Oct 2024.
3. Production is 4% more compared to last month.
4. The system is performing well. </t>
  </si>
  <si>
    <t xml:space="preserve">1. Production is 94% of the expected energy.
2. Production is 2% less compared to Nov 2024.
3. Production is 8% more compared to last month.
4. The system is performing well. </t>
  </si>
  <si>
    <t xml:space="preserve">No PV production from 24-26; 31-31 due to business closure </t>
  </si>
  <si>
    <t>The system had no production between 1-5th of Jan, system sligtly underperformed</t>
  </si>
  <si>
    <t xml:space="preserve">The system performed moderately due to winter shades </t>
  </si>
  <si>
    <t>Assesment required
System offline for a few months
Full production restored Feb 2025
Expect production to improve with improved weather</t>
  </si>
  <si>
    <t>1. Sustem performing well</t>
  </si>
  <si>
    <t>1. System reduced performance compared to last month</t>
  </si>
  <si>
    <t>1. The is no comms onsite for monitoring</t>
  </si>
  <si>
    <t xml:space="preserve">The system performed moderately </t>
  </si>
  <si>
    <t>PV production is capped to 125kWp</t>
  </si>
  <si>
    <t>Fluctuating loads
Reduced load demand, assume occupancy issue
Residential load pattern affecting system performance
Tariff adjustment required as no expectation of improved performance</t>
  </si>
  <si>
    <t>System performance is &gt;50% expected production
System performance increased by 3.65% compared to last month
System performance decreased by 25% compared to march 2024
Fluctuating loads
Reduced load demand, assume occupancy issue
Residential load pattern affecting system performance
Tariff adjustment required as no expectation of improved performance</t>
  </si>
  <si>
    <t>1. Load reduced compared to last year, tariff adjustment required as there is no expected improvement
2. Production is 55% of expected energy
3. Production is 30% less compared to April 2024
4. Production is 1% less compared to last month</t>
  </si>
  <si>
    <t>1. Production is 70% of the expected energy.
2. Production is 18% less compared to May 2024.
3. Production is 15% more compared to last month.
4. Loads have reduced, on of the CTs on the zero export meter is swapped around (arrangements are made for rectification).</t>
  </si>
  <si>
    <t>1. Production is 97% of the expected energy.
2. Production is 16% more compared to May 2024.
3. Production is 27% more compared to last month.
4. The system is performing well.</t>
  </si>
  <si>
    <t>System perfoming well
Reduced performance in Feb 2025 due to rainy weather</t>
  </si>
  <si>
    <t>System perfoming well 90%+ expected production
System performance decreased by 1% compared to month
System performance decreased by 23% compared to march 2024
System affected by rain on some days</t>
  </si>
  <si>
    <t>1. System is performing well
2. Production is 86% of expected energy
3. Production is 1% more compared to April 2024
4. Production is 4% less compared to last month</t>
  </si>
  <si>
    <t xml:space="preserve">1. Production is 117% of the expected energy.
2. Production is 18% more compared to May 2024.
3. Production is 3% more compared to last month.
4. The system is performing well  as expected </t>
  </si>
  <si>
    <t xml:space="preserve">1. Production is 114% of the expected energy.
2. Production is 18% more compared to May 2024.
3. Production is 4% less compared to last month.
4. The system is performing well  as expected </t>
  </si>
  <si>
    <t>1. Production is 83% of the expected energy.
2. Production is 24% less compared to Jul 2024.
3. Production is 3% less compared to last month.
4. The system is performed well.system  monitoring was offline for 6 days,Date: 3th - 8th.</t>
  </si>
  <si>
    <t>1. Production is 104% of the expected energy.
2. Production is 2% more compared to Aug 2024.
3. Production is 21% more compared to last month.
4. The system is performed 4% more than expected.</t>
  </si>
  <si>
    <t>1. Production is 92% of the expected energy.
2. Production is 2% less compared to Sep 2024.
3. Production is 4% less compared to last month.
4. The system is performing well.</t>
  </si>
  <si>
    <t>1. Production is 104% of the expected energy.
2. Production is 10% less compared to Oct 2024.
3. Production is 12% more compared to last month.
4. The system is performing well.</t>
  </si>
  <si>
    <t>1. Production is 112% of the expected energy.
2. Production is 4% less compared to Nov 2024.
3. Production is 8% more compared to last month.
4. The system is performing well.</t>
  </si>
  <si>
    <t>Expected system performance &gt;90% efficiency
Feb 2025 performance reduce due to rainy weather
2024 performance data to be added for comparison</t>
  </si>
  <si>
    <t>1. The comms are offline onsite</t>
  </si>
  <si>
    <t>No comms onsite, system performed poorly</t>
  </si>
  <si>
    <t xml:space="preserve">No data recorded </t>
  </si>
  <si>
    <t>Fluctuating loads
Performance as expected when occupied due to university oeprational months
Frequent power outages in the area</t>
  </si>
  <si>
    <t>System performing well 
Comms offline</t>
  </si>
  <si>
    <t>1. System is performing well
2. Production is 81% of expected energy
3. Production is 26% less compared to April 2024
4. Production is 8% lesss compred to last month</t>
  </si>
  <si>
    <t>1. Production is 109% of the expected energy.
2. Production is 5% more compared to May 2024.
3. Production is 28% more compared to last month. 
4. The system is performing well.</t>
  </si>
  <si>
    <t>1. Production is 104% of the expected energy.
2. Production is 20% more compared to May 2024.
3. Production is 5% less compared to last month. 
4. The system is performing well.</t>
  </si>
  <si>
    <t>System performed poorly due to no occupation</t>
  </si>
  <si>
    <t>Performing well, efficicieny &gt;90%
Performance affected by rainy weather and power outages</t>
  </si>
  <si>
    <t>1. System affected by weather &amp; load reduced on some days</t>
  </si>
  <si>
    <t xml:space="preserve">1. Production is 82% of the expected energy. 
2. Production is 9% more compared to May 2024. 
3. Production is 12% more compared to last month.
4. The system is performing moderately. No power outage, no comms loss, no PV production loss. </t>
  </si>
  <si>
    <t>1. Production is 77% of the expected energy. 
2. Production is 10% more compared to May 2024. 
3. Production is 5% less compared to last month.
4. The system is performing moderately. Reduced load demand for 6 days (days: 7,8,9,14,15,16)</t>
  </si>
  <si>
    <t xml:space="preserve">1. Production is 74% of the expected energy. 
2. Production is 4% less compared to Jul 2024. 
3. Production is 3% less compared to last month.
4. The system is performing moderately. </t>
  </si>
  <si>
    <t>1. Production is 73% of the expected energy. 
2. Production is 4% less compared to Aug 2024. 
3. Production is 1% more compared to last month.
4. The system is performing moderately. Billing reading are incorrect, use inverter readings instead - Inv Reading 30529kWh not 23016 not kwh.</t>
  </si>
  <si>
    <t>1. Production is 80% of the expected energy. 
2. Production is 20% more compared to Sep 2024. 
3. Production is 7% more compared to last month.
4. The system is performing well. Performance affected by weather</t>
  </si>
  <si>
    <t xml:space="preserve">1. Production is 98% of the expected energy. 
2. Production is 5% less compared to Oct 2024. 
3. Production is 18% more compared to last month.
4. The system is performing well. </t>
  </si>
  <si>
    <t xml:space="preserve">1. Production is 92% of the expected energy. 
2. Production is 9% less compared to Nov 2024. 
3. Production is 6% less compared to last month.
4. The system is performing well. </t>
  </si>
  <si>
    <t xml:space="preserve">No PV production from 20-31 due to business closure </t>
  </si>
  <si>
    <t>The system performed moderately due to load demand</t>
  </si>
  <si>
    <t>Monitoring comms Intermittent
System performance reduced in Feb 2025 due to rainy weather</t>
  </si>
  <si>
    <t xml:space="preserve">1. Production is 108% of the expected energy. 
2. Production is 17% more compared to May 2024. 
3. Production is 20% more compared to last month.
4. The system is performing well. Monitoring platform offline for 31 days due to internet instability. </t>
  </si>
  <si>
    <t xml:space="preserve">1. Production is 99% of the expected energy. 
2. Production is 16% less compared to May 2024. 
3. Production is 9% less compared to last month.
4. The system is performing well. Monitoring platform offline for 31 days due to internet instability. </t>
  </si>
  <si>
    <t xml:space="preserve">1. Production is 96% of the expected energy. 
2. Production is 9% less compared to May 2024. 
3. Production is 3% less compared to last month.
4. The system is performing well. Monitoring platform offline for 31 days due to internet instability. </t>
  </si>
  <si>
    <t xml:space="preserve">1. Production is 55% of the expected energy. 
2. Production is 39% less compared to aug 2024. 
3. Production is 41% less compared to last month.
4. The system is performing poorly. Monitoring platform offline for 31 days due to internet instability. </t>
  </si>
  <si>
    <t>1. Production is 68% of the expected energy. 
2. Production is 11% less compared to Sep 2024. 
3. Production is 13% more compared to last month.
4. The system is performing poorly.</t>
  </si>
  <si>
    <t>1. Production is 71% of the expected energy.
2. Production is 37% less compared to Oct 2024.
3. Production is 2% more compared to last month.
4. The system is performing moderately. The system is offline. system was under performing due to faulty controls logger; issue was resoved. System performance will  increase next month</t>
  </si>
  <si>
    <t>1. Production is 20% of the expected energy.
2. Production is 79% less compared to Nov 2024.
3. Production is 51% less compared to last month.
4. The system is performing poorly. The system is offline. system was under performing due to faulty controls logger; issue was resoved. System performance will  increase next month</t>
  </si>
  <si>
    <t>System performed poorly due business closure</t>
  </si>
  <si>
    <t>The system performed moderately, due to demand</t>
  </si>
  <si>
    <t>Performed moderatlry due to controls malfunction, system controll has been fixed and production is increasing</t>
  </si>
  <si>
    <t>The system performed poorly due to load inconsistent load demand</t>
  </si>
  <si>
    <t>The system is performance is affected by the weather 
Load demand fluctuation
An increase in the PV ramp rate will be done to improve performance</t>
  </si>
  <si>
    <t>System performance is &gt;65% expected production 
System performance increased by 0.23% compared to last month
System performace decreased by 21% compared to march 2024  
Load demand fluctuation
An increase in the PV ramp rate will be done to improve performance</t>
  </si>
  <si>
    <t>1. Load demand fluctuating 
2. Production is 67% of expected energy 
3. Production is 2% less compared to April 2024</t>
  </si>
  <si>
    <t xml:space="preserve">1. Production is 96% of the expected energy.
2. Production is 9% less compared to May 2024.
3. Production is 37% compared to last month.
4. The system is performing well. </t>
  </si>
  <si>
    <t xml:space="preserve">1. Production is 98% of the expected energy.
2. Production is 4% more compared to May 2024.
3. Production is 2% more compared to last month.
4. The system is performing well. </t>
  </si>
  <si>
    <t>Rain</t>
  </si>
  <si>
    <t>1. System perfoming well</t>
  </si>
  <si>
    <t>1. Production is 105% of the expected energy.
2. Production is the same compared to May 2024.
3. Production is 20% more compared to last month. 
4. The system is performing well. No power outage, no comms loss, no PV production loss.</t>
  </si>
  <si>
    <t>1. Production is 96% of the expected energy.
2. Production is 6% less compared to May 2024.
3. Production is 0% less compared to last month. 
4. The system is performing well. No power outage, no comms loss, no PV production loss.</t>
  </si>
  <si>
    <t>1. Production is 96% of the expected energy.
2. Production is 16% less compared to Aug 2024.
3. Production is 12% more compared to last month. 
4. The system is performing well. No power outage, no comms loss, no PV production loss.</t>
  </si>
  <si>
    <t>1. Production is 90% of the expected energy.
2. Production is 16% more compared to Sep 2024.
3. Production is 6% less compared to last month. 
4. The system is performing well. No power outage, no comms loss, no PV production loss.</t>
  </si>
  <si>
    <t xml:space="preserve">1. Production is 98% of the expected energy.
2. Production is 10% less compared to Oct 2024.
3. Production is 8% more compared to last month.
4. The system is performing well. </t>
  </si>
  <si>
    <t xml:space="preserve">1. Production is 86% of the expected energy.
2. Production is 24% less compared to Nov 2024.
3. Production is 12% less compared to last month.
4. The system is performing well. </t>
  </si>
  <si>
    <t>Performed moderately due to slightly reduced load</t>
  </si>
  <si>
    <t>The system was offline, energy reading to be retrieved on site</t>
  </si>
  <si>
    <t>1. Production is 93% of the expected energy.
2. Production is 10% less compared to Oct 2024.
3. Production is 11% more compared to last month. 
4. The system is performing well.</t>
  </si>
  <si>
    <t>The system performed well</t>
  </si>
  <si>
    <t>10 strings producing instead of 18 string , possible soiling or shading</t>
  </si>
  <si>
    <t>Monitoring platform offline, One string was down, Rain</t>
  </si>
  <si>
    <t>System performance is &gt;70% expected production
System performance increased by 17% compared to last month
System performance decreased by 0.77% compared to march 2024</t>
  </si>
  <si>
    <t xml:space="preserve">1. System performing well
2. Production is 93% of expected energy
3. Production is 3% more compared to April 2024
4. Production is 20% more compared to last month </t>
  </si>
  <si>
    <t>1. Production is 118% of the expected energy.
2. Production is 19% more compared to May 2024.
3. Production is 25% more compared to last month. 
4. The system is performing well</t>
  </si>
  <si>
    <t>1. Production is 114% of the expected energy.
2. Production is 31% more compared to May 2024.
3. Production is 4% less compared to last month. 
4. The system is performing well</t>
  </si>
  <si>
    <t>First month of commissioning</t>
  </si>
  <si>
    <t>The system performed moderately due to rainy weather</t>
  </si>
  <si>
    <t xml:space="preserve">1. Production is 86% of the expected energy.
2. Production is 28% less than last month.
4. The system is performing well. </t>
  </si>
  <si>
    <t xml:space="preserve">1. Production is 94% of the expected energy.
2. Production is 8% more than last month.
3. The system is performing well. </t>
  </si>
  <si>
    <t>1. Production is 81% of the expected energy.
2. Production is 13% less than last month.
3. The system is performing well. System is affected by weather.</t>
  </si>
  <si>
    <t xml:space="preserve">Rain, Load demand reduced, </t>
  </si>
  <si>
    <t>1. System underperforming due to load demand
2. System decresd  performance by 21% compared to April 2024</t>
  </si>
  <si>
    <t>1. System underperforming due to load demand
2. System increased performance by 8% compared to April 2024</t>
  </si>
  <si>
    <t xml:space="preserve">1. Production is 53% of the expected energy.
2. Production is 47% more compared to May 2024.
3. Production is 19% more compared to last month. 
4. The system is performing poorly due to reduced load. No power outage, no comms loss, no PV production loss. </t>
  </si>
  <si>
    <t xml:space="preserve">1. Production is 58% of the expected energy.
2. Production is 120% more compared to May 2024.
3. Production is 4% less compared to last month. 
4. The system is performing poorly due to reduced load. No power outage, no comms loss, no PV production loss. </t>
  </si>
  <si>
    <t xml:space="preserve">1. Production is 58% of the expected energy.
2. Production is 3% more compared to Jul 2024.
3. Production is the same compared to last month. 
4. The system is performing poorly due to reduced load. No power outage, no comms loss, no PV production loss. </t>
  </si>
  <si>
    <t xml:space="preserve">1. Production is 52% of the expected energy.
2. Production is 239% more compared to Aug 2024.
3. Production is 6 less compared to last month. 
4. The system is performing poorly due to reduced load. No power outage, no comms loss, no PV production loss. </t>
  </si>
  <si>
    <t xml:space="preserve">1. Production is 28% of the expected energy.
2. Production is 18% less compared to Sep 2024.
3. Production is 24% less compared to last month. 
4. The system is performing poorly due to reduced load. No power outage, no comms loss, no PV production loss. </t>
  </si>
  <si>
    <t xml:space="preserve">1. Production is 7% of the expected energy.
2. Production is 81% less compared to Oct 2024.
3. Production is 21% less compared to last month. 
4. System has been decommissioned and removed </t>
  </si>
  <si>
    <t xml:space="preserve">Decomissioned </t>
  </si>
  <si>
    <t>Low Demand, Panels Theft, 2x Inverter damage</t>
  </si>
  <si>
    <t>Rain, Power Outages, Inconsistent loads, IoT siom</t>
  </si>
  <si>
    <t>1. System underperformed  due to reduced load demand,
2. One inverter is offline</t>
  </si>
  <si>
    <t>1. System underperformed  due to reduced load demand,
2. One inverter comms are offline
3. Requires a technician onsite to install a compatible data logger with the newly installed inverter 
4. Cliet should sort out unstable grid problem with power supplier</t>
  </si>
  <si>
    <t>1. Production is 58% of the expected energy.
2. Production is 12% less compared to May 2024.
3. Production is 19% more compared to last month. 
4. The system is performing poorly, due to reduced load. Comms are offline for 31 due existing comms device being incompatible with the new replacement inverter.</t>
  </si>
  <si>
    <t>1. Production is 53% of the expected energy.
2. Production is 14% less compared to May 2024.
3. Production is 5% less compared to last month. 
4. The system is performing poorly, due to reduced load. Comms are offline for 31 due existing comms device being incompatible with the new replacement inverter.</t>
  </si>
  <si>
    <t>1. Production is 47% of the expected energy.
2. Production is 6% less compared to Jul 2024.
3. Production is 5% less compared to last month. 
4. The system is performing poorly, due to reduced load. Comms are offline for 31 due existing comms device being incompatible with the new replacement inverter.</t>
  </si>
  <si>
    <t xml:space="preserve">1. Production is 68% of the expected energy.
2. Production is 23% more compared to Aug 2024.
3. Production is 21% more compared to last month. 
4. The system is performing poorly, due to reduced load. </t>
  </si>
  <si>
    <t xml:space="preserve">1. Production is 66% of the expected energy.
2. Production is 15% more compared to Sep 2024.
3. Production is 22% less compared to last month. 
4. The system is performing poorly, due to reduced load. </t>
  </si>
  <si>
    <t xml:space="preserve">1. Production is 78% of the expected energy.
2. Production is 63% more compared to Oct 2024.
3. Production is 12% more compared to last month. 
4. The system performed moderately due to reduced load. </t>
  </si>
  <si>
    <t xml:space="preserve">1. Production is 65% of the expected energy.
2. Production is 146% less compared to Nov 2024.
3. Production is 13% less compared to last month. 
4. The system performed moderately due to reduced load. </t>
  </si>
  <si>
    <t>System performed poorly. System was isolated due to maitenance from 15 - 22st</t>
  </si>
  <si>
    <t>System performed poorly, due to demand</t>
  </si>
  <si>
    <t>Low Demand, Panels Theft</t>
  </si>
  <si>
    <t>1. Load reduced load</t>
  </si>
  <si>
    <t>1. Production is 20% of the expected energy.
2. Production is 32% less compared to last year.
3. Production is 3% less compared to last month.
4. The system is performing poorly due to reduced loads.</t>
  </si>
  <si>
    <t>1. Production is 17% of the expected energy.
2. Production is 59% less compared to last year.
3. Production is 3% less compared to last month.
4. The system is performing poorly due to reduced loads.</t>
  </si>
  <si>
    <t>1. Production is 20% of the expected energy.
2. Production is 53% less compared to 2024 Jul year.
3. Production is 3% less compared to last month.
4. The system is performing poorly due to reduced loads.</t>
  </si>
  <si>
    <t>1. Production is 43% of the expected energy.
2. Production is 43% more compared to 2024 Aug last year.
3. Production is 21% more compared to last month.
4. The system is performing poorly due to reduced loads.</t>
  </si>
  <si>
    <t>1. Production is 39% of the expected energy.
2. Production is 3% more compared to 2024 Sep last year.
3. Production is 4% less compared to last month.
4. The system is performing poorly due to reduced loads.</t>
  </si>
  <si>
    <t>1. Production is 51% of the expected energy.
2. Production is 16% more compared to 2024 Oct last year.
3. Production is 11% less compared to last month.
4. The system is performing poorly due to reduced loads.</t>
  </si>
  <si>
    <t>1. Production is 46% of the expected energy.
2. Production is 15% less compared to 2024 Nov last year.
3. Production is 5% less compared to last month.
4. The system is performing poorly due to reduced loads.</t>
  </si>
  <si>
    <t xml:space="preserve"> The system is performing poorly due to reduced loads.</t>
  </si>
  <si>
    <t>Insufficient Information from Monitoring platform to identify</t>
  </si>
  <si>
    <t xml:space="preserve">No Monitoring Platform </t>
  </si>
  <si>
    <t xml:space="preserve">1. System performing well, no monitoring
2. Production is 79% of expected energy 
3. Production is 3% more compared to April 2024
4. Production is 4% more compared to last month </t>
  </si>
  <si>
    <t>1. Production is 100% of the expected energy.
2. Production is 13% more compared to last year.
3. Production is 21% more compared to last month.
4. There is no monitoring onsite, the system is performing well.</t>
  </si>
  <si>
    <t>1. Production is 104% of the expected energy.
2. Production is 35% more compared to last year.
3. Production is 4% more compared to last month.
4. There is no monitoring onsite, the system is performing well.</t>
  </si>
  <si>
    <t>1. Production is 101% of the expected energy.
2. Production is 13% more compared to Jul 2024.
3. Production is 3% less compared to last month.
4. There is no monitoring onsite, the system is performing well.</t>
  </si>
  <si>
    <t xml:space="preserve">1. Production is 62% of the expected energy.
2. Production is 22% less compared to Aug 2024.
3. Production is 37% less compared to last month.
4. There is no monitoring onsite, the billing meter was offline from 2025/08/21 - 2025/08/31 </t>
  </si>
  <si>
    <t xml:space="preserve">1. Production is 76% of the expected energy.
2. Production is 29% more compared to Sep 2024.
3. Production is 18% less compared to last month.
4. The system performed mordaratly </t>
  </si>
  <si>
    <t>1. Production is 90% of the expected energy.
2. Production is 21% more compared to Oct 2024.
3. Production is 14% more compared to last month.
4. The system performed well</t>
  </si>
  <si>
    <t>1. Production is 99% of the expected energy.
2. Production is 42% more compared to Nov 2024.
3. Production is 9% more compared to last month.
4. The system performed well</t>
  </si>
  <si>
    <t xml:space="preserve">Monitoring Platform offline - Rain </t>
  </si>
  <si>
    <t>1. Monitoring Platform offline 
2. System performing well</t>
  </si>
  <si>
    <t>1. Production is 86% of the expected energy.
2. Production is 6% more compared to May 2024.
3. Production is 16% more compared to last month. 
4. The system is performing well, The remote monitoring platform is offline for 31 days.</t>
  </si>
  <si>
    <t>1. Production is 84% of the expected energy.
2. Production is 6% more compared to May 2024.
3. Production is 2% less compared to last month. 
4. The system is performing well, The remote monitoring platform is offline for 31 days.</t>
  </si>
  <si>
    <t>1. Production is 89% of the expected energy.
2. Production is 10% less compared to Jul 2024.
3. Production is 5% more compared to last month. 
4. The system is performing well, The remote monitoring platform is offline for 31 days.</t>
  </si>
  <si>
    <t>1. Production is 87% of the expected energy.
2. Production is 6% less compared to Aug 2024.
3. Production is 6% less compared to last month. 
4. The system is performing well.</t>
  </si>
  <si>
    <t>1. Production is 71% of the expected energy.
2. Production is 9% less compared to Sep 2024.
3. Production is 16% less compared to last month. 
4. The system is performing moderately.</t>
  </si>
  <si>
    <t>1. Production is 88% of the expected energy.
2. Production is 10% less compared to Oct 2024.
3. Production is 17% more compared to last month. 
4. The system is performing well.</t>
  </si>
  <si>
    <t>1. Production is 87% of the expected energy.
2. Production is 3% more compared to Nov 2024.
3. Production is 1% less compared to last month. 
4. The system is performing well.</t>
  </si>
  <si>
    <t>The syetem had controls malfunction, sofware updated and working well</t>
  </si>
  <si>
    <t>System performed moderately; new controls installed, system performance should increase</t>
  </si>
  <si>
    <t>The system performed moderately due to the load demand</t>
  </si>
  <si>
    <t>System is performing well</t>
  </si>
  <si>
    <t xml:space="preserve">1. Production is 100% of the expected energy.
2. Production is 4% less compared to May 2024.
3. Production is 6% more compared to last month. 
4. The system is performing well, Client experienced power outage for 2 days. </t>
  </si>
  <si>
    <t>1. Production is 95% of the expected energy.
2. Production is 1% less compared to May 2024.
3. Production is 5% more compared to last month. 
4. The system is performing well.</t>
  </si>
  <si>
    <t>1. Production is 90% of the expected energy.
2. Production is 14% less compared to Jul 2024.
3. Production is 5% more compared to last month. 
4. The system is performing well.</t>
  </si>
  <si>
    <t>1. Production is 95% of the expected energy.
2. Production is 1% less compared to Aug 2024.
3. Production is 5% more compared to last month. 
4. The system is performing well.</t>
  </si>
  <si>
    <t>1. Production is 95% of the expected energy.
2. Production is 8% more compared to Sep 2024.
3. Production is same compared to last month. 
4. The system is performing well.</t>
  </si>
  <si>
    <t>1. Production is 107% of the expected energy.
2. Production is 34% more compared to Oct 2024.
3. Production 12% more compared to last month. 
4. The system performed more that expected.</t>
  </si>
  <si>
    <t>1. Production is 87% of the expected energy.
2. Production is 20% less compared to Nov 2024.
3. Production 20% more compared to last month. 
4. The system performed well.</t>
  </si>
  <si>
    <t xml:space="preserve">There was no PV production from the 9 - 31 due to business closure </t>
  </si>
  <si>
    <t>Performed poorly due to reduced demand</t>
  </si>
  <si>
    <t>Load demand Low, at 80kW or slightly low</t>
  </si>
  <si>
    <t>Reduced Load, Rain</t>
  </si>
  <si>
    <t>1. Load reduced load
2. System is underperforming but in line with hestoric production</t>
  </si>
  <si>
    <t xml:space="preserve">1. Production is 65% of the expected energy.
2. Production is 3% less compared to May 2024.
3. Production is 5% more compared to last month. 
4. The system is performing poorly due to reduced loads (Inline with historical data). The client experienced a power outage for 2 days during the day. </t>
  </si>
  <si>
    <t xml:space="preserve">1. Production is 62% of the expected energy.
2. Production is 1% less compared to May 2024.
3. Production is 3% less compared to last month. 
4. The system is performing poorly due to reduced loads (Inline with historical data). </t>
  </si>
  <si>
    <t xml:space="preserve">1. Production is 56% of the expected energy.
2. Production is 17% less compared to July 2024.
3. Production is 6% less compared to last month. 
4. The system is performing poorly due to reduced loads (Inline with historical data). </t>
  </si>
  <si>
    <t>1. Production is 48% of the expected energy.
2. Production is 44% less compared to Aug 2024.
3. Production is 8% less compared to last month. 
4. The system is performing poorly due to reduced loads.</t>
  </si>
  <si>
    <t>1. Production is 42% of the expected energy.
2. Production is 25% less compared to Sep 2024.
3. Production is 6% less compared to last month. 
4. The system is performing poorly due to reduced loads.</t>
  </si>
  <si>
    <t>1. Production is 48% of the expected energy.
2. Production is 32% less compared to Oct 2024.
3. Production is 8% more compared to last month. 
4. The system is performing poorly due to reduced loads.</t>
  </si>
  <si>
    <t>1. Production is 48% of the expected energy.
2. Production is 37% less compared to Nov 2024.
3. Production is 1% less compared to last month. 
4. The system is performing poorly due to reduced loads.</t>
  </si>
  <si>
    <t xml:space="preserve">There was no PV production from the 6 - 31 due to business closure </t>
  </si>
  <si>
    <t>The shop has been shut down, no load demand</t>
  </si>
  <si>
    <t xml:space="preserve">The client is running on generator, that is no genset, the PV is not producing </t>
  </si>
  <si>
    <t>The system system was offline for 4 days due to power outage, Rain</t>
  </si>
  <si>
    <t>1. System underperformed due to inefficient controls</t>
  </si>
  <si>
    <t>1. Production is 67% of the expected energy.
2. Production is 11% more compared to last month. 
3. The system is performing poorly. The is a huge possibility of the stringing done wrong to be checked. The was power outage for one day.</t>
  </si>
  <si>
    <t xml:space="preserve">1. Production is 85% of the expected energy.
2. Production is 18% more compared to last month. 
3. The system is performing well. Comms went offline for 2 days </t>
  </si>
  <si>
    <t>1. Production is 98% of the expected energy.
2. Production is 13% more compared to last month. 
3. The system is performing well. Monitoring was offline from the  27th - 31st , due to internet connectivity. Incorrect readings data should be accounted for for next month billing</t>
  </si>
  <si>
    <t>1. Production is 94% of the expected energy.
2. Production is 4% more compared to last month. 
3. The system is performing well. Monitoring was offline from the  1st August.</t>
  </si>
  <si>
    <t>1. Production is 86% of the expected energy.
2. Production is 8% less compared to last month. 
3. The system is performing well.</t>
  </si>
  <si>
    <t>1. Production is 98% of the expected energy.
2. Production is 12% more compared to last month. 
3. The system is performing well.</t>
  </si>
  <si>
    <t>1. Production is 85% of the expected energy.
2. Production is 13% less compared to last month. 
3. The system is performing well.</t>
  </si>
  <si>
    <t xml:space="preserve">1. Production is 63% of the expected energy.
2. Production is 2% more  to last month.
4. The system ispporly due to shadding by nearby buildings. </t>
  </si>
  <si>
    <t xml:space="preserve">1. Production is 69% of the expected energy.
2. Production is 6% more to last month.
4. The system is performing poorly due to shading; the system is expected to improve during the summer season </t>
  </si>
  <si>
    <t>1. Production is 68% of the expected energy.
2. Production is 1% less to last month.
4. The system is performing poorly due to shading.</t>
  </si>
  <si>
    <t>1. Production is 92% of the expected energy.
2. Production is 24% less than last month.
3. The system is performing well.</t>
  </si>
  <si>
    <t xml:space="preserve">1. Production is 75% of the expected energy.
2. Production is 24% less compared to Nov 2024.
3. Production is 17% less compared to last month.
4. The system is performing moderately, due to rainy weather and shading. </t>
  </si>
  <si>
    <t>The system is performing well</t>
  </si>
  <si>
    <t>The system performed poorly due to modules mismatch from shading</t>
  </si>
  <si>
    <t>Customer Load demand sometime lower that usual, 
2 under performing MPPTs need to be checked</t>
  </si>
  <si>
    <t>Rain, Load demand reduced on other days</t>
  </si>
  <si>
    <t>System performing well</t>
  </si>
  <si>
    <t>1. System performing well</t>
  </si>
  <si>
    <t xml:space="preserve">1. Production is 102% of the expected energy.
2. Production is 26% more compared to last month. 
3. The system is performing well.No power outage, no comms loss, no PV production loss. </t>
  </si>
  <si>
    <t xml:space="preserve">1. Production is 97% of the expected energy.
2. Production is 4% less compared to last month. 
3. The system is performing well.No power outage, no comms loss, no PV production loss. </t>
  </si>
  <si>
    <t xml:space="preserve">1. Production is 89% of the expected energy.
2. Production is 8% less compared to last month. 
3. The system is performing well. Monitoring was offline from the 16-29 due to internet connectivity </t>
  </si>
  <si>
    <t xml:space="preserve">1. Production is 86% of the expected energy.
2. Production is 3% less compared to last month. 
3. The system is performing well.  </t>
  </si>
  <si>
    <t>1. Production is 73% of the expected energy.
2. Production is 13% less compared to last month. 
3. The system is performing moderately.  System is affected by the weather</t>
  </si>
  <si>
    <t>1. Production is 85% of the expected energy.
2. Production is 7% less compared to Oct 2024.
3. Production is 12% more compared to last month. 
4. The system is performing well.</t>
  </si>
  <si>
    <t>1. Production is 73% of the expected energy.
2. Production is 16% less compared to Nov 2024.
3. Production is 12% less compared to last month. 
4. The system is performing moderately, reduced demand and affected by rainy weather .</t>
  </si>
  <si>
    <t>System performed moderately due to load demand, one string is disconnected</t>
  </si>
  <si>
    <t xml:space="preserve">System performance will increase, damaged strings were repaired </t>
  </si>
  <si>
    <t xml:space="preserve">System performance moderately  </t>
  </si>
  <si>
    <t xml:space="preserve">Load demand is low at 150kW   </t>
  </si>
  <si>
    <t>1. Production is 86% of the expected energy.
2. Production is 15% more compared to last month. 
3. The system is performing well.  The was power outage and PV loss for 2 days .</t>
  </si>
  <si>
    <t xml:space="preserve">1. Production is 94% of the expected energy.
2. Production is 8% more compared to last month. 
3. The system is performing well.  </t>
  </si>
  <si>
    <t xml:space="preserve">1. Production is 86% of the expected energy.
2. Production is 8% less compared to last month. 
3. The system is performing well.  </t>
  </si>
  <si>
    <t xml:space="preserve">1. Production is 82% of the expected energy.
2. Production is 4% less compared to last month. 
3. The system is performing well.  </t>
  </si>
  <si>
    <t>1. Production is 80% of the expected energy.
2. Production is 5% more compared to Sep 2024.
3. Production is 2% less compared to last month. 
4. The system is performing well.</t>
  </si>
  <si>
    <t xml:space="preserve">1. Production is 77% of the expected energy.
2. Production is 12% less compared to Oct 2024.
3. Production is 3% less compared to last month. 
4. The system is performing moderately. Load demand reduced. </t>
  </si>
  <si>
    <t>1. Production is 74% of the expected energy.
2. Production is 12% less compared to Nov 2024.
3. Production is 3% less compared to last month. 
4. The system is performing moderately. Load demand reduced, affected by weather.</t>
  </si>
  <si>
    <t>Power cuts, slightly low demand on some other days</t>
  </si>
  <si>
    <t xml:space="preserve">1. System perfoming modarate, system is slightly oversized </t>
  </si>
  <si>
    <t>1. Production is 114% of the expected energy.
2. Production is 40% more compared to last month. 
3. The system is performing well.  Client load demand increased. No power outage, no comms loss, no PV production loss.</t>
  </si>
  <si>
    <t>1. Production is 113% of the expected energy.
2. Production is 1% less compared to last month. 
3. The system is performing well.  Client load demand increased. No power outage, no comms loss, no PV production loss.</t>
  </si>
  <si>
    <t xml:space="preserve">1. Production is 109% of the expected energy.
2. Production is 4% less compared to last month. 
3. The system is performing well.  The system was offline on the 6th </t>
  </si>
  <si>
    <t xml:space="preserve">1. Production is 102% of the expected energy.
2. Production is 7% less compared to last month. 
3. The system is performing well.  </t>
  </si>
  <si>
    <t>1. Production is 90% of the expected energy.
2. Production is 56% more compared to Sep 2024.
3. Production is 12% less compared to last month. 
4. The system is performing well.</t>
  </si>
  <si>
    <t>1. Production is 102% of the expected energy.
2. Production is 13% more compared to Oct 2024.
3. Production is 12% more compared to last month. 
4. The system performed more than expected.</t>
  </si>
  <si>
    <t>1. Production is 87% of the expected energy.
2. Production is 5% less compared to Nov 2024.
3. Production is 11% less compared to last month. 
4. The system performed as expected</t>
  </si>
  <si>
    <t>1. Production is 57% of the expected energy.
2. Production is 21% less compared to last month.
4. The system performed poorly. Recorded readings are incorrect should be accounted for next month billing. The system was offline from 10-17th</t>
  </si>
  <si>
    <t>1. Production is 71% of the expected energy.
2. Production is 14% more compared to last month.
4. The system performed moderately. Solar panels to be tilted to improve performance.</t>
  </si>
  <si>
    <t>1. Production is 70% of the expected energy.
2. Production is 1% less compared to last month.
4. The system performed moderately.</t>
  </si>
  <si>
    <t>1. Production is 90% of the expected energy.
2. Production is 20% more compared to last month.
3. The system performed moderately.</t>
  </si>
  <si>
    <t>1. Production is 83% of the expected energy.
2. Production is 7% less compared to last month.
3. The system performed well.</t>
  </si>
  <si>
    <t>The system produced poorly due to business closure from 16-31</t>
  </si>
  <si>
    <t xml:space="preserve">load reduction, inconsistant load </t>
  </si>
  <si>
    <t xml:space="preserve">Rain, Load demand reduced to half the installed capacity </t>
  </si>
  <si>
    <t xml:space="preserve">Load demand reduced to half the installed capacity </t>
  </si>
  <si>
    <t>1. Production is 81% of the expected energy.
2. Production is 3% more compared to May 2024.
3. Production is 23% more compared to last month.
4. The system performed well, client load increased. No power outage, no comms loss, no PV production loss.</t>
  </si>
  <si>
    <t>1. Production is 91% of the expected energy.
2. Production is 3% more compared to May 2024.
3. Production is 10% more compared to last month.
4. The system performed well, client load increased. No power outage, no comms loss, no PV production loss.</t>
  </si>
  <si>
    <t>1. Production is 76% of the expected energy.
2. Production is 8% less compared to Jul 2024.
3. Production is 16% less compared to last month.
4. The system performed modarately, client load reduced. No power outage, there was no comms on the 6th.</t>
  </si>
  <si>
    <t>1. Production is 68% of the expected energy.
2. Production is 2% less compared to Aug 2024.
3. Production is 8% less compared to last month.
4. The system performed poorly, client load reduced. No power outage, there was no comms on the 24th and 25th.</t>
  </si>
  <si>
    <t>1. Production is 70% of the expected energy.
2. Production is 22% less compared to Sep 2024.
3. Production is 2% more compared to last month.
4. The system performed moderately, and client load was reduced. No power outage, there was no comms on the 24th and 25th.</t>
  </si>
  <si>
    <t>1. Production is 59% of the expected energy.
2. Production is 3% less compared to Oct 2024.
3. Production is 11% less compared to last month.
4. The system performed poorely, and client load was reduced.</t>
  </si>
  <si>
    <t>1. Production is 53% of the expected energy.
2. Production is 8% less compared to Nov 2024.
3. Production is 6% less compared to last month.
4. The system performed poorely, and client load was reduced. System affected by rainy weather</t>
  </si>
  <si>
    <t>The system performed poorely, and client load was reduced. System affected by rainy weather</t>
  </si>
  <si>
    <t xml:space="preserve">The system performed poorely, and client load was reduced. </t>
  </si>
  <si>
    <t>The system is performed well in January
February performance reduced due rainy weather</t>
  </si>
  <si>
    <t xml:space="preserve">System modaratly perfomed, load reduced slignificantly on some days </t>
  </si>
  <si>
    <t>1. Production is 102% of the expected energy.
2. Production is 1% more compared to May 2024.
3. Production is 29% more compared to last month.
4. The system is performing well. Client load slightly increased.</t>
  </si>
  <si>
    <t>1. Production is 94% of the expected energy.
2. Production is 2% more compared to Jun 2024.
3. Production is 8% less compared to last month.
4. The system is performing well. Client load slightly increased.</t>
  </si>
  <si>
    <t>1. Production is 92% of the expected energy.
2. Production is 8% less compared to Jul 2024.
3. Production is 2% less compared to last month.
4. The system is performing well. Client load slightly increased.</t>
  </si>
  <si>
    <t>1. Production is 91% of the expected energy.
2. Production is 7% more compared to Aug 2024.
3. Production is 1% less compared to last month.
4. The system is performing well.</t>
  </si>
  <si>
    <t>1. Production is 83% of the expected energy.
2. Production is 3% more compared to Aug 2024.
3. Production is 8% more compared to last month.
4. The system is performing well.</t>
  </si>
  <si>
    <t>1. Production is 92% of the expected energy.
2. Production is 11% less compared to Oct 2024.
3. Production is 9% more compared to last month.
4. The system is performing well.</t>
  </si>
  <si>
    <t xml:space="preserve">1. Production is 74% of the expected energy.
2. Production is 31% less compared to Nov 2024.
3. Production is 18% less compared to last month.
4. The system is performing moderately, load reduced, system affected by weather. </t>
  </si>
  <si>
    <t xml:space="preserve">The system performed moderately due to reduced load </t>
  </si>
  <si>
    <t>Rain, Power outages, Inconsistent Load demand, Increase Ramp rate</t>
  </si>
  <si>
    <t>System performance is &gt;65% expected production
System performance increased by 0,4% compared to last month
System performance decreased by 27% compared to march 2024
 Inconsistent Load demand, Increase Ramp rate to improve perfomance</t>
  </si>
  <si>
    <t>1. System affected by weather, Fuctuating loads
2. Production is 62% of expected energy 
3. Production is 29% less compared to April 2024
4. Production is 6% less compared to last month</t>
  </si>
  <si>
    <t xml:space="preserve">1. Production is 67% of the expected energy.
2. Production is 10% less compared to May 2024.
3. Production is 5% more compared to last month.
4. They experienced grid outages 3 times and caused loss of PV three times, Load are not consistently higher that install PV. </t>
  </si>
  <si>
    <t>1. Production is 60% of the expected energy.
2. Production is 5% less compared to May 2024.
3. Production is 7% less compared to last month.
4.System poorely due to inconsistant load reduction. The experience loss of Comma and PV 4 days (days: 7,8,14,15)</t>
  </si>
  <si>
    <t>Rain, Power Outage, Inconsistent Loads</t>
  </si>
  <si>
    <t>System performance is &gt;65% expected production
System performance increased by 3% compared to last month
System performance decreased by 22% compared to march 2024
 Inconsistent Load demand, Increase Ramp rate to improve perfomances</t>
  </si>
  <si>
    <t>1. The system is performing well
2. Production is 92% of expected production 
3. Production is 24% more compared to last month</t>
  </si>
  <si>
    <t>1. Production is 111% of the expected energy.
2. Production is 18% more compared to May 2024.
3. Production is 19% more compared to last month.
4. The system is performing well, Billing meter comms to be rebooted and restored</t>
  </si>
  <si>
    <t>1. Production is 101% of the expected energy.
2. Production is 16% more compared to Jul 2024.
3. Production is 10% less compared to last month.
4. The system is performing well.</t>
  </si>
  <si>
    <t>1. Production is 105% of the expected energy.
2. Production is 7% less compared to May 2024.
3. Production is 4% more compared to last month.
4. The system is performing well.</t>
  </si>
  <si>
    <t>1. Production is 108% of the expected energy.
2. Production is 78% more compared to Aug 2024.
3. Production is 3% more compared to last month.
4. The system is performing well.</t>
  </si>
  <si>
    <t>1. Production is 104% of the expected energy.
2. Production is 33% more compared to Sep 2024.
3. Production is 4% less compared to last month.
4. The system is performing well.</t>
  </si>
  <si>
    <t xml:space="preserve">1. Production is 109% of the expected energy.
2. Production is 30% more compared to Oct 2024.
3. Production is 5% more compared to last month.
4. The system performed more than expected. </t>
  </si>
  <si>
    <t xml:space="preserve">1. Production is 99% of the expected energy.
2. Production is 55% more compared to Nov 2024.
3. Production is 10% less compared to last month.
4. The system performed well. </t>
  </si>
  <si>
    <t>The system performance is affected by rainy weather 
System affected by inconsistent load demand</t>
  </si>
  <si>
    <t>System modaratly perfomed,  Monitoring plartform is offline</t>
  </si>
  <si>
    <t>1. Production is 51% of the expected energy.
2. Production is 20% less compared to last month. 
3. The system is performed poorly due to the Wattmon controls kit repair. The system monitoring, PV  was offline for 14 days.</t>
  </si>
  <si>
    <t>1. Production is 39% of the expected energy.
2. Production is 12% less compared to last month. 
3. The system is performed poorly . The system monitoring, PV  was offline 19 days (1-11,16-17,19-20,24-26,28-30)</t>
  </si>
  <si>
    <t>1. Production is 58% of the expected energy.
2. Production is 19% more compared to last month. 
3. The system is performed poorly . The system monitoring, PV  was offline 11 days (01st - 11th) , the issuse is of swapped CTs's is resolved and th e performance is recovering</t>
  </si>
  <si>
    <t xml:space="preserve">1. Production is 84% of the expected energy.
2. Production is 4% more compared to Aug 2024.
3. Production is 26% more compared to last month. 
4. The system is performing well, issues resolved, and system performance is expected to improve more </t>
  </si>
  <si>
    <t>1. Production is 74% of the expected energy.
2. Production is 1% less compared to Sep 2024.
3. Production is 10% less compared to last month. 
4. The system is performing moderately.</t>
  </si>
  <si>
    <t>1. Production is 95% of the expected energy.
2. Production is 2% more compared to Oct 2024.
3. Production is 21% more compared to last month. 
4. The system is performing well.</t>
  </si>
  <si>
    <t>1. Production is 77% of the expected energy.
2. Production is 8% less compared to Nov 2024.
3. Production is 18% less compared to last month. 
4. The system performed moderately, system affected by rainy weather.</t>
  </si>
  <si>
    <t xml:space="preserve">4. The system performed moderately, system affected by busined closure </t>
  </si>
  <si>
    <t xml:space="preserve">The system performed moderately due to bad weather </t>
  </si>
  <si>
    <t>1. Production is 81% of the expected energy.
2. Production is 1% less than last month.
4. The system is performing well. Load demand is low.</t>
  </si>
  <si>
    <t>1. Production is 81% of the expected energy.
2. Production is the same as last month.
3. The system is performing well. Load demand is low.</t>
  </si>
  <si>
    <t>1. Production is 73% of the expected energy.
2. Production is 8% less compared to last month.
3. The system is performed moderate.</t>
  </si>
  <si>
    <t>No PV production on the 17th due to power outage</t>
  </si>
  <si>
    <t xml:space="preserve">The is missing data fron 22-30 on the monitoring platform, data will be retrieved </t>
  </si>
  <si>
    <t>The system is affected by the  rainy weather
Load demand is fluctuating on some days
Power outages affected performance 
The system performance for Jan and Much is better than last year</t>
  </si>
  <si>
    <t>System performance is &gt;70% expected production
System performance decreased by 7% compared to last month
System performance decreased by 0,48% compared to march 2024
Load demand is fluctuating on some days
Power outages affected performance 
The system performance for Jan and Feb production was better than 2024</t>
  </si>
  <si>
    <t xml:space="preserve">1. The system is performing well
2. Production is 83% of the expected energy 
3. Production is 28% more compared to April 2024
4. Production is 7% more compared to last month </t>
  </si>
  <si>
    <t>1. Production is 103% of the expected energy.
2. Production is 11% more compared to May 2024.
3. Production is 20% more compared to last month.
4. The system is perfoming well.</t>
  </si>
  <si>
    <t>1. Production is 98% of the expected energy.
2. Production is 14% more compared to May 2024.
3. Production is 5% less compared to last month.
4. The system is perfoming well.</t>
  </si>
  <si>
    <t xml:space="preserve">Comms offline, No Billing meter </t>
  </si>
  <si>
    <t>Algeria</t>
  </si>
  <si>
    <t>Angola</t>
  </si>
  <si>
    <t>Benin</t>
  </si>
  <si>
    <t>Botswana</t>
  </si>
  <si>
    <t>Burkina Faso</t>
  </si>
  <si>
    <t>Burundi</t>
  </si>
  <si>
    <t>Cabo Verde</t>
  </si>
  <si>
    <t>Cameroon</t>
  </si>
  <si>
    <t>Central African Republic</t>
  </si>
  <si>
    <t>Chad</t>
  </si>
  <si>
    <t>Comoros</t>
  </si>
  <si>
    <t>Democratic Republic of the Congo</t>
  </si>
  <si>
    <t>Republic of the Congo</t>
  </si>
  <si>
    <t>Djibouti</t>
  </si>
  <si>
    <t>Egypt</t>
  </si>
  <si>
    <t>Equatorial Guinea</t>
  </si>
  <si>
    <t>Eritrea</t>
  </si>
  <si>
    <t>Eswatini</t>
  </si>
  <si>
    <t>Ethiopia</t>
  </si>
  <si>
    <t>Gabon</t>
  </si>
  <si>
    <t>Gambia</t>
  </si>
  <si>
    <t>Ghana</t>
  </si>
  <si>
    <t>Guinea</t>
  </si>
  <si>
    <t>Guinea-Bissau</t>
  </si>
  <si>
    <t>Ivory Coast</t>
  </si>
  <si>
    <t>Kenya</t>
  </si>
  <si>
    <t>Lesotho</t>
  </si>
  <si>
    <t>Liberia</t>
  </si>
  <si>
    <t>Libya</t>
  </si>
  <si>
    <t>Madagascar</t>
  </si>
  <si>
    <t>Malawi</t>
  </si>
  <si>
    <t>Mali</t>
  </si>
  <si>
    <t>Mauritania</t>
  </si>
  <si>
    <t>Mauritius</t>
  </si>
  <si>
    <t>Morocco</t>
  </si>
  <si>
    <t>Mozambique</t>
  </si>
  <si>
    <t>Namibia</t>
  </si>
  <si>
    <t>Niger</t>
  </si>
  <si>
    <t>Nigeria</t>
  </si>
  <si>
    <t>Rwanda</t>
  </si>
  <si>
    <t>Sao Tome and Principe</t>
  </si>
  <si>
    <t>Senegal</t>
  </si>
  <si>
    <t>Seychelles</t>
  </si>
  <si>
    <t>Sierra Leone</t>
  </si>
  <si>
    <t>Somalia</t>
  </si>
  <si>
    <t>South Sudan</t>
  </si>
  <si>
    <t>Sudan</t>
  </si>
  <si>
    <t>Tanzania</t>
  </si>
  <si>
    <t>Togo</t>
  </si>
  <si>
    <t>Tunisia</t>
  </si>
  <si>
    <t>Uganda</t>
  </si>
  <si>
    <t>Zimbabwe</t>
  </si>
  <si>
    <t>Performend poorly due to load demand</t>
  </si>
  <si>
    <t>No Monitoring onsite</t>
  </si>
  <si>
    <t>Monitoring system is not working properly</t>
  </si>
  <si>
    <t xml:space="preserve">The system is broken, the inverter to be replaced </t>
  </si>
  <si>
    <t>The system monitoring is offline</t>
  </si>
  <si>
    <t xml:space="preserve">The system is decommisioned </t>
  </si>
  <si>
    <t xml:space="preserve">There is no monitoring </t>
  </si>
  <si>
    <t xml:space="preserve">System is decommissioned </t>
  </si>
  <si>
    <t xml:space="preserve">There is no grid on-site, the system is not producing </t>
  </si>
  <si>
    <t xml:space="preserve">System perfomed poorly due to winter shading </t>
  </si>
  <si>
    <t xml:space="preserve">No monitoring onsite </t>
  </si>
  <si>
    <t xml:space="preserve">The system monitoring is offline </t>
  </si>
  <si>
    <t xml:space="preserve">The shop has shutdown, the system is not producing </t>
  </si>
  <si>
    <t xml:space="preserve">The system perfomance is affected by load shedding </t>
  </si>
  <si>
    <t xml:space="preserve">The system performed poorly due to 8 strings being offline. The issue is resolved  </t>
  </si>
  <si>
    <t>Performing poorly due to slightly reduced load demand</t>
  </si>
  <si>
    <t xml:space="preserve">There is no monitoring onsite </t>
  </si>
  <si>
    <t>PV Capacity (W)</t>
  </si>
  <si>
    <t>Battery Size (Wh)</t>
  </si>
  <si>
    <t>Solar Synergy</t>
  </si>
  <si>
    <t>SA Energy</t>
  </si>
  <si>
    <t>Offtake Guarantee</t>
  </si>
  <si>
    <t>NO</t>
  </si>
  <si>
    <t>YES</t>
  </si>
  <si>
    <t>As-Built kWh</t>
  </si>
  <si>
    <t>Notes</t>
  </si>
  <si>
    <t>Age</t>
  </si>
  <si>
    <t>Unavailability kWh</t>
  </si>
  <si>
    <t xml:space="preserve">Testing </t>
  </si>
  <si>
    <t>Correct kWh</t>
  </si>
  <si>
    <t>Guaranteed Generation (kWh)</t>
  </si>
  <si>
    <t>Actual Generation (kWh)</t>
  </si>
  <si>
    <t>Shortfall (kWh)</t>
  </si>
  <si>
    <t>Performance Rate</t>
  </si>
  <si>
    <t xml:space="preserve">Availability </t>
  </si>
  <si>
    <t>Downtime (days)</t>
  </si>
  <si>
    <t xml:space="preserve">Cause of downtime </t>
  </si>
  <si>
    <t xml:space="preserve">Technical Events </t>
  </si>
  <si>
    <t>Energy Impact</t>
  </si>
  <si>
    <t>Other Comments</t>
  </si>
  <si>
    <t xml:space="preserve">31 days </t>
  </si>
  <si>
    <t xml:space="preserve">Internet connectivity issues </t>
  </si>
  <si>
    <t xml:space="preserve">Low energy demand reduced production </t>
  </si>
  <si>
    <t>28 days</t>
  </si>
  <si>
    <t xml:space="preserve">30 days </t>
  </si>
  <si>
    <t xml:space="preserve">Inverter was offline </t>
  </si>
  <si>
    <t>26 days</t>
  </si>
  <si>
    <t xml:space="preserve">0 days </t>
  </si>
  <si>
    <t>19-27, 9 days</t>
  </si>
  <si>
    <t>22 days</t>
  </si>
  <si>
    <t>27 days</t>
  </si>
  <si>
    <t xml:space="preserve">28 days </t>
  </si>
  <si>
    <t>21-31, 10 days</t>
  </si>
  <si>
    <t xml:space="preserve">21 days </t>
  </si>
  <si>
    <t>01-18, 18 days</t>
  </si>
  <si>
    <t>28-30, 3 days</t>
  </si>
  <si>
    <t xml:space="preserve">PV Breaker tripped </t>
  </si>
  <si>
    <t>System isolated for maintenance</t>
  </si>
  <si>
    <t xml:space="preserve">Faulty DC breakers </t>
  </si>
  <si>
    <t>31 days</t>
  </si>
  <si>
    <t xml:space="preserve">None </t>
  </si>
  <si>
    <t xml:space="preserve">System shutdown </t>
  </si>
  <si>
    <t xml:space="preserve">produced as expected </t>
  </si>
  <si>
    <t xml:space="preserve">Faulty AC breakers </t>
  </si>
  <si>
    <t xml:space="preserve">system not commissioned </t>
  </si>
  <si>
    <t>8 days</t>
  </si>
  <si>
    <t>1-23, 23 days</t>
  </si>
  <si>
    <t>30 days</t>
  </si>
  <si>
    <t xml:space="preserve">System not commissioned </t>
  </si>
  <si>
    <t>5 days</t>
  </si>
  <si>
    <t xml:space="preserve">1-25, 25 days </t>
  </si>
  <si>
    <t xml:space="preserve">System not commisssioned </t>
  </si>
  <si>
    <t>24-29, 6 days</t>
  </si>
  <si>
    <t xml:space="preserve">25 days </t>
  </si>
  <si>
    <t xml:space="preserve">Reduced production </t>
  </si>
  <si>
    <t xml:space="preserve">Power outage </t>
  </si>
  <si>
    <t xml:space="preserve">Produced as expected </t>
  </si>
  <si>
    <t>The system is performing moderately, reduced demand and affected by rainy weather.</t>
  </si>
  <si>
    <t>10 days</t>
  </si>
  <si>
    <t>29 days</t>
  </si>
  <si>
    <t>Energy production was limited by reduced load demand</t>
  </si>
  <si>
    <t xml:space="preserve">Energy production was limited by reduced load demand, cloudy and rainy weather. </t>
  </si>
  <si>
    <t>13 - 31, 13 days</t>
  </si>
  <si>
    <t>18 days</t>
  </si>
  <si>
    <t>Company closure</t>
  </si>
  <si>
    <t>Power outages &amp; low load demand</t>
  </si>
  <si>
    <t>Energy production was limited due to load demand</t>
  </si>
  <si>
    <t xml:space="preserve">grid failure on low demand </t>
  </si>
  <si>
    <t>3 days</t>
  </si>
  <si>
    <t>1-3, 3 days</t>
  </si>
  <si>
    <t>3-31, 3 days</t>
  </si>
  <si>
    <t xml:space="preserve">There system produced as expected </t>
  </si>
  <si>
    <t>Internet connectivity issues</t>
  </si>
  <si>
    <t>17-31, 14 days</t>
  </si>
  <si>
    <t>17 days</t>
  </si>
  <si>
    <t>01-04, 4 days</t>
  </si>
  <si>
    <t xml:space="preserve">26-31, 6 days </t>
  </si>
  <si>
    <t>25 days</t>
  </si>
  <si>
    <t>Inverter is offline</t>
  </si>
  <si>
    <t xml:space="preserve">internert connection </t>
  </si>
  <si>
    <t>01-05, 5 days</t>
  </si>
  <si>
    <t xml:space="preserve">03-19, 16 days </t>
  </si>
  <si>
    <t>15 days</t>
  </si>
  <si>
    <t>1 day</t>
  </si>
  <si>
    <t>01-23, 23 days</t>
  </si>
  <si>
    <t>0 days</t>
  </si>
  <si>
    <t>01-31, 31 days</t>
  </si>
  <si>
    <t xml:space="preserve">The system performed as expected </t>
  </si>
  <si>
    <t>05-31 days</t>
  </si>
  <si>
    <t>There is no energy production for ofline days</t>
  </si>
  <si>
    <t>01-28, 28 days</t>
  </si>
  <si>
    <t>2 days</t>
  </si>
  <si>
    <t>16-31, 15 days</t>
  </si>
  <si>
    <t>16 days</t>
  </si>
  <si>
    <t>01-014, 4 days</t>
  </si>
  <si>
    <t xml:space="preserve">The system is not commissioned </t>
  </si>
  <si>
    <t>11 days</t>
  </si>
  <si>
    <t xml:space="preserve">01-20, 20 days </t>
  </si>
  <si>
    <t>The system was not commissioned</t>
  </si>
  <si>
    <t>The  System is performed as expected</t>
  </si>
  <si>
    <t>Energy production was limited by reduced load demand due to business closure</t>
  </si>
  <si>
    <t>The system performned as expected</t>
  </si>
  <si>
    <t>Internet connectivity</t>
  </si>
  <si>
    <t>01-03, 3 days</t>
  </si>
  <si>
    <t xml:space="preserve">Business closure </t>
  </si>
  <si>
    <t>The system production was limited by business closure</t>
  </si>
  <si>
    <t xml:space="preserve">4 strings disconnected </t>
  </si>
  <si>
    <t xml:space="preserve">System underperformed due to technical fault experienced onsite. Expected February production corrected due to technical fault. </t>
  </si>
  <si>
    <t>The system performed as expected. A few technical issues were experienced during Feb 2026, the expected system production was corrected and system restored to normal production.</t>
  </si>
  <si>
    <t>The system performed as expected. As previously experienced, the site demand is low and the system was not fully utilized.</t>
  </si>
  <si>
    <t>Technical Fault. Inverter offline due to repairs</t>
  </si>
  <si>
    <t>The system performed moderately. A few technical issues were experienced , the expected system production was corrected and system restored to normal production.</t>
  </si>
  <si>
    <t>The system performed as expected. System produced 96% of expected production due to 20 days of closure during December-Jan.</t>
  </si>
  <si>
    <t>Technical Fault on one inverter</t>
  </si>
  <si>
    <t>Inverter breaker tripped</t>
  </si>
  <si>
    <t>50% of the production reduced due to offline inverter</t>
  </si>
  <si>
    <t>The system performed as expected. A few technical issues were experienced during July - Aug 2025, the expected system production was corrected and system restored to normal production.</t>
  </si>
  <si>
    <t>The system performed as expected. A few technical issues were experienced during July - Aug 2025 and Jan 2026 which limited inverter production during repairs, the expected system production was corrected and system restored to normal production.</t>
  </si>
  <si>
    <t>Energy production was limited by reduced load demand &amp; technical event</t>
  </si>
  <si>
    <t>Energy production was limited by technical event</t>
  </si>
  <si>
    <t xml:space="preserve">No solar production due to technical fault </t>
  </si>
  <si>
    <t>The energy production was limited by load demand</t>
  </si>
  <si>
    <t>n/</t>
  </si>
  <si>
    <t>The system performe well</t>
  </si>
  <si>
    <t>The energy production was limited by load demand &amp; bad weather</t>
  </si>
  <si>
    <t>The energy production was limited by load demand &amp; rainy  weather</t>
  </si>
  <si>
    <t>Ineternet connectivity</t>
  </si>
  <si>
    <t>Soiling Intensity</t>
  </si>
  <si>
    <t>Low</t>
  </si>
  <si>
    <t>High</t>
  </si>
  <si>
    <t>Shoprite SRH Bizana</t>
  </si>
  <si>
    <t>Shoprite Mayfair</t>
  </si>
  <si>
    <t>Usave Naboomspruit</t>
  </si>
  <si>
    <t>4VR3+G6F Mbizana</t>
  </si>
  <si>
    <t>1804 Albertina Sisulu Rd, Mayfair, Johannesburg, 2092</t>
  </si>
  <si>
    <t>76 Thabo Mbeki St, Mookgophong, 0560</t>
  </si>
  <si>
    <t>Unknown</t>
  </si>
  <si>
    <t>Medium</t>
  </si>
  <si>
    <t>Shading</t>
  </si>
  <si>
    <t>Eastern Cape</t>
  </si>
  <si>
    <t xml:space="preserve"> </t>
  </si>
  <si>
    <t>Tlou Integrated Tech</t>
  </si>
  <si>
    <t>The  System performed as expected</t>
  </si>
  <si>
    <t xml:space="preserve">Energy production was limited by reduced load demand and weather </t>
  </si>
  <si>
    <t xml:space="preserve">Energy production was limited by reduced load demand </t>
  </si>
  <si>
    <t xml:space="preserve">client contractor tempered with the system </t>
  </si>
  <si>
    <t xml:space="preserve">Zero export CT were swapped in the wrong direction </t>
  </si>
  <si>
    <t>1 day, 14th</t>
  </si>
  <si>
    <t>Energy production was limited by technical downtime, and heavily soiled panels</t>
  </si>
  <si>
    <t>Discussion</t>
  </si>
  <si>
    <t>13 days,8-21st</t>
  </si>
  <si>
    <t>7 days, 24-31st</t>
  </si>
  <si>
    <t xml:space="preserve">Inverter software </t>
  </si>
  <si>
    <t>Energy production is limited by system unavailability and soiling</t>
  </si>
  <si>
    <t>Inverter Internet connectivity</t>
  </si>
  <si>
    <t xml:space="preserve">Daytime load demand reduced further </t>
  </si>
  <si>
    <t>14 days, 8-10,15-17,21-31st</t>
  </si>
  <si>
    <t>System switched off</t>
  </si>
  <si>
    <t xml:space="preserve">Energy production was limited by system beign switched off. </t>
  </si>
  <si>
    <t>Client system switched off as per their requirements</t>
  </si>
  <si>
    <t>Energy production was limited by none operational strings</t>
  </si>
  <si>
    <t xml:space="preserve">2 strings were off due to damaged fuses, No inverter monitoring </t>
  </si>
  <si>
    <t xml:space="preserve">Installing new monitoring </t>
  </si>
  <si>
    <t xml:space="preserve">Unknown </t>
  </si>
  <si>
    <t xml:space="preserve">There is no inverter monitoring </t>
  </si>
  <si>
    <t xml:space="preserve">The system production was limited by soiling </t>
  </si>
  <si>
    <t xml:space="preserve">possible heavy soiling to confirm during O&amp;M on the 27th august </t>
  </si>
  <si>
    <t>The system performance was limited by fluctuating load demand</t>
  </si>
  <si>
    <t xml:space="preserve">Business shutdown </t>
  </si>
  <si>
    <t xml:space="preserve">Business Shutdown </t>
  </si>
  <si>
    <t xml:space="preserve">Offline inverter comms </t>
  </si>
  <si>
    <t xml:space="preserve">Business grid supply disconnected  </t>
  </si>
  <si>
    <t>No production from the solar system</t>
  </si>
  <si>
    <t xml:space="preserve">Client running on generator </t>
  </si>
  <si>
    <t>Energy production was possibly limited by heavy soiling, to be confirmed during site visit</t>
  </si>
  <si>
    <t>The Energy production was limited by due O&amp;M to be made by the end of August</t>
  </si>
  <si>
    <t xml:space="preserve">The system production was limited by heavy shading </t>
  </si>
  <si>
    <t xml:space="preserve">Inverter comms offline </t>
  </si>
  <si>
    <t>The energy production was affected by heavy soiling</t>
  </si>
  <si>
    <t>11 days, 16-27th</t>
  </si>
  <si>
    <t xml:space="preserve">Client Transformer was getting serviced </t>
  </si>
  <si>
    <t>The energy production was affected by system unavailability and heavy soiling</t>
  </si>
  <si>
    <t xml:space="preserve">CT has been swapped around after transformer maintenance </t>
  </si>
  <si>
    <t>The system comms are offline</t>
  </si>
  <si>
    <t>3 days; 8th, 23rd,28th</t>
  </si>
  <si>
    <t xml:space="preserve">Grid power outage </t>
  </si>
  <si>
    <t>The system energy production has been affected by grid unavailability and reduced load demand</t>
  </si>
  <si>
    <t>8 days;5-9th,27-31st</t>
  </si>
  <si>
    <t xml:space="preserve">Energy production was limited by system unavailability </t>
  </si>
  <si>
    <t>Offline inverter comms</t>
  </si>
  <si>
    <t>Inverter comms currently offline</t>
  </si>
  <si>
    <t>Energy production was limited by soiling</t>
  </si>
  <si>
    <t xml:space="preserve">Unreliable monitoring platform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</si>
</sst>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
    <numFmt numFmtId="165" formatCode="_(\R* #,##0.00_);_(\R* \(#,##0.00\);_(\R* \-??_);_(@_)"/>
    <numFmt numFmtId="166" formatCode="dd/mm/yyyy"/>
    <numFmt numFmtId="167" formatCode="0.0"/>
    <numFmt numFmtId="168" formatCode="_(* #,##0_);_(* \(#,##0\);_(* &quot;-&quot;??_);_(@_)"/>
  </numFmts>
  <fonts count="8" x14ac:knownFonts="1">
    <font>
      <sz val="11"/>
      <color theme="1"/>
      <name val="Calibri"/>
      <family val="2"/>
      <charset val="1"/>
    </font>
    <font>
      <sz val="12"/>
      <color theme="1"/>
      <name val="Calibri"/>
      <family val="2"/>
      <charset val="1"/>
    </font>
    <font>
      <sz val="11"/>
      <color rgb="FF000000"/>
      <name val="Calibri"/>
      <family val="2"/>
      <charset val="1"/>
    </font>
    <font>
      <sz val="11"/>
      <name val="Calibri"/>
      <family val="2"/>
      <charset val="1"/>
    </font>
    <font>
      <sz val="8"/>
      <name val="Calibri"/>
      <family val="2"/>
      <charset val="1"/>
    </font>
    <font>
      <b/>
      <sz val="11"/>
      <color theme="1"/>
      <name val="Calibri"/>
      <family val="2"/>
    </font>
    <font>
      <sz val="11"/>
      <color theme="1"/>
      <name val="Calibri"/>
      <family val="2"/>
      <charset val="1"/>
    </font>
    <font>
      <sz val="12"/>
      <color rgb="FF000000"/>
      <name val="Calibri"/>
      <family val="2"/>
    </font>
  </fonts>
  <fills count="9">
    <fill>
      <patternFill patternType="none"/>
    </fill>
    <fill>
      <patternFill patternType="gray125"/>
    </fill>
    <fill>
      <patternFill patternType="solid">
        <fgColor rgb="FFFF0000"/>
        <bgColor rgb="FFFA4C06"/>
      </patternFill>
    </fill>
    <fill>
      <patternFill patternType="solid">
        <fgColor rgb="FFFA4C06"/>
        <bgColor rgb="FF993300"/>
      </patternFill>
    </fill>
    <fill>
      <patternFill patternType="solid">
        <fgColor rgb="FFFFFF00"/>
        <bgColor indexed="64"/>
      </patternFill>
    </fill>
    <fill>
      <patternFill patternType="solid">
        <fgColor theme="4" tint="0.59999389629810485"/>
        <bgColor theme="4" tint="0.59999389629810485"/>
      </patternFill>
    </fill>
    <fill>
      <patternFill patternType="solid">
        <fgColor rgb="FFFF0000"/>
        <bgColor indexed="64"/>
      </patternFill>
    </fill>
    <fill>
      <patternFill patternType="solid">
        <fgColor theme="9" tint="0.59999389629810485"/>
        <bgColor indexed="64"/>
      </patternFill>
    </fill>
    <fill>
      <patternFill patternType="solid">
        <fgColor rgb="FF92D050"/>
        <bgColor indexed="64"/>
      </patternFill>
    </fill>
  </fills>
  <borders count="4">
    <border>
      <left/>
      <right/>
      <top/>
      <bottom/>
      <diagonal/>
    </border>
    <border>
      <left/>
      <right style="thin">
        <color auto="1"/>
      </right>
      <top/>
      <bottom/>
      <diagonal/>
    </border>
    <border>
      <left style="thin">
        <color theme="0"/>
      </left>
      <right style="thin">
        <color theme="0"/>
      </right>
      <top style="thin">
        <color theme="0"/>
      </top>
      <bottom style="thin">
        <color theme="0"/>
      </bottom>
      <diagonal/>
    </border>
    <border>
      <left/>
      <right/>
      <top style="dotted">
        <color auto="1"/>
      </top>
      <bottom style="dotted">
        <color auto="1"/>
      </bottom>
      <diagonal/>
    </border>
  </borders>
  <cellStyleXfs count="3">
    <xf numFmtId="0" fontId="0" fillId="0" borderId="0"/>
    <xf numFmtId="165" fontId="1" fillId="0" borderId="0"/>
    <xf numFmtId="43" fontId="6" fillId="0" borderId="0" applyFont="0" applyFill="0" applyBorder="0" applyAlignment="0" applyProtection="0"/>
  </cellStyleXfs>
  <cellXfs count="45">
    <xf numFmtId="0" fontId="0" fillId="0" borderId="0" xfId="0"/>
    <xf numFmtId="0" fontId="2" fillId="0" borderId="0" xfId="0" applyFont="1"/>
    <xf numFmtId="17" fontId="0" fillId="0" borderId="0" xfId="0" applyNumberFormat="1"/>
    <xf numFmtId="0" fontId="0" fillId="0" borderId="1" xfId="0" applyBorder="1"/>
    <xf numFmtId="10" fontId="0" fillId="0" borderId="0" xfId="0" applyNumberFormat="1"/>
    <xf numFmtId="1" fontId="0" fillId="0" borderId="0" xfId="0" applyNumberFormat="1"/>
    <xf numFmtId="0" fontId="0" fillId="3" borderId="0" xfId="0" applyFill="1"/>
    <xf numFmtId="1" fontId="0" fillId="3" borderId="0" xfId="0" applyNumberFormat="1" applyFill="1"/>
    <xf numFmtId="1" fontId="0" fillId="2" borderId="0" xfId="0" applyNumberFormat="1" applyFill="1"/>
    <xf numFmtId="164" fontId="0" fillId="0" borderId="0" xfId="0" applyNumberFormat="1"/>
    <xf numFmtId="0" fontId="0" fillId="0" borderId="0" xfId="0" applyAlignment="1">
      <alignment vertical="top" wrapText="1"/>
    </xf>
    <xf numFmtId="0" fontId="3" fillId="0" borderId="0" xfId="0" applyFont="1" applyAlignment="1">
      <alignment wrapText="1"/>
    </xf>
    <xf numFmtId="0" fontId="0" fillId="4" borderId="0" xfId="0" applyFill="1"/>
    <xf numFmtId="0" fontId="2" fillId="4" borderId="0" xfId="0" applyFont="1" applyFill="1"/>
    <xf numFmtId="3" fontId="0" fillId="0" borderId="0" xfId="0" applyNumberFormat="1"/>
    <xf numFmtId="0" fontId="5" fillId="0" borderId="0" xfId="0" applyFont="1"/>
    <xf numFmtId="0" fontId="2" fillId="0" borderId="0" xfId="0" applyFont="1" applyAlignment="1">
      <alignment horizontal="left"/>
    </xf>
    <xf numFmtId="0" fontId="0" fillId="0" borderId="0" xfId="0" applyAlignment="1">
      <alignment horizontal="left"/>
    </xf>
    <xf numFmtId="166" fontId="2" fillId="0" borderId="0" xfId="0" applyNumberFormat="1" applyFont="1" applyAlignment="1">
      <alignment horizontal="left"/>
    </xf>
    <xf numFmtId="166" fontId="0" fillId="0" borderId="0" xfId="0" applyNumberFormat="1" applyAlignment="1">
      <alignment horizontal="left"/>
    </xf>
    <xf numFmtId="167" fontId="0" fillId="0" borderId="0" xfId="0" applyNumberFormat="1"/>
    <xf numFmtId="0" fontId="0" fillId="5" borderId="2" xfId="0" applyFill="1" applyBorder="1" applyAlignment="1">
      <alignment vertical="top" wrapText="1"/>
    </xf>
    <xf numFmtId="0" fontId="0" fillId="6" borderId="0" xfId="0" applyFill="1"/>
    <xf numFmtId="164" fontId="0" fillId="6" borderId="0" xfId="0" applyNumberFormat="1" applyFill="1"/>
    <xf numFmtId="167" fontId="0" fillId="6" borderId="0" xfId="0" applyNumberFormat="1" applyFill="1"/>
    <xf numFmtId="3" fontId="0" fillId="6" borderId="0" xfId="0" applyNumberFormat="1" applyFill="1"/>
    <xf numFmtId="1" fontId="0" fillId="6" borderId="0" xfId="0" applyNumberFormat="1" applyFill="1"/>
    <xf numFmtId="0" fontId="2" fillId="7" borderId="0" xfId="0" applyFont="1" applyFill="1"/>
    <xf numFmtId="0" fontId="0" fillId="7" borderId="0" xfId="0" applyFill="1"/>
    <xf numFmtId="164" fontId="0" fillId="7" borderId="0" xfId="0" applyNumberFormat="1" applyFill="1"/>
    <xf numFmtId="167" fontId="0" fillId="7" borderId="0" xfId="0" applyNumberFormat="1" applyFill="1"/>
    <xf numFmtId="3" fontId="0" fillId="7" borderId="0" xfId="0" applyNumberFormat="1" applyFill="1"/>
    <xf numFmtId="1" fontId="0" fillId="7" borderId="0" xfId="0" applyNumberFormat="1" applyFill="1"/>
    <xf numFmtId="0" fontId="0" fillId="0" borderId="0" xfId="0" applyAlignment="1">
      <alignment wrapText="1"/>
    </xf>
    <xf numFmtId="168" fontId="7" fillId="0" borderId="3" xfId="2" applyNumberFormat="1" applyFont="1" applyFill="1" applyBorder="1"/>
    <xf numFmtId="43" fontId="0" fillId="0" borderId="0" xfId="2" applyFont="1" applyFill="1"/>
    <xf numFmtId="0" fontId="2" fillId="8" borderId="0" xfId="0" applyFont="1" applyFill="1"/>
    <xf numFmtId="0" fontId="0" fillId="8" borderId="0" xfId="0" applyFill="1"/>
    <xf numFmtId="164" fontId="0" fillId="8" borderId="0" xfId="0" applyNumberFormat="1" applyFill="1"/>
    <xf numFmtId="167" fontId="0" fillId="8" borderId="0" xfId="0" applyNumberFormat="1" applyFill="1"/>
    <xf numFmtId="3" fontId="0" fillId="8" borderId="0" xfId="0" applyNumberFormat="1" applyFill="1"/>
    <xf numFmtId="1" fontId="0" fillId="8" borderId="0" xfId="0" applyNumberFormat="1" applyFill="1"/>
    <xf numFmtId="16" fontId="0" fillId="0" borderId="0" xfId="0" applyNumberFormat="1"/>
    <xf numFmtId="17" fontId="0" fillId="4" borderId="0" xfId="0" applyNumberFormat="1" applyFill="1"/>
    <xf numFmtId="164" fontId="0" fillId="4" borderId="0" xfId="0" applyNumberFormat="1" applyFill="1"/>
  </cellXfs>
  <cellStyles count="3">
    <cellStyle name="Comma" xfId="2" builtinId="3"/>
    <cellStyle name="Normal" xfId="0" builtinId="0"/>
    <cellStyle name="Valuta 2" xfId="1" xr:uid="{00000000-0005-0000-0000-000001000000}"/>
  </cellStyles>
  <dxfs count="12">
    <dxf>
      <numFmt numFmtId="3" formatCode="#,##0"/>
    </dxf>
    <dxf>
      <numFmt numFmtId="3" formatCode="#,##0"/>
    </dxf>
    <dxf>
      <numFmt numFmtId="3" formatCode="#,##0"/>
    </dxf>
    <dxf>
      <numFmt numFmtId="3" formatCode="#,##0"/>
    </dxf>
    <dxf>
      <numFmt numFmtId="1" formatCode="0"/>
    </dxf>
    <dxf>
      <numFmt numFmtId="1" formatCode="0"/>
    </dxf>
    <dxf>
      <numFmt numFmtId="3" formatCode="#,##0"/>
    </dxf>
    <dxf>
      <numFmt numFmtId="167" formatCode="0.0"/>
    </dxf>
    <dxf>
      <numFmt numFmtId="164" formatCode="0.0%"/>
    </dxf>
    <dxf>
      <font>
        <b/>
        <i val="0"/>
        <strike val="0"/>
        <condense val="0"/>
        <extend val="0"/>
        <outline val="0"/>
        <shadow val="0"/>
        <u val="none"/>
        <vertAlign val="baseline"/>
        <sz val="11"/>
        <color theme="1"/>
        <name val="Calibri"/>
        <family val="2"/>
        <scheme val="none"/>
      </font>
    </dxf>
    <dxf>
      <numFmt numFmtId="0" formatCode="General"/>
    </dxf>
    <dxf>
      <alignment horizontal="left" vertical="bottom" textRotation="0" wrapText="0"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AEE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46B1E1"/>
      <rgbColor rgb="FF99CC00"/>
      <rgbColor rgb="FFFFCC00"/>
      <rgbColor rgb="FFFF9900"/>
      <rgbColor rgb="FFFA4C06"/>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Y82" totalsRowShown="0">
  <autoFilter ref="A1:Y82" xr:uid="{00000000-000C-0000-FFFF-FFFF00000000}"/>
  <tableColumns count="25">
    <tableColumn id="1" xr3:uid="{00000000-0010-0000-0000-000001000000}" name="Site Name "/>
    <tableColumn id="2" xr3:uid="{00000000-0010-0000-0000-000002000000}" name="PV Capacity (W)"/>
    <tableColumn id="3" xr3:uid="{00000000-0010-0000-0000-000003000000}" name="PV Inverter Size (kW)"/>
    <tableColumn id="4" xr3:uid="{00000000-0010-0000-0000-000004000000}" name="Battery Size (Wh)"/>
    <tableColumn id="5" xr3:uid="{00000000-0010-0000-0000-000005000000}" name="Battery Name "/>
    <tableColumn id="6" xr3:uid="{00000000-0010-0000-0000-000006000000}" name="Battery Inverter/Hybrid Size"/>
    <tableColumn id="7" xr3:uid="{00000000-0010-0000-0000-000007000000}" name="Generator  Size"/>
    <tableColumn id="8" xr3:uid="{00000000-0010-0000-0000-000008000000}" name="Genset/Grid set point kit"/>
    <tableColumn id="22" xr3:uid="{00000000-0010-0000-0000-000016000000}" name="Country "/>
    <tableColumn id="9" xr3:uid="{00000000-0010-0000-0000-000009000000}" name="Province"/>
    <tableColumn id="10" xr3:uid="{00000000-0010-0000-0000-00000A000000}" name="Location "/>
    <tableColumn id="11" xr3:uid="{00000000-0010-0000-0000-00000B000000}" name="Meter"/>
    <tableColumn id="12" xr3:uid="{00000000-0010-0000-0000-00000C000000}" name="Contract Type"/>
    <tableColumn id="13" xr3:uid="{00000000-0010-0000-0000-00000D000000}" name="Business Type"/>
    <tableColumn id="14" xr3:uid="{00000000-0010-0000-0000-00000E000000}" name="Operational Satus"/>
    <tableColumn id="15" xr3:uid="{00000000-0010-0000-0000-00000F000000}" name="Sales Type "/>
    <tableColumn id="16" xr3:uid="{00000000-0010-0000-0000-000010000000}" name="Investment Party"/>
    <tableColumn id="17" xr3:uid="{00000000-0010-0000-0000-000011000000}" name="Project Number"/>
    <tableColumn id="18" xr3:uid="{00000000-0010-0000-0000-000012000000}" name="Commisioned Date" dataDxfId="11"/>
    <tableColumn id="19" xr3:uid="{00000000-0010-0000-0000-000013000000}" name="Installer Name "/>
    <tableColumn id="20" xr3:uid="{00000000-0010-0000-0000-000014000000}" name="Platform"/>
    <tableColumn id="21" xr3:uid="{33A964E8-4591-44FC-81F0-22247DFE6782}" name="Offtake Guarantee"/>
    <tableColumn id="23" xr3:uid="{178183E1-2E8D-4626-95E4-D5064E0AD5F0}" name="Age" dataDxfId="10">
      <calculatedColumnFormula>IF(ISNUMBER(S2),(TODAY()-S2)/365.25,"")</calculatedColumnFormula>
    </tableColumn>
    <tableColumn id="24" xr3:uid="{84D960D5-BA58-48E6-953B-EC2032022D73}" name="Soiling Intensity"/>
    <tableColumn id="25" xr3:uid="{C9261493-CB3A-4FCD-8445-AB87B9440EC1}" name="Shading"/>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4" displayName="Table4" ref="A1:M80" totalsRowShown="0">
  <autoFilter ref="A1:M80" xr:uid="{00000000-0009-0000-0100-000003000000}"/>
  <tableColumns count="13">
    <tableColumn id="1" xr3:uid="{00000000-0010-0000-0200-000001000000}" name="Site Name "/>
    <tableColumn id="2" xr3:uid="{00000000-0010-0000-0200-000002000000}" name="Jan"/>
    <tableColumn id="3" xr3:uid="{00000000-0010-0000-0200-000003000000}" name="Feb"/>
    <tableColumn id="4" xr3:uid="{00000000-0010-0000-0200-000004000000}" name="Mar"/>
    <tableColumn id="5" xr3:uid="{00000000-0010-0000-0200-000005000000}" name="Apr"/>
    <tableColumn id="6" xr3:uid="{00000000-0010-0000-0200-000006000000}" name="May"/>
    <tableColumn id="7" xr3:uid="{00000000-0010-0000-0200-000007000000}" name="Jun"/>
    <tableColumn id="8" xr3:uid="{00000000-0010-0000-0200-000008000000}" name="Jul"/>
    <tableColumn id="9" xr3:uid="{00000000-0010-0000-0200-000009000000}" name="Aug"/>
    <tableColumn id="10" xr3:uid="{00000000-0010-0000-0200-00000A000000}" name="Sep"/>
    <tableColumn id="11" xr3:uid="{00000000-0010-0000-0200-00000B000000}" name="Oct"/>
    <tableColumn id="12" xr3:uid="{00000000-0010-0000-0200-00000C000000}" name="Nov"/>
    <tableColumn id="13" xr3:uid="{00000000-0010-0000-0200-00000D000000}" name="Dec"/>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DEEF87-A1EC-45C3-B7B6-FC940DBD1B9E}" name="Table2" displayName="Table2" ref="A1:L24" totalsRowShown="0" headerRowDxfId="9">
  <autoFilter ref="A1:L24" xr:uid="{FFDEEF87-A1EC-45C3-B7B6-FC940DBD1B9E}"/>
  <tableColumns count="12">
    <tableColumn id="1" xr3:uid="{BA77AA4E-9DE9-4B39-9A66-985E8DC66078}" name="Site Name"/>
    <tableColumn id="2" xr3:uid="{078C9B39-2DBE-4E00-AA4B-6FEE33737354}" name="Offtake Guarantee"/>
    <tableColumn id="3" xr3:uid="{12002FA2-F79A-46C4-A001-A041D4269216}" name="Expected Utilisation%" dataDxfId="8">
      <calculatedColumnFormula array="1">IFERROR(INDEX('Expected Production'!$B$2:$B$80,MATCH(TRIM($A2),INDEX(TRIM('Expected Production'!$A$2:$A$80),0),0)),"Not found")</calculatedColumnFormula>
    </tableColumn>
    <tableColumn id="13" xr3:uid="{8104C470-3726-4704-8062-56A3F77C5887}" name="Age" dataDxfId="7">
      <calculatedColumnFormula array="1">_xlfn.IFNA(_xlfn.XLOOKUP(TRIM(A2),TRIM(site_tech_info!$A$2:$A$79),site_tech_info!$W$2:$W$79),"")</calculatedColumnFormula>
    </tableColumn>
    <tableColumn id="5" xr3:uid="{5CDB8975-4633-444F-A2A3-86921149ABC6}" name="As-Built kWh" dataDxfId="6">
      <calculatedColumnFormula array="1">IFERROR(SUM(INDEX('Simulated Production'!$B$2:$M$80,MATCH(TRIM($A2),INDEX(TRIM('Simulated Production'!$A$2:$A$80),0),0),0)),"Not found")</calculatedColumnFormula>
    </tableColumn>
    <tableColumn id="6" xr3:uid="{9411D1CF-D195-4EB2-B5CC-6A6DDABFDFBF}" name="Guaranteed Generation (kWh)" dataDxfId="5">
      <calculatedColumnFormula>(Table2[[#This Row],[As-Built kWh]]*Table2[[#This Row],[Expected Utilisation%]])*(1-0.007)^(Table2[[#This Row],[Age]])</calculatedColumnFormula>
    </tableColumn>
    <tableColumn id="7" xr3:uid="{E5EE1C6E-29BD-4B62-A08A-2B20A22AB1CE}" name="Unavailability kWh" dataDxfId="4"/>
    <tableColumn id="8" xr3:uid="{669A1871-958D-42FB-84C1-6EF903BC020E}" name="Correct kWh" dataDxfId="3">
      <calculatedColumnFormula>F2-G2</calculatedColumnFormula>
    </tableColumn>
    <tableColumn id="9" xr3:uid="{1B81CD85-F3BF-495A-AE3C-95AF0C51FA3B}" name="Actual Generation (kWh)" dataDxfId="2">
      <calculatedColumnFormula array="1">SUMPRODUCT((TRIM(measured[Site Name])=TRIM($A2))*(measured[Date]&gt;=DATE(2025,7,1))*(measured[Date]&lt;=DATE(2026,6,30))*measured[Measured Value (kWh)])</calculatedColumnFormula>
    </tableColumn>
    <tableColumn id="10" xr3:uid="{6A7719DF-ACA5-460E-82C4-665ED3FB49E3}" name="Shortfall (kWh)" dataDxfId="1">
      <calculatedColumnFormula>I2-H2</calculatedColumnFormula>
    </tableColumn>
    <tableColumn id="12" xr3:uid="{9328A0B8-C03E-4D3E-8642-11E7F2830AAA}" name="Performance Rate" dataDxfId="0">
      <calculatedColumnFormula>(Table2[[#This Row],[Actual Generation (kWh)]]/Table2[[#This Row],[Correct kWh]])*100</calculatedColumnFormula>
    </tableColumn>
    <tableColumn id="11" xr3:uid="{C2AEA9A5-D33D-4B22-BC5A-02775FAEE2B1}" name="Notes"/>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measured" displayName="measured" ref="A1:C2708" totalsRowShown="0">
  <autoFilter ref="A1:C2708" xr:uid="{00000000-0009-0000-0100-000006000000}">
    <filterColumn colId="1">
      <filters>
        <dateGroupItem year="2026" month="7" dateTimeGrouping="month"/>
      </filters>
    </filterColumn>
  </autoFilter>
  <sortState xmlns:xlrd2="http://schemas.microsoft.com/office/spreadsheetml/2017/richdata2" ref="A32:C2708">
    <sortCondition ref="A1:A2708"/>
  </sortState>
  <tableColumns count="3">
    <tableColumn id="1" xr3:uid="{00000000-0010-0000-0500-000001000000}" name="Site Name"/>
    <tableColumn id="2" xr3:uid="{00000000-0010-0000-0500-000002000000}" name="Date"/>
    <tableColumn id="3" xr3:uid="{00000000-0010-0000-0500-000003000000}" name="Measured Value (kWh)"/>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13" displayName="Table13" ref="A1:N80" totalsRowShown="0">
  <autoFilter ref="A1:N80" xr:uid="{00000000-0009-0000-0100-000004000000}"/>
  <tableColumns count="14">
    <tableColumn id="1" xr3:uid="{00000000-0010-0000-0300-000001000000}" name="Site Name "/>
    <tableColumn id="2" xr3:uid="{00000000-0010-0000-0300-000002000000}" name="Expected Utilisation%"/>
    <tableColumn id="3" xr3:uid="{00000000-0010-0000-0300-000003000000}" name="Jan"/>
    <tableColumn id="4" xr3:uid="{00000000-0010-0000-0300-000004000000}" name="Feb"/>
    <tableColumn id="5" xr3:uid="{00000000-0010-0000-0300-000005000000}" name="Mar"/>
    <tableColumn id="6" xr3:uid="{00000000-0010-0000-0300-000006000000}" name="Apr"/>
    <tableColumn id="7" xr3:uid="{00000000-0010-0000-0300-000007000000}" name="May"/>
    <tableColumn id="8" xr3:uid="{00000000-0010-0000-0300-000008000000}" name="Jun"/>
    <tableColumn id="9" xr3:uid="{00000000-0010-0000-0300-000009000000}" name="Jul"/>
    <tableColumn id="10" xr3:uid="{00000000-0010-0000-0300-00000A000000}" name="Aug"/>
    <tableColumn id="11" xr3:uid="{00000000-0010-0000-0300-00000B000000}" name="Sep"/>
    <tableColumn id="12" xr3:uid="{00000000-0010-0000-0300-00000C000000}" name="Oct"/>
    <tableColumn id="13" xr3:uid="{00000000-0010-0000-0300-00000D000000}" name="Nov"/>
    <tableColumn id="14" xr3:uid="{00000000-0010-0000-0300-00000E000000}" name="Dec"/>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expected_production" displayName="expected_production" ref="A1:C2815" totalsRowShown="0">
  <autoFilter ref="A1:C2815" xr:uid="{00000000-0009-0000-0100-000005000000}">
    <filterColumn colId="1">
      <filters>
        <dateGroupItem year="2026" month="7" dateTimeGrouping="month"/>
      </filters>
    </filterColumn>
  </autoFilter>
  <tableColumns count="3">
    <tableColumn id="1" xr3:uid="{00000000-0010-0000-0400-000001000000}" name="Site Name"/>
    <tableColumn id="2" xr3:uid="{00000000-0010-0000-0400-000002000000}" name="Date"/>
    <tableColumn id="3" xr3:uid="{00000000-0010-0000-0400-000003000000}" name="Expected Production (kWh)"/>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Comments" displayName="Comments" ref="A1:H1810">
  <autoFilter ref="A1:H1810" xr:uid="{00000000-0009-0000-0100-000008000000}"/>
  <sortState xmlns:xlrd2="http://schemas.microsoft.com/office/spreadsheetml/2017/richdata2" ref="A23:H1810">
    <sortCondition ref="A1:A1810"/>
  </sortState>
  <tableColumns count="8">
    <tableColumn id="1" xr3:uid="{00000000-0010-0000-0700-000001000000}" name="Site Name"/>
    <tableColumn id="2" xr3:uid="{00000000-0010-0000-0700-000002000000}" name="Date"/>
    <tableColumn id="3" xr3:uid="{00000000-0010-0000-0700-000003000000}" name="Availability "/>
    <tableColumn id="4" xr3:uid="{56B313B3-8A2F-4C3B-8E61-4EB9229C4132}" name="Downtime (days)"/>
    <tableColumn id="5" xr3:uid="{393B8D49-D766-4413-BC8F-A9F5854A174D}" name="Cause of downtime "/>
    <tableColumn id="6" xr3:uid="{29E50DE0-04C6-4672-A810-5E08F39A4395}" name="Technical Events "/>
    <tableColumn id="7" xr3:uid="{7A229147-D5E3-44E7-BD9C-37FD19F6C444}" name="Energy Impact"/>
    <tableColumn id="8" xr3:uid="{90F918EA-BDAF-4B83-A251-43A179A62785}" name="Other Comments"/>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Performance_long" displayName="Performance_long" ref="A1:G2779" totalsRowShown="0">
  <autoFilter ref="A1:G2779" xr:uid="{00000000-0009-0000-0100-000007000000}"/>
  <sortState xmlns:xlrd2="http://schemas.microsoft.com/office/spreadsheetml/2017/richdata2" ref="A32:F2768">
    <sortCondition ref="A1:A2773"/>
  </sortState>
  <tableColumns count="7">
    <tableColumn id="1" xr3:uid="{00000000-0010-0000-0600-000001000000}" name="Site Name"/>
    <tableColumn id="2" xr3:uid="{00000000-0010-0000-0600-000002000000}" name="Date"/>
    <tableColumn id="3" xr3:uid="{00000000-0010-0000-0600-000003000000}" name="Measured (kWh)"/>
    <tableColumn id="4" xr3:uid="{00000000-0010-0000-0600-000004000000}" name="Expected (kWh)"/>
    <tableColumn id="5" xr3:uid="{00000000-0010-0000-0600-000005000000}" name="Performance"/>
    <tableColumn id="6" xr3:uid="{00000000-0010-0000-0600-000006000000}" name="PF Band"/>
    <tableColumn id="7" xr3:uid="{D13B0B49-7130-49DC-8E64-229A5D6D829A}" name="Discussio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 dockstate="right" visibility="0" width="438" row="6">
    <wetp:webextensionref xmlns:r="http://schemas.openxmlformats.org/officeDocument/2006/relationships" r:id="rId2"/>
  </wetp:taskpane>
</wetp:taskpanes>
</file>

<file path=xl/webextensions/webextension1.xml><?xml version="1.0" encoding="utf-8"?>
<we:webextension xmlns:we="http://schemas.microsoft.com/office/webextensions/webextension/2010/11" id="{FBC9AEFD-C863-4FA1-A2EF-139103AFBB03}">
  <we:reference id="WA200000095" version="2.1.1.0" store="Omex" storeType="OMEX"/>
  <we:alternateReferences>
    <we:reference id="WA200000095" version="2.1.1.0" store="WA200000095"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_xldudf_SCOTT_DESC</we:customFunctionIds>
        <we:customFunctionIds>_xldudf_SCOTT_GL</we:customFunctionIds>
        <we:customFunctionIds>_xldudf_SCOTT_NGL</we:customFunctionIds>
        <we:customFunctionIds>_xldudf_SCOTT_COMRANGE</we:customFunctionIds>
        <we:customFunctionIds>_xldudf_SCOTT_CHART</we:customFunctionIds>
        <we:customFunctionIds>_xldudf_SCOTT_LIST</we:customFunctionIds>
        <we:customFunctionIds>_xldudf_SCOTT_GLMULTI</we:customFunctionIds>
        <we:customFunctionIds>_xldudf_SCOTT_BUDGET</we:customFunctionIds>
        <we:customFunctionIds>_xldudf_SCOTT_BUDGETR</we:customFunctionIds>
        <we:customFunctionIds>_xldudf_SCOTT_BUDGETMULTI</we:customFunctionIds>
        <we:customFunctionIds>_xldudf_SCOTT_QUERY</we:customFunctionIds>
        <we:customFunctionIds>_xldudf_SCOTT_TRACK</we:customFunctionIds>
        <we:customFunctionIds>_xldudf_SCOTT_TRACKR</we:customFunctionIds>
        <we:customFunctionIds>_xldudf_SCOTT_TRACKM</we:customFunctionIds>
        <we:customFunctionIds>_xldudf_SCOTT_GLMULTITRACK</we:customFunctionIds>
        <we:customFunctionIds>_xldudf_SCOTT_XNI</we:customFunctionIds>
        <we:customFunctionIds>_xldudf_SCOTT_XINVOICE</we:customFunctionIds>
        <we:customFunctionIds>_xldudf_SCOTT_XINVOICE_HEADER</we:customFunctionIds>
        <we:customFunctionIds>_xldudf_SCOTT_XINVOICE_SUM</we:customFunctionIds>
        <we:customFunctionIds>_xldudf_SCOTT_XBILL</we:customFunctionIds>
        <we:customFunctionIds>_xldudf_SCOTT_XBILL_HEADER</we:customFunctionIds>
        <we:customFunctionIds>_xldudf_SCOTT_XBILL_SUM</we:customFunctionIds>
        <we:customFunctionIds>_xldudf_SCOTT_XPAYMENT</we:customFunctionIds>
        <we:customFunctionIds>_xldudf_SCOTT_XGLTRX</we:customFunctionIds>
        <we:customFunctionIds>_xldudf_SCOTT_QCLASS</we:customFunctionIds>
        <we:customFunctionIds>_xldudf_SCOTT_QCLASSR</we:customFunctionIds>
        <we:customFunctionIds>_xldudf_SCOTT_QDEPT</we:customFunctionIds>
        <we:customFunctionIds>_xldudf_SCOTT_QDEPTR</we:customFunctionIds>
        <we:customFunctionIds>_xldudf_SCOTT_QCLASS_DEPT</we:customFunctionIds>
        <we:customFunctionIds>_xldudf_SCOTT_QCUSTOMER</we:customFunctionIds>
        <we:customFunctionIds>_xldudf_SCOTT_QVENDOR</we:customFunctionIds>
        <we:customFunctionIds>_xldudf_SCOTT_QBUDGETALL</we:customFunctionIds>
        <we:customFunctionIds>_xldudf_SCOTT_QBUDGETALLR</we:customFunctionIds>
        <we:customFunctionIds>_xldudf_SCOTT_QBUDGETALLMULTI</we:customFunctionIds>
        <we:customFunctionIds>_xldudf_SCOTT_QALL</we:customFunctionIds>
        <we:customFunctionIds>_xldudf_SCOTT_QALLR</we:customFunctionIds>
        <we:customFunctionIds>_xldudf_SCOTT_QALLMULTI</we:customFunctionIds>
        <we:customFunctionIds>_xldudf_SCOTT_QNI</we:customFunctionIds>
      </we:customFunctionIdList>
    </a:ext>
  </we:extLst>
</we:webextension>
</file>

<file path=xl/webextensions/webextension2.xml><?xml version="1.0" encoding="utf-8"?>
<we:webextension xmlns:we="http://schemas.microsoft.com/office/webextensions/webextension/2010/11" id="{F0120BF1-C934-4248-B710-8219B3FAFD0D}">
  <we:reference id="wa200010725" version="1.0.0.1" store="en-US" storeType="OMEX"/>
  <we:alternateReferences>
    <we:reference id="WA200010725" version="1.0.0.1" store="WA200010725" storeType="OMEX"/>
  </we:alternateReferences>
  <we:properties>
    <we:property name="claude.fileId" value="&quot;af138e28-074d-4dd7-a68d-d5fed946a9d4&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28"/>
  <sheetViews>
    <sheetView zoomScale="98" zoomScaleNormal="98" workbookViewId="0">
      <pane xSplit="1" ySplit="1" topLeftCell="B70" activePane="bottomRight" state="frozen"/>
      <selection pane="topRight" activeCell="B1" sqref="B1"/>
      <selection pane="bottomLeft" activeCell="A2" sqref="A2"/>
      <selection pane="bottomRight" activeCell="A82" sqref="A82"/>
    </sheetView>
  </sheetViews>
  <sheetFormatPr defaultColWidth="8.6640625" defaultRowHeight="14.4" x14ac:dyDescent="0.3"/>
  <cols>
    <col min="1" max="1" width="28.5546875" customWidth="1"/>
    <col min="2" max="2" width="17.44140625" bestFit="1" customWidth="1"/>
    <col min="3" max="3" width="20.6640625" bestFit="1" customWidth="1"/>
    <col min="4" max="4" width="18.44140625" bestFit="1" customWidth="1"/>
    <col min="5" max="5" width="15.33203125" bestFit="1" customWidth="1"/>
    <col min="6" max="6" width="26.5546875" bestFit="1" customWidth="1"/>
    <col min="7" max="7" width="16" bestFit="1" customWidth="1"/>
    <col min="8" max="8" width="23.6640625" bestFit="1" customWidth="1"/>
    <col min="9" max="9" width="23.33203125" customWidth="1"/>
    <col min="10" max="10" width="13.109375" customWidth="1"/>
    <col min="11" max="11" width="73.6640625" customWidth="1"/>
    <col min="12" max="12" width="12.6640625" customWidth="1"/>
    <col min="13" max="14" width="15" customWidth="1"/>
    <col min="15" max="15" width="21.6640625" customWidth="1"/>
    <col min="16" max="16" width="15" customWidth="1"/>
    <col min="17" max="17" width="17.88671875" customWidth="1"/>
    <col min="18" max="18" width="16.44140625" customWidth="1"/>
    <col min="19" max="19" width="19.109375" style="17" customWidth="1"/>
    <col min="20" max="20" width="16" customWidth="1"/>
    <col min="21" max="21" width="22" customWidth="1"/>
    <col min="22" max="22" width="24.6640625" customWidth="1"/>
    <col min="23" max="23" width="13.44140625" customWidth="1"/>
    <col min="24" max="24" width="16.33203125" bestFit="1" customWidth="1"/>
    <col min="25" max="25" width="16.44140625" customWidth="1"/>
  </cols>
  <sheetData>
    <row r="1" spans="1:25" x14ac:dyDescent="0.3">
      <c r="A1" s="1" t="s">
        <v>0</v>
      </c>
      <c r="B1" s="1" t="s">
        <v>869</v>
      </c>
      <c r="C1" s="1" t="s">
        <v>1</v>
      </c>
      <c r="D1" s="1" t="s">
        <v>870</v>
      </c>
      <c r="E1" s="1" t="s">
        <v>2</v>
      </c>
      <c r="F1" s="1" t="s">
        <v>3</v>
      </c>
      <c r="G1" s="1" t="s">
        <v>4</v>
      </c>
      <c r="H1" s="1" t="s">
        <v>5</v>
      </c>
      <c r="I1" s="1" t="s">
        <v>6</v>
      </c>
      <c r="J1" s="1" t="s">
        <v>7</v>
      </c>
      <c r="K1" s="1" t="s">
        <v>8</v>
      </c>
      <c r="L1" s="1" t="s">
        <v>9</v>
      </c>
      <c r="M1" s="1" t="s">
        <v>10</v>
      </c>
      <c r="N1" s="1" t="s">
        <v>11</v>
      </c>
      <c r="O1" s="1" t="s">
        <v>12</v>
      </c>
      <c r="P1" s="1" t="s">
        <v>13</v>
      </c>
      <c r="Q1" s="1" t="s">
        <v>14</v>
      </c>
      <c r="R1" s="1" t="s">
        <v>15</v>
      </c>
      <c r="S1" s="16" t="s">
        <v>16</v>
      </c>
      <c r="T1" s="1" t="s">
        <v>17</v>
      </c>
      <c r="U1" s="1" t="s">
        <v>18</v>
      </c>
      <c r="V1" t="s">
        <v>873</v>
      </c>
      <c r="W1" t="s">
        <v>878</v>
      </c>
      <c r="X1" t="s">
        <v>999</v>
      </c>
      <c r="Y1" t="s">
        <v>1010</v>
      </c>
    </row>
    <row r="2" spans="1:25" ht="14.25" customHeight="1" x14ac:dyDescent="0.3">
      <c r="A2" s="11" t="s">
        <v>19</v>
      </c>
      <c r="B2" s="1">
        <v>40000</v>
      </c>
      <c r="C2" s="1"/>
      <c r="D2" s="1">
        <v>0</v>
      </c>
      <c r="E2" s="1" t="s">
        <v>20</v>
      </c>
      <c r="F2" s="1" t="s">
        <v>21</v>
      </c>
      <c r="G2" s="1" t="s">
        <v>22</v>
      </c>
      <c r="H2" s="1" t="s">
        <v>22</v>
      </c>
      <c r="I2" s="1" t="s">
        <v>23</v>
      </c>
      <c r="J2" s="1" t="s">
        <v>24</v>
      </c>
      <c r="K2" s="1" t="s">
        <v>25</v>
      </c>
      <c r="L2" s="1" t="s">
        <v>22</v>
      </c>
      <c r="M2" s="1" t="s">
        <v>26</v>
      </c>
      <c r="N2" s="1" t="s">
        <v>27</v>
      </c>
      <c r="O2" s="1" t="s">
        <v>28</v>
      </c>
      <c r="P2" s="1"/>
      <c r="Q2" s="1" t="s">
        <v>29</v>
      </c>
      <c r="R2" s="1" t="s">
        <v>30</v>
      </c>
      <c r="S2" s="18" t="s">
        <v>22</v>
      </c>
      <c r="T2" s="1" t="s">
        <v>42</v>
      </c>
      <c r="U2" s="1" t="s">
        <v>22</v>
      </c>
      <c r="V2" t="s">
        <v>874</v>
      </c>
      <c r="W2" s="20" t="str">
        <f t="shared" ref="W2:W65" ca="1" si="0">IF(ISNUMBER(S2),(TODAY()-S2)/365.25,"")</f>
        <v/>
      </c>
      <c r="X2" t="s">
        <v>1008</v>
      </c>
    </row>
    <row r="3" spans="1:25" ht="14.25" customHeight="1" x14ac:dyDescent="0.3">
      <c r="A3" s="1" t="s">
        <v>31</v>
      </c>
      <c r="B3" s="1">
        <v>14000</v>
      </c>
      <c r="C3" s="1">
        <v>36</v>
      </c>
      <c r="D3" s="1">
        <v>35808</v>
      </c>
      <c r="E3" s="1" t="s">
        <v>21</v>
      </c>
      <c r="F3" s="1" t="s">
        <v>32</v>
      </c>
      <c r="G3" s="1" t="s">
        <v>33</v>
      </c>
      <c r="H3" s="1" t="s">
        <v>33</v>
      </c>
      <c r="I3" s="1" t="s">
        <v>23</v>
      </c>
      <c r="J3" s="1" t="s">
        <v>34</v>
      </c>
      <c r="K3" s="1" t="s">
        <v>35</v>
      </c>
      <c r="L3" s="1" t="s">
        <v>36</v>
      </c>
      <c r="M3" s="1" t="s">
        <v>37</v>
      </c>
      <c r="N3" s="1" t="s">
        <v>38</v>
      </c>
      <c r="O3" s="1" t="s">
        <v>39</v>
      </c>
      <c r="P3" s="1"/>
      <c r="Q3" s="1" t="s">
        <v>40</v>
      </c>
      <c r="R3" s="1" t="s">
        <v>41</v>
      </c>
      <c r="S3" s="18">
        <v>45171</v>
      </c>
      <c r="T3" s="1" t="s">
        <v>42</v>
      </c>
      <c r="U3" s="1" t="s">
        <v>21</v>
      </c>
      <c r="V3" t="s">
        <v>874</v>
      </c>
      <c r="W3" s="20">
        <f t="shared" ca="1" si="0"/>
        <v>2.9596167008898013</v>
      </c>
      <c r="X3" t="s">
        <v>1000</v>
      </c>
    </row>
    <row r="4" spans="1:25" ht="14.25" customHeight="1" x14ac:dyDescent="0.3">
      <c r="A4" s="1" t="s">
        <v>43</v>
      </c>
      <c r="B4" s="1">
        <v>178000</v>
      </c>
      <c r="C4" s="1">
        <f>2*80</f>
        <v>160</v>
      </c>
      <c r="D4" s="1">
        <v>0</v>
      </c>
      <c r="E4" s="1" t="s">
        <v>36</v>
      </c>
      <c r="F4" s="1" t="s">
        <v>36</v>
      </c>
      <c r="G4" s="1" t="s">
        <v>33</v>
      </c>
      <c r="H4" s="1" t="s">
        <v>33</v>
      </c>
      <c r="I4" s="1" t="s">
        <v>23</v>
      </c>
      <c r="J4" s="1" t="s">
        <v>34</v>
      </c>
      <c r="K4" s="1" t="s">
        <v>44</v>
      </c>
      <c r="L4" s="1" t="s">
        <v>45</v>
      </c>
      <c r="M4" s="1" t="s">
        <v>26</v>
      </c>
      <c r="N4" s="1" t="s">
        <v>46</v>
      </c>
      <c r="O4" s="1" t="s">
        <v>243</v>
      </c>
      <c r="P4" s="1"/>
      <c r="Q4" s="1" t="s">
        <v>29</v>
      </c>
      <c r="R4" s="1" t="s">
        <v>47</v>
      </c>
      <c r="S4" s="18" t="s">
        <v>22</v>
      </c>
      <c r="T4" s="1" t="s">
        <v>42</v>
      </c>
      <c r="U4" s="1" t="s">
        <v>48</v>
      </c>
      <c r="V4" t="s">
        <v>874</v>
      </c>
      <c r="W4" s="20" t="str">
        <f t="shared" ca="1" si="0"/>
        <v/>
      </c>
      <c r="X4" t="s">
        <v>1009</v>
      </c>
    </row>
    <row r="5" spans="1:25" ht="14.25" customHeight="1" x14ac:dyDescent="0.3">
      <c r="A5" s="1" t="s">
        <v>49</v>
      </c>
      <c r="B5" s="1">
        <v>36000</v>
      </c>
      <c r="C5" s="1">
        <f>1*33</f>
        <v>33</v>
      </c>
      <c r="D5" s="1">
        <v>0</v>
      </c>
      <c r="E5" s="1" t="s">
        <v>36</v>
      </c>
      <c r="F5" s="1" t="s">
        <v>36</v>
      </c>
      <c r="G5" s="1" t="s">
        <v>33</v>
      </c>
      <c r="H5" s="1" t="s">
        <v>33</v>
      </c>
      <c r="I5" s="1" t="s">
        <v>23</v>
      </c>
      <c r="J5" s="1" t="s">
        <v>50</v>
      </c>
      <c r="K5" s="1" t="s">
        <v>51</v>
      </c>
      <c r="L5" s="1" t="s">
        <v>52</v>
      </c>
      <c r="M5" s="1" t="s">
        <v>26</v>
      </c>
      <c r="N5" s="1" t="s">
        <v>38</v>
      </c>
      <c r="O5" s="1" t="s">
        <v>39</v>
      </c>
      <c r="P5" s="1"/>
      <c r="Q5" s="1" t="s">
        <v>53</v>
      </c>
      <c r="R5" s="1" t="s">
        <v>22</v>
      </c>
      <c r="S5" s="18">
        <v>45658</v>
      </c>
      <c r="T5" s="1" t="s">
        <v>42</v>
      </c>
      <c r="U5" s="1" t="s">
        <v>54</v>
      </c>
      <c r="V5" t="s">
        <v>875</v>
      </c>
      <c r="W5" s="20">
        <f ca="1">IF(ISNUMBER(S5),(TODAY()-S5)/365.25,"")</f>
        <v>1.6262833675564681</v>
      </c>
      <c r="X5" t="s">
        <v>1000</v>
      </c>
    </row>
    <row r="6" spans="1:25" ht="14.25" customHeight="1" x14ac:dyDescent="0.3">
      <c r="A6" s="1" t="s">
        <v>55</v>
      </c>
      <c r="B6" s="1">
        <v>110000</v>
      </c>
      <c r="C6" s="1">
        <f>1*110</f>
        <v>110</v>
      </c>
      <c r="D6" s="1">
        <v>0</v>
      </c>
      <c r="E6" s="1" t="s">
        <v>36</v>
      </c>
      <c r="F6" s="1" t="s">
        <v>36</v>
      </c>
      <c r="G6" s="1" t="s">
        <v>36</v>
      </c>
      <c r="H6" s="1" t="s">
        <v>36</v>
      </c>
      <c r="I6" s="1" t="s">
        <v>23</v>
      </c>
      <c r="J6" s="1" t="s">
        <v>56</v>
      </c>
      <c r="K6" s="1" t="s">
        <v>57</v>
      </c>
      <c r="L6" s="1" t="s">
        <v>22</v>
      </c>
      <c r="M6" s="1" t="s">
        <v>26</v>
      </c>
      <c r="N6" s="1" t="s">
        <v>58</v>
      </c>
      <c r="O6" s="1" t="s">
        <v>39</v>
      </c>
      <c r="P6" s="1"/>
      <c r="Q6" s="1" t="s">
        <v>40</v>
      </c>
      <c r="R6" s="1" t="s">
        <v>59</v>
      </c>
      <c r="S6" s="18" t="s">
        <v>22</v>
      </c>
      <c r="T6" s="1" t="s">
        <v>42</v>
      </c>
      <c r="U6" s="1" t="s">
        <v>22</v>
      </c>
      <c r="V6" t="s">
        <v>874</v>
      </c>
      <c r="W6" s="20" t="str">
        <f t="shared" ca="1" si="0"/>
        <v/>
      </c>
      <c r="X6" t="s">
        <v>1000</v>
      </c>
    </row>
    <row r="7" spans="1:25" ht="14.25" customHeight="1" x14ac:dyDescent="0.3">
      <c r="A7" s="1" t="s">
        <v>60</v>
      </c>
      <c r="B7" s="1">
        <v>400000</v>
      </c>
      <c r="C7" s="1" t="s">
        <v>22</v>
      </c>
      <c r="D7" s="1">
        <v>0</v>
      </c>
      <c r="E7" s="1" t="s">
        <v>36</v>
      </c>
      <c r="F7" s="1" t="s">
        <v>36</v>
      </c>
      <c r="G7" s="1" t="s">
        <v>22</v>
      </c>
      <c r="H7" s="1" t="s">
        <v>22</v>
      </c>
      <c r="I7" s="1" t="s">
        <v>23</v>
      </c>
      <c r="J7" s="1" t="s">
        <v>56</v>
      </c>
      <c r="K7" s="1" t="s">
        <v>22</v>
      </c>
      <c r="L7" s="1" t="s">
        <v>22</v>
      </c>
      <c r="M7" s="1" t="s">
        <v>26</v>
      </c>
      <c r="N7" s="1" t="s">
        <v>58</v>
      </c>
      <c r="O7" s="1" t="s">
        <v>243</v>
      </c>
      <c r="P7" s="1"/>
      <c r="Q7" s="1" t="s">
        <v>40</v>
      </c>
      <c r="R7" s="1" t="s">
        <v>22</v>
      </c>
      <c r="S7" s="18" t="s">
        <v>22</v>
      </c>
      <c r="T7" s="1" t="s">
        <v>42</v>
      </c>
      <c r="U7" s="1" t="s">
        <v>22</v>
      </c>
      <c r="V7" t="s">
        <v>874</v>
      </c>
      <c r="W7" s="20" t="str">
        <f t="shared" ca="1" si="0"/>
        <v/>
      </c>
      <c r="X7" t="s">
        <v>1000</v>
      </c>
    </row>
    <row r="8" spans="1:25" ht="14.25" customHeight="1" x14ac:dyDescent="0.3">
      <c r="A8" s="1" t="s">
        <v>61</v>
      </c>
      <c r="B8" s="1">
        <v>78000</v>
      </c>
      <c r="C8" s="1" t="s">
        <v>22</v>
      </c>
      <c r="D8" s="1">
        <v>0</v>
      </c>
      <c r="E8" s="1" t="s">
        <v>36</v>
      </c>
      <c r="F8" s="1" t="s">
        <v>36</v>
      </c>
      <c r="G8" s="1" t="s">
        <v>22</v>
      </c>
      <c r="H8" s="1" t="s">
        <v>22</v>
      </c>
      <c r="I8" s="1" t="s">
        <v>23</v>
      </c>
      <c r="J8" s="1" t="s">
        <v>62</v>
      </c>
      <c r="K8" s="1" t="s">
        <v>63</v>
      </c>
      <c r="L8" s="1" t="s">
        <v>22</v>
      </c>
      <c r="M8" s="1" t="s">
        <v>26</v>
      </c>
      <c r="N8" s="1" t="s">
        <v>46</v>
      </c>
      <c r="O8" s="1" t="s">
        <v>39</v>
      </c>
      <c r="P8" s="1"/>
      <c r="Q8" s="1" t="s">
        <v>29</v>
      </c>
      <c r="R8" s="1" t="s">
        <v>22</v>
      </c>
      <c r="S8" s="18" t="s">
        <v>22</v>
      </c>
      <c r="T8" s="1" t="s">
        <v>871</v>
      </c>
      <c r="U8" s="1" t="s">
        <v>22</v>
      </c>
      <c r="V8" t="s">
        <v>874</v>
      </c>
      <c r="W8" s="20" t="str">
        <f t="shared" ca="1" si="0"/>
        <v/>
      </c>
      <c r="X8" t="s">
        <v>1000</v>
      </c>
    </row>
    <row r="9" spans="1:25" ht="14.25" customHeight="1" x14ac:dyDescent="0.3">
      <c r="A9" s="1" t="s">
        <v>64</v>
      </c>
      <c r="B9" s="1">
        <v>544000</v>
      </c>
      <c r="C9" s="1">
        <v>50</v>
      </c>
      <c r="D9" s="1">
        <v>0</v>
      </c>
      <c r="E9" s="1" t="s">
        <v>36</v>
      </c>
      <c r="F9" s="1" t="s">
        <v>36</v>
      </c>
      <c r="G9" s="1" t="s">
        <v>36</v>
      </c>
      <c r="H9" s="1" t="s">
        <v>36</v>
      </c>
      <c r="I9" s="1" t="s">
        <v>23</v>
      </c>
      <c r="J9" s="1" t="s">
        <v>24</v>
      </c>
      <c r="K9" s="1" t="s">
        <v>65</v>
      </c>
      <c r="L9" s="1" t="s">
        <v>52</v>
      </c>
      <c r="M9" s="1" t="s">
        <v>37</v>
      </c>
      <c r="N9" s="1" t="s">
        <v>58</v>
      </c>
      <c r="O9" s="1" t="s">
        <v>39</v>
      </c>
      <c r="P9" s="1"/>
      <c r="Q9" s="1" t="s">
        <v>29</v>
      </c>
      <c r="R9" s="1" t="s">
        <v>22</v>
      </c>
      <c r="S9" s="18"/>
      <c r="T9" s="1" t="s">
        <v>42</v>
      </c>
      <c r="U9" s="1" t="s">
        <v>22</v>
      </c>
      <c r="V9" t="s">
        <v>874</v>
      </c>
      <c r="W9" s="20" t="str">
        <f t="shared" ca="1" si="0"/>
        <v/>
      </c>
      <c r="X9" t="s">
        <v>1000</v>
      </c>
    </row>
    <row r="10" spans="1:25" ht="14.25" customHeight="1" x14ac:dyDescent="0.3">
      <c r="A10" s="1" t="s">
        <v>66</v>
      </c>
      <c r="B10" s="1">
        <v>15000</v>
      </c>
      <c r="C10" s="1" t="s">
        <v>36</v>
      </c>
      <c r="D10" s="13"/>
      <c r="E10" s="1" t="s">
        <v>22</v>
      </c>
      <c r="F10" s="1" t="s">
        <v>67</v>
      </c>
      <c r="G10" s="1" t="s">
        <v>36</v>
      </c>
      <c r="H10" s="1" t="s">
        <v>36</v>
      </c>
      <c r="I10" s="1" t="s">
        <v>23</v>
      </c>
      <c r="J10" s="1" t="s">
        <v>68</v>
      </c>
      <c r="K10" s="1" t="s">
        <v>69</v>
      </c>
      <c r="L10" s="1" t="s">
        <v>22</v>
      </c>
      <c r="M10" s="1" t="s">
        <v>37</v>
      </c>
      <c r="N10" s="1" t="s">
        <v>38</v>
      </c>
      <c r="O10" s="1" t="s">
        <v>39</v>
      </c>
      <c r="P10" s="1"/>
      <c r="Q10" s="1" t="s">
        <v>29</v>
      </c>
      <c r="R10" s="1" t="s">
        <v>70</v>
      </c>
      <c r="S10" s="18">
        <v>45448</v>
      </c>
      <c r="T10" s="1" t="s">
        <v>42</v>
      </c>
      <c r="U10" s="1" t="s">
        <v>21</v>
      </c>
      <c r="V10" t="s">
        <v>874</v>
      </c>
      <c r="W10" s="20">
        <f t="shared" ca="1" si="0"/>
        <v>2.2012320328542097</v>
      </c>
      <c r="X10" t="s">
        <v>1000</v>
      </c>
    </row>
    <row r="11" spans="1:25" ht="14.25" customHeight="1" x14ac:dyDescent="0.3">
      <c r="A11" s="1" t="s">
        <v>71</v>
      </c>
      <c r="B11" s="1">
        <v>154000</v>
      </c>
      <c r="C11" s="1">
        <v>125</v>
      </c>
      <c r="D11" s="1">
        <v>0</v>
      </c>
      <c r="E11" s="1" t="s">
        <v>36</v>
      </c>
      <c r="F11" s="1" t="s">
        <v>36</v>
      </c>
      <c r="G11" s="1" t="s">
        <v>36</v>
      </c>
      <c r="H11" s="1" t="s">
        <v>72</v>
      </c>
      <c r="I11" s="1" t="s">
        <v>23</v>
      </c>
      <c r="J11" s="1" t="s">
        <v>73</v>
      </c>
      <c r="K11" s="1" t="s">
        <v>74</v>
      </c>
      <c r="L11" s="1"/>
      <c r="M11" s="1" t="s">
        <v>26</v>
      </c>
      <c r="N11" s="1" t="s">
        <v>58</v>
      </c>
      <c r="O11" s="1" t="s">
        <v>243</v>
      </c>
      <c r="P11" s="1"/>
      <c r="Q11" s="1" t="s">
        <v>53</v>
      </c>
      <c r="R11" s="1" t="s">
        <v>75</v>
      </c>
      <c r="S11" s="18" t="s">
        <v>22</v>
      </c>
      <c r="T11" s="1" t="s">
        <v>42</v>
      </c>
      <c r="U11" s="1" t="s">
        <v>76</v>
      </c>
      <c r="V11" t="s">
        <v>874</v>
      </c>
      <c r="W11" s="20" t="str">
        <f t="shared" ca="1" si="0"/>
        <v/>
      </c>
      <c r="X11" t="s">
        <v>1000</v>
      </c>
    </row>
    <row r="12" spans="1:25" ht="14.25" customHeight="1" x14ac:dyDescent="0.3">
      <c r="A12" s="1" t="s">
        <v>77</v>
      </c>
      <c r="B12" s="1">
        <v>152000</v>
      </c>
      <c r="C12" s="1">
        <v>125</v>
      </c>
      <c r="D12" s="1">
        <v>0</v>
      </c>
      <c r="E12" s="1" t="s">
        <v>36</v>
      </c>
      <c r="F12" s="1" t="s">
        <v>36</v>
      </c>
      <c r="G12" s="1">
        <v>500</v>
      </c>
      <c r="H12" s="1" t="s">
        <v>78</v>
      </c>
      <c r="I12" s="1" t="s">
        <v>23</v>
      </c>
      <c r="J12" s="1" t="s">
        <v>34</v>
      </c>
      <c r="K12" s="1" t="s">
        <v>79</v>
      </c>
      <c r="L12" s="1" t="s">
        <v>52</v>
      </c>
      <c r="M12" s="1" t="s">
        <v>26</v>
      </c>
      <c r="N12" s="1" t="s">
        <v>58</v>
      </c>
      <c r="O12" s="1" t="s">
        <v>243</v>
      </c>
      <c r="P12" s="1"/>
      <c r="Q12" s="1" t="s">
        <v>53</v>
      </c>
      <c r="R12" s="1" t="s">
        <v>22</v>
      </c>
      <c r="S12" s="18">
        <v>45841</v>
      </c>
      <c r="T12" s="1" t="s">
        <v>42</v>
      </c>
      <c r="U12" s="1" t="s">
        <v>54</v>
      </c>
      <c r="V12" t="s">
        <v>874</v>
      </c>
      <c r="W12" s="20">
        <f t="shared" ca="1" si="0"/>
        <v>1.1252566735112937</v>
      </c>
      <c r="X12" t="s">
        <v>1000</v>
      </c>
    </row>
    <row r="13" spans="1:25" ht="14.25" customHeight="1" x14ac:dyDescent="0.3">
      <c r="A13" s="1" t="s">
        <v>80</v>
      </c>
      <c r="B13" s="1">
        <v>142000</v>
      </c>
      <c r="C13" s="1">
        <v>125</v>
      </c>
      <c r="D13" s="1">
        <v>0</v>
      </c>
      <c r="E13" s="1" t="s">
        <v>36</v>
      </c>
      <c r="F13" s="1" t="s">
        <v>36</v>
      </c>
      <c r="G13" s="1" t="s">
        <v>36</v>
      </c>
      <c r="H13" s="1" t="s">
        <v>36</v>
      </c>
      <c r="I13" s="1" t="s">
        <v>23</v>
      </c>
      <c r="J13" s="1" t="s">
        <v>34</v>
      </c>
      <c r="K13" s="1" t="s">
        <v>79</v>
      </c>
      <c r="L13" s="1" t="s">
        <v>52</v>
      </c>
      <c r="M13" s="1" t="s">
        <v>26</v>
      </c>
      <c r="N13" s="1" t="s">
        <v>58</v>
      </c>
      <c r="O13" s="1" t="s">
        <v>243</v>
      </c>
      <c r="P13" s="1"/>
      <c r="Q13" s="1" t="s">
        <v>53</v>
      </c>
      <c r="R13" s="1" t="s">
        <v>22</v>
      </c>
      <c r="S13" s="18">
        <v>46206</v>
      </c>
      <c r="T13" s="1" t="s">
        <v>42</v>
      </c>
      <c r="U13" s="1" t="s">
        <v>54</v>
      </c>
      <c r="V13" t="s">
        <v>874</v>
      </c>
      <c r="W13" s="20">
        <f t="shared" ca="1" si="0"/>
        <v>0.12594113620807665</v>
      </c>
      <c r="X13" t="s">
        <v>1000</v>
      </c>
    </row>
    <row r="14" spans="1:25" ht="14.25" customHeight="1" x14ac:dyDescent="0.3">
      <c r="A14" s="1" t="s">
        <v>81</v>
      </c>
      <c r="B14" s="1">
        <v>70000</v>
      </c>
      <c r="C14" s="1">
        <f>2*33</f>
        <v>66</v>
      </c>
      <c r="D14" s="1">
        <v>0</v>
      </c>
      <c r="E14" s="1" t="s">
        <v>36</v>
      </c>
      <c r="F14" s="1" t="s">
        <v>36</v>
      </c>
      <c r="G14" s="1" t="s">
        <v>36</v>
      </c>
      <c r="H14" s="1" t="s">
        <v>36</v>
      </c>
      <c r="I14" s="1" t="s">
        <v>23</v>
      </c>
      <c r="J14" s="1" t="s">
        <v>34</v>
      </c>
      <c r="K14" s="1" t="s">
        <v>82</v>
      </c>
      <c r="L14" s="1" t="s">
        <v>22</v>
      </c>
      <c r="M14" s="1" t="s">
        <v>26</v>
      </c>
      <c r="N14" s="1" t="s">
        <v>58</v>
      </c>
      <c r="O14" s="1" t="s">
        <v>243</v>
      </c>
      <c r="P14" s="1"/>
      <c r="Q14" s="1" t="s">
        <v>53</v>
      </c>
      <c r="R14" s="1" t="s">
        <v>83</v>
      </c>
      <c r="S14" s="18">
        <v>45318</v>
      </c>
      <c r="T14" s="1" t="s">
        <v>42</v>
      </c>
      <c r="U14" s="1" t="s">
        <v>84</v>
      </c>
      <c r="V14" t="s">
        <v>875</v>
      </c>
      <c r="W14" s="20">
        <f t="shared" ca="1" si="0"/>
        <v>2.5571526351813825</v>
      </c>
      <c r="X14" t="s">
        <v>1000</v>
      </c>
    </row>
    <row r="15" spans="1:25" ht="14.25" customHeight="1" x14ac:dyDescent="0.3">
      <c r="A15" s="1" t="s">
        <v>85</v>
      </c>
      <c r="B15" s="1">
        <v>60000</v>
      </c>
      <c r="C15" s="1" t="s">
        <v>36</v>
      </c>
      <c r="D15" s="1">
        <v>84000</v>
      </c>
      <c r="E15" s="1" t="s">
        <v>36</v>
      </c>
      <c r="F15" s="1" t="s">
        <v>86</v>
      </c>
      <c r="G15" s="1" t="s">
        <v>36</v>
      </c>
      <c r="H15" s="1" t="s">
        <v>22</v>
      </c>
      <c r="I15" s="1" t="s">
        <v>23</v>
      </c>
      <c r="J15" s="1" t="s">
        <v>34</v>
      </c>
      <c r="K15" s="1" t="s">
        <v>87</v>
      </c>
      <c r="L15" s="1" t="s">
        <v>36</v>
      </c>
      <c r="M15" s="1" t="s">
        <v>26</v>
      </c>
      <c r="N15" s="1" t="s">
        <v>38</v>
      </c>
      <c r="O15" t="s">
        <v>39</v>
      </c>
      <c r="P15" s="1"/>
      <c r="Q15" s="1" t="s">
        <v>40</v>
      </c>
      <c r="R15" s="1" t="s">
        <v>88</v>
      </c>
      <c r="S15" s="18" t="s">
        <v>22</v>
      </c>
      <c r="T15" s="1" t="s">
        <v>42</v>
      </c>
      <c r="U15" s="1" t="s">
        <v>89</v>
      </c>
      <c r="V15" t="s">
        <v>874</v>
      </c>
      <c r="W15" s="20" t="str">
        <f t="shared" ca="1" si="0"/>
        <v/>
      </c>
      <c r="X15" t="s">
        <v>1000</v>
      </c>
    </row>
    <row r="16" spans="1:25" ht="14.25" customHeight="1" x14ac:dyDescent="0.3">
      <c r="A16" s="1" t="s">
        <v>90</v>
      </c>
      <c r="B16" s="1">
        <v>41000</v>
      </c>
      <c r="C16" s="1">
        <v>36</v>
      </c>
      <c r="D16" s="1">
        <v>0</v>
      </c>
      <c r="E16" s="1" t="s">
        <v>36</v>
      </c>
      <c r="F16" s="1" t="s">
        <v>36</v>
      </c>
      <c r="G16" s="1" t="s">
        <v>36</v>
      </c>
      <c r="H16" s="1" t="s">
        <v>36</v>
      </c>
      <c r="I16" s="1" t="s">
        <v>23</v>
      </c>
      <c r="J16" s="1" t="s">
        <v>50</v>
      </c>
      <c r="K16" s="1" t="s">
        <v>91</v>
      </c>
      <c r="L16" s="1" t="s">
        <v>36</v>
      </c>
      <c r="M16" s="1" t="s">
        <v>26</v>
      </c>
      <c r="N16" s="1" t="s">
        <v>27</v>
      </c>
      <c r="O16" t="s">
        <v>39</v>
      </c>
      <c r="P16" s="1"/>
      <c r="Q16" s="1" t="s">
        <v>40</v>
      </c>
      <c r="R16" s="1" t="s">
        <v>92</v>
      </c>
      <c r="S16" s="18"/>
      <c r="T16" s="1" t="s">
        <v>42</v>
      </c>
      <c r="U16" s="1" t="s">
        <v>84</v>
      </c>
      <c r="V16" t="s">
        <v>874</v>
      </c>
      <c r="W16" s="20" t="str">
        <f t="shared" ca="1" si="0"/>
        <v/>
      </c>
      <c r="X16" t="s">
        <v>1000</v>
      </c>
    </row>
    <row r="17" spans="1:24" ht="14.25" customHeight="1" x14ac:dyDescent="0.3">
      <c r="A17" s="1" t="s">
        <v>93</v>
      </c>
      <c r="B17" s="1">
        <v>65000</v>
      </c>
      <c r="C17" s="1" t="s">
        <v>22</v>
      </c>
      <c r="D17" s="1">
        <v>0</v>
      </c>
      <c r="E17" s="1" t="s">
        <v>36</v>
      </c>
      <c r="F17" s="1" t="s">
        <v>36</v>
      </c>
      <c r="G17" s="1" t="s">
        <v>36</v>
      </c>
      <c r="H17" s="1" t="s">
        <v>22</v>
      </c>
      <c r="I17" s="1" t="s">
        <v>23</v>
      </c>
      <c r="J17" s="1" t="s">
        <v>62</v>
      </c>
      <c r="K17" s="1" t="s">
        <v>22</v>
      </c>
      <c r="L17" s="1" t="s">
        <v>22</v>
      </c>
      <c r="M17" s="1" t="s">
        <v>26</v>
      </c>
      <c r="N17" s="1" t="s">
        <v>94</v>
      </c>
      <c r="O17" s="1" t="s">
        <v>39</v>
      </c>
      <c r="P17" s="1"/>
      <c r="Q17" s="1" t="s">
        <v>53</v>
      </c>
      <c r="R17" s="1" t="s">
        <v>22</v>
      </c>
      <c r="S17" s="18" t="s">
        <v>22</v>
      </c>
      <c r="T17" s="1" t="s">
        <v>871</v>
      </c>
      <c r="U17" s="1" t="s">
        <v>22</v>
      </c>
      <c r="V17" t="s">
        <v>874</v>
      </c>
      <c r="W17" s="20" t="str">
        <f t="shared" ca="1" si="0"/>
        <v/>
      </c>
      <c r="X17" t="s">
        <v>1000</v>
      </c>
    </row>
    <row r="18" spans="1:24" ht="14.25" customHeight="1" x14ac:dyDescent="0.3">
      <c r="A18" s="1" t="s">
        <v>95</v>
      </c>
      <c r="B18" s="1">
        <v>235000</v>
      </c>
      <c r="C18" s="1">
        <f>2*110</f>
        <v>220</v>
      </c>
      <c r="D18" s="1">
        <v>0</v>
      </c>
      <c r="E18" s="1" t="s">
        <v>36</v>
      </c>
      <c r="F18" s="1" t="s">
        <v>36</v>
      </c>
      <c r="G18" s="1" t="s">
        <v>36</v>
      </c>
      <c r="H18" s="1" t="s">
        <v>36</v>
      </c>
      <c r="I18" s="1" t="s">
        <v>23</v>
      </c>
      <c r="J18" s="1" t="s">
        <v>34</v>
      </c>
      <c r="K18" s="1" t="s">
        <v>96</v>
      </c>
      <c r="L18" s="1" t="s">
        <v>45</v>
      </c>
      <c r="M18" s="1" t="s">
        <v>26</v>
      </c>
      <c r="N18" s="1" t="s">
        <v>46</v>
      </c>
      <c r="O18" s="1" t="s">
        <v>39</v>
      </c>
      <c r="P18" s="1"/>
      <c r="Q18" s="1" t="s">
        <v>53</v>
      </c>
      <c r="R18" s="1" t="s">
        <v>97</v>
      </c>
      <c r="S18" s="18">
        <v>45047</v>
      </c>
      <c r="T18" s="1" t="s">
        <v>42</v>
      </c>
      <c r="U18" s="1" t="s">
        <v>84</v>
      </c>
      <c r="V18" t="s">
        <v>875</v>
      </c>
      <c r="W18" s="20">
        <f t="shared" ca="1" si="0"/>
        <v>3.2991101984941822</v>
      </c>
      <c r="X18" t="s">
        <v>1000</v>
      </c>
    </row>
    <row r="19" spans="1:24" ht="14.25" customHeight="1" x14ac:dyDescent="0.3">
      <c r="A19" s="1" t="s">
        <v>98</v>
      </c>
      <c r="B19" s="1">
        <v>180000</v>
      </c>
      <c r="C19" s="1">
        <v>160</v>
      </c>
      <c r="D19" s="1">
        <v>0</v>
      </c>
      <c r="E19" s="1" t="s">
        <v>36</v>
      </c>
      <c r="F19" s="1" t="s">
        <v>36</v>
      </c>
      <c r="G19" s="1" t="s">
        <v>36</v>
      </c>
      <c r="H19" s="1" t="s">
        <v>36</v>
      </c>
      <c r="I19" s="1" t="s">
        <v>23</v>
      </c>
      <c r="J19" s="1" t="s">
        <v>50</v>
      </c>
      <c r="K19" s="1" t="s">
        <v>99</v>
      </c>
      <c r="L19" s="1" t="s">
        <v>45</v>
      </c>
      <c r="M19" s="1" t="s">
        <v>26</v>
      </c>
      <c r="N19" s="1" t="s">
        <v>46</v>
      </c>
      <c r="O19" s="1" t="s">
        <v>39</v>
      </c>
      <c r="P19" s="1"/>
      <c r="Q19" s="1" t="s">
        <v>29</v>
      </c>
      <c r="R19" s="1" t="s">
        <v>100</v>
      </c>
      <c r="S19" s="18" t="s">
        <v>22</v>
      </c>
      <c r="T19" s="1" t="s">
        <v>42</v>
      </c>
      <c r="U19" s="1" t="s">
        <v>101</v>
      </c>
      <c r="V19" t="s">
        <v>874</v>
      </c>
      <c r="W19" s="20" t="str">
        <f t="shared" ca="1" si="0"/>
        <v/>
      </c>
      <c r="X19" t="s">
        <v>1000</v>
      </c>
    </row>
    <row r="20" spans="1:24" ht="14.25" customHeight="1" x14ac:dyDescent="0.3">
      <c r="A20" s="1" t="s">
        <v>102</v>
      </c>
      <c r="B20" s="1">
        <v>106000</v>
      </c>
      <c r="C20" s="1" t="s">
        <v>22</v>
      </c>
      <c r="D20" s="1">
        <v>0</v>
      </c>
      <c r="E20" s="1" t="s">
        <v>36</v>
      </c>
      <c r="F20" s="1" t="s">
        <v>36</v>
      </c>
      <c r="G20" s="1" t="s">
        <v>36</v>
      </c>
      <c r="H20" s="1" t="s">
        <v>22</v>
      </c>
      <c r="I20" s="1" t="s">
        <v>23</v>
      </c>
      <c r="J20" s="1" t="s">
        <v>50</v>
      </c>
      <c r="K20" s="1" t="s">
        <v>99</v>
      </c>
      <c r="L20" s="1" t="s">
        <v>45</v>
      </c>
      <c r="M20" s="1" t="s">
        <v>26</v>
      </c>
      <c r="N20" s="1" t="s">
        <v>27</v>
      </c>
      <c r="O20" s="1" t="s">
        <v>39</v>
      </c>
      <c r="P20" s="1"/>
      <c r="Q20" s="1" t="s">
        <v>29</v>
      </c>
      <c r="R20" s="1" t="s">
        <v>22</v>
      </c>
      <c r="S20" s="18" t="s">
        <v>22</v>
      </c>
      <c r="T20" s="1" t="s">
        <v>42</v>
      </c>
      <c r="U20" s="1" t="s">
        <v>103</v>
      </c>
      <c r="V20" t="s">
        <v>874</v>
      </c>
      <c r="W20" s="20" t="str">
        <f t="shared" ca="1" si="0"/>
        <v/>
      </c>
      <c r="X20" t="s">
        <v>1000</v>
      </c>
    </row>
    <row r="21" spans="1:24" ht="14.25" customHeight="1" x14ac:dyDescent="0.3">
      <c r="A21" s="1" t="s">
        <v>104</v>
      </c>
      <c r="B21" s="1">
        <v>30000</v>
      </c>
      <c r="C21" s="1">
        <v>33</v>
      </c>
      <c r="D21" s="1">
        <v>0</v>
      </c>
      <c r="E21" s="1" t="s">
        <v>36</v>
      </c>
      <c r="F21" s="1" t="s">
        <v>36</v>
      </c>
      <c r="G21" s="1" t="s">
        <v>36</v>
      </c>
      <c r="H21" s="1" t="s">
        <v>36</v>
      </c>
      <c r="I21" s="1" t="s">
        <v>23</v>
      </c>
      <c r="J21" s="1" t="s">
        <v>68</v>
      </c>
      <c r="K21" s="1" t="s">
        <v>105</v>
      </c>
      <c r="L21" s="1" t="s">
        <v>22</v>
      </c>
      <c r="M21" s="1" t="s">
        <v>26</v>
      </c>
      <c r="N21" s="1" t="s">
        <v>38</v>
      </c>
      <c r="O21" s="1" t="s">
        <v>39</v>
      </c>
      <c r="P21" s="1"/>
      <c r="Q21" s="1" t="s">
        <v>29</v>
      </c>
      <c r="R21" s="1" t="s">
        <v>106</v>
      </c>
      <c r="S21" s="18">
        <v>45072</v>
      </c>
      <c r="T21" s="1" t="s">
        <v>42</v>
      </c>
      <c r="U21" s="1" t="s">
        <v>84</v>
      </c>
      <c r="V21" t="s">
        <v>875</v>
      </c>
      <c r="W21" s="20">
        <f t="shared" ca="1" si="0"/>
        <v>3.2306639288158796</v>
      </c>
      <c r="X21" t="s">
        <v>1000</v>
      </c>
    </row>
    <row r="22" spans="1:24" ht="14.25" customHeight="1" x14ac:dyDescent="0.3">
      <c r="A22" s="1" t="s">
        <v>107</v>
      </c>
      <c r="B22" s="1">
        <v>30000</v>
      </c>
      <c r="C22" s="1">
        <v>33</v>
      </c>
      <c r="D22" s="1">
        <v>0</v>
      </c>
      <c r="E22" s="1" t="s">
        <v>36</v>
      </c>
      <c r="F22" s="1" t="s">
        <v>36</v>
      </c>
      <c r="G22" s="1" t="s">
        <v>36</v>
      </c>
      <c r="H22" s="1" t="s">
        <v>36</v>
      </c>
      <c r="I22" s="1" t="s">
        <v>23</v>
      </c>
      <c r="J22" s="1" t="s">
        <v>68</v>
      </c>
      <c r="K22" s="1" t="s">
        <v>105</v>
      </c>
      <c r="L22" s="1" t="s">
        <v>22</v>
      </c>
      <c r="M22" s="1" t="s">
        <v>26</v>
      </c>
      <c r="N22" s="1" t="s">
        <v>58</v>
      </c>
      <c r="O22" s="1" t="s">
        <v>243</v>
      </c>
      <c r="P22" s="1"/>
      <c r="Q22" s="1" t="s">
        <v>29</v>
      </c>
      <c r="R22" s="1" t="s">
        <v>108</v>
      </c>
      <c r="S22" s="18">
        <v>45072</v>
      </c>
      <c r="T22" s="1" t="s">
        <v>42</v>
      </c>
      <c r="U22" s="1" t="s">
        <v>84</v>
      </c>
      <c r="V22" t="s">
        <v>875</v>
      </c>
      <c r="W22" s="20">
        <f t="shared" ca="1" si="0"/>
        <v>3.2306639288158796</v>
      </c>
      <c r="X22" t="s">
        <v>1000</v>
      </c>
    </row>
    <row r="23" spans="1:24" ht="14.25" customHeight="1" x14ac:dyDescent="0.3">
      <c r="A23" s="1" t="s">
        <v>109</v>
      </c>
      <c r="B23" s="1">
        <v>24000</v>
      </c>
      <c r="C23" s="1" t="s">
        <v>36</v>
      </c>
      <c r="D23" s="1">
        <v>127400</v>
      </c>
      <c r="E23" s="1" t="s">
        <v>36</v>
      </c>
      <c r="F23" s="1" t="s">
        <v>110</v>
      </c>
      <c r="G23" s="1" t="s">
        <v>36</v>
      </c>
      <c r="H23" s="1" t="s">
        <v>36</v>
      </c>
      <c r="I23" s="1" t="s">
        <v>23</v>
      </c>
      <c r="J23" s="1" t="s">
        <v>68</v>
      </c>
      <c r="K23" s="1" t="s">
        <v>111</v>
      </c>
      <c r="L23" s="1" t="s">
        <v>22</v>
      </c>
      <c r="M23" s="1" t="s">
        <v>37</v>
      </c>
      <c r="N23" s="1" t="s">
        <v>38</v>
      </c>
      <c r="O23" s="1" t="s">
        <v>39</v>
      </c>
      <c r="P23" s="1"/>
      <c r="Q23" s="1" t="s">
        <v>29</v>
      </c>
      <c r="R23" s="1" t="s">
        <v>112</v>
      </c>
      <c r="S23" s="18"/>
      <c r="T23" s="1" t="s">
        <v>42</v>
      </c>
      <c r="U23" s="1" t="s">
        <v>21</v>
      </c>
      <c r="V23" t="s">
        <v>874</v>
      </c>
      <c r="W23" s="20" t="str">
        <f t="shared" ca="1" si="0"/>
        <v/>
      </c>
      <c r="X23" t="s">
        <v>1000</v>
      </c>
    </row>
    <row r="24" spans="1:24" ht="14.25" customHeight="1" x14ac:dyDescent="0.3">
      <c r="A24" s="1" t="s">
        <v>113</v>
      </c>
      <c r="B24" s="1">
        <v>223000</v>
      </c>
      <c r="C24" s="1" t="s">
        <v>22</v>
      </c>
      <c r="D24" s="1">
        <v>0</v>
      </c>
      <c r="E24" s="1" t="s">
        <v>36</v>
      </c>
      <c r="F24" s="1" t="s">
        <v>36</v>
      </c>
      <c r="G24" s="1" t="s">
        <v>36</v>
      </c>
      <c r="H24" s="1" t="s">
        <v>22</v>
      </c>
      <c r="I24" s="1" t="s">
        <v>23</v>
      </c>
      <c r="J24" s="1" t="s">
        <v>62</v>
      </c>
      <c r="K24" s="1" t="s">
        <v>22</v>
      </c>
      <c r="L24" s="1" t="s">
        <v>22</v>
      </c>
      <c r="M24" s="1" t="s">
        <v>26</v>
      </c>
      <c r="N24" s="1" t="s">
        <v>38</v>
      </c>
      <c r="O24" s="1" t="s">
        <v>243</v>
      </c>
      <c r="P24" s="1"/>
      <c r="Q24" s="1" t="s">
        <v>29</v>
      </c>
      <c r="R24" s="1" t="s">
        <v>22</v>
      </c>
      <c r="S24" s="18" t="s">
        <v>22</v>
      </c>
      <c r="T24" s="1" t="s">
        <v>42</v>
      </c>
      <c r="U24" s="1" t="s">
        <v>22</v>
      </c>
      <c r="V24" t="s">
        <v>874</v>
      </c>
      <c r="W24" s="20" t="str">
        <f t="shared" ca="1" si="0"/>
        <v/>
      </c>
      <c r="X24" t="s">
        <v>1000</v>
      </c>
    </row>
    <row r="25" spans="1:24" ht="14.25" customHeight="1" x14ac:dyDescent="0.3">
      <c r="A25" s="1" t="s">
        <v>114</v>
      </c>
      <c r="B25" s="1">
        <v>240000</v>
      </c>
      <c r="C25" s="1">
        <v>240</v>
      </c>
      <c r="D25" s="1">
        <v>0</v>
      </c>
      <c r="E25" s="1" t="s">
        <v>36</v>
      </c>
      <c r="F25" s="1" t="s">
        <v>36</v>
      </c>
      <c r="G25" s="1" t="s">
        <v>36</v>
      </c>
      <c r="H25" s="1" t="s">
        <v>36</v>
      </c>
      <c r="I25" s="1" t="s">
        <v>23</v>
      </c>
      <c r="J25" s="1" t="s">
        <v>34</v>
      </c>
      <c r="K25" s="1" t="s">
        <v>115</v>
      </c>
      <c r="L25" s="1" t="s">
        <v>22</v>
      </c>
      <c r="M25" s="1" t="s">
        <v>26</v>
      </c>
      <c r="N25" s="1" t="s">
        <v>38</v>
      </c>
      <c r="O25" s="1" t="s">
        <v>243</v>
      </c>
      <c r="P25" s="1"/>
      <c r="Q25" s="1" t="s">
        <v>40</v>
      </c>
      <c r="R25" s="1" t="s">
        <v>116</v>
      </c>
      <c r="S25" s="18">
        <v>45175</v>
      </c>
      <c r="T25" s="1" t="s">
        <v>42</v>
      </c>
      <c r="U25" s="1" t="s">
        <v>54</v>
      </c>
      <c r="V25" t="s">
        <v>875</v>
      </c>
      <c r="W25" s="20">
        <f t="shared" ca="1" si="0"/>
        <v>2.9486652977412731</v>
      </c>
      <c r="X25" t="s">
        <v>1000</v>
      </c>
    </row>
    <row r="26" spans="1:24" ht="14.25" customHeight="1" x14ac:dyDescent="0.3">
      <c r="A26" s="1" t="s">
        <v>117</v>
      </c>
      <c r="B26" s="1">
        <v>215000</v>
      </c>
      <c r="C26" s="1">
        <f>2*110</f>
        <v>220</v>
      </c>
      <c r="D26" s="1">
        <v>0</v>
      </c>
      <c r="E26" s="1" t="s">
        <v>36</v>
      </c>
      <c r="F26" s="1" t="s">
        <v>36</v>
      </c>
      <c r="G26" s="1" t="s">
        <v>36</v>
      </c>
      <c r="H26" s="1" t="s">
        <v>36</v>
      </c>
      <c r="I26" s="1" t="s">
        <v>23</v>
      </c>
      <c r="J26" s="1" t="s">
        <v>34</v>
      </c>
      <c r="K26" s="1" t="s">
        <v>118</v>
      </c>
      <c r="L26" s="1" t="s">
        <v>52</v>
      </c>
      <c r="M26" s="1" t="s">
        <v>26</v>
      </c>
      <c r="N26" s="1" t="s">
        <v>27</v>
      </c>
      <c r="O26" s="1" t="s">
        <v>243</v>
      </c>
      <c r="P26" s="1"/>
      <c r="Q26" s="1" t="s">
        <v>53</v>
      </c>
      <c r="R26" s="1" t="s">
        <v>119</v>
      </c>
      <c r="S26" s="18">
        <v>45463</v>
      </c>
      <c r="T26" s="1" t="s">
        <v>42</v>
      </c>
      <c r="U26" s="1" t="s">
        <v>84</v>
      </c>
      <c r="V26" t="s">
        <v>875</v>
      </c>
      <c r="W26" s="20">
        <f t="shared" ca="1" si="0"/>
        <v>2.1601642710472277</v>
      </c>
      <c r="X26" t="s">
        <v>1000</v>
      </c>
    </row>
    <row r="27" spans="1:24" ht="14.25" customHeight="1" x14ac:dyDescent="0.3">
      <c r="A27" s="1" t="s">
        <v>120</v>
      </c>
      <c r="B27" s="1">
        <v>79000</v>
      </c>
      <c r="C27" s="1" t="s">
        <v>22</v>
      </c>
      <c r="D27" s="1">
        <v>0</v>
      </c>
      <c r="E27" s="1" t="s">
        <v>36</v>
      </c>
      <c r="F27" s="1" t="s">
        <v>36</v>
      </c>
      <c r="G27" s="1" t="s">
        <v>36</v>
      </c>
      <c r="H27" s="1" t="s">
        <v>22</v>
      </c>
      <c r="I27" s="1" t="s">
        <v>23</v>
      </c>
      <c r="J27" s="1" t="s">
        <v>73</v>
      </c>
      <c r="K27" s="1" t="s">
        <v>121</v>
      </c>
      <c r="L27" s="1" t="s">
        <v>22</v>
      </c>
      <c r="M27" s="1" t="s">
        <v>22</v>
      </c>
      <c r="N27" s="1" t="s">
        <v>27</v>
      </c>
      <c r="O27" s="1" t="s">
        <v>243</v>
      </c>
      <c r="P27" s="1"/>
      <c r="Q27" s="1" t="s">
        <v>40</v>
      </c>
      <c r="R27" s="1" t="s">
        <v>22</v>
      </c>
      <c r="S27" s="18" t="s">
        <v>22</v>
      </c>
      <c r="T27" s="1" t="s">
        <v>42</v>
      </c>
      <c r="U27" s="1" t="s">
        <v>22</v>
      </c>
      <c r="V27" t="s">
        <v>874</v>
      </c>
      <c r="W27" s="20" t="str">
        <f t="shared" ca="1" si="0"/>
        <v/>
      </c>
      <c r="X27" t="s">
        <v>1000</v>
      </c>
    </row>
    <row r="28" spans="1:24" ht="14.25" customHeight="1" x14ac:dyDescent="0.3">
      <c r="A28" s="1" t="s">
        <v>122</v>
      </c>
      <c r="B28" s="1">
        <v>184000</v>
      </c>
      <c r="C28" s="1" t="s">
        <v>22</v>
      </c>
      <c r="D28" s="1">
        <v>0</v>
      </c>
      <c r="E28" s="1" t="s">
        <v>36</v>
      </c>
      <c r="F28" s="1" t="s">
        <v>36</v>
      </c>
      <c r="G28" s="1" t="s">
        <v>36</v>
      </c>
      <c r="H28" s="1" t="s">
        <v>22</v>
      </c>
      <c r="I28" s="1" t="s">
        <v>23</v>
      </c>
      <c r="J28" s="1" t="s">
        <v>50</v>
      </c>
      <c r="K28" s="1" t="s">
        <v>22</v>
      </c>
      <c r="L28" s="1" t="s">
        <v>22</v>
      </c>
      <c r="M28" s="1" t="s">
        <v>26</v>
      </c>
      <c r="N28" s="1" t="s">
        <v>58</v>
      </c>
      <c r="O28" s="1" t="s">
        <v>243</v>
      </c>
      <c r="P28" s="1"/>
      <c r="Q28" s="1" t="s">
        <v>40</v>
      </c>
      <c r="R28" s="1" t="s">
        <v>123</v>
      </c>
      <c r="S28" s="18" t="s">
        <v>22</v>
      </c>
      <c r="T28" s="1" t="s">
        <v>42</v>
      </c>
      <c r="U28" s="1" t="s">
        <v>48</v>
      </c>
      <c r="V28" t="s">
        <v>874</v>
      </c>
      <c r="W28" s="20" t="str">
        <f t="shared" ca="1" si="0"/>
        <v/>
      </c>
      <c r="X28" t="s">
        <v>1009</v>
      </c>
    </row>
    <row r="29" spans="1:24" ht="14.25" customHeight="1" x14ac:dyDescent="0.3">
      <c r="A29" s="1" t="s">
        <v>124</v>
      </c>
      <c r="B29" s="1">
        <v>518000</v>
      </c>
      <c r="C29" s="1">
        <f>4*110</f>
        <v>440</v>
      </c>
      <c r="D29" s="1">
        <v>0</v>
      </c>
      <c r="E29" s="1" t="s">
        <v>36</v>
      </c>
      <c r="F29" s="1" t="s">
        <v>36</v>
      </c>
      <c r="G29" s="1" t="s">
        <v>36</v>
      </c>
      <c r="H29" s="1" t="s">
        <v>36</v>
      </c>
      <c r="I29" s="1" t="s">
        <v>23</v>
      </c>
      <c r="J29" s="1" t="s">
        <v>50</v>
      </c>
      <c r="K29" s="1" t="s">
        <v>125</v>
      </c>
      <c r="L29" s="1" t="s">
        <v>22</v>
      </c>
      <c r="M29" s="1" t="s">
        <v>26</v>
      </c>
      <c r="N29" s="1" t="s">
        <v>46</v>
      </c>
      <c r="O29" s="1" t="s">
        <v>243</v>
      </c>
      <c r="P29" s="1"/>
      <c r="Q29" s="1" t="s">
        <v>40</v>
      </c>
      <c r="R29" s="1" t="s">
        <v>126</v>
      </c>
      <c r="S29" s="18">
        <v>44662</v>
      </c>
      <c r="T29" s="1" t="s">
        <v>42</v>
      </c>
      <c r="U29" s="1" t="s">
        <v>84</v>
      </c>
      <c r="V29" s="12"/>
      <c r="W29" s="20">
        <f t="shared" ca="1" si="0"/>
        <v>4.3531827515400412</v>
      </c>
      <c r="X29" t="s">
        <v>1000</v>
      </c>
    </row>
    <row r="30" spans="1:24" ht="14.25" customHeight="1" x14ac:dyDescent="0.3">
      <c r="A30" s="1" t="s">
        <v>127</v>
      </c>
      <c r="B30" s="1">
        <v>114000</v>
      </c>
      <c r="C30" s="1" t="s">
        <v>22</v>
      </c>
      <c r="D30" s="1">
        <v>0</v>
      </c>
      <c r="E30" s="1" t="s">
        <v>36</v>
      </c>
      <c r="F30" s="1" t="s">
        <v>36</v>
      </c>
      <c r="G30" s="1" t="s">
        <v>36</v>
      </c>
      <c r="H30" s="1" t="s">
        <v>22</v>
      </c>
      <c r="I30" s="1" t="s">
        <v>23</v>
      </c>
      <c r="J30" s="1" t="s">
        <v>68</v>
      </c>
      <c r="K30" s="1" t="s">
        <v>128</v>
      </c>
      <c r="L30" s="1" t="s">
        <v>22</v>
      </c>
      <c r="M30" s="1" t="s">
        <v>26</v>
      </c>
      <c r="N30" s="1" t="s">
        <v>38</v>
      </c>
      <c r="O30" s="1" t="s">
        <v>39</v>
      </c>
      <c r="P30" s="1"/>
      <c r="Q30" s="1" t="s">
        <v>53</v>
      </c>
      <c r="R30" s="1" t="s">
        <v>129</v>
      </c>
      <c r="S30" s="18">
        <v>45352</v>
      </c>
      <c r="T30" s="1" t="s">
        <v>42</v>
      </c>
      <c r="U30" s="1" t="s">
        <v>130</v>
      </c>
      <c r="V30" t="s">
        <v>875</v>
      </c>
      <c r="W30" s="20">
        <f t="shared" ca="1" si="0"/>
        <v>2.4640657084188913</v>
      </c>
      <c r="X30" t="s">
        <v>1000</v>
      </c>
    </row>
    <row r="31" spans="1:24" ht="14.25" customHeight="1" x14ac:dyDescent="0.3">
      <c r="A31" s="1" t="s">
        <v>131</v>
      </c>
      <c r="B31" s="1">
        <v>33000</v>
      </c>
      <c r="C31" s="1">
        <f>1*33</f>
        <v>33</v>
      </c>
      <c r="D31" s="1">
        <v>0</v>
      </c>
      <c r="E31" s="1" t="s">
        <v>36</v>
      </c>
      <c r="F31" s="1" t="s">
        <v>36</v>
      </c>
      <c r="G31" s="1" t="s">
        <v>36</v>
      </c>
      <c r="H31" s="1" t="s">
        <v>36</v>
      </c>
      <c r="I31" s="1" t="s">
        <v>23</v>
      </c>
      <c r="J31" s="1" t="s">
        <v>34</v>
      </c>
      <c r="K31" s="1" t="s">
        <v>132</v>
      </c>
      <c r="L31" s="1" t="s">
        <v>22</v>
      </c>
      <c r="M31" s="1" t="s">
        <v>26</v>
      </c>
      <c r="N31" s="1" t="s">
        <v>38</v>
      </c>
      <c r="O31" s="1" t="s">
        <v>243</v>
      </c>
      <c r="P31" s="1"/>
      <c r="Q31" s="1" t="s">
        <v>40</v>
      </c>
      <c r="R31" s="1" t="s">
        <v>133</v>
      </c>
      <c r="S31" s="18">
        <v>44963</v>
      </c>
      <c r="T31" s="1" t="s">
        <v>42</v>
      </c>
      <c r="U31" s="1" t="s">
        <v>84</v>
      </c>
      <c r="V31" t="s">
        <v>875</v>
      </c>
      <c r="W31" s="20">
        <f t="shared" ca="1" si="0"/>
        <v>3.5290896646132786</v>
      </c>
      <c r="X31" t="s">
        <v>1000</v>
      </c>
    </row>
    <row r="32" spans="1:24" ht="14.25" customHeight="1" x14ac:dyDescent="0.3">
      <c r="A32" s="1" t="s">
        <v>134</v>
      </c>
      <c r="B32" s="1">
        <v>281000</v>
      </c>
      <c r="C32" s="1">
        <f>2*125</f>
        <v>250</v>
      </c>
      <c r="D32" s="1">
        <v>0</v>
      </c>
      <c r="E32" s="1" t="s">
        <v>36</v>
      </c>
      <c r="F32" s="1" t="s">
        <v>36</v>
      </c>
      <c r="G32" s="1" t="s">
        <v>36</v>
      </c>
      <c r="H32" s="1" t="s">
        <v>72</v>
      </c>
      <c r="I32" s="1" t="s">
        <v>23</v>
      </c>
      <c r="J32" s="1" t="s">
        <v>34</v>
      </c>
      <c r="K32" s="1" t="s">
        <v>135</v>
      </c>
      <c r="L32" s="1" t="s">
        <v>22</v>
      </c>
      <c r="M32" s="1" t="s">
        <v>26</v>
      </c>
      <c r="N32" s="1" t="s">
        <v>58</v>
      </c>
      <c r="O32" s="1" t="s">
        <v>243</v>
      </c>
      <c r="P32" s="1"/>
      <c r="Q32" s="1" t="s">
        <v>40</v>
      </c>
      <c r="R32" s="1" t="s">
        <v>136</v>
      </c>
      <c r="S32" s="18" t="s">
        <v>22</v>
      </c>
      <c r="T32" s="1" t="s">
        <v>42</v>
      </c>
      <c r="U32" s="1" t="s">
        <v>137</v>
      </c>
      <c r="V32" t="s">
        <v>874</v>
      </c>
      <c r="W32" s="20" t="str">
        <f t="shared" ca="1" si="0"/>
        <v/>
      </c>
      <c r="X32" t="s">
        <v>1000</v>
      </c>
    </row>
    <row r="33" spans="1:24" ht="14.25" customHeight="1" x14ac:dyDescent="0.3">
      <c r="A33" s="1" t="s">
        <v>138</v>
      </c>
      <c r="B33" s="1">
        <v>158400</v>
      </c>
      <c r="C33" s="1">
        <v>125</v>
      </c>
      <c r="D33" s="1">
        <v>0</v>
      </c>
      <c r="E33" s="1" t="s">
        <v>20</v>
      </c>
      <c r="F33" s="1" t="s">
        <v>139</v>
      </c>
      <c r="G33" s="1" t="s">
        <v>36</v>
      </c>
      <c r="H33" s="1" t="s">
        <v>22</v>
      </c>
      <c r="I33" s="1" t="s">
        <v>23</v>
      </c>
      <c r="J33" s="1" t="s">
        <v>68</v>
      </c>
      <c r="K33" s="1" t="s">
        <v>140</v>
      </c>
      <c r="L33" s="1" t="s">
        <v>22</v>
      </c>
      <c r="M33" s="1" t="s">
        <v>37</v>
      </c>
      <c r="N33" s="1" t="s">
        <v>38</v>
      </c>
      <c r="O33" s="1" t="s">
        <v>39</v>
      </c>
      <c r="P33" s="1"/>
      <c r="Q33" s="1" t="s">
        <v>29</v>
      </c>
      <c r="R33" s="1" t="s">
        <v>141</v>
      </c>
      <c r="S33" s="18" t="s">
        <v>22</v>
      </c>
      <c r="T33" s="1" t="s">
        <v>42</v>
      </c>
      <c r="U33" s="1" t="s">
        <v>22</v>
      </c>
      <c r="V33" t="s">
        <v>874</v>
      </c>
      <c r="W33" s="20" t="str">
        <f t="shared" ca="1" si="0"/>
        <v/>
      </c>
      <c r="X33" t="s">
        <v>1000</v>
      </c>
    </row>
    <row r="34" spans="1:24" ht="14.25" customHeight="1" x14ac:dyDescent="0.3">
      <c r="A34" s="1" t="s">
        <v>142</v>
      </c>
      <c r="B34" s="1">
        <v>35000</v>
      </c>
      <c r="C34" s="1">
        <f>1*33</f>
        <v>33</v>
      </c>
      <c r="D34" s="1">
        <v>0</v>
      </c>
      <c r="E34" s="1" t="s">
        <v>36</v>
      </c>
      <c r="F34" s="1" t="s">
        <v>36</v>
      </c>
      <c r="G34" s="1" t="s">
        <v>36</v>
      </c>
      <c r="H34" s="1" t="s">
        <v>36</v>
      </c>
      <c r="I34" s="1" t="s">
        <v>23</v>
      </c>
      <c r="J34" s="1" t="s">
        <v>34</v>
      </c>
      <c r="K34" s="1" t="s">
        <v>143</v>
      </c>
      <c r="L34" s="1" t="s">
        <v>22</v>
      </c>
      <c r="M34" s="1" t="s">
        <v>37</v>
      </c>
      <c r="N34" s="1" t="s">
        <v>58</v>
      </c>
      <c r="O34" s="1" t="s">
        <v>243</v>
      </c>
      <c r="P34" s="1"/>
      <c r="Q34" s="1" t="s">
        <v>40</v>
      </c>
      <c r="R34" s="1" t="s">
        <v>144</v>
      </c>
      <c r="S34" s="18">
        <v>45174</v>
      </c>
      <c r="T34" s="1" t="s">
        <v>42</v>
      </c>
      <c r="U34" s="1" t="s">
        <v>84</v>
      </c>
      <c r="V34" t="s">
        <v>875</v>
      </c>
      <c r="W34" s="20">
        <f t="shared" ca="1" si="0"/>
        <v>2.9514031485284051</v>
      </c>
      <c r="X34" t="s">
        <v>1000</v>
      </c>
    </row>
    <row r="35" spans="1:24" ht="15" customHeight="1" x14ac:dyDescent="0.3">
      <c r="A35" s="1" t="s">
        <v>145</v>
      </c>
      <c r="B35" s="1">
        <v>220000</v>
      </c>
      <c r="C35" s="1" t="s">
        <v>22</v>
      </c>
      <c r="D35" s="1">
        <v>0</v>
      </c>
      <c r="E35" s="1" t="s">
        <v>36</v>
      </c>
      <c r="F35" s="1" t="s">
        <v>36</v>
      </c>
      <c r="G35" s="1" t="s">
        <v>36</v>
      </c>
      <c r="H35" s="1" t="s">
        <v>22</v>
      </c>
      <c r="I35" s="1" t="s">
        <v>23</v>
      </c>
      <c r="J35" s="1" t="s">
        <v>24</v>
      </c>
      <c r="K35" s="1" t="s">
        <v>146</v>
      </c>
      <c r="L35" s="1" t="s">
        <v>22</v>
      </c>
      <c r="M35" s="1" t="s">
        <v>26</v>
      </c>
      <c r="N35" s="1" t="s">
        <v>46</v>
      </c>
      <c r="O35" s="1" t="s">
        <v>243</v>
      </c>
      <c r="P35" s="1"/>
      <c r="Q35" s="1" t="s">
        <v>29</v>
      </c>
      <c r="R35" s="1" t="s">
        <v>147</v>
      </c>
      <c r="S35" s="18" t="s">
        <v>22</v>
      </c>
      <c r="T35" s="1" t="s">
        <v>42</v>
      </c>
      <c r="U35" s="1" t="s">
        <v>148</v>
      </c>
      <c r="V35" t="s">
        <v>874</v>
      </c>
      <c r="W35" s="20" t="str">
        <f t="shared" ca="1" si="0"/>
        <v/>
      </c>
      <c r="X35" s="22" t="s">
        <v>1000</v>
      </c>
    </row>
    <row r="36" spans="1:24" ht="14.25" customHeight="1" x14ac:dyDescent="0.3">
      <c r="A36" s="1" t="s">
        <v>149</v>
      </c>
      <c r="B36" s="1">
        <v>66000</v>
      </c>
      <c r="C36" s="1">
        <f>2*33</f>
        <v>66</v>
      </c>
      <c r="D36" s="1">
        <v>0</v>
      </c>
      <c r="E36" s="1" t="s">
        <v>36</v>
      </c>
      <c r="F36" s="1" t="s">
        <v>36</v>
      </c>
      <c r="G36" s="1" t="s">
        <v>36</v>
      </c>
      <c r="H36" s="1" t="s">
        <v>36</v>
      </c>
      <c r="I36" s="1" t="s">
        <v>23</v>
      </c>
      <c r="J36" s="1" t="s">
        <v>34</v>
      </c>
      <c r="K36" s="1" t="s">
        <v>150</v>
      </c>
      <c r="L36" s="1" t="s">
        <v>22</v>
      </c>
      <c r="M36" s="1" t="s">
        <v>26</v>
      </c>
      <c r="N36" s="1" t="s">
        <v>46</v>
      </c>
      <c r="O36" s="1" t="s">
        <v>243</v>
      </c>
      <c r="P36" s="1"/>
      <c r="Q36" s="1" t="s">
        <v>40</v>
      </c>
      <c r="R36" s="1" t="s">
        <v>151</v>
      </c>
      <c r="S36" s="18">
        <v>44688</v>
      </c>
      <c r="T36" s="1" t="s">
        <v>42</v>
      </c>
      <c r="U36" s="1" t="s">
        <v>84</v>
      </c>
      <c r="V36" t="s">
        <v>875</v>
      </c>
      <c r="W36" s="20">
        <f t="shared" ca="1" si="0"/>
        <v>4.2819986310746065</v>
      </c>
      <c r="X36" t="s">
        <v>1000</v>
      </c>
    </row>
    <row r="37" spans="1:24" ht="14.25" customHeight="1" x14ac:dyDescent="0.3">
      <c r="A37" s="1" t="s">
        <v>152</v>
      </c>
      <c r="B37" s="1">
        <v>95000</v>
      </c>
      <c r="C37" s="1" t="s">
        <v>22</v>
      </c>
      <c r="D37" s="1">
        <v>0</v>
      </c>
      <c r="E37" s="1" t="s">
        <v>36</v>
      </c>
      <c r="F37" s="1" t="s">
        <v>36</v>
      </c>
      <c r="G37" s="1" t="s">
        <v>36</v>
      </c>
      <c r="H37" s="1" t="s">
        <v>22</v>
      </c>
      <c r="I37" s="1" t="s">
        <v>23</v>
      </c>
      <c r="J37" s="1" t="s">
        <v>153</v>
      </c>
      <c r="K37" s="1" t="s">
        <v>154</v>
      </c>
      <c r="L37" s="1" t="s">
        <v>22</v>
      </c>
      <c r="M37" s="1" t="s">
        <v>26</v>
      </c>
      <c r="N37" s="1" t="s">
        <v>27</v>
      </c>
      <c r="O37" s="1" t="s">
        <v>243</v>
      </c>
      <c r="P37" s="1"/>
      <c r="Q37" s="1" t="s">
        <v>29</v>
      </c>
      <c r="R37" s="1" t="s">
        <v>22</v>
      </c>
      <c r="S37" s="18" t="s">
        <v>22</v>
      </c>
      <c r="T37" s="1" t="s">
        <v>42</v>
      </c>
      <c r="U37" s="1" t="s">
        <v>22</v>
      </c>
      <c r="V37" t="s">
        <v>874</v>
      </c>
      <c r="W37" s="20" t="str">
        <f t="shared" ca="1" si="0"/>
        <v/>
      </c>
      <c r="X37" t="s">
        <v>1000</v>
      </c>
    </row>
    <row r="38" spans="1:24" ht="14.25" customHeight="1" x14ac:dyDescent="0.3">
      <c r="A38" s="1" t="s">
        <v>155</v>
      </c>
      <c r="B38" s="1">
        <v>35000</v>
      </c>
      <c r="C38" s="1">
        <v>30</v>
      </c>
      <c r="D38" s="1">
        <v>0</v>
      </c>
      <c r="E38" s="1" t="s">
        <v>36</v>
      </c>
      <c r="F38" s="1" t="s">
        <v>36</v>
      </c>
      <c r="G38" s="1" t="s">
        <v>36</v>
      </c>
      <c r="H38" s="1" t="s">
        <v>72</v>
      </c>
      <c r="I38" s="1" t="s">
        <v>23</v>
      </c>
      <c r="J38" s="1" t="s">
        <v>34</v>
      </c>
      <c r="K38" s="1" t="s">
        <v>22</v>
      </c>
      <c r="L38" s="1" t="s">
        <v>22</v>
      </c>
      <c r="M38" s="1" t="s">
        <v>26</v>
      </c>
      <c r="N38" s="1" t="s">
        <v>58</v>
      </c>
      <c r="O38" s="1" t="s">
        <v>243</v>
      </c>
      <c r="P38" s="1"/>
      <c r="Q38" s="1" t="s">
        <v>29</v>
      </c>
      <c r="R38" s="1" t="s">
        <v>156</v>
      </c>
      <c r="S38" s="18" t="s">
        <v>22</v>
      </c>
      <c r="T38" s="1" t="s">
        <v>42</v>
      </c>
      <c r="U38" s="1" t="s">
        <v>137</v>
      </c>
      <c r="V38" t="s">
        <v>874</v>
      </c>
      <c r="W38" s="20" t="str">
        <f t="shared" ca="1" si="0"/>
        <v/>
      </c>
      <c r="X38" t="s">
        <v>1000</v>
      </c>
    </row>
    <row r="39" spans="1:24" ht="14.25" customHeight="1" x14ac:dyDescent="0.3">
      <c r="A39" s="1" t="s">
        <v>157</v>
      </c>
      <c r="B39" s="1">
        <v>40000</v>
      </c>
      <c r="C39" s="1">
        <v>33</v>
      </c>
      <c r="D39" s="1">
        <v>0</v>
      </c>
      <c r="E39" s="1" t="s">
        <v>36</v>
      </c>
      <c r="F39" s="1" t="s">
        <v>36</v>
      </c>
      <c r="G39" s="1" t="s">
        <v>36</v>
      </c>
      <c r="H39" s="1" t="s">
        <v>36</v>
      </c>
      <c r="I39" s="1" t="s">
        <v>23</v>
      </c>
      <c r="J39" s="1" t="s">
        <v>34</v>
      </c>
      <c r="K39" s="1" t="s">
        <v>158</v>
      </c>
      <c r="L39" s="1" t="s">
        <v>22</v>
      </c>
      <c r="M39" s="1" t="s">
        <v>26</v>
      </c>
      <c r="N39" s="1" t="s">
        <v>38</v>
      </c>
      <c r="O39" s="1" t="s">
        <v>39</v>
      </c>
      <c r="P39" s="1"/>
      <c r="Q39" s="1" t="s">
        <v>29</v>
      </c>
      <c r="R39" s="1" t="s">
        <v>159</v>
      </c>
      <c r="S39" s="18" t="s">
        <v>22</v>
      </c>
      <c r="T39" s="1" t="s">
        <v>42</v>
      </c>
      <c r="U39" s="1" t="s">
        <v>22</v>
      </c>
      <c r="V39" t="s">
        <v>874</v>
      </c>
      <c r="W39" s="20" t="str">
        <f t="shared" ca="1" si="0"/>
        <v/>
      </c>
      <c r="X39" t="s">
        <v>1000</v>
      </c>
    </row>
    <row r="40" spans="1:24" ht="14.25" customHeight="1" x14ac:dyDescent="0.3">
      <c r="A40" s="1" t="s">
        <v>160</v>
      </c>
      <c r="B40" s="1">
        <v>110000</v>
      </c>
      <c r="C40" s="1">
        <f>2*50</f>
        <v>100</v>
      </c>
      <c r="D40" s="1">
        <v>0</v>
      </c>
      <c r="E40" s="1" t="s">
        <v>36</v>
      </c>
      <c r="F40" s="1" t="s">
        <v>36</v>
      </c>
      <c r="G40" s="1" t="s">
        <v>36</v>
      </c>
      <c r="H40" s="1" t="s">
        <v>36</v>
      </c>
      <c r="I40" s="1" t="s">
        <v>23</v>
      </c>
      <c r="J40" s="1" t="s">
        <v>153</v>
      </c>
      <c r="K40" s="1" t="s">
        <v>161</v>
      </c>
      <c r="L40" s="1" t="s">
        <v>22</v>
      </c>
      <c r="M40" s="1" t="s">
        <v>26</v>
      </c>
      <c r="N40" s="1" t="s">
        <v>38</v>
      </c>
      <c r="O40" s="1" t="s">
        <v>243</v>
      </c>
      <c r="P40" s="1"/>
      <c r="Q40" s="1" t="s">
        <v>40</v>
      </c>
      <c r="R40" s="1" t="s">
        <v>162</v>
      </c>
      <c r="S40" s="18">
        <v>45265</v>
      </c>
      <c r="T40" s="1" t="s">
        <v>42</v>
      </c>
      <c r="U40" s="1" t="s">
        <v>84</v>
      </c>
      <c r="V40" t="s">
        <v>875</v>
      </c>
      <c r="W40" s="20">
        <f t="shared" ca="1" si="0"/>
        <v>2.7022587268993838</v>
      </c>
      <c r="X40" t="s">
        <v>1000</v>
      </c>
    </row>
    <row r="41" spans="1:24" ht="14.25" customHeight="1" x14ac:dyDescent="0.3">
      <c r="A41" s="1" t="s">
        <v>163</v>
      </c>
      <c r="B41" s="1">
        <v>38000</v>
      </c>
      <c r="C41" s="1">
        <v>30</v>
      </c>
      <c r="D41" s="1">
        <v>0</v>
      </c>
      <c r="E41" s="1" t="s">
        <v>36</v>
      </c>
      <c r="F41" s="1" t="s">
        <v>36</v>
      </c>
      <c r="G41" s="1" t="s">
        <v>36</v>
      </c>
      <c r="H41" s="1" t="s">
        <v>36</v>
      </c>
      <c r="I41" s="1" t="s">
        <v>23</v>
      </c>
      <c r="J41" s="1" t="s">
        <v>34</v>
      </c>
      <c r="K41" s="1" t="s">
        <v>164</v>
      </c>
      <c r="L41" s="1" t="s">
        <v>22</v>
      </c>
      <c r="M41" s="1" t="s">
        <v>26</v>
      </c>
      <c r="N41" s="1" t="s">
        <v>27</v>
      </c>
      <c r="O41" s="1" t="s">
        <v>28</v>
      </c>
      <c r="P41" s="1"/>
      <c r="Q41" s="1" t="s">
        <v>29</v>
      </c>
      <c r="R41" s="1" t="s">
        <v>165</v>
      </c>
      <c r="S41" s="18" t="s">
        <v>22</v>
      </c>
      <c r="T41" s="1" t="s">
        <v>42</v>
      </c>
      <c r="U41" s="1" t="s">
        <v>22</v>
      </c>
      <c r="V41" t="s">
        <v>874</v>
      </c>
      <c r="W41" s="20" t="str">
        <f t="shared" ca="1" si="0"/>
        <v/>
      </c>
      <c r="X41" t="s">
        <v>1000</v>
      </c>
    </row>
    <row r="42" spans="1:24" ht="14.25" customHeight="1" x14ac:dyDescent="0.3">
      <c r="A42" s="1" t="s">
        <v>166</v>
      </c>
      <c r="B42" s="1">
        <v>180000</v>
      </c>
      <c r="C42" s="1">
        <v>100</v>
      </c>
      <c r="D42" s="1">
        <v>0</v>
      </c>
      <c r="E42" s="1" t="s">
        <v>36</v>
      </c>
      <c r="F42" s="1" t="s">
        <v>36</v>
      </c>
      <c r="G42" s="1" t="s">
        <v>36</v>
      </c>
      <c r="H42" s="1" t="s">
        <v>36</v>
      </c>
      <c r="I42" s="1" t="s">
        <v>23</v>
      </c>
      <c r="J42" s="1" t="s">
        <v>56</v>
      </c>
      <c r="K42" s="1" t="s">
        <v>167</v>
      </c>
      <c r="L42" s="1" t="s">
        <v>22</v>
      </c>
      <c r="M42" s="1" t="s">
        <v>26</v>
      </c>
      <c r="N42" s="1" t="s">
        <v>58</v>
      </c>
      <c r="O42" s="1" t="s">
        <v>39</v>
      </c>
      <c r="P42" s="1"/>
      <c r="Q42" s="1" t="s">
        <v>29</v>
      </c>
      <c r="R42" s="1" t="s">
        <v>168</v>
      </c>
      <c r="S42" s="18" t="s">
        <v>22</v>
      </c>
      <c r="T42" s="1" t="s">
        <v>42</v>
      </c>
      <c r="U42" s="1" t="s">
        <v>101</v>
      </c>
      <c r="V42" t="s">
        <v>874</v>
      </c>
      <c r="W42" s="20" t="str">
        <f t="shared" ca="1" si="0"/>
        <v/>
      </c>
      <c r="X42" t="s">
        <v>1000</v>
      </c>
    </row>
    <row r="43" spans="1:24" ht="14.25" customHeight="1" x14ac:dyDescent="0.3">
      <c r="A43" s="1" t="s">
        <v>169</v>
      </c>
      <c r="B43" s="1">
        <v>27300</v>
      </c>
      <c r="C43" s="1">
        <v>30</v>
      </c>
      <c r="D43" s="1">
        <v>0</v>
      </c>
      <c r="E43" s="1" t="s">
        <v>36</v>
      </c>
      <c r="F43" s="1" t="s">
        <v>36</v>
      </c>
      <c r="G43" s="1" t="s">
        <v>36</v>
      </c>
      <c r="H43" s="1" t="s">
        <v>36</v>
      </c>
      <c r="I43" s="1" t="s">
        <v>23</v>
      </c>
      <c r="J43" s="1" t="s">
        <v>56</v>
      </c>
      <c r="K43" s="1" t="s">
        <v>170</v>
      </c>
      <c r="L43" s="1" t="s">
        <v>22</v>
      </c>
      <c r="M43" s="1" t="s">
        <v>26</v>
      </c>
      <c r="N43" s="1" t="s">
        <v>58</v>
      </c>
      <c r="O43" s="1" t="s">
        <v>39</v>
      </c>
      <c r="P43" s="1"/>
      <c r="Q43" s="1" t="s">
        <v>29</v>
      </c>
      <c r="R43" s="1" t="s">
        <v>22</v>
      </c>
      <c r="S43" s="18" t="s">
        <v>22</v>
      </c>
      <c r="T43" s="1" t="s">
        <v>42</v>
      </c>
      <c r="U43" s="1" t="s">
        <v>101</v>
      </c>
      <c r="V43" t="s">
        <v>874</v>
      </c>
      <c r="W43" s="20" t="str">
        <f t="shared" ca="1" si="0"/>
        <v/>
      </c>
      <c r="X43" t="s">
        <v>1000</v>
      </c>
    </row>
    <row r="44" spans="1:24" ht="14.25" customHeight="1" x14ac:dyDescent="0.3">
      <c r="A44" s="1" t="s">
        <v>171</v>
      </c>
      <c r="B44" s="1">
        <v>95000</v>
      </c>
      <c r="C44" s="1" t="s">
        <v>22</v>
      </c>
      <c r="D44" s="1">
        <v>0</v>
      </c>
      <c r="E44" s="1" t="s">
        <v>36</v>
      </c>
      <c r="F44" s="1" t="s">
        <v>36</v>
      </c>
      <c r="G44" s="1" t="s">
        <v>36</v>
      </c>
      <c r="H44" s="1" t="s">
        <v>22</v>
      </c>
      <c r="I44" s="1" t="s">
        <v>23</v>
      </c>
      <c r="J44" s="1" t="s">
        <v>50</v>
      </c>
      <c r="K44" s="1" t="s">
        <v>22</v>
      </c>
      <c r="L44" s="1" t="s">
        <v>22</v>
      </c>
      <c r="M44" s="1" t="s">
        <v>26</v>
      </c>
      <c r="N44" s="1" t="s">
        <v>58</v>
      </c>
      <c r="O44" s="1" t="s">
        <v>243</v>
      </c>
      <c r="P44" s="1"/>
      <c r="Q44" s="1" t="s">
        <v>40</v>
      </c>
      <c r="R44" s="1" t="s">
        <v>22</v>
      </c>
      <c r="S44" s="18" t="s">
        <v>22</v>
      </c>
      <c r="T44" s="1" t="s">
        <v>42</v>
      </c>
      <c r="U44" s="1" t="s">
        <v>22</v>
      </c>
      <c r="V44" t="s">
        <v>874</v>
      </c>
      <c r="W44" s="20" t="str">
        <f t="shared" ca="1" si="0"/>
        <v/>
      </c>
      <c r="X44" t="s">
        <v>1000</v>
      </c>
    </row>
    <row r="45" spans="1:24" ht="14.25" customHeight="1" x14ac:dyDescent="0.3">
      <c r="A45" s="1" t="s">
        <v>172</v>
      </c>
      <c r="B45" s="1">
        <v>96000</v>
      </c>
      <c r="C45" s="1" t="s">
        <v>22</v>
      </c>
      <c r="D45" s="1">
        <v>0</v>
      </c>
      <c r="E45" s="1" t="s">
        <v>36</v>
      </c>
      <c r="F45" s="1" t="s">
        <v>36</v>
      </c>
      <c r="G45" s="1" t="s">
        <v>36</v>
      </c>
      <c r="H45" s="1" t="s">
        <v>22</v>
      </c>
      <c r="I45" s="1" t="s">
        <v>23</v>
      </c>
      <c r="J45" s="1" t="s">
        <v>50</v>
      </c>
      <c r="K45" s="1" t="s">
        <v>173</v>
      </c>
      <c r="L45" s="1" t="s">
        <v>22</v>
      </c>
      <c r="M45" s="1" t="s">
        <v>26</v>
      </c>
      <c r="N45" s="1" t="s">
        <v>58</v>
      </c>
      <c r="O45" s="1" t="s">
        <v>243</v>
      </c>
      <c r="P45" s="1"/>
      <c r="Q45" s="1" t="s">
        <v>29</v>
      </c>
      <c r="R45" s="1" t="s">
        <v>22</v>
      </c>
      <c r="S45" s="18" t="s">
        <v>22</v>
      </c>
      <c r="T45" s="1" t="s">
        <v>42</v>
      </c>
      <c r="U45" s="1" t="s">
        <v>22</v>
      </c>
      <c r="V45" t="s">
        <v>874</v>
      </c>
      <c r="W45" s="20" t="str">
        <f t="shared" ca="1" si="0"/>
        <v/>
      </c>
      <c r="X45" t="s">
        <v>1000</v>
      </c>
    </row>
    <row r="46" spans="1:24" ht="14.25" customHeight="1" x14ac:dyDescent="0.3">
      <c r="A46" s="1" t="s">
        <v>174</v>
      </c>
      <c r="B46" s="1">
        <v>121000</v>
      </c>
      <c r="C46" s="1">
        <v>110</v>
      </c>
      <c r="D46" s="1">
        <v>0</v>
      </c>
      <c r="E46" s="1" t="s">
        <v>36</v>
      </c>
      <c r="F46" s="1" t="s">
        <v>36</v>
      </c>
      <c r="G46" s="1" t="s">
        <v>36</v>
      </c>
      <c r="H46" s="1" t="s">
        <v>36</v>
      </c>
      <c r="I46" s="1" t="s">
        <v>23</v>
      </c>
      <c r="J46" s="1" t="s">
        <v>68</v>
      </c>
      <c r="K46" s="1" t="s">
        <v>175</v>
      </c>
      <c r="L46" s="1" t="s">
        <v>22</v>
      </c>
      <c r="M46" s="1" t="s">
        <v>26</v>
      </c>
      <c r="N46" s="1" t="s">
        <v>58</v>
      </c>
      <c r="O46" s="1" t="s">
        <v>39</v>
      </c>
      <c r="P46" s="1"/>
      <c r="Q46" s="1" t="s">
        <v>29</v>
      </c>
      <c r="R46" s="1" t="s">
        <v>176</v>
      </c>
      <c r="S46" s="18"/>
      <c r="T46" s="1" t="s">
        <v>42</v>
      </c>
      <c r="U46" s="1" t="s">
        <v>84</v>
      </c>
      <c r="V46" t="s">
        <v>874</v>
      </c>
      <c r="W46" s="20" t="str">
        <f t="shared" ca="1" si="0"/>
        <v/>
      </c>
      <c r="X46" t="s">
        <v>1000</v>
      </c>
    </row>
    <row r="47" spans="1:24" ht="14.25" customHeight="1" x14ac:dyDescent="0.3">
      <c r="A47" s="1" t="s">
        <v>177</v>
      </c>
      <c r="B47" s="1">
        <v>35000</v>
      </c>
      <c r="C47" s="1">
        <v>33</v>
      </c>
      <c r="D47" s="1">
        <v>0</v>
      </c>
      <c r="E47" s="1" t="s">
        <v>36</v>
      </c>
      <c r="F47" s="1" t="s">
        <v>36</v>
      </c>
      <c r="G47" s="1" t="s">
        <v>36</v>
      </c>
      <c r="H47" s="1" t="s">
        <v>36</v>
      </c>
      <c r="I47" s="1" t="s">
        <v>23</v>
      </c>
      <c r="J47" s="1" t="s">
        <v>68</v>
      </c>
      <c r="K47" s="1" t="s">
        <v>178</v>
      </c>
      <c r="L47" s="1" t="s">
        <v>22</v>
      </c>
      <c r="M47" s="1" t="s">
        <v>26</v>
      </c>
      <c r="N47" s="1" t="s">
        <v>58</v>
      </c>
      <c r="O47" s="1" t="s">
        <v>39</v>
      </c>
      <c r="P47" s="1"/>
      <c r="Q47" s="1" t="s">
        <v>29</v>
      </c>
      <c r="R47" s="1" t="s">
        <v>179</v>
      </c>
      <c r="S47" s="18"/>
      <c r="T47" s="1" t="s">
        <v>42</v>
      </c>
      <c r="U47" s="1" t="s">
        <v>84</v>
      </c>
      <c r="V47" t="s">
        <v>874</v>
      </c>
      <c r="W47" s="20" t="str">
        <f t="shared" ca="1" si="0"/>
        <v/>
      </c>
      <c r="X47" t="s">
        <v>1000</v>
      </c>
    </row>
    <row r="48" spans="1:24" ht="14.25" customHeight="1" x14ac:dyDescent="0.3">
      <c r="A48" s="1" t="s">
        <v>180</v>
      </c>
      <c r="B48" s="1">
        <v>153000</v>
      </c>
      <c r="C48" s="1">
        <v>125</v>
      </c>
      <c r="D48" s="1">
        <v>0</v>
      </c>
      <c r="E48" s="1" t="s">
        <v>36</v>
      </c>
      <c r="F48" s="1" t="s">
        <v>36</v>
      </c>
      <c r="G48" s="1" t="s">
        <v>36</v>
      </c>
      <c r="H48" s="1" t="s">
        <v>36</v>
      </c>
      <c r="I48" s="1" t="s">
        <v>23</v>
      </c>
      <c r="J48" s="1" t="s">
        <v>34</v>
      </c>
      <c r="K48" s="1" t="s">
        <v>181</v>
      </c>
      <c r="L48" s="1" t="s">
        <v>52</v>
      </c>
      <c r="M48" s="1" t="s">
        <v>26</v>
      </c>
      <c r="N48" s="1" t="s">
        <v>58</v>
      </c>
      <c r="O48" s="1" t="s">
        <v>243</v>
      </c>
      <c r="P48" s="1"/>
      <c r="Q48" s="1" t="s">
        <v>53</v>
      </c>
      <c r="R48" s="1" t="s">
        <v>22</v>
      </c>
      <c r="S48" s="18"/>
      <c r="T48" s="1" t="s">
        <v>42</v>
      </c>
      <c r="U48" s="1" t="s">
        <v>54</v>
      </c>
      <c r="V48" t="s">
        <v>874</v>
      </c>
      <c r="W48" s="20" t="str">
        <f t="shared" ca="1" si="0"/>
        <v/>
      </c>
      <c r="X48" t="s">
        <v>1000</v>
      </c>
    </row>
    <row r="49" spans="1:25" ht="14.25" customHeight="1" x14ac:dyDescent="0.3">
      <c r="A49" s="1" t="s">
        <v>182</v>
      </c>
      <c r="B49" s="1">
        <v>126000</v>
      </c>
      <c r="C49" s="1" t="s">
        <v>22</v>
      </c>
      <c r="D49" s="1">
        <v>0</v>
      </c>
      <c r="E49" s="1" t="s">
        <v>36</v>
      </c>
      <c r="F49" s="1" t="s">
        <v>36</v>
      </c>
      <c r="G49" s="1" t="s">
        <v>183</v>
      </c>
      <c r="H49" s="1" t="s">
        <v>72</v>
      </c>
      <c r="I49" s="1" t="s">
        <v>23</v>
      </c>
      <c r="J49" s="1" t="s">
        <v>34</v>
      </c>
      <c r="K49" s="1" t="s">
        <v>22</v>
      </c>
      <c r="L49" s="1" t="s">
        <v>52</v>
      </c>
      <c r="M49" s="1" t="s">
        <v>26</v>
      </c>
      <c r="N49" s="1" t="s">
        <v>58</v>
      </c>
      <c r="O49" s="1" t="s">
        <v>243</v>
      </c>
      <c r="P49" s="1"/>
      <c r="Q49" s="1" t="s">
        <v>53</v>
      </c>
      <c r="R49" s="1" t="s">
        <v>22</v>
      </c>
      <c r="S49" s="18" t="s">
        <v>22</v>
      </c>
      <c r="T49" s="1" t="s">
        <v>42</v>
      </c>
      <c r="U49" s="1" t="s">
        <v>22</v>
      </c>
      <c r="V49" t="s">
        <v>874</v>
      </c>
      <c r="W49" s="20" t="str">
        <f t="shared" ca="1" si="0"/>
        <v/>
      </c>
      <c r="X49" t="s">
        <v>1000</v>
      </c>
      <c r="Y49" t="s">
        <v>1001</v>
      </c>
    </row>
    <row r="50" spans="1:25" ht="14.25" customHeight="1" x14ac:dyDescent="0.3">
      <c r="A50" s="1" t="s">
        <v>184</v>
      </c>
      <c r="B50" s="1">
        <v>250000</v>
      </c>
      <c r="C50" s="1">
        <v>110</v>
      </c>
      <c r="D50" s="1">
        <v>0</v>
      </c>
      <c r="E50" s="1" t="s">
        <v>36</v>
      </c>
      <c r="F50" s="1" t="s">
        <v>36</v>
      </c>
      <c r="G50" s="1" t="s">
        <v>36</v>
      </c>
      <c r="H50" s="1" t="s">
        <v>36</v>
      </c>
      <c r="I50" s="1" t="s">
        <v>23</v>
      </c>
      <c r="J50" s="1" t="s">
        <v>24</v>
      </c>
      <c r="K50" s="1" t="s">
        <v>185</v>
      </c>
      <c r="L50" s="1" t="s">
        <v>52</v>
      </c>
      <c r="M50" s="1" t="s">
        <v>26</v>
      </c>
      <c r="N50" s="1" t="s">
        <v>58</v>
      </c>
      <c r="O50" s="1" t="s">
        <v>243</v>
      </c>
      <c r="P50" s="1"/>
      <c r="Q50" s="1" t="s">
        <v>53</v>
      </c>
      <c r="R50" s="1" t="s">
        <v>22</v>
      </c>
      <c r="S50" s="18"/>
      <c r="T50" s="1" t="s">
        <v>42</v>
      </c>
      <c r="U50" s="1" t="s">
        <v>22</v>
      </c>
      <c r="V50" t="s">
        <v>874</v>
      </c>
      <c r="W50" s="20" t="str">
        <f t="shared" ca="1" si="0"/>
        <v/>
      </c>
      <c r="X50" t="s">
        <v>1000</v>
      </c>
    </row>
    <row r="51" spans="1:25" ht="14.25" customHeight="1" x14ac:dyDescent="0.3">
      <c r="A51" s="1" t="s">
        <v>186</v>
      </c>
      <c r="B51" s="1">
        <v>240000</v>
      </c>
      <c r="C51" s="1">
        <v>110</v>
      </c>
      <c r="D51" s="1">
        <v>0</v>
      </c>
      <c r="E51" s="1" t="s">
        <v>36</v>
      </c>
      <c r="F51" s="1" t="s">
        <v>36</v>
      </c>
      <c r="G51" s="1" t="s">
        <v>36</v>
      </c>
      <c r="H51" s="1" t="s">
        <v>72</v>
      </c>
      <c r="I51" s="1" t="s">
        <v>23</v>
      </c>
      <c r="J51" s="1" t="s">
        <v>153</v>
      </c>
      <c r="K51" s="1" t="s">
        <v>161</v>
      </c>
      <c r="L51" s="1" t="s">
        <v>52</v>
      </c>
      <c r="M51" s="1" t="s">
        <v>26</v>
      </c>
      <c r="N51" s="1" t="s">
        <v>58</v>
      </c>
      <c r="O51" s="1" t="s">
        <v>243</v>
      </c>
      <c r="P51" s="1"/>
      <c r="Q51" s="1" t="s">
        <v>53</v>
      </c>
      <c r="R51" s="1" t="s">
        <v>187</v>
      </c>
      <c r="S51" s="18"/>
      <c r="T51" s="1" t="s">
        <v>42</v>
      </c>
      <c r="U51" s="1" t="s">
        <v>137</v>
      </c>
      <c r="V51" t="s">
        <v>874</v>
      </c>
      <c r="W51" s="20" t="str">
        <f t="shared" ca="1" si="0"/>
        <v/>
      </c>
      <c r="X51" t="s">
        <v>1000</v>
      </c>
    </row>
    <row r="52" spans="1:25" ht="14.25" customHeight="1" x14ac:dyDescent="0.3">
      <c r="A52" s="1" t="s">
        <v>188</v>
      </c>
      <c r="B52" s="1">
        <v>125000</v>
      </c>
      <c r="C52" s="1">
        <v>125</v>
      </c>
      <c r="D52" s="1">
        <v>0</v>
      </c>
      <c r="E52" s="1" t="s">
        <v>36</v>
      </c>
      <c r="F52" s="1" t="s">
        <v>36</v>
      </c>
      <c r="G52" s="1">
        <v>500</v>
      </c>
      <c r="H52" s="1" t="s">
        <v>72</v>
      </c>
      <c r="I52" s="1" t="s">
        <v>23</v>
      </c>
      <c r="J52" s="1" t="s">
        <v>34</v>
      </c>
      <c r="K52" s="1" t="s">
        <v>189</v>
      </c>
      <c r="L52" s="1" t="s">
        <v>52</v>
      </c>
      <c r="M52" s="1" t="s">
        <v>26</v>
      </c>
      <c r="N52" s="1" t="s">
        <v>58</v>
      </c>
      <c r="O52" s="1" t="s">
        <v>243</v>
      </c>
      <c r="P52" s="1"/>
      <c r="Q52" s="1" t="s">
        <v>53</v>
      </c>
      <c r="R52" s="1" t="s">
        <v>22</v>
      </c>
      <c r="S52" s="18" t="s">
        <v>22</v>
      </c>
      <c r="T52" s="1" t="s">
        <v>42</v>
      </c>
      <c r="U52" s="1" t="s">
        <v>21</v>
      </c>
      <c r="V52" t="s">
        <v>874</v>
      </c>
      <c r="W52" s="20" t="str">
        <f t="shared" ca="1" si="0"/>
        <v/>
      </c>
      <c r="X52" t="s">
        <v>1000</v>
      </c>
    </row>
    <row r="53" spans="1:25" ht="14.25" customHeight="1" x14ac:dyDescent="0.3">
      <c r="A53" s="1" t="s">
        <v>190</v>
      </c>
      <c r="B53" s="1">
        <v>116000</v>
      </c>
      <c r="C53" s="1">
        <v>110</v>
      </c>
      <c r="D53" s="1">
        <v>0</v>
      </c>
      <c r="E53" s="1" t="s">
        <v>36</v>
      </c>
      <c r="F53" s="1" t="s">
        <v>36</v>
      </c>
      <c r="G53" s="1" t="s">
        <v>36</v>
      </c>
      <c r="H53" s="1" t="s">
        <v>36</v>
      </c>
      <c r="I53" s="1" t="s">
        <v>23</v>
      </c>
      <c r="J53" s="1" t="s">
        <v>34</v>
      </c>
      <c r="K53" s="1" t="s">
        <v>191</v>
      </c>
      <c r="L53" s="1" t="s">
        <v>45</v>
      </c>
      <c r="M53" s="1" t="s">
        <v>26</v>
      </c>
      <c r="N53" s="1" t="s">
        <v>38</v>
      </c>
      <c r="O53" s="1" t="s">
        <v>39</v>
      </c>
      <c r="P53" s="1"/>
      <c r="Q53" s="1" t="s">
        <v>29</v>
      </c>
      <c r="R53" s="1" t="s">
        <v>22</v>
      </c>
      <c r="S53" s="18" t="s">
        <v>22</v>
      </c>
      <c r="T53" s="1" t="s">
        <v>42</v>
      </c>
      <c r="U53" s="1" t="s">
        <v>103</v>
      </c>
      <c r="V53" t="s">
        <v>874</v>
      </c>
      <c r="W53" s="20" t="str">
        <f t="shared" ca="1" si="0"/>
        <v/>
      </c>
      <c r="X53" t="s">
        <v>1000</v>
      </c>
    </row>
    <row r="54" spans="1:25" ht="14.25" customHeight="1" x14ac:dyDescent="0.3">
      <c r="A54" s="1" t="s">
        <v>192</v>
      </c>
      <c r="B54" s="1">
        <v>61600</v>
      </c>
      <c r="C54" s="1" t="s">
        <v>22</v>
      </c>
      <c r="D54" s="1">
        <v>289000</v>
      </c>
      <c r="E54" s="1" t="s">
        <v>36</v>
      </c>
      <c r="F54" s="1" t="s">
        <v>36</v>
      </c>
      <c r="G54" s="1" t="s">
        <v>36</v>
      </c>
      <c r="H54" s="1" t="s">
        <v>22</v>
      </c>
      <c r="I54" s="1" t="s">
        <v>23</v>
      </c>
      <c r="J54" s="1" t="s">
        <v>153</v>
      </c>
      <c r="K54" s="1" t="s">
        <v>193</v>
      </c>
      <c r="L54" s="1" t="s">
        <v>22</v>
      </c>
      <c r="M54" s="1" t="s">
        <v>26</v>
      </c>
      <c r="N54" s="1" t="s">
        <v>38</v>
      </c>
      <c r="O54" s="1" t="s">
        <v>39</v>
      </c>
      <c r="P54" s="1"/>
      <c r="Q54" s="1" t="s">
        <v>29</v>
      </c>
      <c r="R54" s="1" t="s">
        <v>22</v>
      </c>
      <c r="S54" s="18" t="s">
        <v>22</v>
      </c>
      <c r="T54" s="1" t="s">
        <v>42</v>
      </c>
      <c r="U54" s="1" t="s">
        <v>22</v>
      </c>
      <c r="V54" t="s">
        <v>874</v>
      </c>
      <c r="W54" s="20" t="str">
        <f t="shared" ca="1" si="0"/>
        <v/>
      </c>
      <c r="X54" t="s">
        <v>1000</v>
      </c>
    </row>
    <row r="55" spans="1:25" ht="14.25" customHeight="1" x14ac:dyDescent="0.3">
      <c r="A55" s="1" t="s">
        <v>194</v>
      </c>
      <c r="B55" s="1">
        <v>55000</v>
      </c>
      <c r="C55" s="1">
        <v>50</v>
      </c>
      <c r="D55" s="1">
        <v>0</v>
      </c>
      <c r="E55" s="1" t="s">
        <v>36</v>
      </c>
      <c r="F55" s="1" t="s">
        <v>36</v>
      </c>
      <c r="G55" s="1" t="s">
        <v>36</v>
      </c>
      <c r="H55" s="1" t="s">
        <v>72</v>
      </c>
      <c r="I55" s="1" t="s">
        <v>23</v>
      </c>
      <c r="J55" s="1" t="s">
        <v>34</v>
      </c>
      <c r="K55" s="1" t="s">
        <v>195</v>
      </c>
      <c r="L55" s="1" t="s">
        <v>22</v>
      </c>
      <c r="M55" s="1" t="s">
        <v>26</v>
      </c>
      <c r="N55" s="1" t="s">
        <v>38</v>
      </c>
      <c r="O55" s="1" t="s">
        <v>39</v>
      </c>
      <c r="P55" s="1"/>
      <c r="Q55" s="1" t="s">
        <v>40</v>
      </c>
      <c r="R55" s="1" t="s">
        <v>22</v>
      </c>
      <c r="S55" s="18">
        <v>45127</v>
      </c>
      <c r="T55" s="1" t="s">
        <v>42</v>
      </c>
      <c r="U55" s="1" t="s">
        <v>54</v>
      </c>
      <c r="V55" t="s">
        <v>875</v>
      </c>
      <c r="W55" s="20">
        <f t="shared" ca="1" si="0"/>
        <v>3.0800821355236141</v>
      </c>
      <c r="X55" t="s">
        <v>1000</v>
      </c>
    </row>
    <row r="56" spans="1:25" ht="14.25" customHeight="1" x14ac:dyDescent="0.3">
      <c r="A56" s="1" t="s">
        <v>196</v>
      </c>
      <c r="B56" s="1">
        <v>40000</v>
      </c>
      <c r="C56" s="1">
        <f>1*33</f>
        <v>33</v>
      </c>
      <c r="D56" s="1">
        <v>0</v>
      </c>
      <c r="E56" s="1" t="s">
        <v>36</v>
      </c>
      <c r="F56" s="1" t="s">
        <v>36</v>
      </c>
      <c r="G56" s="1" t="s">
        <v>36</v>
      </c>
      <c r="H56" s="1" t="s">
        <v>36</v>
      </c>
      <c r="I56" s="1" t="s">
        <v>23</v>
      </c>
      <c r="J56" s="1" t="s">
        <v>50</v>
      </c>
      <c r="K56" s="1" t="s">
        <v>197</v>
      </c>
      <c r="L56" s="1"/>
      <c r="M56" s="1" t="s">
        <v>26</v>
      </c>
      <c r="N56" s="1" t="s">
        <v>38</v>
      </c>
      <c r="O56" s="1" t="s">
        <v>39</v>
      </c>
      <c r="P56" s="1"/>
      <c r="Q56" s="1" t="s">
        <v>40</v>
      </c>
      <c r="R56" s="1" t="s">
        <v>198</v>
      </c>
      <c r="S56" s="18"/>
      <c r="T56" s="1" t="s">
        <v>42</v>
      </c>
      <c r="U56" s="1" t="s">
        <v>84</v>
      </c>
      <c r="V56" t="s">
        <v>874</v>
      </c>
      <c r="W56" s="20" t="str">
        <f t="shared" ca="1" si="0"/>
        <v/>
      </c>
      <c r="X56" t="s">
        <v>1000</v>
      </c>
    </row>
    <row r="57" spans="1:25" ht="14.25" customHeight="1" x14ac:dyDescent="0.3">
      <c r="A57" s="1" t="s">
        <v>199</v>
      </c>
      <c r="B57" s="1">
        <v>34000</v>
      </c>
      <c r="C57" s="1">
        <v>30</v>
      </c>
      <c r="D57" s="1">
        <v>0</v>
      </c>
      <c r="E57" s="1" t="s">
        <v>36</v>
      </c>
      <c r="F57" s="1" t="s">
        <v>36</v>
      </c>
      <c r="G57" s="1" t="s">
        <v>36</v>
      </c>
      <c r="H57" s="1" t="s">
        <v>22</v>
      </c>
      <c r="I57" s="1" t="s">
        <v>23</v>
      </c>
      <c r="J57" s="1" t="s">
        <v>56</v>
      </c>
      <c r="K57" s="1" t="s">
        <v>200</v>
      </c>
      <c r="L57" s="1" t="s">
        <v>45</v>
      </c>
      <c r="M57" s="1" t="s">
        <v>26</v>
      </c>
      <c r="N57" s="1" t="s">
        <v>58</v>
      </c>
      <c r="O57" s="1" t="s">
        <v>39</v>
      </c>
      <c r="P57" s="1"/>
      <c r="Q57" s="1" t="s">
        <v>29</v>
      </c>
      <c r="R57" s="1" t="s">
        <v>22</v>
      </c>
      <c r="S57" s="18" t="s">
        <v>22</v>
      </c>
      <c r="T57" s="1" t="s">
        <v>42</v>
      </c>
      <c r="U57" s="1" t="s">
        <v>22</v>
      </c>
      <c r="V57" t="s">
        <v>874</v>
      </c>
      <c r="W57" s="20" t="str">
        <f t="shared" ca="1" si="0"/>
        <v/>
      </c>
      <c r="X57" t="s">
        <v>1000</v>
      </c>
    </row>
    <row r="58" spans="1:25" ht="14.25" customHeight="1" x14ac:dyDescent="0.3">
      <c r="A58" s="1" t="s">
        <v>201</v>
      </c>
      <c r="B58" s="1">
        <v>103000</v>
      </c>
      <c r="C58" s="1" t="s">
        <v>22</v>
      </c>
      <c r="D58" s="1">
        <v>0</v>
      </c>
      <c r="E58" s="1" t="s">
        <v>36</v>
      </c>
      <c r="F58" s="1" t="s">
        <v>36</v>
      </c>
      <c r="G58" s="1" t="s">
        <v>36</v>
      </c>
      <c r="H58" s="1" t="s">
        <v>22</v>
      </c>
      <c r="I58" s="1" t="s">
        <v>23</v>
      </c>
      <c r="J58" s="1" t="s">
        <v>34</v>
      </c>
      <c r="K58" s="1" t="s">
        <v>22</v>
      </c>
      <c r="L58" s="1" t="s">
        <v>45</v>
      </c>
      <c r="M58" s="1" t="s">
        <v>26</v>
      </c>
      <c r="N58" s="1" t="s">
        <v>46</v>
      </c>
      <c r="O58" s="1" t="s">
        <v>243</v>
      </c>
      <c r="P58" s="1"/>
      <c r="Q58" s="1" t="s">
        <v>29</v>
      </c>
      <c r="R58" s="1" t="s">
        <v>22</v>
      </c>
      <c r="S58" s="18" t="s">
        <v>22</v>
      </c>
      <c r="T58" s="1" t="s">
        <v>42</v>
      </c>
      <c r="U58" s="1" t="s">
        <v>22</v>
      </c>
      <c r="V58" t="s">
        <v>874</v>
      </c>
      <c r="W58" s="20" t="str">
        <f t="shared" ca="1" si="0"/>
        <v/>
      </c>
      <c r="X58" t="s">
        <v>1000</v>
      </c>
    </row>
    <row r="59" spans="1:25" ht="14.25" customHeight="1" x14ac:dyDescent="0.3">
      <c r="A59" s="1" t="s">
        <v>202</v>
      </c>
      <c r="B59" s="1">
        <v>230000</v>
      </c>
      <c r="C59" s="1">
        <f>2*110</f>
        <v>220</v>
      </c>
      <c r="D59" s="1">
        <v>0</v>
      </c>
      <c r="E59" s="1" t="s">
        <v>36</v>
      </c>
      <c r="F59" s="1" t="s">
        <v>36</v>
      </c>
      <c r="G59" s="1" t="s">
        <v>36</v>
      </c>
      <c r="H59" s="1" t="s">
        <v>72</v>
      </c>
      <c r="I59" s="1" t="s">
        <v>23</v>
      </c>
      <c r="J59" s="1" t="s">
        <v>34</v>
      </c>
      <c r="K59" s="1" t="s">
        <v>203</v>
      </c>
      <c r="L59" s="1" t="s">
        <v>22</v>
      </c>
      <c r="M59" s="1" t="s">
        <v>26</v>
      </c>
      <c r="N59" s="1" t="s">
        <v>46</v>
      </c>
      <c r="O59" s="1" t="s">
        <v>243</v>
      </c>
      <c r="P59" s="1"/>
      <c r="Q59" s="1" t="s">
        <v>40</v>
      </c>
      <c r="R59" s="1" t="s">
        <v>204</v>
      </c>
      <c r="S59" s="18">
        <v>45175</v>
      </c>
      <c r="T59" s="1" t="s">
        <v>42</v>
      </c>
      <c r="U59" s="1" t="s">
        <v>205</v>
      </c>
      <c r="V59" t="s">
        <v>875</v>
      </c>
      <c r="W59" s="20">
        <f t="shared" ca="1" si="0"/>
        <v>2.9486652977412731</v>
      </c>
      <c r="X59" t="s">
        <v>1000</v>
      </c>
    </row>
    <row r="60" spans="1:25" ht="14.25" customHeight="1" x14ac:dyDescent="0.3">
      <c r="A60" s="1" t="s">
        <v>206</v>
      </c>
      <c r="B60" s="1">
        <v>27000</v>
      </c>
      <c r="C60" s="1">
        <f>1*33</f>
        <v>33</v>
      </c>
      <c r="D60" s="1" t="s">
        <v>22</v>
      </c>
      <c r="E60" s="1" t="s">
        <v>36</v>
      </c>
      <c r="F60" s="1" t="s">
        <v>36</v>
      </c>
      <c r="G60" s="1" t="s">
        <v>36</v>
      </c>
      <c r="H60" s="1" t="s">
        <v>22</v>
      </c>
      <c r="I60" s="1" t="s">
        <v>23</v>
      </c>
      <c r="J60" s="1" t="s">
        <v>34</v>
      </c>
      <c r="K60" s="1" t="s">
        <v>207</v>
      </c>
      <c r="L60" s="1" t="s">
        <v>22</v>
      </c>
      <c r="M60" s="1" t="s">
        <v>37</v>
      </c>
      <c r="N60" s="1" t="s">
        <v>38</v>
      </c>
      <c r="O60" s="1" t="s">
        <v>39</v>
      </c>
      <c r="P60" s="1"/>
      <c r="Q60" s="1" t="s">
        <v>40</v>
      </c>
      <c r="R60" s="1" t="s">
        <v>22</v>
      </c>
      <c r="S60" s="18" t="s">
        <v>22</v>
      </c>
      <c r="T60" s="1" t="s">
        <v>42</v>
      </c>
      <c r="U60" s="1" t="s">
        <v>22</v>
      </c>
      <c r="V60" t="s">
        <v>874</v>
      </c>
      <c r="W60" s="20" t="str">
        <f t="shared" ca="1" si="0"/>
        <v/>
      </c>
      <c r="X60" t="s">
        <v>1000</v>
      </c>
    </row>
    <row r="61" spans="1:25" ht="14.25" customHeight="1" x14ac:dyDescent="0.3">
      <c r="A61" s="1" t="s">
        <v>208</v>
      </c>
      <c r="B61" s="1">
        <v>115000</v>
      </c>
      <c r="C61" s="1">
        <v>125</v>
      </c>
      <c r="D61" s="1">
        <v>0</v>
      </c>
      <c r="E61" s="1" t="s">
        <v>36</v>
      </c>
      <c r="F61" s="1" t="s">
        <v>36</v>
      </c>
      <c r="G61" s="1" t="s">
        <v>36</v>
      </c>
      <c r="H61" s="1" t="s">
        <v>36</v>
      </c>
      <c r="I61" s="1" t="s">
        <v>23</v>
      </c>
      <c r="J61" s="1" t="s">
        <v>34</v>
      </c>
      <c r="K61" s="1" t="s">
        <v>209</v>
      </c>
      <c r="L61" s="1" t="s">
        <v>52</v>
      </c>
      <c r="M61" s="1" t="s">
        <v>26</v>
      </c>
      <c r="N61" s="1" t="s">
        <v>58</v>
      </c>
      <c r="O61" s="1" t="s">
        <v>243</v>
      </c>
      <c r="P61" s="1"/>
      <c r="Q61" s="1" t="s">
        <v>53</v>
      </c>
      <c r="R61" s="1" t="s">
        <v>22</v>
      </c>
      <c r="S61" s="18">
        <v>45752</v>
      </c>
      <c r="T61" s="1" t="s">
        <v>42</v>
      </c>
      <c r="U61" s="1" t="s">
        <v>210</v>
      </c>
      <c r="V61" t="s">
        <v>874</v>
      </c>
      <c r="W61" s="20">
        <f t="shared" ca="1" si="0"/>
        <v>1.3689253935660506</v>
      </c>
      <c r="X61" t="s">
        <v>1009</v>
      </c>
    </row>
    <row r="62" spans="1:25" ht="14.25" customHeight="1" x14ac:dyDescent="0.3">
      <c r="A62" s="1" t="s">
        <v>211</v>
      </c>
      <c r="B62" s="1">
        <v>33000</v>
      </c>
      <c r="C62" s="1">
        <v>30</v>
      </c>
      <c r="D62" s="1">
        <v>0</v>
      </c>
      <c r="E62" s="1" t="s">
        <v>36</v>
      </c>
      <c r="F62" s="1" t="s">
        <v>36</v>
      </c>
      <c r="G62" s="1" t="s">
        <v>36</v>
      </c>
      <c r="H62" s="1" t="s">
        <v>36</v>
      </c>
      <c r="I62" s="1" t="s">
        <v>23</v>
      </c>
      <c r="J62" s="1" t="s">
        <v>62</v>
      </c>
      <c r="K62" s="1" t="s">
        <v>212</v>
      </c>
      <c r="L62" s="1" t="s">
        <v>52</v>
      </c>
      <c r="M62" s="1" t="s">
        <v>26</v>
      </c>
      <c r="N62" s="1" t="s">
        <v>58</v>
      </c>
      <c r="O62" s="1" t="s">
        <v>39</v>
      </c>
      <c r="P62" s="1"/>
      <c r="Q62" s="1" t="s">
        <v>29</v>
      </c>
      <c r="R62" s="1" t="s">
        <v>22</v>
      </c>
      <c r="S62" s="18"/>
      <c r="T62" s="1" t="s">
        <v>42</v>
      </c>
      <c r="U62" s="1" t="s">
        <v>210</v>
      </c>
      <c r="V62" t="s">
        <v>874</v>
      </c>
      <c r="W62" s="20" t="str">
        <f t="shared" ca="1" si="0"/>
        <v/>
      </c>
      <c r="X62" t="s">
        <v>1000</v>
      </c>
    </row>
    <row r="63" spans="1:25" ht="14.25" customHeight="1" x14ac:dyDescent="0.3">
      <c r="A63" s="1" t="s">
        <v>213</v>
      </c>
      <c r="B63" s="1">
        <v>57000</v>
      </c>
      <c r="C63" s="1">
        <v>50</v>
      </c>
      <c r="D63" s="1">
        <v>0</v>
      </c>
      <c r="E63" s="1" t="s">
        <v>36</v>
      </c>
      <c r="F63" s="1" t="s">
        <v>36</v>
      </c>
      <c r="G63" s="1" t="s">
        <v>36</v>
      </c>
      <c r="H63" s="1" t="s">
        <v>36</v>
      </c>
      <c r="I63" s="1" t="s">
        <v>23</v>
      </c>
      <c r="J63" s="1" t="s">
        <v>34</v>
      </c>
      <c r="K63" s="1" t="s">
        <v>214</v>
      </c>
      <c r="L63" s="1" t="s">
        <v>52</v>
      </c>
      <c r="M63" s="1" t="s">
        <v>26</v>
      </c>
      <c r="N63" s="1" t="s">
        <v>58</v>
      </c>
      <c r="O63" s="1" t="s">
        <v>243</v>
      </c>
      <c r="P63" s="1"/>
      <c r="Q63" s="1" t="s">
        <v>29</v>
      </c>
      <c r="R63" s="1" t="s">
        <v>215</v>
      </c>
      <c r="S63" s="18">
        <v>45159</v>
      </c>
      <c r="T63" s="1" t="s">
        <v>42</v>
      </c>
      <c r="U63" s="1" t="s">
        <v>210</v>
      </c>
      <c r="V63" t="s">
        <v>875</v>
      </c>
      <c r="W63" s="20">
        <f t="shared" ca="1" si="0"/>
        <v>2.9924709103353866</v>
      </c>
      <c r="X63" t="s">
        <v>1001</v>
      </c>
    </row>
    <row r="64" spans="1:25" ht="14.25" customHeight="1" x14ac:dyDescent="0.3">
      <c r="A64" s="1" t="s">
        <v>216</v>
      </c>
      <c r="B64" s="1">
        <v>177000</v>
      </c>
      <c r="C64" s="1">
        <v>125</v>
      </c>
      <c r="D64" s="1">
        <v>0</v>
      </c>
      <c r="E64" s="1" t="s">
        <v>36</v>
      </c>
      <c r="F64" s="1" t="s">
        <v>36</v>
      </c>
      <c r="G64" s="1" t="s">
        <v>36</v>
      </c>
      <c r="H64" s="1" t="s">
        <v>36</v>
      </c>
      <c r="I64" s="1" t="s">
        <v>23</v>
      </c>
      <c r="J64" s="1" t="s">
        <v>34</v>
      </c>
      <c r="K64" s="1" t="s">
        <v>217</v>
      </c>
      <c r="L64" s="1" t="s">
        <v>52</v>
      </c>
      <c r="M64" s="1" t="s">
        <v>26</v>
      </c>
      <c r="N64" s="1" t="s">
        <v>58</v>
      </c>
      <c r="O64" s="1" t="s">
        <v>243</v>
      </c>
      <c r="P64" s="1"/>
      <c r="Q64" s="1" t="s">
        <v>53</v>
      </c>
      <c r="R64" s="1" t="s">
        <v>215</v>
      </c>
      <c r="S64" s="18"/>
      <c r="T64" s="1" t="s">
        <v>42</v>
      </c>
      <c r="U64" s="1" t="s">
        <v>210</v>
      </c>
      <c r="V64" t="s">
        <v>874</v>
      </c>
      <c r="W64" s="20" t="str">
        <f t="shared" ca="1" si="0"/>
        <v/>
      </c>
      <c r="X64" t="s">
        <v>1001</v>
      </c>
    </row>
    <row r="65" spans="1:24" ht="14.25" customHeight="1" x14ac:dyDescent="0.3">
      <c r="A65" s="1" t="s">
        <v>218</v>
      </c>
      <c r="B65" s="1">
        <v>57000</v>
      </c>
      <c r="C65" s="1">
        <v>50</v>
      </c>
      <c r="D65" s="1">
        <v>0</v>
      </c>
      <c r="E65" s="1" t="s">
        <v>36</v>
      </c>
      <c r="F65" s="1" t="s">
        <v>36</v>
      </c>
      <c r="G65" s="1" t="s">
        <v>36</v>
      </c>
      <c r="H65" s="1" t="s">
        <v>36</v>
      </c>
      <c r="I65" s="1" t="s">
        <v>23</v>
      </c>
      <c r="J65" s="1" t="s">
        <v>34</v>
      </c>
      <c r="K65" s="1" t="s">
        <v>219</v>
      </c>
      <c r="L65" s="1" t="s">
        <v>52</v>
      </c>
      <c r="M65" s="1" t="s">
        <v>26</v>
      </c>
      <c r="N65" s="1" t="s">
        <v>58</v>
      </c>
      <c r="O65" s="1" t="s">
        <v>243</v>
      </c>
      <c r="P65" s="1"/>
      <c r="Q65" s="1" t="s">
        <v>53</v>
      </c>
      <c r="R65" s="1" t="s">
        <v>215</v>
      </c>
      <c r="S65" s="18">
        <v>45159</v>
      </c>
      <c r="T65" s="1" t="s">
        <v>42</v>
      </c>
      <c r="U65" s="1" t="s">
        <v>210</v>
      </c>
      <c r="V65" t="s">
        <v>875</v>
      </c>
      <c r="W65" s="20">
        <f t="shared" ca="1" si="0"/>
        <v>2.9924709103353866</v>
      </c>
      <c r="X65" t="s">
        <v>1001</v>
      </c>
    </row>
    <row r="66" spans="1:24" ht="14.25" customHeight="1" x14ac:dyDescent="0.3">
      <c r="A66" s="1" t="s">
        <v>220</v>
      </c>
      <c r="B66" s="1">
        <v>300000</v>
      </c>
      <c r="C66" s="1" t="s">
        <v>22</v>
      </c>
      <c r="D66" s="1">
        <v>0</v>
      </c>
      <c r="E66" s="1" t="s">
        <v>36</v>
      </c>
      <c r="F66" s="1" t="s">
        <v>36</v>
      </c>
      <c r="G66" s="1" t="s">
        <v>36</v>
      </c>
      <c r="H66" s="1" t="s">
        <v>36</v>
      </c>
      <c r="I66" s="1" t="s">
        <v>23</v>
      </c>
      <c r="J66" s="1" t="s">
        <v>34</v>
      </c>
      <c r="K66" s="1" t="s">
        <v>221</v>
      </c>
      <c r="L66" s="1" t="s">
        <v>52</v>
      </c>
      <c r="M66" s="1" t="s">
        <v>26</v>
      </c>
      <c r="N66" s="1" t="s">
        <v>58</v>
      </c>
      <c r="O66" s="1" t="s">
        <v>243</v>
      </c>
      <c r="P66" s="1"/>
      <c r="Q66" s="1" t="s">
        <v>29</v>
      </c>
      <c r="R66" s="1" t="s">
        <v>22</v>
      </c>
      <c r="S66" s="18">
        <v>45924</v>
      </c>
      <c r="T66" s="1" t="s">
        <v>42</v>
      </c>
      <c r="U66" s="1" t="s">
        <v>210</v>
      </c>
      <c r="V66" t="s">
        <v>875</v>
      </c>
      <c r="W66" s="20">
        <f t="shared" ref="W66:W79" ca="1" si="1">IF(ISNUMBER(S66),(TODAY()-S66)/365.25,"")</f>
        <v>0.89801505817932925</v>
      </c>
      <c r="X66" t="s">
        <v>1001</v>
      </c>
    </row>
    <row r="67" spans="1:24" ht="14.25" customHeight="1" x14ac:dyDescent="0.3">
      <c r="A67" s="1" t="s">
        <v>222</v>
      </c>
      <c r="B67" s="1">
        <v>70000</v>
      </c>
      <c r="C67" s="1" t="s">
        <v>22</v>
      </c>
      <c r="D67" s="1">
        <v>0</v>
      </c>
      <c r="E67" s="1" t="s">
        <v>36</v>
      </c>
      <c r="F67" s="1" t="s">
        <v>36</v>
      </c>
      <c r="G67" s="1" t="s">
        <v>36</v>
      </c>
      <c r="H67" s="1" t="s">
        <v>36</v>
      </c>
      <c r="I67" s="1" t="s">
        <v>23</v>
      </c>
      <c r="J67" s="1" t="s">
        <v>34</v>
      </c>
      <c r="K67" s="1" t="s">
        <v>221</v>
      </c>
      <c r="L67" s="1" t="s">
        <v>52</v>
      </c>
      <c r="M67" s="1" t="s">
        <v>26</v>
      </c>
      <c r="N67" s="1" t="s">
        <v>58</v>
      </c>
      <c r="O67" s="1" t="s">
        <v>243</v>
      </c>
      <c r="P67" s="1"/>
      <c r="Q67" s="1" t="s">
        <v>29</v>
      </c>
      <c r="R67" s="1" t="s">
        <v>22</v>
      </c>
      <c r="S67" s="18">
        <v>45924</v>
      </c>
      <c r="T67" s="1" t="s">
        <v>42</v>
      </c>
      <c r="U67" s="1" t="s">
        <v>210</v>
      </c>
      <c r="V67" t="s">
        <v>875</v>
      </c>
      <c r="W67" s="20">
        <f t="shared" ca="1" si="1"/>
        <v>0.89801505817932925</v>
      </c>
      <c r="X67" t="s">
        <v>1001</v>
      </c>
    </row>
    <row r="68" spans="1:24" ht="14.25" customHeight="1" x14ac:dyDescent="0.3">
      <c r="A68" s="1" t="s">
        <v>223</v>
      </c>
      <c r="B68" s="1">
        <v>47600</v>
      </c>
      <c r="C68" s="1" t="s">
        <v>22</v>
      </c>
      <c r="D68" s="1">
        <v>0</v>
      </c>
      <c r="E68" s="1" t="s">
        <v>36</v>
      </c>
      <c r="F68" s="1" t="s">
        <v>36</v>
      </c>
      <c r="G68" s="1" t="s">
        <v>36</v>
      </c>
      <c r="H68" s="1" t="s">
        <v>36</v>
      </c>
      <c r="I68" s="1" t="s">
        <v>23</v>
      </c>
      <c r="J68" s="1" t="s">
        <v>34</v>
      </c>
      <c r="K68" s="1" t="s">
        <v>224</v>
      </c>
      <c r="L68" s="1" t="s">
        <v>52</v>
      </c>
      <c r="M68" s="1" t="s">
        <v>26</v>
      </c>
      <c r="N68" s="1" t="s">
        <v>27</v>
      </c>
      <c r="O68" s="1" t="s">
        <v>243</v>
      </c>
      <c r="P68" s="1"/>
      <c r="Q68" s="1" t="s">
        <v>29</v>
      </c>
      <c r="R68" s="1" t="s">
        <v>22</v>
      </c>
      <c r="S68" s="18">
        <v>45934</v>
      </c>
      <c r="T68" s="1" t="s">
        <v>42</v>
      </c>
      <c r="U68" s="1" t="s">
        <v>210</v>
      </c>
      <c r="V68" t="s">
        <v>875</v>
      </c>
      <c r="W68" s="20">
        <f t="shared" ca="1" si="1"/>
        <v>0.87063655030800824</v>
      </c>
      <c r="X68" t="s">
        <v>1000</v>
      </c>
    </row>
    <row r="69" spans="1:24" ht="14.25" customHeight="1" x14ac:dyDescent="0.3">
      <c r="A69" s="1" t="s">
        <v>225</v>
      </c>
      <c r="B69" s="1">
        <v>54740</v>
      </c>
      <c r="C69" s="1" t="s">
        <v>22</v>
      </c>
      <c r="D69" s="1">
        <v>0</v>
      </c>
      <c r="E69" s="1" t="s">
        <v>36</v>
      </c>
      <c r="F69" s="1" t="s">
        <v>36</v>
      </c>
      <c r="G69" s="1" t="s">
        <v>36</v>
      </c>
      <c r="H69" s="1" t="s">
        <v>36</v>
      </c>
      <c r="I69" s="1" t="s">
        <v>23</v>
      </c>
      <c r="J69" s="1" t="s">
        <v>34</v>
      </c>
      <c r="K69" s="1" t="s">
        <v>224</v>
      </c>
      <c r="L69" s="1" t="s">
        <v>52</v>
      </c>
      <c r="M69" s="1" t="s">
        <v>26</v>
      </c>
      <c r="N69" s="1" t="s">
        <v>27</v>
      </c>
      <c r="O69" s="1" t="s">
        <v>243</v>
      </c>
      <c r="P69" s="1"/>
      <c r="Q69" s="1" t="s">
        <v>29</v>
      </c>
      <c r="R69" s="1" t="s">
        <v>22</v>
      </c>
      <c r="S69" s="18">
        <v>45934</v>
      </c>
      <c r="T69" s="1" t="s">
        <v>42</v>
      </c>
      <c r="U69" s="1" t="s">
        <v>210</v>
      </c>
      <c r="V69" t="s">
        <v>875</v>
      </c>
      <c r="W69" s="20">
        <f t="shared" ca="1" si="1"/>
        <v>0.87063655030800824</v>
      </c>
      <c r="X69" t="s">
        <v>1000</v>
      </c>
    </row>
    <row r="70" spans="1:24" ht="14.25" customHeight="1" x14ac:dyDescent="0.3">
      <c r="A70" s="1" t="s">
        <v>226</v>
      </c>
      <c r="B70" s="1">
        <v>200000</v>
      </c>
      <c r="C70" s="1" t="s">
        <v>22</v>
      </c>
      <c r="D70" s="1">
        <v>0</v>
      </c>
      <c r="E70" s="1" t="s">
        <v>36</v>
      </c>
      <c r="F70" s="1" t="s">
        <v>36</v>
      </c>
      <c r="G70" s="1" t="s">
        <v>36</v>
      </c>
      <c r="H70" s="1" t="s">
        <v>36</v>
      </c>
      <c r="I70" s="1" t="s">
        <v>23</v>
      </c>
      <c r="J70" s="1" t="s">
        <v>50</v>
      </c>
      <c r="K70" s="1" t="s">
        <v>227</v>
      </c>
      <c r="L70" s="1" t="s">
        <v>52</v>
      </c>
      <c r="M70" s="1" t="s">
        <v>26</v>
      </c>
      <c r="N70" s="1" t="s">
        <v>38</v>
      </c>
      <c r="O70" s="1" t="s">
        <v>243</v>
      </c>
      <c r="P70" s="1"/>
      <c r="Q70" s="1" t="s">
        <v>29</v>
      </c>
      <c r="R70" s="1" t="s">
        <v>22</v>
      </c>
      <c r="S70" s="18" t="s">
        <v>22</v>
      </c>
      <c r="T70" s="1" t="s">
        <v>42</v>
      </c>
      <c r="U70" s="1" t="s">
        <v>22</v>
      </c>
      <c r="V70" t="s">
        <v>874</v>
      </c>
      <c r="W70" s="20" t="str">
        <f t="shared" ca="1" si="1"/>
        <v/>
      </c>
      <c r="X70" t="s">
        <v>1000</v>
      </c>
    </row>
    <row r="71" spans="1:24" ht="14.25" customHeight="1" x14ac:dyDescent="0.3">
      <c r="A71" s="1" t="s">
        <v>228</v>
      </c>
      <c r="B71" s="1">
        <v>170000</v>
      </c>
      <c r="C71" s="1">
        <f>4*50</f>
        <v>200</v>
      </c>
      <c r="D71" s="1">
        <v>491520</v>
      </c>
      <c r="E71" s="1" t="s">
        <v>229</v>
      </c>
      <c r="F71" s="1" t="s">
        <v>230</v>
      </c>
      <c r="G71" s="1" t="s">
        <v>36</v>
      </c>
      <c r="H71" s="1" t="s">
        <v>36</v>
      </c>
      <c r="I71" s="1" t="s">
        <v>23</v>
      </c>
      <c r="J71" s="1" t="s">
        <v>153</v>
      </c>
      <c r="K71" s="1" t="s">
        <v>231</v>
      </c>
      <c r="L71" s="1" t="s">
        <v>36</v>
      </c>
      <c r="M71" s="1" t="s">
        <v>37</v>
      </c>
      <c r="N71" s="1" t="s">
        <v>94</v>
      </c>
      <c r="O71" s="1" t="s">
        <v>39</v>
      </c>
      <c r="P71" s="1"/>
      <c r="Q71" s="1" t="s">
        <v>29</v>
      </c>
      <c r="R71" s="1" t="s">
        <v>22</v>
      </c>
      <c r="S71" s="18" t="s">
        <v>22</v>
      </c>
      <c r="T71" s="1" t="s">
        <v>232</v>
      </c>
      <c r="U71" s="1" t="s">
        <v>233</v>
      </c>
      <c r="V71" t="s">
        <v>874</v>
      </c>
      <c r="W71" s="20" t="str">
        <f t="shared" ca="1" si="1"/>
        <v/>
      </c>
      <c r="X71" t="s">
        <v>1000</v>
      </c>
    </row>
    <row r="72" spans="1:24" ht="14.25" customHeight="1" x14ac:dyDescent="0.3">
      <c r="A72" s="1" t="s">
        <v>234</v>
      </c>
      <c r="B72" s="1">
        <v>330000</v>
      </c>
      <c r="C72" s="1" t="s">
        <v>22</v>
      </c>
      <c r="D72" s="1">
        <v>0</v>
      </c>
      <c r="E72" s="1" t="s">
        <v>36</v>
      </c>
      <c r="F72" s="1" t="s">
        <v>36</v>
      </c>
      <c r="G72" s="1" t="s">
        <v>36</v>
      </c>
      <c r="H72" s="1" t="s">
        <v>36</v>
      </c>
      <c r="I72" s="1" t="s">
        <v>23</v>
      </c>
      <c r="J72" s="1" t="s">
        <v>62</v>
      </c>
      <c r="K72" s="1" t="s">
        <v>235</v>
      </c>
      <c r="L72" s="1" t="s">
        <v>52</v>
      </c>
      <c r="M72" s="1" t="s">
        <v>26</v>
      </c>
      <c r="N72" s="1" t="s">
        <v>27</v>
      </c>
      <c r="O72" s="1" t="s">
        <v>243</v>
      </c>
      <c r="P72" s="1"/>
      <c r="Q72" s="1" t="s">
        <v>53</v>
      </c>
      <c r="R72" s="1" t="s">
        <v>22</v>
      </c>
      <c r="S72" s="18" t="s">
        <v>22</v>
      </c>
      <c r="T72" s="1" t="s">
        <v>42</v>
      </c>
      <c r="U72" s="1" t="s">
        <v>22</v>
      </c>
      <c r="V72" s="12"/>
      <c r="W72" s="20" t="str">
        <f t="shared" ca="1" si="1"/>
        <v/>
      </c>
      <c r="X72" t="s">
        <v>1000</v>
      </c>
    </row>
    <row r="73" spans="1:24" ht="14.25" customHeight="1" x14ac:dyDescent="0.3">
      <c r="A73" t="s">
        <v>236</v>
      </c>
      <c r="B73">
        <v>120000</v>
      </c>
      <c r="D73">
        <v>0</v>
      </c>
      <c r="E73" s="1" t="s">
        <v>36</v>
      </c>
      <c r="F73" s="1" t="s">
        <v>36</v>
      </c>
      <c r="G73" s="1" t="s">
        <v>36</v>
      </c>
      <c r="H73" s="1" t="s">
        <v>36</v>
      </c>
      <c r="I73" s="1" t="s">
        <v>23</v>
      </c>
      <c r="J73" t="s">
        <v>56</v>
      </c>
      <c r="K73" t="s">
        <v>237</v>
      </c>
      <c r="N73" s="1" t="s">
        <v>238</v>
      </c>
      <c r="O73" s="1" t="s">
        <v>39</v>
      </c>
      <c r="P73" s="1"/>
      <c r="Q73" s="1" t="s">
        <v>29</v>
      </c>
      <c r="S73" s="19"/>
      <c r="T73" s="1" t="s">
        <v>42</v>
      </c>
      <c r="W73" s="20" t="str">
        <f t="shared" ca="1" si="1"/>
        <v/>
      </c>
      <c r="X73" t="s">
        <v>1000</v>
      </c>
    </row>
    <row r="74" spans="1:24" ht="14.25" customHeight="1" x14ac:dyDescent="0.3">
      <c r="A74" t="s">
        <v>239</v>
      </c>
      <c r="B74">
        <v>23010</v>
      </c>
      <c r="D74">
        <v>0</v>
      </c>
      <c r="E74" s="1" t="s">
        <v>36</v>
      </c>
      <c r="F74" s="1" t="s">
        <v>36</v>
      </c>
      <c r="G74" s="1" t="s">
        <v>36</v>
      </c>
      <c r="H74" s="1" t="s">
        <v>36</v>
      </c>
      <c r="I74" s="1" t="s">
        <v>23</v>
      </c>
      <c r="J74" t="s">
        <v>34</v>
      </c>
      <c r="K74" t="s">
        <v>240</v>
      </c>
      <c r="L74" t="s">
        <v>52</v>
      </c>
      <c r="M74" t="s">
        <v>26</v>
      </c>
      <c r="N74" s="1" t="s">
        <v>58</v>
      </c>
      <c r="O74" s="1" t="s">
        <v>243</v>
      </c>
      <c r="P74" s="1"/>
      <c r="Q74" s="1" t="s">
        <v>29</v>
      </c>
      <c r="S74" s="19">
        <v>45951</v>
      </c>
      <c r="T74" s="1" t="s">
        <v>42</v>
      </c>
      <c r="U74" s="1" t="s">
        <v>210</v>
      </c>
      <c r="V74" t="s">
        <v>875</v>
      </c>
      <c r="W74" s="20">
        <f t="shared" ca="1" si="1"/>
        <v>0.82409308692676253</v>
      </c>
      <c r="X74" t="s">
        <v>1000</v>
      </c>
    </row>
    <row r="75" spans="1:24" ht="14.25" customHeight="1" x14ac:dyDescent="0.3">
      <c r="A75" t="s">
        <v>241</v>
      </c>
      <c r="B75">
        <v>175680</v>
      </c>
      <c r="C75">
        <v>150</v>
      </c>
      <c r="D75">
        <v>0</v>
      </c>
      <c r="E75" s="1" t="s">
        <v>36</v>
      </c>
      <c r="F75" t="s">
        <v>36</v>
      </c>
      <c r="G75" s="1" t="s">
        <v>36</v>
      </c>
      <c r="H75" s="1" t="s">
        <v>36</v>
      </c>
      <c r="I75" s="1" t="s">
        <v>23</v>
      </c>
      <c r="J75" t="s">
        <v>68</v>
      </c>
      <c r="K75" t="s">
        <v>242</v>
      </c>
      <c r="L75" t="s">
        <v>52</v>
      </c>
      <c r="M75" t="s">
        <v>26</v>
      </c>
      <c r="N75" s="1" t="s">
        <v>58</v>
      </c>
      <c r="O75" s="1" t="s">
        <v>243</v>
      </c>
      <c r="P75" s="1"/>
      <c r="Q75" s="1" t="s">
        <v>29</v>
      </c>
      <c r="S75" s="19">
        <v>46068</v>
      </c>
      <c r="T75" t="s">
        <v>42</v>
      </c>
      <c r="U75" t="s">
        <v>210</v>
      </c>
      <c r="V75" t="s">
        <v>874</v>
      </c>
      <c r="W75" s="20">
        <f t="shared" ca="1" si="1"/>
        <v>0.50376454483230659</v>
      </c>
      <c r="X75" t="s">
        <v>1008</v>
      </c>
    </row>
    <row r="76" spans="1:24" ht="14.25" customHeight="1" x14ac:dyDescent="0.3">
      <c r="A76" t="s">
        <v>244</v>
      </c>
      <c r="B76">
        <v>127440</v>
      </c>
      <c r="C76">
        <v>100</v>
      </c>
      <c r="D76">
        <v>246</v>
      </c>
      <c r="E76" t="s">
        <v>229</v>
      </c>
      <c r="F76" t="s">
        <v>229</v>
      </c>
      <c r="G76" s="1" t="s">
        <v>36</v>
      </c>
      <c r="H76" s="1" t="s">
        <v>36</v>
      </c>
      <c r="I76" s="1" t="s">
        <v>245</v>
      </c>
      <c r="J76" t="s">
        <v>246</v>
      </c>
      <c r="K76" t="s">
        <v>247</v>
      </c>
      <c r="L76" t="s">
        <v>36</v>
      </c>
      <c r="M76" t="s">
        <v>37</v>
      </c>
      <c r="N76" s="1" t="s">
        <v>58</v>
      </c>
      <c r="O76" s="1" t="s">
        <v>243</v>
      </c>
      <c r="P76" s="1"/>
      <c r="Q76" s="1"/>
      <c r="S76" s="19">
        <v>46114</v>
      </c>
      <c r="T76" t="s">
        <v>248</v>
      </c>
      <c r="U76" t="s">
        <v>233</v>
      </c>
      <c r="V76" t="s">
        <v>874</v>
      </c>
      <c r="W76" s="20">
        <f t="shared" ca="1" si="1"/>
        <v>0.37782340862422997</v>
      </c>
      <c r="X76" t="s">
        <v>1008</v>
      </c>
    </row>
    <row r="77" spans="1:24" ht="14.25" customHeight="1" x14ac:dyDescent="0.3">
      <c r="A77" t="s">
        <v>271</v>
      </c>
      <c r="B77">
        <v>114070</v>
      </c>
      <c r="C77">
        <v>125</v>
      </c>
      <c r="D77">
        <v>0</v>
      </c>
      <c r="E77" t="s">
        <v>36</v>
      </c>
      <c r="F77" t="s">
        <v>36</v>
      </c>
      <c r="G77" s="1" t="s">
        <v>36</v>
      </c>
      <c r="H77" s="1" t="s">
        <v>36</v>
      </c>
      <c r="I77" s="1" t="s">
        <v>23</v>
      </c>
      <c r="J77" t="s">
        <v>34</v>
      </c>
      <c r="K77" t="s">
        <v>249</v>
      </c>
      <c r="L77" t="s">
        <v>52</v>
      </c>
      <c r="M77" t="s">
        <v>26</v>
      </c>
      <c r="N77" t="s">
        <v>58</v>
      </c>
      <c r="O77" s="1" t="s">
        <v>243</v>
      </c>
      <c r="S77" s="19">
        <v>46162</v>
      </c>
      <c r="T77" t="s">
        <v>42</v>
      </c>
      <c r="U77" s="1" t="s">
        <v>210</v>
      </c>
      <c r="V77" t="s">
        <v>875</v>
      </c>
      <c r="W77" s="20">
        <f t="shared" ca="1" si="1"/>
        <v>0.24640657084188911</v>
      </c>
      <c r="X77" t="s">
        <v>1001</v>
      </c>
    </row>
    <row r="78" spans="1:24" ht="14.25" customHeight="1" x14ac:dyDescent="0.3">
      <c r="A78" t="s">
        <v>250</v>
      </c>
      <c r="B78">
        <v>217000</v>
      </c>
      <c r="C78">
        <f>2*110</f>
        <v>220</v>
      </c>
      <c r="D78">
        <v>0</v>
      </c>
      <c r="E78" t="s">
        <v>36</v>
      </c>
      <c r="F78" t="s">
        <v>36</v>
      </c>
      <c r="G78" s="1" t="s">
        <v>36</v>
      </c>
      <c r="H78" s="1" t="s">
        <v>36</v>
      </c>
      <c r="I78" s="1" t="s">
        <v>23</v>
      </c>
      <c r="J78" t="s">
        <v>50</v>
      </c>
      <c r="K78" s="1" t="s">
        <v>51</v>
      </c>
      <c r="L78" t="s">
        <v>52</v>
      </c>
      <c r="M78" t="s">
        <v>26</v>
      </c>
      <c r="N78" t="s">
        <v>38</v>
      </c>
      <c r="O78" s="1" t="s">
        <v>243</v>
      </c>
      <c r="Q78" t="s">
        <v>53</v>
      </c>
      <c r="S78" s="19">
        <v>46140</v>
      </c>
      <c r="T78" t="s">
        <v>42</v>
      </c>
      <c r="U78" s="1" t="s">
        <v>210</v>
      </c>
      <c r="V78" t="s">
        <v>875</v>
      </c>
      <c r="W78" s="20">
        <f t="shared" ca="1" si="1"/>
        <v>0.30663928815879532</v>
      </c>
      <c r="X78" t="s">
        <v>1000</v>
      </c>
    </row>
    <row r="79" spans="1:24" ht="14.25" customHeight="1" x14ac:dyDescent="0.3">
      <c r="A79" t="s">
        <v>251</v>
      </c>
      <c r="B79">
        <v>161000</v>
      </c>
      <c r="C79">
        <v>150</v>
      </c>
      <c r="D79">
        <v>0</v>
      </c>
      <c r="E79" t="s">
        <v>36</v>
      </c>
      <c r="F79" t="s">
        <v>36</v>
      </c>
      <c r="G79" s="1" t="s">
        <v>36</v>
      </c>
      <c r="H79" s="1" t="s">
        <v>36</v>
      </c>
      <c r="I79" t="s">
        <v>23</v>
      </c>
      <c r="J79" t="s">
        <v>153</v>
      </c>
      <c r="K79" t="s">
        <v>252</v>
      </c>
      <c r="L79" t="s">
        <v>52</v>
      </c>
      <c r="M79" t="s">
        <v>26</v>
      </c>
      <c r="N79" t="s">
        <v>58</v>
      </c>
      <c r="O79" s="1" t="s">
        <v>243</v>
      </c>
      <c r="Q79" t="s">
        <v>29</v>
      </c>
      <c r="S79" s="19"/>
      <c r="T79" t="s">
        <v>872</v>
      </c>
      <c r="U79" s="1" t="s">
        <v>210</v>
      </c>
      <c r="V79" t="s">
        <v>874</v>
      </c>
      <c r="W79" s="20" t="str">
        <f t="shared" ca="1" si="1"/>
        <v/>
      </c>
      <c r="X79" t="s">
        <v>1008</v>
      </c>
    </row>
    <row r="80" spans="1:24" ht="14.25" customHeight="1" x14ac:dyDescent="0.3">
      <c r="A80" t="s">
        <v>1002</v>
      </c>
      <c r="B80">
        <v>148800</v>
      </c>
      <c r="C80">
        <v>150</v>
      </c>
      <c r="D80">
        <v>0</v>
      </c>
      <c r="E80" t="s">
        <v>36</v>
      </c>
      <c r="F80" t="s">
        <v>36</v>
      </c>
      <c r="G80" s="1" t="s">
        <v>36</v>
      </c>
      <c r="H80" s="1" t="s">
        <v>36</v>
      </c>
      <c r="I80" t="s">
        <v>23</v>
      </c>
      <c r="J80" t="s">
        <v>1011</v>
      </c>
      <c r="K80" t="s">
        <v>1005</v>
      </c>
      <c r="L80" t="s">
        <v>52</v>
      </c>
      <c r="M80" t="s">
        <v>26</v>
      </c>
      <c r="N80" t="s">
        <v>58</v>
      </c>
      <c r="O80" s="1" t="s">
        <v>243</v>
      </c>
      <c r="Q80" t="s">
        <v>29</v>
      </c>
      <c r="S80" s="19"/>
      <c r="T80" t="s">
        <v>872</v>
      </c>
      <c r="U80" s="1" t="s">
        <v>210</v>
      </c>
      <c r="V80" t="s">
        <v>874</v>
      </c>
      <c r="W80" t="str">
        <f t="shared" ref="W80:W81" ca="1" si="2">IF(ISNUMBER(S80),(TODAY()-S80)/365.25,"")</f>
        <v/>
      </c>
      <c r="X80" t="s">
        <v>1008</v>
      </c>
    </row>
    <row r="81" spans="1:24" ht="14.25" customHeight="1" x14ac:dyDescent="0.3">
      <c r="A81" t="s">
        <v>1003</v>
      </c>
      <c r="B81">
        <v>132680</v>
      </c>
      <c r="C81">
        <v>125</v>
      </c>
      <c r="D81">
        <v>0</v>
      </c>
      <c r="E81" t="s">
        <v>36</v>
      </c>
      <c r="F81" t="s">
        <v>36</v>
      </c>
      <c r="G81" s="1" t="s">
        <v>36</v>
      </c>
      <c r="H81" s="1" t="s">
        <v>36</v>
      </c>
      <c r="I81" t="s">
        <v>23</v>
      </c>
      <c r="J81" t="s">
        <v>34</v>
      </c>
      <c r="K81" t="s">
        <v>1006</v>
      </c>
      <c r="L81" t="s">
        <v>52</v>
      </c>
      <c r="M81" t="s">
        <v>26</v>
      </c>
      <c r="N81" t="s">
        <v>58</v>
      </c>
      <c r="Q81" t="s">
        <v>29</v>
      </c>
      <c r="S81" s="19"/>
      <c r="T81" t="s">
        <v>872</v>
      </c>
      <c r="U81" s="1" t="s">
        <v>210</v>
      </c>
      <c r="V81" t="s">
        <v>874</v>
      </c>
      <c r="W81" t="str">
        <f t="shared" ca="1" si="2"/>
        <v/>
      </c>
      <c r="X81" t="s">
        <v>1008</v>
      </c>
    </row>
    <row r="82" spans="1:24" ht="14.25" customHeight="1" x14ac:dyDescent="0.3">
      <c r="A82" t="s">
        <v>1004</v>
      </c>
      <c r="B82">
        <v>29760</v>
      </c>
      <c r="C82">
        <v>30</v>
      </c>
      <c r="D82">
        <v>0</v>
      </c>
      <c r="E82" t="s">
        <v>36</v>
      </c>
      <c r="F82" t="s">
        <v>36</v>
      </c>
      <c r="G82" s="1" t="s">
        <v>36</v>
      </c>
      <c r="H82" s="1" t="s">
        <v>36</v>
      </c>
      <c r="I82" t="s">
        <v>23</v>
      </c>
      <c r="J82" t="s">
        <v>56</v>
      </c>
      <c r="K82" t="s">
        <v>1007</v>
      </c>
      <c r="L82" t="s">
        <v>52</v>
      </c>
      <c r="M82" t="s">
        <v>26</v>
      </c>
      <c r="N82" t="s">
        <v>58</v>
      </c>
      <c r="Q82" t="s">
        <v>29</v>
      </c>
      <c r="S82" s="19">
        <v>46185</v>
      </c>
      <c r="T82" t="s">
        <v>872</v>
      </c>
      <c r="U82" s="1" t="s">
        <v>210</v>
      </c>
      <c r="V82" t="s">
        <v>874</v>
      </c>
      <c r="W82">
        <f ca="1">IF(ISNUMBER(S82),(TODAY()-S82)/365.25,"")</f>
        <v>0.1834360027378508</v>
      </c>
      <c r="X82" t="s">
        <v>1008</v>
      </c>
    </row>
    <row r="83" spans="1:24" ht="14.25" customHeight="1" x14ac:dyDescent="0.3"/>
    <row r="84" spans="1:24" ht="14.25" customHeight="1" x14ac:dyDescent="0.3"/>
    <row r="85" spans="1:24" ht="14.25" customHeight="1" x14ac:dyDescent="0.3"/>
    <row r="86" spans="1:24" ht="14.25" customHeight="1" x14ac:dyDescent="0.3"/>
    <row r="87" spans="1:24" ht="14.25" customHeight="1" x14ac:dyDescent="0.3"/>
    <row r="88" spans="1:24" ht="14.25" customHeight="1" x14ac:dyDescent="0.3"/>
    <row r="89" spans="1:24" ht="14.25" customHeight="1" x14ac:dyDescent="0.3"/>
    <row r="90" spans="1:24" ht="14.25" customHeight="1" x14ac:dyDescent="0.3"/>
    <row r="91" spans="1:24" ht="14.25" customHeight="1" x14ac:dyDescent="0.3"/>
    <row r="92" spans="1:24" ht="14.25" customHeight="1" x14ac:dyDescent="0.3"/>
    <row r="93" spans="1:24" ht="14.25" customHeight="1" x14ac:dyDescent="0.3"/>
    <row r="94" spans="1:24" ht="14.25" customHeight="1" x14ac:dyDescent="0.3"/>
    <row r="95" spans="1:24" ht="14.25" customHeight="1" x14ac:dyDescent="0.3"/>
    <row r="96" spans="1:24"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sheetData>
  <phoneticPr fontId="4" type="noConversion"/>
  <dataValidations count="8">
    <dataValidation type="list" allowBlank="1" showInputMessage="1" showErrorMessage="1" sqref="J73:J75 J77:J229" xr:uid="{00000000-0002-0000-0000-000000000000}">
      <formula1>"Gauteng,KZN,Western Cape,Northern Cape,Mpumalanga,Limpopo,North West,Free state,Eastern Cape"</formula1>
      <formula2>0</formula2>
    </dataValidation>
    <dataValidation type="list" allowBlank="1" showInputMessage="1" showErrorMessage="1" sqref="N2:N16 N18:N70 N72:N82" xr:uid="{00000000-0002-0000-0000-000001000000}">
      <formula1>"Retail,Agriculural,Residential,Manufacture,Commercial,Industrial"</formula1>
      <formula2>0</formula2>
    </dataValidation>
    <dataValidation type="list" allowBlank="1" showErrorMessage="1" errorTitle="Invalid Country" error="Please select a country from the list." sqref="I2:I82" xr:uid="{00000000-0002-0000-0000-000003000000}">
      <formula1>AfricaCountries</formula1>
    </dataValidation>
    <dataValidation type="list" allowBlank="1" showInputMessage="1" showErrorMessage="1" sqref="J76" xr:uid="{2F9A3115-4773-49D2-B0B0-BF31054E866D}">
      <formula1>"Gauteng,KZN,Western Cape,Northern Cape,Mpumalanga,Limpopo,North West,Free state,Eastern Cape,Lusaka"</formula1>
    </dataValidation>
    <dataValidation type="list" allowBlank="1" showInputMessage="1" showErrorMessage="1" sqref="N17 N71" xr:uid="{93B88269-E1E9-45A7-9AFF-2B9C0FED4C59}">
      <formula1>"Retail,Agricultural,Residential,Manufacture,Commercial,Industrial"</formula1>
    </dataValidation>
    <dataValidation type="list" allowBlank="1" showInputMessage="1" showErrorMessage="1" sqref="O2:O82" xr:uid="{00000000-0002-0000-0000-000002000000}">
      <formula1>"Decommissioned,Producing,Reduced Demand"</formula1>
      <formula2>0</formula2>
    </dataValidation>
    <dataValidation type="list" allowBlank="1" showInputMessage="1" showErrorMessage="1" sqref="V2:V82" xr:uid="{2A54AE45-3D04-43F7-B880-1BB329B234AF}">
      <formula1>"YES,NO"</formula1>
    </dataValidation>
    <dataValidation type="list" allowBlank="1" showInputMessage="1" showErrorMessage="1" sqref="X2:Y82" xr:uid="{44973B9A-327E-4911-A79C-D3F0049038B9}">
      <formula1>"High,Medium,Low,Unknown"</formula1>
    </dataValidation>
  </dataValidations>
  <pageMargins left="0.7" right="0.7" top="0.75" bottom="0.75" header="0.511811023622047" footer="0.511811023622047"/>
  <pageSetup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V80"/>
  <sheetViews>
    <sheetView zoomScaleNormal="100" workbookViewId="0">
      <pane xSplit="1" ySplit="1" topLeftCell="B67" activePane="bottomRight" state="frozen"/>
      <selection pane="topRight" activeCell="B1" sqref="B1"/>
      <selection pane="bottomLeft" activeCell="A2" sqref="A2"/>
      <selection pane="bottomRight" activeCell="A80" sqref="A80"/>
    </sheetView>
  </sheetViews>
  <sheetFormatPr defaultColWidth="8.6640625" defaultRowHeight="14.4" outlineLevelCol="1" x14ac:dyDescent="0.3"/>
  <cols>
    <col min="1" max="1" width="26.6640625" customWidth="1"/>
    <col min="2" max="8" width="11.109375" customWidth="1" outlineLevel="1"/>
    <col min="9" max="10" width="12.109375" customWidth="1" outlineLevel="1"/>
    <col min="11" max="11" width="11.44140625" customWidth="1" outlineLevel="1"/>
    <col min="12" max="13" width="12.109375" customWidth="1" outlineLevel="1"/>
    <col min="14" max="23" width="8.6640625" customWidth="1" outlineLevel="1"/>
    <col min="24" max="24" width="8.6640625" style="3" customWidth="1" outlineLevel="1"/>
    <col min="26" max="36" width="8.6640625" customWidth="1" outlineLevel="1"/>
    <col min="37" max="48" width="8.6640625" style="4" customWidth="1"/>
  </cols>
  <sheetData>
    <row r="1" spans="1:13" ht="14.25" customHeight="1" x14ac:dyDescent="0.3">
      <c r="A1" t="s">
        <v>0</v>
      </c>
      <c r="B1" t="s">
        <v>253</v>
      </c>
      <c r="C1" t="s">
        <v>254</v>
      </c>
      <c r="D1" t="s">
        <v>255</v>
      </c>
      <c r="E1" t="s">
        <v>256</v>
      </c>
      <c r="F1" t="s">
        <v>257</v>
      </c>
      <c r="G1" t="s">
        <v>258</v>
      </c>
      <c r="H1" t="s">
        <v>259</v>
      </c>
      <c r="I1" t="s">
        <v>260</v>
      </c>
      <c r="J1" t="s">
        <v>261</v>
      </c>
      <c r="K1" t="s">
        <v>262</v>
      </c>
      <c r="L1" t="s">
        <v>263</v>
      </c>
      <c r="M1" t="s">
        <v>264</v>
      </c>
    </row>
    <row r="2" spans="1:13" ht="14.25" customHeight="1" x14ac:dyDescent="0.3">
      <c r="A2" t="s">
        <v>31</v>
      </c>
      <c r="B2" s="5">
        <v>2634</v>
      </c>
      <c r="C2" s="5">
        <v>2978</v>
      </c>
      <c r="D2" s="5">
        <v>2426</v>
      </c>
      <c r="E2" s="5">
        <v>2082</v>
      </c>
      <c r="F2" s="5">
        <v>2025</v>
      </c>
      <c r="G2" s="5">
        <v>1810</v>
      </c>
      <c r="H2" s="5">
        <v>2016</v>
      </c>
      <c r="I2" s="5">
        <v>2352</v>
      </c>
      <c r="J2" s="5">
        <v>2528</v>
      </c>
      <c r="K2" s="5">
        <v>2675</v>
      </c>
      <c r="L2" s="5">
        <v>2618</v>
      </c>
      <c r="M2" s="5">
        <v>2758</v>
      </c>
    </row>
    <row r="3" spans="1:13" ht="14.25" customHeight="1" x14ac:dyDescent="0.3">
      <c r="A3" t="s">
        <v>43</v>
      </c>
      <c r="B3" s="5">
        <v>26489.3</v>
      </c>
      <c r="C3" s="5">
        <v>23277.8</v>
      </c>
      <c r="D3" s="5">
        <v>23704</v>
      </c>
      <c r="E3" s="5">
        <v>19723.400000000001</v>
      </c>
      <c r="F3" s="5">
        <v>18790.7</v>
      </c>
      <c r="G3" s="5">
        <v>16902.599999999999</v>
      </c>
      <c r="H3" s="5">
        <v>18714.900000000001</v>
      </c>
      <c r="I3" s="5">
        <v>21796.9</v>
      </c>
      <c r="J3" s="5">
        <v>24005.1</v>
      </c>
      <c r="K3" s="5">
        <v>26259.599999999999</v>
      </c>
      <c r="L3" s="5">
        <v>26494.9</v>
      </c>
      <c r="M3" s="5">
        <v>27974.1</v>
      </c>
    </row>
    <row r="4" spans="1:13" ht="14.25" customHeight="1" x14ac:dyDescent="0.3">
      <c r="A4" t="s">
        <v>49</v>
      </c>
      <c r="B4" s="5">
        <v>5335</v>
      </c>
      <c r="C4" s="5">
        <v>4782</v>
      </c>
      <c r="D4" s="5">
        <v>5051</v>
      </c>
      <c r="E4" s="5">
        <v>5133</v>
      </c>
      <c r="F4" s="5">
        <v>5545</v>
      </c>
      <c r="G4" s="5">
        <v>5291</v>
      </c>
      <c r="H4" s="5">
        <v>5201</v>
      </c>
      <c r="I4" s="5">
        <v>5833</v>
      </c>
      <c r="J4" s="5">
        <v>5216</v>
      </c>
      <c r="K4" s="5">
        <v>5258</v>
      </c>
      <c r="L4" s="5">
        <v>5358</v>
      </c>
      <c r="M4" s="5">
        <v>5339</v>
      </c>
    </row>
    <row r="5" spans="1:13" ht="14.25" customHeight="1" x14ac:dyDescent="0.3">
      <c r="A5" t="s">
        <v>55</v>
      </c>
      <c r="B5" s="5">
        <v>19132</v>
      </c>
      <c r="C5" s="5">
        <v>16455</v>
      </c>
      <c r="D5" s="5">
        <v>18192</v>
      </c>
      <c r="E5" s="5">
        <v>17513</v>
      </c>
      <c r="F5" s="5">
        <v>16955</v>
      </c>
      <c r="G5" s="5">
        <v>15353</v>
      </c>
      <c r="H5" s="5">
        <v>16159</v>
      </c>
      <c r="I5" s="5">
        <v>18059</v>
      </c>
      <c r="J5" s="5">
        <v>18155</v>
      </c>
      <c r="K5" s="5">
        <v>17437</v>
      </c>
      <c r="L5" s="5">
        <v>17289</v>
      </c>
      <c r="M5" s="5">
        <v>19005</v>
      </c>
    </row>
    <row r="6" spans="1:13" ht="14.25" customHeight="1" x14ac:dyDescent="0.3">
      <c r="A6" t="s">
        <v>60</v>
      </c>
      <c r="B6" s="5">
        <v>57016.371899999998</v>
      </c>
      <c r="C6" s="5">
        <v>49003.656300000002</v>
      </c>
      <c r="D6" s="5">
        <v>54154.744500000001</v>
      </c>
      <c r="E6" s="5">
        <v>52055.443200000002</v>
      </c>
      <c r="F6" s="5">
        <v>50303.592600000004</v>
      </c>
      <c r="G6" s="5">
        <v>45493.302000000003</v>
      </c>
      <c r="H6" s="5">
        <v>47903.114399999999</v>
      </c>
      <c r="I6" s="5">
        <v>53629.447500000002</v>
      </c>
      <c r="J6" s="5">
        <v>54003.212699999996</v>
      </c>
      <c r="K6" s="5">
        <v>51943.234199999999</v>
      </c>
      <c r="L6" s="5">
        <v>51542.757299999997</v>
      </c>
      <c r="M6" s="5">
        <v>56267.012691900003</v>
      </c>
    </row>
    <row r="7" spans="1:13" ht="14.25" customHeight="1" x14ac:dyDescent="0.3">
      <c r="A7" t="s">
        <v>61</v>
      </c>
      <c r="B7" s="5">
        <v>15319</v>
      </c>
      <c r="C7" s="5">
        <v>12622</v>
      </c>
      <c r="D7" s="5">
        <v>12090</v>
      </c>
      <c r="E7" s="5">
        <v>8698</v>
      </c>
      <c r="F7" s="5">
        <v>6615</v>
      </c>
      <c r="G7" s="5">
        <v>5740</v>
      </c>
      <c r="H7" s="5">
        <v>6183</v>
      </c>
      <c r="I7" s="5">
        <v>7734</v>
      </c>
      <c r="J7" s="5">
        <v>9940</v>
      </c>
      <c r="K7" s="5">
        <v>12572</v>
      </c>
      <c r="L7" s="5">
        <v>14126</v>
      </c>
      <c r="M7" s="5">
        <v>15421</v>
      </c>
    </row>
    <row r="8" spans="1:13" ht="14.25" customHeight="1" x14ac:dyDescent="0.3">
      <c r="A8" t="s">
        <v>64</v>
      </c>
      <c r="B8" s="5">
        <v>9057</v>
      </c>
      <c r="C8" s="5">
        <v>8039</v>
      </c>
      <c r="D8" s="5">
        <v>7862</v>
      </c>
      <c r="E8" s="5">
        <v>6394</v>
      </c>
      <c r="F8" s="5">
        <v>6027</v>
      </c>
      <c r="G8" s="5">
        <v>5319</v>
      </c>
      <c r="H8" s="5">
        <v>5956</v>
      </c>
      <c r="I8" s="5">
        <v>7070</v>
      </c>
      <c r="J8" s="5">
        <v>8021</v>
      </c>
      <c r="K8" s="5">
        <v>8710</v>
      </c>
      <c r="L8" s="5">
        <f>9102</f>
        <v>9102</v>
      </c>
      <c r="M8" s="5">
        <v>9142</v>
      </c>
    </row>
    <row r="9" spans="1:13" ht="14.25" customHeight="1" x14ac:dyDescent="0.3">
      <c r="A9" t="s">
        <v>66</v>
      </c>
      <c r="B9" s="5">
        <v>2447</v>
      </c>
      <c r="C9" s="5">
        <v>2204</v>
      </c>
      <c r="D9" s="5">
        <v>2364</v>
      </c>
      <c r="E9" s="5">
        <v>1964</v>
      </c>
      <c r="F9" s="5">
        <v>1813</v>
      </c>
      <c r="G9" s="5">
        <v>1645</v>
      </c>
      <c r="H9" s="5">
        <v>1792</v>
      </c>
      <c r="I9" s="5">
        <v>1960</v>
      </c>
      <c r="J9" s="5">
        <v>2076</v>
      </c>
      <c r="K9" s="5">
        <v>2112</v>
      </c>
      <c r="L9" s="5">
        <v>2039</v>
      </c>
      <c r="M9" s="5">
        <v>2207</v>
      </c>
    </row>
    <row r="10" spans="1:13" ht="14.25" customHeight="1" x14ac:dyDescent="0.3">
      <c r="A10" t="s">
        <v>71</v>
      </c>
      <c r="B10" s="5">
        <v>29655</v>
      </c>
      <c r="C10" s="5">
        <v>22972</v>
      </c>
      <c r="D10" s="5">
        <v>22328</v>
      </c>
      <c r="E10" s="5">
        <v>18096</v>
      </c>
      <c r="F10" s="5">
        <v>15021</v>
      </c>
      <c r="G10" s="5">
        <v>13183</v>
      </c>
      <c r="H10" s="5">
        <v>15099</v>
      </c>
      <c r="I10" s="5">
        <v>19010</v>
      </c>
      <c r="J10" s="5">
        <v>21674</v>
      </c>
      <c r="K10" s="5">
        <v>26757</v>
      </c>
      <c r="L10" s="5">
        <v>28766</v>
      </c>
      <c r="M10" s="5">
        <v>31103</v>
      </c>
    </row>
    <row r="11" spans="1:13" ht="14.25" customHeight="1" x14ac:dyDescent="0.3">
      <c r="A11" t="s">
        <v>77</v>
      </c>
      <c r="B11" s="5">
        <v>23450</v>
      </c>
      <c r="C11" s="5">
        <v>20245</v>
      </c>
      <c r="D11" s="5">
        <v>20409</v>
      </c>
      <c r="E11" s="5">
        <v>16782</v>
      </c>
      <c r="F11" s="5">
        <v>15700</v>
      </c>
      <c r="G11" s="5">
        <v>14022</v>
      </c>
      <c r="H11" s="5">
        <v>15558</v>
      </c>
      <c r="I11" s="5">
        <v>18491</v>
      </c>
      <c r="J11" s="5">
        <v>20696</v>
      </c>
      <c r="K11" s="5">
        <v>22782</v>
      </c>
      <c r="L11" s="5">
        <v>22890</v>
      </c>
      <c r="M11" s="5">
        <v>24472</v>
      </c>
    </row>
    <row r="12" spans="1:13" ht="14.25" customHeight="1" x14ac:dyDescent="0.3">
      <c r="A12" t="s">
        <v>80</v>
      </c>
      <c r="B12" s="5">
        <v>23450</v>
      </c>
      <c r="C12" s="5">
        <v>20245</v>
      </c>
      <c r="D12" s="5">
        <v>20409</v>
      </c>
      <c r="E12" s="5">
        <v>16782</v>
      </c>
      <c r="F12" s="5">
        <v>15700</v>
      </c>
      <c r="G12" s="5">
        <v>14022</v>
      </c>
      <c r="H12" s="5">
        <v>15558</v>
      </c>
      <c r="I12" s="5">
        <v>18491</v>
      </c>
      <c r="J12" s="5">
        <v>20696</v>
      </c>
      <c r="K12" s="5">
        <v>22782</v>
      </c>
      <c r="L12" s="5">
        <v>22890</v>
      </c>
      <c r="M12" s="5">
        <v>24472</v>
      </c>
    </row>
    <row r="13" spans="1:13" ht="14.25" customHeight="1" x14ac:dyDescent="0.3">
      <c r="A13" t="s">
        <v>81</v>
      </c>
      <c r="B13" s="5">
        <v>9627</v>
      </c>
      <c r="C13" s="5">
        <v>9000</v>
      </c>
      <c r="D13" s="5">
        <v>8673</v>
      </c>
      <c r="E13" s="5">
        <v>7260</v>
      </c>
      <c r="F13" s="5">
        <v>6214</v>
      </c>
      <c r="G13" s="5">
        <v>5622</v>
      </c>
      <c r="H13" s="5">
        <v>5969</v>
      </c>
      <c r="I13" s="5">
        <v>7206</v>
      </c>
      <c r="J13" s="5">
        <v>7683</v>
      </c>
      <c r="K13" s="5">
        <v>8926</v>
      </c>
      <c r="L13" s="5">
        <v>8903</v>
      </c>
      <c r="M13" s="5">
        <v>9497</v>
      </c>
    </row>
    <row r="14" spans="1:13" ht="14.25" customHeight="1" x14ac:dyDescent="0.3">
      <c r="A14" t="s">
        <v>85</v>
      </c>
      <c r="B14" s="5">
        <v>6408</v>
      </c>
      <c r="C14" s="5">
        <v>5365</v>
      </c>
      <c r="D14" s="5">
        <v>5459</v>
      </c>
      <c r="E14" s="5">
        <v>4611</v>
      </c>
      <c r="F14" s="5">
        <v>4375</v>
      </c>
      <c r="G14" s="5">
        <v>3848</v>
      </c>
      <c r="H14" s="5">
        <v>4305</v>
      </c>
      <c r="I14" s="5">
        <v>5067</v>
      </c>
      <c r="J14" s="5">
        <v>5593</v>
      </c>
      <c r="K14" s="5">
        <v>6237</v>
      </c>
      <c r="L14" s="5">
        <v>6347</v>
      </c>
      <c r="M14" s="5">
        <v>6697</v>
      </c>
    </row>
    <row r="15" spans="1:13" ht="14.25" customHeight="1" x14ac:dyDescent="0.3">
      <c r="A15" t="s">
        <v>90</v>
      </c>
      <c r="B15" s="5">
        <v>5761.2</v>
      </c>
      <c r="C15" s="5">
        <v>5289.7</v>
      </c>
      <c r="D15" s="5">
        <v>5351.3</v>
      </c>
      <c r="E15" s="5">
        <v>4476.7</v>
      </c>
      <c r="F15" s="5">
        <v>4144.2</v>
      </c>
      <c r="G15" s="5">
        <v>3750.5</v>
      </c>
      <c r="H15" s="5">
        <v>4019</v>
      </c>
      <c r="I15" s="5">
        <v>4537.7</v>
      </c>
      <c r="J15" s="5">
        <v>4477.3</v>
      </c>
      <c r="K15" s="5">
        <v>4986.7</v>
      </c>
      <c r="L15" s="5">
        <v>5100.3999999999996</v>
      </c>
      <c r="M15" s="5">
        <v>5950.6</v>
      </c>
    </row>
    <row r="16" spans="1:13" ht="14.25" customHeight="1" x14ac:dyDescent="0.3">
      <c r="A16" t="s">
        <v>93</v>
      </c>
      <c r="B16" s="5">
        <v>13109</v>
      </c>
      <c r="C16" s="5">
        <v>11411</v>
      </c>
      <c r="D16" s="5">
        <v>11746</v>
      </c>
      <c r="E16" s="5">
        <v>9262</v>
      </c>
      <c r="F16" s="5">
        <v>7471</v>
      </c>
      <c r="G16" s="5">
        <v>6511</v>
      </c>
      <c r="H16" s="5">
        <v>7170</v>
      </c>
      <c r="I16" s="5">
        <v>8324</v>
      </c>
      <c r="J16" s="5">
        <v>9849</v>
      </c>
      <c r="K16" s="5">
        <v>11513</v>
      </c>
      <c r="L16" s="5">
        <v>12192</v>
      </c>
      <c r="M16" s="5">
        <v>12923</v>
      </c>
    </row>
    <row r="17" spans="1:13" ht="14.25" customHeight="1" x14ac:dyDescent="0.3">
      <c r="A17" t="s">
        <v>95</v>
      </c>
      <c r="B17" s="5">
        <v>41895</v>
      </c>
      <c r="C17" s="5">
        <v>35971</v>
      </c>
      <c r="D17" s="5">
        <v>36483</v>
      </c>
      <c r="E17" s="5">
        <v>30848</v>
      </c>
      <c r="F17" s="5">
        <v>29226</v>
      </c>
      <c r="G17" s="5">
        <v>26233</v>
      </c>
      <c r="H17" s="5">
        <v>29069</v>
      </c>
      <c r="I17" s="5">
        <v>34133</v>
      </c>
      <c r="J17" s="5">
        <v>37890</v>
      </c>
      <c r="K17" s="5">
        <v>41280</v>
      </c>
      <c r="L17" s="5">
        <v>41518</v>
      </c>
      <c r="M17" s="5">
        <v>43833</v>
      </c>
    </row>
    <row r="18" spans="1:13" ht="14.25" customHeight="1" x14ac:dyDescent="0.3">
      <c r="A18" t="s">
        <v>239</v>
      </c>
      <c r="B18">
        <v>2735</v>
      </c>
      <c r="C18">
        <v>2556</v>
      </c>
      <c r="D18">
        <v>2535</v>
      </c>
      <c r="E18">
        <v>2442</v>
      </c>
      <c r="F18">
        <v>2474</v>
      </c>
      <c r="G18">
        <v>2756</v>
      </c>
      <c r="H18">
        <v>2611</v>
      </c>
      <c r="I18">
        <v>2800</v>
      </c>
      <c r="J18">
        <v>2707</v>
      </c>
      <c r="K18">
        <v>2695</v>
      </c>
      <c r="L18">
        <v>2618</v>
      </c>
      <c r="M18">
        <v>2708</v>
      </c>
    </row>
    <row r="19" spans="1:13" ht="14.25" customHeight="1" x14ac:dyDescent="0.3">
      <c r="A19" t="s">
        <v>98</v>
      </c>
      <c r="B19" s="5">
        <v>16980</v>
      </c>
      <c r="C19" s="5">
        <v>15556.6</v>
      </c>
      <c r="D19" s="5">
        <v>15927.6</v>
      </c>
      <c r="E19" s="5">
        <v>13677.3</v>
      </c>
      <c r="F19" s="5">
        <v>12351.6</v>
      </c>
      <c r="G19" s="5">
        <v>11543.6</v>
      </c>
      <c r="H19" s="5">
        <v>12195.1</v>
      </c>
      <c r="I19" s="5">
        <v>13528</v>
      </c>
      <c r="J19" s="5">
        <v>13644.6</v>
      </c>
      <c r="K19" s="5">
        <v>15166.4</v>
      </c>
      <c r="L19" s="5">
        <v>15407.487300000001</v>
      </c>
      <c r="M19" s="5">
        <v>16842.372299999999</v>
      </c>
    </row>
    <row r="20" spans="1:13" ht="14.25" customHeight="1" x14ac:dyDescent="0.3">
      <c r="A20" t="s">
        <v>102</v>
      </c>
      <c r="B20" s="5">
        <v>15179.5</v>
      </c>
      <c r="C20" s="5">
        <v>13524.8</v>
      </c>
      <c r="D20" s="5">
        <v>13861.9</v>
      </c>
      <c r="E20" s="5">
        <v>11789.7</v>
      </c>
      <c r="F20" s="5">
        <v>10618.3</v>
      </c>
      <c r="G20" s="5">
        <v>9819.1</v>
      </c>
      <c r="H20" s="5">
        <v>10486.9</v>
      </c>
      <c r="I20" s="5">
        <v>11678.3</v>
      </c>
      <c r="J20" s="5">
        <v>11941.8</v>
      </c>
      <c r="K20" s="5">
        <v>13277</v>
      </c>
      <c r="L20" s="5">
        <v>13346.2179</v>
      </c>
      <c r="M20" s="5">
        <v>14828.667600000001</v>
      </c>
    </row>
    <row r="21" spans="1:13" ht="14.25" customHeight="1" x14ac:dyDescent="0.3">
      <c r="A21" s="6" t="s">
        <v>104</v>
      </c>
      <c r="B21" s="7">
        <v>4492</v>
      </c>
      <c r="C21" s="7">
        <v>4056</v>
      </c>
      <c r="D21" s="7">
        <v>4397</v>
      </c>
      <c r="E21" s="7">
        <v>3644</v>
      </c>
      <c r="F21" s="7">
        <v>3389</v>
      </c>
      <c r="G21" s="7">
        <v>3100</v>
      </c>
      <c r="H21" s="7">
        <v>3383</v>
      </c>
      <c r="I21" s="7">
        <v>3665</v>
      </c>
      <c r="J21" s="7">
        <v>3881</v>
      </c>
      <c r="K21" s="7">
        <v>3899</v>
      </c>
      <c r="L21" s="7">
        <v>3720</v>
      </c>
      <c r="M21" s="7">
        <v>3991</v>
      </c>
    </row>
    <row r="22" spans="1:13" ht="14.25" customHeight="1" x14ac:dyDescent="0.3">
      <c r="A22" t="s">
        <v>107</v>
      </c>
      <c r="B22" s="5">
        <v>4020</v>
      </c>
      <c r="C22" s="5">
        <v>3616</v>
      </c>
      <c r="D22" s="5">
        <v>4009</v>
      </c>
      <c r="E22" s="5">
        <v>3292</v>
      </c>
      <c r="F22" s="5">
        <v>3026</v>
      </c>
      <c r="G22" s="5">
        <v>2735</v>
      </c>
      <c r="H22" s="5">
        <v>3002</v>
      </c>
      <c r="I22" s="5">
        <v>3304</v>
      </c>
      <c r="J22" s="5">
        <v>3497</v>
      </c>
      <c r="K22" s="5">
        <v>3533</v>
      </c>
      <c r="L22" s="5">
        <v>3348</v>
      </c>
      <c r="M22" s="5">
        <v>3560</v>
      </c>
    </row>
    <row r="23" spans="1:13" ht="14.25" customHeight="1" x14ac:dyDescent="0.3">
      <c r="A23" t="s">
        <v>228</v>
      </c>
    </row>
    <row r="24" spans="1:13" ht="14.25" customHeight="1" x14ac:dyDescent="0.3">
      <c r="A24" t="s">
        <v>109</v>
      </c>
      <c r="B24" s="5">
        <v>4706</v>
      </c>
      <c r="C24" s="5">
        <v>4110</v>
      </c>
      <c r="D24" s="5">
        <v>4209</v>
      </c>
      <c r="E24" s="5">
        <v>3538</v>
      </c>
      <c r="F24" s="5">
        <v>3392</v>
      </c>
      <c r="G24" s="5">
        <v>3058</v>
      </c>
      <c r="H24" s="5">
        <v>3366</v>
      </c>
      <c r="I24" s="5">
        <v>3941</v>
      </c>
      <c r="J24" s="5">
        <v>4346</v>
      </c>
      <c r="K24" s="5">
        <v>4559</v>
      </c>
      <c r="L24" s="5">
        <v>4578</v>
      </c>
      <c r="M24" s="5">
        <v>4864</v>
      </c>
    </row>
    <row r="25" spans="1:13" ht="14.25" customHeight="1" x14ac:dyDescent="0.3">
      <c r="A25" t="s">
        <v>113</v>
      </c>
      <c r="B25" s="5">
        <v>44000.9</v>
      </c>
      <c r="C25" s="5">
        <v>36738.800000000003</v>
      </c>
      <c r="D25" s="5">
        <v>35799.5</v>
      </c>
      <c r="E25" s="5">
        <v>26238.2</v>
      </c>
      <c r="F25" s="5">
        <v>19947.3</v>
      </c>
      <c r="G25" s="5">
        <v>16584</v>
      </c>
      <c r="H25" s="5">
        <v>18638.7</v>
      </c>
      <c r="I25" s="5">
        <v>23207.5</v>
      </c>
      <c r="J25" s="5">
        <v>29655.5</v>
      </c>
      <c r="K25" s="5">
        <v>36694.1</v>
      </c>
      <c r="L25" s="5">
        <v>41235.300000000003</v>
      </c>
      <c r="M25" s="5">
        <v>44584.1</v>
      </c>
    </row>
    <row r="26" spans="1:13" ht="14.25" customHeight="1" x14ac:dyDescent="0.3">
      <c r="A26" t="s">
        <v>114</v>
      </c>
      <c r="B26" s="5">
        <v>32657</v>
      </c>
      <c r="C26" s="5">
        <v>28530</v>
      </c>
      <c r="D26" s="5">
        <v>26894</v>
      </c>
      <c r="E26" s="5">
        <v>23945</v>
      </c>
      <c r="F26" s="5">
        <v>21446</v>
      </c>
      <c r="G26" s="5">
        <v>18974</v>
      </c>
      <c r="H26" s="5">
        <v>21123</v>
      </c>
      <c r="I26" s="5">
        <v>24633</v>
      </c>
      <c r="J26" s="5">
        <v>27402</v>
      </c>
      <c r="K26" s="5">
        <v>30501</v>
      </c>
      <c r="L26" s="5">
        <v>32028</v>
      </c>
      <c r="M26" s="5">
        <v>31475</v>
      </c>
    </row>
    <row r="27" spans="1:13" ht="14.25" customHeight="1" x14ac:dyDescent="0.3">
      <c r="A27" t="s">
        <v>117</v>
      </c>
      <c r="B27" s="5">
        <v>33572</v>
      </c>
      <c r="C27" s="5">
        <v>29313</v>
      </c>
      <c r="D27" s="5">
        <v>30629</v>
      </c>
      <c r="E27" s="5">
        <v>26386</v>
      </c>
      <c r="F27" s="5">
        <v>25077</v>
      </c>
      <c r="G27" s="5">
        <v>22476</v>
      </c>
      <c r="H27" s="5">
        <v>24838</v>
      </c>
      <c r="I27" s="5">
        <v>29965</v>
      </c>
      <c r="J27" s="5">
        <v>32045</v>
      </c>
      <c r="K27" s="5">
        <v>33620</v>
      </c>
      <c r="L27" s="5">
        <v>32645</v>
      </c>
      <c r="M27" s="5">
        <v>34688</v>
      </c>
    </row>
    <row r="28" spans="1:13" ht="14.25" customHeight="1" x14ac:dyDescent="0.3">
      <c r="A28" t="s">
        <v>225</v>
      </c>
      <c r="B28">
        <v>8415</v>
      </c>
      <c r="C28">
        <v>7237.5</v>
      </c>
      <c r="D28">
        <v>7601.5</v>
      </c>
      <c r="E28">
        <v>6870</v>
      </c>
      <c r="F28">
        <v>6583</v>
      </c>
      <c r="G28">
        <v>5884</v>
      </c>
      <c r="H28">
        <v>6428</v>
      </c>
      <c r="I28">
        <v>7317</v>
      </c>
      <c r="J28">
        <v>7798.5</v>
      </c>
      <c r="K28">
        <v>8310.5</v>
      </c>
      <c r="L28">
        <v>8392</v>
      </c>
      <c r="M28">
        <v>8239</v>
      </c>
    </row>
    <row r="29" spans="1:13" ht="14.25" customHeight="1" x14ac:dyDescent="0.3">
      <c r="A29" t="s">
        <v>223</v>
      </c>
      <c r="B29">
        <v>8415</v>
      </c>
      <c r="C29">
        <v>7237.5</v>
      </c>
      <c r="D29">
        <v>7601.5</v>
      </c>
      <c r="E29">
        <v>6870</v>
      </c>
      <c r="F29">
        <v>6583</v>
      </c>
      <c r="G29">
        <v>5884</v>
      </c>
      <c r="H29">
        <v>6428</v>
      </c>
      <c r="I29">
        <v>7317</v>
      </c>
      <c r="J29">
        <v>7798.5</v>
      </c>
      <c r="K29">
        <v>8310.5</v>
      </c>
      <c r="L29">
        <v>8392</v>
      </c>
      <c r="M29">
        <v>8239</v>
      </c>
    </row>
    <row r="30" spans="1:13" ht="14.25" customHeight="1" x14ac:dyDescent="0.3">
      <c r="A30" t="s">
        <v>120</v>
      </c>
      <c r="B30" s="5">
        <v>13570</v>
      </c>
      <c r="C30" s="5">
        <v>11745</v>
      </c>
      <c r="D30" s="5">
        <v>11799</v>
      </c>
      <c r="E30" s="5">
        <v>10155</v>
      </c>
      <c r="F30" s="5">
        <v>9548</v>
      </c>
      <c r="G30" s="5">
        <v>8534</v>
      </c>
      <c r="H30" s="5">
        <v>9501</v>
      </c>
      <c r="I30" s="5">
        <v>11108</v>
      </c>
      <c r="J30" s="5">
        <v>11891</v>
      </c>
      <c r="K30" s="5">
        <v>13149</v>
      </c>
      <c r="L30" s="5">
        <v>13477</v>
      </c>
      <c r="M30" s="5">
        <v>14443</v>
      </c>
    </row>
    <row r="31" spans="1:13" ht="14.25" customHeight="1" x14ac:dyDescent="0.3">
      <c r="A31" t="s">
        <v>236</v>
      </c>
    </row>
    <row r="32" spans="1:13" ht="14.25" customHeight="1" x14ac:dyDescent="0.3">
      <c r="A32" t="s">
        <v>122</v>
      </c>
      <c r="B32" s="5">
        <v>24713</v>
      </c>
      <c r="C32" s="5">
        <v>21612</v>
      </c>
      <c r="D32" s="5">
        <v>21750</v>
      </c>
      <c r="E32" s="5">
        <v>17547</v>
      </c>
      <c r="F32" s="5">
        <v>14975</v>
      </c>
      <c r="G32" s="5">
        <v>13472</v>
      </c>
      <c r="H32" s="5">
        <v>14555</v>
      </c>
      <c r="I32" s="5">
        <v>17167</v>
      </c>
      <c r="J32" s="5">
        <v>18426</v>
      </c>
      <c r="K32" s="5">
        <v>21592</v>
      </c>
      <c r="L32" s="5">
        <v>22234</v>
      </c>
      <c r="M32" s="5">
        <v>24984</v>
      </c>
    </row>
    <row r="33" spans="1:13" ht="14.25" customHeight="1" x14ac:dyDescent="0.3">
      <c r="A33" t="s">
        <v>124</v>
      </c>
      <c r="B33" s="5">
        <v>72121</v>
      </c>
      <c r="C33" s="5">
        <v>65458</v>
      </c>
      <c r="D33" s="5">
        <v>68264</v>
      </c>
      <c r="E33" s="5">
        <v>57584</v>
      </c>
      <c r="F33" s="5">
        <v>52130</v>
      </c>
      <c r="G33" s="5">
        <v>48157</v>
      </c>
      <c r="H33" s="5">
        <v>51738</v>
      </c>
      <c r="I33" s="5">
        <v>57201</v>
      </c>
      <c r="J33" s="5">
        <v>59213</v>
      </c>
      <c r="K33" s="5">
        <v>64977</v>
      </c>
      <c r="L33" s="5">
        <v>66569</v>
      </c>
      <c r="M33" s="5">
        <v>71854</v>
      </c>
    </row>
    <row r="34" spans="1:13" ht="14.25" customHeight="1" x14ac:dyDescent="0.3">
      <c r="A34" t="s">
        <v>127</v>
      </c>
      <c r="B34" s="5">
        <v>17634</v>
      </c>
      <c r="C34" s="5">
        <v>16473</v>
      </c>
      <c r="D34" s="5">
        <v>19238</v>
      </c>
      <c r="E34" s="5">
        <v>17065</v>
      </c>
      <c r="F34" s="5">
        <v>16886</v>
      </c>
      <c r="G34" s="5">
        <v>16099</v>
      </c>
      <c r="H34" s="5">
        <v>17101</v>
      </c>
      <c r="I34" s="5">
        <v>17348</v>
      </c>
      <c r="J34" s="5">
        <v>16879</v>
      </c>
      <c r="K34" s="5">
        <v>15944</v>
      </c>
      <c r="L34" s="5">
        <v>14731</v>
      </c>
      <c r="M34" s="5">
        <v>15377</v>
      </c>
    </row>
    <row r="35" spans="1:13" ht="14.25" customHeight="1" x14ac:dyDescent="0.3">
      <c r="A35" t="s">
        <v>234</v>
      </c>
      <c r="B35">
        <v>59291</v>
      </c>
      <c r="C35">
        <v>48612</v>
      </c>
      <c r="D35">
        <v>45479</v>
      </c>
      <c r="E35">
        <v>32312</v>
      </c>
      <c r="F35">
        <v>23816</v>
      </c>
      <c r="G35">
        <v>19426</v>
      </c>
      <c r="H35">
        <v>21982</v>
      </c>
      <c r="I35">
        <v>28360</v>
      </c>
      <c r="J35">
        <v>37091</v>
      </c>
      <c r="K35">
        <v>47820</v>
      </c>
      <c r="L35">
        <v>55073</v>
      </c>
      <c r="M35">
        <v>60151</v>
      </c>
    </row>
    <row r="36" spans="1:13" ht="14.25" customHeight="1" x14ac:dyDescent="0.3">
      <c r="A36" t="s">
        <v>131</v>
      </c>
      <c r="B36" s="5">
        <v>5957</v>
      </c>
      <c r="C36" s="5">
        <v>5410</v>
      </c>
      <c r="D36" s="5">
        <v>5967</v>
      </c>
      <c r="E36" s="5">
        <v>5723</v>
      </c>
      <c r="F36" s="5">
        <v>6086</v>
      </c>
      <c r="G36" s="5">
        <v>5885</v>
      </c>
      <c r="H36" s="5">
        <v>6334</v>
      </c>
      <c r="I36" s="5">
        <v>6633</v>
      </c>
      <c r="J36" s="5">
        <v>6573</v>
      </c>
      <c r="K36" s="5">
        <v>6461</v>
      </c>
      <c r="L36" s="5">
        <v>6012</v>
      </c>
      <c r="M36" s="5">
        <v>6145</v>
      </c>
    </row>
    <row r="37" spans="1:13" ht="14.25" customHeight="1" x14ac:dyDescent="0.3">
      <c r="A37" t="s">
        <v>134</v>
      </c>
      <c r="B37" s="5">
        <v>44907</v>
      </c>
      <c r="C37" s="5">
        <v>37765</v>
      </c>
      <c r="D37" s="5">
        <v>39036</v>
      </c>
      <c r="E37" s="5">
        <v>33226</v>
      </c>
      <c r="F37" s="5">
        <v>31537</v>
      </c>
      <c r="G37" s="5">
        <v>28491</v>
      </c>
      <c r="H37" s="5">
        <v>31513</v>
      </c>
      <c r="I37" s="5">
        <v>36674</v>
      </c>
      <c r="J37" s="5">
        <v>40579</v>
      </c>
      <c r="K37" s="5">
        <v>44092</v>
      </c>
      <c r="L37" s="5">
        <v>44165</v>
      </c>
      <c r="M37" s="5">
        <v>47244</v>
      </c>
    </row>
    <row r="38" spans="1:13" ht="14.25" customHeight="1" x14ac:dyDescent="0.3">
      <c r="A38" t="s">
        <v>138</v>
      </c>
      <c r="B38" s="5">
        <v>23544</v>
      </c>
      <c r="C38" s="5">
        <v>21677</v>
      </c>
      <c r="D38" s="5">
        <v>24212</v>
      </c>
      <c r="E38" s="5">
        <v>20861</v>
      </c>
      <c r="F38" s="5">
        <v>20012</v>
      </c>
      <c r="G38" s="5">
        <v>18485</v>
      </c>
      <c r="H38" s="5">
        <v>20016</v>
      </c>
      <c r="I38" s="5">
        <v>21052</v>
      </c>
      <c r="J38" s="5">
        <v>21403</v>
      </c>
      <c r="K38" s="5">
        <v>20962</v>
      </c>
      <c r="L38" s="5">
        <v>19856</v>
      </c>
      <c r="M38" s="5">
        <v>21184</v>
      </c>
    </row>
    <row r="39" spans="1:13" ht="14.25" customHeight="1" x14ac:dyDescent="0.3">
      <c r="A39" t="s">
        <v>220</v>
      </c>
      <c r="B39" s="5">
        <v>52080</v>
      </c>
      <c r="C39" s="5">
        <v>45544</v>
      </c>
      <c r="D39" s="5">
        <v>44433</v>
      </c>
      <c r="E39" s="5">
        <v>38648</v>
      </c>
      <c r="F39" s="5">
        <v>35710</v>
      </c>
      <c r="G39" s="5">
        <v>31508</v>
      </c>
      <c r="H39" s="5">
        <v>34699</v>
      </c>
      <c r="I39" s="5">
        <v>40906</v>
      </c>
      <c r="J39" s="5">
        <v>45309</v>
      </c>
      <c r="K39" s="5">
        <v>51347</v>
      </c>
      <c r="L39" s="5">
        <v>51837</v>
      </c>
      <c r="M39" s="5">
        <v>52952</v>
      </c>
    </row>
    <row r="40" spans="1:13" ht="14.25" customHeight="1" x14ac:dyDescent="0.3">
      <c r="A40" t="s">
        <v>222</v>
      </c>
      <c r="B40" s="5">
        <v>13744</v>
      </c>
      <c r="C40" s="5">
        <v>12002</v>
      </c>
      <c r="D40" s="5">
        <v>11708</v>
      </c>
      <c r="E40" s="5">
        <v>10193</v>
      </c>
      <c r="F40" s="5">
        <v>9448</v>
      </c>
      <c r="G40" s="5">
        <v>8384</v>
      </c>
      <c r="H40" s="5">
        <v>9230</v>
      </c>
      <c r="I40" s="5">
        <v>10801</v>
      </c>
      <c r="J40" s="5">
        <v>11951</v>
      </c>
      <c r="K40" s="5">
        <v>13545</v>
      </c>
      <c r="L40" s="5">
        <v>13626</v>
      </c>
      <c r="M40" s="5">
        <v>13933</v>
      </c>
    </row>
    <row r="41" spans="1:13" ht="14.25" customHeight="1" x14ac:dyDescent="0.3">
      <c r="A41" t="s">
        <v>142</v>
      </c>
      <c r="B41" s="5">
        <v>6317</v>
      </c>
      <c r="C41" s="5">
        <v>5312</v>
      </c>
      <c r="D41" s="5">
        <v>5484</v>
      </c>
      <c r="E41" s="5">
        <v>4844</v>
      </c>
      <c r="F41" s="5">
        <v>4660</v>
      </c>
      <c r="G41" s="5">
        <v>4243</v>
      </c>
      <c r="H41" s="5">
        <v>4686</v>
      </c>
      <c r="I41" s="5">
        <v>5383</v>
      </c>
      <c r="J41" s="5">
        <v>5889</v>
      </c>
      <c r="K41" s="5">
        <v>6297</v>
      </c>
      <c r="L41" s="5">
        <v>6249</v>
      </c>
      <c r="M41" s="5">
        <v>6662</v>
      </c>
    </row>
    <row r="42" spans="1:13" ht="14.25" customHeight="1" x14ac:dyDescent="0.3">
      <c r="A42" t="s">
        <v>145</v>
      </c>
      <c r="B42" s="5">
        <v>45787.199999999997</v>
      </c>
      <c r="C42" s="5">
        <v>39973.5</v>
      </c>
      <c r="D42" s="5">
        <v>40622.199999999997</v>
      </c>
      <c r="E42" s="5">
        <v>37337.9</v>
      </c>
      <c r="F42" s="5">
        <v>36620.699999999997</v>
      </c>
      <c r="G42" s="5">
        <v>33353.579100000003</v>
      </c>
      <c r="H42" s="5">
        <v>36066.455099999999</v>
      </c>
      <c r="I42" s="5">
        <v>40562.361900000004</v>
      </c>
      <c r="J42" s="5">
        <v>41523.188699999999</v>
      </c>
      <c r="K42" s="5">
        <v>44647.762499999997</v>
      </c>
      <c r="L42" s="5">
        <v>44811.7068</v>
      </c>
      <c r="M42" s="5">
        <v>47334.919800000003</v>
      </c>
    </row>
    <row r="43" spans="1:13" ht="14.25" customHeight="1" x14ac:dyDescent="0.3">
      <c r="A43" t="s">
        <v>149</v>
      </c>
      <c r="B43" s="5">
        <v>11454.7</v>
      </c>
      <c r="C43" s="5">
        <v>9955.2999999999993</v>
      </c>
      <c r="D43" s="5">
        <v>10575.8</v>
      </c>
      <c r="E43" s="5">
        <v>9316.2000000000007</v>
      </c>
      <c r="F43" s="5">
        <v>9144.7000000000007</v>
      </c>
      <c r="G43" s="5">
        <v>8500.6</v>
      </c>
      <c r="H43" s="5">
        <v>9262.2999999999993</v>
      </c>
      <c r="I43" s="5">
        <v>10470.200000000001</v>
      </c>
      <c r="J43" s="5">
        <v>11129.4</v>
      </c>
      <c r="K43" s="5">
        <v>11715.5</v>
      </c>
      <c r="L43" s="5">
        <v>11402.4</v>
      </c>
      <c r="M43" s="5">
        <v>12145.4</v>
      </c>
    </row>
    <row r="44" spans="1:13" ht="14.25" customHeight="1" x14ac:dyDescent="0.3">
      <c r="A44" t="s">
        <v>152</v>
      </c>
      <c r="B44" s="5">
        <v>14426.2</v>
      </c>
      <c r="C44" s="5">
        <v>12327.9</v>
      </c>
      <c r="D44" s="5">
        <v>12931.8</v>
      </c>
      <c r="E44" s="5">
        <v>11024.4</v>
      </c>
      <c r="F44" s="5">
        <v>10672.6</v>
      </c>
      <c r="G44" s="5">
        <v>9625</v>
      </c>
      <c r="H44" s="5">
        <v>10609</v>
      </c>
      <c r="I44" s="5">
        <v>12263.1</v>
      </c>
      <c r="J44" s="5">
        <v>13383.1</v>
      </c>
      <c r="K44" s="5">
        <v>14263</v>
      </c>
      <c r="L44" s="5">
        <v>14175.5</v>
      </c>
      <c r="M44" s="5">
        <v>15128.2</v>
      </c>
    </row>
    <row r="45" spans="1:13" ht="14.25" customHeight="1" x14ac:dyDescent="0.3">
      <c r="A45" t="s">
        <v>155</v>
      </c>
      <c r="B45" s="5">
        <v>5438.1</v>
      </c>
      <c r="C45" s="5">
        <v>5030.5</v>
      </c>
      <c r="D45" s="5">
        <v>5282.5</v>
      </c>
      <c r="E45" s="5">
        <v>4635.1000000000004</v>
      </c>
      <c r="F45" s="5">
        <v>4575</v>
      </c>
      <c r="G45" s="5">
        <v>4143.3999999999996</v>
      </c>
      <c r="H45" s="5">
        <v>4561.7</v>
      </c>
      <c r="I45" s="5">
        <v>5138.7</v>
      </c>
      <c r="J45" s="5">
        <v>5330</v>
      </c>
      <c r="K45" s="5">
        <v>5632.2</v>
      </c>
      <c r="L45" s="5">
        <v>5403.2</v>
      </c>
      <c r="M45" s="5">
        <v>5647.1</v>
      </c>
    </row>
    <row r="46" spans="1:13" ht="14.25" customHeight="1" x14ac:dyDescent="0.3">
      <c r="A46" t="s">
        <v>157</v>
      </c>
      <c r="B46" s="5">
        <v>6558.3</v>
      </c>
      <c r="C46" s="5">
        <v>5888</v>
      </c>
      <c r="D46" s="5">
        <v>6335.4</v>
      </c>
      <c r="E46" s="5">
        <v>5651</v>
      </c>
      <c r="F46" s="5">
        <v>5782.9</v>
      </c>
      <c r="G46" s="5">
        <v>5360.4</v>
      </c>
      <c r="H46" s="5">
        <v>5892.4</v>
      </c>
      <c r="I46" s="5">
        <v>6481.2</v>
      </c>
      <c r="J46" s="5">
        <v>6690.9</v>
      </c>
      <c r="K46" s="5">
        <v>6809.9</v>
      </c>
      <c r="L46" s="5">
        <v>6587.3</v>
      </c>
      <c r="M46" s="5">
        <v>6874.1</v>
      </c>
    </row>
    <row r="47" spans="1:13" ht="14.25" customHeight="1" x14ac:dyDescent="0.3">
      <c r="A47" t="s">
        <v>160</v>
      </c>
      <c r="B47" s="5">
        <v>20117</v>
      </c>
      <c r="C47" s="5">
        <v>17684</v>
      </c>
      <c r="D47" s="5">
        <v>19164</v>
      </c>
      <c r="E47" s="5">
        <v>16765</v>
      </c>
      <c r="F47" s="5">
        <v>17392</v>
      </c>
      <c r="G47" s="5">
        <v>16319</v>
      </c>
      <c r="H47" s="5">
        <v>17777</v>
      </c>
      <c r="I47" s="5">
        <v>19722</v>
      </c>
      <c r="J47" s="5">
        <v>19924</v>
      </c>
      <c r="K47" s="5">
        <v>20687</v>
      </c>
      <c r="L47" s="5">
        <v>19526</v>
      </c>
      <c r="M47" s="5">
        <v>20860</v>
      </c>
    </row>
    <row r="48" spans="1:13" ht="14.25" customHeight="1" x14ac:dyDescent="0.3">
      <c r="A48" t="s">
        <v>163</v>
      </c>
      <c r="B48" s="5">
        <v>6141.4</v>
      </c>
      <c r="C48" s="5">
        <v>5508.6</v>
      </c>
      <c r="D48" s="5">
        <v>5936.5</v>
      </c>
      <c r="E48" s="5">
        <v>5321.7</v>
      </c>
      <c r="F48" s="5">
        <v>5446.5</v>
      </c>
      <c r="G48" s="5">
        <v>5045.8999999999996</v>
      </c>
      <c r="H48" s="5">
        <v>5553.9</v>
      </c>
      <c r="I48" s="5">
        <v>6085.5</v>
      </c>
      <c r="J48" s="5">
        <v>6263.9</v>
      </c>
      <c r="K48" s="5">
        <v>6378</v>
      </c>
      <c r="L48" s="5">
        <v>6164.1</v>
      </c>
      <c r="M48" s="5">
        <v>6435</v>
      </c>
    </row>
    <row r="49" spans="1:13" ht="14.25" customHeight="1" x14ac:dyDescent="0.3">
      <c r="A49" t="s">
        <v>166</v>
      </c>
      <c r="B49" s="5">
        <v>25562</v>
      </c>
      <c r="C49" s="5">
        <v>22098</v>
      </c>
      <c r="D49" s="5">
        <v>24392</v>
      </c>
      <c r="E49" s="5">
        <v>23827</v>
      </c>
      <c r="F49" s="5">
        <v>22987</v>
      </c>
      <c r="G49" s="5">
        <v>20718</v>
      </c>
      <c r="H49" s="5">
        <v>21811</v>
      </c>
      <c r="I49" s="5">
        <v>25554</v>
      </c>
      <c r="J49" s="5">
        <v>25189</v>
      </c>
      <c r="K49" s="5">
        <v>24495</v>
      </c>
      <c r="L49" s="5">
        <v>24514</v>
      </c>
      <c r="M49" s="5">
        <v>25926</v>
      </c>
    </row>
    <row r="50" spans="1:13" ht="14.25" customHeight="1" x14ac:dyDescent="0.3">
      <c r="A50" t="s">
        <v>169</v>
      </c>
      <c r="B50" s="5">
        <v>3892.3</v>
      </c>
      <c r="C50" s="5">
        <v>3360.7</v>
      </c>
      <c r="D50" s="5">
        <v>3712.5</v>
      </c>
      <c r="E50" s="5">
        <v>3625.7</v>
      </c>
      <c r="F50" s="5">
        <v>3497.5</v>
      </c>
      <c r="G50" s="5">
        <v>3151.4</v>
      </c>
      <c r="H50" s="5">
        <v>3316.5</v>
      </c>
      <c r="I50" s="5">
        <v>3887.5</v>
      </c>
      <c r="J50" s="5">
        <v>3830.3</v>
      </c>
      <c r="K50" s="5">
        <v>3729.7</v>
      </c>
      <c r="L50" s="5">
        <v>3733.1</v>
      </c>
      <c r="M50" s="5">
        <v>3946.1</v>
      </c>
    </row>
    <row r="51" spans="1:13" ht="14.25" customHeight="1" x14ac:dyDescent="0.3">
      <c r="A51" t="s">
        <v>171</v>
      </c>
      <c r="B51" s="5">
        <v>13146.9</v>
      </c>
      <c r="C51" s="5">
        <v>11450.2</v>
      </c>
      <c r="D51" s="5">
        <v>11470.9</v>
      </c>
      <c r="E51" s="5">
        <v>9218.9</v>
      </c>
      <c r="F51" s="5">
        <v>7841.5</v>
      </c>
      <c r="G51" s="5">
        <v>7108.1</v>
      </c>
      <c r="H51" s="5">
        <v>7657.1</v>
      </c>
      <c r="I51" s="5">
        <v>9019.7000000000007</v>
      </c>
      <c r="J51" s="5">
        <v>9680</v>
      </c>
      <c r="K51" s="5">
        <v>11319.5</v>
      </c>
      <c r="L51" s="5">
        <v>11746.6</v>
      </c>
      <c r="M51" s="5">
        <v>13355.6</v>
      </c>
    </row>
    <row r="52" spans="1:13" ht="14.25" customHeight="1" x14ac:dyDescent="0.3">
      <c r="A52" t="s">
        <v>172</v>
      </c>
      <c r="B52" s="5">
        <v>13913.7</v>
      </c>
      <c r="C52" s="5">
        <v>11543.3</v>
      </c>
      <c r="D52" s="5">
        <v>12043.3</v>
      </c>
      <c r="E52" s="5">
        <v>10530.6</v>
      </c>
      <c r="F52" s="5">
        <v>9452.2000000000007</v>
      </c>
      <c r="G52" s="5">
        <v>8210.7999999999993</v>
      </c>
      <c r="H52" s="5">
        <v>9090.2000000000007</v>
      </c>
      <c r="I52" s="5">
        <v>10347.299999999999</v>
      </c>
      <c r="J52" s="5">
        <v>11125.2</v>
      </c>
      <c r="K52" s="5">
        <v>12217.2</v>
      </c>
      <c r="L52" s="5">
        <v>13140.3</v>
      </c>
      <c r="M52" s="5">
        <v>14098.5</v>
      </c>
    </row>
    <row r="53" spans="1:13" ht="14.25" customHeight="1" x14ac:dyDescent="0.3">
      <c r="A53" t="s">
        <v>265</v>
      </c>
      <c r="B53" s="5">
        <v>25627.8</v>
      </c>
      <c r="C53" s="5">
        <v>22616.5</v>
      </c>
      <c r="D53" s="5">
        <v>24129.3</v>
      </c>
      <c r="E53" s="5">
        <v>20942.099999999999</v>
      </c>
      <c r="F53" s="5">
        <v>20778.8</v>
      </c>
      <c r="G53" s="5">
        <v>19071.599999999999</v>
      </c>
      <c r="H53" s="5">
        <v>20913.3</v>
      </c>
      <c r="I53" s="5">
        <v>23886.3</v>
      </c>
      <c r="J53" s="5">
        <v>25209.3</v>
      </c>
      <c r="K53" s="5">
        <v>25379.5</v>
      </c>
      <c r="L53" s="5">
        <v>25008.799999999999</v>
      </c>
      <c r="M53" s="5">
        <v>26105.1</v>
      </c>
    </row>
    <row r="54" spans="1:13" ht="14.25" customHeight="1" x14ac:dyDescent="0.3">
      <c r="A54" t="s">
        <v>177</v>
      </c>
      <c r="B54" s="5">
        <v>4844</v>
      </c>
      <c r="C54" s="5">
        <v>4251</v>
      </c>
      <c r="D54" s="5">
        <v>4530</v>
      </c>
      <c r="E54" s="5">
        <v>3971</v>
      </c>
      <c r="F54" s="5">
        <v>4026</v>
      </c>
      <c r="G54" s="5">
        <v>3734</v>
      </c>
      <c r="H54" s="5">
        <v>4073</v>
      </c>
      <c r="I54" s="5">
        <v>4560</v>
      </c>
      <c r="J54" s="5">
        <v>4749</v>
      </c>
      <c r="K54" s="5">
        <v>4766</v>
      </c>
      <c r="L54" s="5">
        <v>4722</v>
      </c>
      <c r="M54" s="5">
        <v>4940</v>
      </c>
    </row>
    <row r="55" spans="1:13" ht="14.25" customHeight="1" x14ac:dyDescent="0.3">
      <c r="A55" t="s">
        <v>180</v>
      </c>
      <c r="B55" s="5">
        <v>26360</v>
      </c>
      <c r="C55" s="5">
        <v>22720</v>
      </c>
      <c r="D55" s="5">
        <v>22207</v>
      </c>
      <c r="E55" s="5">
        <v>19091</v>
      </c>
      <c r="F55" s="5">
        <v>17077</v>
      </c>
      <c r="G55" s="5">
        <v>14868</v>
      </c>
      <c r="H55" s="5">
        <v>16693</v>
      </c>
      <c r="I55" s="5">
        <v>20079</v>
      </c>
      <c r="J55" s="5">
        <v>22828</v>
      </c>
      <c r="K55" s="5">
        <v>26013</v>
      </c>
      <c r="L55" s="5">
        <v>26204</v>
      </c>
      <c r="M55" s="5">
        <v>26697</v>
      </c>
    </row>
    <row r="56" spans="1:13" ht="14.25" customHeight="1" x14ac:dyDescent="0.3">
      <c r="A56" t="s">
        <v>182</v>
      </c>
      <c r="B56" s="5">
        <v>21647</v>
      </c>
      <c r="C56" s="5">
        <v>18412</v>
      </c>
      <c r="D56" s="5">
        <v>19207</v>
      </c>
      <c r="E56" s="5">
        <v>16103</v>
      </c>
      <c r="F56" s="5">
        <v>15740</v>
      </c>
      <c r="G56" s="5">
        <v>13974</v>
      </c>
      <c r="H56" s="5">
        <v>15451</v>
      </c>
      <c r="I56" s="5">
        <v>17961</v>
      </c>
      <c r="J56" s="5">
        <v>19934</v>
      </c>
      <c r="K56" s="5">
        <v>21559</v>
      </c>
      <c r="L56" s="5">
        <v>21438</v>
      </c>
      <c r="M56" s="5">
        <v>23043</v>
      </c>
    </row>
    <row r="57" spans="1:13" ht="14.25" customHeight="1" x14ac:dyDescent="0.3">
      <c r="A57" t="s">
        <v>184</v>
      </c>
      <c r="B57" s="5">
        <v>39488</v>
      </c>
      <c r="C57" s="5">
        <v>32855</v>
      </c>
      <c r="D57" s="5">
        <v>31263.3</v>
      </c>
      <c r="E57" s="5">
        <v>26209</v>
      </c>
      <c r="F57" s="5">
        <v>23138</v>
      </c>
      <c r="G57" s="5">
        <v>19982</v>
      </c>
      <c r="H57" s="5">
        <v>22686</v>
      </c>
      <c r="I57" s="5">
        <v>27412</v>
      </c>
      <c r="J57" s="5">
        <v>31462</v>
      </c>
      <c r="K57" s="5">
        <v>36532</v>
      </c>
      <c r="L57" s="5">
        <v>38823</v>
      </c>
      <c r="M57" s="5">
        <v>42222</v>
      </c>
    </row>
    <row r="58" spans="1:13" ht="14.25" customHeight="1" x14ac:dyDescent="0.3">
      <c r="A58" t="s">
        <v>186</v>
      </c>
      <c r="B58" s="5">
        <v>37861</v>
      </c>
      <c r="C58" s="5">
        <v>31552</v>
      </c>
      <c r="D58" s="5">
        <v>31851</v>
      </c>
      <c r="E58" s="5">
        <v>27124</v>
      </c>
      <c r="F58" s="5">
        <v>24741</v>
      </c>
      <c r="G58" s="5">
        <v>21991</v>
      </c>
      <c r="H58" s="5">
        <v>24194</v>
      </c>
      <c r="I58" s="5">
        <v>28859</v>
      </c>
      <c r="J58" s="5">
        <v>32205</v>
      </c>
      <c r="K58" s="5">
        <v>36732</v>
      </c>
      <c r="L58" s="5">
        <v>38185</v>
      </c>
      <c r="M58" s="5">
        <v>40356</v>
      </c>
    </row>
    <row r="59" spans="1:13" ht="14.25" customHeight="1" x14ac:dyDescent="0.3">
      <c r="A59" t="s">
        <v>188</v>
      </c>
      <c r="B59" s="5">
        <v>22876</v>
      </c>
      <c r="C59" s="5">
        <v>19487</v>
      </c>
      <c r="D59" s="5">
        <v>19886</v>
      </c>
      <c r="E59" s="5">
        <v>16305</v>
      </c>
      <c r="F59" s="5">
        <v>14747</v>
      </c>
      <c r="G59" s="5">
        <v>12857</v>
      </c>
      <c r="H59" s="5">
        <v>14434</v>
      </c>
      <c r="I59" s="5">
        <v>17635</v>
      </c>
      <c r="J59" s="5">
        <v>20353</v>
      </c>
      <c r="K59" s="5">
        <v>22357</v>
      </c>
      <c r="L59" s="5">
        <v>22859</v>
      </c>
      <c r="M59" s="5">
        <v>24367</v>
      </c>
    </row>
    <row r="60" spans="1:13" ht="14.25" customHeight="1" x14ac:dyDescent="0.3">
      <c r="A60" t="s">
        <v>226</v>
      </c>
      <c r="B60">
        <v>34135</v>
      </c>
      <c r="C60">
        <v>26981</v>
      </c>
      <c r="D60">
        <v>26829</v>
      </c>
      <c r="E60">
        <v>20433</v>
      </c>
      <c r="F60">
        <v>21068</v>
      </c>
      <c r="G60">
        <v>16978</v>
      </c>
      <c r="H60">
        <v>19291</v>
      </c>
      <c r="I60">
        <v>21448</v>
      </c>
      <c r="J60">
        <v>20157</v>
      </c>
      <c r="K60">
        <v>25054</v>
      </c>
      <c r="L60">
        <v>25471</v>
      </c>
      <c r="M60">
        <v>31547</v>
      </c>
    </row>
    <row r="61" spans="1:13" ht="14.25" customHeight="1" x14ac:dyDescent="0.3">
      <c r="A61" t="s">
        <v>208</v>
      </c>
      <c r="B61" s="5">
        <v>20649</v>
      </c>
      <c r="C61" s="5">
        <v>17891</v>
      </c>
      <c r="D61" s="5">
        <v>17668</v>
      </c>
      <c r="E61" s="8">
        <f>15178</f>
        <v>15178</v>
      </c>
      <c r="F61" s="5">
        <v>14023</v>
      </c>
      <c r="G61" s="5">
        <v>12327</v>
      </c>
      <c r="H61" s="5">
        <v>13742</v>
      </c>
      <c r="I61" s="5">
        <v>16094</v>
      </c>
      <c r="J61" s="5">
        <v>17988</v>
      </c>
      <c r="K61" s="5">
        <v>20737</v>
      </c>
      <c r="L61" s="5">
        <v>20655</v>
      </c>
      <c r="M61" s="5">
        <v>21136</v>
      </c>
    </row>
    <row r="62" spans="1:13" ht="14.25" customHeight="1" x14ac:dyDescent="0.3">
      <c r="A62" t="s">
        <v>190</v>
      </c>
      <c r="B62" s="5">
        <v>19574.900000000001</v>
      </c>
      <c r="C62" s="5">
        <v>16723.599999999999</v>
      </c>
      <c r="D62" s="5">
        <v>17808.599999999999</v>
      </c>
      <c r="E62" s="5">
        <v>15502.2</v>
      </c>
      <c r="F62" s="5">
        <v>15075</v>
      </c>
      <c r="G62" s="5">
        <v>13622.2</v>
      </c>
      <c r="H62" s="5">
        <v>15167.7</v>
      </c>
      <c r="I62" s="5">
        <v>17455.2</v>
      </c>
      <c r="J62" s="5">
        <v>18819</v>
      </c>
      <c r="K62" s="5">
        <v>19760.2</v>
      </c>
      <c r="L62" s="5">
        <v>19368.5</v>
      </c>
      <c r="M62" s="5">
        <v>20469.3</v>
      </c>
    </row>
    <row r="63" spans="1:13" ht="14.25" customHeight="1" x14ac:dyDescent="0.3">
      <c r="A63" t="s">
        <v>213</v>
      </c>
      <c r="B63" s="5">
        <v>10342</v>
      </c>
      <c r="C63" s="5">
        <v>8891</v>
      </c>
      <c r="D63" s="5">
        <v>8671</v>
      </c>
      <c r="E63" s="5">
        <v>7539</v>
      </c>
      <c r="F63" s="5">
        <v>6938</v>
      </c>
      <c r="G63" s="5">
        <v>6138</v>
      </c>
      <c r="H63" s="5">
        <v>6763</v>
      </c>
      <c r="I63" s="8">
        <f>(10/31)*7916</f>
        <v>2553.5483870967741</v>
      </c>
      <c r="J63" s="5">
        <v>8738</v>
      </c>
      <c r="K63" s="5">
        <v>10008</v>
      </c>
      <c r="L63" s="5">
        <v>9999</v>
      </c>
      <c r="M63" s="5">
        <v>10268</v>
      </c>
    </row>
    <row r="64" spans="1:13" ht="14.25" customHeight="1" x14ac:dyDescent="0.3">
      <c r="A64" t="s">
        <v>216</v>
      </c>
      <c r="B64" s="5">
        <v>31888.400000000001</v>
      </c>
      <c r="C64" s="5">
        <v>27677</v>
      </c>
      <c r="D64" s="5">
        <v>27300</v>
      </c>
      <c r="E64" s="5">
        <v>23765</v>
      </c>
      <c r="F64" s="5">
        <v>21915</v>
      </c>
      <c r="G64" s="5">
        <v>19368</v>
      </c>
      <c r="H64" s="5">
        <v>21313</v>
      </c>
      <c r="I64" s="8">
        <f>(10/31)*24908</f>
        <v>8034.8387096774195</v>
      </c>
      <c r="J64" s="5">
        <v>27534</v>
      </c>
      <c r="K64" s="5">
        <v>31253</v>
      </c>
      <c r="L64" s="5">
        <v>31179</v>
      </c>
      <c r="M64" s="5">
        <v>31893</v>
      </c>
    </row>
    <row r="65" spans="1:13" ht="14.25" customHeight="1" x14ac:dyDescent="0.3">
      <c r="A65" t="s">
        <v>218</v>
      </c>
      <c r="B65" s="5">
        <v>10668.8</v>
      </c>
      <c r="C65" s="5">
        <v>9218.6</v>
      </c>
      <c r="D65" s="5">
        <v>9045</v>
      </c>
      <c r="E65" s="5">
        <v>7797</v>
      </c>
      <c r="F65" s="5">
        <v>7144.8</v>
      </c>
      <c r="G65" s="5">
        <v>6299.2</v>
      </c>
      <c r="H65" s="5">
        <v>6941.6</v>
      </c>
      <c r="I65" s="8">
        <f>(10/31)*8155.7</f>
        <v>2630.8709677419351</v>
      </c>
      <c r="J65" s="5">
        <v>9060</v>
      </c>
      <c r="K65" s="5">
        <v>10392</v>
      </c>
      <c r="L65" s="5">
        <v>10393</v>
      </c>
      <c r="M65" s="5">
        <v>10647</v>
      </c>
    </row>
    <row r="66" spans="1:13" ht="14.25" customHeight="1" x14ac:dyDescent="0.3">
      <c r="A66" t="s">
        <v>192</v>
      </c>
      <c r="B66" s="5"/>
      <c r="C66" s="5"/>
      <c r="D66" s="5"/>
      <c r="E66" s="5"/>
      <c r="F66" s="5"/>
      <c r="G66" s="5"/>
      <c r="H66" s="5"/>
      <c r="I66" s="5"/>
      <c r="J66" s="5"/>
      <c r="K66" s="5"/>
      <c r="L66" s="5"/>
      <c r="M66" s="5"/>
    </row>
    <row r="67" spans="1:13" ht="14.25" customHeight="1" x14ac:dyDescent="0.3">
      <c r="A67" t="s">
        <v>194</v>
      </c>
      <c r="B67" s="5">
        <v>8222</v>
      </c>
      <c r="C67" s="5">
        <v>6998</v>
      </c>
      <c r="D67" s="5">
        <v>7059</v>
      </c>
      <c r="E67" s="5">
        <v>5574</v>
      </c>
      <c r="F67" s="5">
        <v>5282</v>
      </c>
      <c r="G67" s="5">
        <v>4730</v>
      </c>
      <c r="H67" s="5">
        <v>5256</v>
      </c>
      <c r="I67" s="5">
        <v>6045</v>
      </c>
      <c r="J67" s="5">
        <v>7051</v>
      </c>
      <c r="K67" s="5">
        <v>8056</v>
      </c>
      <c r="L67" s="5">
        <v>8145</v>
      </c>
      <c r="M67" s="5">
        <v>8740</v>
      </c>
    </row>
    <row r="68" spans="1:13" ht="14.25" customHeight="1" x14ac:dyDescent="0.3">
      <c r="A68" t="s">
        <v>196</v>
      </c>
      <c r="B68" s="5">
        <v>5698.8</v>
      </c>
      <c r="C68" s="5">
        <v>5080.8</v>
      </c>
      <c r="D68" s="5">
        <v>5209.7</v>
      </c>
      <c r="E68" s="5">
        <v>4357.5</v>
      </c>
      <c r="F68" s="5">
        <v>3906.6</v>
      </c>
      <c r="G68" s="5">
        <v>3553</v>
      </c>
      <c r="H68" s="5">
        <v>3801.5</v>
      </c>
      <c r="I68" s="5">
        <v>4316</v>
      </c>
      <c r="J68" s="5">
        <v>4437</v>
      </c>
      <c r="K68" s="5">
        <v>5034.3</v>
      </c>
      <c r="L68" s="5">
        <v>5106.1000000000004</v>
      </c>
      <c r="M68" s="5">
        <v>5754.2</v>
      </c>
    </row>
    <row r="69" spans="1:13" ht="14.25" customHeight="1" x14ac:dyDescent="0.3">
      <c r="A69" t="s">
        <v>199</v>
      </c>
      <c r="B69" s="5">
        <v>5045.8999999999996</v>
      </c>
      <c r="C69" s="5">
        <v>4360.2</v>
      </c>
      <c r="D69" s="5">
        <v>4711.1000000000004</v>
      </c>
      <c r="E69" s="5">
        <v>4084.1</v>
      </c>
      <c r="F69" s="5">
        <v>4125.1000000000004</v>
      </c>
      <c r="G69" s="5">
        <v>3778.7</v>
      </c>
      <c r="H69" s="5">
        <v>4137.8</v>
      </c>
      <c r="I69" s="5">
        <v>4655.3999999999996</v>
      </c>
      <c r="J69" s="5">
        <v>4964.6000000000004</v>
      </c>
      <c r="K69" s="5">
        <v>5199.2</v>
      </c>
      <c r="L69" s="5">
        <v>4977</v>
      </c>
      <c r="M69" s="5">
        <v>5354.9</v>
      </c>
    </row>
    <row r="70" spans="1:13" ht="14.25" customHeight="1" x14ac:dyDescent="0.3">
      <c r="A70" t="s">
        <v>201</v>
      </c>
      <c r="B70" s="5">
        <v>15814.1</v>
      </c>
      <c r="C70" s="5">
        <v>14182.5</v>
      </c>
      <c r="D70" s="5">
        <v>15127.6</v>
      </c>
      <c r="E70" s="5">
        <v>13566.2</v>
      </c>
      <c r="F70" s="5">
        <v>13865.8</v>
      </c>
      <c r="G70" s="5">
        <v>12963.1</v>
      </c>
      <c r="H70" s="5">
        <v>14146.2</v>
      </c>
      <c r="I70" s="5">
        <v>15603.1</v>
      </c>
      <c r="J70" s="5">
        <v>15929.8</v>
      </c>
      <c r="K70" s="5">
        <v>16382.7</v>
      </c>
      <c r="L70" s="5">
        <v>15892.2</v>
      </c>
      <c r="M70" s="5">
        <v>16746.5</v>
      </c>
    </row>
    <row r="71" spans="1:13" ht="14.25" customHeight="1" x14ac:dyDescent="0.3">
      <c r="A71" t="s">
        <v>211</v>
      </c>
      <c r="B71" s="5">
        <v>8111</v>
      </c>
      <c r="C71" s="5">
        <v>6915</v>
      </c>
      <c r="D71" s="5">
        <v>6721</v>
      </c>
      <c r="E71" s="5">
        <v>5701</v>
      </c>
      <c r="F71" s="5">
        <v>5135</v>
      </c>
      <c r="G71" s="5">
        <v>4368</v>
      </c>
      <c r="H71" s="5">
        <v>4517</v>
      </c>
      <c r="I71" s="5">
        <v>5248</v>
      </c>
      <c r="J71" s="5">
        <v>5835</v>
      </c>
      <c r="K71" s="5">
        <v>7211</v>
      </c>
      <c r="L71" s="5">
        <v>7571</v>
      </c>
      <c r="M71" s="5">
        <v>8107</v>
      </c>
    </row>
    <row r="72" spans="1:13" ht="14.25" customHeight="1" x14ac:dyDescent="0.3">
      <c r="A72" t="s">
        <v>202</v>
      </c>
      <c r="B72" s="5">
        <v>31142</v>
      </c>
      <c r="C72" s="5">
        <v>26504</v>
      </c>
      <c r="D72" s="5">
        <v>26827</v>
      </c>
      <c r="E72" s="5">
        <v>22270</v>
      </c>
      <c r="F72" s="5">
        <v>21135</v>
      </c>
      <c r="G72" s="5">
        <v>18949</v>
      </c>
      <c r="H72" s="5">
        <v>21000</v>
      </c>
      <c r="I72" s="5">
        <v>24518</v>
      </c>
      <c r="J72" s="5">
        <v>27252</v>
      </c>
      <c r="K72" s="5">
        <v>30285</v>
      </c>
      <c r="L72" s="5">
        <v>29971</v>
      </c>
      <c r="M72" s="5">
        <v>32254</v>
      </c>
    </row>
    <row r="73" spans="1:13" ht="14.25" customHeight="1" x14ac:dyDescent="0.3">
      <c r="A73" t="s">
        <v>206</v>
      </c>
      <c r="B73" s="5" t="s">
        <v>36</v>
      </c>
      <c r="C73" s="5" t="s">
        <v>36</v>
      </c>
      <c r="D73" s="5" t="s">
        <v>36</v>
      </c>
      <c r="E73" s="5" t="s">
        <v>36</v>
      </c>
      <c r="F73" s="5" t="s">
        <v>36</v>
      </c>
      <c r="G73" s="5" t="s">
        <v>36</v>
      </c>
      <c r="H73" s="5" t="s">
        <v>36</v>
      </c>
      <c r="I73" s="5" t="s">
        <v>36</v>
      </c>
      <c r="J73" s="5" t="s">
        <v>36</v>
      </c>
      <c r="K73" s="5" t="s">
        <v>36</v>
      </c>
      <c r="L73" s="5" t="s">
        <v>36</v>
      </c>
      <c r="M73" s="5" t="s">
        <v>36</v>
      </c>
    </row>
    <row r="74" spans="1:13" ht="14.25" customHeight="1" x14ac:dyDescent="0.3">
      <c r="A74" t="s">
        <v>241</v>
      </c>
      <c r="B74">
        <v>31534</v>
      </c>
      <c r="C74">
        <v>27088</v>
      </c>
      <c r="D74">
        <v>25946</v>
      </c>
      <c r="E74">
        <v>22097</v>
      </c>
      <c r="F74">
        <v>19717</v>
      </c>
      <c r="G74">
        <v>17225</v>
      </c>
      <c r="H74">
        <v>19287</v>
      </c>
      <c r="I74">
        <v>23158</v>
      </c>
      <c r="J74">
        <v>26490</v>
      </c>
      <c r="K74">
        <v>30317</v>
      </c>
      <c r="L74">
        <v>30935</v>
      </c>
      <c r="M74">
        <v>31977</v>
      </c>
    </row>
    <row r="75" spans="1:13" ht="14.25" customHeight="1" x14ac:dyDescent="0.3">
      <c r="A75" t="s">
        <v>228</v>
      </c>
      <c r="B75">
        <v>32305</v>
      </c>
      <c r="C75">
        <v>29685</v>
      </c>
      <c r="D75">
        <v>31046</v>
      </c>
      <c r="E75">
        <v>28456</v>
      </c>
      <c r="F75">
        <v>28669</v>
      </c>
      <c r="G75">
        <v>26032</v>
      </c>
      <c r="H75">
        <v>28480</v>
      </c>
      <c r="I75">
        <v>31722</v>
      </c>
      <c r="J75">
        <v>32846</v>
      </c>
      <c r="K75">
        <v>34908</v>
      </c>
      <c r="L75">
        <v>33468</v>
      </c>
      <c r="M75">
        <v>32717</v>
      </c>
    </row>
    <row r="76" spans="1:13" ht="14.25" customHeight="1" x14ac:dyDescent="0.3">
      <c r="A76" t="s">
        <v>244</v>
      </c>
      <c r="B76">
        <v>20178</v>
      </c>
      <c r="C76">
        <v>17954</v>
      </c>
      <c r="D76">
        <v>19150</v>
      </c>
      <c r="E76">
        <v>18060</v>
      </c>
      <c r="F76">
        <v>18124</v>
      </c>
      <c r="G76">
        <v>15908</v>
      </c>
      <c r="H76">
        <v>16827</v>
      </c>
      <c r="I76">
        <v>19405</v>
      </c>
      <c r="J76">
        <v>19981</v>
      </c>
      <c r="K76">
        <v>22401</v>
      </c>
      <c r="L76">
        <v>20125</v>
      </c>
      <c r="M76">
        <v>20771</v>
      </c>
    </row>
    <row r="77" spans="1:13" x14ac:dyDescent="0.3">
      <c r="A77" t="s">
        <v>271</v>
      </c>
      <c r="B77">
        <v>19301</v>
      </c>
      <c r="C77">
        <v>16753</v>
      </c>
      <c r="D77">
        <v>16260</v>
      </c>
      <c r="E77">
        <v>13800</v>
      </c>
      <c r="F77">
        <v>12669</v>
      </c>
      <c r="G77">
        <v>11099</v>
      </c>
      <c r="H77">
        <v>12207</v>
      </c>
      <c r="I77">
        <v>14565.3</v>
      </c>
      <c r="J77">
        <v>16481.3</v>
      </c>
      <c r="K77">
        <v>18948</v>
      </c>
      <c r="L77">
        <v>19155</v>
      </c>
      <c r="M77">
        <v>19406</v>
      </c>
    </row>
    <row r="78" spans="1:13" x14ac:dyDescent="0.3">
      <c r="A78" t="s">
        <v>251</v>
      </c>
      <c r="B78">
        <v>29390</v>
      </c>
      <c r="C78">
        <v>25795</v>
      </c>
      <c r="D78">
        <v>25594</v>
      </c>
      <c r="E78">
        <v>22145</v>
      </c>
      <c r="F78">
        <v>20838</v>
      </c>
      <c r="G78">
        <v>18631</v>
      </c>
      <c r="H78">
        <v>20290</v>
      </c>
      <c r="I78">
        <v>23679</v>
      </c>
      <c r="J78">
        <v>26288</v>
      </c>
      <c r="K78">
        <v>29851</v>
      </c>
      <c r="L78">
        <v>30171</v>
      </c>
      <c r="M78">
        <v>30447</v>
      </c>
    </row>
    <row r="79" spans="1:13" x14ac:dyDescent="0.3">
      <c r="A79" t="s">
        <v>250</v>
      </c>
      <c r="B79">
        <v>32086</v>
      </c>
      <c r="C79">
        <v>28761</v>
      </c>
      <c r="D79">
        <v>30379</v>
      </c>
      <c r="E79">
        <v>30915</v>
      </c>
      <c r="F79">
        <v>33245</v>
      </c>
      <c r="G79">
        <v>31827</v>
      </c>
      <c r="H79">
        <v>31168</v>
      </c>
      <c r="I79">
        <v>35166</v>
      </c>
      <c r="J79">
        <v>31389</v>
      </c>
      <c r="K79">
        <v>31629</v>
      </c>
      <c r="L79">
        <v>32213</v>
      </c>
      <c r="M79">
        <v>32115</v>
      </c>
    </row>
    <row r="80" spans="1:13" x14ac:dyDescent="0.3">
      <c r="A80" t="s">
        <v>1004</v>
      </c>
      <c r="B80">
        <v>6637</v>
      </c>
      <c r="C80">
        <v>5857</v>
      </c>
      <c r="D80">
        <v>5923</v>
      </c>
      <c r="E80">
        <v>5363</v>
      </c>
      <c r="F80">
        <v>5166</v>
      </c>
      <c r="G80">
        <v>4726</v>
      </c>
      <c r="H80">
        <v>5161</v>
      </c>
      <c r="I80">
        <v>5838</v>
      </c>
      <c r="J80">
        <v>6186</v>
      </c>
      <c r="K80">
        <v>6701</v>
      </c>
      <c r="L80">
        <v>6553</v>
      </c>
      <c r="M80">
        <v>6655</v>
      </c>
    </row>
  </sheetData>
  <phoneticPr fontId="4" type="noConversion"/>
  <pageMargins left="0.7" right="0.7" top="0.75" bottom="0.75"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46616-ABF3-43DD-9ECA-F938666F94BF}">
  <dimension ref="A1:L24"/>
  <sheetViews>
    <sheetView workbookViewId="0">
      <pane xSplit="1" ySplit="1" topLeftCell="C5" activePane="bottomRight" state="frozen"/>
      <selection pane="topRight" activeCell="B1" sqref="B1"/>
      <selection pane="bottomLeft" activeCell="A2" sqref="A2"/>
      <selection pane="bottomRight" activeCell="J15" sqref="J15"/>
    </sheetView>
  </sheetViews>
  <sheetFormatPr defaultRowHeight="14.4" x14ac:dyDescent="0.3"/>
  <cols>
    <col min="1" max="1" width="23.33203125" bestFit="1" customWidth="1"/>
    <col min="2" max="2" width="18.44140625" customWidth="1"/>
    <col min="3" max="3" width="22.33203125" bestFit="1" customWidth="1"/>
    <col min="4" max="4" width="22.33203125" customWidth="1"/>
    <col min="5" max="5" width="14.44140625" bestFit="1" customWidth="1"/>
    <col min="6" max="6" width="30.109375" bestFit="1" customWidth="1"/>
    <col min="7" max="7" width="19.88671875" bestFit="1" customWidth="1"/>
    <col min="8" max="8" width="15.88671875" customWidth="1"/>
    <col min="9" max="9" width="25.109375" bestFit="1" customWidth="1"/>
    <col min="10" max="11" width="21" customWidth="1"/>
    <col min="12" max="12" width="210" bestFit="1" customWidth="1"/>
  </cols>
  <sheetData>
    <row r="1" spans="1:12" x14ac:dyDescent="0.3">
      <c r="A1" s="15" t="s">
        <v>268</v>
      </c>
      <c r="B1" s="15" t="s">
        <v>873</v>
      </c>
      <c r="C1" s="15" t="s">
        <v>267</v>
      </c>
      <c r="D1" s="15" t="s">
        <v>878</v>
      </c>
      <c r="E1" s="15" t="s">
        <v>876</v>
      </c>
      <c r="F1" s="15" t="s">
        <v>882</v>
      </c>
      <c r="G1" s="15" t="s">
        <v>879</v>
      </c>
      <c r="H1" s="15" t="s">
        <v>881</v>
      </c>
      <c r="I1" s="15" t="s">
        <v>883</v>
      </c>
      <c r="J1" s="15" t="s">
        <v>884</v>
      </c>
      <c r="K1" s="15" t="s">
        <v>885</v>
      </c>
      <c r="L1" s="15" t="s">
        <v>877</v>
      </c>
    </row>
    <row r="2" spans="1:12" x14ac:dyDescent="0.3">
      <c r="A2" s="27" t="s">
        <v>49</v>
      </c>
      <c r="B2" s="28" t="s">
        <v>875</v>
      </c>
      <c r="C2" s="29" cm="1">
        <f t="array" ref="C2">IFERROR(INDEX('Expected Production'!$B$2:$B$80,MATCH(TRIM($A2),INDEX(TRIM('Expected Production'!$A$2:$A$80),0),0)),"Not found")</f>
        <v>0.9</v>
      </c>
      <c r="D2" s="30" cm="1">
        <f t="array" aca="1" ref="D2" ca="1">_xlfn.IFNA(_xlfn.XLOOKUP(TRIM(A2),TRIM(site_tech_info!$A$2:$A$79),site_tech_info!$W$2:$W$79),"")</f>
        <v>1.6262833675564681</v>
      </c>
      <c r="E2" s="31" cm="1">
        <f t="array" ref="E2">IFERROR(SUM(INDEX('Simulated Production'!$B$2:$M$80,MATCH(TRIM($A2),INDEX(TRIM('Simulated Production'!$A$2:$A$80),0),0),0)),"Not found")</f>
        <v>63342</v>
      </c>
      <c r="F2" s="32">
        <f ca="1">(Table2[[#This Row],[As-Built kWh]]*Table2[[#This Row],[Expected Utilisation%]])*(1-0.007)^(Table2[[#This Row],[Age]])</f>
        <v>56360.247934488259</v>
      </c>
      <c r="G2" s="32">
        <f ca="1">(4681+4732*(9/31)+4546*(10/31)+4620*(3/30)+4991+4762)*(1-0.007)^(Table2[[#This Row],[Age]])</f>
        <v>17534.791764393573</v>
      </c>
      <c r="H2" s="31">
        <f ca="1">F2-G2</f>
        <v>38825.456170094687</v>
      </c>
      <c r="I2" s="31" cm="1">
        <f t="array" ref="I2">SUMPRODUCT((TRIM(measured[Site Name])=TRIM($A2))*(measured[Date]&gt;=DATE(2025,7,1))*(measured[Date]&lt;=DATE(2026,6,30))*measured[Measured Value (kWh)])</f>
        <v>34917.199999999997</v>
      </c>
      <c r="J2" s="31">
        <f ca="1">I2-H2</f>
        <v>-3908.2561700946899</v>
      </c>
      <c r="K2" s="31">
        <f ca="1">(Table2[[#This Row],[Actual Generation (kWh)]]/Table2[[#This Row],[Correct kWh]])*100</f>
        <v>89.933779134564233</v>
      </c>
      <c r="L2" s="28" t="s">
        <v>983</v>
      </c>
    </row>
    <row r="3" spans="1:12" x14ac:dyDescent="0.3">
      <c r="A3" s="27" t="s">
        <v>81</v>
      </c>
      <c r="B3" s="28" t="s">
        <v>875</v>
      </c>
      <c r="C3" s="29" cm="1">
        <f t="array" ref="C3">IFERROR(INDEX('Expected Production'!$B$2:$B$80,MATCH(TRIM($A3),INDEX(TRIM('Expected Production'!$A$2:$A$80),0),0)),"Not found")</f>
        <v>0.9</v>
      </c>
      <c r="D3" s="30" cm="1">
        <f t="array" aca="1" ref="D3" ca="1">_xlfn.IFNA(_xlfn.XLOOKUP(TRIM(A3),TRIM(site_tech_info!$A$2:$A$79),site_tech_info!$W$2:$W$79),"")</f>
        <v>2.5571526351813825</v>
      </c>
      <c r="E3" s="31" cm="1">
        <f t="array" ref="E3">IFERROR(SUM(INDEX('Simulated Production'!$B$2:$M$80,MATCH(TRIM($A3),INDEX(TRIM('Simulated Production'!$A$2:$A$80),0),0),0)),"Not found")</f>
        <v>94580</v>
      </c>
      <c r="F3" s="32">
        <f ca="1">(Table2[[#This Row],[As-Built kWh]]*Table2[[#This Row],[Expected Utilisation%]])*(1-0.007)^(Table2[[#This Row],[Age]])</f>
        <v>83606.603730343704</v>
      </c>
      <c r="G3" s="32">
        <f ca="1">(8100*(1/2)+7806*(1/2))*(1-0.007)^(Table2[[#This Row],[Age]])</f>
        <v>7811.4156089779781</v>
      </c>
      <c r="H3" s="31">
        <f t="shared" ref="H3:H24" ca="1" si="0">F3-G3</f>
        <v>75795.188121365733</v>
      </c>
      <c r="I3" s="31" cm="1">
        <f t="array" ref="I3">SUMPRODUCT((TRIM(measured[Site Name])=TRIM($A3))*(measured[Date]&gt;=DATE(2025,7,1))*(measured[Date]&lt;=DATE(2026,6,30))*measured[Measured Value (kWh)])</f>
        <v>76046.755900000004</v>
      </c>
      <c r="J3" s="31">
        <f t="shared" ref="J3:J23" ca="1" si="1">I3-H3</f>
        <v>251.56777863427124</v>
      </c>
      <c r="K3" s="31">
        <f ca="1">(Table2[[#This Row],[Actual Generation (kWh)]]/Table2[[#This Row],[Correct kWh]])*100</f>
        <v>100.33190468269761</v>
      </c>
      <c r="L3" s="28" t="s">
        <v>980</v>
      </c>
    </row>
    <row r="4" spans="1:12" x14ac:dyDescent="0.3">
      <c r="A4" s="27" t="s">
        <v>95</v>
      </c>
      <c r="B4" s="28" t="s">
        <v>875</v>
      </c>
      <c r="C4" s="29" cm="1">
        <f t="array" ref="C4">IFERROR(INDEX('Expected Production'!$B$2:$B$80,MATCH(TRIM($A4),INDEX(TRIM('Expected Production'!$A$2:$A$80),0),0)),"Not found")</f>
        <v>0.8</v>
      </c>
      <c r="D4" s="30" cm="1">
        <f t="array" aca="1" ref="D4" ca="1">_xlfn.IFNA(_xlfn.XLOOKUP(TRIM(A4),TRIM(site_tech_info!$A$2:$A$79),site_tech_info!$W$2:$W$79),"")</f>
        <v>3.2991101984941822</v>
      </c>
      <c r="E4" s="31" cm="1">
        <f t="array" ref="E4">IFERROR(SUM(INDEX('Simulated Production'!$B$2:$M$80,MATCH(TRIM($A4),INDEX(TRIM('Simulated Production'!$A$2:$A$80),0),0),0)),"Not found")</f>
        <v>428379</v>
      </c>
      <c r="F4" s="32">
        <f ca="1">(Table2[[#This Row],[As-Built kWh]]*Table2[[#This Row],[Expected Utilisation%]])*(1-0.007)^(Table2[[#This Row],[Age]])</f>
        <v>334852.38324139128</v>
      </c>
      <c r="G4" s="32">
        <f ca="1">(23255*(7/30)+35066*(2/30))*(1-0.007)^(Table2[[#This Row],[Age]])</f>
        <v>7586.040685490645</v>
      </c>
      <c r="H4" s="31">
        <f t="shared" ca="1" si="0"/>
        <v>327266.34255590063</v>
      </c>
      <c r="I4" s="31" cm="1">
        <f t="array" ref="I4">SUMPRODUCT((TRIM(measured[Site Name])=TRIM($A4))*(measured[Date]&gt;=DATE(2025,7,1))*(measured[Date]&lt;=DATE(2026,6,30))*measured[Measured Value (kWh)])</f>
        <v>166060.42000000001</v>
      </c>
      <c r="J4" s="31">
        <f t="shared" ca="1" si="1"/>
        <v>-161205.92255590062</v>
      </c>
      <c r="K4" s="31">
        <f ca="1">(Table2[[#This Row],[Actual Generation (kWh)]]/Table2[[#This Row],[Correct kWh]])*100</f>
        <v>50.741673800945506</v>
      </c>
      <c r="L4" s="28" t="s">
        <v>981</v>
      </c>
    </row>
    <row r="5" spans="1:12" x14ac:dyDescent="0.3">
      <c r="A5" s="36" t="s">
        <v>104</v>
      </c>
      <c r="B5" s="37" t="s">
        <v>875</v>
      </c>
      <c r="C5" s="38" cm="1">
        <f t="array" ref="C5">IFERROR(INDEX('Expected Production'!$B$2:$B$80,MATCH(TRIM($A5),INDEX(TRIM('Expected Production'!$A$2:$A$80),0),0)),"Not found")</f>
        <v>0.9</v>
      </c>
      <c r="D5" s="39" cm="1">
        <f t="array" aca="1" ref="D5" ca="1">_xlfn.IFNA(_xlfn.XLOOKUP(TRIM(A5),TRIM(site_tech_info!$A$2:$A$79),site_tech_info!$W$2:$W$79),"")</f>
        <v>3.2306639288158796</v>
      </c>
      <c r="E5" s="40" cm="1">
        <f t="array" ref="E5">IFERROR(SUM(INDEX('Simulated Production'!$B$2:$M$80,MATCH(TRIM($A5),INDEX(TRIM('Simulated Production'!$A$2:$A$80),0),0),0)),"Not found")</f>
        <v>45617</v>
      </c>
      <c r="F5" s="41">
        <f ca="1">(Table2[[#This Row],[As-Built kWh]]*Table2[[#This Row],[Expected Utilisation%]])*(1-0.007)^(Table2[[#This Row],[Age]])</f>
        <v>40134.076774400317</v>
      </c>
      <c r="G5" s="41">
        <f ca="1">(4681+3499*(9/31)+2081*(10/31)+4317*(3/30)+4991*(18/31))*(1-0.007)^(Table2[[#This Row],[Age]])</f>
        <v>9480.2233798231518</v>
      </c>
      <c r="H5" s="40">
        <f t="shared" ca="1" si="0"/>
        <v>30653.853394577163</v>
      </c>
      <c r="I5" s="40" cm="1">
        <f t="array" ref="I5">SUMPRODUCT((TRIM(measured[Site Name])=TRIM($A5))*(measured[Date]&gt;=DATE(2025,7,1))*(measured[Date]&lt;=DATE(2026,6,30))*measured[Measured Value (kWh)])</f>
        <v>24341.599999999999</v>
      </c>
      <c r="J5" s="40">
        <f t="shared" ca="1" si="1"/>
        <v>-6312.2533945771647</v>
      </c>
      <c r="K5" s="40">
        <f ca="1">(Table2[[#This Row],[Actual Generation (kWh)]]/Table2[[#This Row],[Correct kWh]])*100</f>
        <v>79.407961167799428</v>
      </c>
    </row>
    <row r="6" spans="1:12" x14ac:dyDescent="0.3">
      <c r="A6" s="1" t="s">
        <v>107</v>
      </c>
      <c r="B6" t="s">
        <v>875</v>
      </c>
      <c r="C6" s="9" cm="1">
        <f t="array" ref="C6">IFERROR(INDEX('Expected Production'!$B$2:$B$80,MATCH(TRIM($A6),INDEX(TRIM('Expected Production'!$A$2:$A$80),0),0)),"Not found")</f>
        <v>0.9</v>
      </c>
      <c r="D6" s="20" cm="1">
        <f t="array" aca="1" ref="D6" ca="1">_xlfn.IFNA(_xlfn.XLOOKUP(TRIM(A6),TRIM(site_tech_info!$A$2:$A$79),site_tech_info!$W$2:$W$79),"")</f>
        <v>3.2306639288158796</v>
      </c>
      <c r="E6" s="14" cm="1">
        <f t="array" ref="E6">IFERROR(SUM(INDEX('Simulated Production'!$B$2:$M$80,MATCH(TRIM($A6),INDEX(TRIM('Simulated Production'!$A$2:$A$80),0),0),0)),"Not found")</f>
        <v>40942</v>
      </c>
      <c r="F6" s="5">
        <f ca="1">(Table2[[#This Row],[As-Built kWh]]*Table2[[#This Row],[Expected Utilisation%]])*(1-0.007)^(Table2[[#This Row],[Age]])</f>
        <v>36020.987160433564</v>
      </c>
      <c r="G6" s="5">
        <f ca="1">(2974*(24/31)+3147*(2/30))*(1-0.007)^(Table2[[#This Row],[Age]])</f>
        <v>2455.8802178736751</v>
      </c>
      <c r="H6" s="14">
        <f t="shared" ca="1" si="0"/>
        <v>33565.106942559891</v>
      </c>
      <c r="I6" s="14" cm="1">
        <f t="array" ref="I6">SUMPRODUCT((TRIM(measured[Site Name])=TRIM($A6))*(measured[Date]&gt;=DATE(2025,7,1))*(measured[Date]&lt;=DATE(2026,6,30))*measured[Measured Value (kWh)])</f>
        <v>32105.499999999996</v>
      </c>
      <c r="J6" s="14">
        <f t="shared" ca="1" si="1"/>
        <v>-1459.6069425598944</v>
      </c>
      <c r="K6" s="14">
        <f ca="1">(Table2[[#This Row],[Actual Generation (kWh)]]/Table2[[#This Row],[Correct kWh]])*100</f>
        <v>95.651415784082786</v>
      </c>
      <c r="L6" t="s">
        <v>880</v>
      </c>
    </row>
    <row r="7" spans="1:12" x14ac:dyDescent="0.3">
      <c r="A7" s="27" t="s">
        <v>114</v>
      </c>
      <c r="B7" s="28" t="s">
        <v>875</v>
      </c>
      <c r="C7" s="29" cm="1">
        <f t="array" ref="C7">IFERROR(INDEX('Expected Production'!$B$2:$B$80,MATCH(TRIM($A7),INDEX(TRIM('Expected Production'!$A$2:$A$80),0),0)),"Not found")</f>
        <v>0.85</v>
      </c>
      <c r="D7" s="30" cm="1">
        <f t="array" aca="1" ref="D7" ca="1">_xlfn.IFNA(_xlfn.XLOOKUP(TRIM(A7),TRIM(site_tech_info!$A$2:$A$79),site_tech_info!$W$2:$W$79),"")</f>
        <v>2.9486652977412731</v>
      </c>
      <c r="E7" s="31" cm="1">
        <f t="array" ref="E7">IFERROR(SUM(INDEX('Simulated Production'!$B$2:$M$80,MATCH(TRIM($A7),INDEX(TRIM('Simulated Production'!$A$2:$A$80),0),0),0)),"Not found")</f>
        <v>319608</v>
      </c>
      <c r="F7" s="32">
        <f ca="1">(Table2[[#This Row],[As-Built kWh]]*Table2[[#This Row],[Expected Utilisation%]])*(1-0.007)^(Table2[[#This Row],[Age]])</f>
        <v>266097.57825937809</v>
      </c>
      <c r="G7" s="32">
        <v>0</v>
      </c>
      <c r="H7" s="31">
        <f t="shared" ca="1" si="0"/>
        <v>266097.57825937809</v>
      </c>
      <c r="I7" s="31" cm="1">
        <f t="array" ref="I7">SUMPRODUCT((TRIM(measured[Site Name])=TRIM($A7))*(measured[Date]&gt;=DATE(2025,7,1))*(measured[Date]&lt;=DATE(2026,6,30))*measured[Measured Value (kWh)])</f>
        <v>254905.02</v>
      </c>
      <c r="J7" s="31">
        <f t="shared" ca="1" si="1"/>
        <v>-11192.5582593781</v>
      </c>
      <c r="K7" s="31">
        <f ca="1">(Table2[[#This Row],[Actual Generation (kWh)]]/Table2[[#This Row],[Correct kWh]])*100</f>
        <v>95.793814309550697</v>
      </c>
      <c r="L7" s="28" t="s">
        <v>984</v>
      </c>
    </row>
    <row r="8" spans="1:12" x14ac:dyDescent="0.3">
      <c r="A8" s="27" t="s">
        <v>117</v>
      </c>
      <c r="B8" s="28" t="s">
        <v>875</v>
      </c>
      <c r="C8" s="29" cm="1">
        <f t="array" ref="C8">IFERROR(INDEX('Expected Production'!$B$2:$B$80,MATCH(TRIM($A8),INDEX(TRIM('Expected Production'!$A$2:$A$80),0),0)),"Not found")</f>
        <v>0.9</v>
      </c>
      <c r="D8" s="30" cm="1">
        <f t="array" aca="1" ref="D8" ca="1">_xlfn.IFNA(_xlfn.XLOOKUP(TRIM(A8),TRIM(site_tech_info!$A$2:$A$79),site_tech_info!$W$2:$W$79),"")</f>
        <v>2.1601642710472277</v>
      </c>
      <c r="E8" s="31" cm="1">
        <f t="array" ref="E8">IFERROR(SUM(INDEX('Simulated Production'!$B$2:$M$80,MATCH(TRIM($A8),INDEX(TRIM('Simulated Production'!$A$2:$A$80),0),0),0)),"Not found")</f>
        <v>355254</v>
      </c>
      <c r="F8" s="32">
        <f ca="1">(Table2[[#This Row],[As-Built kWh]]*Table2[[#This Row],[Expected Utilisation%]])*(1-0.007)^(Table2[[#This Row],[Age]])</f>
        <v>314913.56008137891</v>
      </c>
      <c r="G8" s="32">
        <f ca="1">((22354*(0.5)+26969*(7/31))*(1-0.007)^(Table2[[#This Row],[Age]]))*(1-0.007)^(Table2[[#This Row],[Age]])</f>
        <v>16750.622865741807</v>
      </c>
      <c r="H8" s="31">
        <f t="shared" ca="1" si="0"/>
        <v>298162.93721563712</v>
      </c>
      <c r="I8" s="31" cm="1">
        <f t="array" ref="I8">SUMPRODUCT((TRIM(measured[Site Name])=TRIM($A8))*(measured[Date]&gt;=DATE(2025,7,1))*(measured[Date]&lt;=DATE(2026,6,30))*measured[Measured Value (kWh)])</f>
        <v>271722.179</v>
      </c>
      <c r="J8" s="31">
        <f t="shared" ca="1" si="1"/>
        <v>-26440.758215637121</v>
      </c>
      <c r="K8" s="31">
        <f ca="1">(Table2[[#This Row],[Actual Generation (kWh)]]/Table2[[#This Row],[Correct kWh]])*100</f>
        <v>91.132111032125138</v>
      </c>
      <c r="L8" s="28" t="s">
        <v>988</v>
      </c>
    </row>
    <row r="9" spans="1:12" s="28" customFormat="1" x14ac:dyDescent="0.3">
      <c r="A9" s="27" t="s">
        <v>127</v>
      </c>
      <c r="B9" s="28" t="s">
        <v>875</v>
      </c>
      <c r="C9" s="29" cm="1">
        <f t="array" ref="C9">IFERROR(INDEX('Expected Production'!$B$2:$B$80,MATCH(TRIM($A9),INDEX(TRIM('Expected Production'!$A$2:$A$80),0),0)),"Not found")</f>
        <v>0.8</v>
      </c>
      <c r="D9" s="30" cm="1">
        <f t="array" aca="1" ref="D9" ca="1">_xlfn.IFNA(_xlfn.XLOOKUP(TRIM(A9),TRIM(site_tech_info!$A$2:$A$79),site_tech_info!$W$2:$W$79),"")</f>
        <v>2.4640657084188913</v>
      </c>
      <c r="E9" s="31" cm="1">
        <f t="array" ref="E9">IFERROR(SUM(INDEX('Simulated Production'!$B$2:$M$80,MATCH(TRIM($A9),INDEX(TRIM('Simulated Production'!$A$2:$A$80),0),0),0)),"Not found")</f>
        <v>200775</v>
      </c>
      <c r="F9" s="32">
        <f ca="1">(Table2[[#This Row],[As-Built kWh]]*Table2[[#This Row],[Expected Utilisation%]])*(1-0.007)^(Table2[[#This Row],[Age]])</f>
        <v>157863.73338563676</v>
      </c>
      <c r="G9" s="32">
        <f ca="1">('Expected Production'!I34*0.5+'Expected Production'!C34*0.8)*(1-0.007)^(Table2[[#This Row],[Age]])</f>
        <v>17815.112000656172</v>
      </c>
      <c r="H9" s="31">
        <f t="shared" ca="1" si="0"/>
        <v>140048.62138498059</v>
      </c>
      <c r="I9" s="31" cm="1">
        <f t="array" ref="I9">SUMPRODUCT((TRIM(measured[Site Name])=TRIM($A9))*(measured[Date]&gt;=DATE(2025,7,1))*(measured[Date]&lt;=DATE(2026,6,30))*measured[Measured Value (kWh)])</f>
        <v>147166.31</v>
      </c>
      <c r="J9" s="31">
        <f t="shared" ca="1" si="1"/>
        <v>7117.6886150194041</v>
      </c>
      <c r="K9" s="31">
        <f ca="1">(Table2[[#This Row],[Actual Generation (kWh)]]/Table2[[#This Row],[Correct kWh]])*100</f>
        <v>105.08229823659138</v>
      </c>
      <c r="L9" s="28" t="s">
        <v>989</v>
      </c>
    </row>
    <row r="10" spans="1:12" s="28" customFormat="1" x14ac:dyDescent="0.3">
      <c r="A10" s="27" t="s">
        <v>131</v>
      </c>
      <c r="B10" s="28" t="s">
        <v>875</v>
      </c>
      <c r="C10" s="29" cm="1">
        <f t="array" ref="C10">IFERROR(INDEX('Expected Production'!$B$2:$B$80,MATCH(TRIM($A10),INDEX(TRIM('Expected Production'!$A$2:$A$80),0),0)),"Not found")</f>
        <v>0.9</v>
      </c>
      <c r="D10" s="30" cm="1">
        <f t="array" aca="1" ref="D10" ca="1">_xlfn.IFNA(_xlfn.XLOOKUP(TRIM(A10),TRIM(site_tech_info!$A$2:$A$79),site_tech_info!$W$2:$W$79),"")</f>
        <v>3.5290896646132786</v>
      </c>
      <c r="E10" s="31" cm="1">
        <f t="array" ref="E10">IFERROR(SUM(INDEX('Simulated Production'!$B$2:$M$80,MATCH(TRIM($A10),INDEX(TRIM('Simulated Production'!$A$2:$A$80),0),0),0)),"Not found")</f>
        <v>73186</v>
      </c>
      <c r="F10" s="32">
        <f ca="1">(Table2[[#This Row],[As-Built kWh]]*Table2[[#This Row],[Expected Utilisation%]])*(1-0.007)^(Table2[[#This Row],[Age]])</f>
        <v>64254.588284571917</v>
      </c>
      <c r="G10" s="32">
        <v>0</v>
      </c>
      <c r="H10" s="31">
        <f t="shared" ca="1" si="0"/>
        <v>64254.588284571917</v>
      </c>
      <c r="I10" s="31" cm="1">
        <f t="array" ref="I10">SUMPRODUCT((TRIM(measured[Site Name])=TRIM($A10))*(measured[Date]&gt;=DATE(2025,7,1))*(measured[Date]&lt;=DATE(2026,6,30))*measured[Measured Value (kWh)])</f>
        <v>61467.39</v>
      </c>
      <c r="J10" s="31">
        <f t="shared" ca="1" si="1"/>
        <v>-2787.1982845719176</v>
      </c>
      <c r="K10" s="31">
        <f ca="1">(Table2[[#This Row],[Actual Generation (kWh)]]/Table2[[#This Row],[Correct kWh]])*100</f>
        <v>95.662257966344882</v>
      </c>
      <c r="L10" s="28" t="s">
        <v>981</v>
      </c>
    </row>
    <row r="11" spans="1:12" x14ac:dyDescent="0.3">
      <c r="A11" s="1" t="s">
        <v>142</v>
      </c>
      <c r="B11" t="s">
        <v>875</v>
      </c>
      <c r="C11" s="9" cm="1">
        <f t="array" ref="C11">IFERROR(INDEX('Expected Production'!$B$2:$B$80,MATCH(TRIM($A11),INDEX(TRIM('Expected Production'!$A$2:$A$80),0),0)),"Not found")</f>
        <v>0.9</v>
      </c>
      <c r="D11" s="20" cm="1">
        <f t="array" aca="1" ref="D11" ca="1">_xlfn.IFNA(_xlfn.XLOOKUP(TRIM(A11),TRIM(site_tech_info!$A$2:$A$79),site_tech_info!$W$2:$W$79),"")</f>
        <v>2.9514031485284051</v>
      </c>
      <c r="E11" s="14" cm="1">
        <f t="array" ref="E11">IFERROR(SUM(INDEX('Simulated Production'!$B$2:$M$80,MATCH(TRIM($A11),INDEX(TRIM('Simulated Production'!$A$2:$A$80),0),0),0)),"Not found")</f>
        <v>66026</v>
      </c>
      <c r="F11" s="5">
        <f ca="1">(Table2[[#This Row],[As-Built kWh]]*Table2[[#This Row],[Expected Utilisation%]])*(1-0.007)^(Table2[[#This Row],[Age]])</f>
        <v>58204.089439163778</v>
      </c>
      <c r="G11" s="5">
        <v>0</v>
      </c>
      <c r="H11" s="14">
        <f t="shared" ca="1" si="0"/>
        <v>58204.089439163778</v>
      </c>
      <c r="I11" s="14" cm="1">
        <f t="array" ref="I11">SUMPRODUCT((TRIM(measured[Site Name])=TRIM($A11))*(measured[Date]&gt;=DATE(2025,7,1))*(measured[Date]&lt;=DATE(2026,6,30))*measured[Measured Value (kWh)])</f>
        <v>46668.700000000004</v>
      </c>
      <c r="J11" s="14">
        <f t="shared" ca="1" si="1"/>
        <v>-11535.389439163773</v>
      </c>
      <c r="K11" s="14">
        <f ca="1">(Table2[[#This Row],[Actual Generation (kWh)]]/Table2[[#This Row],[Correct kWh]])*100</f>
        <v>80.181135809673947</v>
      </c>
      <c r="L11" t="s">
        <v>880</v>
      </c>
    </row>
    <row r="12" spans="1:12" x14ac:dyDescent="0.3">
      <c r="A12" s="1" t="s">
        <v>149</v>
      </c>
      <c r="B12" t="s">
        <v>875</v>
      </c>
      <c r="C12" s="9" cm="1">
        <f t="array" ref="C12">IFERROR(INDEX('Expected Production'!$B$2:$B$80,MATCH(TRIM($A12),INDEX(TRIM('Expected Production'!$A$2:$A$80),0),0)),"Not found")</f>
        <v>0.75</v>
      </c>
      <c r="D12" s="20" cm="1">
        <f t="array" aca="1" ref="D12" ca="1">_xlfn.IFNA(_xlfn.XLOOKUP(TRIM(A12),TRIM(site_tech_info!$A$2:$A$79),site_tech_info!$W$2:$W$79),"")</f>
        <v>4.2819986310746065</v>
      </c>
      <c r="E12" s="14" cm="1">
        <f t="array" ref="E12">IFERROR(SUM(INDEX('Simulated Production'!$B$2:$M$80,MATCH(TRIM($A12),INDEX(TRIM('Simulated Production'!$A$2:$A$80),0),0),0)),"Not found")</f>
        <v>125072.49999999997</v>
      </c>
      <c r="F12" s="5">
        <f ca="1">(Table2[[#This Row],[As-Built kWh]]*Table2[[#This Row],[Expected Utilisation%]])*(1-0.007)^(Table2[[#This Row],[Age]])</f>
        <v>91024.8098589976</v>
      </c>
      <c r="G12" s="5">
        <f ca="1">(5691*0.3*(1-0.007)^(Table2[[#This Row],[Age]]))*(1-0.007)^(Table2[[#This Row],[Age]])</f>
        <v>1607.619305164304</v>
      </c>
      <c r="H12" s="14">
        <f t="shared" ca="1" si="0"/>
        <v>89417.190553833294</v>
      </c>
      <c r="I12" s="14" cm="1">
        <f t="array" ref="I12">SUMPRODUCT((TRIM(measured[Site Name])=TRIM($A12))*(measured[Date]&gt;=DATE(2025,7,1))*(measured[Date]&lt;=DATE(2026,6,30))*measured[Measured Value (kWh)])</f>
        <v>72438</v>
      </c>
      <c r="J12" s="14">
        <f t="shared" ca="1" si="1"/>
        <v>-16979.190553833294</v>
      </c>
      <c r="K12" s="14">
        <f ca="1">(Table2[[#This Row],[Actual Generation (kWh)]]/Table2[[#This Row],[Correct kWh]])*100</f>
        <v>81.01126813684553</v>
      </c>
      <c r="L12" t="s">
        <v>880</v>
      </c>
    </row>
    <row r="13" spans="1:12" x14ac:dyDescent="0.3">
      <c r="A13" s="1" t="s">
        <v>160</v>
      </c>
      <c r="B13" t="s">
        <v>875</v>
      </c>
      <c r="C13" s="9" cm="1">
        <f t="array" ref="C13">IFERROR(INDEX('Expected Production'!$B$2:$B$80,MATCH(TRIM($A13),INDEX(TRIM('Expected Production'!$A$2:$A$80),0),0)),"Not found")</f>
        <v>0.85</v>
      </c>
      <c r="D13" s="20" cm="1">
        <f t="array" aca="1" ref="D13" ca="1">_xlfn.IFNA(_xlfn.XLOOKUP(TRIM(A13),TRIM(site_tech_info!$A$2:$A$79),site_tech_info!$W$2:$W$79),"")</f>
        <v>2.7022587268993838</v>
      </c>
      <c r="E13" s="14" cm="1">
        <f t="array" ref="E13">IFERROR(SUM(INDEX('Simulated Production'!$B$2:$M$80,MATCH(TRIM($A13),INDEX(TRIM('Simulated Production'!$A$2:$A$80),0),0),0)),"Not found")</f>
        <v>225937</v>
      </c>
      <c r="F13" s="5">
        <f ca="1">(Table2[[#This Row],[As-Built kWh]]*Table2[[#This Row],[Expected Utilisation%]])*(1-0.007)^(Table2[[#This Row],[Age]])</f>
        <v>188435.34351728071</v>
      </c>
      <c r="G13" s="5">
        <v>0</v>
      </c>
      <c r="H13" s="14">
        <f t="shared" ca="1" si="0"/>
        <v>188435.34351728071</v>
      </c>
      <c r="I13" s="14" cm="1">
        <f t="array" ref="I13">SUMPRODUCT((TRIM(measured[Site Name])=TRIM($A13))*(measured[Date]&gt;=DATE(2025,7,1))*(measured[Date]&lt;=DATE(2026,6,30))*measured[Measured Value (kWh)])</f>
        <v>176720.45</v>
      </c>
      <c r="J13" s="14">
        <f t="shared" ca="1" si="1"/>
        <v>-11714.893517280696</v>
      </c>
      <c r="K13" s="14">
        <f ca="1">(Table2[[#This Row],[Actual Generation (kWh)]]/Table2[[#This Row],[Correct kWh]])*100</f>
        <v>93.783069938678267</v>
      </c>
      <c r="L13" t="s">
        <v>880</v>
      </c>
    </row>
    <row r="14" spans="1:12" x14ac:dyDescent="0.3">
      <c r="A14" s="1" t="s">
        <v>194</v>
      </c>
      <c r="B14" t="s">
        <v>875</v>
      </c>
      <c r="C14" s="9" cm="1">
        <f t="array" ref="C14">IFERROR(INDEX('Expected Production'!$B$2:$B$80,MATCH(TRIM($A14),INDEX(TRIM('Expected Production'!$A$2:$A$80),0),0)),"Not found")</f>
        <v>0.92500000000000004</v>
      </c>
      <c r="D14" s="20" cm="1">
        <f t="array" aca="1" ref="D14" ca="1">_xlfn.IFNA(_xlfn.XLOOKUP(TRIM(A14),TRIM(site_tech_info!$A$2:$A$79),site_tech_info!$W$2:$W$79),"")</f>
        <v>3.0800821355236141</v>
      </c>
      <c r="E14" s="14" cm="1">
        <f t="array" ref="E14">IFERROR(SUM(INDEX('Simulated Production'!$B$2:$M$80,MATCH(TRIM($A14),INDEX(TRIM('Simulated Production'!$A$2:$A$80),0),0),0)),"Not found")</f>
        <v>81158</v>
      </c>
      <c r="F14" s="5">
        <f ca="1">(Table2[[#This Row],[As-Built kWh]]*Table2[[#This Row],[Expected Utilisation%]])*(1-0.007)^(Table2[[#This Row],[Age]])</f>
        <v>73464.326857905282</v>
      </c>
      <c r="G14" s="5">
        <v>0</v>
      </c>
      <c r="H14" s="14">
        <f t="shared" ca="1" si="0"/>
        <v>73464.326857905282</v>
      </c>
      <c r="I14" s="14" cm="1">
        <f t="array" ref="I14">SUMPRODUCT((TRIM(measured[Site Name])=TRIM($A14))*(measured[Date]&gt;=DATE(2025,7,1))*(measured[Date]&lt;=DATE(2026,6,30))*measured[Measured Value (kWh)])</f>
        <v>56043.3</v>
      </c>
      <c r="J14" s="14">
        <f t="shared" ca="1" si="1"/>
        <v>-17421.026857905279</v>
      </c>
      <c r="K14" s="14">
        <f ca="1">(Table2[[#This Row],[Actual Generation (kWh)]]/Table2[[#This Row],[Correct kWh]])*100</f>
        <v>76.286413279739122</v>
      </c>
      <c r="L14" t="s">
        <v>880</v>
      </c>
    </row>
    <row r="15" spans="1:12" x14ac:dyDescent="0.3">
      <c r="A15" s="1" t="s">
        <v>202</v>
      </c>
      <c r="B15" t="s">
        <v>875</v>
      </c>
      <c r="C15" s="9" cm="1">
        <f t="array" ref="C15">IFERROR(INDEX('Expected Production'!$B$2:$B$80,MATCH(TRIM($A15),INDEX(TRIM('Expected Production'!$A$2:$A$80),0),0)),"Not found")</f>
        <v>0.9</v>
      </c>
      <c r="D15" s="20" cm="1">
        <f t="array" aca="1" ref="D15" ca="1">_xlfn.IFNA(_xlfn.XLOOKUP(TRIM(A15),TRIM(site_tech_info!$A$2:$A$79),site_tech_info!$W$2:$W$79),"")</f>
        <v>2.9486652977412731</v>
      </c>
      <c r="E15" s="14" cm="1">
        <f t="array" ref="E15">IFERROR(SUM(INDEX('Simulated Production'!$B$2:$M$80,MATCH(TRIM($A15),INDEX(TRIM('Simulated Production'!$A$2:$A$80),0),0),0)),"Not found")</f>
        <v>312107</v>
      </c>
      <c r="F15" s="5">
        <f ca="1">(Table2[[#This Row],[As-Built kWh]]*Table2[[#This Row],[Expected Utilisation%]])*(1-0.007)^(Table2[[#This Row],[Age]])</f>
        <v>275137.87173117854</v>
      </c>
      <c r="G15" s="5">
        <v>0</v>
      </c>
      <c r="H15" s="14">
        <f t="shared" ca="1" si="0"/>
        <v>275137.87173117854</v>
      </c>
      <c r="I15" s="14" cm="1">
        <f t="array" ref="I15">SUMPRODUCT((TRIM(measured[Site Name])=TRIM($A15))*(measured[Date]&gt;=DATE(2025,7,1))*(measured[Date]&lt;=DATE(2026,6,30))*measured[Measured Value (kWh)])</f>
        <v>237169.27</v>
      </c>
      <c r="J15" s="14">
        <f t="shared" ca="1" si="1"/>
        <v>-37968.601731178554</v>
      </c>
      <c r="K15" s="14">
        <f ca="1">(Table2[[#This Row],[Actual Generation (kWh)]]/Table2[[#This Row],[Correct kWh]])*100</f>
        <v>86.200154310899265</v>
      </c>
      <c r="L15" t="s">
        <v>880</v>
      </c>
    </row>
    <row r="16" spans="1:12" x14ac:dyDescent="0.3">
      <c r="A16" s="1" t="s">
        <v>213</v>
      </c>
      <c r="B16" t="s">
        <v>875</v>
      </c>
      <c r="C16" s="9" cm="1">
        <f t="array" ref="C16">IFERROR(INDEX('Expected Production'!$B$2:$B$80,MATCH(TRIM($A16),INDEX(TRIM('Expected Production'!$A$2:$A$80),0),0)),"Not found")</f>
        <v>0.9</v>
      </c>
      <c r="D16" s="20" cm="1">
        <f t="array" aca="1" ref="D16" ca="1">_xlfn.IFNA(_xlfn.XLOOKUP(TRIM(A16),TRIM(site_tech_info!$A$2:$A$79),site_tech_info!$W$2:$W$79),"")</f>
        <v>2.9924709103353866</v>
      </c>
      <c r="E16" s="14" cm="1">
        <f t="array" ref="E16">IFERROR(SUM(INDEX('Simulated Production'!$B$2:$M$80,MATCH(TRIM($A16),INDEX(TRIM('Simulated Production'!$A$2:$A$80),0),0),0)),"Not found")</f>
        <v>96848.548387096773</v>
      </c>
      <c r="F16" s="5">
        <f ca="1">(Table2[[#This Row],[As-Built kWh]]*Table2[[#This Row],[Expected Utilisation%]])*(1-0.007)^(Table2[[#This Row],[Age]])</f>
        <v>85350.553131929992</v>
      </c>
      <c r="G16" s="5">
        <f ca="1">(6087*(1-0.007)^(Table2[[#This Row],[Age]]))*(1-0.007)^(Table2[[#This Row],[Age]])</f>
        <v>5836.3957358910066</v>
      </c>
      <c r="H16" s="14">
        <f t="shared" ca="1" si="0"/>
        <v>79514.15739603898</v>
      </c>
      <c r="I16" s="14" cm="1">
        <f t="array" ref="I16">SUMPRODUCT((TRIM(measured[Site Name])=TRIM($A16))*(measured[Date]&gt;=DATE(2025,7,1))*(measured[Date]&lt;=DATE(2026,6,30))*measured[Measured Value (kWh)])</f>
        <v>77775.48</v>
      </c>
      <c r="J16" s="14">
        <f t="shared" ca="1" si="1"/>
        <v>-1738.6773960389837</v>
      </c>
      <c r="K16" s="14">
        <f ca="1">(Table2[[#This Row],[Actual Generation (kWh)]]/Table2[[#This Row],[Correct kWh]])*100</f>
        <v>97.813373802882566</v>
      </c>
      <c r="L16" t="s">
        <v>880</v>
      </c>
    </row>
    <row r="17" spans="1:12" x14ac:dyDescent="0.3">
      <c r="A17" s="1" t="s">
        <v>218</v>
      </c>
      <c r="B17" t="s">
        <v>875</v>
      </c>
      <c r="C17" s="9" cm="1">
        <f t="array" ref="C17">IFERROR(INDEX('Expected Production'!$B$2:$B$80,MATCH(TRIM($A17),INDEX(TRIM('Expected Production'!$A$2:$A$80),0),0)),"Not found")</f>
        <v>0.9</v>
      </c>
      <c r="D17" s="20" cm="1">
        <f t="array" aca="1" ref="D17" ca="1">_xlfn.IFNA(_xlfn.XLOOKUP(TRIM(A17),TRIM(site_tech_info!$A$2:$A$79),site_tech_info!$W$2:$W$79),"")</f>
        <v>2.9924709103353866</v>
      </c>
      <c r="E17" s="14" cm="1">
        <f t="array" ref="E17">IFERROR(SUM(INDEX('Simulated Production'!$B$2:$M$80,MATCH(TRIM($A17),INDEX(TRIM('Simulated Production'!$A$2:$A$80),0),0),0)),"Not found")</f>
        <v>100237.87096774194</v>
      </c>
      <c r="F17" s="5">
        <f ca="1">(Table2[[#This Row],[As-Built kWh]]*Table2[[#This Row],[Expected Utilisation%]])*(1-0.007)^(Table2[[#This Row],[Age]])</f>
        <v>88337.490590655463</v>
      </c>
      <c r="G17" s="5">
        <f ca="1">(6247*(1-0.007)^(Table2[[#This Row],[Age]]))*(1-0.007)^(Table2[[#This Row],[Age]])</f>
        <v>5989.8084708577489</v>
      </c>
      <c r="H17" s="14">
        <f t="shared" ca="1" si="0"/>
        <v>82347.682119797711</v>
      </c>
      <c r="I17" s="14" cm="1">
        <f t="array" ref="I17">SUMPRODUCT((TRIM(measured[Site Name])=TRIM($A17))*(measured[Date]&gt;=DATE(2025,7,1))*(measured[Date]&lt;=DATE(2026,6,30))*measured[Measured Value (kWh)])</f>
        <v>78264.639999999999</v>
      </c>
      <c r="J17" s="14">
        <f t="shared" ca="1" si="1"/>
        <v>-4083.0421197977121</v>
      </c>
      <c r="K17" s="14">
        <f ca="1">(Table2[[#This Row],[Actual Generation (kWh)]]/Table2[[#This Row],[Correct kWh]])*100</f>
        <v>95.041703646427123</v>
      </c>
      <c r="L17" t="s">
        <v>880</v>
      </c>
    </row>
    <row r="18" spans="1:12" x14ac:dyDescent="0.3">
      <c r="A18" s="1" t="s">
        <v>220</v>
      </c>
      <c r="B18" t="s">
        <v>875</v>
      </c>
      <c r="C18" s="9" cm="1">
        <f t="array" ref="C18">IFERROR(INDEX('Expected Production'!$B$2:$B$80,MATCH(TRIM($A18),INDEX(TRIM('Expected Production'!$A$2:$A$80),0),0)),"Not found")</f>
        <v>0.9</v>
      </c>
      <c r="D18" s="20" cm="1">
        <f t="array" aca="1" ref="D18" ca="1">_xlfn.IFNA(_xlfn.XLOOKUP(TRIM(A18),TRIM(site_tech_info!$A$2:$A$79),site_tech_info!$W$2:$W$79),"")</f>
        <v>0.89801505817932925</v>
      </c>
      <c r="E18" s="14" cm="1">
        <f t="array" ref="E18">IFERROR(SUM(INDEX('Simulated Production'!$B$2:$M$80,MATCH(TRIM($A18),INDEX(TRIM('Simulated Production'!$A$2:$A$80),0),0),0)),"Not found")</f>
        <v>524973</v>
      </c>
      <c r="F18" s="5">
        <f ca="1">(Table2[[#This Row],[As-Built kWh]]*Table2[[#This Row],[Expected Utilisation%]])*(1-0.007)^(Table2[[#This Row],[Age]])</f>
        <v>469504.60506650218</v>
      </c>
      <c r="G18" s="5">
        <f ca="1">(31229+36815+40778+47657*(5/30))*(1-0.007)^(Table2[[#This Row],[Age]])</f>
        <v>116030.57460907008</v>
      </c>
      <c r="H18" s="14">
        <f t="shared" ca="1" si="0"/>
        <v>353474.03045743209</v>
      </c>
      <c r="I18" s="14" cm="1">
        <f t="array" ref="I18">SUMPRODUCT((TRIM(measured[Site Name])=TRIM($A18))*(measured[Date]&gt;=DATE(2025,7,1))*(measured[Date]&lt;=DATE(2026,6,30))*measured[Measured Value (kWh)])</f>
        <v>300497.95500000002</v>
      </c>
      <c r="J18" s="14">
        <f t="shared" ca="1" si="1"/>
        <v>-52976.075457432074</v>
      </c>
      <c r="K18" s="14">
        <f ca="1">(Table2[[#This Row],[Actual Generation (kWh)]]/Table2[[#This Row],[Correct kWh]])*100</f>
        <v>85.01273901540219</v>
      </c>
      <c r="L18" t="s">
        <v>880</v>
      </c>
    </row>
    <row r="19" spans="1:12" x14ac:dyDescent="0.3">
      <c r="A19" s="1" t="s">
        <v>222</v>
      </c>
      <c r="B19" t="s">
        <v>875</v>
      </c>
      <c r="C19" s="9" cm="1">
        <f t="array" ref="C19">IFERROR(INDEX('Expected Production'!$B$2:$B$80,MATCH(TRIM($A19),INDEX(TRIM('Expected Production'!$A$2:$A$80),0),0)),"Not found")</f>
        <v>0.9</v>
      </c>
      <c r="D19" s="20" cm="1">
        <f t="array" aca="1" ref="D19" ca="1">_xlfn.IFNA(_xlfn.XLOOKUP(TRIM(A19),TRIM(site_tech_info!$A$2:$A$79),site_tech_info!$W$2:$W$79),"")</f>
        <v>0.89801505817932925</v>
      </c>
      <c r="E19" s="14" cm="1">
        <f t="array" ref="E19">IFERROR(SUM(INDEX('Simulated Production'!$B$2:$M$80,MATCH(TRIM($A19),INDEX(TRIM('Simulated Production'!$A$2:$A$80),0),0),0)),"Not found")</f>
        <v>138565</v>
      </c>
      <c r="F19" s="5">
        <f ca="1">(Table2[[#This Row],[As-Built kWh]]*Table2[[#This Row],[Expected Utilisation%]])*(1-0.007)^(Table2[[#This Row],[Age]])</f>
        <v>123924.28867968424</v>
      </c>
      <c r="G19" s="5">
        <f ca="1">(8307+9721+10756+12191*(5/30))*(1-0.007)^(Table2[[#This Row],[Age]])</f>
        <v>30622.052433515248</v>
      </c>
      <c r="H19" s="14">
        <f t="shared" ca="1" si="0"/>
        <v>93302.236246168992</v>
      </c>
      <c r="I19" s="14" cm="1">
        <f t="array" ref="I19">SUMPRODUCT((TRIM(measured[Site Name])=TRIM($A19))*(measured[Date]&gt;=DATE(2025,7,1))*(measured[Date]&lt;=DATE(2026,6,30))*measured[Measured Value (kWh)])</f>
        <v>81974.632769999997</v>
      </c>
      <c r="J19" s="14">
        <f t="shared" ca="1" si="1"/>
        <v>-11327.603476168995</v>
      </c>
      <c r="K19" s="14">
        <f ca="1">(Table2[[#This Row],[Actual Generation (kWh)]]/Table2[[#This Row],[Correct kWh]])*100</f>
        <v>87.859236893012721</v>
      </c>
      <c r="L19" t="s">
        <v>880</v>
      </c>
    </row>
    <row r="20" spans="1:12" x14ac:dyDescent="0.3">
      <c r="A20" s="1" t="s">
        <v>223</v>
      </c>
      <c r="B20" t="s">
        <v>875</v>
      </c>
      <c r="C20" s="9" cm="1">
        <f t="array" ref="C20">IFERROR(INDEX('Expected Production'!$B$2:$B$80,MATCH(TRIM($A20),INDEX(TRIM('Expected Production'!$A$2:$A$80),0),0)),"Not found")</f>
        <v>0.9</v>
      </c>
      <c r="D20" s="20" cm="1">
        <f t="array" aca="1" ref="D20" ca="1">_xlfn.IFNA(_xlfn.XLOOKUP(TRIM(A20),TRIM(site_tech_info!$A$2:$A$79),site_tech_info!$W$2:$W$79),"")</f>
        <v>0.87063655030800824</v>
      </c>
      <c r="E20" s="14" cm="1">
        <f t="array" ref="E20">IFERROR(SUM(INDEX('Simulated Production'!$B$2:$M$80,MATCH(TRIM($A20),INDEX(TRIM('Simulated Production'!$A$2:$A$80),0),0),0)),"Not found")</f>
        <v>89076</v>
      </c>
      <c r="F20" s="5">
        <f ca="1">(Table2[[#This Row],[As-Built kWh]]*Table2[[#This Row],[Expected Utilisation%]])*(1-0.007)^(Table2[[#This Row],[Age]])</f>
        <v>79679.595423698105</v>
      </c>
      <c r="G20" s="5">
        <f ca="1">(5785+6585+7019+7479+7553+7553*(3/30))*(1-0.007)^(Table2[[#This Row],[Age]])</f>
        <v>34961.822270403696</v>
      </c>
      <c r="H20" s="14">
        <f t="shared" ca="1" si="0"/>
        <v>44717.773153294409</v>
      </c>
      <c r="I20" s="14" cm="1">
        <f t="array" ref="I20">SUMPRODUCT((TRIM(measured[Site Name])=TRIM($A20))*(measured[Date]&gt;=DATE(2025,7,1))*(measured[Date]&lt;=DATE(2026,6,30))*measured[Measured Value (kWh)])</f>
        <v>33061.699999999997</v>
      </c>
      <c r="J20" s="14">
        <f t="shared" ca="1" si="1"/>
        <v>-11656.073153294412</v>
      </c>
      <c r="K20" s="14">
        <f ca="1">(Table2[[#This Row],[Actual Generation (kWh)]]/Table2[[#This Row],[Correct kWh]])*100</f>
        <v>73.93413774577526</v>
      </c>
      <c r="L20" t="s">
        <v>880</v>
      </c>
    </row>
    <row r="21" spans="1:12" x14ac:dyDescent="0.3">
      <c r="A21" s="1" t="s">
        <v>225</v>
      </c>
      <c r="B21" t="s">
        <v>875</v>
      </c>
      <c r="C21" s="9" cm="1">
        <f t="array" ref="C21">IFERROR(INDEX('Expected Production'!$B$2:$B$80,MATCH(TRIM($A21),INDEX(TRIM('Expected Production'!$A$2:$A$80),0),0)),"Not found")</f>
        <v>0.9</v>
      </c>
      <c r="D21" s="20" cm="1">
        <f t="array" aca="1" ref="D21" ca="1">_xlfn.IFNA(_xlfn.XLOOKUP(TRIM(A21),TRIM(site_tech_info!$A$2:$A$79),site_tech_info!$W$2:$W$79),"")</f>
        <v>0.87063655030800824</v>
      </c>
      <c r="E21" s="14" cm="1">
        <f t="array" ref="E21">IFERROR(SUM(INDEX('Simulated Production'!$B$2:$M$80,MATCH(TRIM($A21),INDEX(TRIM('Simulated Production'!$A$2:$A$80),0),0),0)),"Not found")</f>
        <v>89076</v>
      </c>
      <c r="F21" s="5">
        <f ca="1">(Table2[[#This Row],[As-Built kWh]]*Table2[[#This Row],[Expected Utilisation%]])*(1-0.007)^(Table2[[#This Row],[Age]])</f>
        <v>79679.595423698105</v>
      </c>
      <c r="G21" s="5">
        <f ca="1">(5785+6585+7019+7479+7553+7553*(3/30))*(1-0.007)^(Table2[[#This Row],[Age]])</f>
        <v>34961.822270403696</v>
      </c>
      <c r="H21" s="14">
        <f t="shared" ca="1" si="0"/>
        <v>44717.773153294409</v>
      </c>
      <c r="I21" s="14" cm="1">
        <f t="array" ref="I21">SUMPRODUCT((TRIM(measured[Site Name])=TRIM($A21))*(measured[Date]&gt;=DATE(2025,7,1))*(measured[Date]&lt;=DATE(2026,6,30))*measured[Measured Value (kWh)])</f>
        <v>47460.299999999996</v>
      </c>
      <c r="J21" s="14">
        <f t="shared" ca="1" si="1"/>
        <v>2742.5268467055866</v>
      </c>
      <c r="K21" s="14">
        <f ca="1">(Table2[[#This Row],[Actual Generation (kWh)]]/Table2[[#This Row],[Correct kWh]])*100</f>
        <v>106.13296828825551</v>
      </c>
      <c r="L21" t="s">
        <v>880</v>
      </c>
    </row>
    <row r="22" spans="1:12" x14ac:dyDescent="0.3">
      <c r="A22" t="s">
        <v>239</v>
      </c>
      <c r="B22" t="s">
        <v>875</v>
      </c>
      <c r="C22" s="9" cm="1">
        <f t="array" ref="C22">IFERROR(INDEX('Expected Production'!$B$2:$B$80,MATCH(TRIM($A22),INDEX(TRIM('Expected Production'!$A$2:$A$80),0),0)),"Not found")</f>
        <v>0.9</v>
      </c>
      <c r="D22" s="20" cm="1">
        <f t="array" aca="1" ref="D22" ca="1">_xlfn.IFNA(_xlfn.XLOOKUP(TRIM(A22),TRIM(site_tech_info!$A$2:$A$79),site_tech_info!$W$2:$W$79),"")</f>
        <v>0.82409308692676253</v>
      </c>
      <c r="E22" s="14" cm="1">
        <f t="array" ref="E22">IFERROR(SUM(INDEX('Simulated Production'!$B$2:$M$80,MATCH(TRIM($A22),INDEX(TRIM('Simulated Production'!$A$2:$A$80),0),0),0)),"Not found")</f>
        <v>31637</v>
      </c>
      <c r="F22" s="5">
        <f ca="1">(Table2[[#This Row],[As-Built kWh]]*Table2[[#This Row],[Expected Utilisation%]])*(1-0.007)^(Table2[[#This Row],[Age]])</f>
        <v>28308.946047571557</v>
      </c>
      <c r="G22" s="5">
        <f ca="1">(2350+2520+2436+2426+2356+2437)*(1-0.007)^(Table2[[#This Row],[Age]])</f>
        <v>14441.158606167071</v>
      </c>
      <c r="H22" s="14">
        <f t="shared" ca="1" si="0"/>
        <v>13867.787441404485</v>
      </c>
      <c r="I22" s="14" cm="1">
        <f t="array" ref="I22">SUMPRODUCT((TRIM(measured[Site Name])=TRIM($A22))*(measured[Date]&gt;=DATE(2025,7,1))*(measured[Date]&lt;=DATE(2026,6,30))*measured[Measured Value (kWh)])</f>
        <v>17882.440000000002</v>
      </c>
      <c r="J22" s="14">
        <f t="shared" ca="1" si="1"/>
        <v>4014.6525585955169</v>
      </c>
      <c r="K22" s="14">
        <f ca="1">(Table2[[#This Row],[Actual Generation (kWh)]]/Table2[[#This Row],[Correct kWh]])*100</f>
        <v>128.9494814912517</v>
      </c>
      <c r="L22" t="s">
        <v>880</v>
      </c>
    </row>
    <row r="23" spans="1:12" s="22" customFormat="1" x14ac:dyDescent="0.3">
      <c r="A23" s="22" t="s">
        <v>271</v>
      </c>
      <c r="B23" s="22" t="s">
        <v>875</v>
      </c>
      <c r="C23" s="23" cm="1">
        <f t="array" ref="C23">IFERROR(INDEX('Expected Production'!$B$2:$B$80,MATCH(TRIM($A23),INDEX(TRIM('Expected Production'!$A$2:$A$80),0),0)),"Not found")</f>
        <v>0.9</v>
      </c>
      <c r="D23" s="24" cm="1">
        <f t="array" aca="1" ref="D23" ca="1">_xlfn.IFNA(_xlfn.XLOOKUP(TRIM(A23),TRIM(site_tech_info!$A$2:$A$79),site_tech_info!$W$2:$W$79),"")</f>
        <v>0.24640657084188911</v>
      </c>
      <c r="E23" s="25" cm="1">
        <f t="array" ref="E23">IFERROR(SUM(INDEX('Simulated Production'!$B$2:$M$80,MATCH(TRIM($A23),INDEX(TRIM('Simulated Production'!$A$2:$A$80),0),0),0)),"Not found")</f>
        <v>190644.6</v>
      </c>
      <c r="F23" s="26">
        <f ca="1">(Table2[[#This Row],[As-Built kWh]]*Table2[[#This Row],[Expected Utilisation%]])*(1-0.007)^(Table2[[#This Row],[Age]])</f>
        <v>171283.40688400989</v>
      </c>
      <c r="G23" s="26">
        <v>171487.7679849522</v>
      </c>
      <c r="H23" s="25">
        <f t="shared" ca="1" si="0"/>
        <v>-204.36110094230389</v>
      </c>
      <c r="I23" s="25" cm="1">
        <f t="array" ref="I23">SUMPRODUCT((TRIM(measured[Site Name])=TRIM($A23))*(measured[Date]&gt;=DATE(2025,7,1))*(measured[Date]&lt;=DATE(2026,6,30))*measured[Measured Value (kWh)])</f>
        <v>10169</v>
      </c>
      <c r="J23" s="25">
        <f t="shared" ca="1" si="1"/>
        <v>10373.361100942304</v>
      </c>
      <c r="K23" s="25">
        <f ca="1">(Table2[[#This Row],[Actual Generation (kWh)]]/Table2[[#This Row],[Correct kWh]])*100</f>
        <v>-4975.9958980016245</v>
      </c>
      <c r="L23" s="22" t="s">
        <v>880</v>
      </c>
    </row>
    <row r="24" spans="1:12" s="22" customFormat="1" x14ac:dyDescent="0.3">
      <c r="A24" s="22" t="s">
        <v>250</v>
      </c>
      <c r="B24" s="22" t="s">
        <v>875</v>
      </c>
      <c r="C24" s="23" cm="1">
        <f t="array" ref="C24">IFERROR(INDEX('Expected Production'!$B$2:$B$80,MATCH(TRIM($A24),INDEX(TRIM('Expected Production'!$A$2:$A$80),0),0)),"Not found")</f>
        <v>0.9</v>
      </c>
      <c r="D24" s="24" cm="1">
        <f t="array" aca="1" ref="D24" ca="1">_xlfn.IFNA(_xlfn.XLOOKUP(TRIM(A24),TRIM(site_tech_info!$A$2:$A$79),site_tech_info!$W$2:$W$79),"")</f>
        <v>0.30663928815879532</v>
      </c>
      <c r="E24" s="25" cm="1">
        <f t="array" ref="E24">IFERROR(SUM(INDEX('Simulated Production'!$B$2:$M$80,MATCH(TRIM($A24),INDEX(TRIM('Simulated Production'!$A$2:$A$80),0),0),0)),"Not found")</f>
        <v>380893</v>
      </c>
      <c r="F24" s="26">
        <f ca="1">(Table2[[#This Row],[As-Built kWh]]*Table2[[#This Row],[Expected Utilisation%]])*(1-0.007)^(Table2[[#This Row],[Age]])</f>
        <v>342066.08767394413</v>
      </c>
      <c r="G24" s="26">
        <f ca="1">(28051+31649+28250+28466+28992+28904+28877+25885+27341+27824*(28/30))*(1-0.007)^(Table2[[#This Row],[Age]])</f>
        <v>281776.45954849635</v>
      </c>
      <c r="H24" s="25">
        <f t="shared" ca="1" si="0"/>
        <v>60289.62812544778</v>
      </c>
      <c r="I24" s="25" cm="1">
        <f t="array" ref="I24">SUMPRODUCT((TRIM(measured[Site Name])=TRIM($A24))*(measured[Date]&gt;=DATE(2025,7,1))*(measured[Date]&lt;=DATE(2026,6,30))*measured[Measured Value (kWh)])</f>
        <v>53212.2</v>
      </c>
      <c r="J24" s="25">
        <f ca="1">I24-H24</f>
        <v>-7077.4281254477828</v>
      </c>
      <c r="K24" s="25">
        <f ca="1">(Table2[[#This Row],[Actual Generation (kWh)]]/Table2[[#This Row],[Correct kWh]])*100</f>
        <v>88.260952429957911</v>
      </c>
      <c r="L24" s="22" t="s">
        <v>880</v>
      </c>
    </row>
  </sheetData>
  <dataValidations disablePrompts="1" count="1">
    <dataValidation type="list" allowBlank="1" showInputMessage="1" showErrorMessage="1" sqref="B2:B24" xr:uid="{99291F48-14E2-47A9-843A-C71D5E7C6DA1}">
      <formula1>"YES,NO"</formula1>
    </dataValidation>
  </dataValidation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708"/>
  <sheetViews>
    <sheetView topLeftCell="A212" zoomScaleNormal="100" workbookViewId="0">
      <selection activeCell="A608" sqref="A608:XFD608"/>
    </sheetView>
  </sheetViews>
  <sheetFormatPr defaultColWidth="8.6640625" defaultRowHeight="14.4" x14ac:dyDescent="0.3"/>
  <cols>
    <col min="1" max="1" width="30" customWidth="1"/>
    <col min="2" max="2" width="12" customWidth="1"/>
    <col min="3" max="3" width="22" customWidth="1"/>
  </cols>
  <sheetData>
    <row r="1" spans="1:3" ht="15" customHeight="1" x14ac:dyDescent="0.3">
      <c r="A1" t="s">
        <v>268</v>
      </c>
      <c r="B1" t="s">
        <v>266</v>
      </c>
      <c r="C1" t="s">
        <v>270</v>
      </c>
    </row>
    <row r="2" spans="1:3" ht="15" hidden="1" customHeight="1" x14ac:dyDescent="0.3">
      <c r="A2" t="s">
        <v>31</v>
      </c>
      <c r="B2" s="2">
        <v>45292</v>
      </c>
      <c r="C2">
        <v>1815</v>
      </c>
    </row>
    <row r="3" spans="1:3" ht="15" hidden="1" customHeight="1" x14ac:dyDescent="0.3">
      <c r="A3" t="s">
        <v>31</v>
      </c>
      <c r="B3" s="2">
        <v>45323</v>
      </c>
      <c r="C3">
        <v>2295</v>
      </c>
    </row>
    <row r="4" spans="1:3" ht="15" hidden="1" customHeight="1" x14ac:dyDescent="0.3">
      <c r="A4" t="s">
        <v>31</v>
      </c>
      <c r="B4" s="2">
        <v>45352</v>
      </c>
      <c r="C4">
        <v>2474</v>
      </c>
    </row>
    <row r="5" spans="1:3" ht="15" hidden="1" customHeight="1" x14ac:dyDescent="0.3">
      <c r="A5" t="s">
        <v>31</v>
      </c>
      <c r="B5" s="2">
        <v>45383</v>
      </c>
      <c r="C5">
        <v>2136</v>
      </c>
    </row>
    <row r="6" spans="1:3" ht="15" hidden="1" customHeight="1" x14ac:dyDescent="0.3">
      <c r="A6" t="s">
        <v>31</v>
      </c>
      <c r="B6" s="2">
        <v>45413</v>
      </c>
      <c r="C6">
        <v>2212</v>
      </c>
    </row>
    <row r="7" spans="1:3" ht="15" hidden="1" customHeight="1" x14ac:dyDescent="0.3">
      <c r="A7" t="s">
        <v>31</v>
      </c>
      <c r="B7" s="2">
        <v>45444</v>
      </c>
      <c r="C7">
        <v>1863</v>
      </c>
    </row>
    <row r="8" spans="1:3" ht="15" hidden="1" customHeight="1" x14ac:dyDescent="0.3">
      <c r="A8" t="s">
        <v>31</v>
      </c>
      <c r="B8" s="2">
        <v>45474</v>
      </c>
      <c r="C8">
        <v>1943</v>
      </c>
    </row>
    <row r="9" spans="1:3" ht="15" hidden="1" customHeight="1" x14ac:dyDescent="0.3">
      <c r="A9" t="s">
        <v>31</v>
      </c>
      <c r="B9" s="2">
        <v>45505</v>
      </c>
      <c r="C9">
        <v>1710</v>
      </c>
    </row>
    <row r="10" spans="1:3" ht="15" hidden="1" customHeight="1" x14ac:dyDescent="0.3">
      <c r="A10" t="s">
        <v>31</v>
      </c>
      <c r="B10" s="2">
        <v>45536</v>
      </c>
      <c r="C10">
        <v>1579</v>
      </c>
    </row>
    <row r="11" spans="1:3" ht="15" hidden="1" customHeight="1" x14ac:dyDescent="0.3">
      <c r="A11" t="s">
        <v>31</v>
      </c>
      <c r="B11" s="2">
        <v>45566</v>
      </c>
      <c r="C11">
        <v>1593</v>
      </c>
    </row>
    <row r="12" spans="1:3" ht="15" hidden="1" customHeight="1" x14ac:dyDescent="0.3">
      <c r="A12" t="s">
        <v>31</v>
      </c>
      <c r="B12" s="2">
        <v>45597</v>
      </c>
      <c r="C12">
        <v>1794</v>
      </c>
    </row>
    <row r="13" spans="1:3" ht="15" hidden="1" customHeight="1" x14ac:dyDescent="0.3">
      <c r="A13" t="s">
        <v>31</v>
      </c>
      <c r="B13" s="2">
        <v>45627</v>
      </c>
      <c r="C13">
        <v>1794</v>
      </c>
    </row>
    <row r="14" spans="1:3" ht="15" hidden="1" customHeight="1" x14ac:dyDescent="0.3">
      <c r="A14" t="s">
        <v>31</v>
      </c>
      <c r="B14" s="2">
        <v>45658</v>
      </c>
      <c r="C14">
        <v>1992</v>
      </c>
    </row>
    <row r="15" spans="1:3" ht="15" hidden="1" customHeight="1" x14ac:dyDescent="0.3">
      <c r="A15" t="s">
        <v>31</v>
      </c>
      <c r="B15" s="2">
        <v>45689</v>
      </c>
      <c r="C15">
        <v>1458</v>
      </c>
    </row>
    <row r="16" spans="1:3" ht="15" hidden="1" customHeight="1" x14ac:dyDescent="0.3">
      <c r="A16" t="s">
        <v>31</v>
      </c>
      <c r="B16" s="2">
        <v>45717</v>
      </c>
      <c r="C16">
        <v>1382</v>
      </c>
    </row>
    <row r="17" spans="1:3" ht="15" hidden="1" customHeight="1" x14ac:dyDescent="0.3">
      <c r="A17" t="s">
        <v>31</v>
      </c>
      <c r="B17" s="2">
        <v>45748</v>
      </c>
      <c r="C17">
        <v>1183</v>
      </c>
    </row>
    <row r="18" spans="1:3" ht="15" hidden="1" customHeight="1" x14ac:dyDescent="0.3">
      <c r="A18" t="s">
        <v>31</v>
      </c>
      <c r="B18" s="2">
        <v>45778</v>
      </c>
      <c r="C18">
        <v>1860</v>
      </c>
    </row>
    <row r="19" spans="1:3" ht="15" hidden="1" customHeight="1" x14ac:dyDescent="0.3">
      <c r="A19" t="s">
        <v>31</v>
      </c>
      <c r="B19" s="2">
        <v>45809</v>
      </c>
      <c r="C19">
        <v>1756.6</v>
      </c>
    </row>
    <row r="20" spans="1:3" ht="15" hidden="1" customHeight="1" x14ac:dyDescent="0.3">
      <c r="A20" t="s">
        <v>31</v>
      </c>
      <c r="B20" s="2">
        <v>45839</v>
      </c>
      <c r="C20">
        <v>1742</v>
      </c>
    </row>
    <row r="21" spans="1:3" ht="15" hidden="1" customHeight="1" x14ac:dyDescent="0.3">
      <c r="A21" t="s">
        <v>31</v>
      </c>
      <c r="B21" s="2">
        <v>45870</v>
      </c>
      <c r="C21">
        <v>1613</v>
      </c>
    </row>
    <row r="22" spans="1:3" ht="15" hidden="1" customHeight="1" x14ac:dyDescent="0.3">
      <c r="A22" t="s">
        <v>31</v>
      </c>
      <c r="B22" s="2">
        <v>45901</v>
      </c>
      <c r="C22">
        <v>1358.7</v>
      </c>
    </row>
    <row r="23" spans="1:3" ht="15" hidden="1" customHeight="1" x14ac:dyDescent="0.3">
      <c r="A23" t="s">
        <v>31</v>
      </c>
      <c r="B23" s="2">
        <v>45931</v>
      </c>
      <c r="C23">
        <v>1601</v>
      </c>
    </row>
    <row r="24" spans="1:3" ht="15" hidden="1" customHeight="1" x14ac:dyDescent="0.3">
      <c r="A24" t="s">
        <v>31</v>
      </c>
      <c r="B24" s="2">
        <v>45962</v>
      </c>
      <c r="C24">
        <v>1444</v>
      </c>
    </row>
    <row r="25" spans="1:3" ht="15" hidden="1" customHeight="1" x14ac:dyDescent="0.3">
      <c r="A25" t="s">
        <v>31</v>
      </c>
      <c r="B25" s="2">
        <v>45992</v>
      </c>
      <c r="C25">
        <v>1375</v>
      </c>
    </row>
    <row r="26" spans="1:3" ht="15" hidden="1" customHeight="1" x14ac:dyDescent="0.3">
      <c r="A26" t="s">
        <v>31</v>
      </c>
      <c r="B26" s="2">
        <v>46023</v>
      </c>
      <c r="C26">
        <v>1549</v>
      </c>
    </row>
    <row r="27" spans="1:3" ht="15" hidden="1" customHeight="1" x14ac:dyDescent="0.3">
      <c r="A27" t="s">
        <v>31</v>
      </c>
      <c r="B27" s="2">
        <v>46054</v>
      </c>
      <c r="C27">
        <v>1362</v>
      </c>
    </row>
    <row r="28" spans="1:3" ht="15" hidden="1" customHeight="1" x14ac:dyDescent="0.3">
      <c r="A28" t="s">
        <v>31</v>
      </c>
      <c r="B28" s="2">
        <v>46082</v>
      </c>
      <c r="C28">
        <v>1237</v>
      </c>
    </row>
    <row r="29" spans="1:3" ht="15" hidden="1" customHeight="1" x14ac:dyDescent="0.3">
      <c r="A29" t="s">
        <v>31</v>
      </c>
      <c r="B29" s="2">
        <v>46113</v>
      </c>
      <c r="C29">
        <v>830</v>
      </c>
    </row>
    <row r="30" spans="1:3" ht="15" hidden="1" customHeight="1" x14ac:dyDescent="0.3">
      <c r="A30" t="s">
        <v>31</v>
      </c>
      <c r="B30" s="2">
        <v>46143</v>
      </c>
      <c r="C30" s="12">
        <v>1169.9000000000001</v>
      </c>
    </row>
    <row r="31" spans="1:3" ht="15" hidden="1" customHeight="1" x14ac:dyDescent="0.3">
      <c r="A31" t="s">
        <v>31</v>
      </c>
      <c r="B31" s="2">
        <v>46174</v>
      </c>
      <c r="C31">
        <v>1287</v>
      </c>
    </row>
    <row r="32" spans="1:3" ht="15" customHeight="1" x14ac:dyDescent="0.3">
      <c r="A32" t="s">
        <v>31</v>
      </c>
      <c r="B32" s="2">
        <v>46204</v>
      </c>
      <c r="C32">
        <v>1638</v>
      </c>
    </row>
    <row r="33" spans="1:3" ht="15" hidden="1" customHeight="1" x14ac:dyDescent="0.3">
      <c r="A33" t="s">
        <v>31</v>
      </c>
      <c r="B33" s="2">
        <v>46235</v>
      </c>
    </row>
    <row r="34" spans="1:3" ht="15" hidden="1" customHeight="1" x14ac:dyDescent="0.3">
      <c r="A34" t="s">
        <v>31</v>
      </c>
      <c r="B34" s="2">
        <v>46266</v>
      </c>
    </row>
    <row r="35" spans="1:3" ht="15" hidden="1" customHeight="1" x14ac:dyDescent="0.3">
      <c r="A35" t="s">
        <v>31</v>
      </c>
      <c r="B35" s="2">
        <v>46296</v>
      </c>
    </row>
    <row r="36" spans="1:3" ht="15" hidden="1" customHeight="1" x14ac:dyDescent="0.3">
      <c r="A36" t="s">
        <v>31</v>
      </c>
      <c r="B36" s="2">
        <v>46327</v>
      </c>
    </row>
    <row r="37" spans="1:3" ht="15" hidden="1" customHeight="1" x14ac:dyDescent="0.3">
      <c r="A37" t="s">
        <v>31</v>
      </c>
      <c r="B37" s="2">
        <v>46357</v>
      </c>
    </row>
    <row r="38" spans="1:3" ht="15" hidden="1" customHeight="1" x14ac:dyDescent="0.3">
      <c r="A38" t="s">
        <v>43</v>
      </c>
      <c r="B38" s="2">
        <v>45292</v>
      </c>
      <c r="C38">
        <v>23024</v>
      </c>
    </row>
    <row r="39" spans="1:3" ht="15" hidden="1" customHeight="1" x14ac:dyDescent="0.3">
      <c r="A39" t="s">
        <v>43</v>
      </c>
      <c r="B39" s="2">
        <v>45323</v>
      </c>
      <c r="C39">
        <v>23235</v>
      </c>
    </row>
    <row r="40" spans="1:3" ht="15" hidden="1" customHeight="1" x14ac:dyDescent="0.3">
      <c r="A40" t="s">
        <v>43</v>
      </c>
      <c r="B40" s="2">
        <v>45352</v>
      </c>
      <c r="C40">
        <v>23235</v>
      </c>
    </row>
    <row r="41" spans="1:3" ht="15" hidden="1" customHeight="1" x14ac:dyDescent="0.3">
      <c r="A41" t="s">
        <v>43</v>
      </c>
      <c r="B41" s="2">
        <v>45383</v>
      </c>
      <c r="C41">
        <v>19307</v>
      </c>
    </row>
    <row r="42" spans="1:3" ht="15" hidden="1" customHeight="1" x14ac:dyDescent="0.3">
      <c r="A42" t="s">
        <v>43</v>
      </c>
      <c r="B42" s="2">
        <v>45413</v>
      </c>
      <c r="C42">
        <v>18418</v>
      </c>
    </row>
    <row r="43" spans="1:3" ht="15" hidden="1" customHeight="1" x14ac:dyDescent="0.3">
      <c r="A43" t="s">
        <v>43</v>
      </c>
      <c r="B43" s="2">
        <v>45444</v>
      </c>
      <c r="C43">
        <v>15949</v>
      </c>
    </row>
    <row r="44" spans="1:3" ht="15" hidden="1" customHeight="1" x14ac:dyDescent="0.3">
      <c r="A44" t="s">
        <v>43</v>
      </c>
      <c r="B44" s="2">
        <v>45474</v>
      </c>
      <c r="C44">
        <v>17174</v>
      </c>
    </row>
    <row r="45" spans="1:3" ht="15" hidden="1" customHeight="1" x14ac:dyDescent="0.3">
      <c r="A45" t="s">
        <v>43</v>
      </c>
      <c r="B45" s="2">
        <v>45505</v>
      </c>
      <c r="C45">
        <v>13588</v>
      </c>
    </row>
    <row r="46" spans="1:3" ht="15" hidden="1" customHeight="1" x14ac:dyDescent="0.3">
      <c r="A46" t="s">
        <v>43</v>
      </c>
      <c r="B46" s="2">
        <v>45536</v>
      </c>
      <c r="C46">
        <v>20254</v>
      </c>
    </row>
    <row r="47" spans="1:3" ht="15" hidden="1" customHeight="1" x14ac:dyDescent="0.3">
      <c r="A47" t="s">
        <v>43</v>
      </c>
      <c r="B47" s="2">
        <v>45566</v>
      </c>
      <c r="C47">
        <v>27693</v>
      </c>
    </row>
    <row r="48" spans="1:3" ht="15" hidden="1" customHeight="1" x14ac:dyDescent="0.3">
      <c r="A48" t="s">
        <v>43</v>
      </c>
      <c r="B48" s="2">
        <v>45597</v>
      </c>
      <c r="C48">
        <v>24041</v>
      </c>
    </row>
    <row r="49" spans="1:3" ht="15" hidden="1" customHeight="1" x14ac:dyDescent="0.3">
      <c r="A49" t="s">
        <v>43</v>
      </c>
      <c r="B49" s="2">
        <v>45627</v>
      </c>
      <c r="C49">
        <v>25076</v>
      </c>
    </row>
    <row r="50" spans="1:3" ht="15" hidden="1" customHeight="1" x14ac:dyDescent="0.3">
      <c r="A50" t="s">
        <v>43</v>
      </c>
      <c r="B50" s="2">
        <v>45658</v>
      </c>
      <c r="C50">
        <v>22439</v>
      </c>
    </row>
    <row r="51" spans="1:3" ht="15" hidden="1" customHeight="1" x14ac:dyDescent="0.3">
      <c r="A51" t="s">
        <v>43</v>
      </c>
      <c r="B51" s="2">
        <v>45689</v>
      </c>
      <c r="C51">
        <v>14790</v>
      </c>
    </row>
    <row r="52" spans="1:3" ht="15" hidden="1" customHeight="1" x14ac:dyDescent="0.3">
      <c r="A52" t="s">
        <v>43</v>
      </c>
      <c r="B52" s="2">
        <v>45717</v>
      </c>
      <c r="C52">
        <v>15371</v>
      </c>
    </row>
    <row r="53" spans="1:3" ht="15" hidden="1" customHeight="1" x14ac:dyDescent="0.3">
      <c r="A53" t="s">
        <v>43</v>
      </c>
      <c r="B53" s="2">
        <v>45748</v>
      </c>
      <c r="C53">
        <v>13930</v>
      </c>
    </row>
    <row r="54" spans="1:3" ht="15" hidden="1" customHeight="1" x14ac:dyDescent="0.3">
      <c r="A54" t="s">
        <v>43</v>
      </c>
      <c r="B54" s="2">
        <v>45778</v>
      </c>
      <c r="C54">
        <v>15263</v>
      </c>
    </row>
    <row r="55" spans="1:3" ht="15" hidden="1" customHeight="1" x14ac:dyDescent="0.3">
      <c r="A55" t="s">
        <v>43</v>
      </c>
      <c r="B55" s="2">
        <v>45809</v>
      </c>
      <c r="C55">
        <v>11722.16</v>
      </c>
    </row>
    <row r="56" spans="1:3" ht="15" hidden="1" customHeight="1" x14ac:dyDescent="0.3">
      <c r="A56" t="s">
        <v>43</v>
      </c>
      <c r="B56" s="2">
        <v>45839</v>
      </c>
      <c r="C56">
        <v>3209</v>
      </c>
    </row>
    <row r="57" spans="1:3" ht="15" hidden="1" customHeight="1" x14ac:dyDescent="0.3">
      <c r="A57" t="s">
        <v>43</v>
      </c>
      <c r="B57" s="2">
        <v>45870</v>
      </c>
      <c r="C57">
        <v>11143</v>
      </c>
    </row>
    <row r="58" spans="1:3" ht="15" hidden="1" customHeight="1" x14ac:dyDescent="0.3">
      <c r="A58" t="s">
        <v>43</v>
      </c>
      <c r="B58" s="2">
        <v>45901</v>
      </c>
      <c r="C58">
        <v>11503</v>
      </c>
    </row>
    <row r="59" spans="1:3" ht="15" hidden="1" customHeight="1" x14ac:dyDescent="0.3">
      <c r="A59" t="s">
        <v>43</v>
      </c>
      <c r="B59" s="2">
        <v>45931</v>
      </c>
      <c r="C59">
        <v>12856</v>
      </c>
    </row>
    <row r="60" spans="1:3" ht="15" hidden="1" customHeight="1" x14ac:dyDescent="0.3">
      <c r="A60" t="s">
        <v>43</v>
      </c>
      <c r="B60" s="2">
        <v>45962</v>
      </c>
      <c r="C60">
        <v>11518</v>
      </c>
    </row>
    <row r="61" spans="1:3" ht="15" hidden="1" customHeight="1" x14ac:dyDescent="0.3">
      <c r="A61" t="s">
        <v>43</v>
      </c>
      <c r="B61" s="2">
        <v>45992</v>
      </c>
      <c r="C61">
        <v>12208</v>
      </c>
    </row>
    <row r="62" spans="1:3" ht="15" hidden="1" customHeight="1" x14ac:dyDescent="0.3">
      <c r="A62" t="s">
        <v>43</v>
      </c>
      <c r="B62" s="2">
        <v>46023</v>
      </c>
      <c r="C62">
        <v>14027</v>
      </c>
    </row>
    <row r="63" spans="1:3" ht="15" hidden="1" customHeight="1" x14ac:dyDescent="0.3">
      <c r="A63" t="s">
        <v>43</v>
      </c>
      <c r="B63" s="2">
        <v>46054</v>
      </c>
      <c r="C63">
        <v>12261</v>
      </c>
    </row>
    <row r="64" spans="1:3" ht="15" hidden="1" customHeight="1" x14ac:dyDescent="0.3">
      <c r="A64" t="s">
        <v>43</v>
      </c>
      <c r="B64" s="2">
        <v>46082</v>
      </c>
      <c r="C64">
        <v>10788</v>
      </c>
    </row>
    <row r="65" spans="1:3" ht="15" hidden="1" customHeight="1" x14ac:dyDescent="0.3">
      <c r="A65" t="s">
        <v>43</v>
      </c>
      <c r="B65" s="2">
        <v>46113</v>
      </c>
      <c r="C65">
        <v>9392.09</v>
      </c>
    </row>
    <row r="66" spans="1:3" ht="15" hidden="1" customHeight="1" x14ac:dyDescent="0.3">
      <c r="A66" t="s">
        <v>43</v>
      </c>
      <c r="B66" s="2">
        <v>46143</v>
      </c>
      <c r="C66" s="12">
        <v>11425.9</v>
      </c>
    </row>
    <row r="67" spans="1:3" ht="15" hidden="1" customHeight="1" x14ac:dyDescent="0.3">
      <c r="A67" t="s">
        <v>43</v>
      </c>
      <c r="B67" s="2">
        <v>46174</v>
      </c>
      <c r="C67">
        <v>10184.42</v>
      </c>
    </row>
    <row r="68" spans="1:3" ht="15" customHeight="1" x14ac:dyDescent="0.3">
      <c r="A68" t="s">
        <v>43</v>
      </c>
      <c r="B68" s="2">
        <v>46204</v>
      </c>
      <c r="C68">
        <v>13136.5304</v>
      </c>
    </row>
    <row r="69" spans="1:3" ht="15" hidden="1" customHeight="1" x14ac:dyDescent="0.3">
      <c r="A69" t="s">
        <v>43</v>
      </c>
      <c r="B69" s="2">
        <v>46235</v>
      </c>
    </row>
    <row r="70" spans="1:3" ht="15" hidden="1" customHeight="1" x14ac:dyDescent="0.3">
      <c r="A70" t="s">
        <v>43</v>
      </c>
      <c r="B70" s="2">
        <v>46266</v>
      </c>
    </row>
    <row r="71" spans="1:3" ht="15" hidden="1" customHeight="1" x14ac:dyDescent="0.3">
      <c r="A71" t="s">
        <v>43</v>
      </c>
      <c r="B71" s="2">
        <v>46296</v>
      </c>
    </row>
    <row r="72" spans="1:3" ht="15" hidden="1" customHeight="1" x14ac:dyDescent="0.3">
      <c r="A72" t="s">
        <v>43</v>
      </c>
      <c r="B72" s="2">
        <v>46327</v>
      </c>
    </row>
    <row r="73" spans="1:3" ht="15" hidden="1" customHeight="1" x14ac:dyDescent="0.3">
      <c r="A73" t="s">
        <v>43</v>
      </c>
      <c r="B73" s="2">
        <v>46357</v>
      </c>
    </row>
    <row r="74" spans="1:3" ht="15" hidden="1" customHeight="1" x14ac:dyDescent="0.3">
      <c r="A74" t="s">
        <v>49</v>
      </c>
      <c r="B74" s="2">
        <v>45292</v>
      </c>
    </row>
    <row r="75" spans="1:3" ht="15" hidden="1" customHeight="1" x14ac:dyDescent="0.3">
      <c r="A75" t="s">
        <v>49</v>
      </c>
      <c r="B75" s="2">
        <v>45323</v>
      </c>
    </row>
    <row r="76" spans="1:3" ht="15" hidden="1" customHeight="1" x14ac:dyDescent="0.3">
      <c r="A76" t="s">
        <v>49</v>
      </c>
      <c r="B76" s="2">
        <v>45352</v>
      </c>
    </row>
    <row r="77" spans="1:3" ht="15" hidden="1" customHeight="1" x14ac:dyDescent="0.3">
      <c r="A77" t="s">
        <v>49</v>
      </c>
      <c r="B77" s="2">
        <v>45383</v>
      </c>
    </row>
    <row r="78" spans="1:3" ht="15" hidden="1" customHeight="1" x14ac:dyDescent="0.3">
      <c r="A78" t="s">
        <v>49</v>
      </c>
      <c r="B78" s="2">
        <v>45413</v>
      </c>
    </row>
    <row r="79" spans="1:3" ht="15" hidden="1" customHeight="1" x14ac:dyDescent="0.3">
      <c r="A79" t="s">
        <v>49</v>
      </c>
      <c r="B79" s="2">
        <v>45444</v>
      </c>
    </row>
    <row r="80" spans="1:3" ht="15" hidden="1" customHeight="1" x14ac:dyDescent="0.3">
      <c r="A80" t="s">
        <v>49</v>
      </c>
      <c r="B80" s="2">
        <v>45474</v>
      </c>
    </row>
    <row r="81" spans="1:3" ht="15" hidden="1" customHeight="1" x14ac:dyDescent="0.3">
      <c r="A81" t="s">
        <v>49</v>
      </c>
      <c r="B81" s="2">
        <v>45505</v>
      </c>
    </row>
    <row r="82" spans="1:3" ht="15" hidden="1" customHeight="1" x14ac:dyDescent="0.3">
      <c r="A82" t="s">
        <v>49</v>
      </c>
      <c r="B82" s="2">
        <v>45536</v>
      </c>
    </row>
    <row r="83" spans="1:3" ht="15" hidden="1" customHeight="1" x14ac:dyDescent="0.3">
      <c r="A83" t="s">
        <v>49</v>
      </c>
      <c r="B83" s="2">
        <v>45566</v>
      </c>
    </row>
    <row r="84" spans="1:3" ht="15" hidden="1" customHeight="1" x14ac:dyDescent="0.3">
      <c r="A84" t="s">
        <v>49</v>
      </c>
      <c r="B84" s="2">
        <v>45597</v>
      </c>
    </row>
    <row r="85" spans="1:3" ht="15" hidden="1" customHeight="1" x14ac:dyDescent="0.3">
      <c r="A85" t="s">
        <v>49</v>
      </c>
      <c r="B85" s="2">
        <v>45627</v>
      </c>
    </row>
    <row r="86" spans="1:3" ht="15" hidden="1" customHeight="1" x14ac:dyDescent="0.3">
      <c r="A86" t="s">
        <v>49</v>
      </c>
      <c r="B86" s="2">
        <v>45658</v>
      </c>
      <c r="C86">
        <v>2400</v>
      </c>
    </row>
    <row r="87" spans="1:3" ht="15" hidden="1" customHeight="1" x14ac:dyDescent="0.3">
      <c r="A87" t="s">
        <v>49</v>
      </c>
      <c r="B87" s="2">
        <v>45689</v>
      </c>
      <c r="C87">
        <v>3000</v>
      </c>
    </row>
    <row r="88" spans="1:3" ht="15" hidden="1" customHeight="1" x14ac:dyDescent="0.3">
      <c r="A88" t="s">
        <v>49</v>
      </c>
      <c r="B88" s="2">
        <v>45717</v>
      </c>
      <c r="C88">
        <v>3144</v>
      </c>
    </row>
    <row r="89" spans="1:3" ht="15" hidden="1" customHeight="1" x14ac:dyDescent="0.3">
      <c r="A89" t="s">
        <v>49</v>
      </c>
      <c r="B89" s="2">
        <v>45748</v>
      </c>
      <c r="C89">
        <v>2310</v>
      </c>
    </row>
    <row r="90" spans="1:3" ht="15" hidden="1" customHeight="1" x14ac:dyDescent="0.3">
      <c r="A90" t="s">
        <v>49</v>
      </c>
      <c r="B90" s="2">
        <v>45778</v>
      </c>
      <c r="C90">
        <v>3866</v>
      </c>
    </row>
    <row r="91" spans="1:3" ht="15" hidden="1" customHeight="1" x14ac:dyDescent="0.3">
      <c r="A91" t="s">
        <v>49</v>
      </c>
      <c r="B91" s="2">
        <v>45809</v>
      </c>
      <c r="C91">
        <v>3102</v>
      </c>
    </row>
    <row r="92" spans="1:3" ht="15" hidden="1" customHeight="1" x14ac:dyDescent="0.3">
      <c r="A92" t="s">
        <v>49</v>
      </c>
      <c r="B92" s="2">
        <v>45839</v>
      </c>
    </row>
    <row r="93" spans="1:3" ht="15" hidden="1" customHeight="1" x14ac:dyDescent="0.3">
      <c r="A93" t="s">
        <v>49</v>
      </c>
      <c r="B93" s="2">
        <v>45870</v>
      </c>
      <c r="C93">
        <v>4721</v>
      </c>
    </row>
    <row r="94" spans="1:3" ht="15" hidden="1" customHeight="1" x14ac:dyDescent="0.3">
      <c r="A94" t="s">
        <v>49</v>
      </c>
      <c r="B94" s="2">
        <v>45901</v>
      </c>
      <c r="C94">
        <v>4200</v>
      </c>
    </row>
    <row r="95" spans="1:3" ht="15" hidden="1" customHeight="1" x14ac:dyDescent="0.3">
      <c r="A95" t="s">
        <v>49</v>
      </c>
      <c r="B95" s="2">
        <v>45931</v>
      </c>
      <c r="C95">
        <v>3499</v>
      </c>
    </row>
    <row r="96" spans="1:3" ht="15" hidden="1" customHeight="1" x14ac:dyDescent="0.3">
      <c r="A96" t="s">
        <v>49</v>
      </c>
      <c r="B96" s="2">
        <v>45962</v>
      </c>
      <c r="C96">
        <v>4045</v>
      </c>
    </row>
    <row r="97" spans="1:3" ht="15" hidden="1" customHeight="1" x14ac:dyDescent="0.3">
      <c r="A97" t="s">
        <v>49</v>
      </c>
      <c r="B97" s="2">
        <v>45992</v>
      </c>
      <c r="C97">
        <v>4277</v>
      </c>
    </row>
    <row r="98" spans="1:3" ht="15" hidden="1" customHeight="1" x14ac:dyDescent="0.3">
      <c r="A98" t="s">
        <v>49</v>
      </c>
      <c r="B98" s="2">
        <v>46023</v>
      </c>
      <c r="C98">
        <v>3071</v>
      </c>
    </row>
    <row r="99" spans="1:3" ht="15" hidden="1" customHeight="1" x14ac:dyDescent="0.3">
      <c r="A99" t="s">
        <v>49</v>
      </c>
      <c r="B99" s="2">
        <v>46054</v>
      </c>
      <c r="C99">
        <v>3013</v>
      </c>
    </row>
    <row r="100" spans="1:3" ht="15" hidden="1" customHeight="1" x14ac:dyDescent="0.3">
      <c r="A100" t="s">
        <v>49</v>
      </c>
      <c r="B100" s="2">
        <v>46082</v>
      </c>
      <c r="C100">
        <v>2340.8000000000002</v>
      </c>
    </row>
    <row r="101" spans="1:3" ht="15" hidden="1" customHeight="1" x14ac:dyDescent="0.3">
      <c r="A101" t="s">
        <v>49</v>
      </c>
      <c r="B101" s="2">
        <v>46113</v>
      </c>
      <c r="C101">
        <v>1505.4</v>
      </c>
    </row>
    <row r="102" spans="1:3" ht="15" hidden="1" customHeight="1" x14ac:dyDescent="0.3">
      <c r="A102" t="s">
        <v>49</v>
      </c>
      <c r="B102" s="2">
        <v>46143</v>
      </c>
      <c r="C102" s="12">
        <v>1467</v>
      </c>
    </row>
    <row r="103" spans="1:3" ht="15" hidden="1" customHeight="1" x14ac:dyDescent="0.3">
      <c r="A103" t="s">
        <v>49</v>
      </c>
      <c r="B103" s="2">
        <v>46174</v>
      </c>
      <c r="C103">
        <v>2778</v>
      </c>
    </row>
    <row r="104" spans="1:3" ht="15" customHeight="1" x14ac:dyDescent="0.3">
      <c r="A104" t="s">
        <v>49</v>
      </c>
      <c r="B104" s="2">
        <v>46204</v>
      </c>
      <c r="C104">
        <v>2644</v>
      </c>
    </row>
    <row r="105" spans="1:3" ht="15" hidden="1" customHeight="1" x14ac:dyDescent="0.3">
      <c r="A105" t="s">
        <v>49</v>
      </c>
      <c r="B105" s="2">
        <v>46235</v>
      </c>
    </row>
    <row r="106" spans="1:3" ht="15" hidden="1" customHeight="1" x14ac:dyDescent="0.3">
      <c r="A106" t="s">
        <v>49</v>
      </c>
      <c r="B106" s="2">
        <v>46266</v>
      </c>
    </row>
    <row r="107" spans="1:3" ht="15" hidden="1" customHeight="1" x14ac:dyDescent="0.3">
      <c r="A107" t="s">
        <v>49</v>
      </c>
      <c r="B107" s="2">
        <v>46296</v>
      </c>
    </row>
    <row r="108" spans="1:3" ht="15" hidden="1" customHeight="1" x14ac:dyDescent="0.3">
      <c r="A108" t="s">
        <v>49</v>
      </c>
      <c r="B108" s="2">
        <v>46327</v>
      </c>
    </row>
    <row r="109" spans="1:3" ht="15" hidden="1" customHeight="1" x14ac:dyDescent="0.3">
      <c r="A109" t="s">
        <v>49</v>
      </c>
      <c r="B109" s="2">
        <v>46357</v>
      </c>
    </row>
    <row r="110" spans="1:3" ht="15" hidden="1" customHeight="1" x14ac:dyDescent="0.3">
      <c r="A110" t="s">
        <v>64</v>
      </c>
      <c r="B110" s="2">
        <v>45292</v>
      </c>
    </row>
    <row r="111" spans="1:3" ht="15" hidden="1" customHeight="1" x14ac:dyDescent="0.3">
      <c r="A111" t="s">
        <v>64</v>
      </c>
      <c r="B111" s="2">
        <v>45323</v>
      </c>
    </row>
    <row r="112" spans="1:3" ht="15" hidden="1" customHeight="1" x14ac:dyDescent="0.3">
      <c r="A112" t="s">
        <v>64</v>
      </c>
      <c r="B112" s="2">
        <v>45352</v>
      </c>
    </row>
    <row r="113" spans="1:3" ht="15" hidden="1" customHeight="1" x14ac:dyDescent="0.3">
      <c r="A113" t="s">
        <v>64</v>
      </c>
      <c r="B113" s="2">
        <v>45383</v>
      </c>
    </row>
    <row r="114" spans="1:3" ht="15" hidden="1" customHeight="1" x14ac:dyDescent="0.3">
      <c r="A114" t="s">
        <v>64</v>
      </c>
      <c r="B114" s="2">
        <v>45413</v>
      </c>
    </row>
    <row r="115" spans="1:3" ht="15" hidden="1" customHeight="1" x14ac:dyDescent="0.3">
      <c r="A115" t="s">
        <v>64</v>
      </c>
      <c r="B115" s="2">
        <v>45444</v>
      </c>
    </row>
    <row r="116" spans="1:3" ht="15" hidden="1" customHeight="1" x14ac:dyDescent="0.3">
      <c r="A116" t="s">
        <v>64</v>
      </c>
      <c r="B116" s="2">
        <v>45474</v>
      </c>
    </row>
    <row r="117" spans="1:3" ht="15" hidden="1" customHeight="1" x14ac:dyDescent="0.3">
      <c r="A117" t="s">
        <v>64</v>
      </c>
      <c r="B117" s="2">
        <v>45505</v>
      </c>
    </row>
    <row r="118" spans="1:3" ht="15" hidden="1" customHeight="1" x14ac:dyDescent="0.3">
      <c r="A118" t="s">
        <v>64</v>
      </c>
      <c r="B118" s="2">
        <v>45536</v>
      </c>
    </row>
    <row r="119" spans="1:3" ht="15" hidden="1" customHeight="1" x14ac:dyDescent="0.3">
      <c r="A119" t="s">
        <v>64</v>
      </c>
      <c r="B119" s="2">
        <v>45566</v>
      </c>
    </row>
    <row r="120" spans="1:3" ht="15" hidden="1" customHeight="1" x14ac:dyDescent="0.3">
      <c r="A120" t="s">
        <v>64</v>
      </c>
      <c r="B120" s="2">
        <v>45597</v>
      </c>
    </row>
    <row r="121" spans="1:3" ht="15" hidden="1" customHeight="1" x14ac:dyDescent="0.3">
      <c r="A121" t="s">
        <v>64</v>
      </c>
      <c r="B121" s="2">
        <v>45627</v>
      </c>
    </row>
    <row r="122" spans="1:3" ht="15" hidden="1" customHeight="1" x14ac:dyDescent="0.3">
      <c r="A122" t="s">
        <v>64</v>
      </c>
      <c r="B122" s="2">
        <v>45658</v>
      </c>
      <c r="C122">
        <v>5900</v>
      </c>
    </row>
    <row r="123" spans="1:3" ht="15" hidden="1" customHeight="1" x14ac:dyDescent="0.3">
      <c r="A123" t="s">
        <v>64</v>
      </c>
      <c r="B123" s="2">
        <v>45689</v>
      </c>
      <c r="C123">
        <v>4277</v>
      </c>
    </row>
    <row r="124" spans="1:3" ht="15" hidden="1" customHeight="1" x14ac:dyDescent="0.3">
      <c r="A124" t="s">
        <v>64</v>
      </c>
      <c r="B124" s="2">
        <v>45717</v>
      </c>
      <c r="C124">
        <v>4770</v>
      </c>
    </row>
    <row r="125" spans="1:3" ht="15" hidden="1" customHeight="1" x14ac:dyDescent="0.3">
      <c r="A125" t="s">
        <v>64</v>
      </c>
      <c r="B125" s="2">
        <v>45748</v>
      </c>
      <c r="C125">
        <v>3375</v>
      </c>
    </row>
    <row r="126" spans="1:3" ht="15" hidden="1" customHeight="1" x14ac:dyDescent="0.3">
      <c r="A126" t="s">
        <v>64</v>
      </c>
      <c r="B126" s="2">
        <v>45778</v>
      </c>
      <c r="C126">
        <v>3507</v>
      </c>
    </row>
    <row r="127" spans="1:3" ht="15" hidden="1" customHeight="1" x14ac:dyDescent="0.3">
      <c r="A127" t="s">
        <v>64</v>
      </c>
      <c r="B127" s="2">
        <v>45809</v>
      </c>
      <c r="C127">
        <v>2400</v>
      </c>
    </row>
    <row r="128" spans="1:3" ht="15" hidden="1" customHeight="1" x14ac:dyDescent="0.3">
      <c r="A128" t="s">
        <v>64</v>
      </c>
      <c r="B128" s="2">
        <v>45839</v>
      </c>
      <c r="C128">
        <v>2169</v>
      </c>
    </row>
    <row r="129" spans="1:3" ht="15" hidden="1" customHeight="1" x14ac:dyDescent="0.3">
      <c r="A129" t="s">
        <v>64</v>
      </c>
      <c r="B129" s="2">
        <v>45870</v>
      </c>
      <c r="C129">
        <v>968.6</v>
      </c>
    </row>
    <row r="130" spans="1:3" ht="15" hidden="1" customHeight="1" x14ac:dyDescent="0.3">
      <c r="A130" t="s">
        <v>64</v>
      </c>
      <c r="B130" s="2">
        <v>45901</v>
      </c>
      <c r="C130">
        <v>2001.5</v>
      </c>
    </row>
    <row r="131" spans="1:3" ht="15" hidden="1" customHeight="1" x14ac:dyDescent="0.3">
      <c r="A131" t="s">
        <v>64</v>
      </c>
      <c r="B131" s="2">
        <v>45931</v>
      </c>
      <c r="C131">
        <v>3111</v>
      </c>
    </row>
    <row r="132" spans="1:3" ht="15" hidden="1" customHeight="1" x14ac:dyDescent="0.3">
      <c r="A132" t="s">
        <v>64</v>
      </c>
      <c r="B132" s="2">
        <v>45962</v>
      </c>
      <c r="C132">
        <v>1605</v>
      </c>
    </row>
    <row r="133" spans="1:3" ht="15" hidden="1" customHeight="1" x14ac:dyDescent="0.3">
      <c r="A133" t="s">
        <v>64</v>
      </c>
      <c r="B133" s="2">
        <v>45992</v>
      </c>
    </row>
    <row r="134" spans="1:3" ht="15" hidden="1" customHeight="1" x14ac:dyDescent="0.3">
      <c r="A134" t="s">
        <v>64</v>
      </c>
      <c r="B134" s="2">
        <v>46023</v>
      </c>
    </row>
    <row r="135" spans="1:3" ht="15" hidden="1" customHeight="1" x14ac:dyDescent="0.3">
      <c r="A135" t="s">
        <v>64</v>
      </c>
      <c r="B135" s="2">
        <v>46054</v>
      </c>
      <c r="C135">
        <v>6068</v>
      </c>
    </row>
    <row r="136" spans="1:3" ht="15" hidden="1" customHeight="1" x14ac:dyDescent="0.3">
      <c r="A136" t="s">
        <v>64</v>
      </c>
      <c r="B136" s="2">
        <v>46082</v>
      </c>
      <c r="C136">
        <v>4800</v>
      </c>
    </row>
    <row r="137" spans="1:3" ht="15" hidden="1" customHeight="1" x14ac:dyDescent="0.3">
      <c r="A137" t="s">
        <v>64</v>
      </c>
      <c r="B137" s="2">
        <v>46113</v>
      </c>
      <c r="C137">
        <v>4318</v>
      </c>
    </row>
    <row r="138" spans="1:3" ht="15" hidden="1" customHeight="1" x14ac:dyDescent="0.3">
      <c r="A138" t="s">
        <v>64</v>
      </c>
      <c r="B138" s="2">
        <v>46143</v>
      </c>
      <c r="C138" s="12">
        <v>3727.7</v>
      </c>
    </row>
    <row r="139" spans="1:3" ht="15" hidden="1" customHeight="1" x14ac:dyDescent="0.3">
      <c r="A139" t="s">
        <v>64</v>
      </c>
      <c r="B139" s="2">
        <v>46174</v>
      </c>
      <c r="C139">
        <v>3149</v>
      </c>
    </row>
    <row r="140" spans="1:3" ht="15" customHeight="1" x14ac:dyDescent="0.3">
      <c r="A140" t="s">
        <v>250</v>
      </c>
      <c r="B140" s="2">
        <v>46204</v>
      </c>
      <c r="C140">
        <v>27942</v>
      </c>
    </row>
    <row r="141" spans="1:3" ht="15" hidden="1" customHeight="1" x14ac:dyDescent="0.3">
      <c r="A141" t="s">
        <v>64</v>
      </c>
      <c r="B141" s="2">
        <v>46235</v>
      </c>
    </row>
    <row r="142" spans="1:3" ht="15" hidden="1" customHeight="1" x14ac:dyDescent="0.3">
      <c r="A142" t="s">
        <v>64</v>
      </c>
      <c r="B142" s="2">
        <v>46266</v>
      </c>
    </row>
    <row r="143" spans="1:3" ht="15" hidden="1" customHeight="1" x14ac:dyDescent="0.3">
      <c r="A143" t="s">
        <v>64</v>
      </c>
      <c r="B143" s="2">
        <v>46296</v>
      </c>
    </row>
    <row r="144" spans="1:3" ht="15" hidden="1" customHeight="1" x14ac:dyDescent="0.3">
      <c r="A144" t="s">
        <v>64</v>
      </c>
      <c r="B144" s="2">
        <v>46327</v>
      </c>
    </row>
    <row r="145" spans="1:3" ht="15" hidden="1" customHeight="1" x14ac:dyDescent="0.3">
      <c r="A145" t="s">
        <v>64</v>
      </c>
      <c r="B145" s="2">
        <v>46357</v>
      </c>
    </row>
    <row r="146" spans="1:3" ht="15" hidden="1" customHeight="1" x14ac:dyDescent="0.3">
      <c r="A146" t="s">
        <v>55</v>
      </c>
      <c r="B146" s="2">
        <v>45292</v>
      </c>
      <c r="C146">
        <v>7453</v>
      </c>
    </row>
    <row r="147" spans="1:3" ht="15" hidden="1" customHeight="1" x14ac:dyDescent="0.3">
      <c r="A147" t="s">
        <v>55</v>
      </c>
      <c r="B147" s="2">
        <v>45323</v>
      </c>
      <c r="C147">
        <v>10174</v>
      </c>
    </row>
    <row r="148" spans="1:3" ht="15" hidden="1" customHeight="1" x14ac:dyDescent="0.3">
      <c r="A148" t="s">
        <v>55</v>
      </c>
      <c r="B148" s="2">
        <v>45352</v>
      </c>
      <c r="C148">
        <v>12197</v>
      </c>
    </row>
    <row r="149" spans="1:3" ht="15" hidden="1" customHeight="1" x14ac:dyDescent="0.3">
      <c r="A149" t="s">
        <v>55</v>
      </c>
      <c r="B149" s="2">
        <v>45383</v>
      </c>
      <c r="C149">
        <v>9850</v>
      </c>
    </row>
    <row r="150" spans="1:3" ht="15" hidden="1" customHeight="1" x14ac:dyDescent="0.3">
      <c r="A150" t="s">
        <v>55</v>
      </c>
      <c r="B150" s="2">
        <v>45413</v>
      </c>
      <c r="C150">
        <v>10329</v>
      </c>
    </row>
    <row r="151" spans="1:3" ht="15" hidden="1" customHeight="1" x14ac:dyDescent="0.3">
      <c r="A151" t="s">
        <v>55</v>
      </c>
      <c r="B151" s="2">
        <v>45444</v>
      </c>
      <c r="C151">
        <v>9684</v>
      </c>
    </row>
    <row r="152" spans="1:3" ht="15" hidden="1" customHeight="1" x14ac:dyDescent="0.3">
      <c r="A152" t="s">
        <v>55</v>
      </c>
      <c r="B152" s="2">
        <v>45474</v>
      </c>
      <c r="C152">
        <v>10193</v>
      </c>
    </row>
    <row r="153" spans="1:3" ht="15" hidden="1" customHeight="1" x14ac:dyDescent="0.3">
      <c r="A153" t="s">
        <v>55</v>
      </c>
      <c r="B153" s="2">
        <v>45505</v>
      </c>
      <c r="C153">
        <v>9840</v>
      </c>
    </row>
    <row r="154" spans="1:3" ht="15" hidden="1" customHeight="1" x14ac:dyDescent="0.3">
      <c r="A154" t="s">
        <v>55</v>
      </c>
      <c r="B154" s="2">
        <v>45536</v>
      </c>
      <c r="C154">
        <v>3277</v>
      </c>
    </row>
    <row r="155" spans="1:3" ht="15" hidden="1" customHeight="1" x14ac:dyDescent="0.3">
      <c r="A155" t="s">
        <v>55</v>
      </c>
      <c r="B155" s="2">
        <v>45566</v>
      </c>
      <c r="C155">
        <v>12496</v>
      </c>
    </row>
    <row r="156" spans="1:3" ht="15" hidden="1" customHeight="1" x14ac:dyDescent="0.3">
      <c r="A156" t="s">
        <v>55</v>
      </c>
      <c r="B156" s="2">
        <v>45597</v>
      </c>
      <c r="C156">
        <v>12909</v>
      </c>
    </row>
    <row r="157" spans="1:3" ht="15" hidden="1" customHeight="1" x14ac:dyDescent="0.3">
      <c r="A157" t="s">
        <v>55</v>
      </c>
      <c r="B157" s="2">
        <v>45627</v>
      </c>
      <c r="C157">
        <v>12587</v>
      </c>
    </row>
    <row r="158" spans="1:3" ht="15" hidden="1" customHeight="1" x14ac:dyDescent="0.3">
      <c r="A158" t="s">
        <v>55</v>
      </c>
      <c r="B158" s="2">
        <v>45658</v>
      </c>
      <c r="C158">
        <v>13816</v>
      </c>
    </row>
    <row r="159" spans="1:3" ht="15" hidden="1" customHeight="1" x14ac:dyDescent="0.3">
      <c r="A159" t="s">
        <v>55</v>
      </c>
      <c r="B159" s="2">
        <v>45689</v>
      </c>
      <c r="C159">
        <v>11397</v>
      </c>
    </row>
    <row r="160" spans="1:3" ht="15" hidden="1" customHeight="1" x14ac:dyDescent="0.3">
      <c r="A160" t="s">
        <v>55</v>
      </c>
      <c r="B160" s="2">
        <v>45717</v>
      </c>
      <c r="C160">
        <v>12740</v>
      </c>
    </row>
    <row r="161" spans="1:3" ht="15" hidden="1" customHeight="1" x14ac:dyDescent="0.3">
      <c r="A161" t="s">
        <v>55</v>
      </c>
      <c r="B161" s="2">
        <v>45748</v>
      </c>
      <c r="C161">
        <v>9167</v>
      </c>
    </row>
    <row r="162" spans="1:3" ht="15" hidden="1" customHeight="1" x14ac:dyDescent="0.3">
      <c r="A162" t="s">
        <v>55</v>
      </c>
      <c r="B162" s="2">
        <v>45778</v>
      </c>
      <c r="C162">
        <v>9630</v>
      </c>
    </row>
    <row r="163" spans="1:3" ht="15" hidden="1" customHeight="1" x14ac:dyDescent="0.3">
      <c r="A163" t="s">
        <v>55</v>
      </c>
      <c r="B163" s="2">
        <v>45809</v>
      </c>
      <c r="C163">
        <v>9081.44</v>
      </c>
    </row>
    <row r="164" spans="1:3" ht="15" hidden="1" customHeight="1" x14ac:dyDescent="0.3">
      <c r="A164" t="s">
        <v>55</v>
      </c>
      <c r="B164" s="2">
        <v>45839</v>
      </c>
      <c r="C164">
        <v>9450</v>
      </c>
    </row>
    <row r="165" spans="1:3" ht="15" hidden="1" customHeight="1" x14ac:dyDescent="0.3">
      <c r="A165" t="s">
        <v>55</v>
      </c>
      <c r="B165" s="2">
        <v>45870</v>
      </c>
      <c r="C165">
        <v>10695</v>
      </c>
    </row>
    <row r="166" spans="1:3" ht="15" hidden="1" customHeight="1" x14ac:dyDescent="0.3">
      <c r="A166" t="s">
        <v>55</v>
      </c>
      <c r="B166" s="2">
        <v>45901</v>
      </c>
      <c r="C166">
        <v>8585</v>
      </c>
    </row>
    <row r="167" spans="1:3" ht="15" hidden="1" customHeight="1" x14ac:dyDescent="0.3">
      <c r="A167" t="s">
        <v>55</v>
      </c>
      <c r="B167" s="2">
        <v>45931</v>
      </c>
      <c r="C167">
        <v>9077.9</v>
      </c>
    </row>
    <row r="168" spans="1:3" ht="15" hidden="1" customHeight="1" x14ac:dyDescent="0.3">
      <c r="A168" t="s">
        <v>55</v>
      </c>
      <c r="B168" s="2">
        <v>45962</v>
      </c>
      <c r="C168">
        <v>10382</v>
      </c>
    </row>
    <row r="169" spans="1:3" ht="15" hidden="1" customHeight="1" x14ac:dyDescent="0.3">
      <c r="A169" t="s">
        <v>55</v>
      </c>
      <c r="B169" s="2">
        <v>45992</v>
      </c>
      <c r="C169">
        <v>13631</v>
      </c>
    </row>
    <row r="170" spans="1:3" ht="15" hidden="1" customHeight="1" x14ac:dyDescent="0.3">
      <c r="A170" t="s">
        <v>55</v>
      </c>
      <c r="B170" s="2">
        <v>46023</v>
      </c>
      <c r="C170">
        <v>11296</v>
      </c>
    </row>
    <row r="171" spans="1:3" ht="15" hidden="1" customHeight="1" x14ac:dyDescent="0.3">
      <c r="A171" t="s">
        <v>55</v>
      </c>
      <c r="B171" s="2">
        <v>46054</v>
      </c>
      <c r="C171">
        <v>11241.78046</v>
      </c>
    </row>
    <row r="172" spans="1:3" ht="15" hidden="1" customHeight="1" x14ac:dyDescent="0.3">
      <c r="A172" t="s">
        <v>55</v>
      </c>
      <c r="B172" s="2">
        <v>46082</v>
      </c>
      <c r="C172">
        <v>10628</v>
      </c>
    </row>
    <row r="173" spans="1:3" ht="15" hidden="1" customHeight="1" x14ac:dyDescent="0.3">
      <c r="A173" t="s">
        <v>55</v>
      </c>
      <c r="B173" s="2">
        <v>46113</v>
      </c>
      <c r="C173">
        <v>8541.19</v>
      </c>
    </row>
    <row r="174" spans="1:3" ht="15" hidden="1" customHeight="1" x14ac:dyDescent="0.3">
      <c r="A174" t="s">
        <v>55</v>
      </c>
      <c r="B174" s="2">
        <v>46143</v>
      </c>
      <c r="C174" s="12">
        <v>9563.61</v>
      </c>
    </row>
    <row r="175" spans="1:3" ht="15" hidden="1" customHeight="1" x14ac:dyDescent="0.3">
      <c r="A175" t="s">
        <v>55</v>
      </c>
      <c r="B175" s="2">
        <v>46174</v>
      </c>
      <c r="C175">
        <v>7968.17</v>
      </c>
    </row>
    <row r="176" spans="1:3" ht="15" customHeight="1" x14ac:dyDescent="0.3">
      <c r="A176" t="s">
        <v>55</v>
      </c>
      <c r="B176" s="2">
        <v>46204</v>
      </c>
      <c r="C176">
        <v>10351.41</v>
      </c>
    </row>
    <row r="177" spans="1:3" ht="15" hidden="1" customHeight="1" x14ac:dyDescent="0.3">
      <c r="A177" t="s">
        <v>55</v>
      </c>
      <c r="B177" s="2">
        <v>46235</v>
      </c>
    </row>
    <row r="178" spans="1:3" ht="15" hidden="1" customHeight="1" x14ac:dyDescent="0.3">
      <c r="A178" t="s">
        <v>55</v>
      </c>
      <c r="B178" s="2">
        <v>46266</v>
      </c>
    </row>
    <row r="179" spans="1:3" ht="15" hidden="1" customHeight="1" x14ac:dyDescent="0.3">
      <c r="A179" t="s">
        <v>55</v>
      </c>
      <c r="B179" s="2">
        <v>46296</v>
      </c>
    </row>
    <row r="180" spans="1:3" ht="15" hidden="1" customHeight="1" x14ac:dyDescent="0.3">
      <c r="A180" t="s">
        <v>55</v>
      </c>
      <c r="B180" s="2">
        <v>46327</v>
      </c>
    </row>
    <row r="181" spans="1:3" ht="15" hidden="1" customHeight="1" x14ac:dyDescent="0.3">
      <c r="A181" t="s">
        <v>55</v>
      </c>
      <c r="B181" s="2">
        <v>46357</v>
      </c>
    </row>
    <row r="182" spans="1:3" ht="15" hidden="1" customHeight="1" x14ac:dyDescent="0.3">
      <c r="A182" t="s">
        <v>60</v>
      </c>
      <c r="B182" s="2">
        <v>45292</v>
      </c>
      <c r="C182">
        <v>55000</v>
      </c>
    </row>
    <row r="183" spans="1:3" ht="15" hidden="1" customHeight="1" x14ac:dyDescent="0.3">
      <c r="A183" t="s">
        <v>60</v>
      </c>
      <c r="B183" s="2">
        <v>45323</v>
      </c>
      <c r="C183">
        <v>46799</v>
      </c>
    </row>
    <row r="184" spans="1:3" ht="15" hidden="1" customHeight="1" x14ac:dyDescent="0.3">
      <c r="A184" t="s">
        <v>60</v>
      </c>
      <c r="B184" s="2">
        <v>45352</v>
      </c>
      <c r="C184">
        <v>40582</v>
      </c>
    </row>
    <row r="185" spans="1:3" ht="15" hidden="1" customHeight="1" x14ac:dyDescent="0.3">
      <c r="A185" t="s">
        <v>60</v>
      </c>
      <c r="B185" s="2">
        <v>45383</v>
      </c>
      <c r="C185">
        <v>39615</v>
      </c>
    </row>
    <row r="186" spans="1:3" ht="15" hidden="1" customHeight="1" x14ac:dyDescent="0.3">
      <c r="A186" t="s">
        <v>60</v>
      </c>
      <c r="B186" s="2">
        <v>45413</v>
      </c>
      <c r="C186">
        <v>39494</v>
      </c>
    </row>
    <row r="187" spans="1:3" ht="15" hidden="1" customHeight="1" x14ac:dyDescent="0.3">
      <c r="A187" t="s">
        <v>60</v>
      </c>
      <c r="B187" s="2">
        <v>45444</v>
      </c>
      <c r="C187">
        <v>35378</v>
      </c>
    </row>
    <row r="188" spans="1:3" ht="15" hidden="1" customHeight="1" x14ac:dyDescent="0.3">
      <c r="A188" t="s">
        <v>60</v>
      </c>
      <c r="B188" s="2">
        <v>45474</v>
      </c>
      <c r="C188">
        <v>38293</v>
      </c>
    </row>
    <row r="189" spans="1:3" ht="15" hidden="1" customHeight="1" x14ac:dyDescent="0.3">
      <c r="A189" t="s">
        <v>60</v>
      </c>
      <c r="B189" s="2">
        <v>45505</v>
      </c>
      <c r="C189">
        <v>38554</v>
      </c>
    </row>
    <row r="190" spans="1:3" ht="15" hidden="1" customHeight="1" x14ac:dyDescent="0.3">
      <c r="A190" t="s">
        <v>60</v>
      </c>
      <c r="B190" s="2">
        <v>45536</v>
      </c>
      <c r="C190">
        <v>37782</v>
      </c>
    </row>
    <row r="191" spans="1:3" ht="15" hidden="1" customHeight="1" x14ac:dyDescent="0.3">
      <c r="A191" t="s">
        <v>60</v>
      </c>
      <c r="B191" s="2">
        <v>45566</v>
      </c>
      <c r="C191">
        <v>47662</v>
      </c>
    </row>
    <row r="192" spans="1:3" ht="15" hidden="1" customHeight="1" x14ac:dyDescent="0.3">
      <c r="A192" t="s">
        <v>60</v>
      </c>
      <c r="B192" s="2">
        <v>45597</v>
      </c>
      <c r="C192">
        <v>48184</v>
      </c>
    </row>
    <row r="193" spans="1:3" ht="15" hidden="1" customHeight="1" x14ac:dyDescent="0.3">
      <c r="A193" t="s">
        <v>60</v>
      </c>
      <c r="B193" s="2">
        <v>45627</v>
      </c>
      <c r="C193">
        <v>44138</v>
      </c>
    </row>
    <row r="194" spans="1:3" ht="15" hidden="1" customHeight="1" x14ac:dyDescent="0.3">
      <c r="A194" t="s">
        <v>60</v>
      </c>
      <c r="B194" s="2">
        <v>45658</v>
      </c>
      <c r="C194">
        <v>52262</v>
      </c>
    </row>
    <row r="195" spans="1:3" ht="15" hidden="1" customHeight="1" x14ac:dyDescent="0.3">
      <c r="A195" t="s">
        <v>60</v>
      </c>
      <c r="B195" s="2">
        <v>45689</v>
      </c>
      <c r="C195">
        <v>40904</v>
      </c>
    </row>
    <row r="196" spans="1:3" ht="15" hidden="1" customHeight="1" x14ac:dyDescent="0.3">
      <c r="A196" t="s">
        <v>60</v>
      </c>
      <c r="B196" s="2">
        <v>45717</v>
      </c>
      <c r="C196">
        <v>45751</v>
      </c>
    </row>
    <row r="197" spans="1:3" ht="15" hidden="1" customHeight="1" x14ac:dyDescent="0.3">
      <c r="A197" t="s">
        <v>60</v>
      </c>
      <c r="B197" s="2">
        <v>45748</v>
      </c>
      <c r="C197">
        <v>30758</v>
      </c>
    </row>
    <row r="198" spans="1:3" ht="15" hidden="1" customHeight="1" x14ac:dyDescent="0.3">
      <c r="A198" t="s">
        <v>60</v>
      </c>
      <c r="B198" s="2">
        <v>45778</v>
      </c>
      <c r="C198">
        <v>34925</v>
      </c>
    </row>
    <row r="199" spans="1:3" ht="15" hidden="1" customHeight="1" x14ac:dyDescent="0.3">
      <c r="A199" t="s">
        <v>60</v>
      </c>
      <c r="B199" s="2">
        <v>45809</v>
      </c>
      <c r="C199">
        <v>29716.71</v>
      </c>
    </row>
    <row r="200" spans="1:3" ht="15" hidden="1" customHeight="1" x14ac:dyDescent="0.3">
      <c r="A200" t="s">
        <v>60</v>
      </c>
      <c r="B200" s="2">
        <v>45839</v>
      </c>
      <c r="C200">
        <v>27958</v>
      </c>
    </row>
    <row r="201" spans="1:3" ht="15" hidden="1" customHeight="1" x14ac:dyDescent="0.3">
      <c r="A201" t="s">
        <v>60</v>
      </c>
      <c r="B201" s="2">
        <v>45870</v>
      </c>
      <c r="C201">
        <v>30682</v>
      </c>
    </row>
    <row r="202" spans="1:3" ht="15" hidden="1" customHeight="1" x14ac:dyDescent="0.3">
      <c r="A202" t="s">
        <v>60</v>
      </c>
      <c r="B202" s="2">
        <v>45901</v>
      </c>
      <c r="C202">
        <v>44171</v>
      </c>
    </row>
    <row r="203" spans="1:3" ht="15" hidden="1" customHeight="1" x14ac:dyDescent="0.3">
      <c r="A203" t="s">
        <v>60</v>
      </c>
      <c r="B203" s="2">
        <v>45931</v>
      </c>
      <c r="C203">
        <v>53279</v>
      </c>
    </row>
    <row r="204" spans="1:3" ht="15" hidden="1" customHeight="1" x14ac:dyDescent="0.3">
      <c r="A204" t="s">
        <v>60</v>
      </c>
      <c r="B204" s="2">
        <v>45962</v>
      </c>
      <c r="C204">
        <v>44434</v>
      </c>
    </row>
    <row r="205" spans="1:3" ht="15" hidden="1" customHeight="1" x14ac:dyDescent="0.3">
      <c r="A205" t="s">
        <v>60</v>
      </c>
      <c r="B205" s="2">
        <v>45992</v>
      </c>
      <c r="C205">
        <v>54661</v>
      </c>
    </row>
    <row r="206" spans="1:3" ht="15" hidden="1" customHeight="1" x14ac:dyDescent="0.3">
      <c r="A206" t="s">
        <v>60</v>
      </c>
      <c r="B206" s="2">
        <v>46023</v>
      </c>
      <c r="C206">
        <v>47457</v>
      </c>
    </row>
    <row r="207" spans="1:3" ht="15" hidden="1" customHeight="1" x14ac:dyDescent="0.3">
      <c r="A207" t="s">
        <v>60</v>
      </c>
      <c r="B207" s="2">
        <v>46054</v>
      </c>
      <c r="C207">
        <v>49608.853320000002</v>
      </c>
    </row>
    <row r="208" spans="1:3" ht="15" hidden="1" customHeight="1" x14ac:dyDescent="0.3">
      <c r="A208" t="s">
        <v>60</v>
      </c>
      <c r="B208" s="2">
        <v>46082</v>
      </c>
      <c r="C208">
        <v>41208</v>
      </c>
    </row>
    <row r="209" spans="1:3" ht="15" hidden="1" customHeight="1" x14ac:dyDescent="0.3">
      <c r="A209" t="s">
        <v>60</v>
      </c>
      <c r="B209" s="2">
        <v>46113</v>
      </c>
      <c r="C209">
        <v>36936.35</v>
      </c>
    </row>
    <row r="210" spans="1:3" ht="15" hidden="1" customHeight="1" x14ac:dyDescent="0.3">
      <c r="A210" t="s">
        <v>60</v>
      </c>
      <c r="B210" s="2">
        <v>46143</v>
      </c>
      <c r="C210" s="12">
        <v>38743.019999999997</v>
      </c>
    </row>
    <row r="211" spans="1:3" ht="15" hidden="1" customHeight="1" x14ac:dyDescent="0.3">
      <c r="A211" t="s">
        <v>60</v>
      </c>
      <c r="B211" s="2">
        <v>46174</v>
      </c>
      <c r="C211">
        <v>31578.49</v>
      </c>
    </row>
    <row r="212" spans="1:3" ht="15" customHeight="1" x14ac:dyDescent="0.3">
      <c r="A212" t="s">
        <v>60</v>
      </c>
      <c r="B212" s="2">
        <v>46204</v>
      </c>
      <c r="C212">
        <v>39160</v>
      </c>
    </row>
    <row r="213" spans="1:3" ht="15" hidden="1" customHeight="1" x14ac:dyDescent="0.3">
      <c r="A213" t="s">
        <v>60</v>
      </c>
      <c r="B213" s="2">
        <v>46235</v>
      </c>
    </row>
    <row r="214" spans="1:3" ht="15" hidden="1" customHeight="1" x14ac:dyDescent="0.3">
      <c r="A214" t="s">
        <v>60</v>
      </c>
      <c r="B214" s="2">
        <v>46266</v>
      </c>
    </row>
    <row r="215" spans="1:3" ht="15" hidden="1" customHeight="1" x14ac:dyDescent="0.3">
      <c r="A215" t="s">
        <v>60</v>
      </c>
      <c r="B215" s="2">
        <v>46296</v>
      </c>
    </row>
    <row r="216" spans="1:3" ht="15" hidden="1" customHeight="1" x14ac:dyDescent="0.3">
      <c r="A216" t="s">
        <v>60</v>
      </c>
      <c r="B216" s="2">
        <v>46327</v>
      </c>
    </row>
    <row r="217" spans="1:3" ht="15" hidden="1" customHeight="1" x14ac:dyDescent="0.3">
      <c r="A217" t="s">
        <v>60</v>
      </c>
      <c r="B217" s="2">
        <v>46357</v>
      </c>
    </row>
    <row r="218" spans="1:3" ht="15" hidden="1" customHeight="1" x14ac:dyDescent="0.3">
      <c r="A218" t="s">
        <v>61</v>
      </c>
      <c r="B218" s="2">
        <v>45292</v>
      </c>
      <c r="C218">
        <v>8244</v>
      </c>
    </row>
    <row r="219" spans="1:3" ht="15" hidden="1" customHeight="1" x14ac:dyDescent="0.3">
      <c r="A219" t="s">
        <v>61</v>
      </c>
      <c r="B219" s="2">
        <v>45323</v>
      </c>
      <c r="C219">
        <v>7277</v>
      </c>
    </row>
    <row r="220" spans="1:3" ht="15" hidden="1" customHeight="1" x14ac:dyDescent="0.3">
      <c r="A220" t="s">
        <v>61</v>
      </c>
      <c r="B220" s="2">
        <v>45352</v>
      </c>
      <c r="C220">
        <v>6614</v>
      </c>
    </row>
    <row r="221" spans="1:3" ht="15" hidden="1" customHeight="1" x14ac:dyDescent="0.3">
      <c r="A221" t="s">
        <v>61</v>
      </c>
      <c r="B221" s="2">
        <v>45383</v>
      </c>
      <c r="C221">
        <v>4053</v>
      </c>
    </row>
    <row r="222" spans="1:3" ht="15" hidden="1" customHeight="1" x14ac:dyDescent="0.3">
      <c r="A222" t="s">
        <v>61</v>
      </c>
      <c r="B222" s="2">
        <v>45413</v>
      </c>
      <c r="C222">
        <v>3743</v>
      </c>
    </row>
    <row r="223" spans="1:3" ht="15" hidden="1" customHeight="1" x14ac:dyDescent="0.3">
      <c r="A223" t="s">
        <v>61</v>
      </c>
      <c r="B223" s="2">
        <v>45444</v>
      </c>
      <c r="C223">
        <v>3473</v>
      </c>
    </row>
    <row r="224" spans="1:3" ht="15" hidden="1" customHeight="1" x14ac:dyDescent="0.3">
      <c r="A224" t="s">
        <v>61</v>
      </c>
      <c r="B224" s="2">
        <v>45474</v>
      </c>
      <c r="C224">
        <v>4260</v>
      </c>
    </row>
    <row r="225" spans="1:3" ht="15" hidden="1" customHeight="1" x14ac:dyDescent="0.3">
      <c r="A225" t="s">
        <v>61</v>
      </c>
      <c r="B225" s="2">
        <v>45505</v>
      </c>
      <c r="C225">
        <v>5497</v>
      </c>
    </row>
    <row r="226" spans="1:3" ht="15" hidden="1" customHeight="1" x14ac:dyDescent="0.3">
      <c r="A226" t="s">
        <v>61</v>
      </c>
      <c r="B226" s="2">
        <v>45536</v>
      </c>
      <c r="C226">
        <v>2600</v>
      </c>
    </row>
    <row r="227" spans="1:3" ht="15" hidden="1" customHeight="1" x14ac:dyDescent="0.3">
      <c r="A227" t="s">
        <v>61</v>
      </c>
      <c r="B227" s="2">
        <v>45566</v>
      </c>
      <c r="C227">
        <v>8200</v>
      </c>
    </row>
    <row r="228" spans="1:3" ht="15" hidden="1" customHeight="1" x14ac:dyDescent="0.3">
      <c r="A228" t="s">
        <v>61</v>
      </c>
      <c r="B228" s="2">
        <v>45597</v>
      </c>
      <c r="C228">
        <v>6700</v>
      </c>
    </row>
    <row r="229" spans="1:3" ht="15" hidden="1" customHeight="1" x14ac:dyDescent="0.3">
      <c r="A229" t="s">
        <v>61</v>
      </c>
      <c r="B229" s="2">
        <v>45627</v>
      </c>
      <c r="C229">
        <v>8100</v>
      </c>
    </row>
    <row r="230" spans="1:3" ht="15" hidden="1" customHeight="1" x14ac:dyDescent="0.3">
      <c r="A230" t="s">
        <v>61</v>
      </c>
      <c r="B230" s="2">
        <v>45658</v>
      </c>
      <c r="C230">
        <v>9900</v>
      </c>
    </row>
    <row r="231" spans="1:3" ht="15" hidden="1" customHeight="1" x14ac:dyDescent="0.3">
      <c r="A231" t="s">
        <v>61</v>
      </c>
      <c r="B231" s="2">
        <v>45689</v>
      </c>
      <c r="C231">
        <v>9200</v>
      </c>
    </row>
    <row r="232" spans="1:3" ht="15" hidden="1" customHeight="1" x14ac:dyDescent="0.3">
      <c r="A232" t="s">
        <v>61</v>
      </c>
      <c r="B232" s="2">
        <v>45717</v>
      </c>
      <c r="C232">
        <v>4480</v>
      </c>
    </row>
    <row r="233" spans="1:3" ht="15" hidden="1" customHeight="1" x14ac:dyDescent="0.3">
      <c r="A233" t="s">
        <v>61</v>
      </c>
      <c r="B233" s="2">
        <v>45748</v>
      </c>
      <c r="C233">
        <v>4096</v>
      </c>
    </row>
    <row r="234" spans="1:3" ht="15" hidden="1" customHeight="1" x14ac:dyDescent="0.3">
      <c r="A234" t="s">
        <v>61</v>
      </c>
      <c r="B234" s="2">
        <v>45778</v>
      </c>
      <c r="C234">
        <v>3388</v>
      </c>
    </row>
    <row r="235" spans="1:3" ht="15" hidden="1" customHeight="1" x14ac:dyDescent="0.3">
      <c r="A235" t="s">
        <v>61</v>
      </c>
      <c r="B235" s="2">
        <v>45809</v>
      </c>
      <c r="C235">
        <v>2306.13</v>
      </c>
    </row>
    <row r="236" spans="1:3" ht="15" hidden="1" customHeight="1" x14ac:dyDescent="0.3">
      <c r="A236" t="s">
        <v>61</v>
      </c>
      <c r="B236" s="2">
        <v>45839</v>
      </c>
      <c r="C236">
        <v>2919</v>
      </c>
    </row>
    <row r="237" spans="1:3" ht="15" hidden="1" customHeight="1" x14ac:dyDescent="0.3">
      <c r="A237" t="s">
        <v>61</v>
      </c>
      <c r="B237" s="2">
        <v>45870</v>
      </c>
      <c r="C237">
        <v>5355</v>
      </c>
    </row>
    <row r="238" spans="1:3" ht="15" hidden="1" customHeight="1" x14ac:dyDescent="0.3">
      <c r="A238" t="s">
        <v>61</v>
      </c>
      <c r="B238" s="2">
        <v>45901</v>
      </c>
      <c r="C238">
        <v>8600</v>
      </c>
    </row>
    <row r="239" spans="1:3" ht="15" hidden="1" customHeight="1" x14ac:dyDescent="0.3">
      <c r="A239" t="s">
        <v>61</v>
      </c>
      <c r="B239" s="2">
        <v>45931</v>
      </c>
      <c r="C239">
        <v>10599</v>
      </c>
    </row>
    <row r="240" spans="1:3" ht="15" hidden="1" customHeight="1" x14ac:dyDescent="0.3">
      <c r="A240" t="s">
        <v>61</v>
      </c>
      <c r="B240" s="2">
        <v>45962</v>
      </c>
      <c r="C240">
        <v>12569</v>
      </c>
    </row>
    <row r="241" spans="1:3" ht="15" hidden="1" customHeight="1" x14ac:dyDescent="0.3">
      <c r="A241" t="s">
        <v>61</v>
      </c>
      <c r="B241" s="2">
        <v>45992</v>
      </c>
      <c r="C241">
        <v>13572</v>
      </c>
    </row>
    <row r="242" spans="1:3" ht="15" hidden="1" customHeight="1" x14ac:dyDescent="0.3">
      <c r="A242" t="s">
        <v>61</v>
      </c>
      <c r="B242" s="2">
        <v>46023</v>
      </c>
      <c r="C242">
        <v>13416</v>
      </c>
    </row>
    <row r="243" spans="1:3" ht="15" hidden="1" customHeight="1" x14ac:dyDescent="0.3">
      <c r="A243" t="s">
        <v>61</v>
      </c>
      <c r="B243" s="2">
        <v>46054</v>
      </c>
      <c r="C243">
        <v>10034.177</v>
      </c>
    </row>
    <row r="244" spans="1:3" ht="15" hidden="1" customHeight="1" x14ac:dyDescent="0.3">
      <c r="A244" t="s">
        <v>61</v>
      </c>
      <c r="B244" s="2">
        <v>46082</v>
      </c>
      <c r="C244">
        <v>10400</v>
      </c>
    </row>
    <row r="245" spans="1:3" ht="15" hidden="1" customHeight="1" x14ac:dyDescent="0.3">
      <c r="A245" t="s">
        <v>61</v>
      </c>
      <c r="B245" s="2">
        <v>46113</v>
      </c>
      <c r="C245">
        <v>7344.6</v>
      </c>
    </row>
    <row r="246" spans="1:3" ht="15" hidden="1" customHeight="1" x14ac:dyDescent="0.3">
      <c r="A246" t="s">
        <v>61</v>
      </c>
      <c r="B246" s="2">
        <v>46143</v>
      </c>
      <c r="C246" s="12">
        <v>5508.9</v>
      </c>
    </row>
    <row r="247" spans="1:3" ht="15" hidden="1" customHeight="1" x14ac:dyDescent="0.3">
      <c r="A247" t="s">
        <v>61</v>
      </c>
      <c r="B247" s="2">
        <v>46174</v>
      </c>
      <c r="C247">
        <v>5030.25</v>
      </c>
    </row>
    <row r="248" spans="1:3" ht="15" customHeight="1" x14ac:dyDescent="0.3">
      <c r="A248" t="s">
        <v>61</v>
      </c>
      <c r="B248" s="2">
        <v>46204</v>
      </c>
      <c r="C248">
        <v>5251.38</v>
      </c>
    </row>
    <row r="249" spans="1:3" ht="15" hidden="1" customHeight="1" x14ac:dyDescent="0.3">
      <c r="A249" t="s">
        <v>61</v>
      </c>
      <c r="B249" s="2">
        <v>46235</v>
      </c>
    </row>
    <row r="250" spans="1:3" ht="15" hidden="1" customHeight="1" x14ac:dyDescent="0.3">
      <c r="A250" t="s">
        <v>61</v>
      </c>
      <c r="B250" s="2">
        <v>46266</v>
      </c>
    </row>
    <row r="251" spans="1:3" ht="15" hidden="1" customHeight="1" x14ac:dyDescent="0.3">
      <c r="A251" t="s">
        <v>61</v>
      </c>
      <c r="B251" s="2">
        <v>46296</v>
      </c>
    </row>
    <row r="252" spans="1:3" ht="15" hidden="1" customHeight="1" x14ac:dyDescent="0.3">
      <c r="A252" t="s">
        <v>61</v>
      </c>
      <c r="B252" s="2">
        <v>46327</v>
      </c>
    </row>
    <row r="253" spans="1:3" ht="15" hidden="1" customHeight="1" x14ac:dyDescent="0.3">
      <c r="A253" t="s">
        <v>61</v>
      </c>
      <c r="B253" s="2">
        <v>46357</v>
      </c>
    </row>
    <row r="254" spans="1:3" ht="15" hidden="1" customHeight="1" x14ac:dyDescent="0.3">
      <c r="A254" t="s">
        <v>66</v>
      </c>
      <c r="B254" s="2">
        <v>45292</v>
      </c>
    </row>
    <row r="255" spans="1:3" ht="15" hidden="1" customHeight="1" x14ac:dyDescent="0.3">
      <c r="A255" t="s">
        <v>66</v>
      </c>
      <c r="B255" s="2">
        <v>45323</v>
      </c>
    </row>
    <row r="256" spans="1:3" ht="15" hidden="1" customHeight="1" x14ac:dyDescent="0.3">
      <c r="A256" t="s">
        <v>66</v>
      </c>
      <c r="B256" s="2">
        <v>45352</v>
      </c>
    </row>
    <row r="257" spans="1:2" ht="15" hidden="1" customHeight="1" x14ac:dyDescent="0.3">
      <c r="A257" t="s">
        <v>66</v>
      </c>
      <c r="B257" s="2">
        <v>45383</v>
      </c>
    </row>
    <row r="258" spans="1:2" ht="15" hidden="1" customHeight="1" x14ac:dyDescent="0.3">
      <c r="A258" t="s">
        <v>66</v>
      </c>
      <c r="B258" s="2">
        <v>45413</v>
      </c>
    </row>
    <row r="259" spans="1:2" ht="15" hidden="1" customHeight="1" x14ac:dyDescent="0.3">
      <c r="A259" t="s">
        <v>66</v>
      </c>
      <c r="B259" s="2">
        <v>45444</v>
      </c>
    </row>
    <row r="260" spans="1:2" ht="15" hidden="1" customHeight="1" x14ac:dyDescent="0.3">
      <c r="A260" t="s">
        <v>66</v>
      </c>
      <c r="B260" s="2">
        <v>45474</v>
      </c>
    </row>
    <row r="261" spans="1:2" ht="15" hidden="1" customHeight="1" x14ac:dyDescent="0.3">
      <c r="A261" t="s">
        <v>66</v>
      </c>
      <c r="B261" s="2">
        <v>45505</v>
      </c>
    </row>
    <row r="262" spans="1:2" ht="15" hidden="1" customHeight="1" x14ac:dyDescent="0.3">
      <c r="A262" t="s">
        <v>66</v>
      </c>
      <c r="B262" s="2">
        <v>45536</v>
      </c>
    </row>
    <row r="263" spans="1:2" ht="15" hidden="1" customHeight="1" x14ac:dyDescent="0.3">
      <c r="A263" t="s">
        <v>66</v>
      </c>
      <c r="B263" s="2">
        <v>45566</v>
      </c>
    </row>
    <row r="264" spans="1:2" ht="15" hidden="1" customHeight="1" x14ac:dyDescent="0.3">
      <c r="A264" t="s">
        <v>66</v>
      </c>
      <c r="B264" s="2">
        <v>45597</v>
      </c>
    </row>
    <row r="265" spans="1:2" ht="15" hidden="1" customHeight="1" x14ac:dyDescent="0.3">
      <c r="A265" t="s">
        <v>66</v>
      </c>
      <c r="B265" s="2">
        <v>45627</v>
      </c>
    </row>
    <row r="266" spans="1:2" ht="15" hidden="1" customHeight="1" x14ac:dyDescent="0.3">
      <c r="A266" t="s">
        <v>66</v>
      </c>
      <c r="B266" s="2">
        <v>45658</v>
      </c>
    </row>
    <row r="267" spans="1:2" ht="15" hidden="1" customHeight="1" x14ac:dyDescent="0.3">
      <c r="A267" t="s">
        <v>66</v>
      </c>
      <c r="B267" s="2">
        <v>45689</v>
      </c>
    </row>
    <row r="268" spans="1:2" ht="15" hidden="1" customHeight="1" x14ac:dyDescent="0.3">
      <c r="A268" t="s">
        <v>66</v>
      </c>
      <c r="B268" s="2">
        <v>45717</v>
      </c>
    </row>
    <row r="269" spans="1:2" ht="15" hidden="1" customHeight="1" x14ac:dyDescent="0.3">
      <c r="A269" t="s">
        <v>66</v>
      </c>
      <c r="B269" s="2">
        <v>45748</v>
      </c>
    </row>
    <row r="270" spans="1:2" ht="15" hidden="1" customHeight="1" x14ac:dyDescent="0.3">
      <c r="A270" t="s">
        <v>66</v>
      </c>
      <c r="B270" s="2">
        <v>45778</v>
      </c>
    </row>
    <row r="271" spans="1:2" ht="15" hidden="1" customHeight="1" x14ac:dyDescent="0.3">
      <c r="A271" t="s">
        <v>66</v>
      </c>
      <c r="B271" s="2">
        <v>45809</v>
      </c>
    </row>
    <row r="272" spans="1:2" ht="15" hidden="1" customHeight="1" x14ac:dyDescent="0.3">
      <c r="A272" t="s">
        <v>66</v>
      </c>
      <c r="B272" s="2">
        <v>45839</v>
      </c>
    </row>
    <row r="273" spans="1:3" ht="15" hidden="1" customHeight="1" x14ac:dyDescent="0.3">
      <c r="A273" t="s">
        <v>66</v>
      </c>
      <c r="B273" s="2">
        <v>45870</v>
      </c>
    </row>
    <row r="274" spans="1:3" ht="15" hidden="1" customHeight="1" x14ac:dyDescent="0.3">
      <c r="A274" t="s">
        <v>66</v>
      </c>
      <c r="B274" s="2">
        <v>45901</v>
      </c>
    </row>
    <row r="275" spans="1:3" ht="15" hidden="1" customHeight="1" x14ac:dyDescent="0.3">
      <c r="A275" t="s">
        <v>66</v>
      </c>
      <c r="B275" s="2">
        <v>45931</v>
      </c>
      <c r="C275">
        <v>1109</v>
      </c>
    </row>
    <row r="276" spans="1:3" ht="15" hidden="1" customHeight="1" x14ac:dyDescent="0.3">
      <c r="A276" t="s">
        <v>66</v>
      </c>
      <c r="B276" s="2">
        <v>45962</v>
      </c>
    </row>
    <row r="277" spans="1:3" ht="15" hidden="1" customHeight="1" x14ac:dyDescent="0.3">
      <c r="A277" t="s">
        <v>66</v>
      </c>
      <c r="B277" s="2">
        <v>45992</v>
      </c>
    </row>
    <row r="278" spans="1:3" ht="15" hidden="1" customHeight="1" x14ac:dyDescent="0.3">
      <c r="A278" t="s">
        <v>66</v>
      </c>
      <c r="B278" s="2">
        <v>46023</v>
      </c>
    </row>
    <row r="279" spans="1:3" ht="15" hidden="1" customHeight="1" x14ac:dyDescent="0.3">
      <c r="A279" t="s">
        <v>66</v>
      </c>
      <c r="B279" s="2">
        <v>46054</v>
      </c>
    </row>
    <row r="280" spans="1:3" ht="15" hidden="1" customHeight="1" x14ac:dyDescent="0.3">
      <c r="A280" t="s">
        <v>66</v>
      </c>
      <c r="B280" s="2">
        <v>46082</v>
      </c>
    </row>
    <row r="281" spans="1:3" ht="15" hidden="1" customHeight="1" x14ac:dyDescent="0.3">
      <c r="A281" t="s">
        <v>66</v>
      </c>
      <c r="B281" s="2">
        <v>46113</v>
      </c>
    </row>
    <row r="282" spans="1:3" ht="15" hidden="1" customHeight="1" x14ac:dyDescent="0.3">
      <c r="A282" t="s">
        <v>66</v>
      </c>
      <c r="B282" s="2">
        <v>46143</v>
      </c>
      <c r="C282" s="12"/>
    </row>
    <row r="283" spans="1:3" ht="15" hidden="1" customHeight="1" x14ac:dyDescent="0.3">
      <c r="A283" t="s">
        <v>66</v>
      </c>
      <c r="B283" s="2">
        <v>46174</v>
      </c>
    </row>
    <row r="284" spans="1:3" ht="15" customHeight="1" x14ac:dyDescent="0.3">
      <c r="A284" t="s">
        <v>64</v>
      </c>
      <c r="B284" s="2">
        <v>46204</v>
      </c>
      <c r="C284">
        <v>3615</v>
      </c>
    </row>
    <row r="285" spans="1:3" ht="15" hidden="1" customHeight="1" x14ac:dyDescent="0.3">
      <c r="A285" t="s">
        <v>66</v>
      </c>
      <c r="B285" s="2">
        <v>46235</v>
      </c>
    </row>
    <row r="286" spans="1:3" ht="15" hidden="1" customHeight="1" x14ac:dyDescent="0.3">
      <c r="A286" t="s">
        <v>66</v>
      </c>
      <c r="B286" s="2">
        <v>46266</v>
      </c>
    </row>
    <row r="287" spans="1:3" ht="15" hidden="1" customHeight="1" x14ac:dyDescent="0.3">
      <c r="A287" t="s">
        <v>66</v>
      </c>
      <c r="B287" s="2">
        <v>46296</v>
      </c>
    </row>
    <row r="288" spans="1:3" ht="15" hidden="1" customHeight="1" x14ac:dyDescent="0.3">
      <c r="A288" t="s">
        <v>66</v>
      </c>
      <c r="B288" s="2">
        <v>46327</v>
      </c>
    </row>
    <row r="289" spans="1:3" ht="15" hidden="1" customHeight="1" x14ac:dyDescent="0.3">
      <c r="A289" t="s">
        <v>66</v>
      </c>
      <c r="B289" s="2">
        <v>46357</v>
      </c>
    </row>
    <row r="290" spans="1:3" ht="15" hidden="1" customHeight="1" x14ac:dyDescent="0.3">
      <c r="A290" t="s">
        <v>71</v>
      </c>
      <c r="B290" s="2">
        <v>45292</v>
      </c>
    </row>
    <row r="291" spans="1:3" ht="15" hidden="1" customHeight="1" x14ac:dyDescent="0.3">
      <c r="A291" t="s">
        <v>71</v>
      </c>
      <c r="B291" s="2">
        <v>45323</v>
      </c>
    </row>
    <row r="292" spans="1:3" ht="15" hidden="1" customHeight="1" x14ac:dyDescent="0.3">
      <c r="A292" t="s">
        <v>71</v>
      </c>
      <c r="B292" s="2">
        <v>45352</v>
      </c>
    </row>
    <row r="293" spans="1:3" ht="15" hidden="1" customHeight="1" x14ac:dyDescent="0.3">
      <c r="A293" t="s">
        <v>71</v>
      </c>
      <c r="B293" s="2">
        <v>45383</v>
      </c>
    </row>
    <row r="294" spans="1:3" ht="15" hidden="1" customHeight="1" x14ac:dyDescent="0.3">
      <c r="A294" t="s">
        <v>71</v>
      </c>
      <c r="B294" s="2">
        <v>45413</v>
      </c>
    </row>
    <row r="295" spans="1:3" ht="15" hidden="1" customHeight="1" x14ac:dyDescent="0.3">
      <c r="A295" t="s">
        <v>71</v>
      </c>
      <c r="B295" s="2">
        <v>45444</v>
      </c>
    </row>
    <row r="296" spans="1:3" ht="15" hidden="1" customHeight="1" x14ac:dyDescent="0.3">
      <c r="A296" t="s">
        <v>71</v>
      </c>
      <c r="B296" s="2">
        <v>45474</v>
      </c>
    </row>
    <row r="297" spans="1:3" ht="15" hidden="1" customHeight="1" x14ac:dyDescent="0.3">
      <c r="A297" t="s">
        <v>71</v>
      </c>
      <c r="B297" s="2">
        <v>45505</v>
      </c>
    </row>
    <row r="298" spans="1:3" ht="15" hidden="1" customHeight="1" x14ac:dyDescent="0.3">
      <c r="A298" t="s">
        <v>71</v>
      </c>
      <c r="B298" s="2">
        <v>45536</v>
      </c>
    </row>
    <row r="299" spans="1:3" ht="15" hidden="1" customHeight="1" x14ac:dyDescent="0.3">
      <c r="A299" t="s">
        <v>71</v>
      </c>
      <c r="B299" s="2">
        <v>45566</v>
      </c>
    </row>
    <row r="300" spans="1:3" ht="15" hidden="1" customHeight="1" x14ac:dyDescent="0.3">
      <c r="A300" t="s">
        <v>71</v>
      </c>
      <c r="B300" s="2">
        <v>45597</v>
      </c>
    </row>
    <row r="301" spans="1:3" ht="15" hidden="1" customHeight="1" x14ac:dyDescent="0.3">
      <c r="A301" t="s">
        <v>71</v>
      </c>
      <c r="B301" s="2">
        <v>45627</v>
      </c>
    </row>
    <row r="302" spans="1:3" ht="15" hidden="1" customHeight="1" x14ac:dyDescent="0.3">
      <c r="A302" t="s">
        <v>71</v>
      </c>
      <c r="B302" s="2">
        <v>45658</v>
      </c>
      <c r="C302">
        <v>31100</v>
      </c>
    </row>
    <row r="303" spans="1:3" ht="15" hidden="1" customHeight="1" x14ac:dyDescent="0.3">
      <c r="A303" t="s">
        <v>71</v>
      </c>
      <c r="B303" s="2">
        <v>45689</v>
      </c>
      <c r="C303">
        <v>23180</v>
      </c>
    </row>
    <row r="304" spans="1:3" ht="15" hidden="1" customHeight="1" x14ac:dyDescent="0.3">
      <c r="A304" t="s">
        <v>71</v>
      </c>
      <c r="B304" s="2">
        <v>45717</v>
      </c>
      <c r="C304">
        <v>20838</v>
      </c>
    </row>
    <row r="305" spans="1:3" ht="15" hidden="1" customHeight="1" x14ac:dyDescent="0.3">
      <c r="A305" t="s">
        <v>71</v>
      </c>
      <c r="B305" s="2">
        <v>45748</v>
      </c>
      <c r="C305">
        <v>16626</v>
      </c>
    </row>
    <row r="306" spans="1:3" ht="15" hidden="1" customHeight="1" x14ac:dyDescent="0.3">
      <c r="A306" t="s">
        <v>71</v>
      </c>
      <c r="B306" s="2">
        <v>45778</v>
      </c>
      <c r="C306">
        <v>15218</v>
      </c>
    </row>
    <row r="307" spans="1:3" ht="15" hidden="1" customHeight="1" x14ac:dyDescent="0.3">
      <c r="A307" t="s">
        <v>71</v>
      </c>
      <c r="B307" s="2">
        <v>45809</v>
      </c>
      <c r="C307">
        <v>12425.8</v>
      </c>
    </row>
    <row r="308" spans="1:3" ht="15" hidden="1" customHeight="1" x14ac:dyDescent="0.3">
      <c r="A308" t="s">
        <v>71</v>
      </c>
      <c r="B308" s="2">
        <v>45839</v>
      </c>
      <c r="C308">
        <v>13246</v>
      </c>
    </row>
    <row r="309" spans="1:3" ht="15" hidden="1" customHeight="1" x14ac:dyDescent="0.3">
      <c r="A309" t="s">
        <v>71</v>
      </c>
      <c r="B309" s="2">
        <v>45870</v>
      </c>
      <c r="C309">
        <v>16953</v>
      </c>
    </row>
    <row r="310" spans="1:3" ht="15" hidden="1" customHeight="1" x14ac:dyDescent="0.3">
      <c r="A310" t="s">
        <v>71</v>
      </c>
      <c r="B310" s="2">
        <v>45901</v>
      </c>
      <c r="C310">
        <v>19367</v>
      </c>
    </row>
    <row r="311" spans="1:3" ht="15" hidden="1" customHeight="1" x14ac:dyDescent="0.3">
      <c r="A311" t="s">
        <v>71</v>
      </c>
      <c r="B311" s="2">
        <v>45931</v>
      </c>
      <c r="C311">
        <v>25648.18</v>
      </c>
    </row>
    <row r="312" spans="1:3" ht="15" hidden="1" customHeight="1" x14ac:dyDescent="0.3">
      <c r="A312" t="s">
        <v>71</v>
      </c>
      <c r="B312" s="2">
        <v>45962</v>
      </c>
      <c r="C312">
        <v>26677</v>
      </c>
    </row>
    <row r="313" spans="1:3" ht="15" hidden="1" customHeight="1" x14ac:dyDescent="0.3">
      <c r="A313" t="s">
        <v>71</v>
      </c>
      <c r="B313" s="2">
        <v>45992</v>
      </c>
      <c r="C313">
        <v>30286</v>
      </c>
    </row>
    <row r="314" spans="1:3" ht="15" hidden="1" customHeight="1" x14ac:dyDescent="0.3">
      <c r="A314" t="s">
        <v>71</v>
      </c>
      <c r="B314" s="2">
        <v>46023</v>
      </c>
      <c r="C314">
        <v>30117</v>
      </c>
    </row>
    <row r="315" spans="1:3" ht="15" hidden="1" customHeight="1" x14ac:dyDescent="0.3">
      <c r="A315" t="s">
        <v>71</v>
      </c>
      <c r="B315" s="2">
        <v>46054</v>
      </c>
      <c r="C315">
        <v>22084</v>
      </c>
    </row>
    <row r="316" spans="1:3" ht="15" hidden="1" customHeight="1" x14ac:dyDescent="0.3">
      <c r="A316" t="s">
        <v>71</v>
      </c>
      <c r="B316" s="2">
        <v>46082</v>
      </c>
      <c r="C316">
        <v>22201</v>
      </c>
    </row>
    <row r="317" spans="1:3" ht="15" hidden="1" customHeight="1" x14ac:dyDescent="0.3">
      <c r="A317" t="s">
        <v>71</v>
      </c>
      <c r="B317" s="2">
        <v>46113</v>
      </c>
      <c r="C317">
        <v>16660.7</v>
      </c>
    </row>
    <row r="318" spans="1:3" ht="15" hidden="1" customHeight="1" x14ac:dyDescent="0.3">
      <c r="A318" t="s">
        <v>71</v>
      </c>
      <c r="B318" s="2">
        <v>46143</v>
      </c>
      <c r="C318" s="12">
        <v>13372.29</v>
      </c>
    </row>
    <row r="319" spans="1:3" ht="15" hidden="1" customHeight="1" x14ac:dyDescent="0.3">
      <c r="A319" t="s">
        <v>71</v>
      </c>
      <c r="B319" s="2">
        <v>46174</v>
      </c>
      <c r="C319">
        <v>9763.7000000000007</v>
      </c>
    </row>
    <row r="320" spans="1:3" ht="15" customHeight="1" x14ac:dyDescent="0.3">
      <c r="A320" t="s">
        <v>66</v>
      </c>
      <c r="B320" s="2">
        <v>46204</v>
      </c>
      <c r="C320">
        <v>719</v>
      </c>
    </row>
    <row r="321" spans="1:2" ht="15" hidden="1" customHeight="1" x14ac:dyDescent="0.3">
      <c r="A321" t="s">
        <v>71</v>
      </c>
      <c r="B321" s="2">
        <v>46235</v>
      </c>
    </row>
    <row r="322" spans="1:2" ht="15" hidden="1" customHeight="1" x14ac:dyDescent="0.3">
      <c r="A322" t="s">
        <v>71</v>
      </c>
      <c r="B322" s="2">
        <v>46266</v>
      </c>
    </row>
    <row r="323" spans="1:2" ht="15" hidden="1" customHeight="1" x14ac:dyDescent="0.3">
      <c r="A323" t="s">
        <v>71</v>
      </c>
      <c r="B323" s="2">
        <v>46296</v>
      </c>
    </row>
    <row r="324" spans="1:2" ht="15" hidden="1" customHeight="1" x14ac:dyDescent="0.3">
      <c r="A324" t="s">
        <v>71</v>
      </c>
      <c r="B324" s="2">
        <v>46327</v>
      </c>
    </row>
    <row r="325" spans="1:2" ht="15" hidden="1" customHeight="1" x14ac:dyDescent="0.3">
      <c r="A325" t="s">
        <v>71</v>
      </c>
      <c r="B325" s="2">
        <v>46357</v>
      </c>
    </row>
    <row r="326" spans="1:2" ht="15" hidden="1" customHeight="1" x14ac:dyDescent="0.3">
      <c r="A326" t="s">
        <v>77</v>
      </c>
      <c r="B326" s="2">
        <v>45292</v>
      </c>
    </row>
    <row r="327" spans="1:2" ht="15" hidden="1" customHeight="1" x14ac:dyDescent="0.3">
      <c r="A327" t="s">
        <v>77</v>
      </c>
      <c r="B327" s="2">
        <v>45323</v>
      </c>
    </row>
    <row r="328" spans="1:2" ht="15" hidden="1" customHeight="1" x14ac:dyDescent="0.3">
      <c r="A328" t="s">
        <v>77</v>
      </c>
      <c r="B328" s="2">
        <v>45352</v>
      </c>
    </row>
    <row r="329" spans="1:2" ht="15" hidden="1" customHeight="1" x14ac:dyDescent="0.3">
      <c r="A329" t="s">
        <v>77</v>
      </c>
      <c r="B329" s="2">
        <v>45383</v>
      </c>
    </row>
    <row r="330" spans="1:2" ht="15" hidden="1" customHeight="1" x14ac:dyDescent="0.3">
      <c r="A330" t="s">
        <v>77</v>
      </c>
      <c r="B330" s="2">
        <v>45413</v>
      </c>
    </row>
    <row r="331" spans="1:2" ht="15" hidden="1" customHeight="1" x14ac:dyDescent="0.3">
      <c r="A331" t="s">
        <v>77</v>
      </c>
      <c r="B331" s="2">
        <v>45444</v>
      </c>
    </row>
    <row r="332" spans="1:2" ht="15" hidden="1" customHeight="1" x14ac:dyDescent="0.3">
      <c r="A332" t="s">
        <v>77</v>
      </c>
      <c r="B332" s="2">
        <v>45474</v>
      </c>
    </row>
    <row r="333" spans="1:2" ht="15" hidden="1" customHeight="1" x14ac:dyDescent="0.3">
      <c r="A333" t="s">
        <v>77</v>
      </c>
      <c r="B333" s="2">
        <v>45505</v>
      </c>
    </row>
    <row r="334" spans="1:2" ht="15" hidden="1" customHeight="1" x14ac:dyDescent="0.3">
      <c r="A334" t="s">
        <v>77</v>
      </c>
      <c r="B334" s="2">
        <v>45536</v>
      </c>
    </row>
    <row r="335" spans="1:2" ht="15" hidden="1" customHeight="1" x14ac:dyDescent="0.3">
      <c r="A335" t="s">
        <v>77</v>
      </c>
      <c r="B335" s="2">
        <v>45566</v>
      </c>
    </row>
    <row r="336" spans="1:2" ht="15" hidden="1" customHeight="1" x14ac:dyDescent="0.3">
      <c r="A336" t="s">
        <v>77</v>
      </c>
      <c r="B336" s="2">
        <v>45597</v>
      </c>
    </row>
    <row r="337" spans="1:3" ht="15" hidden="1" customHeight="1" x14ac:dyDescent="0.3">
      <c r="A337" t="s">
        <v>77</v>
      </c>
      <c r="B337" s="2">
        <v>45627</v>
      </c>
    </row>
    <row r="338" spans="1:3" ht="15" hidden="1" customHeight="1" x14ac:dyDescent="0.3">
      <c r="A338" t="s">
        <v>77</v>
      </c>
      <c r="B338" s="2">
        <v>45658</v>
      </c>
    </row>
    <row r="339" spans="1:3" ht="15" hidden="1" customHeight="1" x14ac:dyDescent="0.3">
      <c r="A339" t="s">
        <v>77</v>
      </c>
      <c r="B339" s="2">
        <v>45689</v>
      </c>
    </row>
    <row r="340" spans="1:3" ht="15" hidden="1" customHeight="1" x14ac:dyDescent="0.3">
      <c r="A340" t="s">
        <v>77</v>
      </c>
      <c r="B340" s="2">
        <v>45717</v>
      </c>
      <c r="C340">
        <v>17913</v>
      </c>
    </row>
    <row r="341" spans="1:3" ht="15" hidden="1" customHeight="1" x14ac:dyDescent="0.3">
      <c r="A341" t="s">
        <v>77</v>
      </c>
      <c r="B341" s="2">
        <v>45748</v>
      </c>
      <c r="C341">
        <v>14938</v>
      </c>
    </row>
    <row r="342" spans="1:3" ht="15" hidden="1" customHeight="1" x14ac:dyDescent="0.3">
      <c r="A342" t="s">
        <v>77</v>
      </c>
      <c r="B342" s="2">
        <v>45778</v>
      </c>
      <c r="C342">
        <v>18066</v>
      </c>
    </row>
    <row r="343" spans="1:3" ht="15" hidden="1" customHeight="1" x14ac:dyDescent="0.3">
      <c r="A343" t="s">
        <v>77</v>
      </c>
      <c r="B343" s="2">
        <v>45809</v>
      </c>
      <c r="C343">
        <v>12974.1</v>
      </c>
    </row>
    <row r="344" spans="1:3" ht="15" hidden="1" customHeight="1" x14ac:dyDescent="0.3">
      <c r="A344" t="s">
        <v>77</v>
      </c>
      <c r="B344" s="2">
        <v>45839</v>
      </c>
      <c r="C344">
        <v>13938</v>
      </c>
    </row>
    <row r="345" spans="1:3" ht="15" hidden="1" customHeight="1" x14ac:dyDescent="0.3">
      <c r="A345" t="s">
        <v>77</v>
      </c>
      <c r="B345" s="2">
        <v>45870</v>
      </c>
      <c r="C345">
        <v>18460</v>
      </c>
    </row>
    <row r="346" spans="1:3" ht="15" hidden="1" customHeight="1" x14ac:dyDescent="0.3">
      <c r="A346" t="s">
        <v>77</v>
      </c>
      <c r="B346" s="2">
        <v>45901</v>
      </c>
      <c r="C346">
        <v>17970</v>
      </c>
    </row>
    <row r="347" spans="1:3" ht="15" hidden="1" customHeight="1" x14ac:dyDescent="0.3">
      <c r="A347" t="s">
        <v>77</v>
      </c>
      <c r="B347" s="2">
        <v>45931</v>
      </c>
      <c r="C347">
        <v>22232</v>
      </c>
    </row>
    <row r="348" spans="1:3" ht="15" hidden="1" customHeight="1" x14ac:dyDescent="0.3">
      <c r="A348" t="s">
        <v>77</v>
      </c>
      <c r="B348" s="2">
        <v>45962</v>
      </c>
      <c r="C348">
        <v>17351</v>
      </c>
    </row>
    <row r="349" spans="1:3" ht="15" hidden="1" customHeight="1" x14ac:dyDescent="0.3">
      <c r="A349" t="s">
        <v>77</v>
      </c>
      <c r="B349" s="2">
        <v>45992</v>
      </c>
      <c r="C349">
        <v>21073</v>
      </c>
    </row>
    <row r="350" spans="1:3" ht="15" hidden="1" customHeight="1" x14ac:dyDescent="0.3">
      <c r="A350" t="s">
        <v>77</v>
      </c>
      <c r="B350" s="2">
        <v>46023</v>
      </c>
      <c r="C350">
        <v>22123</v>
      </c>
    </row>
    <row r="351" spans="1:3" ht="15" hidden="1" customHeight="1" x14ac:dyDescent="0.3">
      <c r="A351" t="s">
        <v>77</v>
      </c>
      <c r="B351" s="2">
        <v>46054</v>
      </c>
      <c r="C351">
        <v>16600</v>
      </c>
    </row>
    <row r="352" spans="1:3" ht="15" hidden="1" customHeight="1" x14ac:dyDescent="0.3">
      <c r="A352" t="s">
        <v>77</v>
      </c>
      <c r="B352" s="2">
        <v>46082</v>
      </c>
      <c r="C352">
        <v>17500</v>
      </c>
    </row>
    <row r="353" spans="1:3" ht="15" hidden="1" customHeight="1" x14ac:dyDescent="0.3">
      <c r="A353" t="s">
        <v>77</v>
      </c>
      <c r="B353" s="2">
        <v>46113</v>
      </c>
      <c r="C353">
        <v>15400</v>
      </c>
    </row>
    <row r="354" spans="1:3" ht="15" hidden="1" customHeight="1" x14ac:dyDescent="0.3">
      <c r="A354" t="s">
        <v>77</v>
      </c>
      <c r="B354" s="2">
        <v>46143</v>
      </c>
      <c r="C354">
        <v>15615</v>
      </c>
    </row>
    <row r="355" spans="1:3" ht="15" hidden="1" customHeight="1" x14ac:dyDescent="0.3">
      <c r="A355" t="s">
        <v>77</v>
      </c>
      <c r="B355" s="2">
        <v>46174</v>
      </c>
      <c r="C355">
        <v>12373.57</v>
      </c>
    </row>
    <row r="356" spans="1:3" ht="15" customHeight="1" x14ac:dyDescent="0.3">
      <c r="A356" t="s">
        <v>71</v>
      </c>
      <c r="B356" s="2">
        <v>46204</v>
      </c>
      <c r="C356">
        <v>8756.0499999999993</v>
      </c>
    </row>
    <row r="357" spans="1:3" ht="15" hidden="1" customHeight="1" x14ac:dyDescent="0.3">
      <c r="A357" t="s">
        <v>77</v>
      </c>
      <c r="B357" s="2">
        <v>46235</v>
      </c>
    </row>
    <row r="358" spans="1:3" ht="15" hidden="1" customHeight="1" x14ac:dyDescent="0.3">
      <c r="A358" t="s">
        <v>77</v>
      </c>
      <c r="B358" s="2">
        <v>46266</v>
      </c>
    </row>
    <row r="359" spans="1:3" ht="15" hidden="1" customHeight="1" x14ac:dyDescent="0.3">
      <c r="A359" t="s">
        <v>77</v>
      </c>
      <c r="B359" s="2">
        <v>46296</v>
      </c>
    </row>
    <row r="360" spans="1:3" ht="15" hidden="1" customHeight="1" x14ac:dyDescent="0.3">
      <c r="A360" t="s">
        <v>77</v>
      </c>
      <c r="B360" s="2">
        <v>46327</v>
      </c>
    </row>
    <row r="361" spans="1:3" ht="15" hidden="1" customHeight="1" x14ac:dyDescent="0.3">
      <c r="A361" t="s">
        <v>77</v>
      </c>
      <c r="B361" s="2">
        <v>46357</v>
      </c>
    </row>
    <row r="362" spans="1:3" ht="15" hidden="1" customHeight="1" x14ac:dyDescent="0.3">
      <c r="A362" t="s">
        <v>80</v>
      </c>
      <c r="B362" s="2">
        <v>45292</v>
      </c>
    </row>
    <row r="363" spans="1:3" ht="15" hidden="1" customHeight="1" x14ac:dyDescent="0.3">
      <c r="A363" t="s">
        <v>80</v>
      </c>
      <c r="B363" s="2">
        <v>45323</v>
      </c>
    </row>
    <row r="364" spans="1:3" ht="15" hidden="1" customHeight="1" x14ac:dyDescent="0.3">
      <c r="A364" t="s">
        <v>80</v>
      </c>
      <c r="B364" s="2">
        <v>45352</v>
      </c>
    </row>
    <row r="365" spans="1:3" ht="15" hidden="1" customHeight="1" x14ac:dyDescent="0.3">
      <c r="A365" t="s">
        <v>80</v>
      </c>
      <c r="B365" s="2">
        <v>45383</v>
      </c>
    </row>
    <row r="366" spans="1:3" ht="15" hidden="1" customHeight="1" x14ac:dyDescent="0.3">
      <c r="A366" t="s">
        <v>80</v>
      </c>
      <c r="B366" s="2">
        <v>45413</v>
      </c>
    </row>
    <row r="367" spans="1:3" ht="15" hidden="1" customHeight="1" x14ac:dyDescent="0.3">
      <c r="A367" t="s">
        <v>80</v>
      </c>
      <c r="B367" s="2">
        <v>45444</v>
      </c>
    </row>
    <row r="368" spans="1:3" ht="15" hidden="1" customHeight="1" x14ac:dyDescent="0.3">
      <c r="A368" t="s">
        <v>80</v>
      </c>
      <c r="B368" s="2">
        <v>45474</v>
      </c>
    </row>
    <row r="369" spans="1:3" ht="15" hidden="1" customHeight="1" x14ac:dyDescent="0.3">
      <c r="A369" t="s">
        <v>80</v>
      </c>
      <c r="B369" s="2">
        <v>45505</v>
      </c>
    </row>
    <row r="370" spans="1:3" ht="15" hidden="1" customHeight="1" x14ac:dyDescent="0.3">
      <c r="A370" t="s">
        <v>80</v>
      </c>
      <c r="B370" s="2">
        <v>45536</v>
      </c>
    </row>
    <row r="371" spans="1:3" ht="15" hidden="1" customHeight="1" x14ac:dyDescent="0.3">
      <c r="A371" t="s">
        <v>80</v>
      </c>
      <c r="B371" s="2">
        <v>45566</v>
      </c>
    </row>
    <row r="372" spans="1:3" ht="15" hidden="1" customHeight="1" x14ac:dyDescent="0.3">
      <c r="A372" t="s">
        <v>80</v>
      </c>
      <c r="B372" s="2">
        <v>45597</v>
      </c>
    </row>
    <row r="373" spans="1:3" ht="15" hidden="1" customHeight="1" x14ac:dyDescent="0.3">
      <c r="A373" t="s">
        <v>80</v>
      </c>
      <c r="B373" s="2">
        <v>45627</v>
      </c>
    </row>
    <row r="374" spans="1:3" ht="15" hidden="1" customHeight="1" x14ac:dyDescent="0.3">
      <c r="A374" t="s">
        <v>80</v>
      </c>
      <c r="B374" s="2">
        <v>45658</v>
      </c>
    </row>
    <row r="375" spans="1:3" ht="15" hidden="1" customHeight="1" x14ac:dyDescent="0.3">
      <c r="A375" t="s">
        <v>80</v>
      </c>
      <c r="B375" s="2">
        <v>45689</v>
      </c>
    </row>
    <row r="376" spans="1:3" ht="15" hidden="1" customHeight="1" x14ac:dyDescent="0.3">
      <c r="A376" t="s">
        <v>80</v>
      </c>
      <c r="B376" s="2">
        <v>45717</v>
      </c>
      <c r="C376">
        <v>16558</v>
      </c>
    </row>
    <row r="377" spans="1:3" ht="15" hidden="1" customHeight="1" x14ac:dyDescent="0.3">
      <c r="A377" t="s">
        <v>80</v>
      </c>
      <c r="B377" s="2">
        <v>45748</v>
      </c>
      <c r="C377">
        <v>13087</v>
      </c>
    </row>
    <row r="378" spans="1:3" ht="15" hidden="1" customHeight="1" x14ac:dyDescent="0.3">
      <c r="A378" t="s">
        <v>80</v>
      </c>
      <c r="B378" s="2">
        <v>45778</v>
      </c>
      <c r="C378">
        <v>15171</v>
      </c>
    </row>
    <row r="379" spans="1:3" ht="15" hidden="1" customHeight="1" x14ac:dyDescent="0.3">
      <c r="A379" t="s">
        <v>80</v>
      </c>
      <c r="B379" s="2">
        <v>45809</v>
      </c>
      <c r="C379">
        <v>9655.7000000000007</v>
      </c>
    </row>
    <row r="380" spans="1:3" ht="15" hidden="1" customHeight="1" x14ac:dyDescent="0.3">
      <c r="A380" t="s">
        <v>80</v>
      </c>
      <c r="B380" s="2">
        <v>45839</v>
      </c>
      <c r="C380">
        <v>10531.6</v>
      </c>
    </row>
    <row r="381" spans="1:3" ht="15" hidden="1" customHeight="1" x14ac:dyDescent="0.3">
      <c r="A381" t="s">
        <v>80</v>
      </c>
      <c r="B381" s="2">
        <v>45870</v>
      </c>
      <c r="C381">
        <v>14730</v>
      </c>
    </row>
    <row r="382" spans="1:3" ht="15" hidden="1" customHeight="1" x14ac:dyDescent="0.3">
      <c r="A382" t="s">
        <v>80</v>
      </c>
      <c r="B382" s="2">
        <v>45901</v>
      </c>
      <c r="C382">
        <v>12165</v>
      </c>
    </row>
    <row r="383" spans="1:3" ht="15" hidden="1" customHeight="1" x14ac:dyDescent="0.3">
      <c r="A383" t="s">
        <v>80</v>
      </c>
      <c r="B383" s="2">
        <v>45931</v>
      </c>
      <c r="C383">
        <v>20277</v>
      </c>
    </row>
    <row r="384" spans="1:3" ht="15" hidden="1" customHeight="1" x14ac:dyDescent="0.3">
      <c r="A384" t="s">
        <v>80</v>
      </c>
      <c r="B384" s="2">
        <v>45962</v>
      </c>
      <c r="C384">
        <v>15371</v>
      </c>
    </row>
    <row r="385" spans="1:3" ht="15" hidden="1" customHeight="1" x14ac:dyDescent="0.3">
      <c r="A385" t="s">
        <v>80</v>
      </c>
      <c r="B385" s="2">
        <v>45992</v>
      </c>
      <c r="C385">
        <v>13568</v>
      </c>
    </row>
    <row r="386" spans="1:3" ht="15" hidden="1" customHeight="1" x14ac:dyDescent="0.3">
      <c r="A386" t="s">
        <v>80</v>
      </c>
      <c r="B386" s="2">
        <v>46023</v>
      </c>
      <c r="C386">
        <v>21287</v>
      </c>
    </row>
    <row r="387" spans="1:3" ht="15" hidden="1" customHeight="1" x14ac:dyDescent="0.3">
      <c r="A387" t="s">
        <v>80</v>
      </c>
      <c r="B387" s="2">
        <v>46054</v>
      </c>
      <c r="C387">
        <v>19200</v>
      </c>
    </row>
    <row r="388" spans="1:3" ht="15" hidden="1" customHeight="1" x14ac:dyDescent="0.3">
      <c r="A388" t="s">
        <v>80</v>
      </c>
      <c r="B388" s="2">
        <v>46082</v>
      </c>
      <c r="C388">
        <v>16030</v>
      </c>
    </row>
    <row r="389" spans="1:3" ht="15" hidden="1" customHeight="1" x14ac:dyDescent="0.3">
      <c r="A389" t="s">
        <v>80</v>
      </c>
      <c r="B389" s="2">
        <v>46113</v>
      </c>
      <c r="C389">
        <v>13700</v>
      </c>
    </row>
    <row r="390" spans="1:3" ht="15" hidden="1" customHeight="1" x14ac:dyDescent="0.3">
      <c r="A390" t="s">
        <v>80</v>
      </c>
      <c r="B390" s="2">
        <v>46143</v>
      </c>
      <c r="C390">
        <v>13287</v>
      </c>
    </row>
    <row r="391" spans="1:3" ht="15" hidden="1" customHeight="1" x14ac:dyDescent="0.3">
      <c r="A391" t="s">
        <v>80</v>
      </c>
      <c r="B391" s="2">
        <v>46174</v>
      </c>
      <c r="C391">
        <v>10602.24</v>
      </c>
    </row>
    <row r="392" spans="1:3" ht="15" customHeight="1" x14ac:dyDescent="0.3">
      <c r="A392" t="s">
        <v>251</v>
      </c>
      <c r="B392" s="2">
        <v>46204</v>
      </c>
      <c r="C392">
        <v>16617.160800000001</v>
      </c>
    </row>
    <row r="393" spans="1:3" ht="15" hidden="1" customHeight="1" x14ac:dyDescent="0.3">
      <c r="A393" t="s">
        <v>80</v>
      </c>
      <c r="B393" s="2">
        <v>46235</v>
      </c>
    </row>
    <row r="394" spans="1:3" ht="15" hidden="1" customHeight="1" x14ac:dyDescent="0.3">
      <c r="A394" t="s">
        <v>80</v>
      </c>
      <c r="B394" s="2">
        <v>46266</v>
      </c>
    </row>
    <row r="395" spans="1:3" ht="15" hidden="1" customHeight="1" x14ac:dyDescent="0.3">
      <c r="A395" t="s">
        <v>80</v>
      </c>
      <c r="B395" s="2">
        <v>46296</v>
      </c>
    </row>
    <row r="396" spans="1:3" ht="15" hidden="1" customHeight="1" x14ac:dyDescent="0.3">
      <c r="A396" t="s">
        <v>80</v>
      </c>
      <c r="B396" s="2">
        <v>46327</v>
      </c>
    </row>
    <row r="397" spans="1:3" ht="15" hidden="1" customHeight="1" x14ac:dyDescent="0.3">
      <c r="A397" t="s">
        <v>80</v>
      </c>
      <c r="B397" s="2">
        <v>46357</v>
      </c>
    </row>
    <row r="398" spans="1:3" ht="15" hidden="1" customHeight="1" x14ac:dyDescent="0.3">
      <c r="A398" t="s">
        <v>81</v>
      </c>
      <c r="B398" s="2">
        <v>45292</v>
      </c>
    </row>
    <row r="399" spans="1:3" ht="15" hidden="1" customHeight="1" x14ac:dyDescent="0.3">
      <c r="A399" t="s">
        <v>81</v>
      </c>
      <c r="B399" s="2">
        <v>45323</v>
      </c>
    </row>
    <row r="400" spans="1:3" ht="15" hidden="1" customHeight="1" x14ac:dyDescent="0.3">
      <c r="A400" t="s">
        <v>81</v>
      </c>
      <c r="B400" s="2">
        <v>45352</v>
      </c>
    </row>
    <row r="401" spans="1:3" ht="15" hidden="1" customHeight="1" x14ac:dyDescent="0.3">
      <c r="A401" t="s">
        <v>81</v>
      </c>
      <c r="B401" s="2">
        <v>45383</v>
      </c>
    </row>
    <row r="402" spans="1:3" ht="15" hidden="1" customHeight="1" x14ac:dyDescent="0.3">
      <c r="A402" t="s">
        <v>81</v>
      </c>
      <c r="B402" s="2">
        <v>45413</v>
      </c>
    </row>
    <row r="403" spans="1:3" ht="15" hidden="1" customHeight="1" x14ac:dyDescent="0.3">
      <c r="A403" t="s">
        <v>81</v>
      </c>
      <c r="B403" s="2">
        <v>45444</v>
      </c>
    </row>
    <row r="404" spans="1:3" ht="15" hidden="1" customHeight="1" x14ac:dyDescent="0.3">
      <c r="A404" t="s">
        <v>81</v>
      </c>
      <c r="B404" s="2">
        <v>45474</v>
      </c>
    </row>
    <row r="405" spans="1:3" ht="15" hidden="1" customHeight="1" x14ac:dyDescent="0.3">
      <c r="A405" t="s">
        <v>81</v>
      </c>
      <c r="B405" s="2">
        <v>45505</v>
      </c>
    </row>
    <row r="406" spans="1:3" ht="15" hidden="1" customHeight="1" x14ac:dyDescent="0.3">
      <c r="A406" t="s">
        <v>81</v>
      </c>
      <c r="B406" s="2">
        <v>45536</v>
      </c>
    </row>
    <row r="407" spans="1:3" ht="15" hidden="1" customHeight="1" x14ac:dyDescent="0.3">
      <c r="A407" t="s">
        <v>81</v>
      </c>
      <c r="B407" s="2">
        <v>45566</v>
      </c>
    </row>
    <row r="408" spans="1:3" ht="15" hidden="1" customHeight="1" x14ac:dyDescent="0.3">
      <c r="A408" t="s">
        <v>81</v>
      </c>
      <c r="B408" s="2">
        <v>45597</v>
      </c>
    </row>
    <row r="409" spans="1:3" ht="15" hidden="1" customHeight="1" x14ac:dyDescent="0.3">
      <c r="A409" t="s">
        <v>81</v>
      </c>
      <c r="B409" s="2">
        <v>45627</v>
      </c>
    </row>
    <row r="410" spans="1:3" ht="15" hidden="1" customHeight="1" x14ac:dyDescent="0.3">
      <c r="A410" t="s">
        <v>81</v>
      </c>
      <c r="B410" s="2">
        <v>45658</v>
      </c>
      <c r="C410">
        <v>8900</v>
      </c>
    </row>
    <row r="411" spans="1:3" ht="15" hidden="1" customHeight="1" x14ac:dyDescent="0.3">
      <c r="A411" t="s">
        <v>81</v>
      </c>
      <c r="B411" s="2">
        <v>45689</v>
      </c>
      <c r="C411">
        <v>5390</v>
      </c>
    </row>
    <row r="412" spans="1:3" ht="15" hidden="1" customHeight="1" x14ac:dyDescent="0.3">
      <c r="A412" t="s">
        <v>81</v>
      </c>
      <c r="B412" s="2">
        <v>45717</v>
      </c>
      <c r="C412">
        <v>5378</v>
      </c>
    </row>
    <row r="413" spans="1:3" ht="15" hidden="1" customHeight="1" x14ac:dyDescent="0.3">
      <c r="A413" t="s">
        <v>81</v>
      </c>
      <c r="B413" s="2">
        <v>45748</v>
      </c>
      <c r="C413">
        <v>3410</v>
      </c>
    </row>
    <row r="414" spans="1:3" ht="15" hidden="1" customHeight="1" x14ac:dyDescent="0.3">
      <c r="A414" t="s">
        <v>81</v>
      </c>
      <c r="B414" s="2">
        <v>45778</v>
      </c>
      <c r="C414">
        <v>3628</v>
      </c>
    </row>
    <row r="415" spans="1:3" ht="15" hidden="1" customHeight="1" x14ac:dyDescent="0.3">
      <c r="A415" t="s">
        <v>81</v>
      </c>
      <c r="B415" s="2">
        <v>45809</v>
      </c>
      <c r="C415">
        <v>5836</v>
      </c>
    </row>
    <row r="416" spans="1:3" ht="15" hidden="1" customHeight="1" x14ac:dyDescent="0.3">
      <c r="A416" t="s">
        <v>81</v>
      </c>
      <c r="B416" s="2">
        <v>45839</v>
      </c>
      <c r="C416">
        <v>6830</v>
      </c>
    </row>
    <row r="417" spans="1:3" ht="15" hidden="1" customHeight="1" x14ac:dyDescent="0.3">
      <c r="A417" t="s">
        <v>81</v>
      </c>
      <c r="B417" s="2">
        <v>45870</v>
      </c>
      <c r="C417">
        <v>7659</v>
      </c>
    </row>
    <row r="418" spans="1:3" ht="15" hidden="1" customHeight="1" x14ac:dyDescent="0.3">
      <c r="A418" t="s">
        <v>81</v>
      </c>
      <c r="B418" s="2">
        <v>45901</v>
      </c>
      <c r="C418">
        <v>5799</v>
      </c>
    </row>
    <row r="419" spans="1:3" ht="15" hidden="1" customHeight="1" x14ac:dyDescent="0.3">
      <c r="A419" t="s">
        <v>81</v>
      </c>
      <c r="B419" s="2">
        <v>45931</v>
      </c>
      <c r="C419">
        <v>6484.6</v>
      </c>
    </row>
    <row r="420" spans="1:3" ht="15" hidden="1" customHeight="1" x14ac:dyDescent="0.3">
      <c r="A420" t="s">
        <v>81</v>
      </c>
      <c r="B420" s="2">
        <v>45962</v>
      </c>
      <c r="C420">
        <v>7636</v>
      </c>
    </row>
    <row r="421" spans="1:3" ht="15" hidden="1" customHeight="1" x14ac:dyDescent="0.3">
      <c r="A421" t="s">
        <v>81</v>
      </c>
      <c r="B421" s="2">
        <v>45992</v>
      </c>
      <c r="C421">
        <v>7000</v>
      </c>
    </row>
    <row r="422" spans="1:3" ht="15" hidden="1" customHeight="1" x14ac:dyDescent="0.3">
      <c r="A422" t="s">
        <v>81</v>
      </c>
      <c r="B422" s="2">
        <v>46023</v>
      </c>
      <c r="C422">
        <v>6305</v>
      </c>
    </row>
    <row r="423" spans="1:3" ht="15" hidden="1" customHeight="1" x14ac:dyDescent="0.3">
      <c r="A423" t="s">
        <v>81</v>
      </c>
      <c r="B423" s="2">
        <v>46054</v>
      </c>
      <c r="C423">
        <v>4373.4359000000004</v>
      </c>
    </row>
    <row r="424" spans="1:3" ht="15" hidden="1" customHeight="1" x14ac:dyDescent="0.3">
      <c r="A424" t="s">
        <v>81</v>
      </c>
      <c r="B424" s="2">
        <v>46082</v>
      </c>
      <c r="C424">
        <v>4958</v>
      </c>
    </row>
    <row r="425" spans="1:3" ht="15" hidden="1" customHeight="1" x14ac:dyDescent="0.3">
      <c r="A425" t="s">
        <v>81</v>
      </c>
      <c r="B425" s="2">
        <v>46113</v>
      </c>
      <c r="C425">
        <v>6980.52</v>
      </c>
    </row>
    <row r="426" spans="1:3" ht="15" hidden="1" customHeight="1" x14ac:dyDescent="0.3">
      <c r="A426" t="s">
        <v>81</v>
      </c>
      <c r="B426" s="2">
        <v>46143</v>
      </c>
      <c r="C426" s="12">
        <v>6633.98</v>
      </c>
    </row>
    <row r="427" spans="1:3" ht="15" hidden="1" customHeight="1" x14ac:dyDescent="0.3">
      <c r="A427" t="s">
        <v>250</v>
      </c>
      <c r="B427" s="2">
        <v>46174</v>
      </c>
      <c r="C427" s="34">
        <v>25295</v>
      </c>
    </row>
    <row r="428" spans="1:3" ht="15" customHeight="1" x14ac:dyDescent="0.3">
      <c r="A428" t="s">
        <v>77</v>
      </c>
      <c r="B428" s="2">
        <v>46204</v>
      </c>
      <c r="C428">
        <v>16600</v>
      </c>
    </row>
    <row r="429" spans="1:3" ht="15" hidden="1" customHeight="1" x14ac:dyDescent="0.3">
      <c r="A429" t="s">
        <v>81</v>
      </c>
      <c r="B429" s="2">
        <v>46235</v>
      </c>
    </row>
    <row r="430" spans="1:3" ht="15" hidden="1" customHeight="1" x14ac:dyDescent="0.3">
      <c r="A430" t="s">
        <v>81</v>
      </c>
      <c r="B430" s="2">
        <v>46266</v>
      </c>
    </row>
    <row r="431" spans="1:3" ht="15" hidden="1" customHeight="1" x14ac:dyDescent="0.3">
      <c r="A431" t="s">
        <v>81</v>
      </c>
      <c r="B431" s="2">
        <v>46296</v>
      </c>
    </row>
    <row r="432" spans="1:3" ht="15" hidden="1" customHeight="1" x14ac:dyDescent="0.3">
      <c r="A432" t="s">
        <v>81</v>
      </c>
      <c r="B432" s="2">
        <v>46327</v>
      </c>
    </row>
    <row r="433" spans="1:3" ht="15" hidden="1" customHeight="1" x14ac:dyDescent="0.3">
      <c r="A433" t="s">
        <v>81</v>
      </c>
      <c r="B433" s="2">
        <v>46357</v>
      </c>
    </row>
    <row r="434" spans="1:3" ht="15" hidden="1" customHeight="1" x14ac:dyDescent="0.3">
      <c r="A434" t="s">
        <v>85</v>
      </c>
      <c r="B434" s="2">
        <v>45292</v>
      </c>
      <c r="C434">
        <v>3578</v>
      </c>
    </row>
    <row r="435" spans="1:3" ht="15" hidden="1" customHeight="1" x14ac:dyDescent="0.3">
      <c r="A435" t="s">
        <v>85</v>
      </c>
      <c r="B435" s="2">
        <v>45323</v>
      </c>
      <c r="C435">
        <v>3594</v>
      </c>
    </row>
    <row r="436" spans="1:3" ht="15" hidden="1" customHeight="1" x14ac:dyDescent="0.3">
      <c r="A436" t="s">
        <v>85</v>
      </c>
      <c r="B436" s="2">
        <v>45352</v>
      </c>
      <c r="C436">
        <v>3674</v>
      </c>
    </row>
    <row r="437" spans="1:3" ht="15" hidden="1" customHeight="1" x14ac:dyDescent="0.3">
      <c r="A437" t="s">
        <v>85</v>
      </c>
      <c r="B437" s="2">
        <v>45383</v>
      </c>
      <c r="C437">
        <v>3533</v>
      </c>
    </row>
    <row r="438" spans="1:3" ht="15" hidden="1" customHeight="1" x14ac:dyDescent="0.3">
      <c r="A438" t="s">
        <v>85</v>
      </c>
      <c r="B438" s="2">
        <v>45413</v>
      </c>
      <c r="C438">
        <v>3191</v>
      </c>
    </row>
    <row r="439" spans="1:3" ht="15" hidden="1" customHeight="1" x14ac:dyDescent="0.3">
      <c r="A439" t="s">
        <v>85</v>
      </c>
      <c r="B439" s="2">
        <v>45444</v>
      </c>
      <c r="C439">
        <v>2884</v>
      </c>
    </row>
    <row r="440" spans="1:3" ht="15" hidden="1" customHeight="1" x14ac:dyDescent="0.3">
      <c r="A440" t="s">
        <v>85</v>
      </c>
      <c r="B440" s="2">
        <v>45474</v>
      </c>
      <c r="C440">
        <v>3894</v>
      </c>
    </row>
    <row r="441" spans="1:3" ht="15" hidden="1" customHeight="1" x14ac:dyDescent="0.3">
      <c r="A441" t="s">
        <v>85</v>
      </c>
      <c r="B441" s="2">
        <v>45505</v>
      </c>
      <c r="C441">
        <v>4058</v>
      </c>
    </row>
    <row r="442" spans="1:3" ht="15" hidden="1" customHeight="1" x14ac:dyDescent="0.3">
      <c r="A442" t="s">
        <v>85</v>
      </c>
      <c r="B442" s="2">
        <v>45536</v>
      </c>
      <c r="C442">
        <v>3726</v>
      </c>
    </row>
    <row r="443" spans="1:3" ht="15" hidden="1" customHeight="1" x14ac:dyDescent="0.3">
      <c r="A443" t="s">
        <v>85</v>
      </c>
      <c r="B443" s="2">
        <v>45566</v>
      </c>
      <c r="C443">
        <v>4063</v>
      </c>
    </row>
    <row r="444" spans="1:3" ht="15" hidden="1" customHeight="1" x14ac:dyDescent="0.3">
      <c r="A444" t="s">
        <v>85</v>
      </c>
      <c r="B444" s="2">
        <v>45597</v>
      </c>
      <c r="C444">
        <v>3998</v>
      </c>
    </row>
    <row r="445" spans="1:3" ht="15" hidden="1" customHeight="1" x14ac:dyDescent="0.3">
      <c r="A445" t="s">
        <v>85</v>
      </c>
      <c r="B445" s="2">
        <v>45627</v>
      </c>
      <c r="C445">
        <v>3593</v>
      </c>
    </row>
    <row r="446" spans="1:3" ht="15" hidden="1" customHeight="1" x14ac:dyDescent="0.3">
      <c r="A446" t="s">
        <v>85</v>
      </c>
      <c r="B446" s="2">
        <v>45658</v>
      </c>
      <c r="C446">
        <v>3726</v>
      </c>
    </row>
    <row r="447" spans="1:3" ht="15" hidden="1" customHeight="1" x14ac:dyDescent="0.3">
      <c r="A447" t="s">
        <v>85</v>
      </c>
      <c r="B447" s="2">
        <v>45689</v>
      </c>
      <c r="C447">
        <v>3060</v>
      </c>
    </row>
    <row r="448" spans="1:3" ht="15" hidden="1" customHeight="1" x14ac:dyDescent="0.3">
      <c r="A448" t="s">
        <v>85</v>
      </c>
      <c r="B448" s="2">
        <v>45717</v>
      </c>
      <c r="C448">
        <v>3350</v>
      </c>
    </row>
    <row r="449" spans="1:3" ht="15" hidden="1" customHeight="1" x14ac:dyDescent="0.3">
      <c r="A449" t="s">
        <v>85</v>
      </c>
      <c r="B449" s="2">
        <v>45748</v>
      </c>
      <c r="C449">
        <v>2383</v>
      </c>
    </row>
    <row r="450" spans="1:3" ht="15" hidden="1" customHeight="1" x14ac:dyDescent="0.3">
      <c r="A450" t="s">
        <v>85</v>
      </c>
      <c r="B450" s="2">
        <v>45778</v>
      </c>
      <c r="C450">
        <v>3026</v>
      </c>
    </row>
    <row r="451" spans="1:3" ht="15" hidden="1" customHeight="1" x14ac:dyDescent="0.3">
      <c r="A451" t="s">
        <v>85</v>
      </c>
      <c r="B451" s="2">
        <v>45809</v>
      </c>
      <c r="C451">
        <v>2637.9</v>
      </c>
    </row>
    <row r="452" spans="1:3" ht="15" hidden="1" customHeight="1" x14ac:dyDescent="0.3">
      <c r="A452" t="s">
        <v>85</v>
      </c>
      <c r="B452" s="2">
        <v>45839</v>
      </c>
      <c r="C452">
        <v>2506</v>
      </c>
    </row>
    <row r="453" spans="1:3" ht="15" hidden="1" customHeight="1" x14ac:dyDescent="0.3">
      <c r="A453" t="s">
        <v>85</v>
      </c>
      <c r="B453" s="2">
        <v>45870</v>
      </c>
      <c r="C453">
        <v>2144</v>
      </c>
    </row>
    <row r="454" spans="1:3" ht="15" hidden="1" customHeight="1" x14ac:dyDescent="0.3">
      <c r="A454" t="s">
        <v>85</v>
      </c>
      <c r="B454" s="2">
        <v>45901</v>
      </c>
      <c r="C454">
        <v>2520</v>
      </c>
    </row>
    <row r="455" spans="1:3" ht="15" hidden="1" customHeight="1" x14ac:dyDescent="0.3">
      <c r="A455" t="s">
        <v>85</v>
      </c>
      <c r="B455" s="2">
        <v>45931</v>
      </c>
      <c r="C455">
        <v>2989</v>
      </c>
    </row>
    <row r="456" spans="1:3" ht="15" hidden="1" customHeight="1" x14ac:dyDescent="0.3">
      <c r="A456" t="s">
        <v>85</v>
      </c>
      <c r="B456" s="2">
        <v>45962</v>
      </c>
      <c r="C456">
        <v>2384</v>
      </c>
    </row>
    <row r="457" spans="1:3" ht="15" hidden="1" customHeight="1" x14ac:dyDescent="0.3">
      <c r="A457" t="s">
        <v>85</v>
      </c>
      <c r="B457" s="2">
        <v>45992</v>
      </c>
      <c r="C457">
        <v>2166</v>
      </c>
    </row>
    <row r="458" spans="1:3" ht="15" hidden="1" customHeight="1" x14ac:dyDescent="0.3">
      <c r="A458" t="s">
        <v>85</v>
      </c>
      <c r="B458" s="2">
        <v>46023</v>
      </c>
      <c r="C458">
        <v>2756</v>
      </c>
    </row>
    <row r="459" spans="1:3" ht="15" hidden="1" customHeight="1" x14ac:dyDescent="0.3">
      <c r="A459" t="s">
        <v>85</v>
      </c>
      <c r="B459" s="2">
        <v>46054</v>
      </c>
      <c r="C459">
        <v>1526</v>
      </c>
    </row>
    <row r="460" spans="1:3" ht="15" hidden="1" customHeight="1" x14ac:dyDescent="0.3">
      <c r="A460" t="s">
        <v>85</v>
      </c>
      <c r="B460" s="2">
        <v>46082</v>
      </c>
      <c r="C460">
        <v>1909</v>
      </c>
    </row>
    <row r="461" spans="1:3" ht="15" hidden="1" customHeight="1" x14ac:dyDescent="0.3">
      <c r="A461" t="s">
        <v>85</v>
      </c>
      <c r="B461" s="2">
        <v>46113</v>
      </c>
      <c r="C461">
        <v>2190.9</v>
      </c>
    </row>
    <row r="462" spans="1:3" ht="15" hidden="1" customHeight="1" x14ac:dyDescent="0.3">
      <c r="A462" t="s">
        <v>85</v>
      </c>
      <c r="B462" s="2">
        <v>46143</v>
      </c>
      <c r="C462" s="12">
        <v>2313.3000000000002</v>
      </c>
    </row>
    <row r="463" spans="1:3" ht="15" hidden="1" customHeight="1" x14ac:dyDescent="0.3">
      <c r="A463" t="s">
        <v>85</v>
      </c>
      <c r="B463" s="2">
        <v>46174</v>
      </c>
      <c r="C463">
        <v>1184</v>
      </c>
    </row>
    <row r="464" spans="1:3" ht="15" customHeight="1" x14ac:dyDescent="0.3">
      <c r="A464" t="s">
        <v>80</v>
      </c>
      <c r="B464" s="2">
        <v>46204</v>
      </c>
      <c r="C464">
        <v>14345</v>
      </c>
    </row>
    <row r="465" spans="1:3" ht="15" hidden="1" customHeight="1" x14ac:dyDescent="0.3">
      <c r="A465" t="s">
        <v>85</v>
      </c>
      <c r="B465" s="2">
        <v>46235</v>
      </c>
    </row>
    <row r="466" spans="1:3" ht="15" hidden="1" customHeight="1" x14ac:dyDescent="0.3">
      <c r="A466" t="s">
        <v>85</v>
      </c>
      <c r="B466" s="2">
        <v>46266</v>
      </c>
    </row>
    <row r="467" spans="1:3" ht="15" hidden="1" customHeight="1" x14ac:dyDescent="0.3">
      <c r="A467" t="s">
        <v>85</v>
      </c>
      <c r="B467" s="2">
        <v>46296</v>
      </c>
    </row>
    <row r="468" spans="1:3" ht="15" hidden="1" customHeight="1" x14ac:dyDescent="0.3">
      <c r="A468" t="s">
        <v>85</v>
      </c>
      <c r="B468" s="2">
        <v>46327</v>
      </c>
    </row>
    <row r="469" spans="1:3" ht="15" hidden="1" customHeight="1" x14ac:dyDescent="0.3">
      <c r="A469" t="s">
        <v>85</v>
      </c>
      <c r="B469" s="2">
        <v>46357</v>
      </c>
    </row>
    <row r="470" spans="1:3" ht="15" hidden="1" customHeight="1" x14ac:dyDescent="0.3">
      <c r="A470" t="s">
        <v>90</v>
      </c>
      <c r="B470" s="2">
        <v>45292</v>
      </c>
      <c r="C470">
        <v>5665</v>
      </c>
    </row>
    <row r="471" spans="1:3" ht="15" hidden="1" customHeight="1" x14ac:dyDescent="0.3">
      <c r="A471" t="s">
        <v>90</v>
      </c>
      <c r="B471" s="2">
        <v>45323</v>
      </c>
      <c r="C471">
        <v>3554</v>
      </c>
    </row>
    <row r="472" spans="1:3" ht="15" hidden="1" customHeight="1" x14ac:dyDescent="0.3">
      <c r="A472" t="s">
        <v>90</v>
      </c>
      <c r="B472" s="2">
        <v>45352</v>
      </c>
      <c r="C472">
        <v>1</v>
      </c>
    </row>
    <row r="473" spans="1:3" ht="15" hidden="1" customHeight="1" x14ac:dyDescent="0.3">
      <c r="A473" t="s">
        <v>90</v>
      </c>
      <c r="B473" s="2">
        <v>45383</v>
      </c>
      <c r="C473">
        <v>1</v>
      </c>
    </row>
    <row r="474" spans="1:3" ht="15" hidden="1" customHeight="1" x14ac:dyDescent="0.3">
      <c r="A474" t="s">
        <v>90</v>
      </c>
      <c r="B474" s="2">
        <v>45413</v>
      </c>
      <c r="C474">
        <v>1</v>
      </c>
    </row>
    <row r="475" spans="1:3" ht="15" hidden="1" customHeight="1" x14ac:dyDescent="0.3">
      <c r="A475" t="s">
        <v>90</v>
      </c>
      <c r="B475" s="2">
        <v>45444</v>
      </c>
      <c r="C475">
        <v>3309</v>
      </c>
    </row>
    <row r="476" spans="1:3" ht="15" hidden="1" customHeight="1" x14ac:dyDescent="0.3">
      <c r="A476" t="s">
        <v>90</v>
      </c>
      <c r="B476" s="2">
        <v>45474</v>
      </c>
      <c r="C476">
        <v>2293</v>
      </c>
    </row>
    <row r="477" spans="1:3" ht="15" hidden="1" customHeight="1" x14ac:dyDescent="0.3">
      <c r="A477" t="s">
        <v>90</v>
      </c>
      <c r="B477" s="2">
        <v>45505</v>
      </c>
      <c r="C477">
        <v>1967</v>
      </c>
    </row>
    <row r="478" spans="1:3" ht="15" hidden="1" customHeight="1" x14ac:dyDescent="0.3">
      <c r="A478" t="s">
        <v>90</v>
      </c>
      <c r="B478" s="2">
        <v>45536</v>
      </c>
      <c r="C478">
        <v>3009</v>
      </c>
    </row>
    <row r="479" spans="1:3" ht="15" hidden="1" customHeight="1" x14ac:dyDescent="0.3">
      <c r="A479" t="s">
        <v>90</v>
      </c>
      <c r="B479" s="2">
        <v>45566</v>
      </c>
      <c r="C479">
        <v>4500</v>
      </c>
    </row>
    <row r="480" spans="1:3" ht="15" hidden="1" customHeight="1" x14ac:dyDescent="0.3">
      <c r="A480" t="s">
        <v>90</v>
      </c>
      <c r="B480" s="2">
        <v>45597</v>
      </c>
      <c r="C480">
        <v>3918</v>
      </c>
    </row>
    <row r="481" spans="1:3" ht="15" hidden="1" customHeight="1" x14ac:dyDescent="0.3">
      <c r="A481" t="s">
        <v>90</v>
      </c>
      <c r="B481" s="2">
        <v>45627</v>
      </c>
      <c r="C481">
        <v>2583</v>
      </c>
    </row>
    <row r="482" spans="1:3" ht="15" hidden="1" customHeight="1" x14ac:dyDescent="0.3">
      <c r="A482" t="s">
        <v>90</v>
      </c>
      <c r="B482" s="2">
        <v>45658</v>
      </c>
      <c r="C482">
        <v>3426</v>
      </c>
    </row>
    <row r="483" spans="1:3" ht="15" hidden="1" customHeight="1" x14ac:dyDescent="0.3">
      <c r="A483" t="s">
        <v>90</v>
      </c>
      <c r="B483" s="2">
        <v>45689</v>
      </c>
      <c r="C483">
        <v>3380.46</v>
      </c>
    </row>
    <row r="484" spans="1:3" ht="15" hidden="1" customHeight="1" x14ac:dyDescent="0.3">
      <c r="A484" t="s">
        <v>90</v>
      </c>
      <c r="B484" s="2">
        <v>45717</v>
      </c>
      <c r="C484">
        <v>3717</v>
      </c>
    </row>
    <row r="485" spans="1:3" ht="15" hidden="1" customHeight="1" x14ac:dyDescent="0.3">
      <c r="A485" t="s">
        <v>90</v>
      </c>
      <c r="B485" s="2">
        <v>45748</v>
      </c>
      <c r="C485">
        <v>2027</v>
      </c>
    </row>
    <row r="486" spans="1:3" ht="15" hidden="1" customHeight="1" x14ac:dyDescent="0.3">
      <c r="A486" t="s">
        <v>90</v>
      </c>
      <c r="B486" s="2">
        <v>45778</v>
      </c>
      <c r="C486">
        <v>3199</v>
      </c>
    </row>
    <row r="487" spans="1:3" ht="15" hidden="1" customHeight="1" x14ac:dyDescent="0.3">
      <c r="A487" t="s">
        <v>90</v>
      </c>
      <c r="B487" s="2">
        <v>45809</v>
      </c>
      <c r="C487">
        <v>2899.41</v>
      </c>
    </row>
    <row r="488" spans="1:3" ht="15" hidden="1" customHeight="1" x14ac:dyDescent="0.3">
      <c r="A488" t="s">
        <v>90</v>
      </c>
      <c r="B488" s="2">
        <v>45839</v>
      </c>
      <c r="C488">
        <v>3705</v>
      </c>
    </row>
    <row r="489" spans="1:3" ht="15" hidden="1" customHeight="1" x14ac:dyDescent="0.3">
      <c r="A489" t="s">
        <v>90</v>
      </c>
      <c r="B489" s="2">
        <v>45870</v>
      </c>
      <c r="C489">
        <v>4242</v>
      </c>
    </row>
    <row r="490" spans="1:3" ht="15" hidden="1" customHeight="1" x14ac:dyDescent="0.3">
      <c r="A490" t="s">
        <v>90</v>
      </c>
      <c r="B490" s="2">
        <v>45901</v>
      </c>
      <c r="C490">
        <v>3928</v>
      </c>
    </row>
    <row r="491" spans="1:3" ht="15" hidden="1" customHeight="1" x14ac:dyDescent="0.3">
      <c r="A491" t="s">
        <v>90</v>
      </c>
      <c r="B491" s="2">
        <v>45931</v>
      </c>
      <c r="C491">
        <v>4810</v>
      </c>
    </row>
    <row r="492" spans="1:3" ht="15" hidden="1" customHeight="1" x14ac:dyDescent="0.3">
      <c r="A492" t="s">
        <v>90</v>
      </c>
      <c r="B492" s="2">
        <v>45962</v>
      </c>
      <c r="C492">
        <v>5556</v>
      </c>
    </row>
    <row r="493" spans="1:3" ht="15" hidden="1" customHeight="1" x14ac:dyDescent="0.3">
      <c r="A493" t="s">
        <v>90</v>
      </c>
      <c r="B493" s="2">
        <v>45992</v>
      </c>
      <c r="C493">
        <v>5696</v>
      </c>
    </row>
    <row r="494" spans="1:3" ht="15" hidden="1" customHeight="1" x14ac:dyDescent="0.3">
      <c r="A494" t="s">
        <v>90</v>
      </c>
      <c r="B494" s="2">
        <v>46023</v>
      </c>
      <c r="C494">
        <v>5960</v>
      </c>
    </row>
    <row r="495" spans="1:3" ht="15" hidden="1" customHeight="1" x14ac:dyDescent="0.3">
      <c r="A495" t="s">
        <v>90</v>
      </c>
      <c r="B495" s="2">
        <v>46054</v>
      </c>
      <c r="C495">
        <v>5548</v>
      </c>
    </row>
    <row r="496" spans="1:3" ht="15" hidden="1" customHeight="1" x14ac:dyDescent="0.3">
      <c r="A496" t="s">
        <v>90</v>
      </c>
      <c r="B496" s="2">
        <v>46082</v>
      </c>
      <c r="C496">
        <v>5036</v>
      </c>
    </row>
    <row r="497" spans="1:3" ht="15" hidden="1" customHeight="1" x14ac:dyDescent="0.3">
      <c r="A497" t="s">
        <v>90</v>
      </c>
      <c r="B497" s="2">
        <v>46113</v>
      </c>
      <c r="C497">
        <v>4183.2700000000004</v>
      </c>
    </row>
    <row r="498" spans="1:3" ht="15" hidden="1" customHeight="1" x14ac:dyDescent="0.3">
      <c r="A498" t="s">
        <v>90</v>
      </c>
      <c r="B498" s="2">
        <v>46143</v>
      </c>
      <c r="C498" s="12">
        <v>4320</v>
      </c>
    </row>
    <row r="499" spans="1:3" ht="15" hidden="1" customHeight="1" x14ac:dyDescent="0.3">
      <c r="A499" t="s">
        <v>90</v>
      </c>
      <c r="B499" s="2">
        <v>46174</v>
      </c>
      <c r="C499">
        <v>3510</v>
      </c>
    </row>
    <row r="500" spans="1:3" ht="15" customHeight="1" x14ac:dyDescent="0.3">
      <c r="A500" t="s">
        <v>81</v>
      </c>
      <c r="B500" s="2">
        <v>46204</v>
      </c>
      <c r="C500">
        <v>5573.8</v>
      </c>
    </row>
    <row r="501" spans="1:3" ht="15" hidden="1" customHeight="1" x14ac:dyDescent="0.3">
      <c r="A501" t="s">
        <v>90</v>
      </c>
      <c r="B501" s="2">
        <v>46235</v>
      </c>
    </row>
    <row r="502" spans="1:3" ht="15" hidden="1" customHeight="1" x14ac:dyDescent="0.3">
      <c r="A502" t="s">
        <v>90</v>
      </c>
      <c r="B502" s="2">
        <v>46266</v>
      </c>
    </row>
    <row r="503" spans="1:3" ht="15" hidden="1" customHeight="1" x14ac:dyDescent="0.3">
      <c r="A503" t="s">
        <v>90</v>
      </c>
      <c r="B503" s="2">
        <v>46296</v>
      </c>
    </row>
    <row r="504" spans="1:3" ht="15" hidden="1" customHeight="1" x14ac:dyDescent="0.3">
      <c r="A504" t="s">
        <v>90</v>
      </c>
      <c r="B504" s="2">
        <v>46327</v>
      </c>
    </row>
    <row r="505" spans="1:3" ht="15" hidden="1" customHeight="1" x14ac:dyDescent="0.3">
      <c r="A505" t="s">
        <v>90</v>
      </c>
      <c r="B505" s="2">
        <v>46357</v>
      </c>
    </row>
    <row r="506" spans="1:3" ht="15" hidden="1" customHeight="1" x14ac:dyDescent="0.3">
      <c r="A506" t="s">
        <v>93</v>
      </c>
      <c r="B506" s="2">
        <v>45292</v>
      </c>
    </row>
    <row r="507" spans="1:3" ht="15" hidden="1" customHeight="1" x14ac:dyDescent="0.3">
      <c r="A507" t="s">
        <v>93</v>
      </c>
      <c r="B507" s="2">
        <v>45323</v>
      </c>
    </row>
    <row r="508" spans="1:3" ht="15" hidden="1" customHeight="1" x14ac:dyDescent="0.3">
      <c r="A508" t="s">
        <v>93</v>
      </c>
      <c r="B508" s="2">
        <v>45352</v>
      </c>
    </row>
    <row r="509" spans="1:3" ht="15" hidden="1" customHeight="1" x14ac:dyDescent="0.3">
      <c r="A509" t="s">
        <v>93</v>
      </c>
      <c r="B509" s="2">
        <v>45383</v>
      </c>
    </row>
    <row r="510" spans="1:3" ht="15" hidden="1" customHeight="1" x14ac:dyDescent="0.3">
      <c r="A510" t="s">
        <v>93</v>
      </c>
      <c r="B510" s="2">
        <v>45413</v>
      </c>
    </row>
    <row r="511" spans="1:3" ht="15" hidden="1" customHeight="1" x14ac:dyDescent="0.3">
      <c r="A511" t="s">
        <v>93</v>
      </c>
      <c r="B511" s="2">
        <v>45444</v>
      </c>
    </row>
    <row r="512" spans="1:3" ht="15" hidden="1" customHeight="1" x14ac:dyDescent="0.3">
      <c r="A512" t="s">
        <v>93</v>
      </c>
      <c r="B512" s="2">
        <v>45474</v>
      </c>
    </row>
    <row r="513" spans="1:3" ht="15" hidden="1" customHeight="1" x14ac:dyDescent="0.3">
      <c r="A513" t="s">
        <v>93</v>
      </c>
      <c r="B513" s="2">
        <v>45505</v>
      </c>
    </row>
    <row r="514" spans="1:3" ht="15" hidden="1" customHeight="1" x14ac:dyDescent="0.3">
      <c r="A514" t="s">
        <v>93</v>
      </c>
      <c r="B514" s="2">
        <v>45536</v>
      </c>
    </row>
    <row r="515" spans="1:3" ht="15" hidden="1" customHeight="1" x14ac:dyDescent="0.3">
      <c r="A515" t="s">
        <v>93</v>
      </c>
      <c r="B515" s="2">
        <v>45566</v>
      </c>
    </row>
    <row r="516" spans="1:3" ht="15" hidden="1" customHeight="1" x14ac:dyDescent="0.3">
      <c r="A516" t="s">
        <v>93</v>
      </c>
      <c r="B516" s="2">
        <v>45597</v>
      </c>
    </row>
    <row r="517" spans="1:3" ht="15" hidden="1" customHeight="1" x14ac:dyDescent="0.3">
      <c r="A517" t="s">
        <v>93</v>
      </c>
      <c r="B517" s="2">
        <v>45627</v>
      </c>
    </row>
    <row r="518" spans="1:3" ht="15" hidden="1" customHeight="1" x14ac:dyDescent="0.3">
      <c r="A518" t="s">
        <v>93</v>
      </c>
      <c r="B518" s="2">
        <v>45658</v>
      </c>
    </row>
    <row r="519" spans="1:3" ht="15" hidden="1" customHeight="1" x14ac:dyDescent="0.3">
      <c r="A519" t="s">
        <v>93</v>
      </c>
      <c r="B519" s="2">
        <v>45689</v>
      </c>
    </row>
    <row r="520" spans="1:3" ht="15" hidden="1" customHeight="1" x14ac:dyDescent="0.3">
      <c r="A520" t="s">
        <v>93</v>
      </c>
      <c r="B520" s="2">
        <v>45717</v>
      </c>
    </row>
    <row r="521" spans="1:3" ht="15" hidden="1" customHeight="1" x14ac:dyDescent="0.3">
      <c r="A521" t="s">
        <v>93</v>
      </c>
      <c r="B521" s="2">
        <v>45748</v>
      </c>
    </row>
    <row r="522" spans="1:3" ht="15" hidden="1" customHeight="1" x14ac:dyDescent="0.3">
      <c r="A522" t="s">
        <v>93</v>
      </c>
      <c r="B522" s="2">
        <v>45778</v>
      </c>
    </row>
    <row r="523" spans="1:3" ht="15" hidden="1" customHeight="1" x14ac:dyDescent="0.3">
      <c r="A523" t="s">
        <v>93</v>
      </c>
      <c r="B523" s="2">
        <v>45809</v>
      </c>
    </row>
    <row r="524" spans="1:3" ht="15" hidden="1" customHeight="1" x14ac:dyDescent="0.3">
      <c r="A524" t="s">
        <v>93</v>
      </c>
      <c r="B524" s="2">
        <v>45839</v>
      </c>
    </row>
    <row r="525" spans="1:3" ht="15" hidden="1" customHeight="1" x14ac:dyDescent="0.3">
      <c r="A525" t="s">
        <v>93</v>
      </c>
      <c r="B525" s="2">
        <v>45870</v>
      </c>
    </row>
    <row r="526" spans="1:3" ht="15" hidden="1" customHeight="1" x14ac:dyDescent="0.3">
      <c r="A526" t="s">
        <v>93</v>
      </c>
      <c r="B526" s="2">
        <v>45901</v>
      </c>
      <c r="C526">
        <v>8715</v>
      </c>
    </row>
    <row r="527" spans="1:3" ht="15" hidden="1" customHeight="1" x14ac:dyDescent="0.3">
      <c r="A527" t="s">
        <v>93</v>
      </c>
      <c r="B527" s="2">
        <v>45931</v>
      </c>
      <c r="C527">
        <v>11487.6</v>
      </c>
    </row>
    <row r="528" spans="1:3" ht="15" hidden="1" customHeight="1" x14ac:dyDescent="0.3">
      <c r="A528" t="s">
        <v>93</v>
      </c>
      <c r="B528" s="2">
        <v>45962</v>
      </c>
      <c r="C528">
        <v>11643</v>
      </c>
    </row>
    <row r="529" spans="1:3" ht="15" hidden="1" customHeight="1" x14ac:dyDescent="0.3">
      <c r="A529" t="s">
        <v>93</v>
      </c>
      <c r="B529" s="2">
        <v>45992</v>
      </c>
      <c r="C529">
        <v>11559</v>
      </c>
    </row>
    <row r="530" spans="1:3" ht="15" hidden="1" customHeight="1" x14ac:dyDescent="0.3">
      <c r="A530" t="s">
        <v>93</v>
      </c>
      <c r="B530" s="2">
        <v>46023</v>
      </c>
      <c r="C530">
        <v>12880</v>
      </c>
    </row>
    <row r="531" spans="1:3" ht="15" hidden="1" customHeight="1" x14ac:dyDescent="0.3">
      <c r="A531" t="s">
        <v>93</v>
      </c>
      <c r="B531" s="2">
        <v>46054</v>
      </c>
      <c r="C531">
        <v>9660</v>
      </c>
    </row>
    <row r="532" spans="1:3" ht="15" hidden="1" customHeight="1" x14ac:dyDescent="0.3">
      <c r="A532" t="s">
        <v>93</v>
      </c>
      <c r="B532" s="2">
        <v>46082</v>
      </c>
      <c r="C532">
        <v>9967</v>
      </c>
    </row>
    <row r="533" spans="1:3" ht="15" hidden="1" customHeight="1" x14ac:dyDescent="0.3">
      <c r="A533" t="s">
        <v>93</v>
      </c>
      <c r="B533" s="2">
        <v>46113</v>
      </c>
      <c r="C533">
        <v>4183</v>
      </c>
    </row>
    <row r="534" spans="1:3" ht="15" hidden="1" customHeight="1" x14ac:dyDescent="0.3">
      <c r="A534" t="s">
        <v>93</v>
      </c>
      <c r="B534" s="2">
        <v>46143</v>
      </c>
      <c r="C534" s="12"/>
    </row>
    <row r="535" spans="1:3" ht="15" hidden="1" customHeight="1" x14ac:dyDescent="0.3">
      <c r="A535" t="s">
        <v>93</v>
      </c>
      <c r="B535" s="2">
        <v>46174</v>
      </c>
    </row>
    <row r="536" spans="1:3" ht="15" customHeight="1" x14ac:dyDescent="0.3">
      <c r="A536" t="s">
        <v>85</v>
      </c>
      <c r="B536" s="2">
        <v>46204</v>
      </c>
      <c r="C536">
        <v>3646</v>
      </c>
    </row>
    <row r="537" spans="1:3" ht="15" hidden="1" customHeight="1" x14ac:dyDescent="0.3">
      <c r="A537" t="s">
        <v>93</v>
      </c>
      <c r="B537" s="2">
        <v>46235</v>
      </c>
    </row>
    <row r="538" spans="1:3" ht="15" hidden="1" customHeight="1" x14ac:dyDescent="0.3">
      <c r="A538" t="s">
        <v>93</v>
      </c>
      <c r="B538" s="2">
        <v>46266</v>
      </c>
    </row>
    <row r="539" spans="1:3" ht="15" hidden="1" customHeight="1" x14ac:dyDescent="0.3">
      <c r="A539" t="s">
        <v>93</v>
      </c>
      <c r="B539" s="2">
        <v>46296</v>
      </c>
    </row>
    <row r="540" spans="1:3" ht="15" hidden="1" customHeight="1" x14ac:dyDescent="0.3">
      <c r="A540" t="s">
        <v>93</v>
      </c>
      <c r="B540" s="2">
        <v>46327</v>
      </c>
    </row>
    <row r="541" spans="1:3" ht="15" hidden="1" customHeight="1" x14ac:dyDescent="0.3">
      <c r="A541" t="s">
        <v>93</v>
      </c>
      <c r="B541" s="2">
        <v>46357</v>
      </c>
    </row>
    <row r="542" spans="1:3" ht="15" hidden="1" customHeight="1" x14ac:dyDescent="0.3">
      <c r="A542" t="s">
        <v>95</v>
      </c>
      <c r="B542" s="2">
        <v>45292</v>
      </c>
    </row>
    <row r="543" spans="1:3" ht="15" hidden="1" customHeight="1" x14ac:dyDescent="0.3">
      <c r="A543" t="s">
        <v>95</v>
      </c>
      <c r="B543" s="2">
        <v>45323</v>
      </c>
    </row>
    <row r="544" spans="1:3" ht="15" hidden="1" customHeight="1" x14ac:dyDescent="0.3">
      <c r="A544" t="s">
        <v>95</v>
      </c>
      <c r="B544" s="2">
        <v>45352</v>
      </c>
    </row>
    <row r="545" spans="1:3" ht="15" hidden="1" customHeight="1" x14ac:dyDescent="0.3">
      <c r="A545" t="s">
        <v>95</v>
      </c>
      <c r="B545" s="2">
        <v>45383</v>
      </c>
    </row>
    <row r="546" spans="1:3" ht="15" hidden="1" customHeight="1" x14ac:dyDescent="0.3">
      <c r="A546" t="s">
        <v>95</v>
      </c>
      <c r="B546" s="2">
        <v>45413</v>
      </c>
    </row>
    <row r="547" spans="1:3" ht="15" hidden="1" customHeight="1" x14ac:dyDescent="0.3">
      <c r="A547" t="s">
        <v>95</v>
      </c>
      <c r="B547" s="2">
        <v>45444</v>
      </c>
    </row>
    <row r="548" spans="1:3" ht="15" hidden="1" customHeight="1" x14ac:dyDescent="0.3">
      <c r="A548" t="s">
        <v>95</v>
      </c>
      <c r="B548" s="2">
        <v>45474</v>
      </c>
    </row>
    <row r="549" spans="1:3" ht="15" hidden="1" customHeight="1" x14ac:dyDescent="0.3">
      <c r="A549" t="s">
        <v>95</v>
      </c>
      <c r="B549" s="2">
        <v>45505</v>
      </c>
    </row>
    <row r="550" spans="1:3" ht="15" hidden="1" customHeight="1" x14ac:dyDescent="0.3">
      <c r="A550" t="s">
        <v>95</v>
      </c>
      <c r="B550" s="2">
        <v>45536</v>
      </c>
    </row>
    <row r="551" spans="1:3" ht="15" hidden="1" customHeight="1" x14ac:dyDescent="0.3">
      <c r="A551" t="s">
        <v>95</v>
      </c>
      <c r="B551" s="2">
        <v>45566</v>
      </c>
    </row>
    <row r="552" spans="1:3" ht="15" hidden="1" customHeight="1" x14ac:dyDescent="0.3">
      <c r="A552" t="s">
        <v>95</v>
      </c>
      <c r="B552" s="2">
        <v>45597</v>
      </c>
    </row>
    <row r="553" spans="1:3" ht="15" hidden="1" customHeight="1" x14ac:dyDescent="0.3">
      <c r="A553" t="s">
        <v>95</v>
      </c>
      <c r="B553" s="2">
        <v>45627</v>
      </c>
    </row>
    <row r="554" spans="1:3" ht="15" hidden="1" customHeight="1" x14ac:dyDescent="0.3">
      <c r="A554" t="s">
        <v>95</v>
      </c>
      <c r="B554" s="2">
        <v>45658</v>
      </c>
      <c r="C554">
        <v>17200</v>
      </c>
    </row>
    <row r="555" spans="1:3" ht="15" hidden="1" customHeight="1" x14ac:dyDescent="0.3">
      <c r="A555" t="s">
        <v>95</v>
      </c>
      <c r="B555" s="2">
        <v>45689</v>
      </c>
      <c r="C555">
        <v>15760</v>
      </c>
    </row>
    <row r="556" spans="1:3" ht="15" hidden="1" customHeight="1" x14ac:dyDescent="0.3">
      <c r="A556" t="s">
        <v>95</v>
      </c>
      <c r="B556" s="2">
        <v>45717</v>
      </c>
      <c r="C556">
        <v>15700</v>
      </c>
    </row>
    <row r="557" spans="1:3" ht="15" hidden="1" customHeight="1" x14ac:dyDescent="0.3">
      <c r="A557" t="s">
        <v>95</v>
      </c>
      <c r="B557" s="2">
        <v>45748</v>
      </c>
      <c r="C557">
        <v>10223</v>
      </c>
    </row>
    <row r="558" spans="1:3" ht="15" hidden="1" customHeight="1" x14ac:dyDescent="0.3">
      <c r="A558" t="s">
        <v>95</v>
      </c>
      <c r="B558" s="2">
        <v>45778</v>
      </c>
      <c r="C558">
        <v>14225</v>
      </c>
    </row>
    <row r="559" spans="1:3" ht="15" hidden="1" customHeight="1" x14ac:dyDescent="0.3">
      <c r="A559" t="s">
        <v>95</v>
      </c>
      <c r="B559" s="2">
        <v>45809</v>
      </c>
      <c r="C559">
        <v>14376.5</v>
      </c>
    </row>
    <row r="560" spans="1:3" ht="15" hidden="1" customHeight="1" x14ac:dyDescent="0.3">
      <c r="A560" t="s">
        <v>95</v>
      </c>
      <c r="B560" s="2">
        <v>45839</v>
      </c>
      <c r="C560">
        <v>15177.99</v>
      </c>
    </row>
    <row r="561" spans="1:3" ht="15" hidden="1" customHeight="1" x14ac:dyDescent="0.3">
      <c r="A561" t="s">
        <v>95</v>
      </c>
      <c r="B561" s="2">
        <v>45870</v>
      </c>
      <c r="C561">
        <v>16924</v>
      </c>
    </row>
    <row r="562" spans="1:3" ht="15" hidden="1" customHeight="1" x14ac:dyDescent="0.3">
      <c r="A562" t="s">
        <v>95</v>
      </c>
      <c r="B562" s="2">
        <v>45901</v>
      </c>
      <c r="C562">
        <v>16705</v>
      </c>
    </row>
    <row r="563" spans="1:3" ht="15" hidden="1" customHeight="1" x14ac:dyDescent="0.3">
      <c r="A563" t="s">
        <v>95</v>
      </c>
      <c r="B563" s="2">
        <v>45931</v>
      </c>
      <c r="C563">
        <v>21308.400000000001</v>
      </c>
    </row>
    <row r="564" spans="1:3" ht="15" hidden="1" customHeight="1" x14ac:dyDescent="0.3">
      <c r="A564" t="s">
        <v>95</v>
      </c>
      <c r="B564" s="2">
        <v>45962</v>
      </c>
      <c r="C564">
        <v>12744</v>
      </c>
    </row>
    <row r="565" spans="1:3" ht="15" hidden="1" customHeight="1" x14ac:dyDescent="0.3">
      <c r="A565" t="s">
        <v>95</v>
      </c>
      <c r="B565" s="2">
        <v>45992</v>
      </c>
      <c r="C565">
        <v>7631</v>
      </c>
    </row>
    <row r="566" spans="1:3" ht="15" hidden="1" customHeight="1" x14ac:dyDescent="0.3">
      <c r="A566" t="s">
        <v>95</v>
      </c>
      <c r="B566" s="2">
        <v>46023</v>
      </c>
      <c r="C566">
        <v>7744.97</v>
      </c>
    </row>
    <row r="567" spans="1:3" ht="15" hidden="1" customHeight="1" x14ac:dyDescent="0.3">
      <c r="A567" t="s">
        <v>95</v>
      </c>
      <c r="B567" s="2">
        <v>46054</v>
      </c>
      <c r="C567">
        <v>13221</v>
      </c>
    </row>
    <row r="568" spans="1:3" ht="15" hidden="1" customHeight="1" x14ac:dyDescent="0.3">
      <c r="A568" t="s">
        <v>95</v>
      </c>
      <c r="B568" s="2">
        <v>46082</v>
      </c>
      <c r="C568">
        <v>14695</v>
      </c>
    </row>
    <row r="569" spans="1:3" ht="15" hidden="1" customHeight="1" x14ac:dyDescent="0.3">
      <c r="A569" t="s">
        <v>95</v>
      </c>
      <c r="B569" s="2">
        <v>46113</v>
      </c>
      <c r="C569">
        <v>14798.11</v>
      </c>
    </row>
    <row r="570" spans="1:3" ht="15" hidden="1" customHeight="1" x14ac:dyDescent="0.3">
      <c r="A570" t="s">
        <v>95</v>
      </c>
      <c r="B570" s="2">
        <v>46143</v>
      </c>
      <c r="C570" s="12">
        <v>13154.32</v>
      </c>
    </row>
    <row r="571" spans="1:3" ht="15" hidden="1" customHeight="1" x14ac:dyDescent="0.3">
      <c r="A571" t="s">
        <v>81</v>
      </c>
      <c r="B571" s="2">
        <v>46174</v>
      </c>
      <c r="C571">
        <v>5387.22</v>
      </c>
    </row>
    <row r="572" spans="1:3" ht="15" customHeight="1" x14ac:dyDescent="0.3">
      <c r="A572" t="s">
        <v>90</v>
      </c>
      <c r="B572" s="2">
        <v>46204</v>
      </c>
      <c r="C572">
        <v>3547</v>
      </c>
    </row>
    <row r="573" spans="1:3" ht="15" hidden="1" customHeight="1" x14ac:dyDescent="0.3">
      <c r="A573" t="s">
        <v>95</v>
      </c>
      <c r="B573" s="2">
        <v>46235</v>
      </c>
    </row>
    <row r="574" spans="1:3" ht="15" hidden="1" customHeight="1" x14ac:dyDescent="0.3">
      <c r="A574" t="s">
        <v>95</v>
      </c>
      <c r="B574" s="2">
        <v>46266</v>
      </c>
    </row>
    <row r="575" spans="1:3" ht="15" hidden="1" customHeight="1" x14ac:dyDescent="0.3">
      <c r="A575" t="s">
        <v>95</v>
      </c>
      <c r="B575" s="2">
        <v>46296</v>
      </c>
    </row>
    <row r="576" spans="1:3" ht="15" hidden="1" customHeight="1" x14ac:dyDescent="0.3">
      <c r="A576" t="s">
        <v>95</v>
      </c>
      <c r="B576" s="2">
        <v>46327</v>
      </c>
    </row>
    <row r="577" spans="1:2" ht="15" hidden="1" customHeight="1" x14ac:dyDescent="0.3">
      <c r="A577" t="s">
        <v>95</v>
      </c>
      <c r="B577" s="2">
        <v>46357</v>
      </c>
    </row>
    <row r="578" spans="1:2" ht="15" hidden="1" customHeight="1" x14ac:dyDescent="0.3">
      <c r="A578" t="s">
        <v>239</v>
      </c>
      <c r="B578" s="2">
        <v>45292</v>
      </c>
    </row>
    <row r="579" spans="1:2" ht="15" hidden="1" customHeight="1" x14ac:dyDescent="0.3">
      <c r="A579" t="s">
        <v>239</v>
      </c>
      <c r="B579" s="2">
        <v>45323</v>
      </c>
    </row>
    <row r="580" spans="1:2" ht="15" hidden="1" customHeight="1" x14ac:dyDescent="0.3">
      <c r="A580" t="s">
        <v>239</v>
      </c>
      <c r="B580" s="2">
        <v>45352</v>
      </c>
    </row>
    <row r="581" spans="1:2" ht="15" hidden="1" customHeight="1" x14ac:dyDescent="0.3">
      <c r="A581" t="s">
        <v>239</v>
      </c>
      <c r="B581" s="2">
        <v>45383</v>
      </c>
    </row>
    <row r="582" spans="1:2" ht="15" hidden="1" customHeight="1" x14ac:dyDescent="0.3">
      <c r="A582" t="s">
        <v>239</v>
      </c>
      <c r="B582" s="2">
        <v>45413</v>
      </c>
    </row>
    <row r="583" spans="1:2" ht="15" hidden="1" customHeight="1" x14ac:dyDescent="0.3">
      <c r="A583" t="s">
        <v>239</v>
      </c>
      <c r="B583" s="2">
        <v>45444</v>
      </c>
    </row>
    <row r="584" spans="1:2" ht="15" hidden="1" customHeight="1" x14ac:dyDescent="0.3">
      <c r="A584" t="s">
        <v>239</v>
      </c>
      <c r="B584" s="2">
        <v>45474</v>
      </c>
    </row>
    <row r="585" spans="1:2" ht="15" hidden="1" customHeight="1" x14ac:dyDescent="0.3">
      <c r="A585" t="s">
        <v>239</v>
      </c>
      <c r="B585" s="2">
        <v>45505</v>
      </c>
    </row>
    <row r="586" spans="1:2" ht="15" hidden="1" customHeight="1" x14ac:dyDescent="0.3">
      <c r="A586" t="s">
        <v>239</v>
      </c>
      <c r="B586" s="2">
        <v>45536</v>
      </c>
    </row>
    <row r="587" spans="1:2" ht="15" hidden="1" customHeight="1" x14ac:dyDescent="0.3">
      <c r="A587" t="s">
        <v>239</v>
      </c>
      <c r="B587" s="2">
        <v>45566</v>
      </c>
    </row>
    <row r="588" spans="1:2" ht="15" hidden="1" customHeight="1" x14ac:dyDescent="0.3">
      <c r="A588" t="s">
        <v>239</v>
      </c>
      <c r="B588" s="2">
        <v>45597</v>
      </c>
    </row>
    <row r="589" spans="1:2" ht="15" hidden="1" customHeight="1" x14ac:dyDescent="0.3">
      <c r="A589" t="s">
        <v>239</v>
      </c>
      <c r="B589" s="2">
        <v>45627</v>
      </c>
    </row>
    <row r="590" spans="1:2" ht="15" hidden="1" customHeight="1" x14ac:dyDescent="0.3">
      <c r="A590" t="s">
        <v>239</v>
      </c>
      <c r="B590" s="2">
        <v>45658</v>
      </c>
    </row>
    <row r="591" spans="1:2" ht="15" hidden="1" customHeight="1" x14ac:dyDescent="0.3">
      <c r="A591" t="s">
        <v>239</v>
      </c>
      <c r="B591" s="2">
        <v>45689</v>
      </c>
    </row>
    <row r="592" spans="1:2" ht="15" hidden="1" customHeight="1" x14ac:dyDescent="0.3">
      <c r="A592" t="s">
        <v>239</v>
      </c>
      <c r="B592" s="2">
        <v>45717</v>
      </c>
    </row>
    <row r="593" spans="1:7" ht="15" hidden="1" customHeight="1" x14ac:dyDescent="0.3">
      <c r="A593" t="s">
        <v>239</v>
      </c>
      <c r="B593" s="2">
        <v>45748</v>
      </c>
    </row>
    <row r="594" spans="1:7" ht="15" hidden="1" customHeight="1" x14ac:dyDescent="0.3">
      <c r="A594" t="s">
        <v>239</v>
      </c>
      <c r="B594" s="2">
        <v>45778</v>
      </c>
    </row>
    <row r="595" spans="1:7" ht="15" hidden="1" customHeight="1" x14ac:dyDescent="0.3">
      <c r="A595" t="s">
        <v>239</v>
      </c>
      <c r="B595" s="2">
        <v>45809</v>
      </c>
    </row>
    <row r="596" spans="1:7" ht="15" hidden="1" customHeight="1" x14ac:dyDescent="0.3">
      <c r="A596" t="s">
        <v>239</v>
      </c>
      <c r="B596" s="2">
        <v>45839</v>
      </c>
    </row>
    <row r="597" spans="1:7" ht="15" hidden="1" customHeight="1" x14ac:dyDescent="0.3">
      <c r="A597" t="s">
        <v>239</v>
      </c>
      <c r="B597" s="2">
        <v>45870</v>
      </c>
    </row>
    <row r="598" spans="1:7" ht="15" hidden="1" customHeight="1" x14ac:dyDescent="0.3">
      <c r="A598" t="s">
        <v>239</v>
      </c>
      <c r="B598" s="2">
        <v>45901</v>
      </c>
    </row>
    <row r="599" spans="1:7" ht="15" hidden="1" customHeight="1" x14ac:dyDescent="0.3">
      <c r="A599" t="s">
        <v>239</v>
      </c>
      <c r="B599" s="2">
        <v>45931</v>
      </c>
    </row>
    <row r="600" spans="1:7" ht="15" hidden="1" customHeight="1" x14ac:dyDescent="0.3">
      <c r="A600" t="s">
        <v>239</v>
      </c>
      <c r="B600" s="2">
        <v>45962</v>
      </c>
    </row>
    <row r="601" spans="1:7" ht="15" hidden="1" customHeight="1" x14ac:dyDescent="0.3">
      <c r="A601" t="s">
        <v>239</v>
      </c>
      <c r="B601" s="2">
        <v>45992</v>
      </c>
    </row>
    <row r="602" spans="1:7" ht="15" hidden="1" customHeight="1" x14ac:dyDescent="0.3">
      <c r="A602" t="s">
        <v>239</v>
      </c>
      <c r="B602" s="2">
        <v>46023</v>
      </c>
      <c r="C602">
        <v>3245</v>
      </c>
    </row>
    <row r="603" spans="1:7" ht="15" hidden="1" customHeight="1" x14ac:dyDescent="0.3">
      <c r="A603" t="s">
        <v>239</v>
      </c>
      <c r="B603" s="2">
        <v>46054</v>
      </c>
      <c r="C603">
        <v>3122</v>
      </c>
    </row>
    <row r="604" spans="1:7" ht="15" hidden="1" customHeight="1" x14ac:dyDescent="0.3">
      <c r="A604" t="s">
        <v>239</v>
      </c>
      <c r="B604" s="2">
        <v>46082</v>
      </c>
      <c r="C604">
        <v>2817</v>
      </c>
    </row>
    <row r="605" spans="1:7" ht="15" hidden="1" customHeight="1" x14ac:dyDescent="0.3">
      <c r="A605" t="s">
        <v>239</v>
      </c>
      <c r="B605" s="2">
        <v>46113</v>
      </c>
      <c r="C605">
        <v>2735.53</v>
      </c>
    </row>
    <row r="606" spans="1:7" ht="15" hidden="1" customHeight="1" x14ac:dyDescent="0.3">
      <c r="A606" t="s">
        <v>239</v>
      </c>
      <c r="B606" s="2">
        <v>46143</v>
      </c>
      <c r="C606" s="12">
        <v>3239.91</v>
      </c>
    </row>
    <row r="607" spans="1:7" ht="15" hidden="1" customHeight="1" x14ac:dyDescent="0.3">
      <c r="A607" t="s">
        <v>95</v>
      </c>
      <c r="B607" s="2">
        <v>46174</v>
      </c>
      <c r="C607">
        <v>11956.63</v>
      </c>
    </row>
    <row r="608" spans="1:7" ht="15" customHeight="1" x14ac:dyDescent="0.3">
      <c r="A608" t="s">
        <v>93</v>
      </c>
      <c r="B608" s="2">
        <v>46204</v>
      </c>
      <c r="C608">
        <v>0</v>
      </c>
      <c r="G608" t="s">
        <v>1012</v>
      </c>
    </row>
    <row r="609" spans="1:3" ht="15" hidden="1" customHeight="1" x14ac:dyDescent="0.3">
      <c r="A609" t="s">
        <v>239</v>
      </c>
      <c r="B609" s="2">
        <v>46235</v>
      </c>
    </row>
    <row r="610" spans="1:3" ht="15" hidden="1" customHeight="1" x14ac:dyDescent="0.3">
      <c r="A610" t="s">
        <v>239</v>
      </c>
      <c r="B610" s="2">
        <v>46266</v>
      </c>
    </row>
    <row r="611" spans="1:3" ht="15" hidden="1" customHeight="1" x14ac:dyDescent="0.3">
      <c r="A611" t="s">
        <v>239</v>
      </c>
      <c r="B611" s="2">
        <v>46296</v>
      </c>
    </row>
    <row r="612" spans="1:3" ht="15" hidden="1" customHeight="1" x14ac:dyDescent="0.3">
      <c r="A612" t="s">
        <v>239</v>
      </c>
      <c r="B612" s="2">
        <v>46327</v>
      </c>
    </row>
    <row r="613" spans="1:3" ht="15" hidden="1" customHeight="1" x14ac:dyDescent="0.3">
      <c r="A613" t="s">
        <v>239</v>
      </c>
      <c r="B613" s="2">
        <v>46357</v>
      </c>
    </row>
    <row r="614" spans="1:3" ht="15" hidden="1" customHeight="1" x14ac:dyDescent="0.3">
      <c r="A614" t="s">
        <v>98</v>
      </c>
      <c r="B614" s="2">
        <v>45292</v>
      </c>
      <c r="C614">
        <v>9736</v>
      </c>
    </row>
    <row r="615" spans="1:3" ht="15" hidden="1" customHeight="1" x14ac:dyDescent="0.3">
      <c r="A615" t="s">
        <v>98</v>
      </c>
      <c r="B615" s="2">
        <v>45323</v>
      </c>
      <c r="C615">
        <v>8912</v>
      </c>
    </row>
    <row r="616" spans="1:3" ht="15" hidden="1" customHeight="1" x14ac:dyDescent="0.3">
      <c r="A616" t="s">
        <v>98</v>
      </c>
      <c r="B616" s="2">
        <v>45352</v>
      </c>
      <c r="C616">
        <v>9597</v>
      </c>
    </row>
    <row r="617" spans="1:3" ht="15" hidden="1" customHeight="1" x14ac:dyDescent="0.3">
      <c r="A617" t="s">
        <v>98</v>
      </c>
      <c r="B617" s="2">
        <v>45383</v>
      </c>
      <c r="C617">
        <v>7950</v>
      </c>
    </row>
    <row r="618" spans="1:3" ht="15" hidden="1" customHeight="1" x14ac:dyDescent="0.3">
      <c r="A618" t="s">
        <v>98</v>
      </c>
      <c r="B618" s="2">
        <v>45413</v>
      </c>
      <c r="C618">
        <v>7482</v>
      </c>
    </row>
    <row r="619" spans="1:3" ht="15" hidden="1" customHeight="1" x14ac:dyDescent="0.3">
      <c r="A619" t="s">
        <v>98</v>
      </c>
      <c r="B619" s="2">
        <v>45444</v>
      </c>
      <c r="C619">
        <v>6656</v>
      </c>
    </row>
    <row r="620" spans="1:3" ht="15" hidden="1" customHeight="1" x14ac:dyDescent="0.3">
      <c r="A620" t="s">
        <v>98</v>
      </c>
      <c r="B620" s="2">
        <v>45474</v>
      </c>
      <c r="C620">
        <v>11170</v>
      </c>
    </row>
    <row r="621" spans="1:3" ht="15" hidden="1" customHeight="1" x14ac:dyDescent="0.3">
      <c r="A621" t="s">
        <v>98</v>
      </c>
      <c r="B621" s="2">
        <v>45505</v>
      </c>
      <c r="C621">
        <v>11290</v>
      </c>
    </row>
    <row r="622" spans="1:3" ht="15" hidden="1" customHeight="1" x14ac:dyDescent="0.3">
      <c r="A622" t="s">
        <v>98</v>
      </c>
      <c r="B622" s="2">
        <v>45536</v>
      </c>
      <c r="C622">
        <v>8578</v>
      </c>
    </row>
    <row r="623" spans="1:3" ht="15" hidden="1" customHeight="1" x14ac:dyDescent="0.3">
      <c r="A623" t="s">
        <v>98</v>
      </c>
      <c r="B623" s="2">
        <v>45566</v>
      </c>
      <c r="C623">
        <v>12704</v>
      </c>
    </row>
    <row r="624" spans="1:3" ht="15" hidden="1" customHeight="1" x14ac:dyDescent="0.3">
      <c r="A624" t="s">
        <v>98</v>
      </c>
      <c r="B624" s="2">
        <v>45597</v>
      </c>
      <c r="C624">
        <v>5700</v>
      </c>
    </row>
    <row r="625" spans="1:3" ht="15" hidden="1" customHeight="1" x14ac:dyDescent="0.3">
      <c r="A625" t="s">
        <v>98</v>
      </c>
      <c r="B625" s="2">
        <v>45627</v>
      </c>
    </row>
    <row r="626" spans="1:3" ht="15" hidden="1" customHeight="1" x14ac:dyDescent="0.3">
      <c r="A626" t="s">
        <v>98</v>
      </c>
      <c r="B626" s="2">
        <v>45658</v>
      </c>
    </row>
    <row r="627" spans="1:3" ht="15" hidden="1" customHeight="1" x14ac:dyDescent="0.3">
      <c r="A627" t="s">
        <v>98</v>
      </c>
      <c r="B627" s="2">
        <v>45689</v>
      </c>
    </row>
    <row r="628" spans="1:3" ht="15" hidden="1" customHeight="1" x14ac:dyDescent="0.3">
      <c r="A628" t="s">
        <v>98</v>
      </c>
      <c r="B628" s="2">
        <v>45717</v>
      </c>
      <c r="C628">
        <v>6684</v>
      </c>
    </row>
    <row r="629" spans="1:3" ht="15" hidden="1" customHeight="1" x14ac:dyDescent="0.3">
      <c r="A629" t="s">
        <v>98</v>
      </c>
      <c r="B629" s="2">
        <v>45748</v>
      </c>
      <c r="C629">
        <v>3992</v>
      </c>
    </row>
    <row r="630" spans="1:3" ht="15" hidden="1" customHeight="1" x14ac:dyDescent="0.3">
      <c r="A630" t="s">
        <v>98</v>
      </c>
      <c r="B630" s="2">
        <v>45778</v>
      </c>
      <c r="C630">
        <v>6009</v>
      </c>
    </row>
    <row r="631" spans="1:3" ht="15" hidden="1" customHeight="1" x14ac:dyDescent="0.3">
      <c r="A631" t="s">
        <v>98</v>
      </c>
      <c r="B631" s="2">
        <v>45809</v>
      </c>
      <c r="C631">
        <v>5530.9</v>
      </c>
    </row>
    <row r="632" spans="1:3" ht="15" hidden="1" customHeight="1" x14ac:dyDescent="0.3">
      <c r="A632" t="s">
        <v>98</v>
      </c>
      <c r="B632" s="2">
        <v>45839</v>
      </c>
      <c r="C632">
        <v>6694</v>
      </c>
    </row>
    <row r="633" spans="1:3" ht="15" hidden="1" customHeight="1" x14ac:dyDescent="0.3">
      <c r="A633" t="s">
        <v>98</v>
      </c>
      <c r="B633" s="2">
        <v>45870</v>
      </c>
      <c r="C633">
        <v>7750</v>
      </c>
    </row>
    <row r="634" spans="1:3" ht="15" hidden="1" customHeight="1" x14ac:dyDescent="0.3">
      <c r="A634" t="s">
        <v>98</v>
      </c>
      <c r="B634" s="2">
        <v>45901</v>
      </c>
      <c r="C634">
        <v>7031</v>
      </c>
    </row>
    <row r="635" spans="1:3" ht="15" hidden="1" customHeight="1" x14ac:dyDescent="0.3">
      <c r="A635" t="s">
        <v>98</v>
      </c>
      <c r="B635" s="2">
        <v>45931</v>
      </c>
      <c r="C635">
        <v>9805</v>
      </c>
    </row>
    <row r="636" spans="1:3" ht="15" hidden="1" customHeight="1" x14ac:dyDescent="0.3">
      <c r="A636" t="s">
        <v>98</v>
      </c>
      <c r="B636" s="2">
        <v>45962</v>
      </c>
      <c r="C636">
        <v>9365</v>
      </c>
    </row>
    <row r="637" spans="1:3" ht="15" hidden="1" customHeight="1" x14ac:dyDescent="0.3">
      <c r="A637" t="s">
        <v>98</v>
      </c>
      <c r="B637" s="2">
        <v>45992</v>
      </c>
      <c r="C637">
        <v>5379</v>
      </c>
    </row>
    <row r="638" spans="1:3" ht="15" hidden="1" customHeight="1" x14ac:dyDescent="0.3">
      <c r="A638" t="s">
        <v>98</v>
      </c>
      <c r="B638" s="2">
        <v>46023</v>
      </c>
      <c r="C638">
        <v>4979.16</v>
      </c>
    </row>
    <row r="639" spans="1:3" ht="15" hidden="1" customHeight="1" x14ac:dyDescent="0.3">
      <c r="A639" t="s">
        <v>98</v>
      </c>
      <c r="B639" s="2">
        <v>46054</v>
      </c>
      <c r="C639">
        <v>2172.67</v>
      </c>
    </row>
    <row r="640" spans="1:3" ht="15" hidden="1" customHeight="1" x14ac:dyDescent="0.3">
      <c r="A640" t="s">
        <v>98</v>
      </c>
      <c r="B640" s="2">
        <v>46082</v>
      </c>
      <c r="C640">
        <v>350</v>
      </c>
    </row>
    <row r="641" spans="1:3" ht="15" hidden="1" customHeight="1" x14ac:dyDescent="0.3">
      <c r="A641" t="s">
        <v>98</v>
      </c>
      <c r="B641" s="2">
        <v>46113</v>
      </c>
      <c r="C641">
        <v>194.99</v>
      </c>
    </row>
    <row r="642" spans="1:3" ht="15" hidden="1" customHeight="1" x14ac:dyDescent="0.3">
      <c r="A642" t="s">
        <v>98</v>
      </c>
      <c r="B642" s="2">
        <v>46143</v>
      </c>
    </row>
    <row r="643" spans="1:3" ht="15" hidden="1" customHeight="1" x14ac:dyDescent="0.3">
      <c r="A643" t="s">
        <v>98</v>
      </c>
      <c r="B643" s="2">
        <v>46174</v>
      </c>
      <c r="C643">
        <v>3521</v>
      </c>
    </row>
    <row r="644" spans="1:3" ht="15" customHeight="1" x14ac:dyDescent="0.3">
      <c r="A644" t="s">
        <v>95</v>
      </c>
      <c r="B644" s="2">
        <v>46204</v>
      </c>
      <c r="C644">
        <v>12633</v>
      </c>
    </row>
    <row r="645" spans="1:3" ht="15" hidden="1" customHeight="1" x14ac:dyDescent="0.3">
      <c r="A645" t="s">
        <v>98</v>
      </c>
      <c r="B645" s="2">
        <v>46235</v>
      </c>
    </row>
    <row r="646" spans="1:3" ht="15" hidden="1" customHeight="1" x14ac:dyDescent="0.3">
      <c r="A646" t="s">
        <v>98</v>
      </c>
      <c r="B646" s="2">
        <v>46266</v>
      </c>
    </row>
    <row r="647" spans="1:3" ht="15" hidden="1" customHeight="1" x14ac:dyDescent="0.3">
      <c r="A647" t="s">
        <v>98</v>
      </c>
      <c r="B647" s="2">
        <v>46296</v>
      </c>
    </row>
    <row r="648" spans="1:3" ht="15" hidden="1" customHeight="1" x14ac:dyDescent="0.3">
      <c r="A648" t="s">
        <v>98</v>
      </c>
      <c r="B648" s="2">
        <v>46327</v>
      </c>
    </row>
    <row r="649" spans="1:3" ht="15" hidden="1" customHeight="1" x14ac:dyDescent="0.3">
      <c r="A649" t="s">
        <v>98</v>
      </c>
      <c r="B649" s="2">
        <v>46357</v>
      </c>
    </row>
    <row r="650" spans="1:3" ht="15" hidden="1" customHeight="1" x14ac:dyDescent="0.3">
      <c r="A650" t="s">
        <v>102</v>
      </c>
      <c r="B650" s="2">
        <v>45292</v>
      </c>
      <c r="C650">
        <v>4830</v>
      </c>
    </row>
    <row r="651" spans="1:3" ht="15" hidden="1" customHeight="1" x14ac:dyDescent="0.3">
      <c r="A651" t="s">
        <v>102</v>
      </c>
      <c r="B651" s="2">
        <v>45323</v>
      </c>
      <c r="C651">
        <v>7231</v>
      </c>
    </row>
    <row r="652" spans="1:3" ht="15" hidden="1" customHeight="1" x14ac:dyDescent="0.3">
      <c r="A652" t="s">
        <v>102</v>
      </c>
      <c r="B652" s="2">
        <v>45352</v>
      </c>
      <c r="C652">
        <v>5436</v>
      </c>
    </row>
    <row r="653" spans="1:3" ht="15" hidden="1" customHeight="1" x14ac:dyDescent="0.3">
      <c r="A653" t="s">
        <v>102</v>
      </c>
      <c r="B653" s="2">
        <v>45383</v>
      </c>
      <c r="C653">
        <v>5158</v>
      </c>
    </row>
    <row r="654" spans="1:3" ht="15" hidden="1" customHeight="1" x14ac:dyDescent="0.3">
      <c r="A654" t="s">
        <v>102</v>
      </c>
      <c r="B654" s="2">
        <v>45413</v>
      </c>
      <c r="C654">
        <v>3827</v>
      </c>
    </row>
    <row r="655" spans="1:3" ht="15" hidden="1" customHeight="1" x14ac:dyDescent="0.3">
      <c r="A655" t="s">
        <v>102</v>
      </c>
      <c r="B655" s="2">
        <v>45444</v>
      </c>
      <c r="C655">
        <v>3220</v>
      </c>
    </row>
    <row r="656" spans="1:3" ht="15" hidden="1" customHeight="1" x14ac:dyDescent="0.3">
      <c r="A656" t="s">
        <v>102</v>
      </c>
      <c r="B656" s="2">
        <v>45474</v>
      </c>
      <c r="C656">
        <v>5497</v>
      </c>
    </row>
    <row r="657" spans="1:3" ht="15" hidden="1" customHeight="1" x14ac:dyDescent="0.3">
      <c r="A657" t="s">
        <v>102</v>
      </c>
      <c r="B657" s="2">
        <v>45505</v>
      </c>
      <c r="C657">
        <v>4475</v>
      </c>
    </row>
    <row r="658" spans="1:3" ht="15" hidden="1" customHeight="1" x14ac:dyDescent="0.3">
      <c r="A658" t="s">
        <v>102</v>
      </c>
      <c r="B658" s="2">
        <v>45536</v>
      </c>
      <c r="C658">
        <v>1847</v>
      </c>
    </row>
    <row r="659" spans="1:3" ht="15" hidden="1" customHeight="1" x14ac:dyDescent="0.3">
      <c r="A659" t="s">
        <v>102</v>
      </c>
      <c r="B659" s="2">
        <v>45566</v>
      </c>
      <c r="C659">
        <v>1575</v>
      </c>
    </row>
    <row r="660" spans="1:3" ht="15" hidden="1" customHeight="1" x14ac:dyDescent="0.3">
      <c r="A660" t="s">
        <v>102</v>
      </c>
      <c r="B660" s="2">
        <v>45597</v>
      </c>
      <c r="C660">
        <v>5700</v>
      </c>
    </row>
    <row r="661" spans="1:3" ht="15" hidden="1" customHeight="1" x14ac:dyDescent="0.3">
      <c r="A661" t="s">
        <v>102</v>
      </c>
      <c r="B661" s="2">
        <v>45627</v>
      </c>
      <c r="C661">
        <v>1938</v>
      </c>
    </row>
    <row r="662" spans="1:3" ht="15" hidden="1" customHeight="1" x14ac:dyDescent="0.3">
      <c r="A662" t="s">
        <v>102</v>
      </c>
      <c r="B662" s="2">
        <v>45658</v>
      </c>
      <c r="C662">
        <v>5227</v>
      </c>
    </row>
    <row r="663" spans="1:3" ht="15" hidden="1" customHeight="1" x14ac:dyDescent="0.3">
      <c r="A663" t="s">
        <v>102</v>
      </c>
      <c r="B663" s="2">
        <v>45689</v>
      </c>
      <c r="C663">
        <v>5137</v>
      </c>
    </row>
    <row r="664" spans="1:3" ht="15" hidden="1" customHeight="1" x14ac:dyDescent="0.3">
      <c r="A664" t="s">
        <v>102</v>
      </c>
      <c r="B664" s="2">
        <v>45717</v>
      </c>
      <c r="C664">
        <v>5031</v>
      </c>
    </row>
    <row r="665" spans="1:3" ht="15" hidden="1" customHeight="1" x14ac:dyDescent="0.3">
      <c r="A665" t="s">
        <v>102</v>
      </c>
      <c r="B665" s="2">
        <v>45748</v>
      </c>
      <c r="C665">
        <v>3147</v>
      </c>
    </row>
    <row r="666" spans="1:3" ht="15" hidden="1" customHeight="1" x14ac:dyDescent="0.3">
      <c r="A666" t="s">
        <v>102</v>
      </c>
      <c r="B666" s="2">
        <v>45778</v>
      </c>
      <c r="C666">
        <v>4797</v>
      </c>
    </row>
    <row r="667" spans="1:3" ht="15" hidden="1" customHeight="1" x14ac:dyDescent="0.3">
      <c r="A667" t="s">
        <v>102</v>
      </c>
      <c r="B667" s="2">
        <v>45809</v>
      </c>
      <c r="C667">
        <v>3255.49</v>
      </c>
    </row>
    <row r="668" spans="1:3" ht="15" hidden="1" customHeight="1" x14ac:dyDescent="0.3">
      <c r="A668" t="s">
        <v>102</v>
      </c>
      <c r="B668" s="2">
        <v>45839</v>
      </c>
      <c r="C668">
        <v>5212</v>
      </c>
    </row>
    <row r="669" spans="1:3" ht="15" hidden="1" customHeight="1" x14ac:dyDescent="0.3">
      <c r="A669" t="s">
        <v>102</v>
      </c>
      <c r="B669" s="2">
        <v>45870</v>
      </c>
      <c r="C669">
        <v>1743.88</v>
      </c>
    </row>
    <row r="670" spans="1:3" ht="15" hidden="1" customHeight="1" x14ac:dyDescent="0.3">
      <c r="A670" t="s">
        <v>102</v>
      </c>
      <c r="B670" s="2">
        <v>45901</v>
      </c>
      <c r="C670">
        <v>4503</v>
      </c>
    </row>
    <row r="671" spans="1:3" ht="15" hidden="1" customHeight="1" x14ac:dyDescent="0.3">
      <c r="A671" t="s">
        <v>102</v>
      </c>
      <c r="B671" s="2">
        <v>45931</v>
      </c>
      <c r="C671">
        <v>6159</v>
      </c>
    </row>
    <row r="672" spans="1:3" ht="15" hidden="1" customHeight="1" x14ac:dyDescent="0.3">
      <c r="A672" t="s">
        <v>102</v>
      </c>
      <c r="B672" s="2">
        <v>45962</v>
      </c>
      <c r="C672">
        <v>6232</v>
      </c>
    </row>
    <row r="673" spans="1:3" ht="15" hidden="1" customHeight="1" x14ac:dyDescent="0.3">
      <c r="A673" t="s">
        <v>102</v>
      </c>
      <c r="B673" s="2">
        <v>45992</v>
      </c>
      <c r="C673">
        <v>5380</v>
      </c>
    </row>
    <row r="674" spans="1:3" ht="15" hidden="1" customHeight="1" x14ac:dyDescent="0.3">
      <c r="A674" t="s">
        <v>102</v>
      </c>
      <c r="B674" s="2">
        <v>46023</v>
      </c>
      <c r="C674">
        <v>7601.5</v>
      </c>
    </row>
    <row r="675" spans="1:3" ht="15" hidden="1" customHeight="1" x14ac:dyDescent="0.3">
      <c r="A675" t="s">
        <v>102</v>
      </c>
      <c r="B675" s="2">
        <v>46054</v>
      </c>
      <c r="C675">
        <v>6347.07</v>
      </c>
    </row>
    <row r="676" spans="1:3" ht="15" hidden="1" customHeight="1" x14ac:dyDescent="0.3">
      <c r="A676" t="s">
        <v>102</v>
      </c>
      <c r="B676" s="2">
        <v>46082</v>
      </c>
      <c r="C676">
        <v>7063</v>
      </c>
    </row>
    <row r="677" spans="1:3" ht="15" hidden="1" customHeight="1" x14ac:dyDescent="0.3">
      <c r="A677" t="s">
        <v>102</v>
      </c>
      <c r="B677" s="2">
        <v>46113</v>
      </c>
      <c r="C677">
        <v>4736.87</v>
      </c>
    </row>
    <row r="678" spans="1:3" ht="15" hidden="1" customHeight="1" x14ac:dyDescent="0.3">
      <c r="A678" t="s">
        <v>102</v>
      </c>
      <c r="B678" s="2">
        <v>46143</v>
      </c>
      <c r="C678" s="12">
        <v>4375.54</v>
      </c>
    </row>
    <row r="679" spans="1:3" ht="15" hidden="1" customHeight="1" x14ac:dyDescent="0.3">
      <c r="A679" t="s">
        <v>102</v>
      </c>
      <c r="B679" s="2">
        <v>46174</v>
      </c>
      <c r="C679">
        <v>3483</v>
      </c>
    </row>
    <row r="680" spans="1:3" ht="15" customHeight="1" x14ac:dyDescent="0.3">
      <c r="A680" t="s">
        <v>271</v>
      </c>
      <c r="B680" s="2">
        <v>46204</v>
      </c>
      <c r="C680">
        <v>6140</v>
      </c>
    </row>
    <row r="681" spans="1:3" ht="15" hidden="1" customHeight="1" x14ac:dyDescent="0.3">
      <c r="A681" t="s">
        <v>102</v>
      </c>
      <c r="B681" s="2">
        <v>46235</v>
      </c>
    </row>
    <row r="682" spans="1:3" ht="15" hidden="1" customHeight="1" x14ac:dyDescent="0.3">
      <c r="A682" t="s">
        <v>102</v>
      </c>
      <c r="B682" s="2">
        <v>46266</v>
      </c>
    </row>
    <row r="683" spans="1:3" ht="15" hidden="1" customHeight="1" x14ac:dyDescent="0.3">
      <c r="A683" t="s">
        <v>102</v>
      </c>
      <c r="B683" s="2">
        <v>46296</v>
      </c>
    </row>
    <row r="684" spans="1:3" ht="15" hidden="1" customHeight="1" x14ac:dyDescent="0.3">
      <c r="A684" t="s">
        <v>102</v>
      </c>
      <c r="B684" s="2">
        <v>46327</v>
      </c>
    </row>
    <row r="685" spans="1:3" ht="15" hidden="1" customHeight="1" x14ac:dyDescent="0.3">
      <c r="A685" t="s">
        <v>102</v>
      </c>
      <c r="B685" s="2">
        <v>46357</v>
      </c>
    </row>
    <row r="686" spans="1:3" ht="15" hidden="1" customHeight="1" x14ac:dyDescent="0.3">
      <c r="A686" t="s">
        <v>104</v>
      </c>
      <c r="B686" s="2">
        <v>45292</v>
      </c>
      <c r="C686">
        <v>961</v>
      </c>
    </row>
    <row r="687" spans="1:3" ht="15" hidden="1" customHeight="1" x14ac:dyDescent="0.3">
      <c r="A687" t="s">
        <v>104</v>
      </c>
      <c r="B687" s="2">
        <v>45323</v>
      </c>
      <c r="C687">
        <v>798</v>
      </c>
    </row>
    <row r="688" spans="1:3" ht="15" hidden="1" customHeight="1" x14ac:dyDescent="0.3">
      <c r="A688" t="s">
        <v>104</v>
      </c>
      <c r="B688" s="2">
        <v>45352</v>
      </c>
      <c r="C688">
        <v>398</v>
      </c>
    </row>
    <row r="689" spans="1:3" ht="15" hidden="1" customHeight="1" x14ac:dyDescent="0.3">
      <c r="A689" t="s">
        <v>104</v>
      </c>
      <c r="B689" s="2">
        <v>45383</v>
      </c>
      <c r="C689">
        <v>1334</v>
      </c>
    </row>
    <row r="690" spans="1:3" ht="15" hidden="1" customHeight="1" x14ac:dyDescent="0.3">
      <c r="A690" t="s">
        <v>104</v>
      </c>
      <c r="B690" s="2">
        <v>45413</v>
      </c>
      <c r="C690">
        <v>1953</v>
      </c>
    </row>
    <row r="691" spans="1:3" ht="15" hidden="1" customHeight="1" x14ac:dyDescent="0.3">
      <c r="A691" t="s">
        <v>104</v>
      </c>
      <c r="B691" s="2">
        <v>45444</v>
      </c>
      <c r="C691">
        <v>1657</v>
      </c>
    </row>
    <row r="692" spans="1:3" ht="15" hidden="1" customHeight="1" x14ac:dyDescent="0.3">
      <c r="A692" t="s">
        <v>104</v>
      </c>
      <c r="B692" s="2">
        <v>45474</v>
      </c>
      <c r="C692">
        <v>1845</v>
      </c>
    </row>
    <row r="693" spans="1:3" ht="15" hidden="1" customHeight="1" x14ac:dyDescent="0.3">
      <c r="A693" t="s">
        <v>104</v>
      </c>
      <c r="B693" s="2">
        <v>45505</v>
      </c>
      <c r="C693">
        <v>2034</v>
      </c>
    </row>
    <row r="694" spans="1:3" ht="15" hidden="1" customHeight="1" x14ac:dyDescent="0.3">
      <c r="A694" t="s">
        <v>104</v>
      </c>
      <c r="B694" s="2">
        <v>45536</v>
      </c>
      <c r="C694">
        <v>1982</v>
      </c>
    </row>
    <row r="695" spans="1:3" ht="15" hidden="1" customHeight="1" x14ac:dyDescent="0.3">
      <c r="A695" t="s">
        <v>104</v>
      </c>
      <c r="B695" s="2">
        <v>45566</v>
      </c>
      <c r="C695">
        <v>2181</v>
      </c>
    </row>
    <row r="696" spans="1:3" ht="15" hidden="1" customHeight="1" x14ac:dyDescent="0.3">
      <c r="A696" t="s">
        <v>104</v>
      </c>
      <c r="B696" s="2">
        <v>45597</v>
      </c>
      <c r="C696">
        <v>1783</v>
      </c>
    </row>
    <row r="697" spans="1:3" ht="15" hidden="1" customHeight="1" x14ac:dyDescent="0.3">
      <c r="A697" t="s">
        <v>104</v>
      </c>
      <c r="B697" s="2">
        <v>45627</v>
      </c>
      <c r="C697">
        <v>2366</v>
      </c>
    </row>
    <row r="698" spans="1:3" ht="15" hidden="1" customHeight="1" x14ac:dyDescent="0.3">
      <c r="A698" t="s">
        <v>104</v>
      </c>
      <c r="B698" s="2">
        <v>45658</v>
      </c>
      <c r="C698">
        <v>2514</v>
      </c>
    </row>
    <row r="699" spans="1:3" ht="15" hidden="1" customHeight="1" x14ac:dyDescent="0.3">
      <c r="A699" t="s">
        <v>104</v>
      </c>
      <c r="B699" s="2">
        <v>45689</v>
      </c>
      <c r="C699">
        <v>2930</v>
      </c>
    </row>
    <row r="700" spans="1:3" ht="15" hidden="1" customHeight="1" x14ac:dyDescent="0.3">
      <c r="A700" t="s">
        <v>104</v>
      </c>
      <c r="B700" s="2">
        <v>45717</v>
      </c>
      <c r="C700">
        <v>1758</v>
      </c>
    </row>
    <row r="701" spans="1:3" ht="15" hidden="1" customHeight="1" x14ac:dyDescent="0.3">
      <c r="A701" t="s">
        <v>104</v>
      </c>
      <c r="B701" s="2">
        <v>45748</v>
      </c>
      <c r="C701">
        <v>1646</v>
      </c>
    </row>
    <row r="702" spans="1:3" ht="15" hidden="1" customHeight="1" x14ac:dyDescent="0.3">
      <c r="A702" t="s">
        <v>104</v>
      </c>
      <c r="B702" s="2">
        <v>45778</v>
      </c>
      <c r="C702">
        <v>2386</v>
      </c>
    </row>
    <row r="703" spans="1:3" ht="15" hidden="1" customHeight="1" x14ac:dyDescent="0.3">
      <c r="A703" t="s">
        <v>104</v>
      </c>
      <c r="B703" s="2">
        <v>45809</v>
      </c>
      <c r="C703">
        <v>1228</v>
      </c>
    </row>
    <row r="704" spans="1:3" ht="15" hidden="1" customHeight="1" x14ac:dyDescent="0.3">
      <c r="A704" t="s">
        <v>104</v>
      </c>
      <c r="B704" s="2">
        <v>45839</v>
      </c>
      <c r="C704">
        <v>1684</v>
      </c>
    </row>
    <row r="705" spans="1:3" ht="15" hidden="1" customHeight="1" x14ac:dyDescent="0.3">
      <c r="A705" t="s">
        <v>104</v>
      </c>
      <c r="B705" s="2">
        <v>45870</v>
      </c>
      <c r="C705">
        <v>1766.1</v>
      </c>
    </row>
    <row r="706" spans="1:3" ht="15" hidden="1" customHeight="1" x14ac:dyDescent="0.3">
      <c r="A706" t="s">
        <v>104</v>
      </c>
      <c r="B706" s="2">
        <v>45901</v>
      </c>
      <c r="C706">
        <v>1960</v>
      </c>
    </row>
    <row r="707" spans="1:3" ht="15" hidden="1" customHeight="1" x14ac:dyDescent="0.3">
      <c r="A707" t="s">
        <v>104</v>
      </c>
      <c r="B707" s="2">
        <v>45931</v>
      </c>
      <c r="C707">
        <v>2119</v>
      </c>
    </row>
    <row r="708" spans="1:3" ht="15" hidden="1" customHeight="1" x14ac:dyDescent="0.3">
      <c r="A708" t="s">
        <v>104</v>
      </c>
      <c r="B708" s="2">
        <v>45962</v>
      </c>
      <c r="C708">
        <v>1774</v>
      </c>
    </row>
    <row r="709" spans="1:3" ht="15" hidden="1" customHeight="1" x14ac:dyDescent="0.3">
      <c r="A709" t="s">
        <v>104</v>
      </c>
      <c r="B709" s="2">
        <v>45992</v>
      </c>
      <c r="C709">
        <v>2120</v>
      </c>
    </row>
    <row r="710" spans="1:3" ht="15" hidden="1" customHeight="1" x14ac:dyDescent="0.3">
      <c r="A710" t="s">
        <v>104</v>
      </c>
      <c r="B710" s="2">
        <v>46023</v>
      </c>
      <c r="C710">
        <v>647</v>
      </c>
    </row>
    <row r="711" spans="1:3" ht="15" hidden="1" customHeight="1" x14ac:dyDescent="0.3">
      <c r="A711" t="s">
        <v>104</v>
      </c>
      <c r="B711" s="2">
        <v>46054</v>
      </c>
      <c r="C711">
        <v>1429</v>
      </c>
    </row>
    <row r="712" spans="1:3" ht="15" hidden="1" customHeight="1" x14ac:dyDescent="0.3">
      <c r="A712" t="s">
        <v>104</v>
      </c>
      <c r="B712" s="2">
        <v>46082</v>
      </c>
      <c r="C712">
        <v>1816</v>
      </c>
    </row>
    <row r="713" spans="1:3" ht="15" hidden="1" customHeight="1" x14ac:dyDescent="0.3">
      <c r="A713" t="s">
        <v>104</v>
      </c>
      <c r="B713" s="2">
        <v>46113</v>
      </c>
      <c r="C713">
        <v>3513.5</v>
      </c>
    </row>
    <row r="714" spans="1:3" ht="15" hidden="1" customHeight="1" x14ac:dyDescent="0.3">
      <c r="A714" t="s">
        <v>104</v>
      </c>
      <c r="B714" s="2">
        <v>46143</v>
      </c>
      <c r="C714">
        <v>3029</v>
      </c>
    </row>
    <row r="715" spans="1:3" ht="15" hidden="1" customHeight="1" x14ac:dyDescent="0.3">
      <c r="A715" t="s">
        <v>271</v>
      </c>
      <c r="B715" s="2">
        <v>46174</v>
      </c>
      <c r="C715">
        <v>10169</v>
      </c>
    </row>
    <row r="716" spans="1:3" ht="15" hidden="1" customHeight="1" x14ac:dyDescent="0.3">
      <c r="A716" t="s">
        <v>104</v>
      </c>
      <c r="B716" s="2">
        <v>46174</v>
      </c>
      <c r="C716">
        <v>2484</v>
      </c>
    </row>
    <row r="717" spans="1:3" ht="15" customHeight="1" x14ac:dyDescent="0.3">
      <c r="A717" t="s">
        <v>239</v>
      </c>
      <c r="B717" s="2">
        <v>46204</v>
      </c>
      <c r="C717">
        <v>3388.4247999999998</v>
      </c>
    </row>
    <row r="718" spans="1:3" ht="15" hidden="1" customHeight="1" x14ac:dyDescent="0.3">
      <c r="A718" t="s">
        <v>104</v>
      </c>
      <c r="B718" s="2">
        <v>46235</v>
      </c>
    </row>
    <row r="719" spans="1:3" ht="15" hidden="1" customHeight="1" x14ac:dyDescent="0.3">
      <c r="A719" t="s">
        <v>104</v>
      </c>
      <c r="B719" s="2">
        <v>46266</v>
      </c>
    </row>
    <row r="720" spans="1:3" ht="15" hidden="1" customHeight="1" x14ac:dyDescent="0.3">
      <c r="A720" t="s">
        <v>104</v>
      </c>
      <c r="B720" s="2">
        <v>46296</v>
      </c>
    </row>
    <row r="721" spans="1:3" ht="15" hidden="1" customHeight="1" x14ac:dyDescent="0.3">
      <c r="A721" t="s">
        <v>104</v>
      </c>
      <c r="B721" s="2">
        <v>46327</v>
      </c>
    </row>
    <row r="722" spans="1:3" ht="15" hidden="1" customHeight="1" x14ac:dyDescent="0.3">
      <c r="A722" t="s">
        <v>104</v>
      </c>
      <c r="B722" s="2">
        <v>46357</v>
      </c>
    </row>
    <row r="723" spans="1:3" ht="15" hidden="1" customHeight="1" x14ac:dyDescent="0.3">
      <c r="A723" t="s">
        <v>107</v>
      </c>
      <c r="B723" s="2">
        <v>45292</v>
      </c>
      <c r="C723">
        <v>1880</v>
      </c>
    </row>
    <row r="724" spans="1:3" ht="15" hidden="1" customHeight="1" x14ac:dyDescent="0.3">
      <c r="A724" t="s">
        <v>107</v>
      </c>
      <c r="B724" s="2">
        <v>45323</v>
      </c>
      <c r="C724">
        <v>1559</v>
      </c>
    </row>
    <row r="725" spans="1:3" ht="15" hidden="1" customHeight="1" x14ac:dyDescent="0.3">
      <c r="A725" t="s">
        <v>107</v>
      </c>
      <c r="B725" s="2">
        <v>45352</v>
      </c>
      <c r="C725">
        <v>1596</v>
      </c>
    </row>
    <row r="726" spans="1:3" ht="15" hidden="1" customHeight="1" x14ac:dyDescent="0.3">
      <c r="A726" t="s">
        <v>107</v>
      </c>
      <c r="B726" s="2">
        <v>45383</v>
      </c>
      <c r="C726">
        <v>2170</v>
      </c>
    </row>
    <row r="727" spans="1:3" ht="15" hidden="1" customHeight="1" x14ac:dyDescent="0.3">
      <c r="A727" t="s">
        <v>107</v>
      </c>
      <c r="B727" s="2">
        <v>45413</v>
      </c>
      <c r="C727">
        <v>2876</v>
      </c>
    </row>
    <row r="728" spans="1:3" ht="15" hidden="1" customHeight="1" x14ac:dyDescent="0.3">
      <c r="A728" t="s">
        <v>107</v>
      </c>
      <c r="B728" s="2">
        <v>45444</v>
      </c>
      <c r="C728">
        <v>2499</v>
      </c>
    </row>
    <row r="729" spans="1:3" ht="15" hidden="1" customHeight="1" x14ac:dyDescent="0.3">
      <c r="A729" t="s">
        <v>107</v>
      </c>
      <c r="B729" s="2">
        <v>45474</v>
      </c>
      <c r="C729">
        <v>2895</v>
      </c>
    </row>
    <row r="730" spans="1:3" ht="15" hidden="1" customHeight="1" x14ac:dyDescent="0.3">
      <c r="A730" t="s">
        <v>107</v>
      </c>
      <c r="B730" s="2">
        <v>45505</v>
      </c>
      <c r="C730">
        <v>3177</v>
      </c>
    </row>
    <row r="731" spans="1:3" ht="15" hidden="1" customHeight="1" x14ac:dyDescent="0.3">
      <c r="A731" t="s">
        <v>107</v>
      </c>
      <c r="B731" s="2">
        <v>45536</v>
      </c>
      <c r="C731">
        <v>3048</v>
      </c>
    </row>
    <row r="732" spans="1:3" ht="15" hidden="1" customHeight="1" x14ac:dyDescent="0.3">
      <c r="A732" t="s">
        <v>107</v>
      </c>
      <c r="B732" s="2">
        <v>45566</v>
      </c>
      <c r="C732">
        <v>3449</v>
      </c>
    </row>
    <row r="733" spans="1:3" ht="15" hidden="1" customHeight="1" x14ac:dyDescent="0.3">
      <c r="A733" t="s">
        <v>107</v>
      </c>
      <c r="B733" s="2">
        <v>45597</v>
      </c>
      <c r="C733">
        <v>3441</v>
      </c>
    </row>
    <row r="734" spans="1:3" ht="15" hidden="1" customHeight="1" x14ac:dyDescent="0.3">
      <c r="A734" t="s">
        <v>107</v>
      </c>
      <c r="B734" s="2">
        <v>45627</v>
      </c>
      <c r="C734">
        <v>3537</v>
      </c>
    </row>
    <row r="735" spans="1:3" ht="15" hidden="1" customHeight="1" x14ac:dyDescent="0.3">
      <c r="A735" t="s">
        <v>107</v>
      </c>
      <c r="B735" s="2">
        <v>45658</v>
      </c>
      <c r="C735">
        <v>3700</v>
      </c>
    </row>
    <row r="736" spans="1:3" ht="15" hidden="1" customHeight="1" x14ac:dyDescent="0.3">
      <c r="A736" t="s">
        <v>107</v>
      </c>
      <c r="B736" s="2">
        <v>45689</v>
      </c>
      <c r="C736">
        <v>2900</v>
      </c>
    </row>
    <row r="737" spans="1:3" ht="15" hidden="1" customHeight="1" x14ac:dyDescent="0.3">
      <c r="A737" t="s">
        <v>107</v>
      </c>
      <c r="B737" s="2">
        <v>45717</v>
      </c>
      <c r="C737">
        <v>3471</v>
      </c>
    </row>
    <row r="738" spans="1:3" ht="15" hidden="1" customHeight="1" x14ac:dyDescent="0.3">
      <c r="A738" t="s">
        <v>107</v>
      </c>
      <c r="B738" s="2">
        <v>45748</v>
      </c>
      <c r="C738">
        <v>2668</v>
      </c>
    </row>
    <row r="739" spans="1:3" ht="15" hidden="1" customHeight="1" x14ac:dyDescent="0.3">
      <c r="A739" t="s">
        <v>107</v>
      </c>
      <c r="B739" s="2">
        <v>45778</v>
      </c>
      <c r="C739">
        <v>3127</v>
      </c>
    </row>
    <row r="740" spans="1:3" ht="15" hidden="1" customHeight="1" x14ac:dyDescent="0.3">
      <c r="A740" t="s">
        <v>107</v>
      </c>
      <c r="B740" s="2">
        <v>45809</v>
      </c>
      <c r="C740">
        <v>2748.4</v>
      </c>
    </row>
    <row r="741" spans="1:3" ht="15" hidden="1" customHeight="1" x14ac:dyDescent="0.3">
      <c r="A741" t="s">
        <v>107</v>
      </c>
      <c r="B741" s="2">
        <v>45839</v>
      </c>
      <c r="C741">
        <v>2501</v>
      </c>
    </row>
    <row r="742" spans="1:3" ht="15" hidden="1" customHeight="1" x14ac:dyDescent="0.3">
      <c r="A742" t="s">
        <v>107</v>
      </c>
      <c r="B742" s="2">
        <v>45870</v>
      </c>
      <c r="C742">
        <v>299.8</v>
      </c>
    </row>
    <row r="743" spans="1:3" ht="15" hidden="1" customHeight="1" x14ac:dyDescent="0.3">
      <c r="A743" t="s">
        <v>107</v>
      </c>
      <c r="B743" s="2">
        <v>45901</v>
      </c>
      <c r="C743">
        <v>2705</v>
      </c>
    </row>
    <row r="744" spans="1:3" ht="15" hidden="1" customHeight="1" x14ac:dyDescent="0.3">
      <c r="A744" t="s">
        <v>107</v>
      </c>
      <c r="B744" s="2">
        <v>45931</v>
      </c>
      <c r="C744">
        <v>2939</v>
      </c>
    </row>
    <row r="745" spans="1:3" ht="15" hidden="1" customHeight="1" x14ac:dyDescent="0.3">
      <c r="A745" t="s">
        <v>107</v>
      </c>
      <c r="B745" s="2">
        <v>45962</v>
      </c>
      <c r="C745">
        <v>2609</v>
      </c>
    </row>
    <row r="746" spans="1:3" ht="15" hidden="1" customHeight="1" x14ac:dyDescent="0.3">
      <c r="A746" t="s">
        <v>107</v>
      </c>
      <c r="B746" s="2">
        <v>45992</v>
      </c>
      <c r="C746">
        <v>3364</v>
      </c>
    </row>
    <row r="747" spans="1:3" ht="15" hidden="1" customHeight="1" x14ac:dyDescent="0.3">
      <c r="A747" t="s">
        <v>107</v>
      </c>
      <c r="B747" s="2">
        <v>46023</v>
      </c>
      <c r="C747">
        <v>3086</v>
      </c>
    </row>
    <row r="748" spans="1:3" ht="15" hidden="1" customHeight="1" x14ac:dyDescent="0.3">
      <c r="A748" t="s">
        <v>107</v>
      </c>
      <c r="B748" s="2">
        <v>46054</v>
      </c>
      <c r="C748">
        <v>3628</v>
      </c>
    </row>
    <row r="749" spans="1:3" ht="15" hidden="1" customHeight="1" x14ac:dyDescent="0.3">
      <c r="A749" t="s">
        <v>107</v>
      </c>
      <c r="B749" s="2">
        <v>46082</v>
      </c>
      <c r="C749">
        <v>2909</v>
      </c>
    </row>
    <row r="750" spans="1:3" ht="15" hidden="1" customHeight="1" x14ac:dyDescent="0.3">
      <c r="A750" t="s">
        <v>107</v>
      </c>
      <c r="B750" s="2">
        <v>46113</v>
      </c>
      <c r="C750">
        <v>2558.1</v>
      </c>
    </row>
    <row r="751" spans="1:3" ht="15" hidden="1" customHeight="1" x14ac:dyDescent="0.3">
      <c r="A751" t="s">
        <v>107</v>
      </c>
      <c r="B751" s="2">
        <v>46143</v>
      </c>
      <c r="C751" s="12">
        <v>3029.6</v>
      </c>
    </row>
    <row r="752" spans="1:3" ht="15" hidden="1" customHeight="1" x14ac:dyDescent="0.3">
      <c r="A752" t="s">
        <v>239</v>
      </c>
      <c r="B752" s="2">
        <v>46174</v>
      </c>
      <c r="C752">
        <v>2723</v>
      </c>
    </row>
    <row r="753" spans="1:3" ht="15" customHeight="1" x14ac:dyDescent="0.3">
      <c r="A753" t="s">
        <v>98</v>
      </c>
      <c r="B753" s="2">
        <v>46204</v>
      </c>
      <c r="C753">
        <v>5136</v>
      </c>
    </row>
    <row r="754" spans="1:3" ht="15" hidden="1" customHeight="1" x14ac:dyDescent="0.3">
      <c r="A754" t="s">
        <v>107</v>
      </c>
      <c r="B754" s="2">
        <v>46235</v>
      </c>
    </row>
    <row r="755" spans="1:3" ht="15" hidden="1" customHeight="1" x14ac:dyDescent="0.3">
      <c r="A755" t="s">
        <v>107</v>
      </c>
      <c r="B755" s="2">
        <v>46266</v>
      </c>
    </row>
    <row r="756" spans="1:3" ht="15" hidden="1" customHeight="1" x14ac:dyDescent="0.3">
      <c r="A756" t="s">
        <v>107</v>
      </c>
      <c r="B756" s="2">
        <v>46296</v>
      </c>
    </row>
    <row r="757" spans="1:3" ht="15" hidden="1" customHeight="1" x14ac:dyDescent="0.3">
      <c r="A757" t="s">
        <v>107</v>
      </c>
      <c r="B757" s="2">
        <v>46327</v>
      </c>
    </row>
    <row r="758" spans="1:3" ht="15" hidden="1" customHeight="1" x14ac:dyDescent="0.3">
      <c r="A758" t="s">
        <v>107</v>
      </c>
      <c r="B758" s="2">
        <v>46357</v>
      </c>
    </row>
    <row r="759" spans="1:3" ht="15" hidden="1" customHeight="1" x14ac:dyDescent="0.3">
      <c r="A759" t="s">
        <v>228</v>
      </c>
      <c r="B759" s="2">
        <v>45292</v>
      </c>
    </row>
    <row r="760" spans="1:3" ht="15" hidden="1" customHeight="1" x14ac:dyDescent="0.3">
      <c r="A760" t="s">
        <v>228</v>
      </c>
      <c r="B760" s="2">
        <v>45323</v>
      </c>
    </row>
    <row r="761" spans="1:3" ht="15" hidden="1" customHeight="1" x14ac:dyDescent="0.3">
      <c r="A761" t="s">
        <v>228</v>
      </c>
      <c r="B761" s="2">
        <v>45352</v>
      </c>
    </row>
    <row r="762" spans="1:3" ht="15" hidden="1" customHeight="1" x14ac:dyDescent="0.3">
      <c r="A762" t="s">
        <v>228</v>
      </c>
      <c r="B762" s="2">
        <v>45383</v>
      </c>
    </row>
    <row r="763" spans="1:3" ht="15" hidden="1" customHeight="1" x14ac:dyDescent="0.3">
      <c r="A763" t="s">
        <v>228</v>
      </c>
      <c r="B763" s="2">
        <v>45413</v>
      </c>
    </row>
    <row r="764" spans="1:3" ht="15" hidden="1" customHeight="1" x14ac:dyDescent="0.3">
      <c r="A764" t="s">
        <v>228</v>
      </c>
      <c r="B764" s="2">
        <v>45444</v>
      </c>
    </row>
    <row r="765" spans="1:3" ht="15" hidden="1" customHeight="1" x14ac:dyDescent="0.3">
      <c r="A765" t="s">
        <v>228</v>
      </c>
      <c r="B765" s="2">
        <v>45474</v>
      </c>
    </row>
    <row r="766" spans="1:3" ht="15" hidden="1" customHeight="1" x14ac:dyDescent="0.3">
      <c r="A766" t="s">
        <v>228</v>
      </c>
      <c r="B766" s="2">
        <v>45505</v>
      </c>
    </row>
    <row r="767" spans="1:3" ht="15" hidden="1" customHeight="1" x14ac:dyDescent="0.3">
      <c r="A767" t="s">
        <v>228</v>
      </c>
      <c r="B767" s="2">
        <v>45536</v>
      </c>
    </row>
    <row r="768" spans="1:3" ht="15" hidden="1" customHeight="1" x14ac:dyDescent="0.3">
      <c r="A768" t="s">
        <v>228</v>
      </c>
      <c r="B768" s="2">
        <v>45566</v>
      </c>
    </row>
    <row r="769" spans="1:2" ht="15" hidden="1" customHeight="1" x14ac:dyDescent="0.3">
      <c r="A769" t="s">
        <v>228</v>
      </c>
      <c r="B769" s="2">
        <v>45597</v>
      </c>
    </row>
    <row r="770" spans="1:2" ht="15" hidden="1" customHeight="1" x14ac:dyDescent="0.3">
      <c r="A770" t="s">
        <v>228</v>
      </c>
      <c r="B770" s="2">
        <v>45627</v>
      </c>
    </row>
    <row r="771" spans="1:2" ht="15" hidden="1" customHeight="1" x14ac:dyDescent="0.3">
      <c r="A771" t="s">
        <v>228</v>
      </c>
      <c r="B771" s="2">
        <v>45658</v>
      </c>
    </row>
    <row r="772" spans="1:2" ht="15" hidden="1" customHeight="1" x14ac:dyDescent="0.3">
      <c r="A772" t="s">
        <v>228</v>
      </c>
      <c r="B772" s="2">
        <v>45689</v>
      </c>
    </row>
    <row r="773" spans="1:2" ht="15" hidden="1" customHeight="1" x14ac:dyDescent="0.3">
      <c r="A773" t="s">
        <v>228</v>
      </c>
      <c r="B773" s="2">
        <v>45717</v>
      </c>
    </row>
    <row r="774" spans="1:2" ht="15" hidden="1" customHeight="1" x14ac:dyDescent="0.3">
      <c r="A774" t="s">
        <v>228</v>
      </c>
      <c r="B774" s="2">
        <v>45748</v>
      </c>
    </row>
    <row r="775" spans="1:2" ht="15" hidden="1" customHeight="1" x14ac:dyDescent="0.3">
      <c r="A775" t="s">
        <v>228</v>
      </c>
      <c r="B775" s="2">
        <v>45778</v>
      </c>
    </row>
    <row r="776" spans="1:2" ht="15" hidden="1" customHeight="1" x14ac:dyDescent="0.3">
      <c r="A776" t="s">
        <v>228</v>
      </c>
      <c r="B776" s="2">
        <v>45809</v>
      </c>
    </row>
    <row r="777" spans="1:2" ht="15" hidden="1" customHeight="1" x14ac:dyDescent="0.3">
      <c r="A777" t="s">
        <v>228</v>
      </c>
      <c r="B777" s="2">
        <v>45839</v>
      </c>
    </row>
    <row r="778" spans="1:2" ht="15" hidden="1" customHeight="1" x14ac:dyDescent="0.3">
      <c r="A778" t="s">
        <v>228</v>
      </c>
      <c r="B778" s="2">
        <v>45870</v>
      </c>
    </row>
    <row r="779" spans="1:2" ht="15" hidden="1" customHeight="1" x14ac:dyDescent="0.3">
      <c r="A779" t="s">
        <v>228</v>
      </c>
      <c r="B779" s="2">
        <v>45901</v>
      </c>
    </row>
    <row r="780" spans="1:2" ht="15" hidden="1" customHeight="1" x14ac:dyDescent="0.3">
      <c r="A780" t="s">
        <v>228</v>
      </c>
      <c r="B780" s="2">
        <v>45931</v>
      </c>
    </row>
    <row r="781" spans="1:2" ht="15" hidden="1" customHeight="1" x14ac:dyDescent="0.3">
      <c r="A781" t="s">
        <v>228</v>
      </c>
      <c r="B781" s="2">
        <v>45962</v>
      </c>
    </row>
    <row r="782" spans="1:2" ht="15" hidden="1" customHeight="1" x14ac:dyDescent="0.3">
      <c r="A782" t="s">
        <v>228</v>
      </c>
      <c r="B782" s="2">
        <v>45992</v>
      </c>
    </row>
    <row r="783" spans="1:2" ht="15" hidden="1" customHeight="1" x14ac:dyDescent="0.3">
      <c r="A783" t="s">
        <v>228</v>
      </c>
      <c r="B783" s="2">
        <v>46023</v>
      </c>
    </row>
    <row r="784" spans="1:2" ht="15" hidden="1" customHeight="1" x14ac:dyDescent="0.3">
      <c r="A784" t="s">
        <v>228</v>
      </c>
      <c r="B784" s="2">
        <v>46054</v>
      </c>
    </row>
    <row r="785" spans="1:3" ht="15" hidden="1" customHeight="1" x14ac:dyDescent="0.3">
      <c r="A785" t="s">
        <v>228</v>
      </c>
      <c r="B785" s="2">
        <v>46082</v>
      </c>
      <c r="C785">
        <v>2780</v>
      </c>
    </row>
    <row r="786" spans="1:3" ht="15" hidden="1" customHeight="1" x14ac:dyDescent="0.3">
      <c r="A786" t="s">
        <v>228</v>
      </c>
      <c r="B786" s="2">
        <v>46113</v>
      </c>
      <c r="C786">
        <v>14950</v>
      </c>
    </row>
    <row r="787" spans="1:3" ht="15" hidden="1" customHeight="1" x14ac:dyDescent="0.3">
      <c r="A787" t="s">
        <v>228</v>
      </c>
      <c r="B787" s="2">
        <v>46143</v>
      </c>
      <c r="C787" s="12">
        <v>6540</v>
      </c>
    </row>
    <row r="788" spans="1:3" ht="15" hidden="1" customHeight="1" x14ac:dyDescent="0.3">
      <c r="A788" t="s">
        <v>228</v>
      </c>
      <c r="B788" s="2">
        <v>46174</v>
      </c>
      <c r="C788">
        <v>7560</v>
      </c>
    </row>
    <row r="789" spans="1:3" ht="15" customHeight="1" x14ac:dyDescent="0.3">
      <c r="A789" t="s">
        <v>102</v>
      </c>
      <c r="B789" s="2">
        <v>46204</v>
      </c>
      <c r="C789">
        <v>4112</v>
      </c>
    </row>
    <row r="790" spans="1:3" ht="15" hidden="1" customHeight="1" x14ac:dyDescent="0.3">
      <c r="A790" t="s">
        <v>228</v>
      </c>
      <c r="B790" s="2">
        <v>46235</v>
      </c>
    </row>
    <row r="791" spans="1:3" ht="15" hidden="1" customHeight="1" x14ac:dyDescent="0.3">
      <c r="A791" t="s">
        <v>228</v>
      </c>
      <c r="B791" s="2">
        <v>46266</v>
      </c>
    </row>
    <row r="792" spans="1:3" ht="15" hidden="1" customHeight="1" x14ac:dyDescent="0.3">
      <c r="A792" t="s">
        <v>228</v>
      </c>
      <c r="B792" s="2">
        <v>46296</v>
      </c>
    </row>
    <row r="793" spans="1:3" ht="15" hidden="1" customHeight="1" x14ac:dyDescent="0.3">
      <c r="A793" t="s">
        <v>228</v>
      </c>
      <c r="B793" s="2">
        <v>46327</v>
      </c>
    </row>
    <row r="794" spans="1:3" ht="15" hidden="1" customHeight="1" x14ac:dyDescent="0.3">
      <c r="A794" t="s">
        <v>228</v>
      </c>
      <c r="B794" s="2">
        <v>46357</v>
      </c>
    </row>
    <row r="795" spans="1:3" ht="15" hidden="1" customHeight="1" x14ac:dyDescent="0.3">
      <c r="A795" t="s">
        <v>109</v>
      </c>
      <c r="B795" s="2">
        <v>45292</v>
      </c>
    </row>
    <row r="796" spans="1:3" ht="15" hidden="1" customHeight="1" x14ac:dyDescent="0.3">
      <c r="A796" t="s">
        <v>109</v>
      </c>
      <c r="B796" s="2">
        <v>45323</v>
      </c>
    </row>
    <row r="797" spans="1:3" ht="15" hidden="1" customHeight="1" x14ac:dyDescent="0.3">
      <c r="A797" t="s">
        <v>109</v>
      </c>
      <c r="B797" s="2">
        <v>45352</v>
      </c>
    </row>
    <row r="798" spans="1:3" ht="15" hidden="1" customHeight="1" x14ac:dyDescent="0.3">
      <c r="A798" t="s">
        <v>109</v>
      </c>
      <c r="B798" s="2">
        <v>45383</v>
      </c>
    </row>
    <row r="799" spans="1:3" ht="15" hidden="1" customHeight="1" x14ac:dyDescent="0.3">
      <c r="A799" t="s">
        <v>109</v>
      </c>
      <c r="B799" s="2">
        <v>45413</v>
      </c>
    </row>
    <row r="800" spans="1:3" ht="15" hidden="1" customHeight="1" x14ac:dyDescent="0.3">
      <c r="A800" t="s">
        <v>109</v>
      </c>
      <c r="B800" s="2">
        <v>45444</v>
      </c>
      <c r="C800">
        <v>1659</v>
      </c>
    </row>
    <row r="801" spans="1:3" ht="15" hidden="1" customHeight="1" x14ac:dyDescent="0.3">
      <c r="A801" t="s">
        <v>109</v>
      </c>
      <c r="B801" s="2">
        <v>45474</v>
      </c>
      <c r="C801">
        <v>2542</v>
      </c>
    </row>
    <row r="802" spans="1:3" ht="15" hidden="1" customHeight="1" x14ac:dyDescent="0.3">
      <c r="A802" t="s">
        <v>109</v>
      </c>
      <c r="B802" s="2">
        <v>45505</v>
      </c>
      <c r="C802">
        <v>2833</v>
      </c>
    </row>
    <row r="803" spans="1:3" ht="15" hidden="1" customHeight="1" x14ac:dyDescent="0.3">
      <c r="A803" t="s">
        <v>109</v>
      </c>
      <c r="B803" s="2">
        <v>45536</v>
      </c>
      <c r="C803">
        <v>2688</v>
      </c>
    </row>
    <row r="804" spans="1:3" ht="15" hidden="1" customHeight="1" x14ac:dyDescent="0.3">
      <c r="A804" t="s">
        <v>109</v>
      </c>
      <c r="B804" s="2">
        <v>45566</v>
      </c>
      <c r="C804">
        <v>3664</v>
      </c>
    </row>
    <row r="805" spans="1:3" ht="15" hidden="1" customHeight="1" x14ac:dyDescent="0.3">
      <c r="A805" t="s">
        <v>109</v>
      </c>
      <c r="B805" s="2">
        <v>45597</v>
      </c>
      <c r="C805">
        <v>3499</v>
      </c>
    </row>
    <row r="806" spans="1:3" ht="15" hidden="1" customHeight="1" x14ac:dyDescent="0.3">
      <c r="A806" t="s">
        <v>109</v>
      </c>
      <c r="B806" s="2">
        <v>45627</v>
      </c>
      <c r="C806">
        <v>2842</v>
      </c>
    </row>
    <row r="807" spans="1:3" ht="15" hidden="1" customHeight="1" x14ac:dyDescent="0.3">
      <c r="A807" t="s">
        <v>109</v>
      </c>
      <c r="B807" s="2">
        <v>45658</v>
      </c>
      <c r="C807">
        <v>3075</v>
      </c>
    </row>
    <row r="808" spans="1:3" ht="15" hidden="1" customHeight="1" x14ac:dyDescent="0.3">
      <c r="A808" t="s">
        <v>109</v>
      </c>
      <c r="B808" s="2">
        <v>45689</v>
      </c>
      <c r="C808">
        <v>3328</v>
      </c>
    </row>
    <row r="809" spans="1:3" ht="15" hidden="1" customHeight="1" x14ac:dyDescent="0.3">
      <c r="A809" t="s">
        <v>109</v>
      </c>
      <c r="B809" s="2">
        <v>45717</v>
      </c>
      <c r="C809">
        <v>2317</v>
      </c>
    </row>
    <row r="810" spans="1:3" ht="15" hidden="1" customHeight="1" x14ac:dyDescent="0.3">
      <c r="A810" t="s">
        <v>109</v>
      </c>
      <c r="B810" s="2">
        <v>45748</v>
      </c>
      <c r="C810">
        <v>3007</v>
      </c>
    </row>
    <row r="811" spans="1:3" ht="15" hidden="1" customHeight="1" x14ac:dyDescent="0.3">
      <c r="A811" t="s">
        <v>109</v>
      </c>
      <c r="B811" s="2">
        <v>45778</v>
      </c>
      <c r="C811">
        <v>3516</v>
      </c>
    </row>
    <row r="812" spans="1:3" ht="15" hidden="1" customHeight="1" x14ac:dyDescent="0.3">
      <c r="A812" t="s">
        <v>109</v>
      </c>
      <c r="B812" s="2">
        <v>45809</v>
      </c>
      <c r="C812">
        <v>2912.8</v>
      </c>
    </row>
    <row r="813" spans="1:3" ht="15" hidden="1" customHeight="1" x14ac:dyDescent="0.3">
      <c r="A813" t="s">
        <v>109</v>
      </c>
      <c r="B813" s="2">
        <v>45839</v>
      </c>
      <c r="C813">
        <v>2789</v>
      </c>
    </row>
    <row r="814" spans="1:3" ht="15" hidden="1" customHeight="1" x14ac:dyDescent="0.3">
      <c r="A814" t="s">
        <v>109</v>
      </c>
      <c r="B814" s="2">
        <v>45870</v>
      </c>
      <c r="C814">
        <v>3342</v>
      </c>
    </row>
    <row r="815" spans="1:3" ht="15" hidden="1" customHeight="1" x14ac:dyDescent="0.3">
      <c r="A815" t="s">
        <v>109</v>
      </c>
      <c r="B815" s="2">
        <v>45901</v>
      </c>
      <c r="C815">
        <v>3079</v>
      </c>
    </row>
    <row r="816" spans="1:3" ht="15" hidden="1" customHeight="1" x14ac:dyDescent="0.3">
      <c r="A816" t="s">
        <v>109</v>
      </c>
      <c r="B816" s="2">
        <v>45931</v>
      </c>
      <c r="C816">
        <v>3708</v>
      </c>
    </row>
    <row r="817" spans="1:3" ht="15" hidden="1" customHeight="1" x14ac:dyDescent="0.3">
      <c r="A817" t="s">
        <v>109</v>
      </c>
      <c r="B817" s="2">
        <v>45962</v>
      </c>
      <c r="C817">
        <v>2852</v>
      </c>
    </row>
    <row r="818" spans="1:3" ht="15" hidden="1" customHeight="1" x14ac:dyDescent="0.3">
      <c r="A818" t="s">
        <v>109</v>
      </c>
      <c r="B818" s="2">
        <v>45992</v>
      </c>
      <c r="C818">
        <v>2386</v>
      </c>
    </row>
    <row r="819" spans="1:3" ht="15" hidden="1" customHeight="1" x14ac:dyDescent="0.3">
      <c r="A819" t="s">
        <v>109</v>
      </c>
      <c r="B819" s="2">
        <v>46023</v>
      </c>
      <c r="C819">
        <v>1855</v>
      </c>
    </row>
    <row r="820" spans="1:3" ht="15" hidden="1" customHeight="1" x14ac:dyDescent="0.3">
      <c r="A820" t="s">
        <v>109</v>
      </c>
      <c r="B820" s="2">
        <v>46054</v>
      </c>
      <c r="C820">
        <v>3786</v>
      </c>
    </row>
    <row r="821" spans="1:3" ht="15" hidden="1" customHeight="1" x14ac:dyDescent="0.3">
      <c r="A821" t="s">
        <v>109</v>
      </c>
      <c r="B821" s="2">
        <v>46082</v>
      </c>
      <c r="C821">
        <v>2926</v>
      </c>
    </row>
    <row r="822" spans="1:3" ht="15" hidden="1" customHeight="1" x14ac:dyDescent="0.3">
      <c r="A822" t="s">
        <v>109</v>
      </c>
      <c r="B822" s="2">
        <v>46113</v>
      </c>
      <c r="C822">
        <v>1520</v>
      </c>
    </row>
    <row r="823" spans="1:3" ht="15" hidden="1" customHeight="1" x14ac:dyDescent="0.3">
      <c r="A823" t="s">
        <v>109</v>
      </c>
      <c r="B823" s="2">
        <v>46143</v>
      </c>
      <c r="C823" s="12">
        <v>2675.6</v>
      </c>
    </row>
    <row r="824" spans="1:3" ht="15" hidden="1" customHeight="1" x14ac:dyDescent="0.3">
      <c r="A824" t="s">
        <v>109</v>
      </c>
      <c r="B824" s="2">
        <v>46174</v>
      </c>
      <c r="C824">
        <v>2896</v>
      </c>
    </row>
    <row r="825" spans="1:3" ht="15" customHeight="1" x14ac:dyDescent="0.3">
      <c r="A825" t="s">
        <v>104</v>
      </c>
      <c r="B825" s="2">
        <v>46204</v>
      </c>
      <c r="C825">
        <v>857</v>
      </c>
    </row>
    <row r="826" spans="1:3" ht="15" hidden="1" customHeight="1" x14ac:dyDescent="0.3">
      <c r="A826" t="s">
        <v>109</v>
      </c>
      <c r="B826" s="2">
        <v>46235</v>
      </c>
    </row>
    <row r="827" spans="1:3" ht="15" hidden="1" customHeight="1" x14ac:dyDescent="0.3">
      <c r="A827" t="s">
        <v>109</v>
      </c>
      <c r="B827" s="2">
        <v>46266</v>
      </c>
    </row>
    <row r="828" spans="1:3" ht="15" hidden="1" customHeight="1" x14ac:dyDescent="0.3">
      <c r="A828" t="s">
        <v>109</v>
      </c>
      <c r="B828" s="2">
        <v>46296</v>
      </c>
    </row>
    <row r="829" spans="1:3" ht="15" hidden="1" customHeight="1" x14ac:dyDescent="0.3">
      <c r="A829" t="s">
        <v>109</v>
      </c>
      <c r="B829" s="2">
        <v>46327</v>
      </c>
    </row>
    <row r="830" spans="1:3" ht="15" hidden="1" customHeight="1" x14ac:dyDescent="0.3">
      <c r="A830" t="s">
        <v>109</v>
      </c>
      <c r="B830" s="2">
        <v>46357</v>
      </c>
    </row>
    <row r="831" spans="1:3" ht="15" hidden="1" customHeight="1" x14ac:dyDescent="0.3">
      <c r="A831" t="s">
        <v>113</v>
      </c>
      <c r="B831" s="2">
        <v>45292</v>
      </c>
      <c r="C831">
        <v>32658</v>
      </c>
    </row>
    <row r="832" spans="1:3" ht="15" hidden="1" customHeight="1" x14ac:dyDescent="0.3">
      <c r="A832" t="s">
        <v>113</v>
      </c>
      <c r="B832" s="2">
        <v>45323</v>
      </c>
      <c r="C832">
        <v>26200</v>
      </c>
    </row>
    <row r="833" spans="1:3" ht="15" hidden="1" customHeight="1" x14ac:dyDescent="0.3">
      <c r="A833" t="s">
        <v>113</v>
      </c>
      <c r="B833" s="2">
        <v>45352</v>
      </c>
      <c r="C833">
        <v>23764</v>
      </c>
    </row>
    <row r="834" spans="1:3" ht="15" hidden="1" customHeight="1" x14ac:dyDescent="0.3">
      <c r="A834" t="s">
        <v>113</v>
      </c>
      <c r="B834" s="2">
        <v>45383</v>
      </c>
      <c r="C834">
        <v>17748</v>
      </c>
    </row>
    <row r="835" spans="1:3" ht="15" hidden="1" customHeight="1" x14ac:dyDescent="0.3">
      <c r="A835" t="s">
        <v>113</v>
      </c>
      <c r="B835" s="2">
        <v>45413</v>
      </c>
      <c r="C835">
        <v>12623</v>
      </c>
    </row>
    <row r="836" spans="1:3" ht="15" hidden="1" customHeight="1" x14ac:dyDescent="0.3">
      <c r="A836" t="s">
        <v>113</v>
      </c>
      <c r="B836" s="2">
        <v>45444</v>
      </c>
      <c r="C836">
        <v>9466</v>
      </c>
    </row>
    <row r="837" spans="1:3" ht="15" hidden="1" customHeight="1" x14ac:dyDescent="0.3">
      <c r="A837" t="s">
        <v>113</v>
      </c>
      <c r="B837" s="2">
        <v>45474</v>
      </c>
      <c r="C837">
        <v>8265</v>
      </c>
    </row>
    <row r="838" spans="1:3" ht="15" hidden="1" customHeight="1" x14ac:dyDescent="0.3">
      <c r="A838" t="s">
        <v>113</v>
      </c>
      <c r="B838" s="2">
        <v>45505</v>
      </c>
      <c r="C838">
        <v>14669</v>
      </c>
    </row>
    <row r="839" spans="1:3" ht="15" hidden="1" customHeight="1" x14ac:dyDescent="0.3">
      <c r="A839" t="s">
        <v>113</v>
      </c>
      <c r="B839" s="2">
        <v>45536</v>
      </c>
      <c r="C839">
        <v>20334</v>
      </c>
    </row>
    <row r="840" spans="1:3" ht="15" hidden="1" customHeight="1" x14ac:dyDescent="0.3">
      <c r="A840" t="s">
        <v>113</v>
      </c>
      <c r="B840" s="2">
        <v>45566</v>
      </c>
      <c r="C840">
        <v>26318</v>
      </c>
    </row>
    <row r="841" spans="1:3" ht="15" hidden="1" customHeight="1" x14ac:dyDescent="0.3">
      <c r="A841" t="s">
        <v>113</v>
      </c>
      <c r="B841" s="2">
        <v>45597</v>
      </c>
      <c r="C841">
        <v>29589</v>
      </c>
    </row>
    <row r="842" spans="1:3" ht="15" hidden="1" customHeight="1" x14ac:dyDescent="0.3">
      <c r="A842" t="s">
        <v>113</v>
      </c>
      <c r="B842" s="2">
        <v>45627</v>
      </c>
      <c r="C842">
        <v>31807</v>
      </c>
    </row>
    <row r="843" spans="1:3" ht="15" hidden="1" customHeight="1" x14ac:dyDescent="0.3">
      <c r="A843" t="s">
        <v>113</v>
      </c>
      <c r="B843" s="2">
        <v>45658</v>
      </c>
      <c r="C843">
        <v>32545</v>
      </c>
    </row>
    <row r="844" spans="1:3" ht="15" hidden="1" customHeight="1" x14ac:dyDescent="0.3">
      <c r="A844" t="s">
        <v>113</v>
      </c>
      <c r="B844" s="2">
        <v>45689</v>
      </c>
      <c r="C844">
        <v>20706</v>
      </c>
    </row>
    <row r="845" spans="1:3" ht="15" hidden="1" customHeight="1" x14ac:dyDescent="0.3">
      <c r="A845" t="s">
        <v>113</v>
      </c>
      <c r="B845" s="2">
        <v>45717</v>
      </c>
      <c r="C845">
        <v>16650</v>
      </c>
    </row>
    <row r="846" spans="1:3" ht="15" hidden="1" customHeight="1" x14ac:dyDescent="0.3">
      <c r="A846" t="s">
        <v>113</v>
      </c>
      <c r="B846" s="2">
        <v>45748</v>
      </c>
      <c r="C846">
        <v>13216</v>
      </c>
    </row>
    <row r="847" spans="1:3" ht="15" hidden="1" customHeight="1" x14ac:dyDescent="0.3">
      <c r="A847" t="s">
        <v>113</v>
      </c>
      <c r="B847" s="2">
        <v>45778</v>
      </c>
      <c r="C847">
        <v>8710</v>
      </c>
    </row>
    <row r="848" spans="1:3" ht="15" hidden="1" customHeight="1" x14ac:dyDescent="0.3">
      <c r="A848" t="s">
        <v>113</v>
      </c>
      <c r="B848" s="2">
        <v>45809</v>
      </c>
      <c r="C848">
        <v>7500.92</v>
      </c>
    </row>
    <row r="849" spans="1:3" ht="15" hidden="1" customHeight="1" x14ac:dyDescent="0.3">
      <c r="A849" t="s">
        <v>113</v>
      </c>
      <c r="B849" s="2">
        <v>45839</v>
      </c>
      <c r="C849">
        <v>9649</v>
      </c>
    </row>
    <row r="850" spans="1:3" ht="15" hidden="1" customHeight="1" x14ac:dyDescent="0.3">
      <c r="A850" t="s">
        <v>113</v>
      </c>
      <c r="B850" s="2">
        <v>45870</v>
      </c>
      <c r="C850">
        <v>13424</v>
      </c>
    </row>
    <row r="851" spans="1:3" ht="15" hidden="1" customHeight="1" x14ac:dyDescent="0.3">
      <c r="A851" t="s">
        <v>113</v>
      </c>
      <c r="B851" s="2">
        <v>45901</v>
      </c>
      <c r="C851">
        <v>19447</v>
      </c>
    </row>
    <row r="852" spans="1:3" ht="15" hidden="1" customHeight="1" x14ac:dyDescent="0.3">
      <c r="A852" t="s">
        <v>113</v>
      </c>
      <c r="B852" s="2">
        <v>45931</v>
      </c>
      <c r="C852">
        <v>33678</v>
      </c>
    </row>
    <row r="853" spans="1:3" ht="15" hidden="1" customHeight="1" x14ac:dyDescent="0.3">
      <c r="A853" t="s">
        <v>113</v>
      </c>
      <c r="B853" s="2">
        <v>45962</v>
      </c>
      <c r="C853">
        <v>40164</v>
      </c>
    </row>
    <row r="854" spans="1:3" ht="15" hidden="1" customHeight="1" x14ac:dyDescent="0.3">
      <c r="A854" t="s">
        <v>113</v>
      </c>
      <c r="B854" s="2">
        <v>45992</v>
      </c>
      <c r="C854">
        <v>42482</v>
      </c>
    </row>
    <row r="855" spans="1:3" ht="15" hidden="1" customHeight="1" x14ac:dyDescent="0.3">
      <c r="A855" t="s">
        <v>113</v>
      </c>
      <c r="B855" s="2">
        <v>46023</v>
      </c>
      <c r="C855">
        <v>40719</v>
      </c>
    </row>
    <row r="856" spans="1:3" ht="15" hidden="1" customHeight="1" x14ac:dyDescent="0.3">
      <c r="A856" t="s">
        <v>113</v>
      </c>
      <c r="B856" s="2">
        <v>46054</v>
      </c>
      <c r="C856">
        <v>29862</v>
      </c>
    </row>
    <row r="857" spans="1:3" ht="15" hidden="1" customHeight="1" x14ac:dyDescent="0.3">
      <c r="A857" t="s">
        <v>113</v>
      </c>
      <c r="B857" s="2">
        <v>46082</v>
      </c>
      <c r="C857">
        <v>30793</v>
      </c>
    </row>
    <row r="858" spans="1:3" ht="15" hidden="1" customHeight="1" x14ac:dyDescent="0.3">
      <c r="A858" t="s">
        <v>113</v>
      </c>
      <c r="B858" s="2">
        <v>46113</v>
      </c>
      <c r="C858">
        <v>19657.41</v>
      </c>
    </row>
    <row r="859" spans="1:3" ht="15" hidden="1" customHeight="1" x14ac:dyDescent="0.3">
      <c r="A859" t="s">
        <v>113</v>
      </c>
      <c r="B859" s="2">
        <v>46143</v>
      </c>
      <c r="C859" s="12">
        <v>14538.69</v>
      </c>
    </row>
    <row r="860" spans="1:3" ht="15" hidden="1" customHeight="1" x14ac:dyDescent="0.3">
      <c r="A860" t="s">
        <v>113</v>
      </c>
      <c r="B860" s="2">
        <v>46174</v>
      </c>
      <c r="C860">
        <v>14538.69</v>
      </c>
    </row>
    <row r="861" spans="1:3" ht="15" customHeight="1" x14ac:dyDescent="0.3">
      <c r="A861" t="s">
        <v>107</v>
      </c>
      <c r="B861" s="2">
        <v>46204</v>
      </c>
      <c r="C861">
        <v>1400</v>
      </c>
    </row>
    <row r="862" spans="1:3" ht="15" hidden="1" customHeight="1" x14ac:dyDescent="0.3">
      <c r="A862" t="s">
        <v>113</v>
      </c>
      <c r="B862" s="2">
        <v>46235</v>
      </c>
    </row>
    <row r="863" spans="1:3" ht="15" hidden="1" customHeight="1" x14ac:dyDescent="0.3">
      <c r="A863" t="s">
        <v>113</v>
      </c>
      <c r="B863" s="2">
        <v>46266</v>
      </c>
    </row>
    <row r="864" spans="1:3" ht="15" hidden="1" customHeight="1" x14ac:dyDescent="0.3">
      <c r="A864" t="s">
        <v>113</v>
      </c>
      <c r="B864" s="2">
        <v>46296</v>
      </c>
    </row>
    <row r="865" spans="1:3" ht="15" hidden="1" customHeight="1" x14ac:dyDescent="0.3">
      <c r="A865" t="s">
        <v>113</v>
      </c>
      <c r="B865" s="2">
        <v>46327</v>
      </c>
    </row>
    <row r="866" spans="1:3" ht="15" hidden="1" customHeight="1" x14ac:dyDescent="0.3">
      <c r="A866" t="s">
        <v>113</v>
      </c>
      <c r="B866" s="2">
        <v>46357</v>
      </c>
    </row>
    <row r="867" spans="1:3" ht="15" hidden="1" customHeight="1" x14ac:dyDescent="0.3">
      <c r="A867" t="s">
        <v>114</v>
      </c>
      <c r="B867" s="2">
        <v>45292</v>
      </c>
      <c r="C867">
        <v>17880</v>
      </c>
    </row>
    <row r="868" spans="1:3" ht="15" hidden="1" customHeight="1" x14ac:dyDescent="0.3">
      <c r="A868" t="s">
        <v>114</v>
      </c>
      <c r="B868" s="2">
        <v>45323</v>
      </c>
      <c r="C868">
        <v>18790</v>
      </c>
    </row>
    <row r="869" spans="1:3" ht="15" hidden="1" customHeight="1" x14ac:dyDescent="0.3">
      <c r="A869" t="s">
        <v>114</v>
      </c>
      <c r="B869" s="2">
        <v>45352</v>
      </c>
      <c r="C869">
        <v>22610</v>
      </c>
    </row>
    <row r="870" spans="1:3" ht="15" hidden="1" customHeight="1" x14ac:dyDescent="0.3">
      <c r="A870" t="s">
        <v>114</v>
      </c>
      <c r="B870" s="2">
        <v>45383</v>
      </c>
      <c r="C870">
        <v>20030</v>
      </c>
    </row>
    <row r="871" spans="1:3" ht="15" hidden="1" customHeight="1" x14ac:dyDescent="0.3">
      <c r="A871" t="s">
        <v>114</v>
      </c>
      <c r="B871" s="2">
        <v>45413</v>
      </c>
      <c r="C871">
        <v>17820</v>
      </c>
    </row>
    <row r="872" spans="1:3" ht="15" hidden="1" customHeight="1" x14ac:dyDescent="0.3">
      <c r="A872" t="s">
        <v>114</v>
      </c>
      <c r="B872" s="2">
        <v>45444</v>
      </c>
      <c r="C872">
        <v>11000</v>
      </c>
    </row>
    <row r="873" spans="1:3" ht="15" hidden="1" customHeight="1" x14ac:dyDescent="0.3">
      <c r="A873" t="s">
        <v>114</v>
      </c>
      <c r="B873" s="2">
        <v>45474</v>
      </c>
      <c r="C873">
        <v>17460</v>
      </c>
    </row>
    <row r="874" spans="1:3" ht="15" hidden="1" customHeight="1" x14ac:dyDescent="0.3">
      <c r="A874" t="s">
        <v>114</v>
      </c>
      <c r="B874" s="2">
        <v>45505</v>
      </c>
      <c r="C874">
        <v>24290</v>
      </c>
    </row>
    <row r="875" spans="1:3" ht="15" hidden="1" customHeight="1" x14ac:dyDescent="0.3">
      <c r="A875" t="s">
        <v>114</v>
      </c>
      <c r="B875" s="2">
        <v>45536</v>
      </c>
      <c r="C875">
        <v>22510</v>
      </c>
    </row>
    <row r="876" spans="1:3" ht="15" hidden="1" customHeight="1" x14ac:dyDescent="0.3">
      <c r="A876" t="s">
        <v>114</v>
      </c>
      <c r="B876" s="2">
        <v>45566</v>
      </c>
      <c r="C876">
        <v>31780</v>
      </c>
    </row>
    <row r="877" spans="1:3" ht="15" hidden="1" customHeight="1" x14ac:dyDescent="0.3">
      <c r="A877" t="s">
        <v>114</v>
      </c>
      <c r="B877" s="2">
        <v>45597</v>
      </c>
      <c r="C877">
        <v>30100</v>
      </c>
    </row>
    <row r="878" spans="1:3" ht="15" hidden="1" customHeight="1" x14ac:dyDescent="0.3">
      <c r="A878" t="s">
        <v>114</v>
      </c>
      <c r="B878" s="2">
        <v>45627</v>
      </c>
      <c r="C878">
        <v>17966</v>
      </c>
    </row>
    <row r="879" spans="1:3" ht="15" hidden="1" customHeight="1" x14ac:dyDescent="0.3">
      <c r="A879" t="s">
        <v>114</v>
      </c>
      <c r="B879" s="2">
        <v>45658</v>
      </c>
      <c r="C879">
        <v>20808</v>
      </c>
    </row>
    <row r="880" spans="1:3" ht="15" hidden="1" customHeight="1" x14ac:dyDescent="0.3">
      <c r="A880" t="s">
        <v>114</v>
      </c>
      <c r="B880" s="2">
        <v>45689</v>
      </c>
      <c r="C880">
        <v>21538</v>
      </c>
    </row>
    <row r="881" spans="1:3" ht="15" hidden="1" customHeight="1" x14ac:dyDescent="0.3">
      <c r="A881" t="s">
        <v>114</v>
      </c>
      <c r="B881" s="2">
        <v>45717</v>
      </c>
      <c r="C881">
        <v>22662</v>
      </c>
    </row>
    <row r="882" spans="1:3" ht="15" hidden="1" customHeight="1" x14ac:dyDescent="0.3">
      <c r="A882" t="s">
        <v>114</v>
      </c>
      <c r="B882" s="2">
        <v>45748</v>
      </c>
      <c r="C882">
        <v>17413</v>
      </c>
    </row>
    <row r="883" spans="1:3" ht="15" hidden="1" customHeight="1" x14ac:dyDescent="0.3">
      <c r="A883" t="s">
        <v>114</v>
      </c>
      <c r="B883" s="2">
        <v>45778</v>
      </c>
      <c r="C883">
        <v>20430</v>
      </c>
    </row>
    <row r="884" spans="1:3" ht="15" hidden="1" customHeight="1" x14ac:dyDescent="0.3">
      <c r="A884" t="s">
        <v>114</v>
      </c>
      <c r="B884" s="2">
        <v>45809</v>
      </c>
      <c r="C884">
        <v>18398.740000000002</v>
      </c>
    </row>
    <row r="885" spans="1:3" ht="15" hidden="1" customHeight="1" x14ac:dyDescent="0.3">
      <c r="A885" t="s">
        <v>114</v>
      </c>
      <c r="B885" s="2">
        <v>45839</v>
      </c>
      <c r="C885">
        <v>19115</v>
      </c>
    </row>
    <row r="886" spans="1:3" ht="15" hidden="1" customHeight="1" x14ac:dyDescent="0.3">
      <c r="A886" t="s">
        <v>114</v>
      </c>
      <c r="B886" s="2">
        <v>45870</v>
      </c>
      <c r="C886">
        <v>21942</v>
      </c>
    </row>
    <row r="887" spans="1:3" ht="15" hidden="1" customHeight="1" x14ac:dyDescent="0.3">
      <c r="A887" t="s">
        <v>114</v>
      </c>
      <c r="B887" s="2">
        <v>45901</v>
      </c>
      <c r="C887">
        <v>21707</v>
      </c>
    </row>
    <row r="888" spans="1:3" ht="15" hidden="1" customHeight="1" x14ac:dyDescent="0.3">
      <c r="A888" t="s">
        <v>114</v>
      </c>
      <c r="B888" s="2">
        <v>45931</v>
      </c>
      <c r="C888">
        <v>28392</v>
      </c>
    </row>
    <row r="889" spans="1:3" ht="15" hidden="1" customHeight="1" x14ac:dyDescent="0.3">
      <c r="A889" t="s">
        <v>114</v>
      </c>
      <c r="B889" s="2">
        <v>45962</v>
      </c>
      <c r="C889">
        <v>24635</v>
      </c>
    </row>
    <row r="890" spans="1:3" ht="15" hidden="1" customHeight="1" x14ac:dyDescent="0.3">
      <c r="A890" t="s">
        <v>114</v>
      </c>
      <c r="B890" s="2">
        <v>45992</v>
      </c>
      <c r="C890">
        <v>13946</v>
      </c>
    </row>
    <row r="891" spans="1:3" ht="15" hidden="1" customHeight="1" x14ac:dyDescent="0.3">
      <c r="A891" t="s">
        <v>114</v>
      </c>
      <c r="B891" s="2">
        <v>46023</v>
      </c>
      <c r="C891">
        <v>25775</v>
      </c>
    </row>
    <row r="892" spans="1:3" ht="15" hidden="1" customHeight="1" x14ac:dyDescent="0.3">
      <c r="A892" t="s">
        <v>114</v>
      </c>
      <c r="B892" s="2">
        <v>46054</v>
      </c>
      <c r="C892">
        <v>24391</v>
      </c>
    </row>
    <row r="893" spans="1:3" ht="15" hidden="1" customHeight="1" x14ac:dyDescent="0.3">
      <c r="A893" t="s">
        <v>114</v>
      </c>
      <c r="B893" s="2">
        <v>46082</v>
      </c>
      <c r="C893">
        <v>22838</v>
      </c>
    </row>
    <row r="894" spans="1:3" ht="15" hidden="1" customHeight="1" x14ac:dyDescent="0.3">
      <c r="A894" t="s">
        <v>114</v>
      </c>
      <c r="B894" s="2">
        <v>46113</v>
      </c>
      <c r="C894">
        <v>19038.02</v>
      </c>
    </row>
    <row r="895" spans="1:3" ht="15" hidden="1" customHeight="1" x14ac:dyDescent="0.3">
      <c r="A895" t="s">
        <v>114</v>
      </c>
      <c r="B895" s="2">
        <v>46143</v>
      </c>
      <c r="C895" s="12">
        <v>19892</v>
      </c>
    </row>
    <row r="896" spans="1:3" ht="15" customHeight="1" x14ac:dyDescent="0.3">
      <c r="A896" t="s">
        <v>228</v>
      </c>
      <c r="B896" s="2">
        <v>46204</v>
      </c>
      <c r="C896">
        <v>8390</v>
      </c>
    </row>
    <row r="897" spans="1:3" ht="15" hidden="1" customHeight="1" x14ac:dyDescent="0.3">
      <c r="A897" t="s">
        <v>114</v>
      </c>
      <c r="B897" s="2">
        <v>46235</v>
      </c>
    </row>
    <row r="898" spans="1:3" ht="15" hidden="1" customHeight="1" x14ac:dyDescent="0.3">
      <c r="A898" t="s">
        <v>114</v>
      </c>
      <c r="B898" s="2">
        <v>46266</v>
      </c>
    </row>
    <row r="899" spans="1:3" ht="15" hidden="1" customHeight="1" x14ac:dyDescent="0.3">
      <c r="A899" t="s">
        <v>114</v>
      </c>
      <c r="B899" s="2">
        <v>46296</v>
      </c>
    </row>
    <row r="900" spans="1:3" ht="15" hidden="1" customHeight="1" x14ac:dyDescent="0.3">
      <c r="A900" t="s">
        <v>114</v>
      </c>
      <c r="B900" s="2">
        <v>46327</v>
      </c>
    </row>
    <row r="901" spans="1:3" ht="15" hidden="1" customHeight="1" x14ac:dyDescent="0.3">
      <c r="A901" t="s">
        <v>114</v>
      </c>
      <c r="B901" s="2">
        <v>46357</v>
      </c>
    </row>
    <row r="902" spans="1:3" ht="15" hidden="1" customHeight="1" x14ac:dyDescent="0.3">
      <c r="A902" t="s">
        <v>117</v>
      </c>
      <c r="B902" s="2">
        <v>45292</v>
      </c>
    </row>
    <row r="903" spans="1:3" ht="15" hidden="1" customHeight="1" x14ac:dyDescent="0.3">
      <c r="A903" t="s">
        <v>117</v>
      </c>
      <c r="B903" s="2">
        <v>45323</v>
      </c>
    </row>
    <row r="904" spans="1:3" ht="15" hidden="1" customHeight="1" x14ac:dyDescent="0.3">
      <c r="A904" t="s">
        <v>117</v>
      </c>
      <c r="B904" s="2">
        <v>45352</v>
      </c>
    </row>
    <row r="905" spans="1:3" ht="15" hidden="1" customHeight="1" x14ac:dyDescent="0.3">
      <c r="A905" t="s">
        <v>117</v>
      </c>
      <c r="B905" s="2">
        <v>45383</v>
      </c>
    </row>
    <row r="906" spans="1:3" ht="15" hidden="1" customHeight="1" x14ac:dyDescent="0.3">
      <c r="A906" t="s">
        <v>117</v>
      </c>
      <c r="B906" s="2">
        <v>45413</v>
      </c>
    </row>
    <row r="907" spans="1:3" ht="15" hidden="1" customHeight="1" x14ac:dyDescent="0.3">
      <c r="A907" t="s">
        <v>117</v>
      </c>
      <c r="B907" s="2">
        <v>45444</v>
      </c>
      <c r="C907">
        <v>5360</v>
      </c>
    </row>
    <row r="908" spans="1:3" ht="15" hidden="1" customHeight="1" x14ac:dyDescent="0.3">
      <c r="A908" t="s">
        <v>117</v>
      </c>
      <c r="B908" s="2">
        <v>45474</v>
      </c>
      <c r="C908">
        <v>22610</v>
      </c>
    </row>
    <row r="909" spans="1:3" ht="15" hidden="1" customHeight="1" x14ac:dyDescent="0.3">
      <c r="A909" t="s">
        <v>117</v>
      </c>
      <c r="B909" s="2">
        <v>45505</v>
      </c>
      <c r="C909">
        <v>23490</v>
      </c>
    </row>
    <row r="910" spans="1:3" ht="15" hidden="1" customHeight="1" x14ac:dyDescent="0.3">
      <c r="A910" t="s">
        <v>117</v>
      </c>
      <c r="B910" s="2">
        <v>45536</v>
      </c>
      <c r="C910">
        <v>20740</v>
      </c>
    </row>
    <row r="911" spans="1:3" ht="15" hidden="1" customHeight="1" x14ac:dyDescent="0.3">
      <c r="A911" t="s">
        <v>117</v>
      </c>
      <c r="B911" s="2">
        <v>45566</v>
      </c>
      <c r="C911">
        <v>32140</v>
      </c>
    </row>
    <row r="912" spans="1:3" ht="15" hidden="1" customHeight="1" x14ac:dyDescent="0.3">
      <c r="A912" t="s">
        <v>117</v>
      </c>
      <c r="B912" s="2">
        <v>45597</v>
      </c>
      <c r="C912">
        <v>32300</v>
      </c>
    </row>
    <row r="913" spans="1:3" ht="15" hidden="1" customHeight="1" x14ac:dyDescent="0.3">
      <c r="A913" t="s">
        <v>117</v>
      </c>
      <c r="B913" s="2">
        <v>45627</v>
      </c>
      <c r="C913">
        <v>29734</v>
      </c>
    </row>
    <row r="914" spans="1:3" ht="15" hidden="1" customHeight="1" x14ac:dyDescent="0.3">
      <c r="A914" t="s">
        <v>117</v>
      </c>
      <c r="B914" s="2">
        <v>45658</v>
      </c>
      <c r="C914">
        <v>30000</v>
      </c>
    </row>
    <row r="915" spans="1:3" ht="15" hidden="1" customHeight="1" x14ac:dyDescent="0.3">
      <c r="A915" t="s">
        <v>117</v>
      </c>
      <c r="B915" s="2">
        <v>45689</v>
      </c>
      <c r="C915">
        <v>20560</v>
      </c>
    </row>
    <row r="916" spans="1:3" ht="15" hidden="1" customHeight="1" x14ac:dyDescent="0.3">
      <c r="A916" t="s">
        <v>117</v>
      </c>
      <c r="B916" s="2">
        <v>45717</v>
      </c>
      <c r="C916">
        <v>19975</v>
      </c>
    </row>
    <row r="917" spans="1:3" ht="15" hidden="1" customHeight="1" x14ac:dyDescent="0.3">
      <c r="A917" t="s">
        <v>117</v>
      </c>
      <c r="B917" s="2">
        <v>45748</v>
      </c>
      <c r="C917">
        <v>19104</v>
      </c>
    </row>
    <row r="918" spans="1:3" ht="15" hidden="1" customHeight="1" x14ac:dyDescent="0.3">
      <c r="A918" t="s">
        <v>117</v>
      </c>
      <c r="B918" s="2">
        <v>45778</v>
      </c>
      <c r="C918">
        <v>23300</v>
      </c>
    </row>
    <row r="919" spans="1:3" ht="15" hidden="1" customHeight="1" x14ac:dyDescent="0.3">
      <c r="A919" t="s">
        <v>117</v>
      </c>
      <c r="B919" s="2">
        <v>45809</v>
      </c>
      <c r="C919">
        <v>17947.87</v>
      </c>
    </row>
    <row r="920" spans="1:3" ht="15" hidden="1" customHeight="1" x14ac:dyDescent="0.3">
      <c r="A920" t="s">
        <v>117</v>
      </c>
      <c r="B920" s="2">
        <v>45839</v>
      </c>
      <c r="C920">
        <v>13847</v>
      </c>
    </row>
    <row r="921" spans="1:3" ht="15" hidden="1" customHeight="1" x14ac:dyDescent="0.3">
      <c r="A921" t="s">
        <v>117</v>
      </c>
      <c r="B921" s="2">
        <v>45870</v>
      </c>
      <c r="C921">
        <v>22606</v>
      </c>
    </row>
    <row r="922" spans="1:3" ht="15" hidden="1" customHeight="1" x14ac:dyDescent="0.3">
      <c r="A922" t="s">
        <v>117</v>
      </c>
      <c r="B922" s="2">
        <v>45901</v>
      </c>
      <c r="C922">
        <v>23653</v>
      </c>
    </row>
    <row r="923" spans="1:3" ht="15" hidden="1" customHeight="1" x14ac:dyDescent="0.3">
      <c r="A923" t="s">
        <v>117</v>
      </c>
      <c r="B923" s="2">
        <v>45931</v>
      </c>
      <c r="C923">
        <v>29483</v>
      </c>
    </row>
    <row r="924" spans="1:3" ht="15" hidden="1" customHeight="1" x14ac:dyDescent="0.3">
      <c r="A924" t="s">
        <v>117</v>
      </c>
      <c r="B924" s="2">
        <v>45962</v>
      </c>
      <c r="C924">
        <v>22193</v>
      </c>
    </row>
    <row r="925" spans="1:3" ht="15" hidden="1" customHeight="1" x14ac:dyDescent="0.3">
      <c r="A925" t="s">
        <v>117</v>
      </c>
      <c r="B925" s="2">
        <v>45992</v>
      </c>
      <c r="C925">
        <v>27897</v>
      </c>
    </row>
    <row r="926" spans="1:3" ht="15" hidden="1" customHeight="1" x14ac:dyDescent="0.3">
      <c r="A926" t="s">
        <v>117</v>
      </c>
      <c r="B926" s="2">
        <v>46023</v>
      </c>
      <c r="C926">
        <v>26300</v>
      </c>
    </row>
    <row r="927" spans="1:3" ht="15" hidden="1" customHeight="1" x14ac:dyDescent="0.3">
      <c r="A927" t="s">
        <v>117</v>
      </c>
      <c r="B927" s="2">
        <v>46054</v>
      </c>
      <c r="C927">
        <v>27127.919000000002</v>
      </c>
    </row>
    <row r="928" spans="1:3" ht="15" hidden="1" customHeight="1" x14ac:dyDescent="0.3">
      <c r="A928" t="s">
        <v>117</v>
      </c>
      <c r="B928" s="2">
        <v>46082</v>
      </c>
      <c r="C928">
        <v>23100</v>
      </c>
    </row>
    <row r="929" spans="1:3" ht="15" hidden="1" customHeight="1" x14ac:dyDescent="0.3">
      <c r="A929" t="s">
        <v>117</v>
      </c>
      <c r="B929" s="2">
        <v>46113</v>
      </c>
      <c r="C929">
        <v>19981.060000000001</v>
      </c>
    </row>
    <row r="930" spans="1:3" ht="15" hidden="1" customHeight="1" x14ac:dyDescent="0.3">
      <c r="A930" t="s">
        <v>117</v>
      </c>
      <c r="B930" s="2">
        <v>46143</v>
      </c>
      <c r="C930" s="12">
        <v>20533.099999999999</v>
      </c>
    </row>
    <row r="931" spans="1:3" ht="15" hidden="1" customHeight="1" x14ac:dyDescent="0.3">
      <c r="A931" t="s">
        <v>107</v>
      </c>
      <c r="B931" s="2">
        <v>46174</v>
      </c>
      <c r="C931" s="35">
        <v>2477</v>
      </c>
    </row>
    <row r="932" spans="1:3" ht="15" customHeight="1" x14ac:dyDescent="0.3">
      <c r="A932" t="s">
        <v>109</v>
      </c>
      <c r="B932" s="2">
        <v>46204</v>
      </c>
      <c r="C932">
        <v>2598</v>
      </c>
    </row>
    <row r="933" spans="1:3" ht="15" hidden="1" customHeight="1" x14ac:dyDescent="0.3">
      <c r="A933" t="s">
        <v>117</v>
      </c>
      <c r="B933" s="2">
        <v>46235</v>
      </c>
    </row>
    <row r="934" spans="1:3" ht="15" hidden="1" customHeight="1" x14ac:dyDescent="0.3">
      <c r="A934" t="s">
        <v>117</v>
      </c>
      <c r="B934" s="2">
        <v>46266</v>
      </c>
    </row>
    <row r="935" spans="1:3" ht="15" hidden="1" customHeight="1" x14ac:dyDescent="0.3">
      <c r="A935" t="s">
        <v>117</v>
      </c>
      <c r="B935" s="2">
        <v>46296</v>
      </c>
    </row>
    <row r="936" spans="1:3" ht="15" hidden="1" customHeight="1" x14ac:dyDescent="0.3">
      <c r="A936" t="s">
        <v>117</v>
      </c>
      <c r="B936" s="2">
        <v>46327</v>
      </c>
    </row>
    <row r="937" spans="1:3" ht="15" hidden="1" customHeight="1" x14ac:dyDescent="0.3">
      <c r="A937" t="s">
        <v>117</v>
      </c>
      <c r="B937" s="2">
        <v>46357</v>
      </c>
    </row>
    <row r="938" spans="1:3" ht="15" hidden="1" customHeight="1" x14ac:dyDescent="0.3">
      <c r="A938" t="s">
        <v>225</v>
      </c>
      <c r="B938" s="2">
        <v>45292</v>
      </c>
    </row>
    <row r="939" spans="1:3" ht="15" hidden="1" customHeight="1" x14ac:dyDescent="0.3">
      <c r="A939" t="s">
        <v>225</v>
      </c>
      <c r="B939" s="2">
        <v>45323</v>
      </c>
    </row>
    <row r="940" spans="1:3" ht="15" hidden="1" customHeight="1" x14ac:dyDescent="0.3">
      <c r="A940" t="s">
        <v>225</v>
      </c>
      <c r="B940" s="2">
        <v>45352</v>
      </c>
    </row>
    <row r="941" spans="1:3" ht="15" hidden="1" customHeight="1" x14ac:dyDescent="0.3">
      <c r="A941" t="s">
        <v>225</v>
      </c>
      <c r="B941" s="2">
        <v>45383</v>
      </c>
    </row>
    <row r="942" spans="1:3" ht="15" hidden="1" customHeight="1" x14ac:dyDescent="0.3">
      <c r="A942" t="s">
        <v>225</v>
      </c>
      <c r="B942" s="2">
        <v>45413</v>
      </c>
    </row>
    <row r="943" spans="1:3" ht="15" hidden="1" customHeight="1" x14ac:dyDescent="0.3">
      <c r="A943" t="s">
        <v>225</v>
      </c>
      <c r="B943" s="2">
        <v>45444</v>
      </c>
    </row>
    <row r="944" spans="1:3" ht="15" hidden="1" customHeight="1" x14ac:dyDescent="0.3">
      <c r="A944" t="s">
        <v>225</v>
      </c>
      <c r="B944" s="2">
        <v>45474</v>
      </c>
    </row>
    <row r="945" spans="1:2" ht="15" hidden="1" customHeight="1" x14ac:dyDescent="0.3">
      <c r="A945" t="s">
        <v>225</v>
      </c>
      <c r="B945" s="2">
        <v>45505</v>
      </c>
    </row>
    <row r="946" spans="1:2" ht="15" hidden="1" customHeight="1" x14ac:dyDescent="0.3">
      <c r="A946" t="s">
        <v>225</v>
      </c>
      <c r="B946" s="2">
        <v>45536</v>
      </c>
    </row>
    <row r="947" spans="1:2" ht="15" hidden="1" customHeight="1" x14ac:dyDescent="0.3">
      <c r="A947" t="s">
        <v>225</v>
      </c>
      <c r="B947" s="2">
        <v>45566</v>
      </c>
    </row>
    <row r="948" spans="1:2" ht="15" hidden="1" customHeight="1" x14ac:dyDescent="0.3">
      <c r="A948" t="s">
        <v>225</v>
      </c>
      <c r="B948" s="2">
        <v>45597</v>
      </c>
    </row>
    <row r="949" spans="1:2" ht="15" hidden="1" customHeight="1" x14ac:dyDescent="0.3">
      <c r="A949" t="s">
        <v>225</v>
      </c>
      <c r="B949" s="2">
        <v>45627</v>
      </c>
    </row>
    <row r="950" spans="1:2" ht="15" hidden="1" customHeight="1" x14ac:dyDescent="0.3">
      <c r="A950" t="s">
        <v>225</v>
      </c>
      <c r="B950" s="2">
        <v>45658</v>
      </c>
    </row>
    <row r="951" spans="1:2" ht="15" hidden="1" customHeight="1" x14ac:dyDescent="0.3">
      <c r="A951" t="s">
        <v>225</v>
      </c>
      <c r="B951" s="2">
        <v>45689</v>
      </c>
    </row>
    <row r="952" spans="1:2" ht="15" hidden="1" customHeight="1" x14ac:dyDescent="0.3">
      <c r="A952" t="s">
        <v>225</v>
      </c>
      <c r="B952" s="2">
        <v>45717</v>
      </c>
    </row>
    <row r="953" spans="1:2" ht="15" hidden="1" customHeight="1" x14ac:dyDescent="0.3">
      <c r="A953" t="s">
        <v>225</v>
      </c>
      <c r="B953" s="2">
        <v>45748</v>
      </c>
    </row>
    <row r="954" spans="1:2" ht="15" hidden="1" customHeight="1" x14ac:dyDescent="0.3">
      <c r="A954" t="s">
        <v>225</v>
      </c>
      <c r="B954" s="2">
        <v>45778</v>
      </c>
    </row>
    <row r="955" spans="1:2" ht="15" hidden="1" customHeight="1" x14ac:dyDescent="0.3">
      <c r="A955" t="s">
        <v>225</v>
      </c>
      <c r="B955" s="2">
        <v>45809</v>
      </c>
    </row>
    <row r="956" spans="1:2" ht="15" hidden="1" customHeight="1" x14ac:dyDescent="0.3">
      <c r="A956" t="s">
        <v>225</v>
      </c>
      <c r="B956" s="2">
        <v>45839</v>
      </c>
    </row>
    <row r="957" spans="1:2" ht="15" hidden="1" customHeight="1" x14ac:dyDescent="0.3">
      <c r="A957" t="s">
        <v>225</v>
      </c>
      <c r="B957" s="2">
        <v>45870</v>
      </c>
    </row>
    <row r="958" spans="1:2" ht="15" hidden="1" customHeight="1" x14ac:dyDescent="0.3">
      <c r="A958" t="s">
        <v>225</v>
      </c>
      <c r="B958" s="2">
        <v>45901</v>
      </c>
    </row>
    <row r="959" spans="1:2" ht="15" hidden="1" customHeight="1" x14ac:dyDescent="0.3">
      <c r="A959" t="s">
        <v>225</v>
      </c>
      <c r="B959" s="2">
        <v>45931</v>
      </c>
    </row>
    <row r="960" spans="1:2" ht="15" hidden="1" customHeight="1" x14ac:dyDescent="0.3">
      <c r="A960" t="s">
        <v>225</v>
      </c>
      <c r="B960" s="2">
        <v>45962</v>
      </c>
    </row>
    <row r="961" spans="1:3" ht="15" hidden="1" customHeight="1" x14ac:dyDescent="0.3">
      <c r="A961" t="s">
        <v>225</v>
      </c>
      <c r="B961" s="2">
        <v>45992</v>
      </c>
      <c r="C961">
        <v>5820</v>
      </c>
    </row>
    <row r="962" spans="1:3" ht="15" hidden="1" customHeight="1" x14ac:dyDescent="0.3">
      <c r="A962" t="s">
        <v>225</v>
      </c>
      <c r="B962" s="2">
        <v>46023</v>
      </c>
      <c r="C962">
        <v>7914</v>
      </c>
    </row>
    <row r="963" spans="1:3" ht="15" hidden="1" customHeight="1" x14ac:dyDescent="0.3">
      <c r="A963" t="s">
        <v>225</v>
      </c>
      <c r="B963" s="2">
        <v>46054</v>
      </c>
      <c r="C963">
        <v>8094</v>
      </c>
    </row>
    <row r="964" spans="1:3" ht="15" hidden="1" customHeight="1" x14ac:dyDescent="0.3">
      <c r="A964" t="s">
        <v>225</v>
      </c>
      <c r="B964" s="2">
        <v>46082</v>
      </c>
      <c r="C964">
        <v>6511</v>
      </c>
    </row>
    <row r="965" spans="1:3" ht="15" hidden="1" customHeight="1" x14ac:dyDescent="0.3">
      <c r="A965" t="s">
        <v>225</v>
      </c>
      <c r="B965" s="2">
        <v>46113</v>
      </c>
      <c r="C965">
        <v>6094.6</v>
      </c>
    </row>
    <row r="966" spans="1:3" ht="15" hidden="1" customHeight="1" x14ac:dyDescent="0.3">
      <c r="A966" t="s">
        <v>225</v>
      </c>
      <c r="B966" s="2">
        <v>46143</v>
      </c>
      <c r="C966" s="12">
        <v>7117.7</v>
      </c>
    </row>
    <row r="967" spans="1:3" ht="15" hidden="1" customHeight="1" x14ac:dyDescent="0.3">
      <c r="A967" t="s">
        <v>114</v>
      </c>
      <c r="B967" s="2">
        <v>46174</v>
      </c>
      <c r="C967">
        <v>13234</v>
      </c>
    </row>
    <row r="968" spans="1:3" ht="15" customHeight="1" x14ac:dyDescent="0.3">
      <c r="A968" t="s">
        <v>113</v>
      </c>
      <c r="B968" s="2">
        <v>46204</v>
      </c>
      <c r="C968">
        <v>14156</v>
      </c>
    </row>
    <row r="969" spans="1:3" ht="15" hidden="1" customHeight="1" x14ac:dyDescent="0.3">
      <c r="A969" t="s">
        <v>225</v>
      </c>
      <c r="B969" s="2">
        <v>46235</v>
      </c>
    </row>
    <row r="970" spans="1:3" ht="15" hidden="1" customHeight="1" x14ac:dyDescent="0.3">
      <c r="A970" t="s">
        <v>225</v>
      </c>
      <c r="B970" s="2">
        <v>46266</v>
      </c>
    </row>
    <row r="971" spans="1:3" ht="15" hidden="1" customHeight="1" x14ac:dyDescent="0.3">
      <c r="A971" t="s">
        <v>225</v>
      </c>
      <c r="B971" s="2">
        <v>46296</v>
      </c>
    </row>
    <row r="972" spans="1:3" ht="15" hidden="1" customHeight="1" x14ac:dyDescent="0.3">
      <c r="A972" t="s">
        <v>225</v>
      </c>
      <c r="B972" s="2">
        <v>46327</v>
      </c>
    </row>
    <row r="973" spans="1:3" ht="15" hidden="1" customHeight="1" x14ac:dyDescent="0.3">
      <c r="A973" t="s">
        <v>225</v>
      </c>
      <c r="B973" s="2">
        <v>46357</v>
      </c>
    </row>
    <row r="974" spans="1:3" ht="15" hidden="1" customHeight="1" x14ac:dyDescent="0.3">
      <c r="A974" t="s">
        <v>223</v>
      </c>
      <c r="B974" s="2">
        <v>45292</v>
      </c>
    </row>
    <row r="975" spans="1:3" ht="15" hidden="1" customHeight="1" x14ac:dyDescent="0.3">
      <c r="A975" t="s">
        <v>223</v>
      </c>
      <c r="B975" s="2">
        <v>45323</v>
      </c>
    </row>
    <row r="976" spans="1:3" ht="15" hidden="1" customHeight="1" x14ac:dyDescent="0.3">
      <c r="A976" t="s">
        <v>223</v>
      </c>
      <c r="B976" s="2">
        <v>45352</v>
      </c>
    </row>
    <row r="977" spans="1:2" ht="15" hidden="1" customHeight="1" x14ac:dyDescent="0.3">
      <c r="A977" t="s">
        <v>223</v>
      </c>
      <c r="B977" s="2">
        <v>45383</v>
      </c>
    </row>
    <row r="978" spans="1:2" ht="15" hidden="1" customHeight="1" x14ac:dyDescent="0.3">
      <c r="A978" t="s">
        <v>223</v>
      </c>
      <c r="B978" s="2">
        <v>45413</v>
      </c>
    </row>
    <row r="979" spans="1:2" ht="15" hidden="1" customHeight="1" x14ac:dyDescent="0.3">
      <c r="A979" t="s">
        <v>223</v>
      </c>
      <c r="B979" s="2">
        <v>45444</v>
      </c>
    </row>
    <row r="980" spans="1:2" ht="15" hidden="1" customHeight="1" x14ac:dyDescent="0.3">
      <c r="A980" t="s">
        <v>223</v>
      </c>
      <c r="B980" s="2">
        <v>45474</v>
      </c>
    </row>
    <row r="981" spans="1:2" ht="15" hidden="1" customHeight="1" x14ac:dyDescent="0.3">
      <c r="A981" t="s">
        <v>223</v>
      </c>
      <c r="B981" s="2">
        <v>45505</v>
      </c>
    </row>
    <row r="982" spans="1:2" ht="15" hidden="1" customHeight="1" x14ac:dyDescent="0.3">
      <c r="A982" t="s">
        <v>223</v>
      </c>
      <c r="B982" s="2">
        <v>45536</v>
      </c>
    </row>
    <row r="983" spans="1:2" ht="15" hidden="1" customHeight="1" x14ac:dyDescent="0.3">
      <c r="A983" t="s">
        <v>223</v>
      </c>
      <c r="B983" s="2">
        <v>45566</v>
      </c>
    </row>
    <row r="984" spans="1:2" ht="15" hidden="1" customHeight="1" x14ac:dyDescent="0.3">
      <c r="A984" t="s">
        <v>223</v>
      </c>
      <c r="B984" s="2">
        <v>45597</v>
      </c>
    </row>
    <row r="985" spans="1:2" ht="15" hidden="1" customHeight="1" x14ac:dyDescent="0.3">
      <c r="A985" t="s">
        <v>223</v>
      </c>
      <c r="B985" s="2">
        <v>45627</v>
      </c>
    </row>
    <row r="986" spans="1:2" ht="15" hidden="1" customHeight="1" x14ac:dyDescent="0.3">
      <c r="A986" t="s">
        <v>223</v>
      </c>
      <c r="B986" s="2">
        <v>45658</v>
      </c>
    </row>
    <row r="987" spans="1:2" ht="15" hidden="1" customHeight="1" x14ac:dyDescent="0.3">
      <c r="A987" t="s">
        <v>223</v>
      </c>
      <c r="B987" s="2">
        <v>45689</v>
      </c>
    </row>
    <row r="988" spans="1:2" ht="15" hidden="1" customHeight="1" x14ac:dyDescent="0.3">
      <c r="A988" t="s">
        <v>223</v>
      </c>
      <c r="B988" s="2">
        <v>45717</v>
      </c>
    </row>
    <row r="989" spans="1:2" ht="15" hidden="1" customHeight="1" x14ac:dyDescent="0.3">
      <c r="A989" t="s">
        <v>223</v>
      </c>
      <c r="B989" s="2">
        <v>45748</v>
      </c>
    </row>
    <row r="990" spans="1:2" ht="15" hidden="1" customHeight="1" x14ac:dyDescent="0.3">
      <c r="A990" t="s">
        <v>223</v>
      </c>
      <c r="B990" s="2">
        <v>45778</v>
      </c>
    </row>
    <row r="991" spans="1:2" ht="15" hidden="1" customHeight="1" x14ac:dyDescent="0.3">
      <c r="A991" t="s">
        <v>223</v>
      </c>
      <c r="B991" s="2">
        <v>45809</v>
      </c>
    </row>
    <row r="992" spans="1:2" ht="15" hidden="1" customHeight="1" x14ac:dyDescent="0.3">
      <c r="A992" t="s">
        <v>223</v>
      </c>
      <c r="B992" s="2">
        <v>45839</v>
      </c>
    </row>
    <row r="993" spans="1:3" ht="15" hidden="1" customHeight="1" x14ac:dyDescent="0.3">
      <c r="A993" t="s">
        <v>223</v>
      </c>
      <c r="B993" s="2">
        <v>45870</v>
      </c>
    </row>
    <row r="994" spans="1:3" ht="15" hidden="1" customHeight="1" x14ac:dyDescent="0.3">
      <c r="A994" t="s">
        <v>223</v>
      </c>
      <c r="B994" s="2">
        <v>45901</v>
      </c>
    </row>
    <row r="995" spans="1:3" ht="15" hidden="1" customHeight="1" x14ac:dyDescent="0.3">
      <c r="A995" t="s">
        <v>223</v>
      </c>
      <c r="B995" s="2">
        <v>45931</v>
      </c>
    </row>
    <row r="996" spans="1:3" ht="15" hidden="1" customHeight="1" x14ac:dyDescent="0.3">
      <c r="A996" t="s">
        <v>223</v>
      </c>
      <c r="B996" s="2">
        <v>45962</v>
      </c>
    </row>
    <row r="997" spans="1:3" ht="15" hidden="1" customHeight="1" x14ac:dyDescent="0.3">
      <c r="A997" t="s">
        <v>223</v>
      </c>
      <c r="B997" s="2">
        <v>45992</v>
      </c>
      <c r="C997">
        <v>5820</v>
      </c>
    </row>
    <row r="998" spans="1:3" ht="15" hidden="1" customHeight="1" x14ac:dyDescent="0.3">
      <c r="A998" t="s">
        <v>223</v>
      </c>
      <c r="B998" s="2">
        <v>46023</v>
      </c>
      <c r="C998">
        <v>5904</v>
      </c>
    </row>
    <row r="999" spans="1:3" ht="15" hidden="1" customHeight="1" x14ac:dyDescent="0.3">
      <c r="A999" t="s">
        <v>223</v>
      </c>
      <c r="B999" s="2">
        <v>46054</v>
      </c>
      <c r="C999">
        <v>5406</v>
      </c>
    </row>
    <row r="1000" spans="1:3" ht="15" hidden="1" customHeight="1" x14ac:dyDescent="0.3">
      <c r="A1000" t="s">
        <v>223</v>
      </c>
      <c r="B1000" s="2">
        <v>46082</v>
      </c>
      <c r="C1000">
        <v>4115</v>
      </c>
    </row>
    <row r="1001" spans="1:3" ht="15" hidden="1" customHeight="1" x14ac:dyDescent="0.3">
      <c r="A1001" t="s">
        <v>223</v>
      </c>
      <c r="B1001" s="2">
        <v>46113</v>
      </c>
      <c r="C1001">
        <v>4377</v>
      </c>
    </row>
    <row r="1002" spans="1:3" ht="15" hidden="1" customHeight="1" x14ac:dyDescent="0.3">
      <c r="A1002" t="s">
        <v>223</v>
      </c>
      <c r="B1002" s="2">
        <v>46143</v>
      </c>
      <c r="C1002" s="12">
        <v>4300</v>
      </c>
    </row>
    <row r="1003" spans="1:3" ht="15" hidden="1" customHeight="1" x14ac:dyDescent="0.3">
      <c r="A1003" t="s">
        <v>117</v>
      </c>
      <c r="B1003" s="2">
        <v>46174</v>
      </c>
      <c r="C1003">
        <v>15001.099999999999</v>
      </c>
    </row>
    <row r="1004" spans="1:3" ht="15" customHeight="1" x14ac:dyDescent="0.3">
      <c r="A1004" t="s">
        <v>114</v>
      </c>
      <c r="B1004" s="2">
        <v>46204</v>
      </c>
      <c r="C1004">
        <v>17975</v>
      </c>
    </row>
    <row r="1005" spans="1:3" ht="15" hidden="1" customHeight="1" x14ac:dyDescent="0.3">
      <c r="A1005" t="s">
        <v>223</v>
      </c>
      <c r="B1005" s="2">
        <v>46235</v>
      </c>
    </row>
    <row r="1006" spans="1:3" ht="15" hidden="1" customHeight="1" x14ac:dyDescent="0.3">
      <c r="A1006" t="s">
        <v>223</v>
      </c>
      <c r="B1006" s="2">
        <v>46266</v>
      </c>
    </row>
    <row r="1007" spans="1:3" ht="15" hidden="1" customHeight="1" x14ac:dyDescent="0.3">
      <c r="A1007" t="s">
        <v>223</v>
      </c>
      <c r="B1007" s="2">
        <v>46296</v>
      </c>
    </row>
    <row r="1008" spans="1:3" ht="15" hidden="1" customHeight="1" x14ac:dyDescent="0.3">
      <c r="A1008" t="s">
        <v>223</v>
      </c>
      <c r="B1008" s="2">
        <v>46327</v>
      </c>
    </row>
    <row r="1009" spans="1:3" ht="15" hidden="1" customHeight="1" x14ac:dyDescent="0.3">
      <c r="A1009" t="s">
        <v>223</v>
      </c>
      <c r="B1009" s="2">
        <v>46357</v>
      </c>
    </row>
    <row r="1010" spans="1:3" ht="15" hidden="1" customHeight="1" x14ac:dyDescent="0.3">
      <c r="A1010" t="s">
        <v>120</v>
      </c>
      <c r="B1010" s="2">
        <v>45292</v>
      </c>
      <c r="C1010">
        <v>13629</v>
      </c>
    </row>
    <row r="1011" spans="1:3" ht="15" hidden="1" customHeight="1" x14ac:dyDescent="0.3">
      <c r="A1011" t="s">
        <v>120</v>
      </c>
      <c r="B1011" s="2">
        <v>45323</v>
      </c>
      <c r="C1011">
        <v>12014</v>
      </c>
    </row>
    <row r="1012" spans="1:3" ht="15" hidden="1" customHeight="1" x14ac:dyDescent="0.3">
      <c r="A1012" t="s">
        <v>120</v>
      </c>
      <c r="B1012" s="2">
        <v>45352</v>
      </c>
      <c r="C1012">
        <v>12428</v>
      </c>
    </row>
    <row r="1013" spans="1:3" ht="15" hidden="1" customHeight="1" x14ac:dyDescent="0.3">
      <c r="A1013" t="s">
        <v>120</v>
      </c>
      <c r="B1013" s="2">
        <v>45383</v>
      </c>
      <c r="C1013">
        <v>9084</v>
      </c>
    </row>
    <row r="1014" spans="1:3" ht="15" hidden="1" customHeight="1" x14ac:dyDescent="0.3">
      <c r="A1014" t="s">
        <v>120</v>
      </c>
      <c r="B1014" s="2">
        <v>45413</v>
      </c>
      <c r="C1014">
        <v>8049</v>
      </c>
    </row>
    <row r="1015" spans="1:3" ht="15" hidden="1" customHeight="1" x14ac:dyDescent="0.3">
      <c r="A1015" t="s">
        <v>120</v>
      </c>
      <c r="B1015" s="2">
        <v>45444</v>
      </c>
      <c r="C1015">
        <v>6600</v>
      </c>
    </row>
    <row r="1016" spans="1:3" ht="15" hidden="1" customHeight="1" x14ac:dyDescent="0.3">
      <c r="A1016" t="s">
        <v>120</v>
      </c>
      <c r="B1016" s="2">
        <v>45474</v>
      </c>
      <c r="C1016">
        <v>7832</v>
      </c>
    </row>
    <row r="1017" spans="1:3" ht="15" hidden="1" customHeight="1" x14ac:dyDescent="0.3">
      <c r="A1017" t="s">
        <v>120</v>
      </c>
      <c r="B1017" s="2">
        <v>45505</v>
      </c>
      <c r="C1017">
        <v>8766</v>
      </c>
    </row>
    <row r="1018" spans="1:3" ht="15" hidden="1" customHeight="1" x14ac:dyDescent="0.3">
      <c r="A1018" t="s">
        <v>120</v>
      </c>
      <c r="B1018" s="2">
        <v>45536</v>
      </c>
      <c r="C1018">
        <v>9208</v>
      </c>
    </row>
    <row r="1019" spans="1:3" ht="15" hidden="1" customHeight="1" x14ac:dyDescent="0.3">
      <c r="A1019" t="s">
        <v>120</v>
      </c>
      <c r="B1019" s="2">
        <v>45566</v>
      </c>
      <c r="C1019">
        <v>12879</v>
      </c>
    </row>
    <row r="1020" spans="1:3" ht="15" hidden="1" customHeight="1" x14ac:dyDescent="0.3">
      <c r="A1020" t="s">
        <v>120</v>
      </c>
      <c r="B1020" s="2">
        <v>45597</v>
      </c>
      <c r="C1020">
        <v>13410</v>
      </c>
    </row>
    <row r="1021" spans="1:3" ht="15" hidden="1" customHeight="1" x14ac:dyDescent="0.3">
      <c r="A1021" t="s">
        <v>120</v>
      </c>
      <c r="B1021" s="2">
        <v>45627</v>
      </c>
      <c r="C1021">
        <v>13869</v>
      </c>
    </row>
    <row r="1022" spans="1:3" ht="15" hidden="1" customHeight="1" x14ac:dyDescent="0.3">
      <c r="A1022" t="s">
        <v>120</v>
      </c>
      <c r="B1022" s="2">
        <v>45658</v>
      </c>
      <c r="C1022">
        <v>13136</v>
      </c>
    </row>
    <row r="1023" spans="1:3" ht="15" hidden="1" customHeight="1" x14ac:dyDescent="0.3">
      <c r="A1023" t="s">
        <v>120</v>
      </c>
      <c r="B1023" s="2">
        <v>45689</v>
      </c>
      <c r="C1023">
        <v>10624</v>
      </c>
    </row>
    <row r="1024" spans="1:3" ht="15" hidden="1" customHeight="1" x14ac:dyDescent="0.3">
      <c r="A1024" t="s">
        <v>120</v>
      </c>
      <c r="B1024" s="2">
        <v>45717</v>
      </c>
      <c r="C1024">
        <v>10420</v>
      </c>
    </row>
    <row r="1025" spans="1:3" ht="15" hidden="1" customHeight="1" x14ac:dyDescent="0.3">
      <c r="A1025" t="s">
        <v>120</v>
      </c>
      <c r="B1025" s="2">
        <v>45748</v>
      </c>
      <c r="C1025">
        <v>7391</v>
      </c>
    </row>
    <row r="1026" spans="1:3" ht="15" hidden="1" customHeight="1" x14ac:dyDescent="0.3">
      <c r="A1026" t="s">
        <v>120</v>
      </c>
      <c r="B1026" s="2">
        <v>45778</v>
      </c>
      <c r="C1026">
        <v>7947</v>
      </c>
    </row>
    <row r="1027" spans="1:3" ht="15" hidden="1" customHeight="1" x14ac:dyDescent="0.3">
      <c r="A1027" t="s">
        <v>120</v>
      </c>
      <c r="B1027" s="2">
        <v>45809</v>
      </c>
      <c r="C1027">
        <v>6390.63</v>
      </c>
    </row>
    <row r="1028" spans="1:3" ht="15" hidden="1" customHeight="1" x14ac:dyDescent="0.3">
      <c r="A1028" t="s">
        <v>120</v>
      </c>
      <c r="B1028" s="2">
        <v>45839</v>
      </c>
      <c r="C1028">
        <v>7146</v>
      </c>
    </row>
    <row r="1029" spans="1:3" ht="15" hidden="1" customHeight="1" x14ac:dyDescent="0.3">
      <c r="A1029" t="s">
        <v>120</v>
      </c>
      <c r="B1029" s="2">
        <v>45870</v>
      </c>
      <c r="C1029">
        <v>7396</v>
      </c>
    </row>
    <row r="1030" spans="1:3" ht="15" hidden="1" customHeight="1" x14ac:dyDescent="0.3">
      <c r="A1030" t="s">
        <v>120</v>
      </c>
      <c r="B1030" s="2">
        <v>45901</v>
      </c>
      <c r="C1030">
        <v>8160</v>
      </c>
    </row>
    <row r="1031" spans="1:3" ht="15" hidden="1" customHeight="1" x14ac:dyDescent="0.3">
      <c r="A1031" t="s">
        <v>120</v>
      </c>
      <c r="B1031" s="2">
        <v>45931</v>
      </c>
      <c r="C1031">
        <v>10866</v>
      </c>
    </row>
    <row r="1032" spans="1:3" ht="15" hidden="1" customHeight="1" x14ac:dyDescent="0.3">
      <c r="A1032" t="s">
        <v>120</v>
      </c>
      <c r="B1032" s="2">
        <v>45962</v>
      </c>
      <c r="C1032">
        <v>10612</v>
      </c>
    </row>
    <row r="1033" spans="1:3" ht="15" hidden="1" customHeight="1" x14ac:dyDescent="0.3">
      <c r="A1033" t="s">
        <v>120</v>
      </c>
      <c r="B1033" s="2">
        <v>45992</v>
      </c>
      <c r="C1033">
        <v>11236</v>
      </c>
    </row>
    <row r="1034" spans="1:3" ht="15" hidden="1" customHeight="1" x14ac:dyDescent="0.3">
      <c r="A1034" t="s">
        <v>120</v>
      </c>
      <c r="B1034" s="2">
        <v>46023</v>
      </c>
      <c r="C1034">
        <v>13357</v>
      </c>
    </row>
    <row r="1035" spans="1:3" ht="15" hidden="1" customHeight="1" x14ac:dyDescent="0.3">
      <c r="A1035" t="s">
        <v>120</v>
      </c>
      <c r="B1035" s="2">
        <v>46054</v>
      </c>
      <c r="C1035">
        <v>9365</v>
      </c>
    </row>
    <row r="1036" spans="1:3" ht="15" hidden="1" customHeight="1" x14ac:dyDescent="0.3">
      <c r="A1036" t="s">
        <v>120</v>
      </c>
      <c r="B1036" s="2">
        <v>46082</v>
      </c>
      <c r="C1036">
        <v>7814</v>
      </c>
    </row>
    <row r="1037" spans="1:3" ht="15" hidden="1" customHeight="1" x14ac:dyDescent="0.3">
      <c r="A1037" t="s">
        <v>120</v>
      </c>
      <c r="B1037" s="2">
        <v>46113</v>
      </c>
      <c r="C1037">
        <v>5599.56</v>
      </c>
    </row>
    <row r="1038" spans="1:3" ht="15" hidden="1" customHeight="1" x14ac:dyDescent="0.3">
      <c r="A1038" t="s">
        <v>120</v>
      </c>
      <c r="B1038" s="2">
        <v>46143</v>
      </c>
      <c r="C1038" s="12">
        <v>5867.76</v>
      </c>
    </row>
    <row r="1039" spans="1:3" ht="15" hidden="1" customHeight="1" x14ac:dyDescent="0.3">
      <c r="A1039" t="s">
        <v>120</v>
      </c>
      <c r="B1039" s="2">
        <v>46174</v>
      </c>
      <c r="C1039">
        <v>4645.3100000000004</v>
      </c>
    </row>
    <row r="1040" spans="1:3" ht="15" customHeight="1" x14ac:dyDescent="0.3">
      <c r="A1040" t="s">
        <v>117</v>
      </c>
      <c r="B1040" s="2">
        <v>46204</v>
      </c>
      <c r="C1040">
        <v>20850.759999999998</v>
      </c>
    </row>
    <row r="1041" spans="1:2" ht="15" hidden="1" customHeight="1" x14ac:dyDescent="0.3">
      <c r="A1041" t="s">
        <v>120</v>
      </c>
      <c r="B1041" s="2">
        <v>46235</v>
      </c>
    </row>
    <row r="1042" spans="1:2" ht="15" hidden="1" customHeight="1" x14ac:dyDescent="0.3">
      <c r="A1042" t="s">
        <v>120</v>
      </c>
      <c r="B1042" s="2">
        <v>46266</v>
      </c>
    </row>
    <row r="1043" spans="1:2" ht="15" hidden="1" customHeight="1" x14ac:dyDescent="0.3">
      <c r="A1043" t="s">
        <v>120</v>
      </c>
      <c r="B1043" s="2">
        <v>46296</v>
      </c>
    </row>
    <row r="1044" spans="1:2" ht="15" hidden="1" customHeight="1" x14ac:dyDescent="0.3">
      <c r="A1044" t="s">
        <v>120</v>
      </c>
      <c r="B1044" s="2">
        <v>46327</v>
      </c>
    </row>
    <row r="1045" spans="1:2" ht="15" hidden="1" customHeight="1" x14ac:dyDescent="0.3">
      <c r="A1045" t="s">
        <v>120</v>
      </c>
      <c r="B1045" s="2">
        <v>46357</v>
      </c>
    </row>
    <row r="1046" spans="1:2" ht="15" hidden="1" customHeight="1" x14ac:dyDescent="0.3">
      <c r="A1046" t="s">
        <v>236</v>
      </c>
      <c r="B1046" s="2">
        <v>45292</v>
      </c>
    </row>
    <row r="1047" spans="1:2" ht="15" hidden="1" customHeight="1" x14ac:dyDescent="0.3">
      <c r="A1047" t="s">
        <v>236</v>
      </c>
      <c r="B1047" s="2">
        <v>45323</v>
      </c>
    </row>
    <row r="1048" spans="1:2" ht="15" hidden="1" customHeight="1" x14ac:dyDescent="0.3">
      <c r="A1048" t="s">
        <v>236</v>
      </c>
      <c r="B1048" s="2">
        <v>45352</v>
      </c>
    </row>
    <row r="1049" spans="1:2" ht="15" hidden="1" customHeight="1" x14ac:dyDescent="0.3">
      <c r="A1049" t="s">
        <v>236</v>
      </c>
      <c r="B1049" s="2">
        <v>45383</v>
      </c>
    </row>
    <row r="1050" spans="1:2" ht="15" hidden="1" customHeight="1" x14ac:dyDescent="0.3">
      <c r="A1050" t="s">
        <v>236</v>
      </c>
      <c r="B1050" s="2">
        <v>45413</v>
      </c>
    </row>
    <row r="1051" spans="1:2" ht="15" hidden="1" customHeight="1" x14ac:dyDescent="0.3">
      <c r="A1051" t="s">
        <v>236</v>
      </c>
      <c r="B1051" s="2">
        <v>45444</v>
      </c>
    </row>
    <row r="1052" spans="1:2" ht="15" hidden="1" customHeight="1" x14ac:dyDescent="0.3">
      <c r="A1052" t="s">
        <v>236</v>
      </c>
      <c r="B1052" s="2">
        <v>45474</v>
      </c>
    </row>
    <row r="1053" spans="1:2" ht="15" hidden="1" customHeight="1" x14ac:dyDescent="0.3">
      <c r="A1053" t="s">
        <v>236</v>
      </c>
      <c r="B1053" s="2">
        <v>45505</v>
      </c>
    </row>
    <row r="1054" spans="1:2" ht="15" hidden="1" customHeight="1" x14ac:dyDescent="0.3">
      <c r="A1054" t="s">
        <v>236</v>
      </c>
      <c r="B1054" s="2">
        <v>45536</v>
      </c>
    </row>
    <row r="1055" spans="1:2" ht="15" hidden="1" customHeight="1" x14ac:dyDescent="0.3">
      <c r="A1055" t="s">
        <v>236</v>
      </c>
      <c r="B1055" s="2">
        <v>45566</v>
      </c>
    </row>
    <row r="1056" spans="1:2" ht="15" hidden="1" customHeight="1" x14ac:dyDescent="0.3">
      <c r="A1056" t="s">
        <v>236</v>
      </c>
      <c r="B1056" s="2">
        <v>45597</v>
      </c>
    </row>
    <row r="1057" spans="1:3" ht="15" hidden="1" customHeight="1" x14ac:dyDescent="0.3">
      <c r="A1057" t="s">
        <v>236</v>
      </c>
      <c r="B1057" s="2">
        <v>45627</v>
      </c>
    </row>
    <row r="1058" spans="1:3" ht="15" hidden="1" customHeight="1" x14ac:dyDescent="0.3">
      <c r="A1058" t="s">
        <v>236</v>
      </c>
      <c r="B1058" s="2">
        <v>45658</v>
      </c>
    </row>
    <row r="1059" spans="1:3" ht="15" hidden="1" customHeight="1" x14ac:dyDescent="0.3">
      <c r="A1059" t="s">
        <v>236</v>
      </c>
      <c r="B1059" s="2">
        <v>45689</v>
      </c>
    </row>
    <row r="1060" spans="1:3" ht="15" hidden="1" customHeight="1" x14ac:dyDescent="0.3">
      <c r="A1060" t="s">
        <v>236</v>
      </c>
      <c r="B1060" s="2">
        <v>45717</v>
      </c>
    </row>
    <row r="1061" spans="1:3" ht="15" hidden="1" customHeight="1" x14ac:dyDescent="0.3">
      <c r="A1061" t="s">
        <v>236</v>
      </c>
      <c r="B1061" s="2">
        <v>45748</v>
      </c>
    </row>
    <row r="1062" spans="1:3" ht="15" hidden="1" customHeight="1" x14ac:dyDescent="0.3">
      <c r="A1062" t="s">
        <v>236</v>
      </c>
      <c r="B1062" s="2">
        <v>45778</v>
      </c>
    </row>
    <row r="1063" spans="1:3" ht="15" hidden="1" customHeight="1" x14ac:dyDescent="0.3">
      <c r="A1063" t="s">
        <v>236</v>
      </c>
      <c r="B1063" s="2">
        <v>45809</v>
      </c>
    </row>
    <row r="1064" spans="1:3" ht="15" hidden="1" customHeight="1" x14ac:dyDescent="0.3">
      <c r="A1064" t="s">
        <v>236</v>
      </c>
      <c r="B1064" s="2">
        <v>45839</v>
      </c>
    </row>
    <row r="1065" spans="1:3" ht="15" hidden="1" customHeight="1" x14ac:dyDescent="0.3">
      <c r="A1065" t="s">
        <v>236</v>
      </c>
      <c r="B1065" s="2">
        <v>45870</v>
      </c>
    </row>
    <row r="1066" spans="1:3" ht="15" hidden="1" customHeight="1" x14ac:dyDescent="0.3">
      <c r="A1066" t="s">
        <v>236</v>
      </c>
      <c r="B1066" s="2">
        <v>45901</v>
      </c>
    </row>
    <row r="1067" spans="1:3" ht="15" hidden="1" customHeight="1" x14ac:dyDescent="0.3">
      <c r="A1067" t="s">
        <v>236</v>
      </c>
      <c r="B1067" s="2">
        <v>45931</v>
      </c>
    </row>
    <row r="1068" spans="1:3" ht="15" hidden="1" customHeight="1" x14ac:dyDescent="0.3">
      <c r="A1068" t="s">
        <v>236</v>
      </c>
      <c r="B1068" s="2">
        <v>45962</v>
      </c>
    </row>
    <row r="1069" spans="1:3" ht="15" hidden="1" customHeight="1" x14ac:dyDescent="0.3">
      <c r="A1069" t="s">
        <v>236</v>
      </c>
      <c r="B1069" s="2">
        <v>45992</v>
      </c>
    </row>
    <row r="1070" spans="1:3" ht="15" hidden="1" customHeight="1" x14ac:dyDescent="0.3">
      <c r="A1070" t="s">
        <v>236</v>
      </c>
      <c r="B1070" s="2">
        <v>46023</v>
      </c>
      <c r="C1070">
        <v>13394</v>
      </c>
    </row>
    <row r="1071" spans="1:3" ht="15" hidden="1" customHeight="1" x14ac:dyDescent="0.3">
      <c r="A1071" t="s">
        <v>236</v>
      </c>
      <c r="B1071" s="2">
        <v>46054</v>
      </c>
      <c r="C1071">
        <v>16065</v>
      </c>
    </row>
    <row r="1072" spans="1:3" ht="15" hidden="1" customHeight="1" x14ac:dyDescent="0.3">
      <c r="A1072" t="s">
        <v>236</v>
      </c>
      <c r="B1072" s="2">
        <v>46082</v>
      </c>
      <c r="C1072">
        <v>733</v>
      </c>
    </row>
    <row r="1073" spans="1:3" ht="15" hidden="1" customHeight="1" x14ac:dyDescent="0.3">
      <c r="A1073" t="s">
        <v>236</v>
      </c>
      <c r="B1073" s="2">
        <v>46113</v>
      </c>
      <c r="C1073">
        <v>4797.7</v>
      </c>
    </row>
    <row r="1074" spans="1:3" ht="15" hidden="1" customHeight="1" x14ac:dyDescent="0.3">
      <c r="A1074" t="s">
        <v>236</v>
      </c>
      <c r="B1074" s="2">
        <v>46143</v>
      </c>
      <c r="C1074" s="12">
        <v>5970.07</v>
      </c>
    </row>
    <row r="1075" spans="1:3" ht="15" hidden="1" customHeight="1" x14ac:dyDescent="0.3">
      <c r="A1075" t="s">
        <v>236</v>
      </c>
      <c r="B1075" s="2">
        <v>46174</v>
      </c>
      <c r="C1075">
        <v>5060.3999999999996</v>
      </c>
    </row>
    <row r="1076" spans="1:3" ht="15" customHeight="1" x14ac:dyDescent="0.3">
      <c r="A1076" t="s">
        <v>225</v>
      </c>
      <c r="B1076" s="2">
        <v>46204</v>
      </c>
      <c r="C1076">
        <v>7311</v>
      </c>
    </row>
    <row r="1077" spans="1:3" ht="15" hidden="1" customHeight="1" x14ac:dyDescent="0.3">
      <c r="A1077" t="s">
        <v>236</v>
      </c>
      <c r="B1077" s="2">
        <v>46235</v>
      </c>
    </row>
    <row r="1078" spans="1:3" ht="15" hidden="1" customHeight="1" x14ac:dyDescent="0.3">
      <c r="A1078" t="s">
        <v>236</v>
      </c>
      <c r="B1078" s="2">
        <v>46266</v>
      </c>
    </row>
    <row r="1079" spans="1:3" ht="15" hidden="1" customHeight="1" x14ac:dyDescent="0.3">
      <c r="A1079" t="s">
        <v>236</v>
      </c>
      <c r="B1079" s="2">
        <v>46296</v>
      </c>
    </row>
    <row r="1080" spans="1:3" ht="15" hidden="1" customHeight="1" x14ac:dyDescent="0.3">
      <c r="A1080" t="s">
        <v>236</v>
      </c>
      <c r="B1080" s="2">
        <v>46327</v>
      </c>
    </row>
    <row r="1081" spans="1:3" ht="15" hidden="1" customHeight="1" x14ac:dyDescent="0.3">
      <c r="A1081" t="s">
        <v>236</v>
      </c>
      <c r="B1081" s="2">
        <v>46357</v>
      </c>
    </row>
    <row r="1082" spans="1:3" ht="15" hidden="1" customHeight="1" x14ac:dyDescent="0.3">
      <c r="A1082" t="s">
        <v>122</v>
      </c>
      <c r="B1082" s="2">
        <v>45292</v>
      </c>
      <c r="C1082">
        <v>18892</v>
      </c>
    </row>
    <row r="1083" spans="1:3" ht="15" hidden="1" customHeight="1" x14ac:dyDescent="0.3">
      <c r="A1083" t="s">
        <v>122</v>
      </c>
      <c r="B1083" s="2">
        <v>45323</v>
      </c>
      <c r="C1083">
        <v>18598</v>
      </c>
    </row>
    <row r="1084" spans="1:3" ht="15" hidden="1" customHeight="1" x14ac:dyDescent="0.3">
      <c r="A1084" t="s">
        <v>122</v>
      </c>
      <c r="B1084" s="2">
        <v>45352</v>
      </c>
      <c r="C1084">
        <v>18598</v>
      </c>
    </row>
    <row r="1085" spans="1:3" ht="15" hidden="1" customHeight="1" x14ac:dyDescent="0.3">
      <c r="A1085" t="s">
        <v>122</v>
      </c>
      <c r="B1085" s="2">
        <v>45383</v>
      </c>
      <c r="C1085">
        <v>15678</v>
      </c>
    </row>
    <row r="1086" spans="1:3" ht="15" hidden="1" customHeight="1" x14ac:dyDescent="0.3">
      <c r="A1086" t="s">
        <v>122</v>
      </c>
      <c r="B1086" s="2">
        <v>45413</v>
      </c>
      <c r="C1086">
        <v>14588</v>
      </c>
    </row>
    <row r="1087" spans="1:3" ht="15" hidden="1" customHeight="1" x14ac:dyDescent="0.3">
      <c r="A1087" t="s">
        <v>122</v>
      </c>
      <c r="B1087" s="2">
        <v>45444</v>
      </c>
      <c r="C1087">
        <v>12745</v>
      </c>
    </row>
    <row r="1088" spans="1:3" ht="15" hidden="1" customHeight="1" x14ac:dyDescent="0.3">
      <c r="A1088" t="s">
        <v>122</v>
      </c>
      <c r="B1088" s="2">
        <v>45474</v>
      </c>
      <c r="C1088">
        <v>14803</v>
      </c>
    </row>
    <row r="1089" spans="1:3" ht="15" hidden="1" customHeight="1" x14ac:dyDescent="0.3">
      <c r="A1089" t="s">
        <v>122</v>
      </c>
      <c r="B1089" s="2">
        <v>45505</v>
      </c>
      <c r="C1089">
        <v>15941</v>
      </c>
    </row>
    <row r="1090" spans="1:3" ht="15" hidden="1" customHeight="1" x14ac:dyDescent="0.3">
      <c r="A1090" t="s">
        <v>122</v>
      </c>
      <c r="B1090" s="2">
        <v>45536</v>
      </c>
      <c r="C1090">
        <v>13907</v>
      </c>
    </row>
    <row r="1091" spans="1:3" ht="15" hidden="1" customHeight="1" x14ac:dyDescent="0.3">
      <c r="A1091" t="s">
        <v>122</v>
      </c>
      <c r="B1091" s="2">
        <v>45566</v>
      </c>
      <c r="C1091">
        <v>19899</v>
      </c>
    </row>
    <row r="1092" spans="1:3" ht="15" hidden="1" customHeight="1" x14ac:dyDescent="0.3">
      <c r="A1092" t="s">
        <v>122</v>
      </c>
      <c r="B1092" s="2">
        <v>45597</v>
      </c>
      <c r="C1092">
        <v>18123</v>
      </c>
    </row>
    <row r="1093" spans="1:3" ht="15" hidden="1" customHeight="1" x14ac:dyDescent="0.3">
      <c r="A1093" t="s">
        <v>122</v>
      </c>
      <c r="B1093" s="2">
        <v>45627</v>
      </c>
      <c r="C1093">
        <v>18905</v>
      </c>
    </row>
    <row r="1094" spans="1:3" ht="15" hidden="1" customHeight="1" x14ac:dyDescent="0.3">
      <c r="A1094" t="s">
        <v>122</v>
      </c>
      <c r="B1094" s="2">
        <v>45658</v>
      </c>
      <c r="C1094">
        <v>19907</v>
      </c>
    </row>
    <row r="1095" spans="1:3" ht="15" hidden="1" customHeight="1" x14ac:dyDescent="0.3">
      <c r="A1095" t="s">
        <v>122</v>
      </c>
      <c r="B1095" s="2">
        <v>45689</v>
      </c>
      <c r="C1095">
        <v>15243</v>
      </c>
    </row>
    <row r="1096" spans="1:3" ht="15" hidden="1" customHeight="1" x14ac:dyDescent="0.3">
      <c r="A1096" t="s">
        <v>122</v>
      </c>
      <c r="B1096" s="2">
        <v>45717</v>
      </c>
      <c r="C1096">
        <v>17983</v>
      </c>
    </row>
    <row r="1097" spans="1:3" ht="15" hidden="1" customHeight="1" x14ac:dyDescent="0.3">
      <c r="A1097" t="s">
        <v>122</v>
      </c>
      <c r="B1097" s="2">
        <v>45748</v>
      </c>
      <c r="C1097">
        <v>13643</v>
      </c>
    </row>
    <row r="1098" spans="1:3" ht="15" hidden="1" customHeight="1" x14ac:dyDescent="0.3">
      <c r="A1098" t="s">
        <v>122</v>
      </c>
      <c r="B1098" s="2">
        <v>45778</v>
      </c>
      <c r="C1098">
        <v>15993</v>
      </c>
    </row>
    <row r="1099" spans="1:3" ht="15" hidden="1" customHeight="1" x14ac:dyDescent="0.3">
      <c r="A1099" t="s">
        <v>122</v>
      </c>
      <c r="B1099" s="2">
        <v>45809</v>
      </c>
      <c r="C1099">
        <v>13300.84</v>
      </c>
    </row>
    <row r="1100" spans="1:3" ht="15" hidden="1" customHeight="1" x14ac:dyDescent="0.3">
      <c r="A1100" t="s">
        <v>122</v>
      </c>
      <c r="B1100" s="2">
        <v>45839</v>
      </c>
      <c r="C1100">
        <v>12259</v>
      </c>
    </row>
    <row r="1101" spans="1:3" ht="15" hidden="1" customHeight="1" x14ac:dyDescent="0.3">
      <c r="A1101" t="s">
        <v>122</v>
      </c>
      <c r="B1101" s="2">
        <v>45870</v>
      </c>
      <c r="C1101">
        <v>14893</v>
      </c>
    </row>
    <row r="1102" spans="1:3" ht="15" hidden="1" customHeight="1" x14ac:dyDescent="0.3">
      <c r="A1102" t="s">
        <v>122</v>
      </c>
      <c r="B1102" s="2">
        <v>45901</v>
      </c>
      <c r="C1102">
        <v>13710</v>
      </c>
    </row>
    <row r="1103" spans="1:3" ht="15" hidden="1" customHeight="1" x14ac:dyDescent="0.3">
      <c r="A1103" t="s">
        <v>122</v>
      </c>
      <c r="B1103" s="2">
        <v>45931</v>
      </c>
      <c r="C1103">
        <v>17312</v>
      </c>
    </row>
    <row r="1104" spans="1:3" ht="15" hidden="1" customHeight="1" x14ac:dyDescent="0.3">
      <c r="A1104" t="s">
        <v>122</v>
      </c>
      <c r="B1104" s="2">
        <v>45962</v>
      </c>
      <c r="C1104">
        <v>19748</v>
      </c>
    </row>
    <row r="1105" spans="1:3" ht="15" hidden="1" customHeight="1" x14ac:dyDescent="0.3">
      <c r="A1105" t="s">
        <v>122</v>
      </c>
      <c r="B1105" s="2">
        <v>45992</v>
      </c>
      <c r="C1105">
        <v>19810</v>
      </c>
    </row>
    <row r="1106" spans="1:3" ht="15" hidden="1" customHeight="1" x14ac:dyDescent="0.3">
      <c r="A1106" t="s">
        <v>122</v>
      </c>
      <c r="B1106" s="2">
        <v>46023</v>
      </c>
      <c r="C1106">
        <v>21506.532200000001</v>
      </c>
    </row>
    <row r="1107" spans="1:3" ht="15" hidden="1" customHeight="1" x14ac:dyDescent="0.3">
      <c r="A1107" t="s">
        <v>122</v>
      </c>
      <c r="B1107" s="2">
        <v>46054</v>
      </c>
      <c r="C1107">
        <v>21266.580600000001</v>
      </c>
    </row>
    <row r="1108" spans="1:3" ht="15" hidden="1" customHeight="1" x14ac:dyDescent="0.3">
      <c r="A1108" t="s">
        <v>122</v>
      </c>
      <c r="B1108" s="2">
        <v>46082</v>
      </c>
      <c r="C1108">
        <v>18344</v>
      </c>
    </row>
    <row r="1109" spans="1:3" ht="15" hidden="1" customHeight="1" x14ac:dyDescent="0.3">
      <c r="A1109" t="s">
        <v>122</v>
      </c>
      <c r="B1109" s="2">
        <v>46113</v>
      </c>
      <c r="C1109">
        <v>14760.15</v>
      </c>
    </row>
    <row r="1110" spans="1:3" ht="15" hidden="1" customHeight="1" x14ac:dyDescent="0.3">
      <c r="A1110" t="s">
        <v>122</v>
      </c>
      <c r="B1110" s="2">
        <v>46143</v>
      </c>
      <c r="C1110" s="12">
        <v>14261.66</v>
      </c>
    </row>
    <row r="1111" spans="1:3" ht="15" hidden="1" customHeight="1" x14ac:dyDescent="0.3">
      <c r="A1111" t="s">
        <v>122</v>
      </c>
      <c r="B1111" s="2">
        <v>46174</v>
      </c>
      <c r="C1111">
        <v>12292.03</v>
      </c>
    </row>
    <row r="1112" spans="1:3" ht="15" customHeight="1" x14ac:dyDescent="0.3">
      <c r="A1112" t="s">
        <v>223</v>
      </c>
      <c r="B1112" s="2">
        <v>46204</v>
      </c>
      <c r="C1112">
        <v>3841</v>
      </c>
    </row>
    <row r="1113" spans="1:3" ht="15" hidden="1" customHeight="1" x14ac:dyDescent="0.3">
      <c r="A1113" t="s">
        <v>122</v>
      </c>
      <c r="B1113" s="2">
        <v>46235</v>
      </c>
    </row>
    <row r="1114" spans="1:3" ht="15" hidden="1" customHeight="1" x14ac:dyDescent="0.3">
      <c r="A1114" t="s">
        <v>122</v>
      </c>
      <c r="B1114" s="2">
        <v>46266</v>
      </c>
    </row>
    <row r="1115" spans="1:3" ht="15" hidden="1" customHeight="1" x14ac:dyDescent="0.3">
      <c r="A1115" t="s">
        <v>122</v>
      </c>
      <c r="B1115" s="2">
        <v>46296</v>
      </c>
    </row>
    <row r="1116" spans="1:3" ht="15" hidden="1" customHeight="1" x14ac:dyDescent="0.3">
      <c r="A1116" t="s">
        <v>122</v>
      </c>
      <c r="B1116" s="2">
        <v>46327</v>
      </c>
    </row>
    <row r="1117" spans="1:3" ht="15" hidden="1" customHeight="1" x14ac:dyDescent="0.3">
      <c r="A1117" t="s">
        <v>122</v>
      </c>
      <c r="B1117" s="2">
        <v>46357</v>
      </c>
    </row>
    <row r="1118" spans="1:3" ht="15" hidden="1" customHeight="1" x14ac:dyDescent="0.3">
      <c r="A1118" t="s">
        <v>124</v>
      </c>
      <c r="B1118" s="2">
        <v>45292</v>
      </c>
      <c r="C1118">
        <v>52780</v>
      </c>
    </row>
    <row r="1119" spans="1:3" ht="15" hidden="1" customHeight="1" x14ac:dyDescent="0.3">
      <c r="A1119" t="s">
        <v>124</v>
      </c>
      <c r="B1119" s="2">
        <v>45323</v>
      </c>
      <c r="C1119">
        <v>40425</v>
      </c>
    </row>
    <row r="1120" spans="1:3" ht="15" hidden="1" customHeight="1" x14ac:dyDescent="0.3">
      <c r="A1120" t="s">
        <v>124</v>
      </c>
      <c r="B1120" s="2">
        <v>45352</v>
      </c>
      <c r="C1120">
        <v>52832</v>
      </c>
    </row>
    <row r="1121" spans="1:3" ht="15" hidden="1" customHeight="1" x14ac:dyDescent="0.3">
      <c r="A1121" t="s">
        <v>124</v>
      </c>
      <c r="B1121" s="2">
        <v>45383</v>
      </c>
      <c r="C1121">
        <v>46312</v>
      </c>
    </row>
    <row r="1122" spans="1:3" ht="15" hidden="1" customHeight="1" x14ac:dyDescent="0.3">
      <c r="A1122" t="s">
        <v>124</v>
      </c>
      <c r="B1122" s="2">
        <v>45413</v>
      </c>
      <c r="C1122">
        <v>45881</v>
      </c>
    </row>
    <row r="1123" spans="1:3" ht="15" hidden="1" customHeight="1" x14ac:dyDescent="0.3">
      <c r="A1123" t="s">
        <v>124</v>
      </c>
      <c r="B1123" s="2">
        <v>45444</v>
      </c>
      <c r="C1123">
        <v>36174</v>
      </c>
    </row>
    <row r="1124" spans="1:3" ht="15" hidden="1" customHeight="1" x14ac:dyDescent="0.3">
      <c r="A1124" t="s">
        <v>124</v>
      </c>
      <c r="B1124" s="2">
        <v>45474</v>
      </c>
      <c r="C1124">
        <v>49449</v>
      </c>
    </row>
    <row r="1125" spans="1:3" ht="15" hidden="1" customHeight="1" x14ac:dyDescent="0.3">
      <c r="A1125" t="s">
        <v>124</v>
      </c>
      <c r="B1125" s="2">
        <v>45505</v>
      </c>
      <c r="C1125">
        <v>50022</v>
      </c>
    </row>
    <row r="1126" spans="1:3" ht="15" hidden="1" customHeight="1" x14ac:dyDescent="0.3">
      <c r="A1126" t="s">
        <v>124</v>
      </c>
      <c r="B1126" s="2">
        <v>45536</v>
      </c>
      <c r="C1126">
        <v>41179</v>
      </c>
    </row>
    <row r="1127" spans="1:3" ht="15" hidden="1" customHeight="1" x14ac:dyDescent="0.3">
      <c r="A1127" t="s">
        <v>124</v>
      </c>
      <c r="B1127" s="2">
        <v>45566</v>
      </c>
      <c r="C1127">
        <v>38998</v>
      </c>
    </row>
    <row r="1128" spans="1:3" ht="15" hidden="1" customHeight="1" x14ac:dyDescent="0.3">
      <c r="A1128" t="s">
        <v>124</v>
      </c>
      <c r="B1128" s="2">
        <v>45597</v>
      </c>
      <c r="C1128">
        <v>54400</v>
      </c>
    </row>
    <row r="1129" spans="1:3" ht="15" hidden="1" customHeight="1" x14ac:dyDescent="0.3">
      <c r="A1129" t="s">
        <v>124</v>
      </c>
      <c r="B1129" s="2">
        <v>45627</v>
      </c>
      <c r="C1129">
        <v>48109</v>
      </c>
    </row>
    <row r="1130" spans="1:3" ht="15" hidden="1" customHeight="1" x14ac:dyDescent="0.3">
      <c r="A1130" t="s">
        <v>124</v>
      </c>
      <c r="B1130" s="2">
        <v>45658</v>
      </c>
      <c r="C1130">
        <v>50600</v>
      </c>
    </row>
    <row r="1131" spans="1:3" ht="15" hidden="1" customHeight="1" x14ac:dyDescent="0.3">
      <c r="A1131" t="s">
        <v>124</v>
      </c>
      <c r="B1131" s="2">
        <v>45689</v>
      </c>
      <c r="C1131">
        <v>39450</v>
      </c>
    </row>
    <row r="1132" spans="1:3" ht="15" hidden="1" customHeight="1" x14ac:dyDescent="0.3">
      <c r="A1132" t="s">
        <v>124</v>
      </c>
      <c r="B1132" s="2">
        <v>45717</v>
      </c>
      <c r="C1132">
        <v>50665</v>
      </c>
    </row>
    <row r="1133" spans="1:3" ht="15" hidden="1" customHeight="1" x14ac:dyDescent="0.3">
      <c r="A1133" t="s">
        <v>124</v>
      </c>
      <c r="B1133" s="2">
        <v>45748</v>
      </c>
      <c r="C1133">
        <v>33121</v>
      </c>
    </row>
    <row r="1134" spans="1:3" ht="15" hidden="1" customHeight="1" x14ac:dyDescent="0.3">
      <c r="A1134" t="s">
        <v>124</v>
      </c>
      <c r="B1134" s="2">
        <v>45778</v>
      </c>
      <c r="C1134">
        <v>49152</v>
      </c>
    </row>
    <row r="1135" spans="1:3" ht="15" hidden="1" customHeight="1" x14ac:dyDescent="0.3">
      <c r="A1135" t="s">
        <v>124</v>
      </c>
      <c r="B1135" s="2">
        <v>45809</v>
      </c>
      <c r="C1135">
        <v>39999.410000000003</v>
      </c>
    </row>
    <row r="1136" spans="1:3" ht="15" hidden="1" customHeight="1" x14ac:dyDescent="0.3">
      <c r="A1136" t="s">
        <v>124</v>
      </c>
      <c r="B1136" s="2">
        <v>45839</v>
      </c>
      <c r="C1136">
        <v>42250</v>
      </c>
    </row>
    <row r="1137" spans="1:3" ht="15" hidden="1" customHeight="1" x14ac:dyDescent="0.3">
      <c r="A1137" t="s">
        <v>124</v>
      </c>
      <c r="B1137" s="2">
        <v>45870</v>
      </c>
      <c r="C1137">
        <v>42926</v>
      </c>
    </row>
    <row r="1138" spans="1:3" ht="15" hidden="1" customHeight="1" x14ac:dyDescent="0.3">
      <c r="A1138" t="s">
        <v>124</v>
      </c>
      <c r="B1138" s="2">
        <v>45901</v>
      </c>
      <c r="C1138">
        <v>40517.300000000003</v>
      </c>
    </row>
    <row r="1139" spans="1:3" ht="15" hidden="1" customHeight="1" x14ac:dyDescent="0.3">
      <c r="A1139" t="s">
        <v>124</v>
      </c>
      <c r="B1139" s="2">
        <v>45931</v>
      </c>
      <c r="C1139">
        <v>46787.68</v>
      </c>
    </row>
    <row r="1140" spans="1:3" ht="15" hidden="1" customHeight="1" x14ac:dyDescent="0.3">
      <c r="A1140" t="s">
        <v>124</v>
      </c>
      <c r="B1140" s="2">
        <v>45962</v>
      </c>
      <c r="C1140">
        <v>53245</v>
      </c>
    </row>
    <row r="1141" spans="1:3" ht="15" hidden="1" customHeight="1" x14ac:dyDescent="0.3">
      <c r="A1141" t="s">
        <v>124</v>
      </c>
      <c r="B1141" s="2">
        <v>45992</v>
      </c>
      <c r="C1141">
        <v>48360</v>
      </c>
    </row>
    <row r="1142" spans="1:3" ht="15" hidden="1" customHeight="1" x14ac:dyDescent="0.3">
      <c r="A1142" t="s">
        <v>124</v>
      </c>
      <c r="B1142" s="2">
        <v>46023</v>
      </c>
      <c r="C1142">
        <v>49681.67136</v>
      </c>
    </row>
    <row r="1143" spans="1:3" ht="15" hidden="1" customHeight="1" x14ac:dyDescent="0.3">
      <c r="A1143" t="s">
        <v>124</v>
      </c>
      <c r="B1143" s="2">
        <v>46054</v>
      </c>
      <c r="C1143">
        <v>58060.833879999998</v>
      </c>
    </row>
    <row r="1144" spans="1:3" ht="15" hidden="1" customHeight="1" x14ac:dyDescent="0.3">
      <c r="A1144" t="s">
        <v>124</v>
      </c>
      <c r="B1144" s="2">
        <v>46082</v>
      </c>
      <c r="C1144">
        <v>50832</v>
      </c>
    </row>
    <row r="1145" spans="1:3" ht="15" hidden="1" customHeight="1" x14ac:dyDescent="0.3">
      <c r="A1145" t="s">
        <v>124</v>
      </c>
      <c r="B1145" s="2">
        <v>46113</v>
      </c>
      <c r="C1145">
        <v>41412.22</v>
      </c>
    </row>
    <row r="1146" spans="1:3" ht="15" hidden="1" customHeight="1" x14ac:dyDescent="0.3">
      <c r="A1146" t="s">
        <v>124</v>
      </c>
      <c r="B1146" s="2">
        <v>46143</v>
      </c>
      <c r="C1146" s="12">
        <v>46300.95</v>
      </c>
    </row>
    <row r="1147" spans="1:3" ht="15" hidden="1" customHeight="1" x14ac:dyDescent="0.3">
      <c r="A1147" t="s">
        <v>124</v>
      </c>
      <c r="B1147" s="2">
        <v>46174</v>
      </c>
      <c r="C1147">
        <v>37511.86</v>
      </c>
    </row>
    <row r="1148" spans="1:3" ht="15" customHeight="1" x14ac:dyDescent="0.3">
      <c r="A1148" t="s">
        <v>120</v>
      </c>
      <c r="B1148" s="2">
        <v>46204</v>
      </c>
      <c r="C1148">
        <v>6582.2</v>
      </c>
    </row>
    <row r="1149" spans="1:3" ht="15" hidden="1" customHeight="1" x14ac:dyDescent="0.3">
      <c r="A1149" t="s">
        <v>124</v>
      </c>
      <c r="B1149" s="2">
        <v>46235</v>
      </c>
    </row>
    <row r="1150" spans="1:3" ht="15" hidden="1" customHeight="1" x14ac:dyDescent="0.3">
      <c r="A1150" t="s">
        <v>124</v>
      </c>
      <c r="B1150" s="2">
        <v>46266</v>
      </c>
    </row>
    <row r="1151" spans="1:3" ht="15" hidden="1" customHeight="1" x14ac:dyDescent="0.3">
      <c r="A1151" t="s">
        <v>124</v>
      </c>
      <c r="B1151" s="2">
        <v>46296</v>
      </c>
    </row>
    <row r="1152" spans="1:3" ht="15" hidden="1" customHeight="1" x14ac:dyDescent="0.3">
      <c r="A1152" t="s">
        <v>124</v>
      </c>
      <c r="B1152" s="2">
        <v>46327</v>
      </c>
    </row>
    <row r="1153" spans="1:3" ht="15" hidden="1" customHeight="1" x14ac:dyDescent="0.3">
      <c r="A1153" t="s">
        <v>124</v>
      </c>
      <c r="B1153" s="2">
        <v>46357</v>
      </c>
    </row>
    <row r="1154" spans="1:3" ht="15" hidden="1" customHeight="1" x14ac:dyDescent="0.3">
      <c r="A1154" t="s">
        <v>127</v>
      </c>
      <c r="B1154" s="2">
        <v>45292</v>
      </c>
    </row>
    <row r="1155" spans="1:3" ht="15" hidden="1" customHeight="1" x14ac:dyDescent="0.3">
      <c r="A1155" t="s">
        <v>127</v>
      </c>
      <c r="B1155" s="2">
        <v>45323</v>
      </c>
    </row>
    <row r="1156" spans="1:3" ht="15" hidden="1" customHeight="1" x14ac:dyDescent="0.3">
      <c r="A1156" t="s">
        <v>127</v>
      </c>
      <c r="B1156" s="2">
        <v>45352</v>
      </c>
    </row>
    <row r="1157" spans="1:3" ht="15" hidden="1" customHeight="1" x14ac:dyDescent="0.3">
      <c r="A1157" t="s">
        <v>127</v>
      </c>
      <c r="B1157" s="2">
        <v>45383</v>
      </c>
      <c r="C1157">
        <v>6916</v>
      </c>
    </row>
    <row r="1158" spans="1:3" ht="15" hidden="1" customHeight="1" x14ac:dyDescent="0.3">
      <c r="A1158" t="s">
        <v>127</v>
      </c>
      <c r="B1158" s="2">
        <v>45413</v>
      </c>
      <c r="C1158">
        <v>14281</v>
      </c>
    </row>
    <row r="1159" spans="1:3" ht="15" hidden="1" customHeight="1" x14ac:dyDescent="0.3">
      <c r="A1159" t="s">
        <v>127</v>
      </c>
      <c r="B1159" s="2">
        <v>45444</v>
      </c>
      <c r="C1159">
        <v>12149</v>
      </c>
    </row>
    <row r="1160" spans="1:3" ht="15" hidden="1" customHeight="1" x14ac:dyDescent="0.3">
      <c r="A1160" t="s">
        <v>127</v>
      </c>
      <c r="B1160" s="2">
        <v>45474</v>
      </c>
      <c r="C1160">
        <v>15601</v>
      </c>
    </row>
    <row r="1161" spans="1:3" ht="15" hidden="1" customHeight="1" x14ac:dyDescent="0.3">
      <c r="A1161" t="s">
        <v>127</v>
      </c>
      <c r="B1161" s="2">
        <v>45505</v>
      </c>
      <c r="C1161">
        <v>7706</v>
      </c>
    </row>
    <row r="1162" spans="1:3" ht="15" hidden="1" customHeight="1" x14ac:dyDescent="0.3">
      <c r="A1162" t="s">
        <v>127</v>
      </c>
      <c r="B1162" s="2">
        <v>45536</v>
      </c>
      <c r="C1162">
        <v>1</v>
      </c>
    </row>
    <row r="1163" spans="1:3" ht="15" hidden="1" customHeight="1" x14ac:dyDescent="0.3">
      <c r="A1163" t="s">
        <v>127</v>
      </c>
      <c r="B1163" s="2">
        <v>45566</v>
      </c>
      <c r="C1163">
        <v>7310</v>
      </c>
    </row>
    <row r="1164" spans="1:3" ht="15" hidden="1" customHeight="1" x14ac:dyDescent="0.3">
      <c r="A1164" t="s">
        <v>127</v>
      </c>
      <c r="B1164" s="2">
        <v>45597</v>
      </c>
      <c r="C1164">
        <v>13770</v>
      </c>
    </row>
    <row r="1165" spans="1:3" ht="15" hidden="1" customHeight="1" x14ac:dyDescent="0.3">
      <c r="A1165" t="s">
        <v>127</v>
      </c>
      <c r="B1165" s="2">
        <v>45627</v>
      </c>
    </row>
    <row r="1166" spans="1:3" ht="15" hidden="1" customHeight="1" x14ac:dyDescent="0.3">
      <c r="A1166" t="s">
        <v>127</v>
      </c>
      <c r="B1166" s="2">
        <v>45658</v>
      </c>
      <c r="C1166">
        <v>4700</v>
      </c>
    </row>
    <row r="1167" spans="1:3" ht="15" hidden="1" customHeight="1" x14ac:dyDescent="0.3">
      <c r="A1167" t="s">
        <v>127</v>
      </c>
      <c r="B1167" s="2">
        <v>45689</v>
      </c>
      <c r="C1167">
        <v>12300</v>
      </c>
    </row>
    <row r="1168" spans="1:3" ht="15" hidden="1" customHeight="1" x14ac:dyDescent="0.3">
      <c r="A1168" t="s">
        <v>127</v>
      </c>
      <c r="B1168" s="2">
        <v>45717</v>
      </c>
      <c r="C1168">
        <v>13554</v>
      </c>
    </row>
    <row r="1169" spans="1:3" ht="15" hidden="1" customHeight="1" x14ac:dyDescent="0.3">
      <c r="A1169" t="s">
        <v>127</v>
      </c>
      <c r="B1169" s="2">
        <v>45748</v>
      </c>
      <c r="C1169">
        <v>9839</v>
      </c>
    </row>
    <row r="1170" spans="1:3" ht="15" hidden="1" customHeight="1" x14ac:dyDescent="0.3">
      <c r="A1170" t="s">
        <v>127</v>
      </c>
      <c r="B1170" s="2">
        <v>45778</v>
      </c>
    </row>
    <row r="1171" spans="1:3" ht="15" hidden="1" customHeight="1" x14ac:dyDescent="0.3">
      <c r="A1171" t="s">
        <v>127</v>
      </c>
      <c r="B1171" s="2">
        <v>45809</v>
      </c>
      <c r="C1171">
        <v>12605.8</v>
      </c>
    </row>
    <row r="1172" spans="1:3" ht="15" hidden="1" customHeight="1" x14ac:dyDescent="0.3">
      <c r="A1172" t="s">
        <v>127</v>
      </c>
      <c r="B1172" s="2">
        <v>45839</v>
      </c>
      <c r="C1172">
        <v>8064</v>
      </c>
    </row>
    <row r="1173" spans="1:3" ht="15" hidden="1" customHeight="1" x14ac:dyDescent="0.3">
      <c r="A1173" t="s">
        <v>127</v>
      </c>
      <c r="B1173" s="2">
        <v>45870</v>
      </c>
      <c r="C1173">
        <v>13494</v>
      </c>
    </row>
    <row r="1174" spans="1:3" ht="15" hidden="1" customHeight="1" x14ac:dyDescent="0.3">
      <c r="A1174" t="s">
        <v>127</v>
      </c>
      <c r="B1174" s="2">
        <v>45901</v>
      </c>
      <c r="C1174">
        <v>11744.7</v>
      </c>
    </row>
    <row r="1175" spans="1:3" ht="15" hidden="1" customHeight="1" x14ac:dyDescent="0.3">
      <c r="A1175" t="s">
        <v>127</v>
      </c>
      <c r="B1175" s="2">
        <v>45931</v>
      </c>
      <c r="C1175">
        <v>13202</v>
      </c>
    </row>
    <row r="1176" spans="1:3" ht="15" hidden="1" customHeight="1" x14ac:dyDescent="0.3">
      <c r="A1176" t="s">
        <v>127</v>
      </c>
      <c r="B1176" s="2">
        <v>45962</v>
      </c>
      <c r="C1176">
        <v>10765</v>
      </c>
    </row>
    <row r="1177" spans="1:3" ht="15" hidden="1" customHeight="1" x14ac:dyDescent="0.3">
      <c r="A1177" t="s">
        <v>127</v>
      </c>
      <c r="B1177" s="2">
        <v>45992</v>
      </c>
      <c r="C1177">
        <v>13231</v>
      </c>
    </row>
    <row r="1178" spans="1:3" ht="15" hidden="1" customHeight="1" x14ac:dyDescent="0.3">
      <c r="A1178" t="s">
        <v>127</v>
      </c>
      <c r="B1178" s="2">
        <v>46023</v>
      </c>
      <c r="C1178">
        <v>11720.01</v>
      </c>
    </row>
    <row r="1179" spans="1:3" ht="15" hidden="1" customHeight="1" x14ac:dyDescent="0.3">
      <c r="A1179" t="s">
        <v>127</v>
      </c>
      <c r="B1179" s="2">
        <v>46054</v>
      </c>
      <c r="C1179">
        <v>15533</v>
      </c>
    </row>
    <row r="1180" spans="1:3" ht="15" hidden="1" customHeight="1" x14ac:dyDescent="0.3">
      <c r="A1180" t="s">
        <v>127</v>
      </c>
      <c r="B1180" s="2">
        <v>46082</v>
      </c>
      <c r="C1180">
        <v>12559</v>
      </c>
    </row>
    <row r="1181" spans="1:3" ht="15" hidden="1" customHeight="1" x14ac:dyDescent="0.3">
      <c r="A1181" t="s">
        <v>127</v>
      </c>
      <c r="B1181" s="2">
        <v>46113</v>
      </c>
      <c r="C1181">
        <v>11577.01</v>
      </c>
    </row>
    <row r="1182" spans="1:3" ht="15" hidden="1" customHeight="1" x14ac:dyDescent="0.3">
      <c r="A1182" t="s">
        <v>127</v>
      </c>
      <c r="B1182" s="2">
        <v>46143</v>
      </c>
      <c r="C1182" s="12">
        <v>13966.89</v>
      </c>
    </row>
    <row r="1183" spans="1:3" ht="15" hidden="1" customHeight="1" x14ac:dyDescent="0.3">
      <c r="A1183" t="s">
        <v>225</v>
      </c>
      <c r="B1183" s="2">
        <v>46174</v>
      </c>
      <c r="C1183">
        <v>5909</v>
      </c>
    </row>
    <row r="1184" spans="1:3" ht="15" customHeight="1" x14ac:dyDescent="0.3">
      <c r="A1184" t="s">
        <v>236</v>
      </c>
      <c r="B1184" s="2">
        <v>46204</v>
      </c>
      <c r="C1184">
        <v>6010.4031999999997</v>
      </c>
    </row>
    <row r="1185" spans="1:2" ht="15" hidden="1" customHeight="1" x14ac:dyDescent="0.3">
      <c r="A1185" t="s">
        <v>127</v>
      </c>
      <c r="B1185" s="2">
        <v>46235</v>
      </c>
    </row>
    <row r="1186" spans="1:2" ht="15" hidden="1" customHeight="1" x14ac:dyDescent="0.3">
      <c r="A1186" t="s">
        <v>127</v>
      </c>
      <c r="B1186" s="2">
        <v>46266</v>
      </c>
    </row>
    <row r="1187" spans="1:2" ht="15" hidden="1" customHeight="1" x14ac:dyDescent="0.3">
      <c r="A1187" t="s">
        <v>127</v>
      </c>
      <c r="B1187" s="2">
        <v>46296</v>
      </c>
    </row>
    <row r="1188" spans="1:2" ht="15" hidden="1" customHeight="1" x14ac:dyDescent="0.3">
      <c r="A1188" t="s">
        <v>127</v>
      </c>
      <c r="B1188" s="2">
        <v>46327</v>
      </c>
    </row>
    <row r="1189" spans="1:2" ht="15" hidden="1" customHeight="1" x14ac:dyDescent="0.3">
      <c r="A1189" t="s">
        <v>127</v>
      </c>
      <c r="B1189" s="2">
        <v>46357</v>
      </c>
    </row>
    <row r="1190" spans="1:2" ht="15" hidden="1" customHeight="1" x14ac:dyDescent="0.3">
      <c r="A1190" t="s">
        <v>234</v>
      </c>
      <c r="B1190" s="2">
        <v>45292</v>
      </c>
    </row>
    <row r="1191" spans="1:2" ht="15" hidden="1" customHeight="1" x14ac:dyDescent="0.3">
      <c r="A1191" t="s">
        <v>234</v>
      </c>
      <c r="B1191" s="2">
        <v>45323</v>
      </c>
    </row>
    <row r="1192" spans="1:2" ht="15" hidden="1" customHeight="1" x14ac:dyDescent="0.3">
      <c r="A1192" t="s">
        <v>234</v>
      </c>
      <c r="B1192" s="2">
        <v>45352</v>
      </c>
    </row>
    <row r="1193" spans="1:2" ht="15" hidden="1" customHeight="1" x14ac:dyDescent="0.3">
      <c r="A1193" t="s">
        <v>234</v>
      </c>
      <c r="B1193" s="2">
        <v>45383</v>
      </c>
    </row>
    <row r="1194" spans="1:2" ht="15" hidden="1" customHeight="1" x14ac:dyDescent="0.3">
      <c r="A1194" t="s">
        <v>234</v>
      </c>
      <c r="B1194" s="2">
        <v>45413</v>
      </c>
    </row>
    <row r="1195" spans="1:2" ht="15" hidden="1" customHeight="1" x14ac:dyDescent="0.3">
      <c r="A1195" t="s">
        <v>234</v>
      </c>
      <c r="B1195" s="2">
        <v>45444</v>
      </c>
    </row>
    <row r="1196" spans="1:2" ht="15" hidden="1" customHeight="1" x14ac:dyDescent="0.3">
      <c r="A1196" t="s">
        <v>234</v>
      </c>
      <c r="B1196" s="2">
        <v>45474</v>
      </c>
    </row>
    <row r="1197" spans="1:2" ht="15" hidden="1" customHeight="1" x14ac:dyDescent="0.3">
      <c r="A1197" t="s">
        <v>234</v>
      </c>
      <c r="B1197" s="2">
        <v>45505</v>
      </c>
    </row>
    <row r="1198" spans="1:2" ht="15" hidden="1" customHeight="1" x14ac:dyDescent="0.3">
      <c r="A1198" t="s">
        <v>234</v>
      </c>
      <c r="B1198" s="2">
        <v>45536</v>
      </c>
    </row>
    <row r="1199" spans="1:2" ht="15" hidden="1" customHeight="1" x14ac:dyDescent="0.3">
      <c r="A1199" t="s">
        <v>234</v>
      </c>
      <c r="B1199" s="2">
        <v>45566</v>
      </c>
    </row>
    <row r="1200" spans="1:2" ht="15" hidden="1" customHeight="1" x14ac:dyDescent="0.3">
      <c r="A1200" t="s">
        <v>234</v>
      </c>
      <c r="B1200" s="2">
        <v>45597</v>
      </c>
    </row>
    <row r="1201" spans="1:3" ht="15" hidden="1" customHeight="1" x14ac:dyDescent="0.3">
      <c r="A1201" t="s">
        <v>234</v>
      </c>
      <c r="B1201" s="2">
        <v>45627</v>
      </c>
    </row>
    <row r="1202" spans="1:3" ht="15" hidden="1" customHeight="1" x14ac:dyDescent="0.3">
      <c r="A1202" t="s">
        <v>234</v>
      </c>
      <c r="B1202" s="2">
        <v>45658</v>
      </c>
    </row>
    <row r="1203" spans="1:3" ht="15" hidden="1" customHeight="1" x14ac:dyDescent="0.3">
      <c r="A1203" t="s">
        <v>234</v>
      </c>
      <c r="B1203" s="2">
        <v>45689</v>
      </c>
    </row>
    <row r="1204" spans="1:3" ht="15" hidden="1" customHeight="1" x14ac:dyDescent="0.3">
      <c r="A1204" t="s">
        <v>234</v>
      </c>
      <c r="B1204" s="2">
        <v>45717</v>
      </c>
    </row>
    <row r="1205" spans="1:3" ht="15" hidden="1" customHeight="1" x14ac:dyDescent="0.3">
      <c r="A1205" t="s">
        <v>234</v>
      </c>
      <c r="B1205" s="2">
        <v>45748</v>
      </c>
    </row>
    <row r="1206" spans="1:3" ht="15" hidden="1" customHeight="1" x14ac:dyDescent="0.3">
      <c r="A1206" t="s">
        <v>234</v>
      </c>
      <c r="B1206" s="2">
        <v>45778</v>
      </c>
    </row>
    <row r="1207" spans="1:3" ht="15" hidden="1" customHeight="1" x14ac:dyDescent="0.3">
      <c r="A1207" t="s">
        <v>234</v>
      </c>
      <c r="B1207" s="2">
        <v>45809</v>
      </c>
    </row>
    <row r="1208" spans="1:3" ht="15" hidden="1" customHeight="1" x14ac:dyDescent="0.3">
      <c r="A1208" t="s">
        <v>234</v>
      </c>
      <c r="B1208" s="2">
        <v>45839</v>
      </c>
    </row>
    <row r="1209" spans="1:3" ht="15" hidden="1" customHeight="1" x14ac:dyDescent="0.3">
      <c r="A1209" t="s">
        <v>234</v>
      </c>
      <c r="B1209" s="2">
        <v>45870</v>
      </c>
    </row>
    <row r="1210" spans="1:3" ht="15" hidden="1" customHeight="1" x14ac:dyDescent="0.3">
      <c r="A1210" t="s">
        <v>234</v>
      </c>
      <c r="B1210" s="2">
        <v>45901</v>
      </c>
    </row>
    <row r="1211" spans="1:3" ht="15" hidden="1" customHeight="1" x14ac:dyDescent="0.3">
      <c r="A1211" t="s">
        <v>234</v>
      </c>
      <c r="B1211" s="2">
        <v>45931</v>
      </c>
    </row>
    <row r="1212" spans="1:3" ht="15" hidden="1" customHeight="1" x14ac:dyDescent="0.3">
      <c r="A1212" t="s">
        <v>234</v>
      </c>
      <c r="B1212" s="2">
        <v>45962</v>
      </c>
    </row>
    <row r="1213" spans="1:3" ht="15" hidden="1" customHeight="1" x14ac:dyDescent="0.3">
      <c r="A1213" t="s">
        <v>234</v>
      </c>
      <c r="B1213" s="2">
        <v>45992</v>
      </c>
      <c r="C1213">
        <v>44400</v>
      </c>
    </row>
    <row r="1214" spans="1:3" ht="15" hidden="1" customHeight="1" x14ac:dyDescent="0.3">
      <c r="A1214" t="s">
        <v>234</v>
      </c>
      <c r="B1214" s="2">
        <v>46023</v>
      </c>
      <c r="C1214">
        <v>44972.3</v>
      </c>
    </row>
    <row r="1215" spans="1:3" ht="15" hidden="1" customHeight="1" x14ac:dyDescent="0.3">
      <c r="A1215" t="s">
        <v>234</v>
      </c>
      <c r="B1215" s="2">
        <v>46054</v>
      </c>
      <c r="C1215">
        <v>44384</v>
      </c>
    </row>
    <row r="1216" spans="1:3" ht="15" hidden="1" customHeight="1" x14ac:dyDescent="0.3">
      <c r="A1216" t="s">
        <v>234</v>
      </c>
      <c r="B1216" s="2">
        <v>46082</v>
      </c>
      <c r="C1216">
        <v>42181</v>
      </c>
    </row>
    <row r="1217" spans="1:3" ht="15" hidden="1" customHeight="1" x14ac:dyDescent="0.3">
      <c r="A1217" t="s">
        <v>234</v>
      </c>
      <c r="B1217" s="2">
        <v>46113</v>
      </c>
      <c r="C1217">
        <v>29438.84</v>
      </c>
    </row>
    <row r="1218" spans="1:3" ht="15" hidden="1" customHeight="1" x14ac:dyDescent="0.3">
      <c r="A1218" t="s">
        <v>234</v>
      </c>
      <c r="B1218" s="2">
        <v>46143</v>
      </c>
      <c r="C1218" s="12">
        <v>20478.599999999999</v>
      </c>
    </row>
    <row r="1219" spans="1:3" ht="15" hidden="1" customHeight="1" x14ac:dyDescent="0.3">
      <c r="A1219" t="s">
        <v>234</v>
      </c>
      <c r="B1219" s="2">
        <v>46174</v>
      </c>
      <c r="C1219">
        <v>18349.150000000001</v>
      </c>
    </row>
    <row r="1220" spans="1:3" ht="15" customHeight="1" x14ac:dyDescent="0.3">
      <c r="A1220" t="s">
        <v>122</v>
      </c>
      <c r="B1220" s="2">
        <v>46204</v>
      </c>
      <c r="C1220">
        <v>12604.390950000001</v>
      </c>
    </row>
    <row r="1221" spans="1:3" ht="15" hidden="1" customHeight="1" x14ac:dyDescent="0.3">
      <c r="A1221" t="s">
        <v>234</v>
      </c>
      <c r="B1221" s="2">
        <v>46235</v>
      </c>
    </row>
    <row r="1222" spans="1:3" ht="15" hidden="1" customHeight="1" x14ac:dyDescent="0.3">
      <c r="A1222" t="s">
        <v>234</v>
      </c>
      <c r="B1222" s="2">
        <v>46266</v>
      </c>
    </row>
    <row r="1223" spans="1:3" ht="15" hidden="1" customHeight="1" x14ac:dyDescent="0.3">
      <c r="A1223" t="s">
        <v>234</v>
      </c>
      <c r="B1223" s="2">
        <v>46296</v>
      </c>
    </row>
    <row r="1224" spans="1:3" ht="15" hidden="1" customHeight="1" x14ac:dyDescent="0.3">
      <c r="A1224" t="s">
        <v>234</v>
      </c>
      <c r="B1224" s="2">
        <v>46327</v>
      </c>
    </row>
    <row r="1225" spans="1:3" ht="15" hidden="1" customHeight="1" x14ac:dyDescent="0.3">
      <c r="A1225" t="s">
        <v>234</v>
      </c>
      <c r="B1225" s="2">
        <v>46357</v>
      </c>
    </row>
    <row r="1226" spans="1:3" ht="15" hidden="1" customHeight="1" x14ac:dyDescent="0.3">
      <c r="A1226" t="s">
        <v>131</v>
      </c>
      <c r="B1226" s="2">
        <v>45292</v>
      </c>
      <c r="C1226">
        <v>3824</v>
      </c>
    </row>
    <row r="1227" spans="1:3" ht="15" hidden="1" customHeight="1" x14ac:dyDescent="0.3">
      <c r="A1227" t="s">
        <v>131</v>
      </c>
      <c r="B1227" s="2">
        <v>45323</v>
      </c>
      <c r="C1227">
        <v>3746</v>
      </c>
    </row>
    <row r="1228" spans="1:3" ht="15" hidden="1" customHeight="1" x14ac:dyDescent="0.3">
      <c r="A1228" t="s">
        <v>131</v>
      </c>
      <c r="B1228" s="2">
        <v>45352</v>
      </c>
      <c r="C1228">
        <v>3799</v>
      </c>
    </row>
    <row r="1229" spans="1:3" ht="15" hidden="1" customHeight="1" x14ac:dyDescent="0.3">
      <c r="A1229" t="s">
        <v>131</v>
      </c>
      <c r="B1229" s="2">
        <v>45383</v>
      </c>
      <c r="C1229">
        <v>3854</v>
      </c>
    </row>
    <row r="1230" spans="1:3" ht="15" hidden="1" customHeight="1" x14ac:dyDescent="0.3">
      <c r="A1230" t="s">
        <v>131</v>
      </c>
      <c r="B1230" s="2">
        <v>45413</v>
      </c>
      <c r="C1230">
        <v>4391</v>
      </c>
    </row>
    <row r="1231" spans="1:3" ht="15" hidden="1" customHeight="1" x14ac:dyDescent="0.3">
      <c r="A1231" t="s">
        <v>131</v>
      </c>
      <c r="B1231" s="2">
        <v>45444</v>
      </c>
      <c r="C1231">
        <v>4167</v>
      </c>
    </row>
    <row r="1232" spans="1:3" ht="15" hidden="1" customHeight="1" x14ac:dyDescent="0.3">
      <c r="A1232" t="s">
        <v>131</v>
      </c>
      <c r="B1232" s="2">
        <v>45474</v>
      </c>
      <c r="C1232">
        <v>4515</v>
      </c>
    </row>
    <row r="1233" spans="1:3" ht="15" hidden="1" customHeight="1" x14ac:dyDescent="0.3">
      <c r="A1233" t="s">
        <v>131</v>
      </c>
      <c r="B1233" s="2">
        <v>45505</v>
      </c>
      <c r="C1233">
        <v>4113</v>
      </c>
    </row>
    <row r="1234" spans="1:3" ht="15" hidden="1" customHeight="1" x14ac:dyDescent="0.3">
      <c r="A1234" t="s">
        <v>131</v>
      </c>
      <c r="B1234" s="2">
        <v>45536</v>
      </c>
      <c r="C1234">
        <v>3620</v>
      </c>
    </row>
    <row r="1235" spans="1:3" ht="15" hidden="1" customHeight="1" x14ac:dyDescent="0.3">
      <c r="A1235" t="s">
        <v>131</v>
      </c>
      <c r="B1235" s="2">
        <v>45566</v>
      </c>
      <c r="C1235">
        <v>4760</v>
      </c>
    </row>
    <row r="1236" spans="1:3" ht="15" hidden="1" customHeight="1" x14ac:dyDescent="0.3">
      <c r="A1236" t="s">
        <v>131</v>
      </c>
      <c r="B1236" s="2">
        <v>45597</v>
      </c>
      <c r="C1236">
        <v>3916</v>
      </c>
    </row>
    <row r="1237" spans="1:3" ht="15" hidden="1" customHeight="1" x14ac:dyDescent="0.3">
      <c r="A1237" t="s">
        <v>131</v>
      </c>
      <c r="B1237" s="2">
        <v>45627</v>
      </c>
      <c r="C1237">
        <v>4124</v>
      </c>
    </row>
    <row r="1238" spans="1:3" ht="15" hidden="1" customHeight="1" x14ac:dyDescent="0.3">
      <c r="A1238" t="s">
        <v>131</v>
      </c>
      <c r="B1238" s="2">
        <v>45658</v>
      </c>
      <c r="C1238">
        <v>3080</v>
      </c>
    </row>
    <row r="1239" spans="1:3" ht="15" hidden="1" customHeight="1" x14ac:dyDescent="0.3">
      <c r="A1239" t="s">
        <v>131</v>
      </c>
      <c r="B1239" s="2">
        <v>45689</v>
      </c>
      <c r="C1239">
        <v>2400</v>
      </c>
    </row>
    <row r="1240" spans="1:3" ht="15" hidden="1" customHeight="1" x14ac:dyDescent="0.3">
      <c r="A1240" t="s">
        <v>131</v>
      </c>
      <c r="B1240" s="2">
        <v>45717</v>
      </c>
      <c r="C1240">
        <v>2832</v>
      </c>
    </row>
    <row r="1241" spans="1:3" ht="15" hidden="1" customHeight="1" x14ac:dyDescent="0.3">
      <c r="A1241" t="s">
        <v>131</v>
      </c>
      <c r="B1241" s="2">
        <v>45748</v>
      </c>
      <c r="C1241">
        <v>2690</v>
      </c>
    </row>
    <row r="1242" spans="1:3" ht="15" hidden="1" customHeight="1" x14ac:dyDescent="0.3">
      <c r="A1242" t="s">
        <v>131</v>
      </c>
      <c r="B1242" s="2">
        <v>45778</v>
      </c>
      <c r="C1242">
        <v>3597</v>
      </c>
    </row>
    <row r="1243" spans="1:3" ht="15" hidden="1" customHeight="1" x14ac:dyDescent="0.3">
      <c r="A1243" t="s">
        <v>131</v>
      </c>
      <c r="B1243" s="2">
        <v>45809</v>
      </c>
      <c r="C1243">
        <v>4831.17</v>
      </c>
    </row>
    <row r="1244" spans="1:3" ht="15" hidden="1" customHeight="1" x14ac:dyDescent="0.3">
      <c r="A1244" t="s">
        <v>131</v>
      </c>
      <c r="B1244" s="2">
        <v>45839</v>
      </c>
      <c r="C1244">
        <v>5152</v>
      </c>
    </row>
    <row r="1245" spans="1:3" ht="15" hidden="1" customHeight="1" x14ac:dyDescent="0.3">
      <c r="A1245" t="s">
        <v>131</v>
      </c>
      <c r="B1245" s="2">
        <v>45870</v>
      </c>
      <c r="C1245">
        <v>5913</v>
      </c>
    </row>
    <row r="1246" spans="1:3" ht="15" hidden="1" customHeight="1" x14ac:dyDescent="0.3">
      <c r="A1246" t="s">
        <v>131</v>
      </c>
      <c r="B1246" s="2">
        <v>45901</v>
      </c>
      <c r="C1246">
        <v>5163</v>
      </c>
    </row>
    <row r="1247" spans="1:3" ht="15" hidden="1" customHeight="1" x14ac:dyDescent="0.3">
      <c r="A1247" t="s">
        <v>131</v>
      </c>
      <c r="B1247" s="2">
        <v>45931</v>
      </c>
      <c r="C1247">
        <v>5859</v>
      </c>
    </row>
    <row r="1248" spans="1:3" ht="15" hidden="1" customHeight="1" x14ac:dyDescent="0.3">
      <c r="A1248" t="s">
        <v>131</v>
      </c>
      <c r="B1248" s="2">
        <v>45962</v>
      </c>
      <c r="C1248">
        <v>4665</v>
      </c>
    </row>
    <row r="1249" spans="1:3" ht="15" hidden="1" customHeight="1" x14ac:dyDescent="0.3">
      <c r="A1249" t="s">
        <v>131</v>
      </c>
      <c r="B1249" s="2">
        <v>45992</v>
      </c>
      <c r="C1249">
        <v>5472</v>
      </c>
    </row>
    <row r="1250" spans="1:3" ht="15" hidden="1" customHeight="1" x14ac:dyDescent="0.3">
      <c r="A1250" t="s">
        <v>131</v>
      </c>
      <c r="B1250" s="2">
        <v>46023</v>
      </c>
      <c r="C1250">
        <v>5579.67</v>
      </c>
    </row>
    <row r="1251" spans="1:3" ht="15" hidden="1" customHeight="1" x14ac:dyDescent="0.3">
      <c r="A1251" t="s">
        <v>131</v>
      </c>
      <c r="B1251" s="2">
        <v>46054</v>
      </c>
      <c r="C1251">
        <v>4787</v>
      </c>
    </row>
    <row r="1252" spans="1:3" ht="15" hidden="1" customHeight="1" x14ac:dyDescent="0.3">
      <c r="A1252" t="s">
        <v>131</v>
      </c>
      <c r="B1252" s="2">
        <v>46082</v>
      </c>
      <c r="C1252">
        <v>4406</v>
      </c>
    </row>
    <row r="1253" spans="1:3" ht="15" hidden="1" customHeight="1" x14ac:dyDescent="0.3">
      <c r="A1253" t="s">
        <v>131</v>
      </c>
      <c r="B1253" s="2">
        <v>46113</v>
      </c>
      <c r="C1253">
        <v>4506.8</v>
      </c>
    </row>
    <row r="1254" spans="1:3" ht="15" hidden="1" customHeight="1" x14ac:dyDescent="0.3">
      <c r="A1254" t="s">
        <v>131</v>
      </c>
      <c r="B1254" s="2">
        <v>46143</v>
      </c>
      <c r="C1254" s="12">
        <v>5143.42</v>
      </c>
    </row>
    <row r="1255" spans="1:3" ht="15" hidden="1" customHeight="1" x14ac:dyDescent="0.3">
      <c r="A1255" t="s">
        <v>223</v>
      </c>
      <c r="B1255" s="2">
        <v>46174</v>
      </c>
      <c r="C1255">
        <v>3139.7</v>
      </c>
    </row>
    <row r="1256" spans="1:3" ht="15" customHeight="1" x14ac:dyDescent="0.3">
      <c r="A1256" t="s">
        <v>124</v>
      </c>
      <c r="B1256" s="2">
        <v>46204</v>
      </c>
      <c r="C1256">
        <v>40997.122360000001</v>
      </c>
    </row>
    <row r="1257" spans="1:3" ht="15" hidden="1" customHeight="1" x14ac:dyDescent="0.3">
      <c r="A1257" t="s">
        <v>131</v>
      </c>
      <c r="B1257" s="2">
        <v>46235</v>
      </c>
    </row>
    <row r="1258" spans="1:3" ht="15" hidden="1" customHeight="1" x14ac:dyDescent="0.3">
      <c r="A1258" t="s">
        <v>131</v>
      </c>
      <c r="B1258" s="2">
        <v>46266</v>
      </c>
    </row>
    <row r="1259" spans="1:3" ht="15" hidden="1" customHeight="1" x14ac:dyDescent="0.3">
      <c r="A1259" t="s">
        <v>131</v>
      </c>
      <c r="B1259" s="2">
        <v>46296</v>
      </c>
    </row>
    <row r="1260" spans="1:3" ht="15" hidden="1" customHeight="1" x14ac:dyDescent="0.3">
      <c r="A1260" t="s">
        <v>131</v>
      </c>
      <c r="B1260" s="2">
        <v>46327</v>
      </c>
    </row>
    <row r="1261" spans="1:3" ht="15" hidden="1" customHeight="1" x14ac:dyDescent="0.3">
      <c r="A1261" t="s">
        <v>131</v>
      </c>
      <c r="B1261" s="2">
        <v>46357</v>
      </c>
    </row>
    <row r="1262" spans="1:3" ht="15" hidden="1" customHeight="1" x14ac:dyDescent="0.3">
      <c r="A1262" t="s">
        <v>134</v>
      </c>
      <c r="B1262" s="2">
        <v>45292</v>
      </c>
    </row>
    <row r="1263" spans="1:3" ht="15" hidden="1" customHeight="1" x14ac:dyDescent="0.3">
      <c r="A1263" t="s">
        <v>134</v>
      </c>
      <c r="B1263" s="2">
        <v>45323</v>
      </c>
    </row>
    <row r="1264" spans="1:3" ht="15" hidden="1" customHeight="1" x14ac:dyDescent="0.3">
      <c r="A1264" t="s">
        <v>134</v>
      </c>
      <c r="B1264" s="2">
        <v>45352</v>
      </c>
      <c r="C1264">
        <v>41550.800000000003</v>
      </c>
    </row>
    <row r="1265" spans="1:3" ht="15" hidden="1" customHeight="1" x14ac:dyDescent="0.3">
      <c r="A1265" t="s">
        <v>134</v>
      </c>
      <c r="B1265" s="2">
        <v>45383</v>
      </c>
      <c r="C1265">
        <v>25447.599999999999</v>
      </c>
    </row>
    <row r="1266" spans="1:3" ht="15" hidden="1" customHeight="1" x14ac:dyDescent="0.3">
      <c r="A1266" t="s">
        <v>134</v>
      </c>
      <c r="B1266" s="2">
        <v>45413</v>
      </c>
      <c r="C1266">
        <v>28056</v>
      </c>
    </row>
    <row r="1267" spans="1:3" ht="15" hidden="1" customHeight="1" x14ac:dyDescent="0.3">
      <c r="A1267" t="s">
        <v>134</v>
      </c>
      <c r="B1267" s="2">
        <v>45444</v>
      </c>
      <c r="C1267">
        <v>27241</v>
      </c>
    </row>
    <row r="1268" spans="1:3" ht="15" hidden="1" customHeight="1" x14ac:dyDescent="0.3">
      <c r="A1268" t="s">
        <v>134</v>
      </c>
      <c r="B1268" s="2">
        <v>45474</v>
      </c>
      <c r="C1268">
        <v>31078</v>
      </c>
    </row>
    <row r="1269" spans="1:3" ht="15" hidden="1" customHeight="1" x14ac:dyDescent="0.3">
      <c r="A1269" t="s">
        <v>134</v>
      </c>
      <c r="B1269" s="2">
        <v>45505</v>
      </c>
      <c r="C1269">
        <v>33515</v>
      </c>
    </row>
    <row r="1270" spans="1:3" ht="15" hidden="1" customHeight="1" x14ac:dyDescent="0.3">
      <c r="A1270" t="s">
        <v>134</v>
      </c>
      <c r="B1270" s="2">
        <v>45536</v>
      </c>
      <c r="C1270">
        <v>34245</v>
      </c>
    </row>
    <row r="1271" spans="1:3" ht="15" hidden="1" customHeight="1" x14ac:dyDescent="0.3">
      <c r="A1271" t="s">
        <v>134</v>
      </c>
      <c r="B1271" s="2">
        <v>45566</v>
      </c>
      <c r="C1271">
        <v>46108</v>
      </c>
    </row>
    <row r="1272" spans="1:3" ht="15" hidden="1" customHeight="1" x14ac:dyDescent="0.3">
      <c r="A1272" t="s">
        <v>134</v>
      </c>
      <c r="B1272" s="2">
        <v>45597</v>
      </c>
      <c r="C1272">
        <v>42922</v>
      </c>
    </row>
    <row r="1273" spans="1:3" ht="15" hidden="1" customHeight="1" x14ac:dyDescent="0.3">
      <c r="A1273" t="s">
        <v>134</v>
      </c>
      <c r="B1273" s="2">
        <v>45627</v>
      </c>
      <c r="C1273">
        <v>44138</v>
      </c>
    </row>
    <row r="1274" spans="1:3" ht="15" hidden="1" customHeight="1" x14ac:dyDescent="0.3">
      <c r="A1274" t="s">
        <v>134</v>
      </c>
      <c r="B1274" s="2">
        <v>45658</v>
      </c>
      <c r="C1274">
        <v>41100</v>
      </c>
    </row>
    <row r="1275" spans="1:3" ht="15" hidden="1" customHeight="1" x14ac:dyDescent="0.3">
      <c r="A1275" t="s">
        <v>134</v>
      </c>
      <c r="B1275" s="2">
        <v>45689</v>
      </c>
      <c r="C1275">
        <v>30900</v>
      </c>
    </row>
    <row r="1276" spans="1:3" ht="15" hidden="1" customHeight="1" x14ac:dyDescent="0.3">
      <c r="A1276" t="s">
        <v>134</v>
      </c>
      <c r="B1276" s="2">
        <v>45717</v>
      </c>
      <c r="C1276">
        <v>31593</v>
      </c>
    </row>
    <row r="1277" spans="1:3" ht="15" hidden="1" customHeight="1" x14ac:dyDescent="0.3">
      <c r="A1277" t="s">
        <v>134</v>
      </c>
      <c r="B1277" s="2">
        <v>45748</v>
      </c>
      <c r="C1277">
        <v>25646</v>
      </c>
    </row>
    <row r="1278" spans="1:3" ht="15" hidden="1" customHeight="1" x14ac:dyDescent="0.3">
      <c r="A1278" t="s">
        <v>134</v>
      </c>
      <c r="B1278" s="2">
        <v>45778</v>
      </c>
      <c r="C1278">
        <v>33184</v>
      </c>
    </row>
    <row r="1279" spans="1:3" ht="15" hidden="1" customHeight="1" x14ac:dyDescent="0.3">
      <c r="A1279" t="s">
        <v>134</v>
      </c>
      <c r="B1279" s="2">
        <v>45809</v>
      </c>
      <c r="C1279">
        <v>29359.5</v>
      </c>
    </row>
    <row r="1280" spans="1:3" ht="15" hidden="1" customHeight="1" x14ac:dyDescent="0.3">
      <c r="A1280" t="s">
        <v>134</v>
      </c>
      <c r="B1280" s="2">
        <v>45839</v>
      </c>
      <c r="C1280">
        <v>23487</v>
      </c>
    </row>
    <row r="1281" spans="1:3" ht="15" hidden="1" customHeight="1" x14ac:dyDescent="0.3">
      <c r="A1281" t="s">
        <v>134</v>
      </c>
      <c r="B1281" s="2">
        <v>45870</v>
      </c>
      <c r="C1281">
        <v>34316</v>
      </c>
    </row>
    <row r="1282" spans="1:3" ht="15" hidden="1" customHeight="1" x14ac:dyDescent="0.3">
      <c r="A1282" t="s">
        <v>134</v>
      </c>
      <c r="B1282" s="2">
        <v>45901</v>
      </c>
      <c r="C1282">
        <v>33632.699999999997</v>
      </c>
    </row>
    <row r="1283" spans="1:3" ht="15" hidden="1" customHeight="1" x14ac:dyDescent="0.3">
      <c r="A1283" t="s">
        <v>134</v>
      </c>
      <c r="B1283" s="2">
        <v>45931</v>
      </c>
      <c r="C1283">
        <v>41353</v>
      </c>
    </row>
    <row r="1284" spans="1:3" ht="15" hidden="1" customHeight="1" x14ac:dyDescent="0.3">
      <c r="A1284" t="s">
        <v>134</v>
      </c>
      <c r="B1284" s="2">
        <v>45962</v>
      </c>
      <c r="C1284">
        <v>44434</v>
      </c>
    </row>
    <row r="1285" spans="1:3" ht="15" hidden="1" customHeight="1" x14ac:dyDescent="0.3">
      <c r="A1285" t="s">
        <v>134</v>
      </c>
      <c r="B1285" s="2">
        <v>45992</v>
      </c>
      <c r="C1285">
        <v>40551</v>
      </c>
    </row>
    <row r="1286" spans="1:3" ht="15" hidden="1" customHeight="1" x14ac:dyDescent="0.3">
      <c r="A1286" t="s">
        <v>134</v>
      </c>
      <c r="B1286" s="2">
        <v>46023</v>
      </c>
      <c r="C1286">
        <v>42821</v>
      </c>
    </row>
    <row r="1287" spans="1:3" ht="15" hidden="1" customHeight="1" x14ac:dyDescent="0.3">
      <c r="A1287" t="s">
        <v>134</v>
      </c>
      <c r="B1287" s="2">
        <v>46054</v>
      </c>
      <c r="C1287">
        <v>39129</v>
      </c>
    </row>
    <row r="1288" spans="1:3" ht="15" hidden="1" customHeight="1" x14ac:dyDescent="0.3">
      <c r="A1288" t="s">
        <v>134</v>
      </c>
      <c r="B1288" s="2">
        <v>46082</v>
      </c>
      <c r="C1288">
        <v>31935</v>
      </c>
    </row>
    <row r="1289" spans="1:3" ht="15" hidden="1" customHeight="1" x14ac:dyDescent="0.3">
      <c r="A1289" t="s">
        <v>134</v>
      </c>
      <c r="B1289" s="2">
        <v>46113</v>
      </c>
      <c r="C1289">
        <v>26513.02</v>
      </c>
    </row>
    <row r="1290" spans="1:3" ht="15" hidden="1" customHeight="1" x14ac:dyDescent="0.3">
      <c r="A1290" t="s">
        <v>134</v>
      </c>
      <c r="B1290" s="2">
        <v>46143</v>
      </c>
      <c r="C1290" s="12">
        <v>29984.36</v>
      </c>
    </row>
    <row r="1291" spans="1:3" ht="15" hidden="1" customHeight="1" x14ac:dyDescent="0.3">
      <c r="A1291" t="s">
        <v>134</v>
      </c>
      <c r="B1291" s="2">
        <v>46174</v>
      </c>
      <c r="C1291">
        <v>23145.119999999999</v>
      </c>
    </row>
    <row r="1292" spans="1:3" ht="15" customHeight="1" x14ac:dyDescent="0.3">
      <c r="A1292" t="s">
        <v>127</v>
      </c>
      <c r="B1292" s="2">
        <v>46204</v>
      </c>
      <c r="C1292">
        <v>13303</v>
      </c>
    </row>
    <row r="1293" spans="1:3" ht="15" hidden="1" customHeight="1" x14ac:dyDescent="0.3">
      <c r="A1293" t="s">
        <v>134</v>
      </c>
      <c r="B1293" s="2">
        <v>46235</v>
      </c>
    </row>
    <row r="1294" spans="1:3" ht="15" hidden="1" customHeight="1" x14ac:dyDescent="0.3">
      <c r="A1294" t="s">
        <v>134</v>
      </c>
      <c r="B1294" s="2">
        <v>46266</v>
      </c>
    </row>
    <row r="1295" spans="1:3" ht="15" hidden="1" customHeight="1" x14ac:dyDescent="0.3">
      <c r="A1295" t="s">
        <v>134</v>
      </c>
      <c r="B1295" s="2">
        <v>46296</v>
      </c>
    </row>
    <row r="1296" spans="1:3" ht="15" hidden="1" customHeight="1" x14ac:dyDescent="0.3">
      <c r="A1296" t="s">
        <v>134</v>
      </c>
      <c r="B1296" s="2">
        <v>46327</v>
      </c>
    </row>
    <row r="1297" spans="1:3" ht="15" hidden="1" customHeight="1" x14ac:dyDescent="0.3">
      <c r="A1297" t="s">
        <v>134</v>
      </c>
      <c r="B1297" s="2">
        <v>46357</v>
      </c>
    </row>
    <row r="1298" spans="1:3" ht="15" hidden="1" customHeight="1" x14ac:dyDescent="0.3">
      <c r="A1298" t="s">
        <v>138</v>
      </c>
      <c r="B1298" s="2">
        <v>45292</v>
      </c>
    </row>
    <row r="1299" spans="1:3" ht="15" hidden="1" customHeight="1" x14ac:dyDescent="0.3">
      <c r="A1299" t="s">
        <v>138</v>
      </c>
      <c r="B1299" s="2">
        <v>45323</v>
      </c>
    </row>
    <row r="1300" spans="1:3" ht="15" hidden="1" customHeight="1" x14ac:dyDescent="0.3">
      <c r="A1300" t="s">
        <v>138</v>
      </c>
      <c r="B1300" s="2">
        <v>45352</v>
      </c>
    </row>
    <row r="1301" spans="1:3" ht="15" hidden="1" customHeight="1" x14ac:dyDescent="0.3">
      <c r="A1301" t="s">
        <v>138</v>
      </c>
      <c r="B1301" s="2">
        <v>45383</v>
      </c>
    </row>
    <row r="1302" spans="1:3" ht="15" hidden="1" customHeight="1" x14ac:dyDescent="0.3">
      <c r="A1302" t="s">
        <v>138</v>
      </c>
      <c r="B1302" s="2">
        <v>45413</v>
      </c>
    </row>
    <row r="1303" spans="1:3" ht="15" hidden="1" customHeight="1" x14ac:dyDescent="0.3">
      <c r="A1303" t="s">
        <v>138</v>
      </c>
      <c r="B1303" s="2">
        <v>45444</v>
      </c>
    </row>
    <row r="1304" spans="1:3" ht="15" hidden="1" customHeight="1" x14ac:dyDescent="0.3">
      <c r="A1304" t="s">
        <v>138</v>
      </c>
      <c r="B1304" s="2">
        <v>45474</v>
      </c>
    </row>
    <row r="1305" spans="1:3" ht="15" hidden="1" customHeight="1" x14ac:dyDescent="0.3">
      <c r="A1305" t="s">
        <v>138</v>
      </c>
      <c r="B1305" s="2">
        <v>45505</v>
      </c>
    </row>
    <row r="1306" spans="1:3" ht="15" hidden="1" customHeight="1" x14ac:dyDescent="0.3">
      <c r="A1306" t="s">
        <v>138</v>
      </c>
      <c r="B1306" s="2">
        <v>45536</v>
      </c>
    </row>
    <row r="1307" spans="1:3" ht="15" hidden="1" customHeight="1" x14ac:dyDescent="0.3">
      <c r="A1307" t="s">
        <v>138</v>
      </c>
      <c r="B1307" s="2">
        <v>45566</v>
      </c>
    </row>
    <row r="1308" spans="1:3" ht="15" hidden="1" customHeight="1" x14ac:dyDescent="0.3">
      <c r="A1308" t="s">
        <v>138</v>
      </c>
      <c r="B1308" s="2">
        <v>45597</v>
      </c>
    </row>
    <row r="1309" spans="1:3" ht="15" hidden="1" customHeight="1" x14ac:dyDescent="0.3">
      <c r="A1309" t="s">
        <v>138</v>
      </c>
      <c r="B1309" s="2">
        <v>45627</v>
      </c>
    </row>
    <row r="1310" spans="1:3" ht="15" hidden="1" customHeight="1" x14ac:dyDescent="0.3">
      <c r="A1310" t="s">
        <v>138</v>
      </c>
      <c r="B1310" s="2">
        <v>45658</v>
      </c>
      <c r="C1310">
        <v>21130</v>
      </c>
    </row>
    <row r="1311" spans="1:3" ht="15" hidden="1" customHeight="1" x14ac:dyDescent="0.3">
      <c r="A1311" t="s">
        <v>138</v>
      </c>
      <c r="B1311" s="2">
        <v>45689</v>
      </c>
      <c r="C1311">
        <v>17140</v>
      </c>
    </row>
    <row r="1312" spans="1:3" ht="15" hidden="1" customHeight="1" x14ac:dyDescent="0.3">
      <c r="A1312" t="s">
        <v>138</v>
      </c>
      <c r="B1312" s="2">
        <v>45717</v>
      </c>
    </row>
    <row r="1313" spans="1:3" ht="15" hidden="1" customHeight="1" x14ac:dyDescent="0.3">
      <c r="A1313" t="s">
        <v>138</v>
      </c>
      <c r="B1313" s="2">
        <v>45748</v>
      </c>
    </row>
    <row r="1314" spans="1:3" ht="15" hidden="1" customHeight="1" x14ac:dyDescent="0.3">
      <c r="A1314" t="s">
        <v>138</v>
      </c>
      <c r="B1314" s="2">
        <v>45778</v>
      </c>
    </row>
    <row r="1315" spans="1:3" ht="15" hidden="1" customHeight="1" x14ac:dyDescent="0.3">
      <c r="A1315" t="s">
        <v>138</v>
      </c>
      <c r="B1315" s="2">
        <v>45809</v>
      </c>
    </row>
    <row r="1316" spans="1:3" ht="15" hidden="1" customHeight="1" x14ac:dyDescent="0.3">
      <c r="A1316" t="s">
        <v>138</v>
      </c>
      <c r="B1316" s="2">
        <v>45839</v>
      </c>
    </row>
    <row r="1317" spans="1:3" ht="15" hidden="1" customHeight="1" x14ac:dyDescent="0.3">
      <c r="A1317" t="s">
        <v>138</v>
      </c>
      <c r="B1317" s="2">
        <v>45870</v>
      </c>
    </row>
    <row r="1318" spans="1:3" ht="15" hidden="1" customHeight="1" x14ac:dyDescent="0.3">
      <c r="A1318" t="s">
        <v>138</v>
      </c>
      <c r="B1318" s="2">
        <v>45901</v>
      </c>
    </row>
    <row r="1319" spans="1:3" ht="15" hidden="1" customHeight="1" x14ac:dyDescent="0.3">
      <c r="A1319" t="s">
        <v>138</v>
      </c>
      <c r="B1319" s="2">
        <v>45931</v>
      </c>
    </row>
    <row r="1320" spans="1:3" ht="15" hidden="1" customHeight="1" x14ac:dyDescent="0.3">
      <c r="A1320" t="s">
        <v>138</v>
      </c>
      <c r="B1320" s="2">
        <v>45962</v>
      </c>
    </row>
    <row r="1321" spans="1:3" ht="15" hidden="1" customHeight="1" x14ac:dyDescent="0.3">
      <c r="A1321" t="s">
        <v>138</v>
      </c>
      <c r="B1321" s="2">
        <v>45992</v>
      </c>
    </row>
    <row r="1322" spans="1:3" ht="15" hidden="1" customHeight="1" x14ac:dyDescent="0.3">
      <c r="A1322" t="s">
        <v>138</v>
      </c>
      <c r="B1322" s="2">
        <v>46023</v>
      </c>
      <c r="C1322">
        <v>9830</v>
      </c>
    </row>
    <row r="1323" spans="1:3" ht="15" hidden="1" customHeight="1" x14ac:dyDescent="0.3">
      <c r="A1323" t="s">
        <v>138</v>
      </c>
      <c r="B1323" s="2">
        <v>46054</v>
      </c>
      <c r="C1323">
        <v>20200</v>
      </c>
    </row>
    <row r="1324" spans="1:3" ht="15" hidden="1" customHeight="1" x14ac:dyDescent="0.3">
      <c r="A1324" t="s">
        <v>138</v>
      </c>
      <c r="B1324" s="2">
        <v>46082</v>
      </c>
      <c r="C1324">
        <v>16198</v>
      </c>
    </row>
    <row r="1325" spans="1:3" ht="15" hidden="1" customHeight="1" x14ac:dyDescent="0.3">
      <c r="A1325" t="s">
        <v>138</v>
      </c>
      <c r="B1325" s="2">
        <v>46113</v>
      </c>
    </row>
    <row r="1326" spans="1:3" ht="15" hidden="1" customHeight="1" x14ac:dyDescent="0.3">
      <c r="A1326" t="s">
        <v>138</v>
      </c>
      <c r="B1326" s="2">
        <v>46143</v>
      </c>
      <c r="C1326" s="12"/>
    </row>
    <row r="1327" spans="1:3" ht="15" hidden="1" customHeight="1" x14ac:dyDescent="0.3">
      <c r="A1327" t="s">
        <v>138</v>
      </c>
      <c r="B1327" s="2">
        <v>46174</v>
      </c>
    </row>
    <row r="1328" spans="1:3" ht="15" customHeight="1" x14ac:dyDescent="0.3">
      <c r="A1328" t="s">
        <v>234</v>
      </c>
      <c r="B1328" s="2">
        <v>46204</v>
      </c>
      <c r="C1328">
        <v>20358.73</v>
      </c>
    </row>
    <row r="1329" spans="1:2" ht="15" hidden="1" customHeight="1" x14ac:dyDescent="0.3">
      <c r="A1329" t="s">
        <v>138</v>
      </c>
      <c r="B1329" s="2">
        <v>46235</v>
      </c>
    </row>
    <row r="1330" spans="1:2" ht="15" hidden="1" customHeight="1" x14ac:dyDescent="0.3">
      <c r="A1330" t="s">
        <v>138</v>
      </c>
      <c r="B1330" s="2">
        <v>46266</v>
      </c>
    </row>
    <row r="1331" spans="1:2" ht="15" hidden="1" customHeight="1" x14ac:dyDescent="0.3">
      <c r="A1331" t="s">
        <v>138</v>
      </c>
      <c r="B1331" s="2">
        <v>46296</v>
      </c>
    </row>
    <row r="1332" spans="1:2" ht="15" hidden="1" customHeight="1" x14ac:dyDescent="0.3">
      <c r="A1332" t="s">
        <v>138</v>
      </c>
      <c r="B1332" s="2">
        <v>46327</v>
      </c>
    </row>
    <row r="1333" spans="1:2" ht="15" hidden="1" customHeight="1" x14ac:dyDescent="0.3">
      <c r="A1333" t="s">
        <v>138</v>
      </c>
      <c r="B1333" s="2">
        <v>46357</v>
      </c>
    </row>
    <row r="1334" spans="1:2" ht="15" hidden="1" customHeight="1" x14ac:dyDescent="0.3">
      <c r="A1334" t="s">
        <v>220</v>
      </c>
      <c r="B1334" s="2">
        <v>45292</v>
      </c>
    </row>
    <row r="1335" spans="1:2" ht="15" hidden="1" customHeight="1" x14ac:dyDescent="0.3">
      <c r="A1335" t="s">
        <v>220</v>
      </c>
      <c r="B1335" s="2">
        <v>45323</v>
      </c>
    </row>
    <row r="1336" spans="1:2" ht="15" hidden="1" customHeight="1" x14ac:dyDescent="0.3">
      <c r="A1336" t="s">
        <v>220</v>
      </c>
      <c r="B1336" s="2">
        <v>45352</v>
      </c>
    </row>
    <row r="1337" spans="1:2" ht="15" hidden="1" customHeight="1" x14ac:dyDescent="0.3">
      <c r="A1337" t="s">
        <v>220</v>
      </c>
      <c r="B1337" s="2">
        <v>45383</v>
      </c>
    </row>
    <row r="1338" spans="1:2" ht="15" hidden="1" customHeight="1" x14ac:dyDescent="0.3">
      <c r="A1338" t="s">
        <v>220</v>
      </c>
      <c r="B1338" s="2">
        <v>45413</v>
      </c>
    </row>
    <row r="1339" spans="1:2" ht="15" hidden="1" customHeight="1" x14ac:dyDescent="0.3">
      <c r="A1339" t="s">
        <v>220</v>
      </c>
      <c r="B1339" s="2">
        <v>45444</v>
      </c>
    </row>
    <row r="1340" spans="1:2" ht="15" hidden="1" customHeight="1" x14ac:dyDescent="0.3">
      <c r="A1340" t="s">
        <v>220</v>
      </c>
      <c r="B1340" s="2">
        <v>45474</v>
      </c>
    </row>
    <row r="1341" spans="1:2" ht="15" hidden="1" customHeight="1" x14ac:dyDescent="0.3">
      <c r="A1341" t="s">
        <v>220</v>
      </c>
      <c r="B1341" s="2">
        <v>45505</v>
      </c>
    </row>
    <row r="1342" spans="1:2" ht="15" hidden="1" customHeight="1" x14ac:dyDescent="0.3">
      <c r="A1342" t="s">
        <v>220</v>
      </c>
      <c r="B1342" s="2">
        <v>45536</v>
      </c>
    </row>
    <row r="1343" spans="1:2" ht="15" hidden="1" customHeight="1" x14ac:dyDescent="0.3">
      <c r="A1343" t="s">
        <v>220</v>
      </c>
      <c r="B1343" s="2">
        <v>45566</v>
      </c>
    </row>
    <row r="1344" spans="1:2" ht="15" hidden="1" customHeight="1" x14ac:dyDescent="0.3">
      <c r="A1344" t="s">
        <v>220</v>
      </c>
      <c r="B1344" s="2">
        <v>45597</v>
      </c>
    </row>
    <row r="1345" spans="1:3" ht="15" hidden="1" customHeight="1" x14ac:dyDescent="0.3">
      <c r="A1345" t="s">
        <v>220</v>
      </c>
      <c r="B1345" s="2">
        <v>45627</v>
      </c>
    </row>
    <row r="1346" spans="1:3" ht="15" hidden="1" customHeight="1" x14ac:dyDescent="0.3">
      <c r="A1346" t="s">
        <v>220</v>
      </c>
      <c r="B1346" s="2">
        <v>45658</v>
      </c>
    </row>
    <row r="1347" spans="1:3" ht="15" hidden="1" customHeight="1" x14ac:dyDescent="0.3">
      <c r="A1347" t="s">
        <v>220</v>
      </c>
      <c r="B1347" s="2">
        <v>45689</v>
      </c>
    </row>
    <row r="1348" spans="1:3" ht="15" hidden="1" customHeight="1" x14ac:dyDescent="0.3">
      <c r="A1348" t="s">
        <v>220</v>
      </c>
      <c r="B1348" s="2">
        <v>45717</v>
      </c>
    </row>
    <row r="1349" spans="1:3" ht="15" hidden="1" customHeight="1" x14ac:dyDescent="0.3">
      <c r="A1349" t="s">
        <v>220</v>
      </c>
      <c r="B1349" s="2">
        <v>45748</v>
      </c>
    </row>
    <row r="1350" spans="1:3" ht="15" hidden="1" customHeight="1" x14ac:dyDescent="0.3">
      <c r="A1350" t="s">
        <v>220</v>
      </c>
      <c r="B1350" s="2">
        <v>45778</v>
      </c>
    </row>
    <row r="1351" spans="1:3" ht="15" hidden="1" customHeight="1" x14ac:dyDescent="0.3">
      <c r="A1351" t="s">
        <v>220</v>
      </c>
      <c r="B1351" s="2">
        <v>45809</v>
      </c>
    </row>
    <row r="1352" spans="1:3" ht="15" hidden="1" customHeight="1" x14ac:dyDescent="0.3">
      <c r="A1352" t="s">
        <v>220</v>
      </c>
      <c r="B1352" s="2">
        <v>45839</v>
      </c>
    </row>
    <row r="1353" spans="1:3" ht="15" hidden="1" customHeight="1" x14ac:dyDescent="0.3">
      <c r="A1353" t="s">
        <v>220</v>
      </c>
      <c r="B1353" s="2">
        <v>45870</v>
      </c>
    </row>
    <row r="1354" spans="1:3" ht="15" hidden="1" customHeight="1" x14ac:dyDescent="0.3">
      <c r="A1354" t="s">
        <v>220</v>
      </c>
      <c r="B1354" s="2">
        <v>45901</v>
      </c>
    </row>
    <row r="1355" spans="1:3" ht="15" hidden="1" customHeight="1" x14ac:dyDescent="0.3">
      <c r="A1355" t="s">
        <v>220</v>
      </c>
      <c r="B1355" s="2">
        <v>45931</v>
      </c>
      <c r="C1355">
        <v>42200</v>
      </c>
    </row>
    <row r="1356" spans="1:3" ht="15" hidden="1" customHeight="1" x14ac:dyDescent="0.3">
      <c r="A1356" t="s">
        <v>220</v>
      </c>
      <c r="B1356" s="2">
        <v>45962</v>
      </c>
      <c r="C1356">
        <v>37652</v>
      </c>
    </row>
    <row r="1357" spans="1:3" ht="15" hidden="1" customHeight="1" x14ac:dyDescent="0.3">
      <c r="A1357" t="s">
        <v>220</v>
      </c>
      <c r="B1357" s="2">
        <v>45992</v>
      </c>
      <c r="C1357">
        <v>32569</v>
      </c>
    </row>
    <row r="1358" spans="1:3" ht="15" hidden="1" customHeight="1" x14ac:dyDescent="0.3">
      <c r="A1358" t="s">
        <v>220</v>
      </c>
      <c r="B1358" s="2">
        <v>46023</v>
      </c>
      <c r="C1358">
        <v>43979.9977</v>
      </c>
    </row>
    <row r="1359" spans="1:3" ht="15" hidden="1" customHeight="1" x14ac:dyDescent="0.3">
      <c r="A1359" t="s">
        <v>220</v>
      </c>
      <c r="B1359" s="2">
        <v>46054</v>
      </c>
      <c r="C1359">
        <v>35538.487300000001</v>
      </c>
    </row>
    <row r="1360" spans="1:3" ht="15" hidden="1" customHeight="1" x14ac:dyDescent="0.3">
      <c r="A1360" t="s">
        <v>220</v>
      </c>
      <c r="B1360" s="2">
        <v>46082</v>
      </c>
      <c r="C1360">
        <v>34079</v>
      </c>
    </row>
    <row r="1361" spans="1:3" ht="15" hidden="1" customHeight="1" x14ac:dyDescent="0.3">
      <c r="A1361" t="s">
        <v>220</v>
      </c>
      <c r="B1361" s="2">
        <v>46113</v>
      </c>
      <c r="C1361">
        <v>26385.27</v>
      </c>
    </row>
    <row r="1362" spans="1:3" ht="15" hidden="1" customHeight="1" x14ac:dyDescent="0.3">
      <c r="A1362" t="s">
        <v>220</v>
      </c>
      <c r="B1362" s="2">
        <v>46143</v>
      </c>
      <c r="C1362" s="12">
        <v>29535.200000000001</v>
      </c>
    </row>
    <row r="1363" spans="1:3" ht="15" hidden="1" customHeight="1" x14ac:dyDescent="0.3">
      <c r="A1363" t="s">
        <v>127</v>
      </c>
      <c r="B1363" s="2">
        <v>46174</v>
      </c>
      <c r="C1363">
        <v>11309.7</v>
      </c>
    </row>
    <row r="1364" spans="1:3" ht="15" customHeight="1" x14ac:dyDescent="0.3">
      <c r="A1364" t="s">
        <v>131</v>
      </c>
      <c r="B1364" s="2">
        <v>46204</v>
      </c>
      <c r="C1364">
        <v>5690</v>
      </c>
    </row>
    <row r="1365" spans="1:3" ht="15" hidden="1" customHeight="1" x14ac:dyDescent="0.3">
      <c r="A1365" t="s">
        <v>220</v>
      </c>
      <c r="B1365" s="2">
        <v>46235</v>
      </c>
    </row>
    <row r="1366" spans="1:3" ht="15" hidden="1" customHeight="1" x14ac:dyDescent="0.3">
      <c r="A1366" t="s">
        <v>220</v>
      </c>
      <c r="B1366" s="2">
        <v>46266</v>
      </c>
    </row>
    <row r="1367" spans="1:3" ht="15" hidden="1" customHeight="1" x14ac:dyDescent="0.3">
      <c r="A1367" t="s">
        <v>220</v>
      </c>
      <c r="B1367" s="2">
        <v>46296</v>
      </c>
    </row>
    <row r="1368" spans="1:3" ht="15" hidden="1" customHeight="1" x14ac:dyDescent="0.3">
      <c r="A1368" t="s">
        <v>220</v>
      </c>
      <c r="B1368" s="2">
        <v>46327</v>
      </c>
    </row>
    <row r="1369" spans="1:3" ht="15" hidden="1" customHeight="1" x14ac:dyDescent="0.3">
      <c r="A1369" t="s">
        <v>220</v>
      </c>
      <c r="B1369" s="2">
        <v>46357</v>
      </c>
    </row>
    <row r="1370" spans="1:3" ht="15" hidden="1" customHeight="1" x14ac:dyDescent="0.3">
      <c r="A1370" t="s">
        <v>222</v>
      </c>
      <c r="B1370" s="2">
        <v>45292</v>
      </c>
    </row>
    <row r="1371" spans="1:3" ht="15" hidden="1" customHeight="1" x14ac:dyDescent="0.3">
      <c r="A1371" t="s">
        <v>222</v>
      </c>
      <c r="B1371" s="2">
        <v>45323</v>
      </c>
    </row>
    <row r="1372" spans="1:3" ht="15" hidden="1" customHeight="1" x14ac:dyDescent="0.3">
      <c r="A1372" t="s">
        <v>222</v>
      </c>
      <c r="B1372" s="2">
        <v>45352</v>
      </c>
    </row>
    <row r="1373" spans="1:3" ht="15" hidden="1" customHeight="1" x14ac:dyDescent="0.3">
      <c r="A1373" t="s">
        <v>222</v>
      </c>
      <c r="B1373" s="2">
        <v>45383</v>
      </c>
    </row>
    <row r="1374" spans="1:3" ht="15" hidden="1" customHeight="1" x14ac:dyDescent="0.3">
      <c r="A1374" t="s">
        <v>222</v>
      </c>
      <c r="B1374" s="2">
        <v>45413</v>
      </c>
    </row>
    <row r="1375" spans="1:3" ht="15" hidden="1" customHeight="1" x14ac:dyDescent="0.3">
      <c r="A1375" t="s">
        <v>222</v>
      </c>
      <c r="B1375" s="2">
        <v>45444</v>
      </c>
    </row>
    <row r="1376" spans="1:3" ht="15" hidden="1" customHeight="1" x14ac:dyDescent="0.3">
      <c r="A1376" t="s">
        <v>222</v>
      </c>
      <c r="B1376" s="2">
        <v>45474</v>
      </c>
    </row>
    <row r="1377" spans="1:3" ht="15" hidden="1" customHeight="1" x14ac:dyDescent="0.3">
      <c r="A1377" t="s">
        <v>222</v>
      </c>
      <c r="B1377" s="2">
        <v>45505</v>
      </c>
    </row>
    <row r="1378" spans="1:3" ht="15" hidden="1" customHeight="1" x14ac:dyDescent="0.3">
      <c r="A1378" t="s">
        <v>222</v>
      </c>
      <c r="B1378" s="2">
        <v>45536</v>
      </c>
    </row>
    <row r="1379" spans="1:3" ht="15" hidden="1" customHeight="1" x14ac:dyDescent="0.3">
      <c r="A1379" t="s">
        <v>222</v>
      </c>
      <c r="B1379" s="2">
        <v>45566</v>
      </c>
    </row>
    <row r="1380" spans="1:3" ht="15" hidden="1" customHeight="1" x14ac:dyDescent="0.3">
      <c r="A1380" t="s">
        <v>222</v>
      </c>
      <c r="B1380" s="2">
        <v>45597</v>
      </c>
    </row>
    <row r="1381" spans="1:3" ht="15" hidden="1" customHeight="1" x14ac:dyDescent="0.3">
      <c r="A1381" t="s">
        <v>222</v>
      </c>
      <c r="B1381" s="2">
        <v>45627</v>
      </c>
    </row>
    <row r="1382" spans="1:3" ht="15" hidden="1" customHeight="1" x14ac:dyDescent="0.3">
      <c r="A1382" t="s">
        <v>222</v>
      </c>
      <c r="B1382" s="2">
        <v>45658</v>
      </c>
    </row>
    <row r="1383" spans="1:3" ht="15" hidden="1" customHeight="1" x14ac:dyDescent="0.3">
      <c r="A1383" t="s">
        <v>222</v>
      </c>
      <c r="B1383" s="2">
        <v>45689</v>
      </c>
    </row>
    <row r="1384" spans="1:3" ht="15" hidden="1" customHeight="1" x14ac:dyDescent="0.3">
      <c r="A1384" t="s">
        <v>222</v>
      </c>
      <c r="B1384" s="2">
        <v>45717</v>
      </c>
    </row>
    <row r="1385" spans="1:3" ht="15" hidden="1" customHeight="1" x14ac:dyDescent="0.3">
      <c r="A1385" t="s">
        <v>222</v>
      </c>
      <c r="B1385" s="2">
        <v>45748</v>
      </c>
    </row>
    <row r="1386" spans="1:3" ht="15" hidden="1" customHeight="1" x14ac:dyDescent="0.3">
      <c r="A1386" t="s">
        <v>222</v>
      </c>
      <c r="B1386" s="2">
        <v>45778</v>
      </c>
    </row>
    <row r="1387" spans="1:3" ht="15" hidden="1" customHeight="1" x14ac:dyDescent="0.3">
      <c r="A1387" t="s">
        <v>222</v>
      </c>
      <c r="B1387" s="2">
        <v>45809</v>
      </c>
    </row>
    <row r="1388" spans="1:3" ht="15" hidden="1" customHeight="1" x14ac:dyDescent="0.3">
      <c r="A1388" t="s">
        <v>222</v>
      </c>
      <c r="B1388" s="2">
        <v>45839</v>
      </c>
    </row>
    <row r="1389" spans="1:3" ht="15" hidden="1" customHeight="1" x14ac:dyDescent="0.3">
      <c r="A1389" t="s">
        <v>222</v>
      </c>
      <c r="B1389" s="2">
        <v>45870</v>
      </c>
    </row>
    <row r="1390" spans="1:3" ht="15" hidden="1" customHeight="1" x14ac:dyDescent="0.3">
      <c r="A1390" t="s">
        <v>222</v>
      </c>
      <c r="B1390" s="2">
        <v>45901</v>
      </c>
    </row>
    <row r="1391" spans="1:3" ht="15" hidden="1" customHeight="1" x14ac:dyDescent="0.3">
      <c r="A1391" t="s">
        <v>222</v>
      </c>
      <c r="B1391" s="2">
        <v>45931</v>
      </c>
      <c r="C1391">
        <v>11800</v>
      </c>
    </row>
    <row r="1392" spans="1:3" ht="15" hidden="1" customHeight="1" x14ac:dyDescent="0.3">
      <c r="A1392" t="s">
        <v>222</v>
      </c>
      <c r="B1392" s="2">
        <v>45962</v>
      </c>
      <c r="C1392">
        <v>9938</v>
      </c>
    </row>
    <row r="1393" spans="1:3" ht="15" hidden="1" customHeight="1" x14ac:dyDescent="0.3">
      <c r="A1393" t="s">
        <v>222</v>
      </c>
      <c r="B1393" s="2">
        <v>45992</v>
      </c>
      <c r="C1393">
        <v>9094</v>
      </c>
    </row>
    <row r="1394" spans="1:3" ht="15" hidden="1" customHeight="1" x14ac:dyDescent="0.3">
      <c r="A1394" t="s">
        <v>222</v>
      </c>
      <c r="B1394" s="2">
        <v>46023</v>
      </c>
      <c r="C1394">
        <v>11835.67402</v>
      </c>
    </row>
    <row r="1395" spans="1:3" ht="15" hidden="1" customHeight="1" x14ac:dyDescent="0.3">
      <c r="A1395" t="s">
        <v>222</v>
      </c>
      <c r="B1395" s="2">
        <v>46054</v>
      </c>
      <c r="C1395">
        <v>9479.8287500000097</v>
      </c>
    </row>
    <row r="1396" spans="1:3" ht="15" hidden="1" customHeight="1" x14ac:dyDescent="0.3">
      <c r="A1396" t="s">
        <v>222</v>
      </c>
      <c r="B1396" s="2">
        <v>46082</v>
      </c>
      <c r="C1396">
        <v>9043</v>
      </c>
    </row>
    <row r="1397" spans="1:3" ht="15" hidden="1" customHeight="1" x14ac:dyDescent="0.3">
      <c r="A1397" t="s">
        <v>222</v>
      </c>
      <c r="B1397" s="2">
        <v>46113</v>
      </c>
      <c r="C1397">
        <v>7039.32</v>
      </c>
    </row>
    <row r="1398" spans="1:3" ht="15" hidden="1" customHeight="1" x14ac:dyDescent="0.3">
      <c r="A1398" t="s">
        <v>222</v>
      </c>
      <c r="B1398" s="2">
        <v>46143</v>
      </c>
      <c r="C1398" s="12">
        <v>8144.81</v>
      </c>
    </row>
    <row r="1399" spans="1:3" ht="15" hidden="1" customHeight="1" x14ac:dyDescent="0.3">
      <c r="A1399" t="s">
        <v>131</v>
      </c>
      <c r="B1399" s="2">
        <v>46174</v>
      </c>
      <c r="C1399">
        <v>4820.5</v>
      </c>
    </row>
    <row r="1400" spans="1:3" ht="15" customHeight="1" x14ac:dyDescent="0.3">
      <c r="A1400" t="s">
        <v>134</v>
      </c>
      <c r="B1400" s="2">
        <v>46204</v>
      </c>
      <c r="C1400">
        <v>27326.29</v>
      </c>
    </row>
    <row r="1401" spans="1:3" ht="15" hidden="1" customHeight="1" x14ac:dyDescent="0.3">
      <c r="A1401" t="s">
        <v>222</v>
      </c>
      <c r="B1401" s="2">
        <v>46235</v>
      </c>
    </row>
    <row r="1402" spans="1:3" ht="15" hidden="1" customHeight="1" x14ac:dyDescent="0.3">
      <c r="A1402" t="s">
        <v>222</v>
      </c>
      <c r="B1402" s="2">
        <v>46266</v>
      </c>
    </row>
    <row r="1403" spans="1:3" ht="15" hidden="1" customHeight="1" x14ac:dyDescent="0.3">
      <c r="A1403" t="s">
        <v>222</v>
      </c>
      <c r="B1403" s="2">
        <v>46296</v>
      </c>
    </row>
    <row r="1404" spans="1:3" ht="15" hidden="1" customHeight="1" x14ac:dyDescent="0.3">
      <c r="A1404" t="s">
        <v>222</v>
      </c>
      <c r="B1404" s="2">
        <v>46327</v>
      </c>
    </row>
    <row r="1405" spans="1:3" ht="15" hidden="1" customHeight="1" x14ac:dyDescent="0.3">
      <c r="A1405" t="s">
        <v>222</v>
      </c>
      <c r="B1405" s="2">
        <v>46357</v>
      </c>
    </row>
    <row r="1406" spans="1:3" ht="15" hidden="1" customHeight="1" x14ac:dyDescent="0.3">
      <c r="A1406" t="s">
        <v>142</v>
      </c>
      <c r="B1406" s="2">
        <v>45292</v>
      </c>
      <c r="C1406">
        <v>337</v>
      </c>
    </row>
    <row r="1407" spans="1:3" ht="15" hidden="1" customHeight="1" x14ac:dyDescent="0.3">
      <c r="A1407" t="s">
        <v>142</v>
      </c>
      <c r="B1407" s="2">
        <v>45323</v>
      </c>
      <c r="C1407">
        <v>4222</v>
      </c>
    </row>
    <row r="1408" spans="1:3" ht="15" hidden="1" customHeight="1" x14ac:dyDescent="0.3">
      <c r="A1408" t="s">
        <v>142</v>
      </c>
      <c r="B1408" s="2">
        <v>45352</v>
      </c>
      <c r="C1408">
        <v>5410</v>
      </c>
    </row>
    <row r="1409" spans="1:3" ht="15" hidden="1" customHeight="1" x14ac:dyDescent="0.3">
      <c r="A1409" t="s">
        <v>142</v>
      </c>
      <c r="B1409" s="2">
        <v>45383</v>
      </c>
      <c r="C1409">
        <v>4799</v>
      </c>
    </row>
    <row r="1410" spans="1:3" ht="15" hidden="1" customHeight="1" x14ac:dyDescent="0.3">
      <c r="A1410" t="s">
        <v>142</v>
      </c>
      <c r="B1410" s="2">
        <v>45413</v>
      </c>
      <c r="C1410">
        <v>4368</v>
      </c>
    </row>
    <row r="1411" spans="1:3" ht="15" hidden="1" customHeight="1" x14ac:dyDescent="0.3">
      <c r="A1411" t="s">
        <v>142</v>
      </c>
      <c r="B1411" s="2">
        <v>45444</v>
      </c>
      <c r="C1411">
        <v>3307</v>
      </c>
    </row>
    <row r="1412" spans="1:3" ht="15" hidden="1" customHeight="1" x14ac:dyDescent="0.3">
      <c r="A1412" t="s">
        <v>142</v>
      </c>
      <c r="B1412" s="2">
        <v>45474</v>
      </c>
      <c r="C1412">
        <v>3819</v>
      </c>
    </row>
    <row r="1413" spans="1:3" ht="15" hidden="1" customHeight="1" x14ac:dyDescent="0.3">
      <c r="A1413" t="s">
        <v>142</v>
      </c>
      <c r="B1413" s="2">
        <v>45505</v>
      </c>
      <c r="C1413">
        <v>5147</v>
      </c>
    </row>
    <row r="1414" spans="1:3" ht="15" hidden="1" customHeight="1" x14ac:dyDescent="0.3">
      <c r="A1414" t="s">
        <v>142</v>
      </c>
      <c r="B1414" s="2">
        <v>45536</v>
      </c>
      <c r="C1414">
        <v>4101</v>
      </c>
    </row>
    <row r="1415" spans="1:3" ht="15" hidden="1" customHeight="1" x14ac:dyDescent="0.3">
      <c r="A1415" t="s">
        <v>142</v>
      </c>
      <c r="B1415" s="2">
        <v>45566</v>
      </c>
      <c r="C1415">
        <v>6591</v>
      </c>
    </row>
    <row r="1416" spans="1:3" ht="15" hidden="1" customHeight="1" x14ac:dyDescent="0.3">
      <c r="A1416" t="s">
        <v>142</v>
      </c>
      <c r="B1416" s="2">
        <v>45597</v>
      </c>
      <c r="C1416">
        <v>4960</v>
      </c>
    </row>
    <row r="1417" spans="1:3" ht="15" hidden="1" customHeight="1" x14ac:dyDescent="0.3">
      <c r="A1417" t="s">
        <v>142</v>
      </c>
      <c r="B1417" s="2">
        <v>45627</v>
      </c>
      <c r="C1417">
        <v>652</v>
      </c>
    </row>
    <row r="1418" spans="1:3" ht="15" hidden="1" customHeight="1" x14ac:dyDescent="0.3">
      <c r="A1418" t="s">
        <v>142</v>
      </c>
      <c r="B1418" s="2">
        <v>45658</v>
      </c>
      <c r="C1418">
        <v>720</v>
      </c>
    </row>
    <row r="1419" spans="1:3" ht="15" hidden="1" customHeight="1" x14ac:dyDescent="0.3">
      <c r="A1419" t="s">
        <v>142</v>
      </c>
      <c r="B1419" s="2">
        <v>45689</v>
      </c>
      <c r="C1419">
        <v>3776</v>
      </c>
    </row>
    <row r="1420" spans="1:3" ht="15" hidden="1" customHeight="1" x14ac:dyDescent="0.3">
      <c r="A1420" t="s">
        <v>142</v>
      </c>
      <c r="B1420" s="2">
        <v>45717</v>
      </c>
      <c r="C1420">
        <v>4415</v>
      </c>
    </row>
    <row r="1421" spans="1:3" ht="15" hidden="1" customHeight="1" x14ac:dyDescent="0.3">
      <c r="A1421" t="s">
        <v>142</v>
      </c>
      <c r="B1421" s="2">
        <v>45748</v>
      </c>
      <c r="C1421">
        <v>3551</v>
      </c>
    </row>
    <row r="1422" spans="1:3" ht="15" hidden="1" customHeight="1" x14ac:dyDescent="0.3">
      <c r="A1422" t="s">
        <v>142</v>
      </c>
      <c r="B1422" s="2">
        <v>45778</v>
      </c>
      <c r="C1422">
        <v>4580</v>
      </c>
    </row>
    <row r="1423" spans="1:3" ht="15" hidden="1" customHeight="1" x14ac:dyDescent="0.3">
      <c r="A1423" t="s">
        <v>142</v>
      </c>
      <c r="B1423" s="2">
        <v>45809</v>
      </c>
      <c r="C1423">
        <v>3965.8</v>
      </c>
    </row>
    <row r="1424" spans="1:3" ht="15" hidden="1" customHeight="1" x14ac:dyDescent="0.3">
      <c r="A1424" t="s">
        <v>142</v>
      </c>
      <c r="B1424" s="2">
        <v>45839</v>
      </c>
      <c r="C1424">
        <v>4015</v>
      </c>
    </row>
    <row r="1425" spans="1:3" ht="15" hidden="1" customHeight="1" x14ac:dyDescent="0.3">
      <c r="A1425" t="s">
        <v>142</v>
      </c>
      <c r="B1425" s="2">
        <v>45870</v>
      </c>
      <c r="C1425">
        <v>4593</v>
      </c>
    </row>
    <row r="1426" spans="1:3" ht="15" hidden="1" customHeight="1" x14ac:dyDescent="0.3">
      <c r="A1426" t="s">
        <v>142</v>
      </c>
      <c r="B1426" s="2">
        <v>45901</v>
      </c>
      <c r="C1426">
        <v>4428</v>
      </c>
    </row>
    <row r="1427" spans="1:3" ht="15" hidden="1" customHeight="1" x14ac:dyDescent="0.3">
      <c r="A1427" t="s">
        <v>142</v>
      </c>
      <c r="B1427" s="2">
        <v>45931</v>
      </c>
      <c r="C1427">
        <v>6002</v>
      </c>
    </row>
    <row r="1428" spans="1:3" ht="15" hidden="1" customHeight="1" x14ac:dyDescent="0.3">
      <c r="A1428" t="s">
        <v>142</v>
      </c>
      <c r="B1428" s="2">
        <v>45962</v>
      </c>
      <c r="C1428">
        <v>4286</v>
      </c>
    </row>
    <row r="1429" spans="1:3" ht="15" hidden="1" customHeight="1" x14ac:dyDescent="0.3">
      <c r="A1429" t="s">
        <v>142</v>
      </c>
      <c r="B1429" s="2">
        <v>45992</v>
      </c>
      <c r="C1429">
        <v>985</v>
      </c>
    </row>
    <row r="1430" spans="1:3" ht="15" hidden="1" customHeight="1" x14ac:dyDescent="0.3">
      <c r="A1430" t="s">
        <v>142</v>
      </c>
      <c r="B1430" s="2">
        <v>46023</v>
      </c>
      <c r="C1430">
        <v>1496.8</v>
      </c>
    </row>
    <row r="1431" spans="1:3" ht="15" hidden="1" customHeight="1" x14ac:dyDescent="0.3">
      <c r="A1431" t="s">
        <v>142</v>
      </c>
      <c r="B1431" s="2">
        <v>46054</v>
      </c>
      <c r="C1431">
        <v>4735</v>
      </c>
    </row>
    <row r="1432" spans="1:3" ht="15" hidden="1" customHeight="1" x14ac:dyDescent="0.3">
      <c r="A1432" t="s">
        <v>142</v>
      </c>
      <c r="B1432" s="2">
        <v>46082</v>
      </c>
      <c r="C1432">
        <v>4747</v>
      </c>
    </row>
    <row r="1433" spans="1:3" ht="15" hidden="1" customHeight="1" x14ac:dyDescent="0.3">
      <c r="A1433" t="s">
        <v>142</v>
      </c>
      <c r="B1433" s="2">
        <v>46113</v>
      </c>
      <c r="C1433">
        <v>4036.9</v>
      </c>
    </row>
    <row r="1434" spans="1:3" ht="15" hidden="1" customHeight="1" x14ac:dyDescent="0.3">
      <c r="A1434" t="s">
        <v>142</v>
      </c>
      <c r="B1434" s="2">
        <v>46143</v>
      </c>
      <c r="C1434" s="12">
        <v>4180</v>
      </c>
    </row>
    <row r="1435" spans="1:3" ht="15" hidden="1" customHeight="1" x14ac:dyDescent="0.3">
      <c r="A1435" t="s">
        <v>220</v>
      </c>
      <c r="B1435" s="2">
        <v>46174</v>
      </c>
      <c r="C1435">
        <v>18559</v>
      </c>
    </row>
    <row r="1436" spans="1:3" ht="15" customHeight="1" x14ac:dyDescent="0.3">
      <c r="A1436" t="s">
        <v>138</v>
      </c>
      <c r="B1436" s="2">
        <v>46204</v>
      </c>
      <c r="C1436">
        <v>0</v>
      </c>
    </row>
    <row r="1437" spans="1:3" ht="15" hidden="1" customHeight="1" x14ac:dyDescent="0.3">
      <c r="A1437" t="s">
        <v>142</v>
      </c>
      <c r="B1437" s="2">
        <v>46235</v>
      </c>
    </row>
    <row r="1438" spans="1:3" ht="15" hidden="1" customHeight="1" x14ac:dyDescent="0.3">
      <c r="A1438" t="s">
        <v>142</v>
      </c>
      <c r="B1438" s="2">
        <v>46266</v>
      </c>
    </row>
    <row r="1439" spans="1:3" ht="15" hidden="1" customHeight="1" x14ac:dyDescent="0.3">
      <c r="A1439" t="s">
        <v>142</v>
      </c>
      <c r="B1439" s="2">
        <v>46296</v>
      </c>
    </row>
    <row r="1440" spans="1:3" ht="15" hidden="1" customHeight="1" x14ac:dyDescent="0.3">
      <c r="A1440" t="s">
        <v>142</v>
      </c>
      <c r="B1440" s="2">
        <v>46327</v>
      </c>
    </row>
    <row r="1441" spans="1:3" ht="15" hidden="1" customHeight="1" x14ac:dyDescent="0.3">
      <c r="A1441" t="s">
        <v>142</v>
      </c>
      <c r="B1441" s="2">
        <v>46357</v>
      </c>
    </row>
    <row r="1442" spans="1:3" ht="15" hidden="1" customHeight="1" x14ac:dyDescent="0.3">
      <c r="A1442" t="s">
        <v>145</v>
      </c>
      <c r="B1442" s="2">
        <v>45292</v>
      </c>
      <c r="C1442">
        <v>27336</v>
      </c>
    </row>
    <row r="1443" spans="1:3" ht="15" hidden="1" customHeight="1" x14ac:dyDescent="0.3">
      <c r="A1443" t="s">
        <v>145</v>
      </c>
      <c r="B1443" s="2">
        <v>45323</v>
      </c>
      <c r="C1443">
        <v>34673</v>
      </c>
    </row>
    <row r="1444" spans="1:3" ht="15" hidden="1" customHeight="1" x14ac:dyDescent="0.3">
      <c r="A1444" t="s">
        <v>145</v>
      </c>
      <c r="B1444" s="2">
        <v>45352</v>
      </c>
      <c r="C1444">
        <v>35335</v>
      </c>
    </row>
    <row r="1445" spans="1:3" ht="15" hidden="1" customHeight="1" x14ac:dyDescent="0.3">
      <c r="A1445" t="s">
        <v>145</v>
      </c>
      <c r="B1445" s="2">
        <v>45383</v>
      </c>
      <c r="C1445">
        <v>23354</v>
      </c>
    </row>
    <row r="1446" spans="1:3" ht="15" hidden="1" customHeight="1" x14ac:dyDescent="0.3">
      <c r="A1446" t="s">
        <v>145</v>
      </c>
      <c r="B1446" s="2">
        <v>45413</v>
      </c>
      <c r="C1446">
        <v>24682</v>
      </c>
    </row>
    <row r="1447" spans="1:3" ht="15" hidden="1" customHeight="1" x14ac:dyDescent="0.3">
      <c r="A1447" t="s">
        <v>145</v>
      </c>
      <c r="B1447" s="2">
        <v>45444</v>
      </c>
      <c r="C1447">
        <v>21004</v>
      </c>
    </row>
    <row r="1448" spans="1:3" ht="15" hidden="1" customHeight="1" x14ac:dyDescent="0.3">
      <c r="A1448" t="s">
        <v>145</v>
      </c>
      <c r="B1448" s="2">
        <v>45474</v>
      </c>
      <c r="C1448">
        <v>24855</v>
      </c>
    </row>
    <row r="1449" spans="1:3" ht="15" hidden="1" customHeight="1" x14ac:dyDescent="0.3">
      <c r="A1449" t="s">
        <v>145</v>
      </c>
      <c r="B1449" s="2">
        <v>45505</v>
      </c>
      <c r="C1449">
        <v>27804</v>
      </c>
    </row>
    <row r="1450" spans="1:3" ht="15" hidden="1" customHeight="1" x14ac:dyDescent="0.3">
      <c r="A1450" t="s">
        <v>145</v>
      </c>
      <c r="B1450" s="2">
        <v>45536</v>
      </c>
      <c r="C1450">
        <v>24854</v>
      </c>
    </row>
    <row r="1451" spans="1:3" ht="15" hidden="1" customHeight="1" x14ac:dyDescent="0.3">
      <c r="A1451" t="s">
        <v>145</v>
      </c>
      <c r="B1451" s="2">
        <v>45566</v>
      </c>
      <c r="C1451">
        <v>41343</v>
      </c>
    </row>
    <row r="1452" spans="1:3" ht="15" hidden="1" customHeight="1" x14ac:dyDescent="0.3">
      <c r="A1452" t="s">
        <v>145</v>
      </c>
      <c r="B1452" s="2">
        <v>45597</v>
      </c>
      <c r="C1452">
        <v>40614</v>
      </c>
    </row>
    <row r="1453" spans="1:3" ht="15" hidden="1" customHeight="1" x14ac:dyDescent="0.3">
      <c r="A1453" t="s">
        <v>145</v>
      </c>
      <c r="B1453" s="2">
        <v>45627</v>
      </c>
      <c r="C1453">
        <v>20454</v>
      </c>
    </row>
    <row r="1454" spans="1:3" ht="15" hidden="1" customHeight="1" x14ac:dyDescent="0.3">
      <c r="A1454" t="s">
        <v>145</v>
      </c>
      <c r="B1454" s="2">
        <v>45658</v>
      </c>
      <c r="C1454">
        <v>35500</v>
      </c>
    </row>
    <row r="1455" spans="1:3" ht="15" hidden="1" customHeight="1" x14ac:dyDescent="0.3">
      <c r="A1455" t="s">
        <v>145</v>
      </c>
      <c r="B1455" s="2">
        <v>45689</v>
      </c>
      <c r="C1455">
        <v>33170</v>
      </c>
    </row>
    <row r="1456" spans="1:3" ht="15" hidden="1" customHeight="1" x14ac:dyDescent="0.3">
      <c r="A1456" t="s">
        <v>145</v>
      </c>
      <c r="B1456" s="2">
        <v>45717</v>
      </c>
      <c r="C1456">
        <v>29562</v>
      </c>
    </row>
    <row r="1457" spans="1:3" ht="15" hidden="1" customHeight="1" x14ac:dyDescent="0.3">
      <c r="A1457" t="s">
        <v>145</v>
      </c>
      <c r="B1457" s="2">
        <v>45748</v>
      </c>
      <c r="C1457">
        <v>23660</v>
      </c>
    </row>
    <row r="1458" spans="1:3" ht="15" hidden="1" customHeight="1" x14ac:dyDescent="0.3">
      <c r="A1458" t="s">
        <v>145</v>
      </c>
      <c r="B1458" s="2">
        <v>45778</v>
      </c>
      <c r="C1458">
        <v>27021</v>
      </c>
    </row>
    <row r="1459" spans="1:3" ht="15" hidden="1" customHeight="1" x14ac:dyDescent="0.3">
      <c r="A1459" t="s">
        <v>145</v>
      </c>
      <c r="B1459" s="2">
        <v>45809</v>
      </c>
      <c r="C1459">
        <v>23016.87</v>
      </c>
    </row>
    <row r="1460" spans="1:3" ht="15" hidden="1" customHeight="1" x14ac:dyDescent="0.3">
      <c r="A1460" t="s">
        <v>145</v>
      </c>
      <c r="B1460" s="2">
        <v>45839</v>
      </c>
      <c r="C1460">
        <v>23980</v>
      </c>
    </row>
    <row r="1461" spans="1:3" ht="15" hidden="1" customHeight="1" x14ac:dyDescent="0.3">
      <c r="A1461" t="s">
        <v>145</v>
      </c>
      <c r="B1461" s="2">
        <v>45870</v>
      </c>
      <c r="C1461">
        <v>26825</v>
      </c>
    </row>
    <row r="1462" spans="1:3" ht="15" hidden="1" customHeight="1" x14ac:dyDescent="0.3">
      <c r="A1462" t="s">
        <v>145</v>
      </c>
      <c r="B1462" s="2">
        <v>45901</v>
      </c>
      <c r="C1462">
        <v>29989</v>
      </c>
    </row>
    <row r="1463" spans="1:3" ht="15" hidden="1" customHeight="1" x14ac:dyDescent="0.3">
      <c r="A1463" t="s">
        <v>145</v>
      </c>
      <c r="B1463" s="2">
        <v>45931</v>
      </c>
      <c r="C1463">
        <v>39431.18</v>
      </c>
    </row>
    <row r="1464" spans="1:3" ht="15" hidden="1" customHeight="1" x14ac:dyDescent="0.3">
      <c r="A1464" t="s">
        <v>145</v>
      </c>
      <c r="B1464" s="2">
        <v>45962</v>
      </c>
      <c r="C1464">
        <v>36933</v>
      </c>
    </row>
    <row r="1465" spans="1:3" ht="15" hidden="1" customHeight="1" x14ac:dyDescent="0.3">
      <c r="A1465" t="s">
        <v>145</v>
      </c>
      <c r="B1465" s="2">
        <v>45992</v>
      </c>
      <c r="C1465">
        <v>24542</v>
      </c>
    </row>
    <row r="1466" spans="1:3" ht="15" hidden="1" customHeight="1" x14ac:dyDescent="0.3">
      <c r="A1466" t="s">
        <v>145</v>
      </c>
      <c r="B1466" s="2">
        <v>46023</v>
      </c>
      <c r="C1466">
        <v>38558.838300000003</v>
      </c>
    </row>
    <row r="1467" spans="1:3" ht="15" hidden="1" customHeight="1" x14ac:dyDescent="0.3">
      <c r="A1467" t="s">
        <v>145</v>
      </c>
      <c r="B1467" s="2">
        <v>46054</v>
      </c>
      <c r="C1467">
        <v>35289.594859999997</v>
      </c>
    </row>
    <row r="1468" spans="1:3" ht="15" hidden="1" customHeight="1" x14ac:dyDescent="0.3">
      <c r="A1468" t="s">
        <v>145</v>
      </c>
      <c r="B1468" s="2">
        <v>46082</v>
      </c>
      <c r="C1468">
        <v>33082</v>
      </c>
    </row>
    <row r="1469" spans="1:3" ht="15" hidden="1" customHeight="1" x14ac:dyDescent="0.3">
      <c r="A1469" t="s">
        <v>145</v>
      </c>
      <c r="B1469" s="2">
        <v>46113</v>
      </c>
      <c r="C1469">
        <v>26958.67</v>
      </c>
    </row>
    <row r="1470" spans="1:3" ht="15" hidden="1" customHeight="1" x14ac:dyDescent="0.3">
      <c r="A1470" t="s">
        <v>145</v>
      </c>
      <c r="B1470" s="2">
        <v>46143</v>
      </c>
      <c r="C1470" s="12">
        <v>28264.560000000001</v>
      </c>
    </row>
    <row r="1471" spans="1:3" ht="15" hidden="1" customHeight="1" x14ac:dyDescent="0.3">
      <c r="A1471" t="s">
        <v>145</v>
      </c>
      <c r="B1471" s="2">
        <v>46174</v>
      </c>
      <c r="C1471">
        <v>20267.330000000002</v>
      </c>
    </row>
    <row r="1472" spans="1:3" ht="15" customHeight="1" x14ac:dyDescent="0.3">
      <c r="A1472" t="s">
        <v>220</v>
      </c>
      <c r="B1472" s="2">
        <v>46204</v>
      </c>
      <c r="C1472">
        <v>27717.592700000001</v>
      </c>
    </row>
    <row r="1473" spans="1:3" ht="15" hidden="1" customHeight="1" x14ac:dyDescent="0.3">
      <c r="A1473" t="s">
        <v>145</v>
      </c>
      <c r="B1473" s="2">
        <v>46235</v>
      </c>
    </row>
    <row r="1474" spans="1:3" ht="15" hidden="1" customHeight="1" x14ac:dyDescent="0.3">
      <c r="A1474" t="s">
        <v>145</v>
      </c>
      <c r="B1474" s="2">
        <v>46266</v>
      </c>
    </row>
    <row r="1475" spans="1:3" ht="15" hidden="1" customHeight="1" x14ac:dyDescent="0.3">
      <c r="A1475" t="s">
        <v>145</v>
      </c>
      <c r="B1475" s="2">
        <v>46296</v>
      </c>
    </row>
    <row r="1476" spans="1:3" ht="15" hidden="1" customHeight="1" x14ac:dyDescent="0.3">
      <c r="A1476" t="s">
        <v>145</v>
      </c>
      <c r="B1476" s="2">
        <v>46327</v>
      </c>
    </row>
    <row r="1477" spans="1:3" ht="15" hidden="1" customHeight="1" x14ac:dyDescent="0.3">
      <c r="A1477" t="s">
        <v>145</v>
      </c>
      <c r="B1477" s="2">
        <v>46357</v>
      </c>
    </row>
    <row r="1478" spans="1:3" ht="15" hidden="1" customHeight="1" x14ac:dyDescent="0.3">
      <c r="A1478" t="s">
        <v>152</v>
      </c>
      <c r="B1478" s="2">
        <v>45292</v>
      </c>
      <c r="C1478">
        <v>12283</v>
      </c>
    </row>
    <row r="1479" spans="1:3" ht="15" hidden="1" customHeight="1" x14ac:dyDescent="0.3">
      <c r="A1479" t="s">
        <v>152</v>
      </c>
      <c r="B1479" s="2">
        <v>45323</v>
      </c>
      <c r="C1479">
        <v>11752</v>
      </c>
    </row>
    <row r="1480" spans="1:3" ht="15" hidden="1" customHeight="1" x14ac:dyDescent="0.3">
      <c r="A1480" t="s">
        <v>152</v>
      </c>
      <c r="B1480" s="2">
        <v>45352</v>
      </c>
      <c r="C1480">
        <v>11293</v>
      </c>
    </row>
    <row r="1481" spans="1:3" ht="15" hidden="1" customHeight="1" x14ac:dyDescent="0.3">
      <c r="A1481" t="s">
        <v>152</v>
      </c>
      <c r="B1481" s="2">
        <v>45383</v>
      </c>
      <c r="C1481">
        <v>10034</v>
      </c>
    </row>
    <row r="1482" spans="1:3" ht="15" hidden="1" customHeight="1" x14ac:dyDescent="0.3">
      <c r="A1482" t="s">
        <v>152</v>
      </c>
      <c r="B1482" s="2">
        <v>45413</v>
      </c>
      <c r="C1482">
        <v>7886</v>
      </c>
    </row>
    <row r="1483" spans="1:3" ht="15" hidden="1" customHeight="1" x14ac:dyDescent="0.3">
      <c r="A1483" t="s">
        <v>152</v>
      </c>
      <c r="B1483" s="2">
        <v>45444</v>
      </c>
      <c r="C1483">
        <v>9067</v>
      </c>
    </row>
    <row r="1484" spans="1:3" ht="15" hidden="1" customHeight="1" x14ac:dyDescent="0.3">
      <c r="A1484" t="s">
        <v>152</v>
      </c>
      <c r="B1484" s="2">
        <v>45474</v>
      </c>
      <c r="C1484">
        <v>8952</v>
      </c>
    </row>
    <row r="1485" spans="1:3" ht="15" hidden="1" customHeight="1" x14ac:dyDescent="0.3">
      <c r="A1485" t="s">
        <v>152</v>
      </c>
      <c r="B1485" s="2">
        <v>45505</v>
      </c>
      <c r="C1485">
        <v>8952</v>
      </c>
    </row>
    <row r="1486" spans="1:3" ht="15" hidden="1" customHeight="1" x14ac:dyDescent="0.3">
      <c r="A1486" t="s">
        <v>152</v>
      </c>
      <c r="B1486" s="2">
        <v>45536</v>
      </c>
      <c r="C1486">
        <v>8110</v>
      </c>
    </row>
    <row r="1487" spans="1:3" ht="15" hidden="1" customHeight="1" x14ac:dyDescent="0.3">
      <c r="A1487" t="s">
        <v>152</v>
      </c>
      <c r="B1487" s="2">
        <v>45566</v>
      </c>
      <c r="C1487">
        <v>12770</v>
      </c>
    </row>
    <row r="1488" spans="1:3" ht="15" hidden="1" customHeight="1" x14ac:dyDescent="0.3">
      <c r="A1488" t="s">
        <v>152</v>
      </c>
      <c r="B1488" s="2">
        <v>45597</v>
      </c>
      <c r="C1488">
        <v>10951</v>
      </c>
    </row>
    <row r="1489" spans="1:3" ht="15" hidden="1" customHeight="1" x14ac:dyDescent="0.3">
      <c r="A1489" t="s">
        <v>152</v>
      </c>
      <c r="B1489" s="2">
        <v>45627</v>
      </c>
      <c r="C1489">
        <v>11135</v>
      </c>
    </row>
    <row r="1490" spans="1:3" ht="15" hidden="1" customHeight="1" x14ac:dyDescent="0.3">
      <c r="A1490" t="s">
        <v>152</v>
      </c>
      <c r="B1490" s="2">
        <v>45658</v>
      </c>
      <c r="C1490">
        <v>10294</v>
      </c>
    </row>
    <row r="1491" spans="1:3" ht="15" hidden="1" customHeight="1" x14ac:dyDescent="0.3">
      <c r="A1491" t="s">
        <v>152</v>
      </c>
      <c r="B1491" s="2">
        <v>45689</v>
      </c>
      <c r="C1491">
        <v>7952</v>
      </c>
    </row>
    <row r="1492" spans="1:3" ht="15" hidden="1" customHeight="1" x14ac:dyDescent="0.3">
      <c r="A1492" t="s">
        <v>152</v>
      </c>
      <c r="B1492" s="2">
        <v>45717</v>
      </c>
      <c r="C1492">
        <v>9856</v>
      </c>
    </row>
    <row r="1493" spans="1:3" ht="15" hidden="1" customHeight="1" x14ac:dyDescent="0.3">
      <c r="A1493" t="s">
        <v>152</v>
      </c>
      <c r="B1493" s="2">
        <v>45748</v>
      </c>
      <c r="C1493">
        <v>7739</v>
      </c>
    </row>
    <row r="1494" spans="1:3" ht="15" hidden="1" customHeight="1" x14ac:dyDescent="0.3">
      <c r="A1494" t="s">
        <v>152</v>
      </c>
      <c r="B1494" s="2">
        <v>45778</v>
      </c>
      <c r="C1494">
        <v>9189</v>
      </c>
    </row>
    <row r="1495" spans="1:3" ht="15" hidden="1" customHeight="1" x14ac:dyDescent="0.3">
      <c r="A1495" t="s">
        <v>152</v>
      </c>
      <c r="B1495" s="2">
        <v>45809</v>
      </c>
      <c r="C1495">
        <v>7656.32</v>
      </c>
    </row>
    <row r="1496" spans="1:3" ht="15" hidden="1" customHeight="1" x14ac:dyDescent="0.3">
      <c r="A1496" t="s">
        <v>152</v>
      </c>
      <c r="B1496" s="2">
        <v>45839</v>
      </c>
      <c r="C1496">
        <v>8158</v>
      </c>
    </row>
    <row r="1497" spans="1:3" ht="15" hidden="1" customHeight="1" x14ac:dyDescent="0.3">
      <c r="A1497" t="s">
        <v>152</v>
      </c>
      <c r="B1497" s="2">
        <v>45870</v>
      </c>
      <c r="C1497">
        <v>5429</v>
      </c>
    </row>
    <row r="1498" spans="1:3" ht="15" hidden="1" customHeight="1" x14ac:dyDescent="0.3">
      <c r="A1498" t="s">
        <v>152</v>
      </c>
      <c r="B1498" s="2">
        <v>45901</v>
      </c>
      <c r="C1498">
        <v>7249</v>
      </c>
    </row>
    <row r="1499" spans="1:3" ht="15" hidden="1" customHeight="1" x14ac:dyDescent="0.3">
      <c r="A1499" t="s">
        <v>152</v>
      </c>
      <c r="B1499" s="2">
        <v>45931</v>
      </c>
      <c r="C1499">
        <v>8107</v>
      </c>
    </row>
    <row r="1500" spans="1:3" ht="15" hidden="1" customHeight="1" x14ac:dyDescent="0.3">
      <c r="A1500" t="s">
        <v>152</v>
      </c>
      <c r="B1500" s="2">
        <v>45962</v>
      </c>
      <c r="C1500">
        <v>2305</v>
      </c>
    </row>
    <row r="1501" spans="1:3" ht="15" hidden="1" customHeight="1" x14ac:dyDescent="0.3">
      <c r="A1501" t="s">
        <v>152</v>
      </c>
      <c r="B1501" s="2">
        <v>45992</v>
      </c>
      <c r="C1501">
        <v>7641</v>
      </c>
    </row>
    <row r="1502" spans="1:3" ht="15" hidden="1" customHeight="1" x14ac:dyDescent="0.3">
      <c r="A1502" t="s">
        <v>152</v>
      </c>
      <c r="B1502" s="2">
        <v>46023</v>
      </c>
      <c r="C1502">
        <v>9717</v>
      </c>
    </row>
    <row r="1503" spans="1:3" ht="15" hidden="1" customHeight="1" x14ac:dyDescent="0.3">
      <c r="A1503" t="s">
        <v>152</v>
      </c>
      <c r="B1503" s="2">
        <v>46054</v>
      </c>
      <c r="C1503">
        <v>8045</v>
      </c>
    </row>
    <row r="1504" spans="1:3" ht="15" hidden="1" customHeight="1" x14ac:dyDescent="0.3">
      <c r="A1504" t="s">
        <v>152</v>
      </c>
      <c r="B1504" s="2">
        <v>46082</v>
      </c>
      <c r="C1504">
        <v>7035</v>
      </c>
    </row>
    <row r="1505" spans="1:3" ht="15" hidden="1" customHeight="1" x14ac:dyDescent="0.3">
      <c r="A1505" t="s">
        <v>152</v>
      </c>
      <c r="B1505" s="2">
        <v>46113</v>
      </c>
      <c r="C1505">
        <v>3742.54</v>
      </c>
    </row>
    <row r="1506" spans="1:3" ht="15" hidden="1" customHeight="1" x14ac:dyDescent="0.3">
      <c r="A1506" t="s">
        <v>152</v>
      </c>
      <c r="B1506" s="2">
        <v>46143</v>
      </c>
      <c r="C1506" s="12">
        <v>6041.14</v>
      </c>
    </row>
    <row r="1507" spans="1:3" ht="15" hidden="1" customHeight="1" x14ac:dyDescent="0.3">
      <c r="A1507" t="s">
        <v>152</v>
      </c>
      <c r="B1507" s="2">
        <v>46174</v>
      </c>
      <c r="C1507">
        <v>3334</v>
      </c>
    </row>
    <row r="1508" spans="1:3" ht="15" customHeight="1" x14ac:dyDescent="0.3">
      <c r="A1508" t="s">
        <v>222</v>
      </c>
      <c r="B1508" s="2">
        <v>46204</v>
      </c>
      <c r="C1508">
        <v>7966.5733399999999</v>
      </c>
    </row>
    <row r="1509" spans="1:3" ht="15" hidden="1" customHeight="1" x14ac:dyDescent="0.3">
      <c r="A1509" t="s">
        <v>152</v>
      </c>
      <c r="B1509" s="2">
        <v>46235</v>
      </c>
    </row>
    <row r="1510" spans="1:3" ht="15" hidden="1" customHeight="1" x14ac:dyDescent="0.3">
      <c r="A1510" t="s">
        <v>152</v>
      </c>
      <c r="B1510" s="2">
        <v>46266</v>
      </c>
    </row>
    <row r="1511" spans="1:3" ht="15" hidden="1" customHeight="1" x14ac:dyDescent="0.3">
      <c r="A1511" t="s">
        <v>152</v>
      </c>
      <c r="B1511" s="2">
        <v>46296</v>
      </c>
    </row>
    <row r="1512" spans="1:3" ht="15" hidden="1" customHeight="1" x14ac:dyDescent="0.3">
      <c r="A1512" t="s">
        <v>152</v>
      </c>
      <c r="B1512" s="2">
        <v>46327</v>
      </c>
    </row>
    <row r="1513" spans="1:3" ht="15" hidden="1" customHeight="1" x14ac:dyDescent="0.3">
      <c r="A1513" t="s">
        <v>152</v>
      </c>
      <c r="B1513" s="2">
        <v>46357</v>
      </c>
    </row>
    <row r="1514" spans="1:3" ht="15" hidden="1" customHeight="1" x14ac:dyDescent="0.3">
      <c r="A1514" t="s">
        <v>149</v>
      </c>
      <c r="B1514" s="2">
        <v>45292</v>
      </c>
      <c r="C1514">
        <v>4452</v>
      </c>
    </row>
    <row r="1515" spans="1:3" ht="15" hidden="1" customHeight="1" x14ac:dyDescent="0.3">
      <c r="A1515" t="s">
        <v>149</v>
      </c>
      <c r="B1515" s="2">
        <v>45323</v>
      </c>
      <c r="C1515">
        <v>6906</v>
      </c>
    </row>
    <row r="1516" spans="1:3" ht="15" hidden="1" customHeight="1" x14ac:dyDescent="0.3">
      <c r="A1516" t="s">
        <v>149</v>
      </c>
      <c r="B1516" s="2">
        <v>45352</v>
      </c>
      <c r="C1516">
        <v>6752</v>
      </c>
    </row>
    <row r="1517" spans="1:3" ht="15" hidden="1" customHeight="1" x14ac:dyDescent="0.3">
      <c r="A1517" t="s">
        <v>149</v>
      </c>
      <c r="B1517" s="2">
        <v>45383</v>
      </c>
      <c r="C1517">
        <v>6350</v>
      </c>
    </row>
    <row r="1518" spans="1:3" ht="15" hidden="1" customHeight="1" x14ac:dyDescent="0.3">
      <c r="A1518" t="s">
        <v>149</v>
      </c>
      <c r="B1518" s="2">
        <v>45413</v>
      </c>
      <c r="C1518">
        <v>7236</v>
      </c>
    </row>
    <row r="1519" spans="1:3" ht="15" hidden="1" customHeight="1" x14ac:dyDescent="0.3">
      <c r="A1519" t="s">
        <v>149</v>
      </c>
      <c r="B1519" s="2">
        <v>45444</v>
      </c>
      <c r="C1519">
        <v>6002</v>
      </c>
    </row>
    <row r="1520" spans="1:3" ht="15" hidden="1" customHeight="1" x14ac:dyDescent="0.3">
      <c r="A1520" t="s">
        <v>149</v>
      </c>
      <c r="B1520" s="2">
        <v>45474</v>
      </c>
      <c r="C1520">
        <v>7142</v>
      </c>
    </row>
    <row r="1521" spans="1:3" ht="15" hidden="1" customHeight="1" x14ac:dyDescent="0.3">
      <c r="A1521" t="s">
        <v>149</v>
      </c>
      <c r="B1521" s="2">
        <v>45505</v>
      </c>
      <c r="C1521">
        <v>6654</v>
      </c>
    </row>
    <row r="1522" spans="1:3" ht="15" hidden="1" customHeight="1" x14ac:dyDescent="0.3">
      <c r="A1522" t="s">
        <v>149</v>
      </c>
      <c r="B1522" s="2">
        <v>45536</v>
      </c>
      <c r="C1522">
        <v>6375</v>
      </c>
    </row>
    <row r="1523" spans="1:3" ht="15" hidden="1" customHeight="1" x14ac:dyDescent="0.3">
      <c r="A1523" t="s">
        <v>149</v>
      </c>
      <c r="B1523" s="2">
        <v>45566</v>
      </c>
      <c r="C1523">
        <v>6305</v>
      </c>
    </row>
    <row r="1524" spans="1:3" ht="15" hidden="1" customHeight="1" x14ac:dyDescent="0.3">
      <c r="A1524" t="s">
        <v>149</v>
      </c>
      <c r="B1524" s="2">
        <v>45597</v>
      </c>
      <c r="C1524">
        <v>7074</v>
      </c>
    </row>
    <row r="1525" spans="1:3" ht="15" hidden="1" customHeight="1" x14ac:dyDescent="0.3">
      <c r="A1525" t="s">
        <v>149</v>
      </c>
      <c r="B1525" s="2">
        <v>45627</v>
      </c>
      <c r="C1525">
        <v>3371</v>
      </c>
    </row>
    <row r="1526" spans="1:3" ht="15" hidden="1" customHeight="1" x14ac:dyDescent="0.3">
      <c r="A1526" t="s">
        <v>149</v>
      </c>
      <c r="B1526" s="2">
        <v>45658</v>
      </c>
      <c r="C1526">
        <v>5083</v>
      </c>
    </row>
    <row r="1527" spans="1:3" ht="15" hidden="1" customHeight="1" x14ac:dyDescent="0.3">
      <c r="A1527" t="s">
        <v>149</v>
      </c>
      <c r="B1527" s="2">
        <v>45689</v>
      </c>
      <c r="C1527">
        <v>4977</v>
      </c>
    </row>
    <row r="1528" spans="1:3" ht="15" hidden="1" customHeight="1" x14ac:dyDescent="0.3">
      <c r="A1528" t="s">
        <v>149</v>
      </c>
      <c r="B1528" s="2">
        <v>45717</v>
      </c>
      <c r="C1528">
        <v>5306</v>
      </c>
    </row>
    <row r="1529" spans="1:3" ht="15" hidden="1" customHeight="1" x14ac:dyDescent="0.3">
      <c r="A1529" t="s">
        <v>149</v>
      </c>
      <c r="B1529" s="2">
        <v>45748</v>
      </c>
      <c r="C1529">
        <v>4700</v>
      </c>
    </row>
    <row r="1530" spans="1:3" ht="15" hidden="1" customHeight="1" x14ac:dyDescent="0.3">
      <c r="A1530" t="s">
        <v>149</v>
      </c>
      <c r="B1530" s="2">
        <v>45778</v>
      </c>
      <c r="C1530">
        <v>6568</v>
      </c>
    </row>
    <row r="1531" spans="1:3" ht="15" hidden="1" customHeight="1" x14ac:dyDescent="0.3">
      <c r="A1531" t="s">
        <v>149</v>
      </c>
      <c r="B1531" s="2">
        <v>45809</v>
      </c>
      <c r="C1531">
        <v>6255.59</v>
      </c>
    </row>
    <row r="1532" spans="1:3" ht="15" hidden="1" customHeight="1" x14ac:dyDescent="0.3">
      <c r="A1532" t="s">
        <v>149</v>
      </c>
      <c r="B1532" s="2">
        <v>45839</v>
      </c>
      <c r="C1532">
        <v>5980</v>
      </c>
    </row>
    <row r="1533" spans="1:3" ht="15" hidden="1" customHeight="1" x14ac:dyDescent="0.3">
      <c r="A1533" t="s">
        <v>149</v>
      </c>
      <c r="B1533" s="2">
        <v>45870</v>
      </c>
      <c r="C1533">
        <v>6685</v>
      </c>
    </row>
    <row r="1534" spans="1:3" ht="15" hidden="1" customHeight="1" x14ac:dyDescent="0.3">
      <c r="A1534" t="s">
        <v>149</v>
      </c>
      <c r="B1534" s="2">
        <v>45901</v>
      </c>
      <c r="C1534">
        <v>7118</v>
      </c>
    </row>
    <row r="1535" spans="1:3" ht="15" hidden="1" customHeight="1" x14ac:dyDescent="0.3">
      <c r="A1535" t="s">
        <v>149</v>
      </c>
      <c r="B1535" s="2">
        <v>45931</v>
      </c>
      <c r="C1535">
        <v>7677</v>
      </c>
    </row>
    <row r="1536" spans="1:3" ht="15" hidden="1" customHeight="1" x14ac:dyDescent="0.3">
      <c r="A1536" t="s">
        <v>149</v>
      </c>
      <c r="B1536" s="2">
        <v>45962</v>
      </c>
      <c r="C1536">
        <v>5691</v>
      </c>
    </row>
    <row r="1537" spans="1:3" ht="15" hidden="1" customHeight="1" x14ac:dyDescent="0.3">
      <c r="A1537" t="s">
        <v>149</v>
      </c>
      <c r="B1537" s="2">
        <v>45992</v>
      </c>
      <c r="C1537">
        <v>3680</v>
      </c>
    </row>
    <row r="1538" spans="1:3" ht="15" hidden="1" customHeight="1" x14ac:dyDescent="0.3">
      <c r="A1538" t="s">
        <v>149</v>
      </c>
      <c r="B1538" s="2">
        <v>46023</v>
      </c>
      <c r="C1538">
        <v>5605</v>
      </c>
    </row>
    <row r="1539" spans="1:3" ht="15" hidden="1" customHeight="1" x14ac:dyDescent="0.3">
      <c r="A1539" t="s">
        <v>149</v>
      </c>
      <c r="B1539" s="2">
        <v>46054</v>
      </c>
      <c r="C1539">
        <v>7388</v>
      </c>
    </row>
    <row r="1540" spans="1:3" ht="15" hidden="1" customHeight="1" x14ac:dyDescent="0.3">
      <c r="A1540" t="s">
        <v>149</v>
      </c>
      <c r="B1540" s="2">
        <v>46082</v>
      </c>
      <c r="C1540">
        <v>6319.4</v>
      </c>
    </row>
    <row r="1541" spans="1:3" ht="15" hidden="1" customHeight="1" x14ac:dyDescent="0.3">
      <c r="A1541" t="s">
        <v>149</v>
      </c>
      <c r="B1541" s="2">
        <v>46113</v>
      </c>
      <c r="C1541">
        <v>4370.4799999999996</v>
      </c>
    </row>
    <row r="1542" spans="1:3" ht="15" hidden="1" customHeight="1" x14ac:dyDescent="0.3">
      <c r="A1542" t="s">
        <v>149</v>
      </c>
      <c r="B1542" s="2">
        <v>46143</v>
      </c>
      <c r="C1542" s="12">
        <v>5968.12</v>
      </c>
    </row>
    <row r="1543" spans="1:3" ht="15" hidden="1" customHeight="1" x14ac:dyDescent="0.3">
      <c r="A1543" t="s">
        <v>222</v>
      </c>
      <c r="B1543" s="2">
        <v>46174</v>
      </c>
      <c r="C1543">
        <v>5600</v>
      </c>
    </row>
    <row r="1544" spans="1:3" ht="15" customHeight="1" x14ac:dyDescent="0.3">
      <c r="A1544" t="s">
        <v>142</v>
      </c>
      <c r="B1544" s="2">
        <v>46204</v>
      </c>
      <c r="C1544">
        <v>3812</v>
      </c>
    </row>
    <row r="1545" spans="1:3" ht="15" hidden="1" customHeight="1" x14ac:dyDescent="0.3">
      <c r="A1545" t="s">
        <v>149</v>
      </c>
      <c r="B1545" s="2">
        <v>46235</v>
      </c>
    </row>
    <row r="1546" spans="1:3" ht="15" hidden="1" customHeight="1" x14ac:dyDescent="0.3">
      <c r="A1546" t="s">
        <v>149</v>
      </c>
      <c r="B1546" s="2">
        <v>46266</v>
      </c>
    </row>
    <row r="1547" spans="1:3" ht="15" hidden="1" customHeight="1" x14ac:dyDescent="0.3">
      <c r="A1547" t="s">
        <v>149</v>
      </c>
      <c r="B1547" s="2">
        <v>46296</v>
      </c>
    </row>
    <row r="1548" spans="1:3" ht="15" hidden="1" customHeight="1" x14ac:dyDescent="0.3">
      <c r="A1548" t="s">
        <v>149</v>
      </c>
      <c r="B1548" s="2">
        <v>46327</v>
      </c>
    </row>
    <row r="1549" spans="1:3" ht="15" hidden="1" customHeight="1" x14ac:dyDescent="0.3">
      <c r="A1549" t="s">
        <v>149</v>
      </c>
      <c r="B1549" s="2">
        <v>46357</v>
      </c>
    </row>
    <row r="1550" spans="1:3" ht="15" hidden="1" customHeight="1" x14ac:dyDescent="0.3">
      <c r="A1550" t="s">
        <v>155</v>
      </c>
      <c r="B1550" s="2">
        <v>45292</v>
      </c>
      <c r="C1550">
        <v>4700</v>
      </c>
    </row>
    <row r="1551" spans="1:3" ht="15" hidden="1" customHeight="1" x14ac:dyDescent="0.3">
      <c r="A1551" t="s">
        <v>155</v>
      </c>
      <c r="B1551" s="2">
        <v>45323</v>
      </c>
      <c r="C1551">
        <v>4300</v>
      </c>
    </row>
    <row r="1552" spans="1:3" ht="15" hidden="1" customHeight="1" x14ac:dyDescent="0.3">
      <c r="A1552" t="s">
        <v>155</v>
      </c>
      <c r="B1552" s="2">
        <v>45352</v>
      </c>
      <c r="C1552">
        <v>5200</v>
      </c>
    </row>
    <row r="1553" spans="1:3" ht="15" hidden="1" customHeight="1" x14ac:dyDescent="0.3">
      <c r="A1553" t="s">
        <v>155</v>
      </c>
      <c r="B1553" s="2">
        <v>45383</v>
      </c>
      <c r="C1553">
        <v>4500</v>
      </c>
    </row>
    <row r="1554" spans="1:3" ht="15" hidden="1" customHeight="1" x14ac:dyDescent="0.3">
      <c r="A1554" t="s">
        <v>155</v>
      </c>
      <c r="B1554" s="2">
        <v>45413</v>
      </c>
      <c r="C1554">
        <v>4300</v>
      </c>
    </row>
    <row r="1555" spans="1:3" ht="15" hidden="1" customHeight="1" x14ac:dyDescent="0.3">
      <c r="A1555" t="s">
        <v>155</v>
      </c>
      <c r="B1555" s="2">
        <v>45444</v>
      </c>
      <c r="C1555">
        <v>3800</v>
      </c>
    </row>
    <row r="1556" spans="1:3" ht="15" hidden="1" customHeight="1" x14ac:dyDescent="0.3">
      <c r="A1556" t="s">
        <v>155</v>
      </c>
      <c r="B1556" s="2">
        <v>45474</v>
      </c>
      <c r="C1556">
        <v>4100</v>
      </c>
    </row>
    <row r="1557" spans="1:3" ht="15" hidden="1" customHeight="1" x14ac:dyDescent="0.3">
      <c r="A1557" t="s">
        <v>155</v>
      </c>
      <c r="B1557" s="2">
        <v>45505</v>
      </c>
      <c r="C1557">
        <v>4000</v>
      </c>
    </row>
    <row r="1558" spans="1:3" ht="15" hidden="1" customHeight="1" x14ac:dyDescent="0.3">
      <c r="A1558" t="s">
        <v>155</v>
      </c>
      <c r="B1558" s="2">
        <v>45536</v>
      </c>
      <c r="C1558">
        <v>3700</v>
      </c>
    </row>
    <row r="1559" spans="1:3" ht="15" hidden="1" customHeight="1" x14ac:dyDescent="0.3">
      <c r="A1559" t="s">
        <v>155</v>
      </c>
      <c r="B1559" s="2">
        <v>45566</v>
      </c>
      <c r="C1559">
        <v>5479</v>
      </c>
    </row>
    <row r="1560" spans="1:3" ht="15" hidden="1" customHeight="1" x14ac:dyDescent="0.3">
      <c r="A1560" t="s">
        <v>155</v>
      </c>
      <c r="B1560" s="2">
        <v>45597</v>
      </c>
      <c r="C1560">
        <v>5500</v>
      </c>
    </row>
    <row r="1561" spans="1:3" ht="15" hidden="1" customHeight="1" x14ac:dyDescent="0.3">
      <c r="A1561" t="s">
        <v>155</v>
      </c>
      <c r="B1561" s="2">
        <v>45627</v>
      </c>
      <c r="C1561">
        <v>2742</v>
      </c>
    </row>
    <row r="1562" spans="1:3" ht="15" hidden="1" customHeight="1" x14ac:dyDescent="0.3">
      <c r="A1562" t="s">
        <v>155</v>
      </c>
      <c r="B1562" s="2">
        <v>45658</v>
      </c>
      <c r="C1562">
        <v>5100</v>
      </c>
    </row>
    <row r="1563" spans="1:3" ht="15" hidden="1" customHeight="1" x14ac:dyDescent="0.3">
      <c r="A1563" t="s">
        <v>155</v>
      </c>
      <c r="B1563" s="2">
        <v>45689</v>
      </c>
      <c r="C1563">
        <v>3970</v>
      </c>
    </row>
    <row r="1564" spans="1:3" ht="15" hidden="1" customHeight="1" x14ac:dyDescent="0.3">
      <c r="A1564" t="s">
        <v>155</v>
      </c>
      <c r="B1564" s="2">
        <v>45717</v>
      </c>
      <c r="C1564">
        <v>4540</v>
      </c>
    </row>
    <row r="1565" spans="1:3" ht="15" hidden="1" customHeight="1" x14ac:dyDescent="0.3">
      <c r="A1565" t="s">
        <v>155</v>
      </c>
      <c r="B1565" s="2">
        <v>45748</v>
      </c>
      <c r="C1565">
        <v>3526</v>
      </c>
    </row>
    <row r="1566" spans="1:3" ht="15" hidden="1" customHeight="1" x14ac:dyDescent="0.3">
      <c r="A1566" t="s">
        <v>155</v>
      </c>
      <c r="B1566" s="2">
        <v>45778</v>
      </c>
      <c r="C1566">
        <v>4309</v>
      </c>
    </row>
    <row r="1567" spans="1:3" ht="15" hidden="1" customHeight="1" x14ac:dyDescent="0.3">
      <c r="A1567" t="s">
        <v>155</v>
      </c>
      <c r="B1567" s="2">
        <v>45809</v>
      </c>
      <c r="C1567">
        <v>3564</v>
      </c>
    </row>
    <row r="1568" spans="1:3" ht="15" hidden="1" customHeight="1" x14ac:dyDescent="0.3">
      <c r="A1568" t="s">
        <v>155</v>
      </c>
      <c r="B1568" s="2">
        <v>45839</v>
      </c>
      <c r="C1568">
        <v>3444</v>
      </c>
    </row>
    <row r="1569" spans="1:3" ht="15" hidden="1" customHeight="1" x14ac:dyDescent="0.3">
      <c r="A1569" t="s">
        <v>155</v>
      </c>
      <c r="B1569" s="2">
        <v>45870</v>
      </c>
      <c r="C1569">
        <v>4434</v>
      </c>
    </row>
    <row r="1570" spans="1:3" ht="15" hidden="1" customHeight="1" x14ac:dyDescent="0.3">
      <c r="A1570" t="s">
        <v>155</v>
      </c>
      <c r="B1570" s="2">
        <v>45901</v>
      </c>
      <c r="C1570">
        <v>4300</v>
      </c>
    </row>
    <row r="1571" spans="1:3" ht="15" hidden="1" customHeight="1" x14ac:dyDescent="0.3">
      <c r="A1571" t="s">
        <v>155</v>
      </c>
      <c r="B1571" s="2">
        <v>45931</v>
      </c>
      <c r="C1571">
        <v>4956</v>
      </c>
    </row>
    <row r="1572" spans="1:3" ht="15" hidden="1" customHeight="1" x14ac:dyDescent="0.3">
      <c r="A1572" t="s">
        <v>155</v>
      </c>
      <c r="B1572" s="2">
        <v>45962</v>
      </c>
      <c r="C1572">
        <v>4173</v>
      </c>
    </row>
    <row r="1573" spans="1:3" ht="15" hidden="1" customHeight="1" x14ac:dyDescent="0.3">
      <c r="A1573" t="s">
        <v>155</v>
      </c>
      <c r="B1573" s="2">
        <v>45992</v>
      </c>
      <c r="C1573">
        <v>5010</v>
      </c>
    </row>
    <row r="1574" spans="1:3" ht="15" hidden="1" customHeight="1" x14ac:dyDescent="0.3">
      <c r="A1574" t="s">
        <v>155</v>
      </c>
      <c r="B1574" s="2">
        <v>46023</v>
      </c>
      <c r="C1574">
        <v>4573</v>
      </c>
    </row>
    <row r="1575" spans="1:3" ht="15" hidden="1" customHeight="1" x14ac:dyDescent="0.3">
      <c r="A1575" t="s">
        <v>155</v>
      </c>
      <c r="B1575" s="2">
        <v>46054</v>
      </c>
      <c r="C1575">
        <v>4586.7700000000004</v>
      </c>
    </row>
    <row r="1576" spans="1:3" ht="15" hidden="1" customHeight="1" x14ac:dyDescent="0.3">
      <c r="A1576" t="s">
        <v>155</v>
      </c>
      <c r="B1576" s="2">
        <v>46082</v>
      </c>
      <c r="C1576">
        <v>4089</v>
      </c>
    </row>
    <row r="1577" spans="1:3" ht="15" hidden="1" customHeight="1" x14ac:dyDescent="0.3">
      <c r="A1577" t="s">
        <v>155</v>
      </c>
      <c r="B1577" s="2">
        <v>46113</v>
      </c>
      <c r="C1577">
        <v>844.2</v>
      </c>
    </row>
    <row r="1578" spans="1:3" ht="15" hidden="1" customHeight="1" x14ac:dyDescent="0.3">
      <c r="A1578" t="s">
        <v>155</v>
      </c>
      <c r="B1578" s="2">
        <v>46143</v>
      </c>
      <c r="C1578" s="12">
        <v>0</v>
      </c>
    </row>
    <row r="1579" spans="1:3" ht="15" hidden="1" customHeight="1" x14ac:dyDescent="0.3">
      <c r="A1579" t="s">
        <v>155</v>
      </c>
      <c r="B1579" s="2">
        <v>46174</v>
      </c>
    </row>
    <row r="1580" spans="1:3" ht="15" customHeight="1" x14ac:dyDescent="0.3">
      <c r="A1580" t="s">
        <v>145</v>
      </c>
      <c r="B1580" s="2">
        <v>46204</v>
      </c>
      <c r="C1580">
        <v>25915.636999999999</v>
      </c>
    </row>
    <row r="1581" spans="1:3" ht="15" hidden="1" customHeight="1" x14ac:dyDescent="0.3">
      <c r="A1581" t="s">
        <v>155</v>
      </c>
      <c r="B1581" s="2">
        <v>46235</v>
      </c>
    </row>
    <row r="1582" spans="1:3" ht="15" hidden="1" customHeight="1" x14ac:dyDescent="0.3">
      <c r="A1582" t="s">
        <v>155</v>
      </c>
      <c r="B1582" s="2">
        <v>46266</v>
      </c>
    </row>
    <row r="1583" spans="1:3" ht="15" hidden="1" customHeight="1" x14ac:dyDescent="0.3">
      <c r="A1583" t="s">
        <v>155</v>
      </c>
      <c r="B1583" s="2">
        <v>46296</v>
      </c>
    </row>
    <row r="1584" spans="1:3" ht="15" hidden="1" customHeight="1" x14ac:dyDescent="0.3">
      <c r="A1584" t="s">
        <v>155</v>
      </c>
      <c r="B1584" s="2">
        <v>46327</v>
      </c>
    </row>
    <row r="1585" spans="1:3" ht="15" hidden="1" customHeight="1" x14ac:dyDescent="0.3">
      <c r="A1585" t="s">
        <v>155</v>
      </c>
      <c r="B1585" s="2">
        <v>46357</v>
      </c>
    </row>
    <row r="1586" spans="1:3" ht="15" hidden="1" customHeight="1" x14ac:dyDescent="0.3">
      <c r="A1586" t="s">
        <v>157</v>
      </c>
      <c r="B1586" s="2">
        <v>45292</v>
      </c>
      <c r="C1586">
        <v>6159</v>
      </c>
    </row>
    <row r="1587" spans="1:3" ht="15" hidden="1" customHeight="1" x14ac:dyDescent="0.3">
      <c r="A1587" t="s">
        <v>157</v>
      </c>
      <c r="B1587" s="2">
        <v>45323</v>
      </c>
      <c r="C1587">
        <v>4495</v>
      </c>
    </row>
    <row r="1588" spans="1:3" ht="15" hidden="1" customHeight="1" x14ac:dyDescent="0.3">
      <c r="A1588" t="s">
        <v>157</v>
      </c>
      <c r="B1588" s="2">
        <v>45352</v>
      </c>
      <c r="C1588">
        <v>5040</v>
      </c>
    </row>
    <row r="1589" spans="1:3" ht="15" hidden="1" customHeight="1" x14ac:dyDescent="0.3">
      <c r="A1589" t="s">
        <v>157</v>
      </c>
      <c r="B1589" s="2">
        <v>45383</v>
      </c>
      <c r="C1589">
        <v>4485</v>
      </c>
    </row>
    <row r="1590" spans="1:3" ht="15" hidden="1" customHeight="1" x14ac:dyDescent="0.3">
      <c r="A1590" t="s">
        <v>157</v>
      </c>
      <c r="B1590" s="2">
        <v>45413</v>
      </c>
      <c r="C1590">
        <v>4861</v>
      </c>
    </row>
    <row r="1591" spans="1:3" ht="15" hidden="1" customHeight="1" x14ac:dyDescent="0.3">
      <c r="A1591" t="s">
        <v>157</v>
      </c>
      <c r="B1591" s="2">
        <v>45444</v>
      </c>
      <c r="C1591">
        <v>3929</v>
      </c>
    </row>
    <row r="1592" spans="1:3" ht="15" hidden="1" customHeight="1" x14ac:dyDescent="0.3">
      <c r="A1592" t="s">
        <v>157</v>
      </c>
      <c r="B1592" s="2">
        <v>45474</v>
      </c>
      <c r="C1592">
        <v>4619</v>
      </c>
    </row>
    <row r="1593" spans="1:3" ht="15" hidden="1" customHeight="1" x14ac:dyDescent="0.3">
      <c r="A1593" t="s">
        <v>157</v>
      </c>
      <c r="B1593" s="2">
        <v>45505</v>
      </c>
      <c r="C1593">
        <v>5354</v>
      </c>
    </row>
    <row r="1594" spans="1:3" ht="15" hidden="1" customHeight="1" x14ac:dyDescent="0.3">
      <c r="A1594" t="s">
        <v>157</v>
      </c>
      <c r="B1594" s="2">
        <v>45536</v>
      </c>
      <c r="C1594">
        <v>4908</v>
      </c>
    </row>
    <row r="1595" spans="1:3" ht="15" hidden="1" customHeight="1" x14ac:dyDescent="0.3">
      <c r="A1595" t="s">
        <v>157</v>
      </c>
      <c r="B1595" s="2">
        <v>45566</v>
      </c>
      <c r="C1595">
        <v>6335</v>
      </c>
    </row>
    <row r="1596" spans="1:3" ht="15" hidden="1" customHeight="1" x14ac:dyDescent="0.3">
      <c r="A1596" t="s">
        <v>157</v>
      </c>
      <c r="B1596" s="2">
        <v>45597</v>
      </c>
      <c r="C1596">
        <v>5824</v>
      </c>
    </row>
    <row r="1597" spans="1:3" ht="15" hidden="1" customHeight="1" x14ac:dyDescent="0.3">
      <c r="A1597" t="s">
        <v>157</v>
      </c>
      <c r="B1597" s="2">
        <v>45627</v>
      </c>
      <c r="C1597">
        <v>6091</v>
      </c>
    </row>
    <row r="1598" spans="1:3" ht="15" hidden="1" customHeight="1" x14ac:dyDescent="0.3">
      <c r="A1598" t="s">
        <v>157</v>
      </c>
      <c r="B1598" s="2">
        <v>45658</v>
      </c>
      <c r="C1598">
        <v>5309</v>
      </c>
    </row>
    <row r="1599" spans="1:3" ht="15" hidden="1" customHeight="1" x14ac:dyDescent="0.3">
      <c r="A1599" t="s">
        <v>157</v>
      </c>
      <c r="B1599" s="2">
        <v>45689</v>
      </c>
      <c r="C1599">
        <v>3761</v>
      </c>
    </row>
    <row r="1600" spans="1:3" ht="15" hidden="1" customHeight="1" x14ac:dyDescent="0.3">
      <c r="A1600" t="s">
        <v>157</v>
      </c>
      <c r="B1600" s="2">
        <v>45717</v>
      </c>
      <c r="C1600">
        <v>4074</v>
      </c>
    </row>
    <row r="1601" spans="1:3" ht="15" hidden="1" customHeight="1" x14ac:dyDescent="0.3">
      <c r="A1601" t="s">
        <v>157</v>
      </c>
      <c r="B1601" s="2">
        <v>45748</v>
      </c>
      <c r="C1601">
        <v>3902</v>
      </c>
    </row>
    <row r="1602" spans="1:3" ht="15" hidden="1" customHeight="1" x14ac:dyDescent="0.3">
      <c r="A1602" t="s">
        <v>157</v>
      </c>
      <c r="B1602" s="2">
        <v>45778</v>
      </c>
      <c r="C1602">
        <v>5047</v>
      </c>
    </row>
    <row r="1603" spans="1:3" ht="15" hidden="1" customHeight="1" x14ac:dyDescent="0.3">
      <c r="A1603" t="s">
        <v>157</v>
      </c>
      <c r="B1603" s="2">
        <v>45809</v>
      </c>
      <c r="C1603">
        <v>4585.3599999999997</v>
      </c>
    </row>
    <row r="1604" spans="1:3" ht="15" hidden="1" customHeight="1" x14ac:dyDescent="0.3">
      <c r="A1604" t="s">
        <v>157</v>
      </c>
      <c r="B1604" s="2">
        <v>45839</v>
      </c>
      <c r="C1604">
        <v>4750</v>
      </c>
    </row>
    <row r="1605" spans="1:3" ht="15" hidden="1" customHeight="1" x14ac:dyDescent="0.3">
      <c r="A1605" t="s">
        <v>157</v>
      </c>
      <c r="B1605" s="2">
        <v>45870</v>
      </c>
      <c r="C1605">
        <v>4940</v>
      </c>
    </row>
    <row r="1606" spans="1:3" ht="15" hidden="1" customHeight="1" x14ac:dyDescent="0.3">
      <c r="A1606" t="s">
        <v>157</v>
      </c>
      <c r="B1606" s="2">
        <v>45901</v>
      </c>
      <c r="C1606">
        <v>4923</v>
      </c>
    </row>
    <row r="1607" spans="1:3" ht="15" hidden="1" customHeight="1" x14ac:dyDescent="0.3">
      <c r="A1607" t="s">
        <v>157</v>
      </c>
      <c r="B1607" s="2">
        <v>45931</v>
      </c>
      <c r="C1607">
        <v>5673</v>
      </c>
    </row>
    <row r="1608" spans="1:3" ht="15" hidden="1" customHeight="1" x14ac:dyDescent="0.3">
      <c r="A1608" t="s">
        <v>157</v>
      </c>
      <c r="B1608" s="2">
        <v>45962</v>
      </c>
      <c r="C1608">
        <v>4641</v>
      </c>
    </row>
    <row r="1609" spans="1:3" ht="15" hidden="1" customHeight="1" x14ac:dyDescent="0.3">
      <c r="A1609" t="s">
        <v>157</v>
      </c>
      <c r="B1609" s="2">
        <v>45992</v>
      </c>
      <c r="C1609">
        <v>5262</v>
      </c>
    </row>
    <row r="1610" spans="1:3" ht="15" hidden="1" customHeight="1" x14ac:dyDescent="0.3">
      <c r="A1610" t="s">
        <v>157</v>
      </c>
      <c r="B1610" s="2">
        <v>46023</v>
      </c>
      <c r="C1610">
        <v>5546</v>
      </c>
    </row>
    <row r="1611" spans="1:3" ht="15" hidden="1" customHeight="1" x14ac:dyDescent="0.3">
      <c r="A1611" t="s">
        <v>157</v>
      </c>
      <c r="B1611" s="2">
        <v>46054</v>
      </c>
      <c r="C1611">
        <v>5201.2299999999996</v>
      </c>
    </row>
    <row r="1612" spans="1:3" ht="15" hidden="1" customHeight="1" x14ac:dyDescent="0.3">
      <c r="A1612" t="s">
        <v>157</v>
      </c>
      <c r="B1612" s="2">
        <v>46082</v>
      </c>
      <c r="C1612">
        <v>4579</v>
      </c>
    </row>
    <row r="1613" spans="1:3" ht="15" hidden="1" customHeight="1" x14ac:dyDescent="0.3">
      <c r="A1613" t="s">
        <v>157</v>
      </c>
      <c r="B1613" s="2">
        <v>46113</v>
      </c>
      <c r="C1613">
        <v>4134.1099999999997</v>
      </c>
    </row>
    <row r="1614" spans="1:3" ht="15" hidden="1" customHeight="1" x14ac:dyDescent="0.3">
      <c r="A1614" t="s">
        <v>157</v>
      </c>
      <c r="B1614" s="2">
        <v>46143</v>
      </c>
      <c r="C1614" s="12">
        <v>4665.67</v>
      </c>
    </row>
    <row r="1615" spans="1:3" ht="15" hidden="1" customHeight="1" x14ac:dyDescent="0.3">
      <c r="A1615" t="s">
        <v>157</v>
      </c>
      <c r="B1615" s="2">
        <v>46174</v>
      </c>
      <c r="C1615">
        <v>3785</v>
      </c>
    </row>
    <row r="1616" spans="1:3" ht="15" customHeight="1" x14ac:dyDescent="0.3">
      <c r="A1616" t="s">
        <v>149</v>
      </c>
      <c r="B1616" s="2">
        <v>46204</v>
      </c>
      <c r="C1616">
        <v>6917</v>
      </c>
    </row>
    <row r="1617" spans="1:3" ht="15" hidden="1" customHeight="1" x14ac:dyDescent="0.3">
      <c r="A1617" t="s">
        <v>157</v>
      </c>
      <c r="B1617" s="2">
        <v>46235</v>
      </c>
    </row>
    <row r="1618" spans="1:3" ht="15" hidden="1" customHeight="1" x14ac:dyDescent="0.3">
      <c r="A1618" t="s">
        <v>157</v>
      </c>
      <c r="B1618" s="2">
        <v>46266</v>
      </c>
    </row>
    <row r="1619" spans="1:3" ht="15" hidden="1" customHeight="1" x14ac:dyDescent="0.3">
      <c r="A1619" t="s">
        <v>157</v>
      </c>
      <c r="B1619" s="2">
        <v>46296</v>
      </c>
    </row>
    <row r="1620" spans="1:3" ht="15" hidden="1" customHeight="1" x14ac:dyDescent="0.3">
      <c r="A1620" t="s">
        <v>157</v>
      </c>
      <c r="B1620" s="2">
        <v>46327</v>
      </c>
    </row>
    <row r="1621" spans="1:3" ht="15" hidden="1" customHeight="1" x14ac:dyDescent="0.3">
      <c r="A1621" t="s">
        <v>157</v>
      </c>
      <c r="B1621" s="2">
        <v>46357</v>
      </c>
    </row>
    <row r="1622" spans="1:3" ht="15" hidden="1" customHeight="1" x14ac:dyDescent="0.3">
      <c r="A1622" t="s">
        <v>160</v>
      </c>
      <c r="B1622" s="2">
        <v>45292</v>
      </c>
      <c r="C1622">
        <v>6600</v>
      </c>
    </row>
    <row r="1623" spans="1:3" ht="15" hidden="1" customHeight="1" x14ac:dyDescent="0.3">
      <c r="A1623" t="s">
        <v>160</v>
      </c>
      <c r="B1623" s="2">
        <v>45323</v>
      </c>
      <c r="C1623">
        <v>13300</v>
      </c>
    </row>
    <row r="1624" spans="1:3" ht="15" hidden="1" customHeight="1" x14ac:dyDescent="0.3">
      <c r="A1624" t="s">
        <v>160</v>
      </c>
      <c r="B1624" s="2">
        <v>45352</v>
      </c>
      <c r="C1624">
        <v>15420</v>
      </c>
    </row>
    <row r="1625" spans="1:3" ht="15" hidden="1" customHeight="1" x14ac:dyDescent="0.3">
      <c r="A1625" t="s">
        <v>160</v>
      </c>
      <c r="B1625" s="2">
        <v>45383</v>
      </c>
      <c r="C1625">
        <v>12860</v>
      </c>
    </row>
    <row r="1626" spans="1:3" ht="15" hidden="1" customHeight="1" x14ac:dyDescent="0.3">
      <c r="A1626" t="s">
        <v>160</v>
      </c>
      <c r="B1626" s="2">
        <v>45413</v>
      </c>
      <c r="C1626">
        <v>14610</v>
      </c>
    </row>
    <row r="1627" spans="1:3" ht="15" hidden="1" customHeight="1" x14ac:dyDescent="0.3">
      <c r="A1627" t="s">
        <v>160</v>
      </c>
      <c r="B1627" s="2">
        <v>45444</v>
      </c>
      <c r="C1627">
        <v>12010</v>
      </c>
    </row>
    <row r="1628" spans="1:3" ht="15" hidden="1" customHeight="1" x14ac:dyDescent="0.3">
      <c r="A1628" t="s">
        <v>160</v>
      </c>
      <c r="B1628" s="2">
        <v>45474</v>
      </c>
      <c r="C1628">
        <v>13050</v>
      </c>
    </row>
    <row r="1629" spans="1:3" ht="15" hidden="1" customHeight="1" x14ac:dyDescent="0.3">
      <c r="A1629" t="s">
        <v>160</v>
      </c>
      <c r="B1629" s="2">
        <v>45505</v>
      </c>
      <c r="C1629">
        <v>17380</v>
      </c>
    </row>
    <row r="1630" spans="1:3" ht="15" hidden="1" customHeight="1" x14ac:dyDescent="0.3">
      <c r="A1630" t="s">
        <v>160</v>
      </c>
      <c r="B1630" s="2">
        <v>45536</v>
      </c>
      <c r="C1630">
        <v>15040</v>
      </c>
    </row>
    <row r="1631" spans="1:3" ht="15" hidden="1" customHeight="1" x14ac:dyDescent="0.3">
      <c r="A1631" t="s">
        <v>160</v>
      </c>
      <c r="B1631" s="2">
        <v>45566</v>
      </c>
      <c r="C1631">
        <v>16040</v>
      </c>
    </row>
    <row r="1632" spans="1:3" ht="15" hidden="1" customHeight="1" x14ac:dyDescent="0.3">
      <c r="A1632" t="s">
        <v>160</v>
      </c>
      <c r="B1632" s="2">
        <v>45597</v>
      </c>
      <c r="C1632">
        <v>12800</v>
      </c>
    </row>
    <row r="1633" spans="1:3" ht="15" hidden="1" customHeight="1" x14ac:dyDescent="0.3">
      <c r="A1633" t="s">
        <v>160</v>
      </c>
      <c r="B1633" s="2">
        <v>45627</v>
      </c>
      <c r="C1633">
        <v>11928</v>
      </c>
    </row>
    <row r="1634" spans="1:3" ht="15" hidden="1" customHeight="1" x14ac:dyDescent="0.3">
      <c r="A1634" t="s">
        <v>160</v>
      </c>
      <c r="B1634" s="2">
        <v>45658</v>
      </c>
      <c r="C1634">
        <v>11300</v>
      </c>
    </row>
    <row r="1635" spans="1:3" ht="15" hidden="1" customHeight="1" x14ac:dyDescent="0.3">
      <c r="A1635" t="s">
        <v>160</v>
      </c>
      <c r="B1635" s="2">
        <v>45689</v>
      </c>
      <c r="C1635">
        <v>8382</v>
      </c>
    </row>
    <row r="1636" spans="1:3" ht="15" hidden="1" customHeight="1" x14ac:dyDescent="0.3">
      <c r="A1636" t="s">
        <v>160</v>
      </c>
      <c r="B1636" s="2">
        <v>45717</v>
      </c>
      <c r="C1636">
        <v>11945</v>
      </c>
    </row>
    <row r="1637" spans="1:3" ht="15" hidden="1" customHeight="1" x14ac:dyDescent="0.3">
      <c r="A1637" t="s">
        <v>160</v>
      </c>
      <c r="B1637" s="2">
        <v>45748</v>
      </c>
      <c r="C1637">
        <v>13271</v>
      </c>
    </row>
    <row r="1638" spans="1:3" ht="15" hidden="1" customHeight="1" x14ac:dyDescent="0.3">
      <c r="A1638" t="s">
        <v>160</v>
      </c>
      <c r="B1638" s="2">
        <v>45778</v>
      </c>
      <c r="C1638">
        <v>17380</v>
      </c>
    </row>
    <row r="1639" spans="1:3" ht="15" hidden="1" customHeight="1" x14ac:dyDescent="0.3">
      <c r="A1639" t="s">
        <v>160</v>
      </c>
      <c r="B1639" s="2">
        <v>45809</v>
      </c>
      <c r="C1639">
        <v>15760.44</v>
      </c>
    </row>
    <row r="1640" spans="1:3" ht="15" hidden="1" customHeight="1" x14ac:dyDescent="0.3">
      <c r="A1640" t="s">
        <v>160</v>
      </c>
      <c r="B1640" s="2">
        <v>45839</v>
      </c>
      <c r="C1640">
        <v>15336</v>
      </c>
    </row>
    <row r="1641" spans="1:3" ht="15" hidden="1" customHeight="1" x14ac:dyDescent="0.3">
      <c r="A1641" t="s">
        <v>160</v>
      </c>
      <c r="B1641" s="2">
        <v>45870</v>
      </c>
      <c r="C1641">
        <v>18373</v>
      </c>
    </row>
    <row r="1642" spans="1:3" ht="15" hidden="1" customHeight="1" x14ac:dyDescent="0.3">
      <c r="A1642" t="s">
        <v>160</v>
      </c>
      <c r="B1642" s="2">
        <v>45901</v>
      </c>
      <c r="C1642">
        <v>14826</v>
      </c>
    </row>
    <row r="1643" spans="1:3" ht="15" hidden="1" customHeight="1" x14ac:dyDescent="0.3">
      <c r="A1643" t="s">
        <v>160</v>
      </c>
      <c r="B1643" s="2">
        <v>45931</v>
      </c>
      <c r="C1643">
        <v>14653</v>
      </c>
    </row>
    <row r="1644" spans="1:3" ht="15" hidden="1" customHeight="1" x14ac:dyDescent="0.3">
      <c r="A1644" t="s">
        <v>160</v>
      </c>
      <c r="B1644" s="2">
        <v>45962</v>
      </c>
      <c r="C1644">
        <v>11613</v>
      </c>
    </row>
    <row r="1645" spans="1:3" ht="15" hidden="1" customHeight="1" x14ac:dyDescent="0.3">
      <c r="A1645" t="s">
        <v>160</v>
      </c>
      <c r="B1645" s="2">
        <v>45992</v>
      </c>
      <c r="C1645">
        <v>12623</v>
      </c>
    </row>
    <row r="1646" spans="1:3" ht="15" hidden="1" customHeight="1" x14ac:dyDescent="0.3">
      <c r="A1646" t="s">
        <v>160</v>
      </c>
      <c r="B1646" s="2">
        <v>46023</v>
      </c>
      <c r="C1646">
        <v>13947</v>
      </c>
    </row>
    <row r="1647" spans="1:3" ht="15" hidden="1" customHeight="1" x14ac:dyDescent="0.3">
      <c r="A1647" t="s">
        <v>160</v>
      </c>
      <c r="B1647" s="2">
        <v>46054</v>
      </c>
      <c r="C1647">
        <v>15878</v>
      </c>
    </row>
    <row r="1648" spans="1:3" ht="15" hidden="1" customHeight="1" x14ac:dyDescent="0.3">
      <c r="A1648" t="s">
        <v>160</v>
      </c>
      <c r="B1648" s="2">
        <v>46082</v>
      </c>
      <c r="C1648">
        <v>15307</v>
      </c>
    </row>
    <row r="1649" spans="1:3" ht="15" hidden="1" customHeight="1" x14ac:dyDescent="0.3">
      <c r="A1649" t="s">
        <v>160</v>
      </c>
      <c r="B1649" s="2">
        <v>46113</v>
      </c>
      <c r="C1649">
        <v>13475.98</v>
      </c>
    </row>
    <row r="1650" spans="1:3" ht="15" hidden="1" customHeight="1" x14ac:dyDescent="0.3">
      <c r="A1650" t="s">
        <v>160</v>
      </c>
      <c r="B1650" s="2">
        <v>46143</v>
      </c>
      <c r="C1650" s="12">
        <v>16989.47</v>
      </c>
    </row>
    <row r="1651" spans="1:3" ht="15" hidden="1" customHeight="1" x14ac:dyDescent="0.3">
      <c r="A1651" t="s">
        <v>142</v>
      </c>
      <c r="B1651" s="2">
        <v>46174</v>
      </c>
      <c r="C1651" s="34">
        <v>3164</v>
      </c>
    </row>
    <row r="1652" spans="1:3" ht="15" customHeight="1" x14ac:dyDescent="0.3">
      <c r="A1652" t="s">
        <v>152</v>
      </c>
      <c r="B1652" s="2">
        <v>46204</v>
      </c>
      <c r="C1652">
        <v>6388</v>
      </c>
    </row>
    <row r="1653" spans="1:3" ht="15" hidden="1" customHeight="1" x14ac:dyDescent="0.3">
      <c r="A1653" t="s">
        <v>160</v>
      </c>
      <c r="B1653" s="2">
        <v>46235</v>
      </c>
    </row>
    <row r="1654" spans="1:3" ht="15" hidden="1" customHeight="1" x14ac:dyDescent="0.3">
      <c r="A1654" t="s">
        <v>160</v>
      </c>
      <c r="B1654" s="2">
        <v>46266</v>
      </c>
    </row>
    <row r="1655" spans="1:3" ht="15" hidden="1" customHeight="1" x14ac:dyDescent="0.3">
      <c r="A1655" t="s">
        <v>160</v>
      </c>
      <c r="B1655" s="2">
        <v>46296</v>
      </c>
    </row>
    <row r="1656" spans="1:3" ht="15" hidden="1" customHeight="1" x14ac:dyDescent="0.3">
      <c r="A1656" t="s">
        <v>160</v>
      </c>
      <c r="B1656" s="2">
        <v>46327</v>
      </c>
    </row>
    <row r="1657" spans="1:3" ht="15" hidden="1" customHeight="1" x14ac:dyDescent="0.3">
      <c r="A1657" t="s">
        <v>160</v>
      </c>
      <c r="B1657" s="2">
        <v>46357</v>
      </c>
    </row>
    <row r="1658" spans="1:3" ht="15" hidden="1" customHeight="1" x14ac:dyDescent="0.3">
      <c r="A1658" t="s">
        <v>213</v>
      </c>
      <c r="B1658" s="2">
        <v>45292</v>
      </c>
    </row>
    <row r="1659" spans="1:3" ht="15" hidden="1" customHeight="1" x14ac:dyDescent="0.3">
      <c r="A1659" t="s">
        <v>213</v>
      </c>
      <c r="B1659" s="2">
        <v>45323</v>
      </c>
    </row>
    <row r="1660" spans="1:3" ht="15" hidden="1" customHeight="1" x14ac:dyDescent="0.3">
      <c r="A1660" t="s">
        <v>213</v>
      </c>
      <c r="B1660" s="2">
        <v>45352</v>
      </c>
    </row>
    <row r="1661" spans="1:3" ht="15" hidden="1" customHeight="1" x14ac:dyDescent="0.3">
      <c r="A1661" t="s">
        <v>213</v>
      </c>
      <c r="B1661" s="2">
        <v>45383</v>
      </c>
    </row>
    <row r="1662" spans="1:3" ht="15" hidden="1" customHeight="1" x14ac:dyDescent="0.3">
      <c r="A1662" t="s">
        <v>213</v>
      </c>
      <c r="B1662" s="2">
        <v>45413</v>
      </c>
    </row>
    <row r="1663" spans="1:3" ht="15" hidden="1" customHeight="1" x14ac:dyDescent="0.3">
      <c r="A1663" t="s">
        <v>213</v>
      </c>
      <c r="B1663" s="2">
        <v>45444</v>
      </c>
    </row>
    <row r="1664" spans="1:3" ht="15" hidden="1" customHeight="1" x14ac:dyDescent="0.3">
      <c r="A1664" t="s">
        <v>213</v>
      </c>
      <c r="B1664" s="2">
        <v>45474</v>
      </c>
    </row>
    <row r="1665" spans="1:3" ht="15" hidden="1" customHeight="1" x14ac:dyDescent="0.3">
      <c r="A1665" t="s">
        <v>213</v>
      </c>
      <c r="B1665" s="2">
        <v>45505</v>
      </c>
    </row>
    <row r="1666" spans="1:3" ht="15" hidden="1" customHeight="1" x14ac:dyDescent="0.3">
      <c r="A1666" t="s">
        <v>213</v>
      </c>
      <c r="B1666" s="2">
        <v>45536</v>
      </c>
    </row>
    <row r="1667" spans="1:3" ht="15" hidden="1" customHeight="1" x14ac:dyDescent="0.3">
      <c r="A1667" t="s">
        <v>213</v>
      </c>
      <c r="B1667" s="2">
        <v>45566</v>
      </c>
    </row>
    <row r="1668" spans="1:3" ht="15" hidden="1" customHeight="1" x14ac:dyDescent="0.3">
      <c r="A1668" t="s">
        <v>213</v>
      </c>
      <c r="B1668" s="2">
        <v>45597</v>
      </c>
    </row>
    <row r="1669" spans="1:3" ht="15" hidden="1" customHeight="1" x14ac:dyDescent="0.3">
      <c r="A1669" t="s">
        <v>213</v>
      </c>
      <c r="B1669" s="2">
        <v>45627</v>
      </c>
    </row>
    <row r="1670" spans="1:3" ht="15" hidden="1" customHeight="1" x14ac:dyDescent="0.3">
      <c r="A1670" t="s">
        <v>213</v>
      </c>
      <c r="B1670" s="2">
        <v>45658</v>
      </c>
    </row>
    <row r="1671" spans="1:3" ht="15" hidden="1" customHeight="1" x14ac:dyDescent="0.3">
      <c r="A1671" t="s">
        <v>213</v>
      </c>
      <c r="B1671" s="2">
        <v>45689</v>
      </c>
    </row>
    <row r="1672" spans="1:3" ht="15" hidden="1" customHeight="1" x14ac:dyDescent="0.3">
      <c r="A1672" t="s">
        <v>213</v>
      </c>
      <c r="B1672" s="2">
        <v>45717</v>
      </c>
    </row>
    <row r="1673" spans="1:3" ht="15" hidden="1" customHeight="1" x14ac:dyDescent="0.3">
      <c r="A1673" t="s">
        <v>213</v>
      </c>
      <c r="B1673" s="2">
        <v>45748</v>
      </c>
    </row>
    <row r="1674" spans="1:3" ht="15" hidden="1" customHeight="1" x14ac:dyDescent="0.3">
      <c r="A1674" t="s">
        <v>213</v>
      </c>
      <c r="B1674" s="2">
        <v>45778</v>
      </c>
    </row>
    <row r="1675" spans="1:3" ht="15" hidden="1" customHeight="1" x14ac:dyDescent="0.3">
      <c r="A1675" t="s">
        <v>213</v>
      </c>
      <c r="B1675" s="2">
        <v>45809</v>
      </c>
    </row>
    <row r="1676" spans="1:3" ht="15" hidden="1" customHeight="1" x14ac:dyDescent="0.3">
      <c r="A1676" t="s">
        <v>213</v>
      </c>
      <c r="B1676" s="2">
        <v>45839</v>
      </c>
    </row>
    <row r="1677" spans="1:3" ht="15" hidden="1" customHeight="1" x14ac:dyDescent="0.3">
      <c r="A1677" t="s">
        <v>213</v>
      </c>
      <c r="B1677" s="2">
        <v>45870</v>
      </c>
      <c r="C1677">
        <v>2845</v>
      </c>
    </row>
    <row r="1678" spans="1:3" ht="15" hidden="1" customHeight="1" x14ac:dyDescent="0.3">
      <c r="A1678" t="s">
        <v>213</v>
      </c>
      <c r="B1678" s="2">
        <v>45901</v>
      </c>
      <c r="C1678">
        <v>7367</v>
      </c>
    </row>
    <row r="1679" spans="1:3" ht="15" hidden="1" customHeight="1" x14ac:dyDescent="0.3">
      <c r="A1679" t="s">
        <v>213</v>
      </c>
      <c r="B1679" s="2">
        <v>45931</v>
      </c>
      <c r="C1679">
        <v>8824</v>
      </c>
    </row>
    <row r="1680" spans="1:3" ht="15" hidden="1" customHeight="1" x14ac:dyDescent="0.3">
      <c r="A1680" t="s">
        <v>213</v>
      </c>
      <c r="B1680" s="2">
        <v>45962</v>
      </c>
      <c r="C1680">
        <v>7686</v>
      </c>
    </row>
    <row r="1681" spans="1:3" ht="15" hidden="1" customHeight="1" x14ac:dyDescent="0.3">
      <c r="A1681" t="s">
        <v>213</v>
      </c>
      <c r="B1681" s="2">
        <v>45992</v>
      </c>
      <c r="C1681">
        <v>9330</v>
      </c>
    </row>
    <row r="1682" spans="1:3" ht="15" hidden="1" customHeight="1" x14ac:dyDescent="0.3">
      <c r="A1682" t="s">
        <v>213</v>
      </c>
      <c r="B1682" s="2">
        <v>46023</v>
      </c>
      <c r="C1682">
        <v>9387</v>
      </c>
    </row>
    <row r="1683" spans="1:3" ht="15" hidden="1" customHeight="1" x14ac:dyDescent="0.3">
      <c r="A1683" t="s">
        <v>213</v>
      </c>
      <c r="B1683" s="2">
        <v>46054</v>
      </c>
      <c r="C1683">
        <v>8600</v>
      </c>
    </row>
    <row r="1684" spans="1:3" ht="15" hidden="1" customHeight="1" x14ac:dyDescent="0.3">
      <c r="A1684" t="s">
        <v>213</v>
      </c>
      <c r="B1684" s="2">
        <v>46082</v>
      </c>
      <c r="C1684">
        <v>6749</v>
      </c>
    </row>
    <row r="1685" spans="1:3" ht="15" hidden="1" customHeight="1" x14ac:dyDescent="0.3">
      <c r="A1685" t="s">
        <v>213</v>
      </c>
      <c r="B1685" s="2">
        <v>46113</v>
      </c>
      <c r="C1685">
        <v>6091.51</v>
      </c>
    </row>
    <row r="1686" spans="1:3" ht="15" hidden="1" customHeight="1" x14ac:dyDescent="0.3">
      <c r="A1686" t="s">
        <v>213</v>
      </c>
      <c r="B1686" s="2">
        <v>46143</v>
      </c>
      <c r="C1686" s="12">
        <v>6169.97</v>
      </c>
    </row>
    <row r="1687" spans="1:3" ht="15" hidden="1" customHeight="1" x14ac:dyDescent="0.3">
      <c r="A1687" t="s">
        <v>149</v>
      </c>
      <c r="B1687" s="2">
        <v>46174</v>
      </c>
      <c r="C1687" s="34">
        <v>5956</v>
      </c>
    </row>
    <row r="1688" spans="1:3" ht="15" customHeight="1" x14ac:dyDescent="0.3">
      <c r="A1688" t="s">
        <v>155</v>
      </c>
      <c r="B1688" s="2">
        <v>46204</v>
      </c>
      <c r="C1688">
        <v>0</v>
      </c>
    </row>
    <row r="1689" spans="1:3" ht="15" hidden="1" customHeight="1" x14ac:dyDescent="0.3">
      <c r="A1689" t="s">
        <v>213</v>
      </c>
      <c r="B1689" s="2">
        <v>46235</v>
      </c>
    </row>
    <row r="1690" spans="1:3" ht="15" hidden="1" customHeight="1" x14ac:dyDescent="0.3">
      <c r="A1690" t="s">
        <v>213</v>
      </c>
      <c r="B1690" s="2">
        <v>46266</v>
      </c>
    </row>
    <row r="1691" spans="1:3" ht="15" hidden="1" customHeight="1" x14ac:dyDescent="0.3">
      <c r="A1691" t="s">
        <v>213</v>
      </c>
      <c r="B1691" s="2">
        <v>46296</v>
      </c>
    </row>
    <row r="1692" spans="1:3" ht="15" hidden="1" customHeight="1" x14ac:dyDescent="0.3">
      <c r="A1692" t="s">
        <v>213</v>
      </c>
      <c r="B1692" s="2">
        <v>46327</v>
      </c>
    </row>
    <row r="1693" spans="1:3" ht="15" hidden="1" customHeight="1" x14ac:dyDescent="0.3">
      <c r="A1693" t="s">
        <v>213</v>
      </c>
      <c r="B1693" s="2">
        <v>46357</v>
      </c>
    </row>
    <row r="1694" spans="1:3" ht="15" hidden="1" customHeight="1" x14ac:dyDescent="0.3">
      <c r="A1694" t="s">
        <v>216</v>
      </c>
      <c r="B1694" s="2">
        <v>45292</v>
      </c>
    </row>
    <row r="1695" spans="1:3" ht="15" hidden="1" customHeight="1" x14ac:dyDescent="0.3">
      <c r="A1695" t="s">
        <v>216</v>
      </c>
      <c r="B1695" s="2">
        <v>45323</v>
      </c>
    </row>
    <row r="1696" spans="1:3" ht="15" hidden="1" customHeight="1" x14ac:dyDescent="0.3">
      <c r="A1696" t="s">
        <v>216</v>
      </c>
      <c r="B1696" s="2">
        <v>45352</v>
      </c>
    </row>
    <row r="1697" spans="1:2" ht="15" hidden="1" customHeight="1" x14ac:dyDescent="0.3">
      <c r="A1697" t="s">
        <v>216</v>
      </c>
      <c r="B1697" s="2">
        <v>45383</v>
      </c>
    </row>
    <row r="1698" spans="1:2" ht="15" hidden="1" customHeight="1" x14ac:dyDescent="0.3">
      <c r="A1698" t="s">
        <v>216</v>
      </c>
      <c r="B1698" s="2">
        <v>45413</v>
      </c>
    </row>
    <row r="1699" spans="1:2" ht="15" hidden="1" customHeight="1" x14ac:dyDescent="0.3">
      <c r="A1699" t="s">
        <v>216</v>
      </c>
      <c r="B1699" s="2">
        <v>45444</v>
      </c>
    </row>
    <row r="1700" spans="1:2" ht="15" hidden="1" customHeight="1" x14ac:dyDescent="0.3">
      <c r="A1700" t="s">
        <v>216</v>
      </c>
      <c r="B1700" s="2">
        <v>45474</v>
      </c>
    </row>
    <row r="1701" spans="1:2" ht="15" hidden="1" customHeight="1" x14ac:dyDescent="0.3">
      <c r="A1701" t="s">
        <v>216</v>
      </c>
      <c r="B1701" s="2">
        <v>45505</v>
      </c>
    </row>
    <row r="1702" spans="1:2" ht="15" hidden="1" customHeight="1" x14ac:dyDescent="0.3">
      <c r="A1702" t="s">
        <v>216</v>
      </c>
      <c r="B1702" s="2">
        <v>45536</v>
      </c>
    </row>
    <row r="1703" spans="1:2" ht="15" hidden="1" customHeight="1" x14ac:dyDescent="0.3">
      <c r="A1703" t="s">
        <v>216</v>
      </c>
      <c r="B1703" s="2">
        <v>45566</v>
      </c>
    </row>
    <row r="1704" spans="1:2" ht="15" hidden="1" customHeight="1" x14ac:dyDescent="0.3">
      <c r="A1704" t="s">
        <v>216</v>
      </c>
      <c r="B1704" s="2">
        <v>45597</v>
      </c>
    </row>
    <row r="1705" spans="1:2" ht="15" hidden="1" customHeight="1" x14ac:dyDescent="0.3">
      <c r="A1705" t="s">
        <v>216</v>
      </c>
      <c r="B1705" s="2">
        <v>45627</v>
      </c>
    </row>
    <row r="1706" spans="1:2" ht="15" hidden="1" customHeight="1" x14ac:dyDescent="0.3">
      <c r="A1706" t="s">
        <v>216</v>
      </c>
      <c r="B1706" s="2">
        <v>45658</v>
      </c>
    </row>
    <row r="1707" spans="1:2" ht="15" hidden="1" customHeight="1" x14ac:dyDescent="0.3">
      <c r="A1707" t="s">
        <v>216</v>
      </c>
      <c r="B1707" s="2">
        <v>45689</v>
      </c>
    </row>
    <row r="1708" spans="1:2" ht="15" hidden="1" customHeight="1" x14ac:dyDescent="0.3">
      <c r="A1708" t="s">
        <v>216</v>
      </c>
      <c r="B1708" s="2">
        <v>45717</v>
      </c>
    </row>
    <row r="1709" spans="1:2" ht="15" hidden="1" customHeight="1" x14ac:dyDescent="0.3">
      <c r="A1709" t="s">
        <v>216</v>
      </c>
      <c r="B1709" s="2">
        <v>45748</v>
      </c>
    </row>
    <row r="1710" spans="1:2" ht="15" hidden="1" customHeight="1" x14ac:dyDescent="0.3">
      <c r="A1710" t="s">
        <v>216</v>
      </c>
      <c r="B1710" s="2">
        <v>45778</v>
      </c>
    </row>
    <row r="1711" spans="1:2" ht="15" hidden="1" customHeight="1" x14ac:dyDescent="0.3">
      <c r="A1711" t="s">
        <v>216</v>
      </c>
      <c r="B1711" s="2">
        <v>45809</v>
      </c>
    </row>
    <row r="1712" spans="1:2" ht="15" hidden="1" customHeight="1" x14ac:dyDescent="0.3">
      <c r="A1712" t="s">
        <v>216</v>
      </c>
      <c r="B1712" s="2">
        <v>45839</v>
      </c>
    </row>
    <row r="1713" spans="1:3" ht="15" hidden="1" customHeight="1" x14ac:dyDescent="0.3">
      <c r="A1713" t="s">
        <v>216</v>
      </c>
      <c r="B1713" s="2">
        <v>45870</v>
      </c>
      <c r="C1713">
        <v>8229</v>
      </c>
    </row>
    <row r="1714" spans="1:3" ht="15" hidden="1" customHeight="1" x14ac:dyDescent="0.3">
      <c r="A1714" t="s">
        <v>216</v>
      </c>
      <c r="B1714" s="2">
        <v>45901</v>
      </c>
      <c r="C1714">
        <v>21334</v>
      </c>
    </row>
    <row r="1715" spans="1:3" ht="15" hidden="1" customHeight="1" x14ac:dyDescent="0.3">
      <c r="A1715" t="s">
        <v>216</v>
      </c>
      <c r="B1715" s="2">
        <v>45931</v>
      </c>
      <c r="C1715">
        <v>26578</v>
      </c>
    </row>
    <row r="1716" spans="1:3" ht="15" hidden="1" customHeight="1" x14ac:dyDescent="0.3">
      <c r="A1716" t="s">
        <v>216</v>
      </c>
      <c r="B1716" s="2">
        <v>45962</v>
      </c>
      <c r="C1716">
        <v>22629</v>
      </c>
    </row>
    <row r="1717" spans="1:3" ht="15" hidden="1" customHeight="1" x14ac:dyDescent="0.3">
      <c r="A1717" t="s">
        <v>216</v>
      </c>
      <c r="B1717" s="2">
        <v>45992</v>
      </c>
      <c r="C1717">
        <v>27791</v>
      </c>
    </row>
    <row r="1718" spans="1:3" ht="15" hidden="1" customHeight="1" x14ac:dyDescent="0.3">
      <c r="A1718" t="s">
        <v>216</v>
      </c>
      <c r="B1718" s="2">
        <v>46023</v>
      </c>
      <c r="C1718">
        <v>27879</v>
      </c>
    </row>
    <row r="1719" spans="1:3" ht="15" hidden="1" customHeight="1" x14ac:dyDescent="0.3">
      <c r="A1719" t="s">
        <v>216</v>
      </c>
      <c r="B1719" s="2">
        <v>46054</v>
      </c>
      <c r="C1719">
        <v>25500</v>
      </c>
    </row>
    <row r="1720" spans="1:3" ht="15" hidden="1" customHeight="1" x14ac:dyDescent="0.3">
      <c r="A1720" t="s">
        <v>216</v>
      </c>
      <c r="B1720" s="2">
        <v>46082</v>
      </c>
      <c r="C1720">
        <v>20753</v>
      </c>
    </row>
    <row r="1721" spans="1:3" ht="15" hidden="1" customHeight="1" x14ac:dyDescent="0.3">
      <c r="A1721" t="s">
        <v>216</v>
      </c>
      <c r="B1721" s="2">
        <v>46113</v>
      </c>
      <c r="C1721">
        <v>18061.39</v>
      </c>
    </row>
    <row r="1722" spans="1:3" ht="15" hidden="1" customHeight="1" x14ac:dyDescent="0.3">
      <c r="A1722" t="s">
        <v>216</v>
      </c>
      <c r="B1722" s="2">
        <v>46143</v>
      </c>
      <c r="C1722" s="12">
        <v>18908.48</v>
      </c>
    </row>
    <row r="1723" spans="1:3" ht="15" hidden="1" customHeight="1" x14ac:dyDescent="0.3">
      <c r="A1723" t="s">
        <v>216</v>
      </c>
      <c r="B1723" s="2">
        <v>46174</v>
      </c>
      <c r="C1723">
        <v>14035.5</v>
      </c>
    </row>
    <row r="1724" spans="1:3" ht="15" customHeight="1" x14ac:dyDescent="0.3">
      <c r="A1724" t="s">
        <v>157</v>
      </c>
      <c r="B1724" s="2">
        <v>46204</v>
      </c>
      <c r="C1724">
        <v>4628</v>
      </c>
    </row>
    <row r="1725" spans="1:3" ht="15" hidden="1" customHeight="1" x14ac:dyDescent="0.3">
      <c r="A1725" t="s">
        <v>216</v>
      </c>
      <c r="B1725" s="2">
        <v>46235</v>
      </c>
    </row>
    <row r="1726" spans="1:3" ht="15" hidden="1" customHeight="1" x14ac:dyDescent="0.3">
      <c r="A1726" t="s">
        <v>216</v>
      </c>
      <c r="B1726" s="2">
        <v>46266</v>
      </c>
    </row>
    <row r="1727" spans="1:3" ht="15" hidden="1" customHeight="1" x14ac:dyDescent="0.3">
      <c r="A1727" t="s">
        <v>216</v>
      </c>
      <c r="B1727" s="2">
        <v>46296</v>
      </c>
    </row>
    <row r="1728" spans="1:3" ht="15" hidden="1" customHeight="1" x14ac:dyDescent="0.3">
      <c r="A1728" t="s">
        <v>216</v>
      </c>
      <c r="B1728" s="2">
        <v>46327</v>
      </c>
    </row>
    <row r="1729" spans="1:2" ht="15" hidden="1" customHeight="1" x14ac:dyDescent="0.3">
      <c r="A1729" t="s">
        <v>216</v>
      </c>
      <c r="B1729" s="2">
        <v>46357</v>
      </c>
    </row>
    <row r="1730" spans="1:2" ht="15" hidden="1" customHeight="1" x14ac:dyDescent="0.3">
      <c r="A1730" t="s">
        <v>218</v>
      </c>
      <c r="B1730" s="2">
        <v>45292</v>
      </c>
    </row>
    <row r="1731" spans="1:2" ht="15" hidden="1" customHeight="1" x14ac:dyDescent="0.3">
      <c r="A1731" t="s">
        <v>218</v>
      </c>
      <c r="B1731" s="2">
        <v>45323</v>
      </c>
    </row>
    <row r="1732" spans="1:2" ht="15" hidden="1" customHeight="1" x14ac:dyDescent="0.3">
      <c r="A1732" t="s">
        <v>218</v>
      </c>
      <c r="B1732" s="2">
        <v>45352</v>
      </c>
    </row>
    <row r="1733" spans="1:2" ht="15" hidden="1" customHeight="1" x14ac:dyDescent="0.3">
      <c r="A1733" t="s">
        <v>218</v>
      </c>
      <c r="B1733" s="2">
        <v>45383</v>
      </c>
    </row>
    <row r="1734" spans="1:2" ht="15" hidden="1" customHeight="1" x14ac:dyDescent="0.3">
      <c r="A1734" t="s">
        <v>218</v>
      </c>
      <c r="B1734" s="2">
        <v>45413</v>
      </c>
    </row>
    <row r="1735" spans="1:2" ht="15" hidden="1" customHeight="1" x14ac:dyDescent="0.3">
      <c r="A1735" t="s">
        <v>218</v>
      </c>
      <c r="B1735" s="2">
        <v>45444</v>
      </c>
    </row>
    <row r="1736" spans="1:2" ht="15" hidden="1" customHeight="1" x14ac:dyDescent="0.3">
      <c r="A1736" t="s">
        <v>218</v>
      </c>
      <c r="B1736" s="2">
        <v>45474</v>
      </c>
    </row>
    <row r="1737" spans="1:2" ht="15" hidden="1" customHeight="1" x14ac:dyDescent="0.3">
      <c r="A1737" t="s">
        <v>218</v>
      </c>
      <c r="B1737" s="2">
        <v>45505</v>
      </c>
    </row>
    <row r="1738" spans="1:2" ht="15" hidden="1" customHeight="1" x14ac:dyDescent="0.3">
      <c r="A1738" t="s">
        <v>218</v>
      </c>
      <c r="B1738" s="2">
        <v>45536</v>
      </c>
    </row>
    <row r="1739" spans="1:2" ht="15" hidden="1" customHeight="1" x14ac:dyDescent="0.3">
      <c r="A1739" t="s">
        <v>218</v>
      </c>
      <c r="B1739" s="2">
        <v>45566</v>
      </c>
    </row>
    <row r="1740" spans="1:2" ht="15" hidden="1" customHeight="1" x14ac:dyDescent="0.3">
      <c r="A1740" t="s">
        <v>218</v>
      </c>
      <c r="B1740" s="2">
        <v>45597</v>
      </c>
    </row>
    <row r="1741" spans="1:2" ht="15" hidden="1" customHeight="1" x14ac:dyDescent="0.3">
      <c r="A1741" t="s">
        <v>218</v>
      </c>
      <c r="B1741" s="2">
        <v>45627</v>
      </c>
    </row>
    <row r="1742" spans="1:2" ht="15" hidden="1" customHeight="1" x14ac:dyDescent="0.3">
      <c r="A1742" t="s">
        <v>218</v>
      </c>
      <c r="B1742" s="2">
        <v>45658</v>
      </c>
    </row>
    <row r="1743" spans="1:2" ht="15" hidden="1" customHeight="1" x14ac:dyDescent="0.3">
      <c r="A1743" t="s">
        <v>218</v>
      </c>
      <c r="B1743" s="2">
        <v>45689</v>
      </c>
    </row>
    <row r="1744" spans="1:2" ht="15" hidden="1" customHeight="1" x14ac:dyDescent="0.3">
      <c r="A1744" t="s">
        <v>218</v>
      </c>
      <c r="B1744" s="2">
        <v>45717</v>
      </c>
    </row>
    <row r="1745" spans="1:3" ht="15" hidden="1" customHeight="1" x14ac:dyDescent="0.3">
      <c r="A1745" t="s">
        <v>218</v>
      </c>
      <c r="B1745" s="2">
        <v>45748</v>
      </c>
    </row>
    <row r="1746" spans="1:3" ht="15" hidden="1" customHeight="1" x14ac:dyDescent="0.3">
      <c r="A1746" t="s">
        <v>218</v>
      </c>
      <c r="B1746" s="2">
        <v>45778</v>
      </c>
    </row>
    <row r="1747" spans="1:3" ht="15" hidden="1" customHeight="1" x14ac:dyDescent="0.3">
      <c r="A1747" t="s">
        <v>218</v>
      </c>
      <c r="B1747" s="2">
        <v>45809</v>
      </c>
    </row>
    <row r="1748" spans="1:3" ht="15" hidden="1" customHeight="1" x14ac:dyDescent="0.3">
      <c r="A1748" t="s">
        <v>218</v>
      </c>
      <c r="B1748" s="2">
        <v>45839</v>
      </c>
    </row>
    <row r="1749" spans="1:3" ht="15" hidden="1" customHeight="1" x14ac:dyDescent="0.3">
      <c r="A1749" t="s">
        <v>218</v>
      </c>
      <c r="B1749" s="2">
        <v>45870</v>
      </c>
      <c r="C1749">
        <v>2512</v>
      </c>
    </row>
    <row r="1750" spans="1:3" ht="15" hidden="1" customHeight="1" x14ac:dyDescent="0.3">
      <c r="A1750" t="s">
        <v>218</v>
      </c>
      <c r="B1750" s="2">
        <v>45901</v>
      </c>
      <c r="C1750">
        <v>7570</v>
      </c>
    </row>
    <row r="1751" spans="1:3" ht="15" hidden="1" customHeight="1" x14ac:dyDescent="0.3">
      <c r="A1751" t="s">
        <v>218</v>
      </c>
      <c r="B1751" s="2">
        <v>45931</v>
      </c>
      <c r="C1751">
        <v>8856</v>
      </c>
    </row>
    <row r="1752" spans="1:3" ht="15" hidden="1" customHeight="1" x14ac:dyDescent="0.3">
      <c r="A1752" t="s">
        <v>218</v>
      </c>
      <c r="B1752" s="2">
        <v>45962</v>
      </c>
      <c r="C1752">
        <v>7508</v>
      </c>
    </row>
    <row r="1753" spans="1:3" ht="15" hidden="1" customHeight="1" x14ac:dyDescent="0.3">
      <c r="A1753" t="s">
        <v>218</v>
      </c>
      <c r="B1753" s="2">
        <v>45992</v>
      </c>
      <c r="C1753">
        <v>9313</v>
      </c>
    </row>
    <row r="1754" spans="1:3" ht="15" hidden="1" customHeight="1" x14ac:dyDescent="0.3">
      <c r="A1754" t="s">
        <v>218</v>
      </c>
      <c r="B1754" s="2">
        <v>46023</v>
      </c>
      <c r="C1754">
        <v>9484</v>
      </c>
    </row>
    <row r="1755" spans="1:3" ht="15" hidden="1" customHeight="1" x14ac:dyDescent="0.3">
      <c r="A1755" t="s">
        <v>218</v>
      </c>
      <c r="B1755" s="2">
        <v>46054</v>
      </c>
      <c r="C1755">
        <v>8425.7999999999993</v>
      </c>
    </row>
    <row r="1756" spans="1:3" ht="15" hidden="1" customHeight="1" x14ac:dyDescent="0.3">
      <c r="A1756" t="s">
        <v>218</v>
      </c>
      <c r="B1756" s="2">
        <v>46082</v>
      </c>
      <c r="C1756">
        <v>7083</v>
      </c>
    </row>
    <row r="1757" spans="1:3" ht="15" hidden="1" customHeight="1" x14ac:dyDescent="0.3">
      <c r="A1757" t="s">
        <v>218</v>
      </c>
      <c r="B1757" s="2">
        <v>46113</v>
      </c>
      <c r="C1757">
        <v>6207.8</v>
      </c>
    </row>
    <row r="1758" spans="1:3" ht="15" hidden="1" customHeight="1" x14ac:dyDescent="0.3">
      <c r="A1758" t="s">
        <v>218</v>
      </c>
      <c r="B1758" s="2">
        <v>46143</v>
      </c>
      <c r="C1758" s="12">
        <v>6478.04</v>
      </c>
    </row>
    <row r="1759" spans="1:3" ht="15" hidden="1" customHeight="1" x14ac:dyDescent="0.3">
      <c r="A1759" t="s">
        <v>160</v>
      </c>
      <c r="B1759" s="2">
        <v>46174</v>
      </c>
      <c r="C1759">
        <v>13699</v>
      </c>
    </row>
    <row r="1760" spans="1:3" ht="15" customHeight="1" x14ac:dyDescent="0.3">
      <c r="A1760" t="s">
        <v>160</v>
      </c>
      <c r="B1760" s="2">
        <v>46204</v>
      </c>
      <c r="C1760">
        <v>16691</v>
      </c>
    </row>
    <row r="1761" spans="1:3" ht="15" hidden="1" customHeight="1" x14ac:dyDescent="0.3">
      <c r="A1761" t="s">
        <v>218</v>
      </c>
      <c r="B1761" s="2">
        <v>46235</v>
      </c>
    </row>
    <row r="1762" spans="1:3" ht="15" hidden="1" customHeight="1" x14ac:dyDescent="0.3">
      <c r="A1762" t="s">
        <v>218</v>
      </c>
      <c r="B1762" s="2">
        <v>46266</v>
      </c>
    </row>
    <row r="1763" spans="1:3" ht="15" hidden="1" customHeight="1" x14ac:dyDescent="0.3">
      <c r="A1763" t="s">
        <v>218</v>
      </c>
      <c r="B1763" s="2">
        <v>46296</v>
      </c>
    </row>
    <row r="1764" spans="1:3" ht="15" hidden="1" customHeight="1" x14ac:dyDescent="0.3">
      <c r="A1764" t="s">
        <v>218</v>
      </c>
      <c r="B1764" s="2">
        <v>46327</v>
      </c>
    </row>
    <row r="1765" spans="1:3" ht="15" hidden="1" customHeight="1" x14ac:dyDescent="0.3">
      <c r="A1765" t="s">
        <v>218</v>
      </c>
      <c r="B1765" s="2">
        <v>46357</v>
      </c>
    </row>
    <row r="1766" spans="1:3" ht="15" hidden="1" customHeight="1" x14ac:dyDescent="0.3">
      <c r="A1766" t="s">
        <v>163</v>
      </c>
      <c r="B1766" s="2">
        <v>45292</v>
      </c>
      <c r="C1766">
        <v>1720</v>
      </c>
    </row>
    <row r="1767" spans="1:3" ht="15" hidden="1" customHeight="1" x14ac:dyDescent="0.3">
      <c r="A1767" t="s">
        <v>163</v>
      </c>
      <c r="B1767" s="2">
        <v>45323</v>
      </c>
      <c r="C1767">
        <v>1864</v>
      </c>
    </row>
    <row r="1768" spans="1:3" ht="15" hidden="1" customHeight="1" x14ac:dyDescent="0.3">
      <c r="A1768" t="s">
        <v>163</v>
      </c>
      <c r="B1768" s="2">
        <v>45352</v>
      </c>
      <c r="C1768">
        <v>2167</v>
      </c>
    </row>
    <row r="1769" spans="1:3" ht="15" hidden="1" customHeight="1" x14ac:dyDescent="0.3">
      <c r="A1769" t="s">
        <v>163</v>
      </c>
      <c r="B1769" s="2">
        <v>45383</v>
      </c>
      <c r="C1769">
        <v>1409</v>
      </c>
    </row>
    <row r="1770" spans="1:3" ht="15" hidden="1" customHeight="1" x14ac:dyDescent="0.3">
      <c r="A1770" t="s">
        <v>163</v>
      </c>
      <c r="B1770" s="2">
        <v>45413</v>
      </c>
      <c r="C1770">
        <v>1672</v>
      </c>
    </row>
    <row r="1771" spans="1:3" ht="15" hidden="1" customHeight="1" x14ac:dyDescent="0.3">
      <c r="A1771" t="s">
        <v>163</v>
      </c>
      <c r="B1771" s="2">
        <v>45444</v>
      </c>
      <c r="C1771">
        <v>1125</v>
      </c>
    </row>
    <row r="1772" spans="1:3" ht="15" hidden="1" customHeight="1" x14ac:dyDescent="0.3">
      <c r="A1772" t="s">
        <v>163</v>
      </c>
      <c r="B1772" s="2">
        <v>45474</v>
      </c>
      <c r="C1772">
        <v>2628</v>
      </c>
    </row>
    <row r="1773" spans="1:3" ht="15" hidden="1" customHeight="1" x14ac:dyDescent="0.3">
      <c r="A1773" t="s">
        <v>163</v>
      </c>
      <c r="B1773" s="2">
        <v>45505</v>
      </c>
      <c r="C1773">
        <v>794</v>
      </c>
    </row>
    <row r="1774" spans="1:3" ht="15" hidden="1" customHeight="1" x14ac:dyDescent="0.3">
      <c r="A1774" t="s">
        <v>163</v>
      </c>
      <c r="B1774" s="2">
        <v>45536</v>
      </c>
      <c r="C1774">
        <v>1822</v>
      </c>
    </row>
    <row r="1775" spans="1:3" ht="15" hidden="1" customHeight="1" x14ac:dyDescent="0.3">
      <c r="A1775" t="s">
        <v>163</v>
      </c>
      <c r="B1775" s="2">
        <v>45566</v>
      </c>
      <c r="C1775">
        <v>2044</v>
      </c>
    </row>
    <row r="1776" spans="1:3" ht="15" hidden="1" customHeight="1" x14ac:dyDescent="0.3">
      <c r="A1776" t="s">
        <v>163</v>
      </c>
      <c r="B1776" s="2">
        <v>45597</v>
      </c>
      <c r="C1776">
        <v>1984</v>
      </c>
    </row>
    <row r="1777" spans="1:3" ht="15" hidden="1" customHeight="1" x14ac:dyDescent="0.3">
      <c r="A1777" t="s">
        <v>163</v>
      </c>
      <c r="B1777" s="2">
        <v>45627</v>
      </c>
      <c r="C1777">
        <v>1687</v>
      </c>
    </row>
    <row r="1778" spans="1:3" ht="15" hidden="1" customHeight="1" x14ac:dyDescent="0.3">
      <c r="A1778" t="s">
        <v>163</v>
      </c>
      <c r="B1778" s="2">
        <v>45658</v>
      </c>
      <c r="C1778">
        <v>2354</v>
      </c>
    </row>
    <row r="1779" spans="1:3" ht="15" hidden="1" customHeight="1" x14ac:dyDescent="0.3">
      <c r="A1779" t="s">
        <v>163</v>
      </c>
      <c r="B1779" s="2">
        <v>45689</v>
      </c>
      <c r="C1779">
        <v>1728</v>
      </c>
    </row>
    <row r="1780" spans="1:3" ht="15" hidden="1" customHeight="1" x14ac:dyDescent="0.3">
      <c r="A1780" t="s">
        <v>163</v>
      </c>
      <c r="B1780" s="2">
        <v>45717</v>
      </c>
      <c r="C1780">
        <v>1704</v>
      </c>
    </row>
    <row r="1781" spans="1:3" ht="15" hidden="1" customHeight="1" x14ac:dyDescent="0.3">
      <c r="A1781" t="s">
        <v>163</v>
      </c>
      <c r="B1781" s="2">
        <v>45748</v>
      </c>
      <c r="C1781">
        <v>1518</v>
      </c>
    </row>
    <row r="1782" spans="1:3" ht="15" hidden="1" customHeight="1" x14ac:dyDescent="0.3">
      <c r="A1782" t="s">
        <v>163</v>
      </c>
      <c r="B1782" s="2">
        <v>45778</v>
      </c>
      <c r="C1782">
        <v>2450</v>
      </c>
    </row>
    <row r="1783" spans="1:3" ht="15" hidden="1" customHeight="1" x14ac:dyDescent="0.3">
      <c r="A1783" t="s">
        <v>163</v>
      </c>
      <c r="B1783" s="2">
        <v>45809</v>
      </c>
      <c r="C1783">
        <v>2470.27</v>
      </c>
    </row>
    <row r="1784" spans="1:3" ht="15" hidden="1" customHeight="1" x14ac:dyDescent="0.3">
      <c r="A1784" t="s">
        <v>163</v>
      </c>
      <c r="B1784" s="2">
        <v>45839</v>
      </c>
      <c r="C1784">
        <v>2714</v>
      </c>
    </row>
    <row r="1785" spans="1:3" ht="15" hidden="1" customHeight="1" x14ac:dyDescent="0.3">
      <c r="A1785" t="s">
        <v>163</v>
      </c>
      <c r="B1785" s="2">
        <v>45870</v>
      </c>
      <c r="C1785">
        <v>2694</v>
      </c>
    </row>
    <row r="1786" spans="1:3" ht="15" hidden="1" customHeight="1" x14ac:dyDescent="0.3">
      <c r="A1786" t="s">
        <v>163</v>
      </c>
      <c r="B1786" s="2">
        <v>45901</v>
      </c>
      <c r="C1786">
        <v>1488</v>
      </c>
    </row>
    <row r="1787" spans="1:3" ht="15" hidden="1" customHeight="1" x14ac:dyDescent="0.3">
      <c r="A1787" t="s">
        <v>163</v>
      </c>
      <c r="B1787" s="2">
        <v>45931</v>
      </c>
      <c r="C1787">
        <v>380</v>
      </c>
    </row>
    <row r="1788" spans="1:3" ht="15" hidden="1" customHeight="1" x14ac:dyDescent="0.3">
      <c r="A1788" t="s">
        <v>163</v>
      </c>
      <c r="B1788" s="2">
        <v>45962</v>
      </c>
    </row>
    <row r="1789" spans="1:3" ht="15" hidden="1" customHeight="1" x14ac:dyDescent="0.3">
      <c r="A1789" t="s">
        <v>163</v>
      </c>
      <c r="B1789" s="2">
        <v>45992</v>
      </c>
    </row>
    <row r="1790" spans="1:3" ht="15" hidden="1" customHeight="1" x14ac:dyDescent="0.3">
      <c r="A1790" t="s">
        <v>163</v>
      </c>
      <c r="B1790" s="2">
        <v>46023</v>
      </c>
    </row>
    <row r="1791" spans="1:3" ht="15" hidden="1" customHeight="1" x14ac:dyDescent="0.3">
      <c r="A1791" t="s">
        <v>163</v>
      </c>
      <c r="B1791" s="2">
        <v>46054</v>
      </c>
    </row>
    <row r="1792" spans="1:3" ht="15" hidden="1" customHeight="1" x14ac:dyDescent="0.3">
      <c r="A1792" t="s">
        <v>163</v>
      </c>
      <c r="B1792" s="2">
        <v>46082</v>
      </c>
    </row>
    <row r="1793" spans="1:3" ht="15" hidden="1" customHeight="1" x14ac:dyDescent="0.3">
      <c r="A1793" t="s">
        <v>163</v>
      </c>
      <c r="B1793" s="2">
        <v>46113</v>
      </c>
    </row>
    <row r="1794" spans="1:3" ht="15" hidden="1" customHeight="1" x14ac:dyDescent="0.3">
      <c r="A1794" t="s">
        <v>163</v>
      </c>
      <c r="B1794" s="2">
        <v>46143</v>
      </c>
    </row>
    <row r="1795" spans="1:3" ht="15" hidden="1" customHeight="1" x14ac:dyDescent="0.3">
      <c r="A1795" t="s">
        <v>163</v>
      </c>
      <c r="B1795" s="2">
        <v>46174</v>
      </c>
    </row>
    <row r="1796" spans="1:3" ht="15" customHeight="1" x14ac:dyDescent="0.3">
      <c r="A1796" t="s">
        <v>244</v>
      </c>
      <c r="B1796" s="2">
        <v>46204</v>
      </c>
      <c r="C1796">
        <v>10570</v>
      </c>
    </row>
    <row r="1797" spans="1:3" ht="15" hidden="1" customHeight="1" x14ac:dyDescent="0.3">
      <c r="A1797" t="s">
        <v>163</v>
      </c>
      <c r="B1797" s="2">
        <v>46235</v>
      </c>
    </row>
    <row r="1798" spans="1:3" ht="15" hidden="1" customHeight="1" x14ac:dyDescent="0.3">
      <c r="A1798" t="s">
        <v>163</v>
      </c>
      <c r="B1798" s="2">
        <v>46266</v>
      </c>
    </row>
    <row r="1799" spans="1:3" ht="15" hidden="1" customHeight="1" x14ac:dyDescent="0.3">
      <c r="A1799" t="s">
        <v>163</v>
      </c>
      <c r="B1799" s="2">
        <v>46296</v>
      </c>
    </row>
    <row r="1800" spans="1:3" ht="15" hidden="1" customHeight="1" x14ac:dyDescent="0.3">
      <c r="A1800" t="s">
        <v>163</v>
      </c>
      <c r="B1800" s="2">
        <v>46327</v>
      </c>
    </row>
    <row r="1801" spans="1:3" ht="15" hidden="1" customHeight="1" x14ac:dyDescent="0.3">
      <c r="A1801" t="s">
        <v>163</v>
      </c>
      <c r="B1801" s="2">
        <v>46357</v>
      </c>
    </row>
    <row r="1802" spans="1:3" ht="15" hidden="1" customHeight="1" x14ac:dyDescent="0.3">
      <c r="A1802" t="s">
        <v>166</v>
      </c>
      <c r="B1802" s="2">
        <v>45292</v>
      </c>
      <c r="C1802">
        <v>17948</v>
      </c>
    </row>
    <row r="1803" spans="1:3" ht="15" hidden="1" customHeight="1" x14ac:dyDescent="0.3">
      <c r="A1803" t="s">
        <v>166</v>
      </c>
      <c r="B1803" s="2">
        <v>45323</v>
      </c>
      <c r="C1803">
        <v>16954</v>
      </c>
    </row>
    <row r="1804" spans="1:3" ht="15" hidden="1" customHeight="1" x14ac:dyDescent="0.3">
      <c r="A1804" t="s">
        <v>166</v>
      </c>
      <c r="B1804" s="2">
        <v>45352</v>
      </c>
      <c r="C1804">
        <v>16498</v>
      </c>
    </row>
    <row r="1805" spans="1:3" ht="15" hidden="1" customHeight="1" x14ac:dyDescent="0.3">
      <c r="A1805" t="s">
        <v>166</v>
      </c>
      <c r="B1805" s="2">
        <v>45383</v>
      </c>
      <c r="C1805">
        <v>13514</v>
      </c>
    </row>
    <row r="1806" spans="1:3" ht="15" hidden="1" customHeight="1" x14ac:dyDescent="0.3">
      <c r="A1806" t="s">
        <v>166</v>
      </c>
      <c r="B1806" s="2">
        <v>45413</v>
      </c>
      <c r="C1806">
        <v>13524</v>
      </c>
    </row>
    <row r="1807" spans="1:3" ht="15" hidden="1" customHeight="1" x14ac:dyDescent="0.3">
      <c r="A1807" t="s">
        <v>166</v>
      </c>
      <c r="B1807" s="2">
        <v>45444</v>
      </c>
      <c r="C1807">
        <v>11348</v>
      </c>
    </row>
    <row r="1808" spans="1:3" ht="15" hidden="1" customHeight="1" x14ac:dyDescent="0.3">
      <c r="A1808" t="s">
        <v>166</v>
      </c>
      <c r="B1808" s="2">
        <v>45474</v>
      </c>
      <c r="C1808">
        <v>12215</v>
      </c>
    </row>
    <row r="1809" spans="1:3" ht="15" hidden="1" customHeight="1" x14ac:dyDescent="0.3">
      <c r="A1809" t="s">
        <v>166</v>
      </c>
      <c r="B1809" s="2">
        <v>45505</v>
      </c>
      <c r="C1809">
        <v>12637</v>
      </c>
    </row>
    <row r="1810" spans="1:3" ht="15" hidden="1" customHeight="1" x14ac:dyDescent="0.3">
      <c r="A1810" t="s">
        <v>166</v>
      </c>
      <c r="B1810" s="2">
        <v>45536</v>
      </c>
      <c r="C1810">
        <v>12990</v>
      </c>
    </row>
    <row r="1811" spans="1:3" ht="15" hidden="1" customHeight="1" x14ac:dyDescent="0.3">
      <c r="A1811" t="s">
        <v>166</v>
      </c>
      <c r="B1811" s="2">
        <v>45566</v>
      </c>
      <c r="C1811">
        <v>10518</v>
      </c>
    </row>
    <row r="1812" spans="1:3" ht="15" hidden="1" customHeight="1" x14ac:dyDescent="0.3">
      <c r="A1812" t="s">
        <v>166</v>
      </c>
      <c r="B1812" s="2">
        <v>45597</v>
      </c>
      <c r="C1812">
        <v>5878</v>
      </c>
    </row>
    <row r="1813" spans="1:3" ht="15" hidden="1" customHeight="1" x14ac:dyDescent="0.3">
      <c r="A1813" t="s">
        <v>166</v>
      </c>
      <c r="B1813" s="2">
        <v>45627</v>
      </c>
      <c r="C1813">
        <v>17496</v>
      </c>
    </row>
    <row r="1814" spans="1:3" ht="15" hidden="1" customHeight="1" x14ac:dyDescent="0.3">
      <c r="A1814" t="s">
        <v>166</v>
      </c>
      <c r="B1814" s="2">
        <v>45658</v>
      </c>
      <c r="C1814">
        <v>16026</v>
      </c>
    </row>
    <row r="1815" spans="1:3" ht="15" hidden="1" customHeight="1" x14ac:dyDescent="0.3">
      <c r="A1815" t="s">
        <v>166</v>
      </c>
      <c r="B1815" s="2">
        <v>45689</v>
      </c>
      <c r="C1815">
        <v>13689</v>
      </c>
    </row>
    <row r="1816" spans="1:3" ht="15" hidden="1" customHeight="1" x14ac:dyDescent="0.3">
      <c r="A1816" t="s">
        <v>166</v>
      </c>
      <c r="B1816" s="2">
        <v>45717</v>
      </c>
      <c r="C1816">
        <v>11995</v>
      </c>
    </row>
    <row r="1817" spans="1:3" ht="15" hidden="1" customHeight="1" x14ac:dyDescent="0.3">
      <c r="A1817" t="s">
        <v>166</v>
      </c>
      <c r="B1817" s="2">
        <v>45748</v>
      </c>
      <c r="C1817">
        <v>6680</v>
      </c>
    </row>
    <row r="1818" spans="1:3" ht="15" hidden="1" customHeight="1" x14ac:dyDescent="0.3">
      <c r="A1818" t="s">
        <v>166</v>
      </c>
      <c r="B1818" s="2">
        <v>45778</v>
      </c>
      <c r="C1818">
        <v>11933</v>
      </c>
    </row>
    <row r="1819" spans="1:3" ht="15" hidden="1" customHeight="1" x14ac:dyDescent="0.3">
      <c r="A1819" t="s">
        <v>166</v>
      </c>
      <c r="B1819" s="2">
        <v>45809</v>
      </c>
      <c r="C1819">
        <v>9797.26</v>
      </c>
    </row>
    <row r="1820" spans="1:3" ht="15" hidden="1" customHeight="1" x14ac:dyDescent="0.3">
      <c r="A1820" t="s">
        <v>166</v>
      </c>
      <c r="B1820" s="2">
        <v>45839</v>
      </c>
      <c r="C1820">
        <v>9134.4</v>
      </c>
    </row>
    <row r="1821" spans="1:3" ht="15" hidden="1" customHeight="1" x14ac:dyDescent="0.3">
      <c r="A1821" t="s">
        <v>166</v>
      </c>
      <c r="B1821" s="2">
        <v>45870</v>
      </c>
      <c r="C1821">
        <v>15551</v>
      </c>
    </row>
    <row r="1822" spans="1:3" ht="15" hidden="1" customHeight="1" x14ac:dyDescent="0.3">
      <c r="A1822" t="s">
        <v>166</v>
      </c>
      <c r="B1822" s="2">
        <v>45901</v>
      </c>
      <c r="C1822">
        <v>14894</v>
      </c>
    </row>
    <row r="1823" spans="1:3" ht="15" hidden="1" customHeight="1" x14ac:dyDescent="0.3">
      <c r="A1823" t="s">
        <v>166</v>
      </c>
      <c r="B1823" s="2">
        <v>45931</v>
      </c>
      <c r="C1823">
        <v>17167</v>
      </c>
    </row>
    <row r="1824" spans="1:3" ht="15" hidden="1" customHeight="1" x14ac:dyDescent="0.3">
      <c r="A1824" t="s">
        <v>166</v>
      </c>
      <c r="B1824" s="2">
        <v>45962</v>
      </c>
      <c r="C1824">
        <v>14437</v>
      </c>
    </row>
    <row r="1825" spans="1:3" ht="15" hidden="1" customHeight="1" x14ac:dyDescent="0.3">
      <c r="A1825" t="s">
        <v>166</v>
      </c>
      <c r="B1825" s="2">
        <v>45992</v>
      </c>
      <c r="C1825">
        <v>14721</v>
      </c>
    </row>
    <row r="1826" spans="1:3" ht="15" hidden="1" customHeight="1" x14ac:dyDescent="0.3">
      <c r="A1826" t="s">
        <v>166</v>
      </c>
      <c r="B1826" s="2">
        <v>46023</v>
      </c>
      <c r="C1826">
        <v>16129</v>
      </c>
    </row>
    <row r="1827" spans="1:3" ht="15" hidden="1" customHeight="1" x14ac:dyDescent="0.3">
      <c r="A1827" t="s">
        <v>166</v>
      </c>
      <c r="B1827" s="2">
        <v>46054</v>
      </c>
      <c r="C1827">
        <v>15901</v>
      </c>
    </row>
    <row r="1828" spans="1:3" ht="15" hidden="1" customHeight="1" x14ac:dyDescent="0.3">
      <c r="A1828" t="s">
        <v>166</v>
      </c>
      <c r="B1828" s="2">
        <v>46082</v>
      </c>
      <c r="C1828">
        <v>13942</v>
      </c>
    </row>
    <row r="1829" spans="1:3" ht="15" hidden="1" customHeight="1" x14ac:dyDescent="0.3">
      <c r="A1829" t="s">
        <v>166</v>
      </c>
      <c r="B1829" s="2">
        <v>46113</v>
      </c>
      <c r="C1829">
        <v>12240.56</v>
      </c>
    </row>
    <row r="1830" spans="1:3" ht="15" hidden="1" customHeight="1" x14ac:dyDescent="0.3">
      <c r="A1830" t="s">
        <v>166</v>
      </c>
      <c r="B1830" s="2">
        <v>46143</v>
      </c>
      <c r="C1830" s="12">
        <v>12352.61</v>
      </c>
    </row>
    <row r="1831" spans="1:3" ht="15" hidden="1" customHeight="1" x14ac:dyDescent="0.3">
      <c r="A1831" t="s">
        <v>166</v>
      </c>
      <c r="B1831" s="2">
        <v>46174</v>
      </c>
      <c r="C1831">
        <v>11089</v>
      </c>
    </row>
    <row r="1832" spans="1:3" ht="15" customHeight="1" x14ac:dyDescent="0.3">
      <c r="A1832" t="s">
        <v>163</v>
      </c>
      <c r="B1832" s="2">
        <v>46204</v>
      </c>
      <c r="C1832">
        <v>0</v>
      </c>
    </row>
    <row r="1833" spans="1:3" ht="15" hidden="1" customHeight="1" x14ac:dyDescent="0.3">
      <c r="A1833" t="s">
        <v>166</v>
      </c>
      <c r="B1833" s="2">
        <v>46235</v>
      </c>
    </row>
    <row r="1834" spans="1:3" ht="15" hidden="1" customHeight="1" x14ac:dyDescent="0.3">
      <c r="A1834" t="s">
        <v>166</v>
      </c>
      <c r="B1834" s="2">
        <v>46266</v>
      </c>
    </row>
    <row r="1835" spans="1:3" ht="15" hidden="1" customHeight="1" x14ac:dyDescent="0.3">
      <c r="A1835" t="s">
        <v>166</v>
      </c>
      <c r="B1835" s="2">
        <v>46296</v>
      </c>
    </row>
    <row r="1836" spans="1:3" ht="15" hidden="1" customHeight="1" x14ac:dyDescent="0.3">
      <c r="A1836" t="s">
        <v>166</v>
      </c>
      <c r="B1836" s="2">
        <v>46327</v>
      </c>
    </row>
    <row r="1837" spans="1:3" ht="15" hidden="1" customHeight="1" x14ac:dyDescent="0.3">
      <c r="A1837" t="s">
        <v>166</v>
      </c>
      <c r="B1837" s="2">
        <v>46357</v>
      </c>
    </row>
    <row r="1838" spans="1:3" ht="15" hidden="1" customHeight="1" x14ac:dyDescent="0.3">
      <c r="A1838" t="s">
        <v>169</v>
      </c>
      <c r="B1838" s="2">
        <v>45292</v>
      </c>
      <c r="C1838">
        <v>1424</v>
      </c>
    </row>
    <row r="1839" spans="1:3" ht="15" hidden="1" customHeight="1" x14ac:dyDescent="0.3">
      <c r="A1839" t="s">
        <v>169</v>
      </c>
      <c r="B1839" s="2">
        <v>45323</v>
      </c>
      <c r="C1839">
        <v>1471</v>
      </c>
    </row>
    <row r="1840" spans="1:3" ht="15" hidden="1" customHeight="1" x14ac:dyDescent="0.3">
      <c r="A1840" t="s">
        <v>169</v>
      </c>
      <c r="B1840" s="2">
        <v>45352</v>
      </c>
      <c r="C1840">
        <v>1705</v>
      </c>
    </row>
    <row r="1841" spans="1:3" ht="15" hidden="1" customHeight="1" x14ac:dyDescent="0.3">
      <c r="A1841" t="s">
        <v>169</v>
      </c>
      <c r="B1841" s="2">
        <v>45383</v>
      </c>
      <c r="C1841">
        <v>1306</v>
      </c>
    </row>
    <row r="1842" spans="1:3" ht="15" hidden="1" customHeight="1" x14ac:dyDescent="0.3">
      <c r="A1842" t="s">
        <v>169</v>
      </c>
      <c r="B1842" s="2">
        <v>45413</v>
      </c>
      <c r="C1842">
        <v>856</v>
      </c>
    </row>
    <row r="1843" spans="1:3" ht="15" hidden="1" customHeight="1" x14ac:dyDescent="0.3">
      <c r="A1843" t="s">
        <v>169</v>
      </c>
      <c r="B1843" s="2">
        <v>45444</v>
      </c>
      <c r="C1843">
        <v>1086</v>
      </c>
    </row>
    <row r="1844" spans="1:3" ht="15" hidden="1" customHeight="1" x14ac:dyDescent="0.3">
      <c r="A1844" t="s">
        <v>169</v>
      </c>
      <c r="B1844" s="2">
        <v>45474</v>
      </c>
      <c r="C1844">
        <v>1232</v>
      </c>
    </row>
    <row r="1845" spans="1:3" ht="15" hidden="1" customHeight="1" x14ac:dyDescent="0.3">
      <c r="A1845" t="s">
        <v>169</v>
      </c>
      <c r="B1845" s="2">
        <v>45505</v>
      </c>
      <c r="C1845">
        <v>1007</v>
      </c>
    </row>
    <row r="1846" spans="1:3" ht="15" hidden="1" customHeight="1" x14ac:dyDescent="0.3">
      <c r="A1846" t="s">
        <v>169</v>
      </c>
      <c r="B1846" s="2">
        <v>45536</v>
      </c>
      <c r="C1846">
        <v>1218</v>
      </c>
    </row>
    <row r="1847" spans="1:3" ht="15" hidden="1" customHeight="1" x14ac:dyDescent="0.3">
      <c r="A1847" t="s">
        <v>169</v>
      </c>
      <c r="B1847" s="2">
        <v>45566</v>
      </c>
      <c r="C1847">
        <v>1389</v>
      </c>
    </row>
    <row r="1848" spans="1:3" ht="15" hidden="1" customHeight="1" x14ac:dyDescent="0.3">
      <c r="A1848" t="s">
        <v>169</v>
      </c>
      <c r="B1848" s="2">
        <v>45597</v>
      </c>
      <c r="C1848">
        <v>1731</v>
      </c>
    </row>
    <row r="1849" spans="1:3" ht="15" hidden="1" customHeight="1" x14ac:dyDescent="0.3">
      <c r="A1849" t="s">
        <v>169</v>
      </c>
      <c r="B1849" s="2">
        <v>45627</v>
      </c>
      <c r="C1849">
        <v>1418</v>
      </c>
    </row>
    <row r="1850" spans="1:3" ht="15" hidden="1" customHeight="1" x14ac:dyDescent="0.3">
      <c r="A1850" t="s">
        <v>169</v>
      </c>
      <c r="B1850" s="2">
        <v>45658</v>
      </c>
      <c r="C1850">
        <v>1493</v>
      </c>
    </row>
    <row r="1851" spans="1:3" ht="15" hidden="1" customHeight="1" x14ac:dyDescent="0.3">
      <c r="A1851" t="s">
        <v>169</v>
      </c>
      <c r="B1851" s="2">
        <v>45689</v>
      </c>
      <c r="C1851">
        <v>1368.9</v>
      </c>
    </row>
    <row r="1852" spans="1:3" ht="15" hidden="1" customHeight="1" x14ac:dyDescent="0.3">
      <c r="A1852" t="s">
        <v>169</v>
      </c>
      <c r="B1852" s="2">
        <v>45717</v>
      </c>
      <c r="C1852">
        <v>960</v>
      </c>
    </row>
    <row r="1853" spans="1:3" ht="15" hidden="1" customHeight="1" x14ac:dyDescent="0.3">
      <c r="A1853" t="s">
        <v>169</v>
      </c>
      <c r="B1853" s="2">
        <v>45748</v>
      </c>
      <c r="C1853">
        <v>694</v>
      </c>
    </row>
    <row r="1854" spans="1:3" ht="15" hidden="1" customHeight="1" x14ac:dyDescent="0.3">
      <c r="A1854" t="s">
        <v>169</v>
      </c>
      <c r="B1854" s="2">
        <v>45778</v>
      </c>
      <c r="C1854">
        <v>580</v>
      </c>
    </row>
    <row r="1855" spans="1:3" ht="15" hidden="1" customHeight="1" x14ac:dyDescent="0.3">
      <c r="A1855" t="s">
        <v>169</v>
      </c>
      <c r="B1855" s="2">
        <v>45809</v>
      </c>
      <c r="C1855">
        <v>449.2</v>
      </c>
    </row>
    <row r="1856" spans="1:3" ht="15" hidden="1" customHeight="1" x14ac:dyDescent="0.3">
      <c r="A1856" t="s">
        <v>169</v>
      </c>
      <c r="B1856" s="2">
        <v>45839</v>
      </c>
      <c r="C1856">
        <v>575</v>
      </c>
    </row>
    <row r="1857" spans="1:3" ht="15" hidden="1" customHeight="1" x14ac:dyDescent="0.3">
      <c r="A1857" t="s">
        <v>169</v>
      </c>
      <c r="B1857" s="2">
        <v>45870</v>
      </c>
      <c r="C1857">
        <v>1437</v>
      </c>
    </row>
    <row r="1858" spans="1:3" ht="15" hidden="1" customHeight="1" x14ac:dyDescent="0.3">
      <c r="A1858" t="s">
        <v>169</v>
      </c>
      <c r="B1858" s="2">
        <v>45901</v>
      </c>
      <c r="C1858">
        <v>1257</v>
      </c>
    </row>
    <row r="1859" spans="1:3" ht="15" hidden="1" customHeight="1" x14ac:dyDescent="0.3">
      <c r="A1859" t="s">
        <v>169</v>
      </c>
      <c r="B1859" s="2">
        <v>45931</v>
      </c>
      <c r="C1859">
        <v>1616</v>
      </c>
    </row>
    <row r="1860" spans="1:3" ht="15" hidden="1" customHeight="1" x14ac:dyDescent="0.3">
      <c r="A1860" t="s">
        <v>169</v>
      </c>
      <c r="B1860" s="2">
        <v>45962</v>
      </c>
      <c r="C1860">
        <v>1463</v>
      </c>
    </row>
    <row r="1861" spans="1:3" ht="15" hidden="1" customHeight="1" x14ac:dyDescent="0.3">
      <c r="A1861" t="s">
        <v>169</v>
      </c>
      <c r="B1861" s="2">
        <v>45992</v>
      </c>
      <c r="C1861">
        <v>1836</v>
      </c>
    </row>
    <row r="1862" spans="1:3" ht="15" hidden="1" customHeight="1" x14ac:dyDescent="0.3">
      <c r="A1862" t="s">
        <v>169</v>
      </c>
      <c r="B1862" s="2">
        <v>46023</v>
      </c>
      <c r="C1862">
        <v>1637</v>
      </c>
    </row>
    <row r="1863" spans="1:3" ht="15" hidden="1" customHeight="1" x14ac:dyDescent="0.3">
      <c r="A1863" t="s">
        <v>169</v>
      </c>
      <c r="B1863" s="2">
        <v>46054</v>
      </c>
      <c r="C1863">
        <v>1801</v>
      </c>
    </row>
    <row r="1864" spans="1:3" ht="15" hidden="1" customHeight="1" x14ac:dyDescent="0.3">
      <c r="A1864" t="s">
        <v>169</v>
      </c>
      <c r="B1864" s="2">
        <v>46082</v>
      </c>
      <c r="C1864">
        <v>1516</v>
      </c>
    </row>
    <row r="1865" spans="1:3" ht="15" hidden="1" customHeight="1" x14ac:dyDescent="0.3">
      <c r="A1865" t="s">
        <v>169</v>
      </c>
      <c r="B1865" s="2">
        <v>46113</v>
      </c>
      <c r="C1865">
        <v>1353.29</v>
      </c>
    </row>
    <row r="1866" spans="1:3" ht="15" hidden="1" customHeight="1" x14ac:dyDescent="0.3">
      <c r="A1866" t="s">
        <v>169</v>
      </c>
      <c r="B1866" s="2">
        <v>46143</v>
      </c>
      <c r="C1866" s="12">
        <v>1302.0899999999999</v>
      </c>
    </row>
    <row r="1867" spans="1:3" ht="15" hidden="1" customHeight="1" x14ac:dyDescent="0.3">
      <c r="A1867" t="s">
        <v>169</v>
      </c>
      <c r="B1867" s="2">
        <v>46174</v>
      </c>
      <c r="C1867">
        <v>1100</v>
      </c>
    </row>
    <row r="1868" spans="1:3" ht="15" customHeight="1" x14ac:dyDescent="0.3">
      <c r="A1868" t="s">
        <v>166</v>
      </c>
      <c r="B1868" s="2">
        <v>46204</v>
      </c>
      <c r="C1868">
        <v>12059</v>
      </c>
    </row>
    <row r="1869" spans="1:3" ht="15" hidden="1" customHeight="1" x14ac:dyDescent="0.3">
      <c r="A1869" t="s">
        <v>169</v>
      </c>
      <c r="B1869" s="2">
        <v>46235</v>
      </c>
    </row>
    <row r="1870" spans="1:3" ht="15" hidden="1" customHeight="1" x14ac:dyDescent="0.3">
      <c r="A1870" t="s">
        <v>169</v>
      </c>
      <c r="B1870" s="2">
        <v>46266</v>
      </c>
    </row>
    <row r="1871" spans="1:3" ht="15" hidden="1" customHeight="1" x14ac:dyDescent="0.3">
      <c r="A1871" t="s">
        <v>169</v>
      </c>
      <c r="B1871" s="2">
        <v>46296</v>
      </c>
    </row>
    <row r="1872" spans="1:3" ht="15" hidden="1" customHeight="1" x14ac:dyDescent="0.3">
      <c r="A1872" t="s">
        <v>169</v>
      </c>
      <c r="B1872" s="2">
        <v>46327</v>
      </c>
    </row>
    <row r="1873" spans="1:3" ht="15" hidden="1" customHeight="1" x14ac:dyDescent="0.3">
      <c r="A1873" t="s">
        <v>169</v>
      </c>
      <c r="B1873" s="2">
        <v>46357</v>
      </c>
    </row>
    <row r="1874" spans="1:3" ht="15" hidden="1" customHeight="1" x14ac:dyDescent="0.3">
      <c r="A1874" t="s">
        <v>171</v>
      </c>
      <c r="B1874" s="2">
        <v>45292</v>
      </c>
      <c r="C1874">
        <v>8341</v>
      </c>
    </row>
    <row r="1875" spans="1:3" ht="15" hidden="1" customHeight="1" x14ac:dyDescent="0.3">
      <c r="A1875" t="s">
        <v>171</v>
      </c>
      <c r="B1875" s="2">
        <v>45323</v>
      </c>
      <c r="C1875">
        <v>8056</v>
      </c>
    </row>
    <row r="1876" spans="1:3" ht="15" hidden="1" customHeight="1" x14ac:dyDescent="0.3">
      <c r="A1876" t="s">
        <v>171</v>
      </c>
      <c r="B1876" s="2">
        <v>45352</v>
      </c>
      <c r="C1876">
        <v>7588</v>
      </c>
    </row>
    <row r="1877" spans="1:3" ht="15" hidden="1" customHeight="1" x14ac:dyDescent="0.3">
      <c r="A1877" t="s">
        <v>171</v>
      </c>
      <c r="B1877" s="2">
        <v>45383</v>
      </c>
      <c r="C1877">
        <v>6746</v>
      </c>
    </row>
    <row r="1878" spans="1:3" ht="15" hidden="1" customHeight="1" x14ac:dyDescent="0.3">
      <c r="A1878" t="s">
        <v>171</v>
      </c>
      <c r="B1878" s="2">
        <v>45413</v>
      </c>
      <c r="C1878">
        <v>6595</v>
      </c>
    </row>
    <row r="1879" spans="1:3" ht="15" hidden="1" customHeight="1" x14ac:dyDescent="0.3">
      <c r="A1879" t="s">
        <v>171</v>
      </c>
      <c r="B1879" s="2">
        <v>45444</v>
      </c>
      <c r="C1879">
        <v>5221</v>
      </c>
    </row>
    <row r="1880" spans="1:3" ht="15" hidden="1" customHeight="1" x14ac:dyDescent="0.3">
      <c r="A1880" t="s">
        <v>171</v>
      </c>
      <c r="B1880" s="2">
        <v>45474</v>
      </c>
      <c r="C1880">
        <v>6498</v>
      </c>
    </row>
    <row r="1881" spans="1:3" ht="15" hidden="1" customHeight="1" x14ac:dyDescent="0.3">
      <c r="A1881" t="s">
        <v>171</v>
      </c>
      <c r="B1881" s="2">
        <v>45505</v>
      </c>
      <c r="C1881">
        <v>6727</v>
      </c>
    </row>
    <row r="1882" spans="1:3" ht="15" hidden="1" customHeight="1" x14ac:dyDescent="0.3">
      <c r="A1882" t="s">
        <v>171</v>
      </c>
      <c r="B1882" s="2">
        <v>45536</v>
      </c>
      <c r="C1882">
        <v>5408</v>
      </c>
    </row>
    <row r="1883" spans="1:3" ht="15" hidden="1" customHeight="1" x14ac:dyDescent="0.3">
      <c r="A1883" t="s">
        <v>171</v>
      </c>
      <c r="B1883" s="2">
        <v>45566</v>
      </c>
      <c r="C1883">
        <v>8018</v>
      </c>
    </row>
    <row r="1884" spans="1:3" ht="15" hidden="1" customHeight="1" x14ac:dyDescent="0.3">
      <c r="A1884" t="s">
        <v>171</v>
      </c>
      <c r="B1884" s="2">
        <v>45597</v>
      </c>
      <c r="C1884">
        <v>7818</v>
      </c>
    </row>
    <row r="1885" spans="1:3" ht="15" hidden="1" customHeight="1" x14ac:dyDescent="0.3">
      <c r="A1885" t="s">
        <v>171</v>
      </c>
      <c r="B1885" s="2">
        <v>45627</v>
      </c>
      <c r="C1885">
        <v>9041</v>
      </c>
    </row>
    <row r="1886" spans="1:3" ht="15" hidden="1" customHeight="1" x14ac:dyDescent="0.3">
      <c r="A1886" t="s">
        <v>171</v>
      </c>
      <c r="B1886" s="2">
        <v>45658</v>
      </c>
      <c r="C1886">
        <v>9601</v>
      </c>
    </row>
    <row r="1887" spans="1:3" ht="15" hidden="1" customHeight="1" x14ac:dyDescent="0.3">
      <c r="A1887" t="s">
        <v>171</v>
      </c>
      <c r="B1887" s="2">
        <v>45689</v>
      </c>
      <c r="C1887">
        <v>7317</v>
      </c>
    </row>
    <row r="1888" spans="1:3" ht="15" hidden="1" customHeight="1" x14ac:dyDescent="0.3">
      <c r="A1888" t="s">
        <v>171</v>
      </c>
      <c r="B1888" s="2">
        <v>45717</v>
      </c>
      <c r="C1888">
        <v>8211</v>
      </c>
    </row>
    <row r="1889" spans="1:3" ht="15" hidden="1" customHeight="1" x14ac:dyDescent="0.3">
      <c r="A1889" t="s">
        <v>171</v>
      </c>
      <c r="B1889" s="2">
        <v>45748</v>
      </c>
      <c r="C1889">
        <v>6924</v>
      </c>
    </row>
    <row r="1890" spans="1:3" ht="15" hidden="1" customHeight="1" x14ac:dyDescent="0.3">
      <c r="A1890" t="s">
        <v>171</v>
      </c>
      <c r="B1890" s="2">
        <v>45778</v>
      </c>
      <c r="C1890">
        <v>7428</v>
      </c>
    </row>
    <row r="1891" spans="1:3" ht="15" hidden="1" customHeight="1" x14ac:dyDescent="0.3">
      <c r="A1891" t="s">
        <v>171</v>
      </c>
      <c r="B1891" s="2">
        <v>45809</v>
      </c>
      <c r="C1891">
        <v>7026.25</v>
      </c>
    </row>
    <row r="1892" spans="1:3" ht="15" hidden="1" customHeight="1" x14ac:dyDescent="0.3">
      <c r="A1892" t="s">
        <v>171</v>
      </c>
      <c r="B1892" s="2">
        <v>45839</v>
      </c>
      <c r="C1892">
        <v>7318</v>
      </c>
    </row>
    <row r="1893" spans="1:3" ht="15" hidden="1" customHeight="1" x14ac:dyDescent="0.3">
      <c r="A1893" t="s">
        <v>171</v>
      </c>
      <c r="B1893" s="2">
        <v>45870</v>
      </c>
      <c r="C1893">
        <v>7873</v>
      </c>
    </row>
    <row r="1894" spans="1:3" ht="15" hidden="1" customHeight="1" x14ac:dyDescent="0.3">
      <c r="A1894" t="s">
        <v>171</v>
      </c>
      <c r="B1894" s="2">
        <v>45901</v>
      </c>
      <c r="C1894">
        <v>6985</v>
      </c>
    </row>
    <row r="1895" spans="1:3" ht="15" hidden="1" customHeight="1" x14ac:dyDescent="0.3">
      <c r="A1895" t="s">
        <v>171</v>
      </c>
      <c r="B1895" s="2">
        <v>45931</v>
      </c>
      <c r="C1895">
        <v>9680.31</v>
      </c>
    </row>
    <row r="1896" spans="1:3" ht="15" hidden="1" customHeight="1" x14ac:dyDescent="0.3">
      <c r="A1896" t="s">
        <v>171</v>
      </c>
      <c r="B1896" s="2">
        <v>45962</v>
      </c>
      <c r="C1896">
        <v>11102</v>
      </c>
    </row>
    <row r="1897" spans="1:3" ht="15" hidden="1" customHeight="1" x14ac:dyDescent="0.3">
      <c r="A1897" t="s">
        <v>171</v>
      </c>
      <c r="B1897" s="2">
        <v>45992</v>
      </c>
      <c r="C1897">
        <v>11384</v>
      </c>
    </row>
    <row r="1898" spans="1:3" ht="15" hidden="1" customHeight="1" x14ac:dyDescent="0.3">
      <c r="A1898" t="s">
        <v>171</v>
      </c>
      <c r="B1898" s="2">
        <v>46023</v>
      </c>
      <c r="C1898">
        <v>12215</v>
      </c>
    </row>
    <row r="1899" spans="1:3" ht="15" hidden="1" customHeight="1" x14ac:dyDescent="0.3">
      <c r="A1899" t="s">
        <v>171</v>
      </c>
      <c r="B1899" s="2">
        <v>46054</v>
      </c>
      <c r="C1899">
        <v>11691</v>
      </c>
    </row>
    <row r="1900" spans="1:3" ht="15" hidden="1" customHeight="1" x14ac:dyDescent="0.3">
      <c r="A1900" t="s">
        <v>171</v>
      </c>
      <c r="B1900" s="2">
        <v>46082</v>
      </c>
      <c r="C1900">
        <v>10159</v>
      </c>
    </row>
    <row r="1901" spans="1:3" ht="15" hidden="1" customHeight="1" x14ac:dyDescent="0.3">
      <c r="A1901" t="s">
        <v>171</v>
      </c>
      <c r="B1901" s="2">
        <v>46113</v>
      </c>
      <c r="C1901">
        <v>8032.01</v>
      </c>
    </row>
    <row r="1902" spans="1:3" ht="15" hidden="1" customHeight="1" x14ac:dyDescent="0.3">
      <c r="A1902" t="s">
        <v>171</v>
      </c>
      <c r="B1902" s="2">
        <v>46143</v>
      </c>
      <c r="C1902" s="12">
        <v>7738.42</v>
      </c>
    </row>
    <row r="1903" spans="1:3" ht="15" hidden="1" customHeight="1" x14ac:dyDescent="0.3">
      <c r="A1903" t="s">
        <v>171</v>
      </c>
      <c r="B1903" s="2">
        <v>46174</v>
      </c>
      <c r="C1903">
        <v>6442</v>
      </c>
    </row>
    <row r="1904" spans="1:3" ht="15" customHeight="1" x14ac:dyDescent="0.3">
      <c r="A1904" t="s">
        <v>169</v>
      </c>
      <c r="B1904" s="2">
        <v>46204</v>
      </c>
      <c r="C1904">
        <v>1098</v>
      </c>
    </row>
    <row r="1905" spans="1:3" ht="15" hidden="1" customHeight="1" x14ac:dyDescent="0.3">
      <c r="A1905" t="s">
        <v>171</v>
      </c>
      <c r="B1905" s="2">
        <v>46235</v>
      </c>
    </row>
    <row r="1906" spans="1:3" ht="15" hidden="1" customHeight="1" x14ac:dyDescent="0.3">
      <c r="A1906" t="s">
        <v>171</v>
      </c>
      <c r="B1906" s="2">
        <v>46266</v>
      </c>
    </row>
    <row r="1907" spans="1:3" ht="15" hidden="1" customHeight="1" x14ac:dyDescent="0.3">
      <c r="A1907" t="s">
        <v>171</v>
      </c>
      <c r="B1907" s="2">
        <v>46296</v>
      </c>
    </row>
    <row r="1908" spans="1:3" ht="15" hidden="1" customHeight="1" x14ac:dyDescent="0.3">
      <c r="A1908" t="s">
        <v>171</v>
      </c>
      <c r="B1908" s="2">
        <v>46327</v>
      </c>
    </row>
    <row r="1909" spans="1:3" ht="15" hidden="1" customHeight="1" x14ac:dyDescent="0.3">
      <c r="A1909" t="s">
        <v>171</v>
      </c>
      <c r="B1909" s="2">
        <v>46357</v>
      </c>
    </row>
    <row r="1910" spans="1:3" ht="15" hidden="1" customHeight="1" x14ac:dyDescent="0.3">
      <c r="A1910" t="s">
        <v>172</v>
      </c>
      <c r="B1910" s="2">
        <v>45292</v>
      </c>
      <c r="C1910">
        <v>11804</v>
      </c>
    </row>
    <row r="1911" spans="1:3" ht="15" hidden="1" customHeight="1" x14ac:dyDescent="0.3">
      <c r="A1911" t="s">
        <v>172</v>
      </c>
      <c r="B1911" s="2">
        <v>45323</v>
      </c>
      <c r="C1911">
        <v>9158</v>
      </c>
    </row>
    <row r="1912" spans="1:3" ht="15" hidden="1" customHeight="1" x14ac:dyDescent="0.3">
      <c r="A1912" t="s">
        <v>172</v>
      </c>
      <c r="B1912" s="2">
        <v>45352</v>
      </c>
      <c r="C1912">
        <v>9784</v>
      </c>
    </row>
    <row r="1913" spans="1:3" ht="15" hidden="1" customHeight="1" x14ac:dyDescent="0.3">
      <c r="A1913" t="s">
        <v>172</v>
      </c>
      <c r="B1913" s="2">
        <v>45383</v>
      </c>
      <c r="C1913">
        <v>7858</v>
      </c>
    </row>
    <row r="1914" spans="1:3" ht="15" hidden="1" customHeight="1" x14ac:dyDescent="0.3">
      <c r="A1914" t="s">
        <v>172</v>
      </c>
      <c r="B1914" s="2">
        <v>45413</v>
      </c>
      <c r="C1914">
        <v>7246</v>
      </c>
    </row>
    <row r="1915" spans="1:3" ht="15" hidden="1" customHeight="1" x14ac:dyDescent="0.3">
      <c r="A1915" t="s">
        <v>172</v>
      </c>
      <c r="B1915" s="2">
        <v>45444</v>
      </c>
      <c r="C1915">
        <v>6127</v>
      </c>
    </row>
    <row r="1916" spans="1:3" ht="15" hidden="1" customHeight="1" x14ac:dyDescent="0.3">
      <c r="A1916" t="s">
        <v>172</v>
      </c>
      <c r="B1916" s="2">
        <v>45474</v>
      </c>
      <c r="C1916">
        <v>8521</v>
      </c>
    </row>
    <row r="1917" spans="1:3" ht="15" hidden="1" customHeight="1" x14ac:dyDescent="0.3">
      <c r="A1917" t="s">
        <v>172</v>
      </c>
      <c r="B1917" s="2">
        <v>45505</v>
      </c>
      <c r="C1917">
        <v>9050</v>
      </c>
    </row>
    <row r="1918" spans="1:3" ht="15" hidden="1" customHeight="1" x14ac:dyDescent="0.3">
      <c r="A1918" t="s">
        <v>172</v>
      </c>
      <c r="B1918" s="2">
        <v>45536</v>
      </c>
      <c r="C1918">
        <v>8302</v>
      </c>
    </row>
    <row r="1919" spans="1:3" ht="15" hidden="1" customHeight="1" x14ac:dyDescent="0.3">
      <c r="A1919" t="s">
        <v>172</v>
      </c>
      <c r="B1919" s="2">
        <v>45566</v>
      </c>
      <c r="C1919">
        <v>11290</v>
      </c>
    </row>
    <row r="1920" spans="1:3" ht="15" hidden="1" customHeight="1" x14ac:dyDescent="0.3">
      <c r="A1920" t="s">
        <v>172</v>
      </c>
      <c r="B1920" s="2">
        <v>45597</v>
      </c>
      <c r="C1920">
        <v>10513</v>
      </c>
    </row>
    <row r="1921" spans="1:3" ht="15" hidden="1" customHeight="1" x14ac:dyDescent="0.3">
      <c r="A1921" t="s">
        <v>172</v>
      </c>
      <c r="B1921" s="2">
        <v>45627</v>
      </c>
      <c r="C1921">
        <v>11507</v>
      </c>
    </row>
    <row r="1922" spans="1:3" ht="15" hidden="1" customHeight="1" x14ac:dyDescent="0.3">
      <c r="A1922" t="s">
        <v>172</v>
      </c>
      <c r="B1922" s="2">
        <v>45658</v>
      </c>
      <c r="C1922">
        <v>11679</v>
      </c>
    </row>
    <row r="1923" spans="1:3" ht="15" hidden="1" customHeight="1" x14ac:dyDescent="0.3">
      <c r="A1923" t="s">
        <v>172</v>
      </c>
      <c r="B1923" s="2">
        <v>45689</v>
      </c>
      <c r="C1923">
        <v>7567</v>
      </c>
    </row>
    <row r="1924" spans="1:3" ht="15" hidden="1" customHeight="1" x14ac:dyDescent="0.3">
      <c r="A1924" t="s">
        <v>172</v>
      </c>
      <c r="B1924" s="2">
        <v>45717</v>
      </c>
      <c r="C1924">
        <v>9564</v>
      </c>
    </row>
    <row r="1925" spans="1:3" ht="15" hidden="1" customHeight="1" x14ac:dyDescent="0.3">
      <c r="A1925" t="s">
        <v>172</v>
      </c>
      <c r="B1925" s="2">
        <v>45748</v>
      </c>
      <c r="C1925">
        <v>6957</v>
      </c>
    </row>
    <row r="1926" spans="1:3" ht="15" hidden="1" customHeight="1" x14ac:dyDescent="0.3">
      <c r="A1926" t="s">
        <v>172</v>
      </c>
      <c r="B1926" s="2">
        <v>45778</v>
      </c>
      <c r="C1926">
        <v>7705</v>
      </c>
    </row>
    <row r="1927" spans="1:3" ht="15" hidden="1" customHeight="1" x14ac:dyDescent="0.3">
      <c r="A1927" t="s">
        <v>172</v>
      </c>
      <c r="B1927" s="2">
        <v>45809</v>
      </c>
      <c r="C1927">
        <v>6515.6</v>
      </c>
    </row>
    <row r="1928" spans="1:3" ht="15" hidden="1" customHeight="1" x14ac:dyDescent="0.3">
      <c r="A1928" t="s">
        <v>172</v>
      </c>
      <c r="B1928" s="2">
        <v>45839</v>
      </c>
      <c r="C1928">
        <v>7651</v>
      </c>
    </row>
    <row r="1929" spans="1:3" ht="15" hidden="1" customHeight="1" x14ac:dyDescent="0.3">
      <c r="A1929" t="s">
        <v>172</v>
      </c>
      <c r="B1929" s="2">
        <v>45870</v>
      </c>
      <c r="C1929">
        <v>8548</v>
      </c>
    </row>
    <row r="1930" spans="1:3" ht="15" hidden="1" customHeight="1" x14ac:dyDescent="0.3">
      <c r="A1930" t="s">
        <v>172</v>
      </c>
      <c r="B1930" s="2">
        <v>45901</v>
      </c>
      <c r="C1930">
        <v>7542</v>
      </c>
    </row>
    <row r="1931" spans="1:3" ht="15" hidden="1" customHeight="1" x14ac:dyDescent="0.3">
      <c r="A1931" t="s">
        <v>172</v>
      </c>
      <c r="B1931" s="2">
        <v>45931</v>
      </c>
      <c r="C1931">
        <v>10186</v>
      </c>
    </row>
    <row r="1932" spans="1:3" ht="15" hidden="1" customHeight="1" x14ac:dyDescent="0.3">
      <c r="A1932" t="s">
        <v>172</v>
      </c>
      <c r="B1932" s="2">
        <v>45962</v>
      </c>
      <c r="C1932">
        <v>10802</v>
      </c>
    </row>
    <row r="1933" spans="1:3" ht="15" hidden="1" customHeight="1" x14ac:dyDescent="0.3">
      <c r="A1933" t="s">
        <v>172</v>
      </c>
      <c r="B1933" s="2">
        <v>45992</v>
      </c>
      <c r="C1933">
        <v>11033</v>
      </c>
    </row>
    <row r="1934" spans="1:3" ht="15" hidden="1" customHeight="1" x14ac:dyDescent="0.3">
      <c r="A1934" t="s">
        <v>172</v>
      </c>
      <c r="B1934" s="2">
        <v>46023</v>
      </c>
      <c r="C1934">
        <v>7790</v>
      </c>
    </row>
    <row r="1935" spans="1:3" ht="15" hidden="1" customHeight="1" x14ac:dyDescent="0.3">
      <c r="A1935" t="s">
        <v>172</v>
      </c>
      <c r="B1935" s="2">
        <v>46054</v>
      </c>
      <c r="C1935">
        <v>5171.0646999999999</v>
      </c>
    </row>
    <row r="1936" spans="1:3" ht="15" hidden="1" customHeight="1" x14ac:dyDescent="0.3">
      <c r="A1936" t="s">
        <v>172</v>
      </c>
      <c r="B1936" s="2">
        <v>46082</v>
      </c>
      <c r="C1936">
        <v>8153.5</v>
      </c>
    </row>
    <row r="1937" spans="1:3" ht="15" hidden="1" customHeight="1" x14ac:dyDescent="0.3">
      <c r="A1937" t="s">
        <v>172</v>
      </c>
      <c r="B1937" s="2">
        <v>46113</v>
      </c>
      <c r="C1937">
        <v>7873.17</v>
      </c>
    </row>
    <row r="1938" spans="1:3" ht="15" hidden="1" customHeight="1" x14ac:dyDescent="0.3">
      <c r="A1938" t="s">
        <v>172</v>
      </c>
      <c r="B1938" s="2">
        <v>46143</v>
      </c>
      <c r="C1938" s="12">
        <v>7767.8</v>
      </c>
    </row>
    <row r="1939" spans="1:3" ht="15" hidden="1" customHeight="1" x14ac:dyDescent="0.3">
      <c r="A1939" t="s">
        <v>172</v>
      </c>
      <c r="B1939" s="2">
        <v>46174</v>
      </c>
      <c r="C1939">
        <v>7190.68</v>
      </c>
    </row>
    <row r="1940" spans="1:3" ht="15" customHeight="1" x14ac:dyDescent="0.3">
      <c r="A1940" t="s">
        <v>171</v>
      </c>
      <c r="B1940" s="2">
        <v>46204</v>
      </c>
      <c r="C1940">
        <v>6823</v>
      </c>
    </row>
    <row r="1941" spans="1:3" ht="15" hidden="1" customHeight="1" x14ac:dyDescent="0.3">
      <c r="A1941" t="s">
        <v>172</v>
      </c>
      <c r="B1941" s="2">
        <v>46235</v>
      </c>
    </row>
    <row r="1942" spans="1:3" ht="15" hidden="1" customHeight="1" x14ac:dyDescent="0.3">
      <c r="A1942" t="s">
        <v>172</v>
      </c>
      <c r="B1942" s="2">
        <v>46266</v>
      </c>
    </row>
    <row r="1943" spans="1:3" ht="15" hidden="1" customHeight="1" x14ac:dyDescent="0.3">
      <c r="A1943" t="s">
        <v>172</v>
      </c>
      <c r="B1943" s="2">
        <v>46296</v>
      </c>
    </row>
    <row r="1944" spans="1:3" ht="15" hidden="1" customHeight="1" x14ac:dyDescent="0.3">
      <c r="A1944" t="s">
        <v>172</v>
      </c>
      <c r="B1944" s="2">
        <v>46327</v>
      </c>
    </row>
    <row r="1945" spans="1:3" ht="15" hidden="1" customHeight="1" x14ac:dyDescent="0.3">
      <c r="A1945" t="s">
        <v>172</v>
      </c>
      <c r="B1945" s="2">
        <v>46357</v>
      </c>
    </row>
    <row r="1946" spans="1:3" ht="15" hidden="1" customHeight="1" x14ac:dyDescent="0.3">
      <c r="A1946" t="s">
        <v>177</v>
      </c>
      <c r="B1946" s="2">
        <v>45292</v>
      </c>
      <c r="C1946">
        <v>4297</v>
      </c>
    </row>
    <row r="1947" spans="1:3" ht="15" hidden="1" customHeight="1" x14ac:dyDescent="0.3">
      <c r="A1947" t="s">
        <v>177</v>
      </c>
      <c r="B1947" s="2">
        <v>45323</v>
      </c>
      <c r="C1947">
        <v>4176</v>
      </c>
    </row>
    <row r="1948" spans="1:3" ht="15" hidden="1" customHeight="1" x14ac:dyDescent="0.3">
      <c r="A1948" t="s">
        <v>177</v>
      </c>
      <c r="B1948" s="2">
        <v>45352</v>
      </c>
      <c r="C1948">
        <v>4682</v>
      </c>
    </row>
    <row r="1949" spans="1:3" ht="15" hidden="1" customHeight="1" x14ac:dyDescent="0.3">
      <c r="A1949" t="s">
        <v>177</v>
      </c>
      <c r="B1949" s="2">
        <v>45383</v>
      </c>
      <c r="C1949">
        <v>3965</v>
      </c>
    </row>
    <row r="1950" spans="1:3" ht="15" hidden="1" customHeight="1" x14ac:dyDescent="0.3">
      <c r="A1950" t="s">
        <v>177</v>
      </c>
      <c r="B1950" s="2">
        <v>45413</v>
      </c>
      <c r="C1950">
        <v>3760</v>
      </c>
    </row>
    <row r="1951" spans="1:3" ht="15" hidden="1" customHeight="1" x14ac:dyDescent="0.3">
      <c r="A1951" t="s">
        <v>177</v>
      </c>
      <c r="B1951" s="2">
        <v>45444</v>
      </c>
      <c r="C1951">
        <v>3240</v>
      </c>
    </row>
    <row r="1952" spans="1:3" ht="15" hidden="1" customHeight="1" x14ac:dyDescent="0.3">
      <c r="A1952" t="s">
        <v>177</v>
      </c>
      <c r="B1952" s="2">
        <v>45474</v>
      </c>
      <c r="C1952">
        <v>3836</v>
      </c>
    </row>
    <row r="1953" spans="1:3" ht="15" hidden="1" customHeight="1" x14ac:dyDescent="0.3">
      <c r="A1953" t="s">
        <v>177</v>
      </c>
      <c r="B1953" s="2">
        <v>45505</v>
      </c>
      <c r="C1953">
        <v>3915</v>
      </c>
    </row>
    <row r="1954" spans="1:3" ht="15" hidden="1" customHeight="1" x14ac:dyDescent="0.3">
      <c r="A1954" t="s">
        <v>177</v>
      </c>
      <c r="B1954" s="2">
        <v>45536</v>
      </c>
      <c r="C1954">
        <v>3746</v>
      </c>
    </row>
    <row r="1955" spans="1:3" ht="15" hidden="1" customHeight="1" x14ac:dyDescent="0.3">
      <c r="A1955" t="s">
        <v>177</v>
      </c>
      <c r="B1955" s="2">
        <v>45566</v>
      </c>
      <c r="C1955">
        <v>3449</v>
      </c>
    </row>
    <row r="1956" spans="1:3" ht="15" hidden="1" customHeight="1" x14ac:dyDescent="0.3">
      <c r="A1956" t="s">
        <v>177</v>
      </c>
      <c r="B1956" s="2">
        <v>45597</v>
      </c>
      <c r="C1956">
        <v>4630</v>
      </c>
    </row>
    <row r="1957" spans="1:3" ht="15" hidden="1" customHeight="1" x14ac:dyDescent="0.3">
      <c r="A1957" t="s">
        <v>177</v>
      </c>
      <c r="B1957" s="2">
        <v>45627</v>
      </c>
      <c r="C1957">
        <v>5059</v>
      </c>
    </row>
    <row r="1958" spans="1:3" ht="15" hidden="1" customHeight="1" x14ac:dyDescent="0.3">
      <c r="A1958" t="s">
        <v>177</v>
      </c>
      <c r="B1958" s="2">
        <v>45658</v>
      </c>
      <c r="C1958">
        <v>4475</v>
      </c>
    </row>
    <row r="1959" spans="1:3" ht="15" hidden="1" customHeight="1" x14ac:dyDescent="0.3">
      <c r="A1959" t="s">
        <v>177</v>
      </c>
      <c r="B1959" s="2">
        <v>45689</v>
      </c>
      <c r="C1959">
        <v>3651</v>
      </c>
    </row>
    <row r="1960" spans="1:3" ht="15" hidden="1" customHeight="1" x14ac:dyDescent="0.3">
      <c r="A1960" t="s">
        <v>177</v>
      </c>
      <c r="B1960" s="2">
        <v>45717</v>
      </c>
      <c r="C1960">
        <v>3912</v>
      </c>
    </row>
    <row r="1961" spans="1:3" ht="15" hidden="1" customHeight="1" x14ac:dyDescent="0.3">
      <c r="A1961" t="s">
        <v>177</v>
      </c>
      <c r="B1961" s="2">
        <v>45748</v>
      </c>
      <c r="C1961">
        <v>3361</v>
      </c>
    </row>
    <row r="1962" spans="1:3" ht="15" hidden="1" customHeight="1" x14ac:dyDescent="0.3">
      <c r="A1962" t="s">
        <v>177</v>
      </c>
      <c r="B1962" s="2">
        <v>45778</v>
      </c>
      <c r="C1962">
        <v>3626</v>
      </c>
    </row>
    <row r="1963" spans="1:3" ht="15" hidden="1" customHeight="1" x14ac:dyDescent="0.3">
      <c r="A1963" t="s">
        <v>177</v>
      </c>
      <c r="B1963" s="2">
        <v>45809</v>
      </c>
      <c r="C1963">
        <v>3199.19</v>
      </c>
    </row>
    <row r="1964" spans="1:3" ht="15" hidden="1" customHeight="1" x14ac:dyDescent="0.3">
      <c r="A1964" t="s">
        <v>177</v>
      </c>
      <c r="B1964" s="2">
        <v>45839</v>
      </c>
      <c r="C1964">
        <v>3303</v>
      </c>
    </row>
    <row r="1965" spans="1:3" ht="15" hidden="1" customHeight="1" x14ac:dyDescent="0.3">
      <c r="A1965" t="s">
        <v>177</v>
      </c>
      <c r="B1965" s="2">
        <v>45870</v>
      </c>
      <c r="C1965">
        <v>3882</v>
      </c>
    </row>
    <row r="1966" spans="1:3" ht="15" hidden="1" customHeight="1" x14ac:dyDescent="0.3">
      <c r="A1966" t="s">
        <v>177</v>
      </c>
      <c r="B1966" s="2">
        <v>45901</v>
      </c>
      <c r="C1966">
        <v>4064</v>
      </c>
    </row>
    <row r="1967" spans="1:3" ht="15" hidden="1" customHeight="1" x14ac:dyDescent="0.3">
      <c r="A1967" t="s">
        <v>177</v>
      </c>
      <c r="B1967" s="2">
        <v>45931</v>
      </c>
      <c r="C1967">
        <v>4609</v>
      </c>
    </row>
    <row r="1968" spans="1:3" ht="15" hidden="1" customHeight="1" x14ac:dyDescent="0.3">
      <c r="A1968" t="s">
        <v>177</v>
      </c>
      <c r="B1968" s="2">
        <v>45962</v>
      </c>
      <c r="C1968">
        <v>3681</v>
      </c>
    </row>
    <row r="1969" spans="1:3" ht="15" hidden="1" customHeight="1" x14ac:dyDescent="0.3">
      <c r="A1969" t="s">
        <v>177</v>
      </c>
      <c r="B1969" s="2">
        <v>45992</v>
      </c>
      <c r="C1969">
        <v>1203</v>
      </c>
    </row>
    <row r="1970" spans="1:3" ht="15" hidden="1" customHeight="1" x14ac:dyDescent="0.3">
      <c r="A1970" t="s">
        <v>177</v>
      </c>
      <c r="B1970" s="2">
        <v>46023</v>
      </c>
      <c r="C1970">
        <v>3014</v>
      </c>
    </row>
    <row r="1971" spans="1:3" ht="15" hidden="1" customHeight="1" x14ac:dyDescent="0.3">
      <c r="A1971" t="s">
        <v>177</v>
      </c>
      <c r="B1971" s="2">
        <v>46054</v>
      </c>
      <c r="C1971">
        <v>4641.05</v>
      </c>
    </row>
    <row r="1972" spans="1:3" ht="15" hidden="1" customHeight="1" x14ac:dyDescent="0.3">
      <c r="A1972" t="s">
        <v>177</v>
      </c>
      <c r="B1972" s="2">
        <v>46082</v>
      </c>
      <c r="C1972">
        <v>3756</v>
      </c>
    </row>
    <row r="1973" spans="1:3" ht="15" hidden="1" customHeight="1" x14ac:dyDescent="0.3">
      <c r="A1973" t="s">
        <v>177</v>
      </c>
      <c r="B1973" s="2">
        <v>46113</v>
      </c>
      <c r="C1973">
        <v>3294.1</v>
      </c>
    </row>
    <row r="1974" spans="1:3" ht="15" hidden="1" customHeight="1" x14ac:dyDescent="0.3">
      <c r="A1974" t="s">
        <v>177</v>
      </c>
      <c r="B1974" s="2">
        <v>46143</v>
      </c>
      <c r="C1974" s="12">
        <v>3420.82</v>
      </c>
    </row>
    <row r="1975" spans="1:3" ht="15" hidden="1" customHeight="1" x14ac:dyDescent="0.3">
      <c r="A1975" t="s">
        <v>177</v>
      </c>
      <c r="B1975" s="2">
        <v>46174</v>
      </c>
      <c r="C1975">
        <v>2882</v>
      </c>
    </row>
    <row r="1976" spans="1:3" ht="15" customHeight="1" x14ac:dyDescent="0.3">
      <c r="A1976" t="s">
        <v>172</v>
      </c>
      <c r="B1976" s="2">
        <v>46204</v>
      </c>
      <c r="C1976">
        <v>6825.8941000000004</v>
      </c>
    </row>
    <row r="1977" spans="1:3" ht="15" hidden="1" customHeight="1" x14ac:dyDescent="0.3">
      <c r="A1977" t="s">
        <v>177</v>
      </c>
      <c r="B1977" s="2">
        <v>46235</v>
      </c>
    </row>
    <row r="1978" spans="1:3" ht="15" hidden="1" customHeight="1" x14ac:dyDescent="0.3">
      <c r="A1978" t="s">
        <v>177</v>
      </c>
      <c r="B1978" s="2">
        <v>46266</v>
      </c>
    </row>
    <row r="1979" spans="1:3" ht="15" hidden="1" customHeight="1" x14ac:dyDescent="0.3">
      <c r="A1979" t="s">
        <v>177</v>
      </c>
      <c r="B1979" s="2">
        <v>46296</v>
      </c>
    </row>
    <row r="1980" spans="1:3" ht="15" hidden="1" customHeight="1" x14ac:dyDescent="0.3">
      <c r="A1980" t="s">
        <v>177</v>
      </c>
      <c r="B1980" s="2">
        <v>46327</v>
      </c>
    </row>
    <row r="1981" spans="1:3" ht="15" hidden="1" customHeight="1" x14ac:dyDescent="0.3">
      <c r="A1981" t="s">
        <v>177</v>
      </c>
      <c r="B1981" s="2">
        <v>46357</v>
      </c>
    </row>
    <row r="1982" spans="1:3" ht="15" hidden="1" customHeight="1" x14ac:dyDescent="0.3">
      <c r="A1982" t="s">
        <v>265</v>
      </c>
      <c r="B1982" s="2">
        <v>45292</v>
      </c>
      <c r="C1982">
        <v>14153</v>
      </c>
    </row>
    <row r="1983" spans="1:3" ht="15" hidden="1" customHeight="1" x14ac:dyDescent="0.3">
      <c r="A1983" t="s">
        <v>265</v>
      </c>
      <c r="B1983" s="2">
        <v>45323</v>
      </c>
      <c r="C1983">
        <v>12255</v>
      </c>
    </row>
    <row r="1984" spans="1:3" ht="15" hidden="1" customHeight="1" x14ac:dyDescent="0.3">
      <c r="A1984" t="s">
        <v>265</v>
      </c>
      <c r="B1984" s="2">
        <v>45352</v>
      </c>
      <c r="C1984">
        <v>14981</v>
      </c>
    </row>
    <row r="1985" spans="1:3" ht="15" hidden="1" customHeight="1" x14ac:dyDescent="0.3">
      <c r="A1985" t="s">
        <v>265</v>
      </c>
      <c r="B1985" s="2">
        <v>45383</v>
      </c>
      <c r="C1985">
        <v>12548</v>
      </c>
    </row>
    <row r="1986" spans="1:3" ht="15" hidden="1" customHeight="1" x14ac:dyDescent="0.3">
      <c r="A1986" t="s">
        <v>265</v>
      </c>
      <c r="B1986" s="2">
        <v>45413</v>
      </c>
      <c r="C1986">
        <v>12499</v>
      </c>
    </row>
    <row r="1987" spans="1:3" ht="15" hidden="1" customHeight="1" x14ac:dyDescent="0.3">
      <c r="A1987" t="s">
        <v>265</v>
      </c>
      <c r="B1987" s="2">
        <v>45444</v>
      </c>
      <c r="C1987">
        <v>10764</v>
      </c>
    </row>
    <row r="1988" spans="1:3" ht="15" hidden="1" customHeight="1" x14ac:dyDescent="0.3">
      <c r="A1988" t="s">
        <v>265</v>
      </c>
      <c r="B1988" s="2">
        <v>45474</v>
      </c>
      <c r="C1988">
        <v>12646</v>
      </c>
    </row>
    <row r="1989" spans="1:3" ht="15" hidden="1" customHeight="1" x14ac:dyDescent="0.3">
      <c r="A1989" t="s">
        <v>265</v>
      </c>
      <c r="B1989" s="2">
        <v>45505</v>
      </c>
      <c r="C1989">
        <v>13284</v>
      </c>
    </row>
    <row r="1990" spans="1:3" ht="15" hidden="1" customHeight="1" x14ac:dyDescent="0.3">
      <c r="A1990" t="s">
        <v>265</v>
      </c>
      <c r="B1990" s="2">
        <v>45536</v>
      </c>
      <c r="C1990">
        <v>12781</v>
      </c>
    </row>
    <row r="1991" spans="1:3" ht="15" hidden="1" customHeight="1" x14ac:dyDescent="0.3">
      <c r="A1991" t="s">
        <v>265</v>
      </c>
      <c r="B1991" s="2">
        <v>45566</v>
      </c>
      <c r="C1991">
        <v>16310</v>
      </c>
    </row>
    <row r="1992" spans="1:3" ht="15" hidden="1" customHeight="1" x14ac:dyDescent="0.3">
      <c r="A1992" t="s">
        <v>265</v>
      </c>
      <c r="B1992" s="2">
        <v>45597</v>
      </c>
      <c r="C1992">
        <v>16857</v>
      </c>
    </row>
    <row r="1993" spans="1:3" ht="15" hidden="1" customHeight="1" x14ac:dyDescent="0.3">
      <c r="A1993" t="s">
        <v>265</v>
      </c>
      <c r="B1993" s="2">
        <v>45627</v>
      </c>
      <c r="C1993">
        <v>17902</v>
      </c>
    </row>
    <row r="1994" spans="1:3" ht="15" hidden="1" customHeight="1" x14ac:dyDescent="0.3">
      <c r="A1994" t="s">
        <v>265</v>
      </c>
      <c r="B1994" s="2">
        <v>45658</v>
      </c>
      <c r="C1994">
        <v>16357</v>
      </c>
    </row>
    <row r="1995" spans="1:3" ht="15" hidden="1" customHeight="1" x14ac:dyDescent="0.3">
      <c r="A1995" t="s">
        <v>265</v>
      </c>
      <c r="B1995" s="2">
        <v>45689</v>
      </c>
      <c r="C1995">
        <v>13076</v>
      </c>
    </row>
    <row r="1996" spans="1:3" ht="15" hidden="1" customHeight="1" x14ac:dyDescent="0.3">
      <c r="A1996" t="s">
        <v>265</v>
      </c>
      <c r="B1996" s="2">
        <v>45717</v>
      </c>
      <c r="C1996">
        <v>13410</v>
      </c>
    </row>
    <row r="1997" spans="1:3" ht="15" hidden="1" customHeight="1" x14ac:dyDescent="0.3">
      <c r="A1997" t="s">
        <v>265</v>
      </c>
      <c r="B1997" s="2">
        <v>45748</v>
      </c>
      <c r="C1997">
        <v>11361</v>
      </c>
    </row>
    <row r="1998" spans="1:3" ht="15" hidden="1" customHeight="1" x14ac:dyDescent="0.3">
      <c r="A1998" t="s">
        <v>265</v>
      </c>
      <c r="B1998" s="2">
        <v>45778</v>
      </c>
      <c r="C1998">
        <v>12073</v>
      </c>
    </row>
    <row r="1999" spans="1:3" ht="15" hidden="1" customHeight="1" x14ac:dyDescent="0.3">
      <c r="A1999" t="s">
        <v>265</v>
      </c>
      <c r="B1999" s="2">
        <v>45809</v>
      </c>
      <c r="C1999">
        <v>10687.39</v>
      </c>
    </row>
    <row r="2000" spans="1:3" ht="15" hidden="1" customHeight="1" x14ac:dyDescent="0.3">
      <c r="A2000" t="s">
        <v>265</v>
      </c>
      <c r="B2000" s="2">
        <v>45839</v>
      </c>
      <c r="C2000">
        <v>10449</v>
      </c>
    </row>
    <row r="2001" spans="1:3" ht="15" hidden="1" customHeight="1" x14ac:dyDescent="0.3">
      <c r="A2001" t="s">
        <v>265</v>
      </c>
      <c r="B2001" s="2">
        <v>45870</v>
      </c>
      <c r="C2001">
        <v>10325</v>
      </c>
    </row>
    <row r="2002" spans="1:3" ht="15" hidden="1" customHeight="1" x14ac:dyDescent="0.3">
      <c r="A2002" t="s">
        <v>265</v>
      </c>
      <c r="B2002" s="2">
        <v>45901</v>
      </c>
      <c r="C2002">
        <v>9595</v>
      </c>
    </row>
    <row r="2003" spans="1:3" ht="15" hidden="1" customHeight="1" x14ac:dyDescent="0.3">
      <c r="A2003" t="s">
        <v>265</v>
      </c>
      <c r="B2003" s="2">
        <v>45931</v>
      </c>
      <c r="C2003">
        <v>11068</v>
      </c>
    </row>
    <row r="2004" spans="1:3" ht="15" hidden="1" customHeight="1" x14ac:dyDescent="0.3">
      <c r="A2004" t="s">
        <v>265</v>
      </c>
      <c r="B2004" s="2">
        <v>45962</v>
      </c>
      <c r="C2004">
        <v>10671</v>
      </c>
    </row>
    <row r="2005" spans="1:3" ht="15" hidden="1" customHeight="1" x14ac:dyDescent="0.3">
      <c r="A2005" t="s">
        <v>265</v>
      </c>
      <c r="B2005" s="2">
        <v>45992</v>
      </c>
      <c r="C2005">
        <v>1812</v>
      </c>
    </row>
    <row r="2006" spans="1:3" ht="15" hidden="1" customHeight="1" x14ac:dyDescent="0.3">
      <c r="A2006" t="s">
        <v>265</v>
      </c>
      <c r="B2006" s="2">
        <v>46023</v>
      </c>
      <c r="C2006">
        <v>306</v>
      </c>
    </row>
    <row r="2007" spans="1:3" ht="15" hidden="1" customHeight="1" x14ac:dyDescent="0.3">
      <c r="A2007" t="s">
        <v>265</v>
      </c>
      <c r="B2007" s="2">
        <v>46054</v>
      </c>
      <c r="C2007">
        <v>522.44464000000005</v>
      </c>
    </row>
    <row r="2008" spans="1:3" ht="15" hidden="1" customHeight="1" x14ac:dyDescent="0.3">
      <c r="A2008" t="s">
        <v>265</v>
      </c>
      <c r="B2008" s="2">
        <v>46082</v>
      </c>
      <c r="C2008">
        <v>372</v>
      </c>
    </row>
    <row r="2009" spans="1:3" ht="15" hidden="1" customHeight="1" x14ac:dyDescent="0.3">
      <c r="A2009" t="s">
        <v>265</v>
      </c>
      <c r="B2009" s="2">
        <v>46113</v>
      </c>
      <c r="C2009">
        <v>44.97</v>
      </c>
    </row>
    <row r="2010" spans="1:3" ht="15" hidden="1" customHeight="1" x14ac:dyDescent="0.3">
      <c r="A2010" t="s">
        <v>265</v>
      </c>
      <c r="B2010" s="2">
        <v>46143</v>
      </c>
      <c r="C2010" s="12">
        <v>0</v>
      </c>
    </row>
    <row r="2011" spans="1:3" ht="15" hidden="1" customHeight="1" x14ac:dyDescent="0.3">
      <c r="A2011" t="s">
        <v>265</v>
      </c>
      <c r="B2011" s="2">
        <v>46174</v>
      </c>
    </row>
    <row r="2012" spans="1:3" ht="15" customHeight="1" x14ac:dyDescent="0.3">
      <c r="A2012" t="s">
        <v>265</v>
      </c>
      <c r="B2012" s="2">
        <v>46204</v>
      </c>
      <c r="C2012">
        <v>0</v>
      </c>
    </row>
    <row r="2013" spans="1:3" ht="15" hidden="1" customHeight="1" x14ac:dyDescent="0.3">
      <c r="A2013" t="s">
        <v>265</v>
      </c>
      <c r="B2013" s="2">
        <v>46235</v>
      </c>
    </row>
    <row r="2014" spans="1:3" ht="15" hidden="1" customHeight="1" x14ac:dyDescent="0.3">
      <c r="A2014" t="s">
        <v>265</v>
      </c>
      <c r="B2014" s="2">
        <v>46266</v>
      </c>
    </row>
    <row r="2015" spans="1:3" ht="15" hidden="1" customHeight="1" x14ac:dyDescent="0.3">
      <c r="A2015" t="s">
        <v>265</v>
      </c>
      <c r="B2015" s="2">
        <v>46296</v>
      </c>
    </row>
    <row r="2016" spans="1:3" ht="15" hidden="1" customHeight="1" x14ac:dyDescent="0.3">
      <c r="A2016" t="s">
        <v>265</v>
      </c>
      <c r="B2016" s="2">
        <v>46327</v>
      </c>
    </row>
    <row r="2017" spans="1:3" ht="15" hidden="1" customHeight="1" x14ac:dyDescent="0.3">
      <c r="A2017" t="s">
        <v>265</v>
      </c>
      <c r="B2017" s="2">
        <v>46357</v>
      </c>
    </row>
    <row r="2018" spans="1:3" ht="15" hidden="1" customHeight="1" x14ac:dyDescent="0.3">
      <c r="A2018" t="s">
        <v>180</v>
      </c>
      <c r="B2018" s="2">
        <v>45292</v>
      </c>
    </row>
    <row r="2019" spans="1:3" ht="15" hidden="1" customHeight="1" x14ac:dyDescent="0.3">
      <c r="A2019" t="s">
        <v>180</v>
      </c>
      <c r="B2019" s="2">
        <v>45323</v>
      </c>
    </row>
    <row r="2020" spans="1:3" ht="15" hidden="1" customHeight="1" x14ac:dyDescent="0.3">
      <c r="A2020" t="s">
        <v>180</v>
      </c>
      <c r="B2020" s="2">
        <v>45352</v>
      </c>
    </row>
    <row r="2021" spans="1:3" ht="15" hidden="1" customHeight="1" x14ac:dyDescent="0.3">
      <c r="A2021" t="s">
        <v>180</v>
      </c>
      <c r="B2021" s="2">
        <v>45383</v>
      </c>
    </row>
    <row r="2022" spans="1:3" ht="15" hidden="1" customHeight="1" x14ac:dyDescent="0.3">
      <c r="A2022" t="s">
        <v>180</v>
      </c>
      <c r="B2022" s="2">
        <v>45413</v>
      </c>
    </row>
    <row r="2023" spans="1:3" ht="15" hidden="1" customHeight="1" x14ac:dyDescent="0.3">
      <c r="A2023" t="s">
        <v>180</v>
      </c>
      <c r="B2023" s="2">
        <v>45444</v>
      </c>
    </row>
    <row r="2024" spans="1:3" ht="15" hidden="1" customHeight="1" x14ac:dyDescent="0.3">
      <c r="A2024" t="s">
        <v>180</v>
      </c>
      <c r="B2024" s="2">
        <v>45474</v>
      </c>
    </row>
    <row r="2025" spans="1:3" ht="15" hidden="1" customHeight="1" x14ac:dyDescent="0.3">
      <c r="A2025" t="s">
        <v>180</v>
      </c>
      <c r="B2025" s="2">
        <v>45505</v>
      </c>
    </row>
    <row r="2026" spans="1:3" ht="15" hidden="1" customHeight="1" x14ac:dyDescent="0.3">
      <c r="A2026" t="s">
        <v>180</v>
      </c>
      <c r="B2026" s="2">
        <v>45536</v>
      </c>
    </row>
    <row r="2027" spans="1:3" ht="15" hidden="1" customHeight="1" x14ac:dyDescent="0.3">
      <c r="A2027" t="s">
        <v>180</v>
      </c>
      <c r="B2027" s="2">
        <v>45566</v>
      </c>
    </row>
    <row r="2028" spans="1:3" ht="15" hidden="1" customHeight="1" x14ac:dyDescent="0.3">
      <c r="A2028" t="s">
        <v>180</v>
      </c>
      <c r="B2028" s="2">
        <v>45597</v>
      </c>
    </row>
    <row r="2029" spans="1:3" ht="15" hidden="1" customHeight="1" x14ac:dyDescent="0.3">
      <c r="A2029" t="s">
        <v>180</v>
      </c>
      <c r="B2029" s="2">
        <v>45627</v>
      </c>
    </row>
    <row r="2030" spans="1:3" ht="15" hidden="1" customHeight="1" x14ac:dyDescent="0.3">
      <c r="A2030" t="s">
        <v>180</v>
      </c>
      <c r="B2030" s="2">
        <v>45658</v>
      </c>
      <c r="C2030">
        <v>10100</v>
      </c>
    </row>
    <row r="2031" spans="1:3" ht="15" hidden="1" customHeight="1" x14ac:dyDescent="0.3">
      <c r="A2031" t="s">
        <v>180</v>
      </c>
      <c r="B2031" s="2">
        <v>45689</v>
      </c>
      <c r="C2031">
        <v>12001</v>
      </c>
    </row>
    <row r="2032" spans="1:3" ht="15" hidden="1" customHeight="1" x14ac:dyDescent="0.3">
      <c r="A2032" t="s">
        <v>180</v>
      </c>
      <c r="B2032" s="2">
        <v>45717</v>
      </c>
      <c r="C2032">
        <v>13213</v>
      </c>
    </row>
    <row r="2033" spans="1:3" ht="15" hidden="1" customHeight="1" x14ac:dyDescent="0.3">
      <c r="A2033" t="s">
        <v>180</v>
      </c>
      <c r="B2033" s="2">
        <v>45748</v>
      </c>
      <c r="C2033">
        <v>9636</v>
      </c>
    </row>
    <row r="2034" spans="1:3" ht="15" hidden="1" customHeight="1" x14ac:dyDescent="0.3">
      <c r="A2034" t="s">
        <v>180</v>
      </c>
      <c r="B2034" s="2">
        <v>45778</v>
      </c>
      <c r="C2034">
        <v>10261</v>
      </c>
    </row>
    <row r="2035" spans="1:3" ht="15" hidden="1" customHeight="1" x14ac:dyDescent="0.3">
      <c r="A2035" t="s">
        <v>180</v>
      </c>
      <c r="B2035" s="2">
        <v>45809</v>
      </c>
      <c r="C2035">
        <v>11348.4</v>
      </c>
    </row>
    <row r="2036" spans="1:3" ht="15" hidden="1" customHeight="1" x14ac:dyDescent="0.3">
      <c r="A2036" t="s">
        <v>180</v>
      </c>
      <c r="B2036" s="2">
        <v>45839</v>
      </c>
      <c r="C2036">
        <v>14705</v>
      </c>
    </row>
    <row r="2037" spans="1:3" ht="15" hidden="1" customHeight="1" x14ac:dyDescent="0.3">
      <c r="A2037" t="s">
        <v>180</v>
      </c>
      <c r="B2037" s="2">
        <v>45870</v>
      </c>
      <c r="C2037">
        <v>16958</v>
      </c>
    </row>
    <row r="2038" spans="1:3" ht="15" hidden="1" customHeight="1" x14ac:dyDescent="0.3">
      <c r="A2038" t="s">
        <v>180</v>
      </c>
      <c r="B2038" s="2">
        <v>45901</v>
      </c>
      <c r="C2038">
        <v>17766</v>
      </c>
    </row>
    <row r="2039" spans="1:3" ht="15" hidden="1" customHeight="1" x14ac:dyDescent="0.3">
      <c r="A2039" t="s">
        <v>180</v>
      </c>
      <c r="B2039" s="2">
        <v>45931</v>
      </c>
      <c r="C2039">
        <v>22849</v>
      </c>
    </row>
    <row r="2040" spans="1:3" ht="15" hidden="1" customHeight="1" x14ac:dyDescent="0.3">
      <c r="A2040" t="s">
        <v>180</v>
      </c>
      <c r="B2040" s="2">
        <v>45962</v>
      </c>
      <c r="C2040">
        <v>20014</v>
      </c>
    </row>
    <row r="2041" spans="1:3" ht="15" hidden="1" customHeight="1" x14ac:dyDescent="0.3">
      <c r="A2041" t="s">
        <v>180</v>
      </c>
      <c r="B2041" s="2">
        <v>45992</v>
      </c>
      <c r="C2041">
        <v>21334.1162</v>
      </c>
    </row>
    <row r="2042" spans="1:3" ht="15" hidden="1" customHeight="1" x14ac:dyDescent="0.3">
      <c r="A2042" t="s">
        <v>180</v>
      </c>
      <c r="B2042" s="2">
        <v>46023</v>
      </c>
      <c r="C2042">
        <v>23434</v>
      </c>
    </row>
    <row r="2043" spans="1:3" ht="15" hidden="1" customHeight="1" x14ac:dyDescent="0.3">
      <c r="A2043" t="s">
        <v>180</v>
      </c>
      <c r="B2043" s="2">
        <v>46054</v>
      </c>
      <c r="C2043">
        <v>21742.196199999998</v>
      </c>
    </row>
    <row r="2044" spans="1:3" ht="15" hidden="1" customHeight="1" x14ac:dyDescent="0.3">
      <c r="A2044" t="s">
        <v>180</v>
      </c>
      <c r="B2044" s="2">
        <v>46082</v>
      </c>
      <c r="C2044">
        <v>18523</v>
      </c>
    </row>
    <row r="2045" spans="1:3" ht="15" hidden="1" customHeight="1" x14ac:dyDescent="0.3">
      <c r="A2045" t="s">
        <v>180</v>
      </c>
      <c r="B2045" s="2">
        <v>46113</v>
      </c>
      <c r="C2045">
        <v>15379.43</v>
      </c>
    </row>
    <row r="2046" spans="1:3" ht="15" hidden="1" customHeight="1" x14ac:dyDescent="0.3">
      <c r="A2046" t="s">
        <v>180</v>
      </c>
      <c r="B2046" s="2">
        <v>46143</v>
      </c>
      <c r="C2046" s="12">
        <v>15576.52</v>
      </c>
    </row>
    <row r="2047" spans="1:3" ht="15" hidden="1" customHeight="1" x14ac:dyDescent="0.3">
      <c r="A2047" t="s">
        <v>180</v>
      </c>
      <c r="B2047" s="2">
        <v>46174</v>
      </c>
      <c r="C2047">
        <v>12252.53</v>
      </c>
    </row>
    <row r="2048" spans="1:3" ht="15" customHeight="1" x14ac:dyDescent="0.3">
      <c r="A2048" t="s">
        <v>177</v>
      </c>
      <c r="B2048" s="2">
        <v>46204</v>
      </c>
      <c r="C2048">
        <v>2926.66</v>
      </c>
    </row>
    <row r="2049" spans="1:2" ht="15" hidden="1" customHeight="1" x14ac:dyDescent="0.3">
      <c r="A2049" t="s">
        <v>180</v>
      </c>
      <c r="B2049" s="2">
        <v>46235</v>
      </c>
    </row>
    <row r="2050" spans="1:2" ht="15" hidden="1" customHeight="1" x14ac:dyDescent="0.3">
      <c r="A2050" t="s">
        <v>180</v>
      </c>
      <c r="B2050" s="2">
        <v>46266</v>
      </c>
    </row>
    <row r="2051" spans="1:2" ht="15" hidden="1" customHeight="1" x14ac:dyDescent="0.3">
      <c r="A2051" t="s">
        <v>180</v>
      </c>
      <c r="B2051" s="2">
        <v>46296</v>
      </c>
    </row>
    <row r="2052" spans="1:2" ht="15" hidden="1" customHeight="1" x14ac:dyDescent="0.3">
      <c r="A2052" t="s">
        <v>180</v>
      </c>
      <c r="B2052" s="2">
        <v>46327</v>
      </c>
    </row>
    <row r="2053" spans="1:2" ht="15" hidden="1" customHeight="1" x14ac:dyDescent="0.3">
      <c r="A2053" t="s">
        <v>180</v>
      </c>
      <c r="B2053" s="2">
        <v>46357</v>
      </c>
    </row>
    <row r="2054" spans="1:2" ht="15" hidden="1" customHeight="1" x14ac:dyDescent="0.3">
      <c r="A2054" t="s">
        <v>241</v>
      </c>
      <c r="B2054" s="2">
        <v>45292</v>
      </c>
    </row>
    <row r="2055" spans="1:2" ht="15" hidden="1" customHeight="1" x14ac:dyDescent="0.3">
      <c r="A2055" t="s">
        <v>241</v>
      </c>
      <c r="B2055" s="2">
        <v>45323</v>
      </c>
    </row>
    <row r="2056" spans="1:2" ht="15" hidden="1" customHeight="1" x14ac:dyDescent="0.3">
      <c r="A2056" t="s">
        <v>241</v>
      </c>
      <c r="B2056" s="2">
        <v>45352</v>
      </c>
    </row>
    <row r="2057" spans="1:2" ht="15" hidden="1" customHeight="1" x14ac:dyDescent="0.3">
      <c r="A2057" t="s">
        <v>241</v>
      </c>
      <c r="B2057" s="2">
        <v>45383</v>
      </c>
    </row>
    <row r="2058" spans="1:2" ht="15" hidden="1" customHeight="1" x14ac:dyDescent="0.3">
      <c r="A2058" t="s">
        <v>241</v>
      </c>
      <c r="B2058" s="2">
        <v>45413</v>
      </c>
    </row>
    <row r="2059" spans="1:2" ht="15" hidden="1" customHeight="1" x14ac:dyDescent="0.3">
      <c r="A2059" t="s">
        <v>241</v>
      </c>
      <c r="B2059" s="2">
        <v>45444</v>
      </c>
    </row>
    <row r="2060" spans="1:2" ht="15" hidden="1" customHeight="1" x14ac:dyDescent="0.3">
      <c r="A2060" t="s">
        <v>241</v>
      </c>
      <c r="B2060" s="2">
        <v>45474</v>
      </c>
    </row>
    <row r="2061" spans="1:2" ht="15" hidden="1" customHeight="1" x14ac:dyDescent="0.3">
      <c r="A2061" t="s">
        <v>241</v>
      </c>
      <c r="B2061" s="2">
        <v>45505</v>
      </c>
    </row>
    <row r="2062" spans="1:2" ht="15" hidden="1" customHeight="1" x14ac:dyDescent="0.3">
      <c r="A2062" t="s">
        <v>241</v>
      </c>
      <c r="B2062" s="2">
        <v>45536</v>
      </c>
    </row>
    <row r="2063" spans="1:2" ht="15" hidden="1" customHeight="1" x14ac:dyDescent="0.3">
      <c r="A2063" t="s">
        <v>241</v>
      </c>
      <c r="B2063" s="2">
        <v>45566</v>
      </c>
    </row>
    <row r="2064" spans="1:2" ht="15" hidden="1" customHeight="1" x14ac:dyDescent="0.3">
      <c r="A2064" t="s">
        <v>241</v>
      </c>
      <c r="B2064" s="2">
        <v>45597</v>
      </c>
    </row>
    <row r="2065" spans="1:3" ht="15" hidden="1" customHeight="1" x14ac:dyDescent="0.3">
      <c r="A2065" t="s">
        <v>241</v>
      </c>
      <c r="B2065" s="2">
        <v>45627</v>
      </c>
    </row>
    <row r="2066" spans="1:3" ht="15" hidden="1" customHeight="1" x14ac:dyDescent="0.3">
      <c r="A2066" t="s">
        <v>241</v>
      </c>
      <c r="B2066" s="2">
        <v>45658</v>
      </c>
    </row>
    <row r="2067" spans="1:3" ht="15" hidden="1" customHeight="1" x14ac:dyDescent="0.3">
      <c r="A2067" t="s">
        <v>241</v>
      </c>
      <c r="B2067" s="2">
        <v>45689</v>
      </c>
    </row>
    <row r="2068" spans="1:3" ht="15" hidden="1" customHeight="1" x14ac:dyDescent="0.3">
      <c r="A2068" t="s">
        <v>241</v>
      </c>
      <c r="B2068" s="2">
        <v>45717</v>
      </c>
    </row>
    <row r="2069" spans="1:3" ht="15" hidden="1" customHeight="1" x14ac:dyDescent="0.3">
      <c r="A2069" t="s">
        <v>241</v>
      </c>
      <c r="B2069" s="2">
        <v>45748</v>
      </c>
    </row>
    <row r="2070" spans="1:3" ht="15" hidden="1" customHeight="1" x14ac:dyDescent="0.3">
      <c r="A2070" t="s">
        <v>241</v>
      </c>
      <c r="B2070" s="2">
        <v>45778</v>
      </c>
    </row>
    <row r="2071" spans="1:3" ht="15" hidden="1" customHeight="1" x14ac:dyDescent="0.3">
      <c r="A2071" t="s">
        <v>241</v>
      </c>
      <c r="B2071" s="2">
        <v>45809</v>
      </c>
    </row>
    <row r="2072" spans="1:3" ht="15" hidden="1" customHeight="1" x14ac:dyDescent="0.3">
      <c r="A2072" t="s">
        <v>241</v>
      </c>
      <c r="B2072" s="2">
        <v>45839</v>
      </c>
    </row>
    <row r="2073" spans="1:3" ht="15" hidden="1" customHeight="1" x14ac:dyDescent="0.3">
      <c r="A2073" t="s">
        <v>241</v>
      </c>
      <c r="B2073" s="2">
        <v>45870</v>
      </c>
    </row>
    <row r="2074" spans="1:3" ht="15" hidden="1" customHeight="1" x14ac:dyDescent="0.3">
      <c r="A2074" t="s">
        <v>241</v>
      </c>
      <c r="B2074" s="2">
        <v>45901</v>
      </c>
    </row>
    <row r="2075" spans="1:3" ht="15" hidden="1" customHeight="1" x14ac:dyDescent="0.3">
      <c r="A2075" t="s">
        <v>241</v>
      </c>
      <c r="B2075" s="2">
        <v>45931</v>
      </c>
    </row>
    <row r="2076" spans="1:3" ht="15" hidden="1" customHeight="1" x14ac:dyDescent="0.3">
      <c r="A2076" t="s">
        <v>241</v>
      </c>
      <c r="B2076" s="2">
        <v>45962</v>
      </c>
    </row>
    <row r="2077" spans="1:3" ht="15" hidden="1" customHeight="1" x14ac:dyDescent="0.3">
      <c r="A2077" t="s">
        <v>241</v>
      </c>
      <c r="B2077" s="2">
        <v>45992</v>
      </c>
    </row>
    <row r="2078" spans="1:3" ht="15" hidden="1" customHeight="1" x14ac:dyDescent="0.3">
      <c r="A2078" t="s">
        <v>241</v>
      </c>
      <c r="B2078" s="2">
        <v>46023</v>
      </c>
    </row>
    <row r="2079" spans="1:3" ht="15" hidden="1" customHeight="1" x14ac:dyDescent="0.3">
      <c r="A2079" t="s">
        <v>241</v>
      </c>
      <c r="B2079" s="2">
        <v>46054</v>
      </c>
    </row>
    <row r="2080" spans="1:3" ht="15" hidden="1" customHeight="1" x14ac:dyDescent="0.3">
      <c r="A2080" t="s">
        <v>241</v>
      </c>
      <c r="B2080" s="2">
        <v>46082</v>
      </c>
      <c r="C2080">
        <v>10022</v>
      </c>
    </row>
    <row r="2081" spans="1:3" ht="15" hidden="1" customHeight="1" x14ac:dyDescent="0.3">
      <c r="A2081" t="s">
        <v>241</v>
      </c>
      <c r="B2081" s="2">
        <v>46113</v>
      </c>
      <c r="C2081">
        <v>11511.86</v>
      </c>
    </row>
    <row r="2082" spans="1:3" ht="15" hidden="1" customHeight="1" x14ac:dyDescent="0.3">
      <c r="A2082" t="s">
        <v>241</v>
      </c>
      <c r="B2082" s="2">
        <v>46143</v>
      </c>
      <c r="C2082" s="12">
        <v>14709.43</v>
      </c>
    </row>
    <row r="2083" spans="1:3" ht="15" hidden="1" customHeight="1" x14ac:dyDescent="0.3">
      <c r="A2083" t="s">
        <v>241</v>
      </c>
      <c r="B2083" s="2">
        <v>46174</v>
      </c>
      <c r="C2083">
        <v>12264.7</v>
      </c>
    </row>
    <row r="2084" spans="1:3" ht="15" customHeight="1" x14ac:dyDescent="0.3">
      <c r="A2084" t="s">
        <v>180</v>
      </c>
      <c r="B2084" s="2">
        <v>46204</v>
      </c>
      <c r="C2084">
        <v>13658</v>
      </c>
    </row>
    <row r="2085" spans="1:3" ht="15" hidden="1" customHeight="1" x14ac:dyDescent="0.3">
      <c r="A2085" t="s">
        <v>241</v>
      </c>
      <c r="B2085" s="2">
        <v>46235</v>
      </c>
    </row>
    <row r="2086" spans="1:3" ht="15" hidden="1" customHeight="1" x14ac:dyDescent="0.3">
      <c r="A2086" t="s">
        <v>241</v>
      </c>
      <c r="B2086" s="2">
        <v>46266</v>
      </c>
    </row>
    <row r="2087" spans="1:3" ht="15" hidden="1" customHeight="1" x14ac:dyDescent="0.3">
      <c r="A2087" t="s">
        <v>241</v>
      </c>
      <c r="B2087" s="2">
        <v>46296</v>
      </c>
    </row>
    <row r="2088" spans="1:3" ht="15" hidden="1" customHeight="1" x14ac:dyDescent="0.3">
      <c r="A2088" t="s">
        <v>241</v>
      </c>
      <c r="B2088" s="2">
        <v>46327</v>
      </c>
    </row>
    <row r="2089" spans="1:3" ht="15" hidden="1" customHeight="1" x14ac:dyDescent="0.3">
      <c r="A2089" t="s">
        <v>241</v>
      </c>
      <c r="B2089" s="2">
        <v>46357</v>
      </c>
    </row>
    <row r="2090" spans="1:3" ht="15" hidden="1" customHeight="1" x14ac:dyDescent="0.3">
      <c r="A2090" t="s">
        <v>182</v>
      </c>
      <c r="B2090" s="2">
        <v>45292</v>
      </c>
    </row>
    <row r="2091" spans="1:3" ht="15" hidden="1" customHeight="1" x14ac:dyDescent="0.3">
      <c r="A2091" t="s">
        <v>182</v>
      </c>
      <c r="B2091" s="2">
        <v>45323</v>
      </c>
    </row>
    <row r="2092" spans="1:3" ht="15" hidden="1" customHeight="1" x14ac:dyDescent="0.3">
      <c r="A2092" t="s">
        <v>182</v>
      </c>
      <c r="B2092" s="2">
        <v>45352</v>
      </c>
    </row>
    <row r="2093" spans="1:3" ht="15" hidden="1" customHeight="1" x14ac:dyDescent="0.3">
      <c r="A2093" t="s">
        <v>182</v>
      </c>
      <c r="B2093" s="2">
        <v>45383</v>
      </c>
    </row>
    <row r="2094" spans="1:3" ht="15" hidden="1" customHeight="1" x14ac:dyDescent="0.3">
      <c r="A2094" t="s">
        <v>182</v>
      </c>
      <c r="B2094" s="2">
        <v>45413</v>
      </c>
    </row>
    <row r="2095" spans="1:3" ht="15" hidden="1" customHeight="1" x14ac:dyDescent="0.3">
      <c r="A2095" t="s">
        <v>182</v>
      </c>
      <c r="B2095" s="2">
        <v>45444</v>
      </c>
    </row>
    <row r="2096" spans="1:3" ht="15" hidden="1" customHeight="1" x14ac:dyDescent="0.3">
      <c r="A2096" t="s">
        <v>182</v>
      </c>
      <c r="B2096" s="2">
        <v>45474</v>
      </c>
    </row>
    <row r="2097" spans="1:3" ht="15" hidden="1" customHeight="1" x14ac:dyDescent="0.3">
      <c r="A2097" t="s">
        <v>182</v>
      </c>
      <c r="B2097" s="2">
        <v>45505</v>
      </c>
    </row>
    <row r="2098" spans="1:3" ht="15" hidden="1" customHeight="1" x14ac:dyDescent="0.3">
      <c r="A2098" t="s">
        <v>182</v>
      </c>
      <c r="B2098" s="2">
        <v>45536</v>
      </c>
    </row>
    <row r="2099" spans="1:3" ht="15" hidden="1" customHeight="1" x14ac:dyDescent="0.3">
      <c r="A2099" t="s">
        <v>182</v>
      </c>
      <c r="B2099" s="2">
        <v>45566</v>
      </c>
    </row>
    <row r="2100" spans="1:3" ht="15" hidden="1" customHeight="1" x14ac:dyDescent="0.3">
      <c r="A2100" t="s">
        <v>182</v>
      </c>
      <c r="B2100" s="2">
        <v>45597</v>
      </c>
    </row>
    <row r="2101" spans="1:3" ht="15" hidden="1" customHeight="1" x14ac:dyDescent="0.3">
      <c r="A2101" t="s">
        <v>182</v>
      </c>
      <c r="B2101" s="2">
        <v>45627</v>
      </c>
    </row>
    <row r="2102" spans="1:3" ht="15" hidden="1" customHeight="1" x14ac:dyDescent="0.3">
      <c r="A2102" t="s">
        <v>182</v>
      </c>
      <c r="B2102" s="2">
        <v>45658</v>
      </c>
      <c r="C2102">
        <v>18900</v>
      </c>
    </row>
    <row r="2103" spans="1:3" ht="15" hidden="1" customHeight="1" x14ac:dyDescent="0.3">
      <c r="A2103" t="s">
        <v>182</v>
      </c>
      <c r="B2103" s="2">
        <v>45689</v>
      </c>
      <c r="C2103">
        <v>13110</v>
      </c>
    </row>
    <row r="2104" spans="1:3" ht="15" hidden="1" customHeight="1" x14ac:dyDescent="0.3">
      <c r="A2104" t="s">
        <v>182</v>
      </c>
      <c r="B2104" s="2">
        <v>45717</v>
      </c>
      <c r="C2104">
        <v>11124</v>
      </c>
    </row>
    <row r="2105" spans="1:3" ht="15" hidden="1" customHeight="1" x14ac:dyDescent="0.3">
      <c r="A2105" t="s">
        <v>182</v>
      </c>
      <c r="B2105" s="2">
        <v>45748</v>
      </c>
      <c r="C2105">
        <v>9398</v>
      </c>
    </row>
    <row r="2106" spans="1:3" ht="15" hidden="1" customHeight="1" x14ac:dyDescent="0.3">
      <c r="A2106" t="s">
        <v>182</v>
      </c>
      <c r="B2106" s="2">
        <v>45778</v>
      </c>
      <c r="C2106">
        <v>10507</v>
      </c>
    </row>
    <row r="2107" spans="1:3" ht="15" hidden="1" customHeight="1" x14ac:dyDescent="0.3">
      <c r="A2107" t="s">
        <v>182</v>
      </c>
      <c r="B2107" s="2">
        <v>45809</v>
      </c>
      <c r="C2107">
        <v>8615</v>
      </c>
    </row>
    <row r="2108" spans="1:3" ht="15" hidden="1" customHeight="1" x14ac:dyDescent="0.3">
      <c r="A2108" t="s">
        <v>182</v>
      </c>
      <c r="B2108" s="2">
        <v>45839</v>
      </c>
      <c r="C2108">
        <v>9297</v>
      </c>
    </row>
    <row r="2109" spans="1:3" ht="15" hidden="1" customHeight="1" x14ac:dyDescent="0.3">
      <c r="A2109" t="s">
        <v>182</v>
      </c>
      <c r="B2109" s="2">
        <v>45870</v>
      </c>
      <c r="C2109">
        <v>11805</v>
      </c>
    </row>
    <row r="2110" spans="1:3" ht="15" hidden="1" customHeight="1" x14ac:dyDescent="0.3">
      <c r="A2110" t="s">
        <v>182</v>
      </c>
      <c r="B2110" s="2">
        <v>45901</v>
      </c>
      <c r="C2110">
        <v>12829</v>
      </c>
    </row>
    <row r="2111" spans="1:3" ht="15" hidden="1" customHeight="1" x14ac:dyDescent="0.3">
      <c r="A2111" t="s">
        <v>182</v>
      </c>
      <c r="B2111" s="2">
        <v>45931</v>
      </c>
      <c r="C2111">
        <v>18800</v>
      </c>
    </row>
    <row r="2112" spans="1:3" ht="15" hidden="1" customHeight="1" x14ac:dyDescent="0.3">
      <c r="A2112" t="s">
        <v>182</v>
      </c>
      <c r="B2112" s="2">
        <v>45962</v>
      </c>
      <c r="C2112">
        <v>15186</v>
      </c>
    </row>
    <row r="2113" spans="1:3" ht="15" hidden="1" customHeight="1" x14ac:dyDescent="0.3">
      <c r="A2113" t="s">
        <v>182</v>
      </c>
      <c r="B2113" s="2">
        <v>45992</v>
      </c>
      <c r="C2113">
        <v>17488.270700000001</v>
      </c>
    </row>
    <row r="2114" spans="1:3" ht="15" hidden="1" customHeight="1" x14ac:dyDescent="0.3">
      <c r="A2114" t="s">
        <v>182</v>
      </c>
      <c r="B2114" s="2">
        <v>46023</v>
      </c>
      <c r="C2114">
        <v>18755</v>
      </c>
    </row>
    <row r="2115" spans="1:3" ht="15" hidden="1" customHeight="1" x14ac:dyDescent="0.3">
      <c r="A2115" t="s">
        <v>182</v>
      </c>
      <c r="B2115" s="2">
        <v>46054</v>
      </c>
      <c r="C2115">
        <v>15395.716200000001</v>
      </c>
    </row>
    <row r="2116" spans="1:3" ht="15" hidden="1" customHeight="1" x14ac:dyDescent="0.3">
      <c r="A2116" t="s">
        <v>182</v>
      </c>
      <c r="B2116" s="2">
        <v>46082</v>
      </c>
      <c r="C2116">
        <v>11700</v>
      </c>
    </row>
    <row r="2117" spans="1:3" ht="15" hidden="1" customHeight="1" x14ac:dyDescent="0.3">
      <c r="A2117" t="s">
        <v>182</v>
      </c>
      <c r="B2117" s="2">
        <v>46113</v>
      </c>
      <c r="C2117">
        <v>8798.9599999999991</v>
      </c>
    </row>
    <row r="2118" spans="1:3" ht="15" hidden="1" customHeight="1" x14ac:dyDescent="0.3">
      <c r="A2118" t="s">
        <v>182</v>
      </c>
      <c r="B2118" s="2">
        <v>46143</v>
      </c>
      <c r="C2118" s="12">
        <v>8378.25</v>
      </c>
    </row>
    <row r="2119" spans="1:3" ht="15" hidden="1" customHeight="1" x14ac:dyDescent="0.3">
      <c r="A2119" t="s">
        <v>182</v>
      </c>
      <c r="B2119" s="2">
        <v>46174</v>
      </c>
      <c r="C2119">
        <v>6213.16</v>
      </c>
    </row>
    <row r="2120" spans="1:3" ht="15" customHeight="1" x14ac:dyDescent="0.3">
      <c r="A2120" t="s">
        <v>241</v>
      </c>
      <c r="B2120" s="2">
        <v>46204</v>
      </c>
      <c r="C2120">
        <v>11339.6067</v>
      </c>
    </row>
    <row r="2121" spans="1:3" ht="15" hidden="1" customHeight="1" x14ac:dyDescent="0.3">
      <c r="A2121" t="s">
        <v>182</v>
      </c>
      <c r="B2121" s="2">
        <v>46235</v>
      </c>
    </row>
    <row r="2122" spans="1:3" ht="15" hidden="1" customHeight="1" x14ac:dyDescent="0.3">
      <c r="A2122" t="s">
        <v>182</v>
      </c>
      <c r="B2122" s="2">
        <v>46266</v>
      </c>
    </row>
    <row r="2123" spans="1:3" ht="15" hidden="1" customHeight="1" x14ac:dyDescent="0.3">
      <c r="A2123" t="s">
        <v>182</v>
      </c>
      <c r="B2123" s="2">
        <v>46296</v>
      </c>
    </row>
    <row r="2124" spans="1:3" ht="15" hidden="1" customHeight="1" x14ac:dyDescent="0.3">
      <c r="A2124" t="s">
        <v>182</v>
      </c>
      <c r="B2124" s="2">
        <v>46327</v>
      </c>
    </row>
    <row r="2125" spans="1:3" ht="15" hidden="1" customHeight="1" x14ac:dyDescent="0.3">
      <c r="A2125" t="s">
        <v>182</v>
      </c>
      <c r="B2125" s="2">
        <v>46357</v>
      </c>
    </row>
    <row r="2126" spans="1:3" ht="15" hidden="1" customHeight="1" x14ac:dyDescent="0.3">
      <c r="A2126" t="s">
        <v>184</v>
      </c>
      <c r="B2126" s="2">
        <v>45292</v>
      </c>
    </row>
    <row r="2127" spans="1:3" ht="15" hidden="1" customHeight="1" x14ac:dyDescent="0.3">
      <c r="A2127" t="s">
        <v>184</v>
      </c>
      <c r="B2127" s="2">
        <v>45323</v>
      </c>
    </row>
    <row r="2128" spans="1:3" ht="15" hidden="1" customHeight="1" x14ac:dyDescent="0.3">
      <c r="A2128" t="s">
        <v>184</v>
      </c>
      <c r="B2128" s="2">
        <v>45352</v>
      </c>
    </row>
    <row r="2129" spans="1:3" ht="15" hidden="1" customHeight="1" x14ac:dyDescent="0.3">
      <c r="A2129" t="s">
        <v>184</v>
      </c>
      <c r="B2129" s="2">
        <v>45383</v>
      </c>
    </row>
    <row r="2130" spans="1:3" ht="15" hidden="1" customHeight="1" x14ac:dyDescent="0.3">
      <c r="A2130" t="s">
        <v>184</v>
      </c>
      <c r="B2130" s="2">
        <v>45413</v>
      </c>
    </row>
    <row r="2131" spans="1:3" ht="15" hidden="1" customHeight="1" x14ac:dyDescent="0.3">
      <c r="A2131" t="s">
        <v>184</v>
      </c>
      <c r="B2131" s="2">
        <v>45444</v>
      </c>
    </row>
    <row r="2132" spans="1:3" ht="15" hidden="1" customHeight="1" x14ac:dyDescent="0.3">
      <c r="A2132" t="s">
        <v>184</v>
      </c>
      <c r="B2132" s="2">
        <v>45474</v>
      </c>
    </row>
    <row r="2133" spans="1:3" ht="15" hidden="1" customHeight="1" x14ac:dyDescent="0.3">
      <c r="A2133" t="s">
        <v>184</v>
      </c>
      <c r="B2133" s="2">
        <v>45505</v>
      </c>
    </row>
    <row r="2134" spans="1:3" ht="15" hidden="1" customHeight="1" x14ac:dyDescent="0.3">
      <c r="A2134" t="s">
        <v>184</v>
      </c>
      <c r="B2134" s="2">
        <v>45536</v>
      </c>
    </row>
    <row r="2135" spans="1:3" ht="15" hidden="1" customHeight="1" x14ac:dyDescent="0.3">
      <c r="A2135" t="s">
        <v>184</v>
      </c>
      <c r="B2135" s="2">
        <v>45566</v>
      </c>
    </row>
    <row r="2136" spans="1:3" ht="15" hidden="1" customHeight="1" x14ac:dyDescent="0.3">
      <c r="A2136" t="s">
        <v>184</v>
      </c>
      <c r="B2136" s="2">
        <v>45597</v>
      </c>
    </row>
    <row r="2137" spans="1:3" ht="15" hidden="1" customHeight="1" x14ac:dyDescent="0.3">
      <c r="A2137" t="s">
        <v>184</v>
      </c>
      <c r="B2137" s="2">
        <v>45627</v>
      </c>
    </row>
    <row r="2138" spans="1:3" ht="15" hidden="1" customHeight="1" x14ac:dyDescent="0.3">
      <c r="A2138" t="s">
        <v>184</v>
      </c>
      <c r="B2138" s="2">
        <v>45658</v>
      </c>
      <c r="C2138">
        <v>33100</v>
      </c>
    </row>
    <row r="2139" spans="1:3" ht="15" hidden="1" customHeight="1" x14ac:dyDescent="0.3">
      <c r="A2139" t="s">
        <v>184</v>
      </c>
      <c r="B2139" s="2">
        <v>45689</v>
      </c>
      <c r="C2139">
        <v>24950</v>
      </c>
    </row>
    <row r="2140" spans="1:3" ht="15" hidden="1" customHeight="1" x14ac:dyDescent="0.3">
      <c r="A2140" t="s">
        <v>184</v>
      </c>
      <c r="B2140" s="2">
        <v>45717</v>
      </c>
      <c r="C2140">
        <v>24126</v>
      </c>
    </row>
    <row r="2141" spans="1:3" ht="15" hidden="1" customHeight="1" x14ac:dyDescent="0.3">
      <c r="A2141" t="s">
        <v>184</v>
      </c>
      <c r="B2141" s="2">
        <v>45748</v>
      </c>
      <c r="C2141">
        <v>18837</v>
      </c>
    </row>
    <row r="2142" spans="1:3" ht="15" hidden="1" customHeight="1" x14ac:dyDescent="0.3">
      <c r="A2142" t="s">
        <v>184</v>
      </c>
      <c r="B2142" s="2">
        <v>45778</v>
      </c>
      <c r="C2142">
        <v>22373</v>
      </c>
    </row>
    <row r="2143" spans="1:3" ht="15" hidden="1" customHeight="1" x14ac:dyDescent="0.3">
      <c r="A2143" t="s">
        <v>184</v>
      </c>
      <c r="B2143" s="2">
        <v>45809</v>
      </c>
      <c r="C2143">
        <v>18416.599999999999</v>
      </c>
    </row>
    <row r="2144" spans="1:3" ht="15" hidden="1" customHeight="1" x14ac:dyDescent="0.3">
      <c r="A2144" t="s">
        <v>184</v>
      </c>
      <c r="B2144" s="2">
        <v>45839</v>
      </c>
      <c r="C2144">
        <v>19123</v>
      </c>
    </row>
    <row r="2145" spans="1:3" ht="15" hidden="1" customHeight="1" x14ac:dyDescent="0.3">
      <c r="A2145" t="s">
        <v>184</v>
      </c>
      <c r="B2145" s="2">
        <v>45870</v>
      </c>
      <c r="C2145">
        <v>22404</v>
      </c>
    </row>
    <row r="2146" spans="1:3" ht="15" hidden="1" customHeight="1" x14ac:dyDescent="0.3">
      <c r="A2146" t="s">
        <v>184</v>
      </c>
      <c r="B2146" s="2">
        <v>45901</v>
      </c>
      <c r="C2146">
        <v>21900</v>
      </c>
    </row>
    <row r="2147" spans="1:3" ht="15" hidden="1" customHeight="1" x14ac:dyDescent="0.3">
      <c r="A2147" t="s">
        <v>184</v>
      </c>
      <c r="B2147" s="2">
        <v>45931</v>
      </c>
      <c r="C2147">
        <v>29612</v>
      </c>
    </row>
    <row r="2148" spans="1:3" ht="15" hidden="1" customHeight="1" x14ac:dyDescent="0.3">
      <c r="A2148" t="s">
        <v>184</v>
      </c>
      <c r="B2148" s="2">
        <v>45962</v>
      </c>
      <c r="C2148">
        <v>26751</v>
      </c>
    </row>
    <row r="2149" spans="1:3" ht="15" hidden="1" customHeight="1" x14ac:dyDescent="0.3">
      <c r="A2149" t="s">
        <v>184</v>
      </c>
      <c r="B2149" s="2">
        <v>45992</v>
      </c>
      <c r="C2149">
        <v>30623.100399999999</v>
      </c>
    </row>
    <row r="2150" spans="1:3" ht="15" hidden="1" customHeight="1" x14ac:dyDescent="0.3">
      <c r="A2150" t="s">
        <v>184</v>
      </c>
      <c r="B2150" s="2">
        <v>46023</v>
      </c>
      <c r="C2150">
        <v>34009</v>
      </c>
    </row>
    <row r="2151" spans="1:3" ht="15" hidden="1" customHeight="1" x14ac:dyDescent="0.3">
      <c r="A2151" t="s">
        <v>184</v>
      </c>
      <c r="B2151" s="2">
        <v>46054</v>
      </c>
      <c r="C2151">
        <v>24602.882900000001</v>
      </c>
    </row>
    <row r="2152" spans="1:3" ht="15" hidden="1" customHeight="1" x14ac:dyDescent="0.3">
      <c r="A2152" t="s">
        <v>184</v>
      </c>
      <c r="B2152" s="2">
        <v>46082</v>
      </c>
      <c r="C2152">
        <v>23540</v>
      </c>
    </row>
    <row r="2153" spans="1:3" ht="15" hidden="1" customHeight="1" x14ac:dyDescent="0.3">
      <c r="A2153" t="s">
        <v>184</v>
      </c>
      <c r="B2153" s="2">
        <v>46113</v>
      </c>
      <c r="C2153">
        <v>18199.29</v>
      </c>
    </row>
    <row r="2154" spans="1:3" ht="15" hidden="1" customHeight="1" x14ac:dyDescent="0.3">
      <c r="A2154" t="s">
        <v>184</v>
      </c>
      <c r="B2154" s="2">
        <v>46143</v>
      </c>
      <c r="C2154" s="12">
        <v>17860.55</v>
      </c>
    </row>
    <row r="2155" spans="1:3" ht="15" hidden="1" customHeight="1" x14ac:dyDescent="0.3">
      <c r="A2155" t="s">
        <v>184</v>
      </c>
      <c r="B2155" s="2">
        <v>46174</v>
      </c>
      <c r="C2155">
        <v>14774.05</v>
      </c>
    </row>
    <row r="2156" spans="1:3" ht="15" customHeight="1" x14ac:dyDescent="0.3">
      <c r="A2156" t="s">
        <v>182</v>
      </c>
      <c r="B2156" s="2">
        <v>46204</v>
      </c>
      <c r="C2156">
        <v>6980.78</v>
      </c>
    </row>
    <row r="2157" spans="1:3" ht="15" hidden="1" customHeight="1" x14ac:dyDescent="0.3">
      <c r="A2157" t="s">
        <v>184</v>
      </c>
      <c r="B2157" s="2">
        <v>46235</v>
      </c>
    </row>
    <row r="2158" spans="1:3" ht="15" hidden="1" customHeight="1" x14ac:dyDescent="0.3">
      <c r="A2158" t="s">
        <v>184</v>
      </c>
      <c r="B2158" s="2">
        <v>46266</v>
      </c>
    </row>
    <row r="2159" spans="1:3" ht="15" hidden="1" customHeight="1" x14ac:dyDescent="0.3">
      <c r="A2159" t="s">
        <v>184</v>
      </c>
      <c r="B2159" s="2">
        <v>46296</v>
      </c>
    </row>
    <row r="2160" spans="1:3" ht="15" hidden="1" customHeight="1" x14ac:dyDescent="0.3">
      <c r="A2160" t="s">
        <v>184</v>
      </c>
      <c r="B2160" s="2">
        <v>46327</v>
      </c>
    </row>
    <row r="2161" spans="1:3" ht="15" hidden="1" customHeight="1" x14ac:dyDescent="0.3">
      <c r="A2161" t="s">
        <v>184</v>
      </c>
      <c r="B2161" s="2">
        <v>46357</v>
      </c>
    </row>
    <row r="2162" spans="1:3" ht="15" hidden="1" customHeight="1" x14ac:dyDescent="0.3">
      <c r="A2162" t="s">
        <v>186</v>
      </c>
      <c r="B2162" s="2">
        <v>45292</v>
      </c>
    </row>
    <row r="2163" spans="1:3" ht="15" hidden="1" customHeight="1" x14ac:dyDescent="0.3">
      <c r="A2163" t="s">
        <v>186</v>
      </c>
      <c r="B2163" s="2">
        <v>45323</v>
      </c>
    </row>
    <row r="2164" spans="1:3" ht="15" hidden="1" customHeight="1" x14ac:dyDescent="0.3">
      <c r="A2164" t="s">
        <v>186</v>
      </c>
      <c r="B2164" s="2">
        <v>45352</v>
      </c>
    </row>
    <row r="2165" spans="1:3" ht="15" hidden="1" customHeight="1" x14ac:dyDescent="0.3">
      <c r="A2165" t="s">
        <v>186</v>
      </c>
      <c r="B2165" s="2">
        <v>45383</v>
      </c>
    </row>
    <row r="2166" spans="1:3" ht="15" hidden="1" customHeight="1" x14ac:dyDescent="0.3">
      <c r="A2166" t="s">
        <v>186</v>
      </c>
      <c r="B2166" s="2">
        <v>45413</v>
      </c>
    </row>
    <row r="2167" spans="1:3" ht="15" hidden="1" customHeight="1" x14ac:dyDescent="0.3">
      <c r="A2167" t="s">
        <v>186</v>
      </c>
      <c r="B2167" s="2">
        <v>45444</v>
      </c>
    </row>
    <row r="2168" spans="1:3" ht="15" hidden="1" customHeight="1" x14ac:dyDescent="0.3">
      <c r="A2168" t="s">
        <v>186</v>
      </c>
      <c r="B2168" s="2">
        <v>45474</v>
      </c>
    </row>
    <row r="2169" spans="1:3" ht="15" hidden="1" customHeight="1" x14ac:dyDescent="0.3">
      <c r="A2169" t="s">
        <v>186</v>
      </c>
      <c r="B2169" s="2">
        <v>45505</v>
      </c>
      <c r="C2169">
        <v>3670</v>
      </c>
    </row>
    <row r="2170" spans="1:3" ht="15" hidden="1" customHeight="1" x14ac:dyDescent="0.3">
      <c r="A2170" t="s">
        <v>186</v>
      </c>
      <c r="B2170" s="2">
        <v>45536</v>
      </c>
      <c r="C2170">
        <v>24226</v>
      </c>
    </row>
    <row r="2171" spans="1:3" ht="15" hidden="1" customHeight="1" x14ac:dyDescent="0.3">
      <c r="A2171" t="s">
        <v>186</v>
      </c>
      <c r="B2171" s="2">
        <v>45566</v>
      </c>
      <c r="C2171">
        <v>29060</v>
      </c>
    </row>
    <row r="2172" spans="1:3" ht="15" hidden="1" customHeight="1" x14ac:dyDescent="0.3">
      <c r="A2172" t="s">
        <v>186</v>
      </c>
      <c r="B2172" s="2">
        <v>45597</v>
      </c>
      <c r="C2172">
        <v>28700</v>
      </c>
    </row>
    <row r="2173" spans="1:3" ht="15" hidden="1" customHeight="1" x14ac:dyDescent="0.3">
      <c r="A2173" t="s">
        <v>186</v>
      </c>
      <c r="B2173" s="2">
        <v>45627</v>
      </c>
      <c r="C2173">
        <v>32654</v>
      </c>
    </row>
    <row r="2174" spans="1:3" ht="15" hidden="1" customHeight="1" x14ac:dyDescent="0.3">
      <c r="A2174" t="s">
        <v>186</v>
      </c>
      <c r="B2174" s="2">
        <v>45658</v>
      </c>
      <c r="C2174">
        <v>31900</v>
      </c>
    </row>
    <row r="2175" spans="1:3" ht="15" hidden="1" customHeight="1" x14ac:dyDescent="0.3">
      <c r="A2175" t="s">
        <v>186</v>
      </c>
      <c r="B2175" s="2">
        <v>45689</v>
      </c>
      <c r="C2175">
        <v>24980</v>
      </c>
    </row>
    <row r="2176" spans="1:3" ht="15" hidden="1" customHeight="1" x14ac:dyDescent="0.3">
      <c r="A2176" t="s">
        <v>186</v>
      </c>
      <c r="B2176" s="2">
        <v>45717</v>
      </c>
      <c r="C2176">
        <v>24068</v>
      </c>
    </row>
    <row r="2177" spans="1:3" ht="15" hidden="1" customHeight="1" x14ac:dyDescent="0.3">
      <c r="A2177" t="s">
        <v>186</v>
      </c>
      <c r="B2177" s="2">
        <v>45748</v>
      </c>
      <c r="C2177">
        <v>17329</v>
      </c>
    </row>
    <row r="2178" spans="1:3" ht="15" hidden="1" customHeight="1" x14ac:dyDescent="0.3">
      <c r="A2178" t="s">
        <v>186</v>
      </c>
      <c r="B2178" s="2">
        <v>45778</v>
      </c>
      <c r="C2178">
        <v>19241</v>
      </c>
    </row>
    <row r="2179" spans="1:3" ht="15" hidden="1" customHeight="1" x14ac:dyDescent="0.3">
      <c r="A2179" t="s">
        <v>186</v>
      </c>
      <c r="B2179" s="2">
        <v>45809</v>
      </c>
      <c r="C2179">
        <v>18515.91</v>
      </c>
    </row>
    <row r="2180" spans="1:3" ht="15" hidden="1" customHeight="1" x14ac:dyDescent="0.3">
      <c r="A2180" t="s">
        <v>186</v>
      </c>
      <c r="B2180" s="2">
        <v>45839</v>
      </c>
      <c r="C2180">
        <v>18781</v>
      </c>
    </row>
    <row r="2181" spans="1:3" ht="15" hidden="1" customHeight="1" x14ac:dyDescent="0.3">
      <c r="A2181" t="s">
        <v>186</v>
      </c>
      <c r="B2181" s="2">
        <v>45870</v>
      </c>
      <c r="C2181">
        <v>21235</v>
      </c>
    </row>
    <row r="2182" spans="1:3" ht="15" hidden="1" customHeight="1" x14ac:dyDescent="0.3">
      <c r="A2182" t="s">
        <v>186</v>
      </c>
      <c r="B2182" s="2">
        <v>45901</v>
      </c>
      <c r="C2182">
        <v>23085</v>
      </c>
    </row>
    <row r="2183" spans="1:3" ht="15" hidden="1" customHeight="1" x14ac:dyDescent="0.3">
      <c r="A2183" t="s">
        <v>186</v>
      </c>
      <c r="B2183" s="2">
        <v>45931</v>
      </c>
      <c r="C2183">
        <v>25611</v>
      </c>
    </row>
    <row r="2184" spans="1:3" ht="15" hidden="1" customHeight="1" x14ac:dyDescent="0.3">
      <c r="A2184" t="s">
        <v>186</v>
      </c>
      <c r="B2184" s="2">
        <v>45962</v>
      </c>
      <c r="C2184">
        <v>25276</v>
      </c>
    </row>
    <row r="2185" spans="1:3" ht="15" hidden="1" customHeight="1" x14ac:dyDescent="0.3">
      <c r="A2185" t="s">
        <v>186</v>
      </c>
      <c r="B2185" s="2">
        <v>45992</v>
      </c>
      <c r="C2185">
        <v>28457.1296</v>
      </c>
    </row>
    <row r="2186" spans="1:3" ht="15" hidden="1" customHeight="1" x14ac:dyDescent="0.3">
      <c r="A2186" t="s">
        <v>186</v>
      </c>
      <c r="B2186" s="2">
        <v>46023</v>
      </c>
      <c r="C2186">
        <v>29092</v>
      </c>
    </row>
    <row r="2187" spans="1:3" ht="15" hidden="1" customHeight="1" x14ac:dyDescent="0.3">
      <c r="A2187" t="s">
        <v>186</v>
      </c>
      <c r="B2187" s="2">
        <v>46054</v>
      </c>
      <c r="C2187">
        <v>23486.9398</v>
      </c>
    </row>
    <row r="2188" spans="1:3" ht="15" hidden="1" customHeight="1" x14ac:dyDescent="0.3">
      <c r="A2188" t="s">
        <v>186</v>
      </c>
      <c r="B2188" s="2">
        <v>46082</v>
      </c>
      <c r="C2188">
        <v>22459</v>
      </c>
    </row>
    <row r="2189" spans="1:3" ht="15" hidden="1" customHeight="1" x14ac:dyDescent="0.3">
      <c r="A2189" t="s">
        <v>186</v>
      </c>
      <c r="B2189" s="2">
        <v>46113</v>
      </c>
      <c r="C2189">
        <v>18207.86</v>
      </c>
    </row>
    <row r="2190" spans="1:3" ht="15" hidden="1" customHeight="1" x14ac:dyDescent="0.3">
      <c r="A2190" t="s">
        <v>186</v>
      </c>
      <c r="B2190" s="2">
        <v>46143</v>
      </c>
      <c r="C2190" s="12">
        <v>17848.830000000002</v>
      </c>
    </row>
    <row r="2191" spans="1:3" ht="15" hidden="1" customHeight="1" x14ac:dyDescent="0.3">
      <c r="A2191" t="s">
        <v>186</v>
      </c>
      <c r="B2191" s="2">
        <v>46174</v>
      </c>
      <c r="C2191">
        <v>14983.63</v>
      </c>
    </row>
    <row r="2192" spans="1:3" ht="15" customHeight="1" x14ac:dyDescent="0.3">
      <c r="A2192" t="s">
        <v>184</v>
      </c>
      <c r="B2192" s="2">
        <v>46204</v>
      </c>
      <c r="C2192">
        <v>17814.88</v>
      </c>
    </row>
    <row r="2193" spans="1:3" ht="15" hidden="1" customHeight="1" x14ac:dyDescent="0.3">
      <c r="A2193" t="s">
        <v>186</v>
      </c>
      <c r="B2193" s="2">
        <v>46235</v>
      </c>
    </row>
    <row r="2194" spans="1:3" ht="15" hidden="1" customHeight="1" x14ac:dyDescent="0.3">
      <c r="A2194" t="s">
        <v>186</v>
      </c>
      <c r="B2194" s="2">
        <v>46266</v>
      </c>
    </row>
    <row r="2195" spans="1:3" ht="15" hidden="1" customHeight="1" x14ac:dyDescent="0.3">
      <c r="A2195" t="s">
        <v>186</v>
      </c>
      <c r="B2195" s="2">
        <v>46296</v>
      </c>
    </row>
    <row r="2196" spans="1:3" ht="15" hidden="1" customHeight="1" x14ac:dyDescent="0.3">
      <c r="A2196" t="s">
        <v>186</v>
      </c>
      <c r="B2196" s="2">
        <v>46327</v>
      </c>
    </row>
    <row r="2197" spans="1:3" ht="15" hidden="1" customHeight="1" x14ac:dyDescent="0.3">
      <c r="A2197" t="s">
        <v>186</v>
      </c>
      <c r="B2197" s="2">
        <v>46357</v>
      </c>
    </row>
    <row r="2198" spans="1:3" ht="15" hidden="1" customHeight="1" x14ac:dyDescent="0.3">
      <c r="A2198" t="s">
        <v>188</v>
      </c>
      <c r="B2198" s="2">
        <v>45292</v>
      </c>
    </row>
    <row r="2199" spans="1:3" ht="15" hidden="1" customHeight="1" x14ac:dyDescent="0.3">
      <c r="A2199" t="s">
        <v>188</v>
      </c>
      <c r="B2199" s="2">
        <v>45323</v>
      </c>
    </row>
    <row r="2200" spans="1:3" ht="15" hidden="1" customHeight="1" x14ac:dyDescent="0.3">
      <c r="A2200" t="s">
        <v>188</v>
      </c>
      <c r="B2200" s="2">
        <v>45352</v>
      </c>
    </row>
    <row r="2201" spans="1:3" ht="15" hidden="1" customHeight="1" x14ac:dyDescent="0.3">
      <c r="A2201" t="s">
        <v>188</v>
      </c>
      <c r="B2201" s="2">
        <v>45383</v>
      </c>
    </row>
    <row r="2202" spans="1:3" ht="15" hidden="1" customHeight="1" x14ac:dyDescent="0.3">
      <c r="A2202" t="s">
        <v>188</v>
      </c>
      <c r="B2202" s="2">
        <v>45413</v>
      </c>
    </row>
    <row r="2203" spans="1:3" ht="15" hidden="1" customHeight="1" x14ac:dyDescent="0.3">
      <c r="A2203" t="s">
        <v>188</v>
      </c>
      <c r="B2203" s="2">
        <v>45444</v>
      </c>
    </row>
    <row r="2204" spans="1:3" ht="15" hidden="1" customHeight="1" x14ac:dyDescent="0.3">
      <c r="A2204" t="s">
        <v>188</v>
      </c>
      <c r="B2204" s="2">
        <v>45474</v>
      </c>
    </row>
    <row r="2205" spans="1:3" ht="15" hidden="1" customHeight="1" x14ac:dyDescent="0.3">
      <c r="A2205" t="s">
        <v>188</v>
      </c>
      <c r="B2205" s="2">
        <v>45505</v>
      </c>
    </row>
    <row r="2206" spans="1:3" ht="15" hidden="1" customHeight="1" x14ac:dyDescent="0.3">
      <c r="A2206" t="s">
        <v>188</v>
      </c>
      <c r="B2206" s="2">
        <v>45536</v>
      </c>
      <c r="C2206">
        <v>10570</v>
      </c>
    </row>
    <row r="2207" spans="1:3" ht="15" hidden="1" customHeight="1" x14ac:dyDescent="0.3">
      <c r="A2207" t="s">
        <v>188</v>
      </c>
      <c r="B2207" s="2">
        <v>45566</v>
      </c>
      <c r="C2207">
        <v>18040</v>
      </c>
    </row>
    <row r="2208" spans="1:3" ht="15" hidden="1" customHeight="1" x14ac:dyDescent="0.3">
      <c r="A2208" t="s">
        <v>188</v>
      </c>
      <c r="B2208" s="2">
        <v>45597</v>
      </c>
      <c r="C2208">
        <v>18800</v>
      </c>
    </row>
    <row r="2209" spans="1:3" ht="15" hidden="1" customHeight="1" x14ac:dyDescent="0.3">
      <c r="A2209" t="s">
        <v>188</v>
      </c>
      <c r="B2209" s="2">
        <v>45627</v>
      </c>
      <c r="C2209">
        <v>20883</v>
      </c>
    </row>
    <row r="2210" spans="1:3" ht="15" hidden="1" customHeight="1" x14ac:dyDescent="0.3">
      <c r="A2210" t="s">
        <v>188</v>
      </c>
      <c r="B2210" s="2">
        <v>45658</v>
      </c>
      <c r="C2210">
        <v>20300</v>
      </c>
    </row>
    <row r="2211" spans="1:3" ht="15" hidden="1" customHeight="1" x14ac:dyDescent="0.3">
      <c r="A2211" t="s">
        <v>188</v>
      </c>
      <c r="B2211" s="2">
        <v>45689</v>
      </c>
      <c r="C2211">
        <v>13100</v>
      </c>
    </row>
    <row r="2212" spans="1:3" ht="15" hidden="1" customHeight="1" x14ac:dyDescent="0.3">
      <c r="A2212" t="s">
        <v>188</v>
      </c>
      <c r="B2212" s="2">
        <v>45717</v>
      </c>
      <c r="C2212">
        <v>12342</v>
      </c>
    </row>
    <row r="2213" spans="1:3" ht="15" hidden="1" customHeight="1" x14ac:dyDescent="0.3">
      <c r="A2213" t="s">
        <v>188</v>
      </c>
      <c r="B2213" s="2">
        <v>45748</v>
      </c>
      <c r="C2213">
        <v>10819</v>
      </c>
    </row>
    <row r="2214" spans="1:3" ht="15" hidden="1" customHeight="1" x14ac:dyDescent="0.3">
      <c r="A2214" t="s">
        <v>188</v>
      </c>
      <c r="B2214" s="2">
        <v>45778</v>
      </c>
      <c r="C2214">
        <v>15169</v>
      </c>
    </row>
    <row r="2215" spans="1:3" ht="15" hidden="1" customHeight="1" x14ac:dyDescent="0.3">
      <c r="A2215" t="s">
        <v>188</v>
      </c>
      <c r="B2215" s="2">
        <v>45809</v>
      </c>
      <c r="C2215">
        <v>13081.41</v>
      </c>
    </row>
    <row r="2216" spans="1:3" ht="15" hidden="1" customHeight="1" x14ac:dyDescent="0.3">
      <c r="A2216" t="s">
        <v>188</v>
      </c>
      <c r="B2216" s="2">
        <v>45839</v>
      </c>
      <c r="C2216">
        <v>14154</v>
      </c>
    </row>
    <row r="2217" spans="1:3" ht="15" hidden="1" customHeight="1" x14ac:dyDescent="0.3">
      <c r="A2217" t="s">
        <v>188</v>
      </c>
      <c r="B2217" s="2">
        <v>45870</v>
      </c>
      <c r="C2217">
        <v>16190</v>
      </c>
    </row>
    <row r="2218" spans="1:3" ht="15" hidden="1" customHeight="1" x14ac:dyDescent="0.3">
      <c r="A2218" t="s">
        <v>188</v>
      </c>
      <c r="B2218" s="2">
        <v>45901</v>
      </c>
      <c r="C2218">
        <v>16520</v>
      </c>
    </row>
    <row r="2219" spans="1:3" ht="15" hidden="1" customHeight="1" x14ac:dyDescent="0.3">
      <c r="A2219" t="s">
        <v>188</v>
      </c>
      <c r="B2219" s="2">
        <v>45931</v>
      </c>
      <c r="C2219">
        <v>20440</v>
      </c>
    </row>
    <row r="2220" spans="1:3" ht="15" hidden="1" customHeight="1" x14ac:dyDescent="0.3">
      <c r="A2220" t="s">
        <v>188</v>
      </c>
      <c r="B2220" s="2">
        <v>45962</v>
      </c>
      <c r="C2220">
        <v>17928</v>
      </c>
    </row>
    <row r="2221" spans="1:3" ht="15" hidden="1" customHeight="1" x14ac:dyDescent="0.3">
      <c r="A2221" t="s">
        <v>188</v>
      </c>
      <c r="B2221" s="2">
        <v>45992</v>
      </c>
      <c r="C2221">
        <v>20527.882300000001</v>
      </c>
    </row>
    <row r="2222" spans="1:3" ht="15" hidden="1" customHeight="1" x14ac:dyDescent="0.3">
      <c r="A2222" t="s">
        <v>188</v>
      </c>
      <c r="B2222" s="2">
        <v>46023</v>
      </c>
      <c r="C2222">
        <v>22071</v>
      </c>
    </row>
    <row r="2223" spans="1:3" ht="15" hidden="1" customHeight="1" x14ac:dyDescent="0.3">
      <c r="A2223" t="s">
        <v>188</v>
      </c>
      <c r="B2223" s="2">
        <v>46054</v>
      </c>
      <c r="C2223">
        <v>18965</v>
      </c>
    </row>
    <row r="2224" spans="1:3" ht="15" hidden="1" customHeight="1" x14ac:dyDescent="0.3">
      <c r="A2224" t="s">
        <v>188</v>
      </c>
      <c r="B2224" s="2">
        <v>46082</v>
      </c>
      <c r="C2224">
        <v>15865</v>
      </c>
    </row>
    <row r="2225" spans="1:3" ht="15" hidden="1" customHeight="1" x14ac:dyDescent="0.3">
      <c r="A2225" t="s">
        <v>188</v>
      </c>
      <c r="B2225" s="2">
        <v>46113</v>
      </c>
      <c r="C2225">
        <v>13806.89</v>
      </c>
    </row>
    <row r="2226" spans="1:3" ht="15" hidden="1" customHeight="1" x14ac:dyDescent="0.3">
      <c r="A2226" t="s">
        <v>188</v>
      </c>
      <c r="B2226" s="2">
        <v>46143</v>
      </c>
      <c r="C2226" s="12">
        <v>13506.85</v>
      </c>
    </row>
    <row r="2227" spans="1:3" ht="15" hidden="1" customHeight="1" x14ac:dyDescent="0.3">
      <c r="A2227" t="s">
        <v>188</v>
      </c>
      <c r="B2227" s="2">
        <v>46174</v>
      </c>
      <c r="C2227">
        <v>10711.09</v>
      </c>
    </row>
    <row r="2228" spans="1:3" ht="15" customHeight="1" x14ac:dyDescent="0.3">
      <c r="A2228" t="s">
        <v>186</v>
      </c>
      <c r="B2228" s="2">
        <v>46204</v>
      </c>
      <c r="C2228">
        <v>18234</v>
      </c>
    </row>
    <row r="2229" spans="1:3" ht="15" hidden="1" customHeight="1" x14ac:dyDescent="0.3">
      <c r="A2229" t="s">
        <v>188</v>
      </c>
      <c r="B2229" s="2">
        <v>46235</v>
      </c>
    </row>
    <row r="2230" spans="1:3" ht="15" hidden="1" customHeight="1" x14ac:dyDescent="0.3">
      <c r="A2230" t="s">
        <v>188</v>
      </c>
      <c r="B2230" s="2">
        <v>46266</v>
      </c>
    </row>
    <row r="2231" spans="1:3" ht="15" hidden="1" customHeight="1" x14ac:dyDescent="0.3">
      <c r="A2231" t="s">
        <v>188</v>
      </c>
      <c r="B2231" s="2">
        <v>46296</v>
      </c>
    </row>
    <row r="2232" spans="1:3" ht="15" hidden="1" customHeight="1" x14ac:dyDescent="0.3">
      <c r="A2232" t="s">
        <v>188</v>
      </c>
      <c r="B2232" s="2">
        <v>46327</v>
      </c>
    </row>
    <row r="2233" spans="1:3" ht="15" hidden="1" customHeight="1" x14ac:dyDescent="0.3">
      <c r="A2233" t="s">
        <v>188</v>
      </c>
      <c r="B2233" s="2">
        <v>46357</v>
      </c>
    </row>
    <row r="2234" spans="1:3" ht="15" hidden="1" customHeight="1" x14ac:dyDescent="0.3">
      <c r="A2234" t="s">
        <v>226</v>
      </c>
      <c r="B2234" s="2">
        <v>45292</v>
      </c>
    </row>
    <row r="2235" spans="1:3" ht="15" hidden="1" customHeight="1" x14ac:dyDescent="0.3">
      <c r="A2235" t="s">
        <v>226</v>
      </c>
      <c r="B2235" s="2">
        <v>45323</v>
      </c>
    </row>
    <row r="2236" spans="1:3" ht="15" hidden="1" customHeight="1" x14ac:dyDescent="0.3">
      <c r="A2236" t="s">
        <v>226</v>
      </c>
      <c r="B2236" s="2">
        <v>45352</v>
      </c>
    </row>
    <row r="2237" spans="1:3" ht="15" hidden="1" customHeight="1" x14ac:dyDescent="0.3">
      <c r="A2237" t="s">
        <v>226</v>
      </c>
      <c r="B2237" s="2">
        <v>45383</v>
      </c>
    </row>
    <row r="2238" spans="1:3" ht="15" hidden="1" customHeight="1" x14ac:dyDescent="0.3">
      <c r="A2238" t="s">
        <v>226</v>
      </c>
      <c r="B2238" s="2">
        <v>45413</v>
      </c>
    </row>
    <row r="2239" spans="1:3" ht="15" hidden="1" customHeight="1" x14ac:dyDescent="0.3">
      <c r="A2239" t="s">
        <v>226</v>
      </c>
      <c r="B2239" s="2">
        <v>45444</v>
      </c>
    </row>
    <row r="2240" spans="1:3" ht="15" hidden="1" customHeight="1" x14ac:dyDescent="0.3">
      <c r="A2240" t="s">
        <v>226</v>
      </c>
      <c r="B2240" s="2">
        <v>45474</v>
      </c>
    </row>
    <row r="2241" spans="1:2" ht="15" hidden="1" customHeight="1" x14ac:dyDescent="0.3">
      <c r="A2241" t="s">
        <v>226</v>
      </c>
      <c r="B2241" s="2">
        <v>45505</v>
      </c>
    </row>
    <row r="2242" spans="1:2" ht="15" hidden="1" customHeight="1" x14ac:dyDescent="0.3">
      <c r="A2242" t="s">
        <v>226</v>
      </c>
      <c r="B2242" s="2">
        <v>45536</v>
      </c>
    </row>
    <row r="2243" spans="1:2" ht="15" hidden="1" customHeight="1" x14ac:dyDescent="0.3">
      <c r="A2243" t="s">
        <v>226</v>
      </c>
      <c r="B2243" s="2">
        <v>45566</v>
      </c>
    </row>
    <row r="2244" spans="1:2" ht="15" hidden="1" customHeight="1" x14ac:dyDescent="0.3">
      <c r="A2244" t="s">
        <v>226</v>
      </c>
      <c r="B2244" s="2">
        <v>45597</v>
      </c>
    </row>
    <row r="2245" spans="1:2" ht="15" hidden="1" customHeight="1" x14ac:dyDescent="0.3">
      <c r="A2245" t="s">
        <v>226</v>
      </c>
      <c r="B2245" s="2">
        <v>45627</v>
      </c>
    </row>
    <row r="2246" spans="1:2" ht="15" hidden="1" customHeight="1" x14ac:dyDescent="0.3">
      <c r="A2246" t="s">
        <v>226</v>
      </c>
      <c r="B2246" s="2">
        <v>45658</v>
      </c>
    </row>
    <row r="2247" spans="1:2" ht="15" hidden="1" customHeight="1" x14ac:dyDescent="0.3">
      <c r="A2247" t="s">
        <v>226</v>
      </c>
      <c r="B2247" s="2">
        <v>45689</v>
      </c>
    </row>
    <row r="2248" spans="1:2" ht="15" hidden="1" customHeight="1" x14ac:dyDescent="0.3">
      <c r="A2248" t="s">
        <v>226</v>
      </c>
      <c r="B2248" s="2">
        <v>45717</v>
      </c>
    </row>
    <row r="2249" spans="1:2" ht="15" hidden="1" customHeight="1" x14ac:dyDescent="0.3">
      <c r="A2249" t="s">
        <v>226</v>
      </c>
      <c r="B2249" s="2">
        <v>45748</v>
      </c>
    </row>
    <row r="2250" spans="1:2" ht="15" hidden="1" customHeight="1" x14ac:dyDescent="0.3">
      <c r="A2250" t="s">
        <v>226</v>
      </c>
      <c r="B2250" s="2">
        <v>45778</v>
      </c>
    </row>
    <row r="2251" spans="1:2" ht="15" hidden="1" customHeight="1" x14ac:dyDescent="0.3">
      <c r="A2251" t="s">
        <v>226</v>
      </c>
      <c r="B2251" s="2">
        <v>45809</v>
      </c>
    </row>
    <row r="2252" spans="1:2" ht="15" hidden="1" customHeight="1" x14ac:dyDescent="0.3">
      <c r="A2252" t="s">
        <v>226</v>
      </c>
      <c r="B2252" s="2">
        <v>45839</v>
      </c>
    </row>
    <row r="2253" spans="1:2" ht="15" hidden="1" customHeight="1" x14ac:dyDescent="0.3">
      <c r="A2253" t="s">
        <v>226</v>
      </c>
      <c r="B2253" s="2">
        <v>45870</v>
      </c>
    </row>
    <row r="2254" spans="1:2" ht="15" hidden="1" customHeight="1" x14ac:dyDescent="0.3">
      <c r="A2254" t="s">
        <v>226</v>
      </c>
      <c r="B2254" s="2">
        <v>45901</v>
      </c>
    </row>
    <row r="2255" spans="1:2" ht="15" hidden="1" customHeight="1" x14ac:dyDescent="0.3">
      <c r="A2255" t="s">
        <v>226</v>
      </c>
      <c r="B2255" s="2">
        <v>45931</v>
      </c>
    </row>
    <row r="2256" spans="1:2" ht="15" hidden="1" customHeight="1" x14ac:dyDescent="0.3">
      <c r="A2256" t="s">
        <v>226</v>
      </c>
      <c r="B2256" s="2">
        <v>45962</v>
      </c>
    </row>
    <row r="2257" spans="1:3" ht="15" hidden="1" customHeight="1" x14ac:dyDescent="0.3">
      <c r="A2257" t="s">
        <v>226</v>
      </c>
      <c r="B2257" s="2">
        <v>45992</v>
      </c>
      <c r="C2257">
        <v>18509</v>
      </c>
    </row>
    <row r="2258" spans="1:3" ht="15" hidden="1" customHeight="1" x14ac:dyDescent="0.3">
      <c r="A2258" t="s">
        <v>226</v>
      </c>
      <c r="B2258" s="2">
        <v>46023</v>
      </c>
      <c r="C2258">
        <v>32917</v>
      </c>
    </row>
    <row r="2259" spans="1:3" ht="15" hidden="1" customHeight="1" x14ac:dyDescent="0.3">
      <c r="A2259" t="s">
        <v>226</v>
      </c>
      <c r="B2259" s="2">
        <v>46054</v>
      </c>
      <c r="C2259">
        <v>31107</v>
      </c>
    </row>
    <row r="2260" spans="1:3" ht="15" hidden="1" customHeight="1" x14ac:dyDescent="0.3">
      <c r="A2260" t="s">
        <v>226</v>
      </c>
      <c r="B2260" s="2">
        <v>46082</v>
      </c>
      <c r="C2260">
        <v>26454</v>
      </c>
    </row>
    <row r="2261" spans="1:3" ht="15" hidden="1" customHeight="1" x14ac:dyDescent="0.3">
      <c r="A2261" t="s">
        <v>226</v>
      </c>
      <c r="B2261" s="2">
        <v>46113</v>
      </c>
      <c r="C2261">
        <v>20930.87</v>
      </c>
    </row>
    <row r="2262" spans="1:3" ht="15" hidden="1" customHeight="1" x14ac:dyDescent="0.3">
      <c r="A2262" t="s">
        <v>226</v>
      </c>
      <c r="B2262" s="2">
        <v>46143</v>
      </c>
      <c r="C2262" s="12">
        <v>20539.96</v>
      </c>
    </row>
    <row r="2263" spans="1:3" ht="15" hidden="1" customHeight="1" x14ac:dyDescent="0.3">
      <c r="A2263" t="s">
        <v>226</v>
      </c>
      <c r="B2263" s="2">
        <v>46174</v>
      </c>
      <c r="C2263">
        <v>17006.73</v>
      </c>
    </row>
    <row r="2264" spans="1:3" ht="15" customHeight="1" x14ac:dyDescent="0.3">
      <c r="A2264" t="s">
        <v>188</v>
      </c>
      <c r="B2264" s="2">
        <v>46204</v>
      </c>
      <c r="C2264">
        <v>9106.9599999999991</v>
      </c>
    </row>
    <row r="2265" spans="1:3" ht="15" hidden="1" customHeight="1" x14ac:dyDescent="0.3">
      <c r="A2265" t="s">
        <v>226</v>
      </c>
      <c r="B2265" s="2">
        <v>46235</v>
      </c>
    </row>
    <row r="2266" spans="1:3" ht="15" hidden="1" customHeight="1" x14ac:dyDescent="0.3">
      <c r="A2266" t="s">
        <v>226</v>
      </c>
      <c r="B2266" s="2">
        <v>46266</v>
      </c>
    </row>
    <row r="2267" spans="1:3" ht="15" hidden="1" customHeight="1" x14ac:dyDescent="0.3">
      <c r="A2267" t="s">
        <v>226</v>
      </c>
      <c r="B2267" s="2">
        <v>46296</v>
      </c>
    </row>
    <row r="2268" spans="1:3" ht="15" hidden="1" customHeight="1" x14ac:dyDescent="0.3">
      <c r="A2268" t="s">
        <v>226</v>
      </c>
      <c r="B2268" s="2">
        <v>46327</v>
      </c>
    </row>
    <row r="2269" spans="1:3" ht="15" hidden="1" customHeight="1" x14ac:dyDescent="0.3">
      <c r="A2269" t="s">
        <v>226</v>
      </c>
      <c r="B2269" s="2">
        <v>46357</v>
      </c>
    </row>
    <row r="2270" spans="1:3" ht="15" hidden="1" customHeight="1" x14ac:dyDescent="0.3">
      <c r="A2270" t="s">
        <v>208</v>
      </c>
      <c r="B2270" s="2">
        <v>45292</v>
      </c>
    </row>
    <row r="2271" spans="1:3" ht="15" hidden="1" customHeight="1" x14ac:dyDescent="0.3">
      <c r="A2271" t="s">
        <v>208</v>
      </c>
      <c r="B2271" s="2">
        <v>45323</v>
      </c>
    </row>
    <row r="2272" spans="1:3" ht="15" hidden="1" customHeight="1" x14ac:dyDescent="0.3">
      <c r="A2272" t="s">
        <v>208</v>
      </c>
      <c r="B2272" s="2">
        <v>45352</v>
      </c>
    </row>
    <row r="2273" spans="1:3" ht="15" hidden="1" customHeight="1" x14ac:dyDescent="0.3">
      <c r="A2273" t="s">
        <v>208</v>
      </c>
      <c r="B2273" s="2">
        <v>45383</v>
      </c>
    </row>
    <row r="2274" spans="1:3" ht="15" hidden="1" customHeight="1" x14ac:dyDescent="0.3">
      <c r="A2274" t="s">
        <v>208</v>
      </c>
      <c r="B2274" s="2">
        <v>45413</v>
      </c>
    </row>
    <row r="2275" spans="1:3" ht="15" hidden="1" customHeight="1" x14ac:dyDescent="0.3">
      <c r="A2275" t="s">
        <v>208</v>
      </c>
      <c r="B2275" s="2">
        <v>45444</v>
      </c>
    </row>
    <row r="2276" spans="1:3" ht="15" hidden="1" customHeight="1" x14ac:dyDescent="0.3">
      <c r="A2276" t="s">
        <v>208</v>
      </c>
      <c r="B2276" s="2">
        <v>45474</v>
      </c>
    </row>
    <row r="2277" spans="1:3" ht="15" hidden="1" customHeight="1" x14ac:dyDescent="0.3">
      <c r="A2277" t="s">
        <v>208</v>
      </c>
      <c r="B2277" s="2">
        <v>45505</v>
      </c>
    </row>
    <row r="2278" spans="1:3" ht="15" hidden="1" customHeight="1" x14ac:dyDescent="0.3">
      <c r="A2278" t="s">
        <v>208</v>
      </c>
      <c r="B2278" s="2">
        <v>45536</v>
      </c>
    </row>
    <row r="2279" spans="1:3" ht="15" hidden="1" customHeight="1" x14ac:dyDescent="0.3">
      <c r="A2279" t="s">
        <v>208</v>
      </c>
      <c r="B2279" s="2">
        <v>45566</v>
      </c>
    </row>
    <row r="2280" spans="1:3" ht="15" hidden="1" customHeight="1" x14ac:dyDescent="0.3">
      <c r="A2280" t="s">
        <v>208</v>
      </c>
      <c r="B2280" s="2">
        <v>45597</v>
      </c>
    </row>
    <row r="2281" spans="1:3" ht="15" hidden="1" customHeight="1" x14ac:dyDescent="0.3">
      <c r="A2281" t="s">
        <v>208</v>
      </c>
      <c r="B2281" s="2">
        <v>45627</v>
      </c>
    </row>
    <row r="2282" spans="1:3" ht="15" hidden="1" customHeight="1" x14ac:dyDescent="0.3">
      <c r="A2282" t="s">
        <v>208</v>
      </c>
      <c r="B2282" s="2">
        <v>45658</v>
      </c>
    </row>
    <row r="2283" spans="1:3" ht="15" hidden="1" customHeight="1" x14ac:dyDescent="0.3">
      <c r="A2283" t="s">
        <v>208</v>
      </c>
      <c r="B2283" s="2">
        <v>45689</v>
      </c>
    </row>
    <row r="2284" spans="1:3" ht="15" hidden="1" customHeight="1" x14ac:dyDescent="0.3">
      <c r="A2284" t="s">
        <v>208</v>
      </c>
      <c r="B2284" s="2">
        <v>45717</v>
      </c>
    </row>
    <row r="2285" spans="1:3" ht="15" hidden="1" customHeight="1" x14ac:dyDescent="0.3">
      <c r="A2285" t="s">
        <v>208</v>
      </c>
      <c r="B2285" s="2">
        <v>45748</v>
      </c>
      <c r="C2285">
        <v>4166</v>
      </c>
    </row>
    <row r="2286" spans="1:3" ht="15" hidden="1" customHeight="1" x14ac:dyDescent="0.3">
      <c r="A2286" t="s">
        <v>208</v>
      </c>
      <c r="B2286" s="2">
        <v>45778</v>
      </c>
      <c r="C2286">
        <v>5400</v>
      </c>
    </row>
    <row r="2287" spans="1:3" ht="15" hidden="1" customHeight="1" x14ac:dyDescent="0.3">
      <c r="A2287" t="s">
        <v>208</v>
      </c>
      <c r="B2287" s="2">
        <v>45809</v>
      </c>
      <c r="C2287">
        <v>8687.2999999999993</v>
      </c>
    </row>
    <row r="2288" spans="1:3" ht="15" hidden="1" customHeight="1" x14ac:dyDescent="0.3">
      <c r="A2288" t="s">
        <v>208</v>
      </c>
      <c r="B2288" s="2">
        <v>45839</v>
      </c>
      <c r="C2288">
        <v>7090</v>
      </c>
    </row>
    <row r="2289" spans="1:3" ht="15" hidden="1" customHeight="1" x14ac:dyDescent="0.3">
      <c r="A2289" t="s">
        <v>208</v>
      </c>
      <c r="B2289" s="2">
        <v>45870</v>
      </c>
      <c r="C2289">
        <v>10240</v>
      </c>
    </row>
    <row r="2290" spans="1:3" ht="15" hidden="1" customHeight="1" x14ac:dyDescent="0.3">
      <c r="A2290" t="s">
        <v>208</v>
      </c>
      <c r="B2290" s="2">
        <v>45901</v>
      </c>
      <c r="C2290">
        <v>11379</v>
      </c>
    </row>
    <row r="2291" spans="1:3" ht="15" hidden="1" customHeight="1" x14ac:dyDescent="0.3">
      <c r="A2291" t="s">
        <v>208</v>
      </c>
      <c r="B2291" s="2">
        <v>45931</v>
      </c>
      <c r="C2291">
        <v>16828.7</v>
      </c>
    </row>
    <row r="2292" spans="1:3" ht="15" hidden="1" customHeight="1" x14ac:dyDescent="0.3">
      <c r="A2292" t="s">
        <v>208</v>
      </c>
      <c r="B2292" s="2">
        <v>45962</v>
      </c>
      <c r="C2292">
        <v>15461</v>
      </c>
    </row>
    <row r="2293" spans="1:3" ht="15" hidden="1" customHeight="1" x14ac:dyDescent="0.3">
      <c r="A2293" t="s">
        <v>208</v>
      </c>
      <c r="B2293" s="2">
        <v>45992</v>
      </c>
      <c r="C2293">
        <v>17561</v>
      </c>
    </row>
    <row r="2294" spans="1:3" ht="15" hidden="1" customHeight="1" x14ac:dyDescent="0.3">
      <c r="A2294" t="s">
        <v>208</v>
      </c>
      <c r="B2294" s="2">
        <v>46023</v>
      </c>
      <c r="C2294">
        <v>20127</v>
      </c>
    </row>
    <row r="2295" spans="1:3" ht="15" hidden="1" customHeight="1" x14ac:dyDescent="0.3">
      <c r="A2295" t="s">
        <v>208</v>
      </c>
      <c r="B2295" s="2">
        <v>46054</v>
      </c>
      <c r="C2295">
        <v>16780</v>
      </c>
    </row>
    <row r="2296" spans="1:3" ht="15" hidden="1" customHeight="1" x14ac:dyDescent="0.3">
      <c r="A2296" t="s">
        <v>208</v>
      </c>
      <c r="B2296" s="2">
        <v>46082</v>
      </c>
      <c r="C2296">
        <v>14651</v>
      </c>
    </row>
    <row r="2297" spans="1:3" ht="15" hidden="1" customHeight="1" x14ac:dyDescent="0.3">
      <c r="A2297" t="s">
        <v>208</v>
      </c>
      <c r="B2297" s="2">
        <v>46113</v>
      </c>
      <c r="C2297">
        <v>12498.2</v>
      </c>
    </row>
    <row r="2298" spans="1:3" ht="15" hidden="1" customHeight="1" x14ac:dyDescent="0.3">
      <c r="A2298" t="s">
        <v>208</v>
      </c>
      <c r="B2298" s="2">
        <v>46143</v>
      </c>
      <c r="C2298" s="12">
        <v>11697.82</v>
      </c>
    </row>
    <row r="2299" spans="1:3" ht="15" hidden="1" customHeight="1" x14ac:dyDescent="0.3">
      <c r="A2299" t="s">
        <v>208</v>
      </c>
      <c r="B2299" s="2">
        <v>46174</v>
      </c>
      <c r="C2299">
        <v>9082.64</v>
      </c>
    </row>
    <row r="2300" spans="1:3" ht="15" customHeight="1" x14ac:dyDescent="0.3">
      <c r="A2300" t="s">
        <v>226</v>
      </c>
      <c r="B2300" s="2">
        <v>46204</v>
      </c>
      <c r="C2300">
        <v>17999.1711</v>
      </c>
    </row>
    <row r="2301" spans="1:3" ht="15" hidden="1" customHeight="1" x14ac:dyDescent="0.3">
      <c r="A2301" t="s">
        <v>208</v>
      </c>
      <c r="B2301" s="2">
        <v>46235</v>
      </c>
    </row>
    <row r="2302" spans="1:3" ht="15" hidden="1" customHeight="1" x14ac:dyDescent="0.3">
      <c r="A2302" t="s">
        <v>208</v>
      </c>
      <c r="B2302" s="2">
        <v>46266</v>
      </c>
    </row>
    <row r="2303" spans="1:3" ht="15" hidden="1" customHeight="1" x14ac:dyDescent="0.3">
      <c r="A2303" t="s">
        <v>208</v>
      </c>
      <c r="B2303" s="2">
        <v>46296</v>
      </c>
    </row>
    <row r="2304" spans="1:3" ht="15" hidden="1" customHeight="1" x14ac:dyDescent="0.3">
      <c r="A2304" t="s">
        <v>208</v>
      </c>
      <c r="B2304" s="2">
        <v>46327</v>
      </c>
    </row>
    <row r="2305" spans="1:3" ht="15" hidden="1" customHeight="1" x14ac:dyDescent="0.3">
      <c r="A2305" t="s">
        <v>208</v>
      </c>
      <c r="B2305" s="2">
        <v>46357</v>
      </c>
    </row>
    <row r="2306" spans="1:3" ht="15" hidden="1" customHeight="1" x14ac:dyDescent="0.3">
      <c r="A2306" t="s">
        <v>190</v>
      </c>
      <c r="B2306" s="2">
        <v>45292</v>
      </c>
      <c r="C2306">
        <v>9171</v>
      </c>
    </row>
    <row r="2307" spans="1:3" ht="15" hidden="1" customHeight="1" x14ac:dyDescent="0.3">
      <c r="A2307" t="s">
        <v>190</v>
      </c>
      <c r="B2307" s="2">
        <v>45323</v>
      </c>
      <c r="C2307">
        <v>8406</v>
      </c>
    </row>
    <row r="2308" spans="1:3" ht="15" hidden="1" customHeight="1" x14ac:dyDescent="0.3">
      <c r="A2308" t="s">
        <v>190</v>
      </c>
      <c r="B2308" s="2">
        <v>45352</v>
      </c>
      <c r="C2308">
        <v>9529</v>
      </c>
    </row>
    <row r="2309" spans="1:3" ht="15" hidden="1" customHeight="1" x14ac:dyDescent="0.3">
      <c r="A2309" t="s">
        <v>190</v>
      </c>
      <c r="B2309" s="2">
        <v>45383</v>
      </c>
      <c r="C2309">
        <v>8796</v>
      </c>
    </row>
    <row r="2310" spans="1:3" ht="15" hidden="1" customHeight="1" x14ac:dyDescent="0.3">
      <c r="A2310" t="s">
        <v>190</v>
      </c>
      <c r="B2310" s="2">
        <v>45413</v>
      </c>
      <c r="C2310">
        <v>10039</v>
      </c>
    </row>
    <row r="2311" spans="1:3" ht="15" hidden="1" customHeight="1" x14ac:dyDescent="0.3">
      <c r="A2311" t="s">
        <v>190</v>
      </c>
      <c r="B2311" s="2">
        <v>45444</v>
      </c>
      <c r="C2311">
        <v>10175</v>
      </c>
    </row>
    <row r="2312" spans="1:3" ht="15" hidden="1" customHeight="1" x14ac:dyDescent="0.3">
      <c r="A2312" t="s">
        <v>190</v>
      </c>
      <c r="B2312" s="2">
        <v>45474</v>
      </c>
      <c r="C2312">
        <v>10629</v>
      </c>
    </row>
    <row r="2313" spans="1:3" ht="15" hidden="1" customHeight="1" x14ac:dyDescent="0.3">
      <c r="A2313" t="s">
        <v>190</v>
      </c>
      <c r="B2313" s="2">
        <v>45505</v>
      </c>
      <c r="C2313">
        <v>10264</v>
      </c>
    </row>
    <row r="2314" spans="1:3" ht="15" hidden="1" customHeight="1" x14ac:dyDescent="0.3">
      <c r="A2314" t="s">
        <v>190</v>
      </c>
      <c r="B2314" s="2">
        <v>45536</v>
      </c>
      <c r="C2314">
        <v>9192</v>
      </c>
    </row>
    <row r="2315" spans="1:3" ht="15" hidden="1" customHeight="1" x14ac:dyDescent="0.3">
      <c r="A2315" t="s">
        <v>190</v>
      </c>
      <c r="B2315" s="2">
        <v>45566</v>
      </c>
      <c r="C2315">
        <v>10175</v>
      </c>
    </row>
    <row r="2316" spans="1:3" ht="15" hidden="1" customHeight="1" x14ac:dyDescent="0.3">
      <c r="A2316" t="s">
        <v>190</v>
      </c>
      <c r="B2316" s="2">
        <v>45597</v>
      </c>
      <c r="C2316">
        <v>9431</v>
      </c>
    </row>
    <row r="2317" spans="1:3" ht="15" hidden="1" customHeight="1" x14ac:dyDescent="0.3">
      <c r="A2317" t="s">
        <v>190</v>
      </c>
      <c r="B2317" s="2">
        <v>45627</v>
      </c>
      <c r="C2317">
        <v>9104</v>
      </c>
    </row>
    <row r="2318" spans="1:3" ht="15" hidden="1" customHeight="1" x14ac:dyDescent="0.3">
      <c r="A2318" t="s">
        <v>190</v>
      </c>
      <c r="B2318" s="2">
        <v>45658</v>
      </c>
      <c r="C2318">
        <v>5093</v>
      </c>
    </row>
    <row r="2319" spans="1:3" ht="15" hidden="1" customHeight="1" x14ac:dyDescent="0.3">
      <c r="A2319" t="s">
        <v>190</v>
      </c>
      <c r="B2319" s="2">
        <v>45689</v>
      </c>
      <c r="C2319">
        <v>7532</v>
      </c>
    </row>
    <row r="2320" spans="1:3" ht="15" hidden="1" customHeight="1" x14ac:dyDescent="0.3">
      <c r="A2320" t="s">
        <v>190</v>
      </c>
      <c r="B2320" s="2">
        <v>45717</v>
      </c>
      <c r="C2320">
        <v>7375</v>
      </c>
    </row>
    <row r="2321" spans="1:3" ht="15" hidden="1" customHeight="1" x14ac:dyDescent="0.3">
      <c r="A2321" t="s">
        <v>190</v>
      </c>
      <c r="B2321" s="2">
        <v>45748</v>
      </c>
      <c r="C2321">
        <v>7602</v>
      </c>
    </row>
    <row r="2322" spans="1:3" ht="15" hidden="1" customHeight="1" x14ac:dyDescent="0.3">
      <c r="A2322" t="s">
        <v>190</v>
      </c>
      <c r="B2322" s="2">
        <v>45778</v>
      </c>
      <c r="C2322">
        <v>10378</v>
      </c>
    </row>
    <row r="2323" spans="1:3" ht="15" hidden="1" customHeight="1" x14ac:dyDescent="0.3">
      <c r="A2323" t="s">
        <v>190</v>
      </c>
      <c r="B2323" s="2">
        <v>45809</v>
      </c>
      <c r="C2323">
        <v>10510.45</v>
      </c>
    </row>
    <row r="2324" spans="1:3" ht="15" hidden="1" customHeight="1" x14ac:dyDescent="0.3">
      <c r="A2324" t="s">
        <v>190</v>
      </c>
      <c r="B2324" s="2">
        <v>45839</v>
      </c>
      <c r="C2324">
        <v>9750</v>
      </c>
    </row>
    <row r="2325" spans="1:3" ht="15" hidden="1" customHeight="1" x14ac:dyDescent="0.3">
      <c r="A2325" t="s">
        <v>190</v>
      </c>
      <c r="B2325" s="2">
        <v>45870</v>
      </c>
      <c r="C2325">
        <v>10081</v>
      </c>
    </row>
    <row r="2326" spans="1:3" ht="15" hidden="1" customHeight="1" x14ac:dyDescent="0.3">
      <c r="A2326" t="s">
        <v>190</v>
      </c>
      <c r="B2326" s="2">
        <v>45901</v>
      </c>
      <c r="C2326">
        <v>11225</v>
      </c>
    </row>
    <row r="2327" spans="1:3" ht="15" hidden="1" customHeight="1" x14ac:dyDescent="0.3">
      <c r="A2327" t="s">
        <v>190</v>
      </c>
      <c r="B2327" s="2">
        <v>45931</v>
      </c>
      <c r="C2327">
        <v>9885</v>
      </c>
    </row>
    <row r="2328" spans="1:3" ht="15" hidden="1" customHeight="1" x14ac:dyDescent="0.3">
      <c r="A2328" t="s">
        <v>190</v>
      </c>
      <c r="B2328" s="2">
        <v>45962</v>
      </c>
      <c r="C2328">
        <v>8679</v>
      </c>
    </row>
    <row r="2329" spans="1:3" ht="15" hidden="1" customHeight="1" x14ac:dyDescent="0.3">
      <c r="A2329" t="s">
        <v>190</v>
      </c>
      <c r="B2329" s="2">
        <v>45992</v>
      </c>
      <c r="C2329">
        <v>9967</v>
      </c>
    </row>
    <row r="2330" spans="1:3" ht="15" hidden="1" customHeight="1" x14ac:dyDescent="0.3">
      <c r="A2330" t="s">
        <v>190</v>
      </c>
      <c r="B2330" s="2">
        <v>46023</v>
      </c>
      <c r="C2330">
        <v>9751</v>
      </c>
    </row>
    <row r="2331" spans="1:3" ht="15" hidden="1" customHeight="1" x14ac:dyDescent="0.3">
      <c r="A2331" t="s">
        <v>190</v>
      </c>
      <c r="B2331" s="2">
        <v>46054</v>
      </c>
      <c r="C2331">
        <v>8451</v>
      </c>
    </row>
    <row r="2332" spans="1:3" ht="15" hidden="1" customHeight="1" x14ac:dyDescent="0.3">
      <c r="A2332" t="s">
        <v>190</v>
      </c>
      <c r="B2332" s="2">
        <v>46082</v>
      </c>
      <c r="C2332">
        <v>8559</v>
      </c>
    </row>
    <row r="2333" spans="1:3" ht="15" hidden="1" customHeight="1" x14ac:dyDescent="0.3">
      <c r="A2333" t="s">
        <v>190</v>
      </c>
      <c r="B2333" s="2">
        <v>46113</v>
      </c>
      <c r="C2333">
        <v>7937.13</v>
      </c>
    </row>
    <row r="2334" spans="1:3" ht="15" hidden="1" customHeight="1" x14ac:dyDescent="0.3">
      <c r="A2334" t="s">
        <v>190</v>
      </c>
      <c r="B2334" s="2">
        <v>46143</v>
      </c>
      <c r="C2334" s="12">
        <v>10005.799999999999</v>
      </c>
    </row>
    <row r="2335" spans="1:3" ht="15" hidden="1" customHeight="1" x14ac:dyDescent="0.3">
      <c r="A2335" t="s">
        <v>190</v>
      </c>
      <c r="B2335" s="2">
        <v>46174</v>
      </c>
      <c r="C2335">
        <v>9053</v>
      </c>
    </row>
    <row r="2336" spans="1:3" ht="15" customHeight="1" x14ac:dyDescent="0.3">
      <c r="A2336" t="s">
        <v>208</v>
      </c>
      <c r="B2336" s="2">
        <v>46204</v>
      </c>
      <c r="C2336">
        <v>7916.06</v>
      </c>
    </row>
    <row r="2337" spans="1:3" ht="15" hidden="1" customHeight="1" x14ac:dyDescent="0.3">
      <c r="A2337" t="s">
        <v>190</v>
      </c>
      <c r="B2337" s="2">
        <v>46235</v>
      </c>
    </row>
    <row r="2338" spans="1:3" ht="15" hidden="1" customHeight="1" x14ac:dyDescent="0.3">
      <c r="A2338" t="s">
        <v>190</v>
      </c>
      <c r="B2338" s="2">
        <v>46266</v>
      </c>
    </row>
    <row r="2339" spans="1:3" ht="15" hidden="1" customHeight="1" x14ac:dyDescent="0.3">
      <c r="A2339" t="s">
        <v>190</v>
      </c>
      <c r="B2339" s="2">
        <v>46296</v>
      </c>
    </row>
    <row r="2340" spans="1:3" ht="15" hidden="1" customHeight="1" x14ac:dyDescent="0.3">
      <c r="A2340" t="s">
        <v>190</v>
      </c>
      <c r="B2340" s="2">
        <v>46327</v>
      </c>
    </row>
    <row r="2341" spans="1:3" ht="15" hidden="1" customHeight="1" x14ac:dyDescent="0.3">
      <c r="A2341" t="s">
        <v>190</v>
      </c>
      <c r="B2341" s="2">
        <v>46357</v>
      </c>
    </row>
    <row r="2342" spans="1:3" ht="15" hidden="1" customHeight="1" x14ac:dyDescent="0.3">
      <c r="A2342" t="s">
        <v>199</v>
      </c>
      <c r="B2342" s="2">
        <v>45292</v>
      </c>
      <c r="C2342">
        <v>3404</v>
      </c>
    </row>
    <row r="2343" spans="1:3" ht="15" hidden="1" customHeight="1" x14ac:dyDescent="0.3">
      <c r="A2343" t="s">
        <v>199</v>
      </c>
      <c r="B2343" s="2">
        <v>45323</v>
      </c>
      <c r="C2343">
        <v>3408</v>
      </c>
    </row>
    <row r="2344" spans="1:3" ht="15" hidden="1" customHeight="1" x14ac:dyDescent="0.3">
      <c r="A2344" t="s">
        <v>199</v>
      </c>
      <c r="B2344" s="2">
        <v>45352</v>
      </c>
      <c r="C2344">
        <v>3131</v>
      </c>
    </row>
    <row r="2345" spans="1:3" ht="15" hidden="1" customHeight="1" x14ac:dyDescent="0.3">
      <c r="A2345" t="s">
        <v>199</v>
      </c>
      <c r="B2345" s="2">
        <v>45383</v>
      </c>
      <c r="C2345">
        <v>2829</v>
      </c>
    </row>
    <row r="2346" spans="1:3" ht="15" hidden="1" customHeight="1" x14ac:dyDescent="0.3">
      <c r="A2346" t="s">
        <v>199</v>
      </c>
      <c r="B2346" s="2">
        <v>45413</v>
      </c>
      <c r="C2346">
        <v>3129</v>
      </c>
    </row>
    <row r="2347" spans="1:3" ht="15" hidden="1" customHeight="1" x14ac:dyDescent="0.3">
      <c r="A2347" t="s">
        <v>199</v>
      </c>
      <c r="B2347" s="2">
        <v>45444</v>
      </c>
      <c r="C2347">
        <v>2591</v>
      </c>
    </row>
    <row r="2348" spans="1:3" ht="15" hidden="1" customHeight="1" x14ac:dyDescent="0.3">
      <c r="A2348" t="s">
        <v>199</v>
      </c>
      <c r="B2348" s="2">
        <v>45474</v>
      </c>
      <c r="C2348">
        <v>3122</v>
      </c>
    </row>
    <row r="2349" spans="1:3" ht="15" hidden="1" customHeight="1" x14ac:dyDescent="0.3">
      <c r="A2349" t="s">
        <v>199</v>
      </c>
      <c r="B2349" s="2">
        <v>45505</v>
      </c>
      <c r="C2349">
        <v>2990</v>
      </c>
    </row>
    <row r="2350" spans="1:3" ht="15" hidden="1" customHeight="1" x14ac:dyDescent="0.3">
      <c r="A2350" t="s">
        <v>199</v>
      </c>
      <c r="B2350" s="2">
        <v>45536</v>
      </c>
      <c r="C2350">
        <v>2990</v>
      </c>
    </row>
    <row r="2351" spans="1:3" ht="15" hidden="1" customHeight="1" x14ac:dyDescent="0.3">
      <c r="A2351" t="s">
        <v>199</v>
      </c>
      <c r="B2351" s="2">
        <v>45566</v>
      </c>
      <c r="C2351">
        <v>4061</v>
      </c>
    </row>
    <row r="2352" spans="1:3" ht="15" hidden="1" customHeight="1" x14ac:dyDescent="0.3">
      <c r="A2352" t="s">
        <v>199</v>
      </c>
      <c r="B2352" s="2">
        <v>45597</v>
      </c>
      <c r="C2352">
        <v>3991</v>
      </c>
    </row>
    <row r="2353" spans="1:3" ht="15" hidden="1" customHeight="1" x14ac:dyDescent="0.3">
      <c r="A2353" t="s">
        <v>199</v>
      </c>
      <c r="B2353" s="2">
        <v>45627</v>
      </c>
      <c r="C2353">
        <v>3569</v>
      </c>
    </row>
    <row r="2354" spans="1:3" ht="15" hidden="1" customHeight="1" x14ac:dyDescent="0.3">
      <c r="A2354" t="s">
        <v>199</v>
      </c>
      <c r="B2354" s="2">
        <v>45658</v>
      </c>
      <c r="C2354">
        <v>3838</v>
      </c>
    </row>
    <row r="2355" spans="1:3" ht="15" hidden="1" customHeight="1" x14ac:dyDescent="0.3">
      <c r="A2355" t="s">
        <v>199</v>
      </c>
      <c r="B2355" s="2">
        <v>45689</v>
      </c>
      <c r="C2355">
        <v>2653</v>
      </c>
    </row>
    <row r="2356" spans="1:3" ht="15" hidden="1" customHeight="1" x14ac:dyDescent="0.3">
      <c r="A2356" t="s">
        <v>199</v>
      </c>
      <c r="B2356" s="2">
        <v>45717</v>
      </c>
      <c r="C2356">
        <v>2925</v>
      </c>
    </row>
    <row r="2357" spans="1:3" ht="15" hidden="1" customHeight="1" x14ac:dyDescent="0.3">
      <c r="A2357" t="s">
        <v>199</v>
      </c>
      <c r="B2357" s="2">
        <v>45748</v>
      </c>
      <c r="C2357">
        <v>2246</v>
      </c>
    </row>
    <row r="2358" spans="1:3" ht="15" hidden="1" customHeight="1" x14ac:dyDescent="0.3">
      <c r="A2358" t="s">
        <v>199</v>
      </c>
      <c r="B2358" s="2">
        <v>45778</v>
      </c>
      <c r="C2358">
        <v>3149</v>
      </c>
    </row>
    <row r="2359" spans="1:3" ht="15" hidden="1" customHeight="1" x14ac:dyDescent="0.3">
      <c r="A2359" t="s">
        <v>199</v>
      </c>
      <c r="B2359" s="2">
        <v>45809</v>
      </c>
      <c r="C2359">
        <v>2654.45</v>
      </c>
    </row>
    <row r="2360" spans="1:3" ht="15" hidden="1" customHeight="1" x14ac:dyDescent="0.3">
      <c r="A2360" t="s">
        <v>199</v>
      </c>
      <c r="B2360" s="2">
        <v>45839</v>
      </c>
      <c r="C2360">
        <v>2863</v>
      </c>
    </row>
    <row r="2361" spans="1:3" ht="15" hidden="1" customHeight="1" x14ac:dyDescent="0.3">
      <c r="A2361" t="s">
        <v>199</v>
      </c>
      <c r="B2361" s="2">
        <v>45870</v>
      </c>
      <c r="C2361">
        <v>3192</v>
      </c>
    </row>
    <row r="2362" spans="1:3" ht="15" hidden="1" customHeight="1" x14ac:dyDescent="0.3">
      <c r="A2362" t="s">
        <v>199</v>
      </c>
      <c r="B2362" s="2">
        <v>45901</v>
      </c>
      <c r="C2362">
        <v>3092</v>
      </c>
    </row>
    <row r="2363" spans="1:3" ht="15" hidden="1" customHeight="1" x14ac:dyDescent="0.3">
      <c r="A2363" t="s">
        <v>199</v>
      </c>
      <c r="B2363" s="2">
        <v>45931</v>
      </c>
      <c r="C2363">
        <v>3600</v>
      </c>
    </row>
    <row r="2364" spans="1:3" ht="15" hidden="1" customHeight="1" x14ac:dyDescent="0.3">
      <c r="A2364" t="s">
        <v>199</v>
      </c>
      <c r="B2364" s="2">
        <v>45962</v>
      </c>
      <c r="C2364">
        <v>2755</v>
      </c>
    </row>
    <row r="2365" spans="1:3" ht="15" hidden="1" customHeight="1" x14ac:dyDescent="0.3">
      <c r="A2365" t="s">
        <v>199</v>
      </c>
      <c r="B2365" s="2">
        <v>45992</v>
      </c>
      <c r="C2365">
        <v>3248</v>
      </c>
    </row>
    <row r="2366" spans="1:3" ht="15" hidden="1" customHeight="1" x14ac:dyDescent="0.3">
      <c r="A2366" t="s">
        <v>199</v>
      </c>
      <c r="B2366" s="2">
        <v>46023</v>
      </c>
      <c r="C2366">
        <v>3546</v>
      </c>
    </row>
    <row r="2367" spans="1:3" ht="15" hidden="1" customHeight="1" x14ac:dyDescent="0.3">
      <c r="A2367" t="s">
        <v>199</v>
      </c>
      <c r="B2367" s="2">
        <v>46054</v>
      </c>
      <c r="C2367">
        <v>3398</v>
      </c>
    </row>
    <row r="2368" spans="1:3" ht="15" hidden="1" customHeight="1" x14ac:dyDescent="0.3">
      <c r="A2368" t="s">
        <v>199</v>
      </c>
      <c r="B2368" s="2">
        <v>46082</v>
      </c>
      <c r="C2368">
        <v>2638</v>
      </c>
    </row>
    <row r="2369" spans="1:3" ht="15" hidden="1" customHeight="1" x14ac:dyDescent="0.3">
      <c r="A2369" t="s">
        <v>199</v>
      </c>
      <c r="B2369" s="2">
        <v>46113</v>
      </c>
      <c r="C2369">
        <v>2034.35</v>
      </c>
    </row>
    <row r="2370" spans="1:3" ht="15" hidden="1" customHeight="1" x14ac:dyDescent="0.3">
      <c r="A2370" t="s">
        <v>199</v>
      </c>
      <c r="B2370" s="2">
        <v>46143</v>
      </c>
      <c r="C2370" s="12">
        <v>2231.41</v>
      </c>
    </row>
    <row r="2371" spans="1:3" ht="15" hidden="1" customHeight="1" x14ac:dyDescent="0.3">
      <c r="A2371" t="s">
        <v>199</v>
      </c>
      <c r="B2371" s="2">
        <v>46174</v>
      </c>
      <c r="C2371">
        <v>1788</v>
      </c>
    </row>
    <row r="2372" spans="1:3" ht="15" customHeight="1" x14ac:dyDescent="0.3">
      <c r="A2372" t="s">
        <v>190</v>
      </c>
      <c r="B2372" s="2">
        <v>46204</v>
      </c>
      <c r="C2372">
        <v>9713.4699999999993</v>
      </c>
    </row>
    <row r="2373" spans="1:3" ht="15" hidden="1" customHeight="1" x14ac:dyDescent="0.3">
      <c r="A2373" t="s">
        <v>199</v>
      </c>
      <c r="B2373" s="2">
        <v>46235</v>
      </c>
    </row>
    <row r="2374" spans="1:3" ht="15" hidden="1" customHeight="1" x14ac:dyDescent="0.3">
      <c r="A2374" t="s">
        <v>199</v>
      </c>
      <c r="B2374" s="2">
        <v>46266</v>
      </c>
    </row>
    <row r="2375" spans="1:3" ht="15" hidden="1" customHeight="1" x14ac:dyDescent="0.3">
      <c r="A2375" t="s">
        <v>199</v>
      </c>
      <c r="B2375" s="2">
        <v>46296</v>
      </c>
    </row>
    <row r="2376" spans="1:3" ht="15" hidden="1" customHeight="1" x14ac:dyDescent="0.3">
      <c r="A2376" t="s">
        <v>199</v>
      </c>
      <c r="B2376" s="2">
        <v>46327</v>
      </c>
    </row>
    <row r="2377" spans="1:3" ht="15" hidden="1" customHeight="1" x14ac:dyDescent="0.3">
      <c r="A2377" t="s">
        <v>199</v>
      </c>
      <c r="B2377" s="2">
        <v>46357</v>
      </c>
    </row>
    <row r="2378" spans="1:3" ht="15" hidden="1" customHeight="1" x14ac:dyDescent="0.3">
      <c r="A2378" t="s">
        <v>192</v>
      </c>
      <c r="B2378" s="2">
        <v>45292</v>
      </c>
    </row>
    <row r="2379" spans="1:3" ht="15" hidden="1" customHeight="1" x14ac:dyDescent="0.3">
      <c r="A2379" t="s">
        <v>192</v>
      </c>
      <c r="B2379" s="2">
        <v>45323</v>
      </c>
    </row>
    <row r="2380" spans="1:3" ht="15" hidden="1" customHeight="1" x14ac:dyDescent="0.3">
      <c r="A2380" t="s">
        <v>192</v>
      </c>
      <c r="B2380" s="2">
        <v>45352</v>
      </c>
    </row>
    <row r="2381" spans="1:3" ht="15" hidden="1" customHeight="1" x14ac:dyDescent="0.3">
      <c r="A2381" t="s">
        <v>192</v>
      </c>
      <c r="B2381" s="2">
        <v>45383</v>
      </c>
    </row>
    <row r="2382" spans="1:3" ht="15" hidden="1" customHeight="1" x14ac:dyDescent="0.3">
      <c r="A2382" t="s">
        <v>192</v>
      </c>
      <c r="B2382" s="2">
        <v>45413</v>
      </c>
    </row>
    <row r="2383" spans="1:3" ht="15" hidden="1" customHeight="1" x14ac:dyDescent="0.3">
      <c r="A2383" t="s">
        <v>192</v>
      </c>
      <c r="B2383" s="2">
        <v>45444</v>
      </c>
    </row>
    <row r="2384" spans="1:3" ht="15" hidden="1" customHeight="1" x14ac:dyDescent="0.3">
      <c r="A2384" t="s">
        <v>192</v>
      </c>
      <c r="B2384" s="2">
        <v>45474</v>
      </c>
    </row>
    <row r="2385" spans="1:2" ht="15" hidden="1" customHeight="1" x14ac:dyDescent="0.3">
      <c r="A2385" t="s">
        <v>192</v>
      </c>
      <c r="B2385" s="2">
        <v>45505</v>
      </c>
    </row>
    <row r="2386" spans="1:2" ht="15" hidden="1" customHeight="1" x14ac:dyDescent="0.3">
      <c r="A2386" t="s">
        <v>192</v>
      </c>
      <c r="B2386" s="2">
        <v>45536</v>
      </c>
    </row>
    <row r="2387" spans="1:2" ht="15" hidden="1" customHeight="1" x14ac:dyDescent="0.3">
      <c r="A2387" t="s">
        <v>192</v>
      </c>
      <c r="B2387" s="2">
        <v>45566</v>
      </c>
    </row>
    <row r="2388" spans="1:2" ht="15" hidden="1" customHeight="1" x14ac:dyDescent="0.3">
      <c r="A2388" t="s">
        <v>192</v>
      </c>
      <c r="B2388" s="2">
        <v>45597</v>
      </c>
    </row>
    <row r="2389" spans="1:2" ht="15" hidden="1" customHeight="1" x14ac:dyDescent="0.3">
      <c r="A2389" t="s">
        <v>192</v>
      </c>
      <c r="B2389" s="2">
        <v>45627</v>
      </c>
    </row>
    <row r="2390" spans="1:2" ht="15" hidden="1" customHeight="1" x14ac:dyDescent="0.3">
      <c r="A2390" t="s">
        <v>192</v>
      </c>
      <c r="B2390" s="2">
        <v>45658</v>
      </c>
    </row>
    <row r="2391" spans="1:2" ht="15" hidden="1" customHeight="1" x14ac:dyDescent="0.3">
      <c r="A2391" t="s">
        <v>192</v>
      </c>
      <c r="B2391" s="2">
        <v>45689</v>
      </c>
    </row>
    <row r="2392" spans="1:2" ht="15" hidden="1" customHeight="1" x14ac:dyDescent="0.3">
      <c r="A2392" t="s">
        <v>192</v>
      </c>
      <c r="B2392" s="2">
        <v>45717</v>
      </c>
    </row>
    <row r="2393" spans="1:2" ht="15" hidden="1" customHeight="1" x14ac:dyDescent="0.3">
      <c r="A2393" t="s">
        <v>192</v>
      </c>
      <c r="B2393" s="2">
        <v>45748</v>
      </c>
    </row>
    <row r="2394" spans="1:2" ht="15" hidden="1" customHeight="1" x14ac:dyDescent="0.3">
      <c r="A2394" t="s">
        <v>192</v>
      </c>
      <c r="B2394" s="2">
        <v>45778</v>
      </c>
    </row>
    <row r="2395" spans="1:2" ht="15" hidden="1" customHeight="1" x14ac:dyDescent="0.3">
      <c r="A2395" t="s">
        <v>192</v>
      </c>
      <c r="B2395" s="2">
        <v>45809</v>
      </c>
    </row>
    <row r="2396" spans="1:2" ht="15" hidden="1" customHeight="1" x14ac:dyDescent="0.3">
      <c r="A2396" t="s">
        <v>192</v>
      </c>
      <c r="B2396" s="2">
        <v>45839</v>
      </c>
    </row>
    <row r="2397" spans="1:2" ht="15" hidden="1" customHeight="1" x14ac:dyDescent="0.3">
      <c r="A2397" t="s">
        <v>192</v>
      </c>
      <c r="B2397" s="2">
        <v>45870</v>
      </c>
    </row>
    <row r="2398" spans="1:2" ht="15" hidden="1" customHeight="1" x14ac:dyDescent="0.3">
      <c r="A2398" t="s">
        <v>192</v>
      </c>
      <c r="B2398" s="2">
        <v>45901</v>
      </c>
    </row>
    <row r="2399" spans="1:2" ht="15" hidden="1" customHeight="1" x14ac:dyDescent="0.3">
      <c r="A2399" t="s">
        <v>192</v>
      </c>
      <c r="B2399" s="2">
        <v>45931</v>
      </c>
    </row>
    <row r="2400" spans="1:2" ht="15" hidden="1" customHeight="1" x14ac:dyDescent="0.3">
      <c r="A2400" t="s">
        <v>192</v>
      </c>
      <c r="B2400" s="2">
        <v>45962</v>
      </c>
    </row>
    <row r="2401" spans="1:3" ht="15" hidden="1" customHeight="1" x14ac:dyDescent="0.3">
      <c r="A2401" t="s">
        <v>192</v>
      </c>
      <c r="B2401" s="2">
        <v>45992</v>
      </c>
    </row>
    <row r="2402" spans="1:3" ht="15" hidden="1" customHeight="1" x14ac:dyDescent="0.3">
      <c r="A2402" t="s">
        <v>192</v>
      </c>
      <c r="B2402" s="2">
        <v>46023</v>
      </c>
    </row>
    <row r="2403" spans="1:3" ht="15" hidden="1" customHeight="1" x14ac:dyDescent="0.3">
      <c r="A2403" t="s">
        <v>192</v>
      </c>
      <c r="B2403" s="2">
        <v>46054</v>
      </c>
    </row>
    <row r="2404" spans="1:3" ht="15" hidden="1" customHeight="1" x14ac:dyDescent="0.3">
      <c r="A2404" t="s">
        <v>192</v>
      </c>
      <c r="B2404" s="2">
        <v>46082</v>
      </c>
    </row>
    <row r="2405" spans="1:3" ht="15" hidden="1" customHeight="1" x14ac:dyDescent="0.3">
      <c r="A2405" t="s">
        <v>192</v>
      </c>
      <c r="B2405" s="2">
        <v>46113</v>
      </c>
    </row>
    <row r="2406" spans="1:3" ht="15" hidden="1" customHeight="1" x14ac:dyDescent="0.3">
      <c r="A2406" t="s">
        <v>192</v>
      </c>
      <c r="B2406" s="2">
        <v>46143</v>
      </c>
      <c r="C2406" s="12"/>
    </row>
    <row r="2407" spans="1:3" ht="15" hidden="1" customHeight="1" x14ac:dyDescent="0.3">
      <c r="A2407" t="s">
        <v>192</v>
      </c>
      <c r="B2407" s="2">
        <v>46174</v>
      </c>
    </row>
    <row r="2408" spans="1:3" ht="15" customHeight="1" x14ac:dyDescent="0.3">
      <c r="A2408" t="s">
        <v>213</v>
      </c>
      <c r="B2408" s="2">
        <v>46204</v>
      </c>
      <c r="C2408">
        <v>2899</v>
      </c>
    </row>
    <row r="2409" spans="1:3" ht="15" hidden="1" customHeight="1" x14ac:dyDescent="0.3">
      <c r="A2409" t="s">
        <v>192</v>
      </c>
      <c r="B2409" s="2">
        <v>46235</v>
      </c>
    </row>
    <row r="2410" spans="1:3" ht="15" hidden="1" customHeight="1" x14ac:dyDescent="0.3">
      <c r="A2410" t="s">
        <v>192</v>
      </c>
      <c r="B2410" s="2">
        <v>46266</v>
      </c>
    </row>
    <row r="2411" spans="1:3" ht="15" hidden="1" customHeight="1" x14ac:dyDescent="0.3">
      <c r="A2411" t="s">
        <v>192</v>
      </c>
      <c r="B2411" s="2">
        <v>46296</v>
      </c>
    </row>
    <row r="2412" spans="1:3" ht="15" hidden="1" customHeight="1" x14ac:dyDescent="0.3">
      <c r="A2412" t="s">
        <v>192</v>
      </c>
      <c r="B2412" s="2">
        <v>46327</v>
      </c>
    </row>
    <row r="2413" spans="1:3" ht="15" hidden="1" customHeight="1" x14ac:dyDescent="0.3">
      <c r="A2413" t="s">
        <v>192</v>
      </c>
      <c r="B2413" s="2">
        <v>46357</v>
      </c>
    </row>
    <row r="2414" spans="1:3" ht="15" hidden="1" customHeight="1" x14ac:dyDescent="0.3">
      <c r="A2414" t="s">
        <v>194</v>
      </c>
      <c r="B2414" s="2">
        <v>45292</v>
      </c>
      <c r="C2414">
        <v>6142</v>
      </c>
    </row>
    <row r="2415" spans="1:3" ht="15" hidden="1" customHeight="1" x14ac:dyDescent="0.3">
      <c r="A2415" t="s">
        <v>194</v>
      </c>
      <c r="B2415" s="2">
        <v>45323</v>
      </c>
      <c r="C2415">
        <v>5738</v>
      </c>
    </row>
    <row r="2416" spans="1:3" ht="15" hidden="1" customHeight="1" x14ac:dyDescent="0.3">
      <c r="A2416" t="s">
        <v>194</v>
      </c>
      <c r="B2416" s="2">
        <v>45352</v>
      </c>
      <c r="C2416">
        <v>5912</v>
      </c>
    </row>
    <row r="2417" spans="1:3" ht="15" hidden="1" customHeight="1" x14ac:dyDescent="0.3">
      <c r="A2417" t="s">
        <v>194</v>
      </c>
      <c r="B2417" s="2">
        <v>45383</v>
      </c>
      <c r="C2417">
        <v>4354</v>
      </c>
    </row>
    <row r="2418" spans="1:3" ht="15" hidden="1" customHeight="1" x14ac:dyDescent="0.3">
      <c r="A2418" t="s">
        <v>194</v>
      </c>
      <c r="B2418" s="2">
        <v>45413</v>
      </c>
      <c r="C2418">
        <v>3536</v>
      </c>
    </row>
    <row r="2419" spans="1:3" ht="15" hidden="1" customHeight="1" x14ac:dyDescent="0.3">
      <c r="A2419" t="s">
        <v>194</v>
      </c>
      <c r="B2419" s="2">
        <v>45444</v>
      </c>
      <c r="C2419">
        <v>2689</v>
      </c>
    </row>
    <row r="2420" spans="1:3" ht="15" hidden="1" customHeight="1" x14ac:dyDescent="0.3">
      <c r="A2420" t="s">
        <v>194</v>
      </c>
      <c r="B2420" s="2">
        <v>45474</v>
      </c>
      <c r="C2420">
        <v>3106</v>
      </c>
    </row>
    <row r="2421" spans="1:3" ht="15" hidden="1" customHeight="1" x14ac:dyDescent="0.3">
      <c r="A2421" t="s">
        <v>194</v>
      </c>
      <c r="B2421" s="2">
        <v>45505</v>
      </c>
      <c r="C2421">
        <v>4461</v>
      </c>
    </row>
    <row r="2422" spans="1:3" ht="15" hidden="1" customHeight="1" x14ac:dyDescent="0.3">
      <c r="A2422" t="s">
        <v>194</v>
      </c>
      <c r="B2422" s="2">
        <v>45536</v>
      </c>
      <c r="C2422">
        <v>5033</v>
      </c>
    </row>
    <row r="2423" spans="1:3" ht="15" hidden="1" customHeight="1" x14ac:dyDescent="0.3">
      <c r="A2423" t="s">
        <v>194</v>
      </c>
      <c r="B2423" s="2">
        <v>45566</v>
      </c>
      <c r="C2423">
        <v>6965</v>
      </c>
    </row>
    <row r="2424" spans="1:3" ht="15" hidden="1" customHeight="1" x14ac:dyDescent="0.3">
      <c r="A2424" t="s">
        <v>194</v>
      </c>
      <c r="B2424" s="2">
        <v>45597</v>
      </c>
      <c r="C2424">
        <v>6934</v>
      </c>
    </row>
    <row r="2425" spans="1:3" ht="15" hidden="1" customHeight="1" x14ac:dyDescent="0.3">
      <c r="A2425" t="s">
        <v>194</v>
      </c>
      <c r="B2425" s="2">
        <v>45627</v>
      </c>
      <c r="C2425">
        <v>7000</v>
      </c>
    </row>
    <row r="2426" spans="1:3" ht="15" hidden="1" customHeight="1" x14ac:dyDescent="0.3">
      <c r="A2426" t="s">
        <v>194</v>
      </c>
      <c r="B2426" s="2">
        <v>45658</v>
      </c>
      <c r="C2426">
        <v>5900</v>
      </c>
    </row>
    <row r="2427" spans="1:3" ht="15" hidden="1" customHeight="1" x14ac:dyDescent="0.3">
      <c r="A2427" t="s">
        <v>194</v>
      </c>
      <c r="B2427" s="2">
        <v>45689</v>
      </c>
      <c r="C2427">
        <v>4280</v>
      </c>
    </row>
    <row r="2428" spans="1:3" ht="15" hidden="1" customHeight="1" x14ac:dyDescent="0.3">
      <c r="A2428" t="s">
        <v>194</v>
      </c>
      <c r="B2428" s="2">
        <v>45717</v>
      </c>
      <c r="C2428">
        <v>4292</v>
      </c>
    </row>
    <row r="2429" spans="1:3" ht="15" hidden="1" customHeight="1" x14ac:dyDescent="0.3">
      <c r="A2429" t="s">
        <v>194</v>
      </c>
      <c r="B2429" s="2">
        <v>45748</v>
      </c>
      <c r="C2429">
        <v>3097</v>
      </c>
    </row>
    <row r="2430" spans="1:3" ht="15" hidden="1" customHeight="1" x14ac:dyDescent="0.3">
      <c r="A2430" t="s">
        <v>194</v>
      </c>
      <c r="B2430" s="2">
        <v>45778</v>
      </c>
      <c r="C2430">
        <v>3200</v>
      </c>
    </row>
    <row r="2431" spans="1:3" ht="15" hidden="1" customHeight="1" x14ac:dyDescent="0.3">
      <c r="A2431" t="s">
        <v>194</v>
      </c>
      <c r="B2431" s="2">
        <v>45809</v>
      </c>
      <c r="C2431">
        <v>2560.4</v>
      </c>
    </row>
    <row r="2432" spans="1:3" ht="15" hidden="1" customHeight="1" x14ac:dyDescent="0.3">
      <c r="A2432" t="s">
        <v>194</v>
      </c>
      <c r="B2432" s="2">
        <v>45839</v>
      </c>
      <c r="C2432">
        <v>2823</v>
      </c>
    </row>
    <row r="2433" spans="1:3" ht="15" hidden="1" customHeight="1" x14ac:dyDescent="0.3">
      <c r="A2433" t="s">
        <v>194</v>
      </c>
      <c r="B2433" s="2">
        <v>45870</v>
      </c>
      <c r="C2433">
        <v>4200</v>
      </c>
    </row>
    <row r="2434" spans="1:3" ht="15" hidden="1" customHeight="1" x14ac:dyDescent="0.3">
      <c r="A2434" t="s">
        <v>194</v>
      </c>
      <c r="B2434" s="2">
        <v>45901</v>
      </c>
      <c r="C2434">
        <v>4566</v>
      </c>
    </row>
    <row r="2435" spans="1:3" ht="15" hidden="1" customHeight="1" x14ac:dyDescent="0.3">
      <c r="A2435" t="s">
        <v>194</v>
      </c>
      <c r="B2435" s="2">
        <v>45931</v>
      </c>
      <c r="C2435">
        <v>6195.1</v>
      </c>
    </row>
    <row r="2436" spans="1:3" ht="15" hidden="1" customHeight="1" x14ac:dyDescent="0.3">
      <c r="A2436" t="s">
        <v>194</v>
      </c>
      <c r="B2436" s="2">
        <v>45962</v>
      </c>
      <c r="C2436">
        <v>5304</v>
      </c>
    </row>
    <row r="2437" spans="1:3" ht="15" hidden="1" customHeight="1" x14ac:dyDescent="0.3">
      <c r="A2437" t="s">
        <v>194</v>
      </c>
      <c r="B2437" s="2">
        <v>45992</v>
      </c>
      <c r="C2437">
        <v>6296</v>
      </c>
    </row>
    <row r="2438" spans="1:3" ht="15" hidden="1" customHeight="1" x14ac:dyDescent="0.3">
      <c r="A2438" t="s">
        <v>194</v>
      </c>
      <c r="B2438" s="2">
        <v>46023</v>
      </c>
      <c r="C2438">
        <v>6828</v>
      </c>
    </row>
    <row r="2439" spans="1:3" ht="15" hidden="1" customHeight="1" x14ac:dyDescent="0.3">
      <c r="A2439" t="s">
        <v>194</v>
      </c>
      <c r="B2439" s="2">
        <v>46054</v>
      </c>
      <c r="C2439">
        <v>6062</v>
      </c>
    </row>
    <row r="2440" spans="1:3" ht="15" hidden="1" customHeight="1" x14ac:dyDescent="0.3">
      <c r="A2440" t="s">
        <v>194</v>
      </c>
      <c r="B2440" s="2">
        <v>46082</v>
      </c>
      <c r="C2440">
        <v>4541</v>
      </c>
    </row>
    <row r="2441" spans="1:3" ht="15" hidden="1" customHeight="1" x14ac:dyDescent="0.3">
      <c r="A2441" t="s">
        <v>194</v>
      </c>
      <c r="B2441" s="2">
        <v>46113</v>
      </c>
      <c r="C2441">
        <v>3743.09</v>
      </c>
    </row>
    <row r="2442" spans="1:3" ht="15" hidden="1" customHeight="1" x14ac:dyDescent="0.3">
      <c r="A2442" t="s">
        <v>194</v>
      </c>
      <c r="B2442" s="2">
        <v>46143</v>
      </c>
      <c r="C2442" s="12">
        <v>3041.11</v>
      </c>
    </row>
    <row r="2443" spans="1:3" ht="15" hidden="1" customHeight="1" x14ac:dyDescent="0.3">
      <c r="A2443" t="s">
        <v>213</v>
      </c>
      <c r="B2443" s="2">
        <v>46174</v>
      </c>
      <c r="C2443">
        <v>4726</v>
      </c>
    </row>
    <row r="2444" spans="1:3" ht="15" customHeight="1" x14ac:dyDescent="0.3">
      <c r="A2444" t="s">
        <v>216</v>
      </c>
      <c r="B2444" s="2">
        <v>46204</v>
      </c>
      <c r="C2444">
        <v>10206</v>
      </c>
    </row>
    <row r="2445" spans="1:3" ht="15" hidden="1" customHeight="1" x14ac:dyDescent="0.3">
      <c r="A2445" t="s">
        <v>194</v>
      </c>
      <c r="B2445" s="2">
        <v>46235</v>
      </c>
    </row>
    <row r="2446" spans="1:3" ht="15" hidden="1" customHeight="1" x14ac:dyDescent="0.3">
      <c r="A2446" t="s">
        <v>194</v>
      </c>
      <c r="B2446" s="2">
        <v>46266</v>
      </c>
    </row>
    <row r="2447" spans="1:3" ht="15" hidden="1" customHeight="1" x14ac:dyDescent="0.3">
      <c r="A2447" t="s">
        <v>194</v>
      </c>
      <c r="B2447" s="2">
        <v>46296</v>
      </c>
    </row>
    <row r="2448" spans="1:3" ht="15" hidden="1" customHeight="1" x14ac:dyDescent="0.3">
      <c r="A2448" t="s">
        <v>194</v>
      </c>
      <c r="B2448" s="2">
        <v>46327</v>
      </c>
    </row>
    <row r="2449" spans="1:3" ht="15" hidden="1" customHeight="1" x14ac:dyDescent="0.3">
      <c r="A2449" t="s">
        <v>194</v>
      </c>
      <c r="B2449" s="2">
        <v>46357</v>
      </c>
    </row>
    <row r="2450" spans="1:3" ht="15" hidden="1" customHeight="1" x14ac:dyDescent="0.3">
      <c r="A2450" t="s">
        <v>196</v>
      </c>
      <c r="B2450" s="2">
        <v>45292</v>
      </c>
      <c r="C2450">
        <v>3510</v>
      </c>
    </row>
    <row r="2451" spans="1:3" ht="15" hidden="1" customHeight="1" x14ac:dyDescent="0.3">
      <c r="A2451" t="s">
        <v>196</v>
      </c>
      <c r="B2451" s="2">
        <v>45323</v>
      </c>
      <c r="C2451">
        <v>3517</v>
      </c>
    </row>
    <row r="2452" spans="1:3" ht="15" hidden="1" customHeight="1" x14ac:dyDescent="0.3">
      <c r="A2452" t="s">
        <v>196</v>
      </c>
      <c r="B2452" s="2">
        <v>45352</v>
      </c>
      <c r="C2452">
        <v>3409</v>
      </c>
    </row>
    <row r="2453" spans="1:3" ht="15" hidden="1" customHeight="1" x14ac:dyDescent="0.3">
      <c r="A2453" t="s">
        <v>196</v>
      </c>
      <c r="B2453" s="2">
        <v>45383</v>
      </c>
      <c r="C2453">
        <v>2977</v>
      </c>
    </row>
    <row r="2454" spans="1:3" ht="15" hidden="1" customHeight="1" x14ac:dyDescent="0.3">
      <c r="A2454" t="s">
        <v>196</v>
      </c>
      <c r="B2454" s="2">
        <v>45413</v>
      </c>
      <c r="C2454">
        <v>2754</v>
      </c>
    </row>
    <row r="2455" spans="1:3" ht="15" hidden="1" customHeight="1" x14ac:dyDescent="0.3">
      <c r="A2455" t="s">
        <v>196</v>
      </c>
      <c r="B2455" s="2">
        <v>45444</v>
      </c>
      <c r="C2455">
        <v>2322</v>
      </c>
    </row>
    <row r="2456" spans="1:3" ht="15" hidden="1" customHeight="1" x14ac:dyDescent="0.3">
      <c r="A2456" t="s">
        <v>196</v>
      </c>
      <c r="B2456" s="2">
        <v>45474</v>
      </c>
      <c r="C2456">
        <v>3200</v>
      </c>
    </row>
    <row r="2457" spans="1:3" ht="15" hidden="1" customHeight="1" x14ac:dyDescent="0.3">
      <c r="A2457" t="s">
        <v>196</v>
      </c>
      <c r="B2457" s="2">
        <v>45505</v>
      </c>
      <c r="C2457">
        <v>1967.434</v>
      </c>
    </row>
    <row r="2458" spans="1:3" ht="15" hidden="1" customHeight="1" x14ac:dyDescent="0.3">
      <c r="A2458" t="s">
        <v>196</v>
      </c>
      <c r="B2458" s="2">
        <v>45536</v>
      </c>
      <c r="C2458">
        <v>2608</v>
      </c>
    </row>
    <row r="2459" spans="1:3" ht="15" hidden="1" customHeight="1" x14ac:dyDescent="0.3">
      <c r="A2459" t="s">
        <v>196</v>
      </c>
      <c r="B2459" s="2">
        <v>45566</v>
      </c>
      <c r="C2459">
        <v>3179</v>
      </c>
    </row>
    <row r="2460" spans="1:3" ht="15" hidden="1" customHeight="1" x14ac:dyDescent="0.3">
      <c r="A2460" t="s">
        <v>196</v>
      </c>
      <c r="B2460" s="2">
        <v>45597</v>
      </c>
      <c r="C2460">
        <v>2499</v>
      </c>
    </row>
    <row r="2461" spans="1:3" ht="15" hidden="1" customHeight="1" x14ac:dyDescent="0.3">
      <c r="A2461" t="s">
        <v>196</v>
      </c>
      <c r="B2461" s="2">
        <v>45627</v>
      </c>
      <c r="C2461">
        <v>2419</v>
      </c>
    </row>
    <row r="2462" spans="1:3" ht="15" hidden="1" customHeight="1" x14ac:dyDescent="0.3">
      <c r="A2462" t="s">
        <v>196</v>
      </c>
      <c r="B2462" s="2">
        <v>45658</v>
      </c>
      <c r="C2462">
        <v>2940</v>
      </c>
    </row>
    <row r="2463" spans="1:3" ht="15" hidden="1" customHeight="1" x14ac:dyDescent="0.3">
      <c r="A2463" t="s">
        <v>196</v>
      </c>
      <c r="B2463" s="2">
        <v>45689</v>
      </c>
      <c r="C2463">
        <v>2482</v>
      </c>
    </row>
    <row r="2464" spans="1:3" ht="15" hidden="1" customHeight="1" x14ac:dyDescent="0.3">
      <c r="A2464" t="s">
        <v>196</v>
      </c>
      <c r="B2464" s="2">
        <v>45717</v>
      </c>
      <c r="C2464">
        <v>2660</v>
      </c>
    </row>
    <row r="2465" spans="1:3" ht="15" hidden="1" customHeight="1" x14ac:dyDescent="0.3">
      <c r="A2465" t="s">
        <v>196</v>
      </c>
      <c r="B2465" s="2">
        <v>45748</v>
      </c>
      <c r="C2465">
        <v>3014</v>
      </c>
    </row>
    <row r="2466" spans="1:3" ht="15" hidden="1" customHeight="1" x14ac:dyDescent="0.3">
      <c r="A2466" t="s">
        <v>196</v>
      </c>
      <c r="B2466" s="2">
        <v>45778</v>
      </c>
      <c r="C2466">
        <v>3259</v>
      </c>
    </row>
    <row r="2467" spans="1:3" ht="15" hidden="1" customHeight="1" x14ac:dyDescent="0.3">
      <c r="A2467" t="s">
        <v>196</v>
      </c>
      <c r="B2467" s="2">
        <v>45809</v>
      </c>
      <c r="C2467">
        <v>2701.4</v>
      </c>
    </row>
    <row r="2468" spans="1:3" ht="15" hidden="1" customHeight="1" x14ac:dyDescent="0.3">
      <c r="A2468" t="s">
        <v>196</v>
      </c>
      <c r="B2468" s="2">
        <v>45839</v>
      </c>
      <c r="C2468">
        <v>2990</v>
      </c>
    </row>
    <row r="2469" spans="1:3" ht="15" hidden="1" customHeight="1" x14ac:dyDescent="0.3">
      <c r="A2469" t="s">
        <v>196</v>
      </c>
      <c r="B2469" s="2">
        <v>45870</v>
      </c>
      <c r="C2469">
        <v>3504</v>
      </c>
    </row>
    <row r="2470" spans="1:3" ht="15" hidden="1" customHeight="1" x14ac:dyDescent="0.3">
      <c r="A2470" t="s">
        <v>196</v>
      </c>
      <c r="B2470" s="2">
        <v>45901</v>
      </c>
      <c r="C2470">
        <v>3456</v>
      </c>
    </row>
    <row r="2471" spans="1:3" ht="15" hidden="1" customHeight="1" x14ac:dyDescent="0.3">
      <c r="A2471" t="s">
        <v>196</v>
      </c>
      <c r="B2471" s="2">
        <v>45931</v>
      </c>
      <c r="C2471">
        <v>4131</v>
      </c>
    </row>
    <row r="2472" spans="1:3" ht="15" hidden="1" customHeight="1" x14ac:dyDescent="0.3">
      <c r="A2472" t="s">
        <v>196</v>
      </c>
      <c r="B2472" s="2">
        <v>45962</v>
      </c>
      <c r="C2472">
        <v>3798</v>
      </c>
    </row>
    <row r="2473" spans="1:3" ht="15" hidden="1" customHeight="1" x14ac:dyDescent="0.3">
      <c r="A2473" t="s">
        <v>196</v>
      </c>
      <c r="B2473" s="2">
        <v>45992</v>
      </c>
      <c r="C2473">
        <v>4633</v>
      </c>
    </row>
    <row r="2474" spans="1:3" ht="15" hidden="1" customHeight="1" x14ac:dyDescent="0.3">
      <c r="A2474" t="s">
        <v>196</v>
      </c>
      <c r="B2474" s="2">
        <v>46023</v>
      </c>
      <c r="C2474">
        <v>5177</v>
      </c>
    </row>
    <row r="2475" spans="1:3" ht="15" hidden="1" customHeight="1" x14ac:dyDescent="0.3">
      <c r="A2475" t="s">
        <v>196</v>
      </c>
      <c r="B2475" s="2">
        <v>46054</v>
      </c>
      <c r="C2475">
        <v>3087</v>
      </c>
    </row>
    <row r="2476" spans="1:3" ht="15" hidden="1" customHeight="1" x14ac:dyDescent="0.3">
      <c r="A2476" t="s">
        <v>196</v>
      </c>
      <c r="B2476" s="2">
        <v>46082</v>
      </c>
      <c r="C2476">
        <v>4035</v>
      </c>
    </row>
    <row r="2477" spans="1:3" ht="15" hidden="1" customHeight="1" x14ac:dyDescent="0.3">
      <c r="A2477" t="s">
        <v>196</v>
      </c>
      <c r="B2477" s="2">
        <v>46113</v>
      </c>
      <c r="C2477">
        <v>3282.98</v>
      </c>
    </row>
    <row r="2478" spans="1:3" ht="15" hidden="1" customHeight="1" x14ac:dyDescent="0.3">
      <c r="A2478" t="s">
        <v>196</v>
      </c>
      <c r="B2478" s="2">
        <v>46143</v>
      </c>
      <c r="C2478" s="12">
        <v>3208.4</v>
      </c>
    </row>
    <row r="2479" spans="1:3" ht="15" hidden="1" customHeight="1" x14ac:dyDescent="0.3">
      <c r="A2479" t="s">
        <v>196</v>
      </c>
      <c r="B2479" s="2">
        <v>46174</v>
      </c>
      <c r="C2479">
        <v>3015</v>
      </c>
    </row>
    <row r="2480" spans="1:3" ht="15" customHeight="1" x14ac:dyDescent="0.3">
      <c r="A2480" t="s">
        <v>218</v>
      </c>
      <c r="B2480" s="2">
        <v>46204</v>
      </c>
      <c r="C2480">
        <v>4951</v>
      </c>
    </row>
    <row r="2481" spans="1:3" ht="15" hidden="1" customHeight="1" x14ac:dyDescent="0.3">
      <c r="A2481" t="s">
        <v>196</v>
      </c>
      <c r="B2481" s="2">
        <v>46235</v>
      </c>
    </row>
    <row r="2482" spans="1:3" ht="15" hidden="1" customHeight="1" x14ac:dyDescent="0.3">
      <c r="A2482" t="s">
        <v>196</v>
      </c>
      <c r="B2482" s="2">
        <v>46266</v>
      </c>
    </row>
    <row r="2483" spans="1:3" ht="15" hidden="1" customHeight="1" x14ac:dyDescent="0.3">
      <c r="A2483" t="s">
        <v>196</v>
      </c>
      <c r="B2483" s="2">
        <v>46296</v>
      </c>
    </row>
    <row r="2484" spans="1:3" ht="15" hidden="1" customHeight="1" x14ac:dyDescent="0.3">
      <c r="A2484" t="s">
        <v>196</v>
      </c>
      <c r="B2484" s="2">
        <v>46327</v>
      </c>
    </row>
    <row r="2485" spans="1:3" ht="15" hidden="1" customHeight="1" x14ac:dyDescent="0.3">
      <c r="A2485" t="s">
        <v>196</v>
      </c>
      <c r="B2485" s="2">
        <v>46357</v>
      </c>
    </row>
    <row r="2486" spans="1:3" ht="15" hidden="1" customHeight="1" x14ac:dyDescent="0.3">
      <c r="A2486" t="s">
        <v>201</v>
      </c>
      <c r="B2486" s="2">
        <v>45292</v>
      </c>
    </row>
    <row r="2487" spans="1:3" ht="15" hidden="1" customHeight="1" x14ac:dyDescent="0.3">
      <c r="A2487" t="s">
        <v>201</v>
      </c>
      <c r="B2487" s="2">
        <v>45323</v>
      </c>
      <c r="C2487">
        <v>11561</v>
      </c>
    </row>
    <row r="2488" spans="1:3" ht="15" hidden="1" customHeight="1" x14ac:dyDescent="0.3">
      <c r="A2488" t="s">
        <v>201</v>
      </c>
      <c r="B2488" s="2">
        <v>45352</v>
      </c>
      <c r="C2488">
        <v>11738</v>
      </c>
    </row>
    <row r="2489" spans="1:3" ht="15" hidden="1" customHeight="1" x14ac:dyDescent="0.3">
      <c r="A2489" t="s">
        <v>201</v>
      </c>
      <c r="B2489" s="2">
        <v>45383</v>
      </c>
      <c r="C2489">
        <v>307</v>
      </c>
    </row>
    <row r="2490" spans="1:3" ht="15" hidden="1" customHeight="1" x14ac:dyDescent="0.3">
      <c r="A2490" t="s">
        <v>201</v>
      </c>
      <c r="B2490" s="2">
        <v>45413</v>
      </c>
      <c r="C2490">
        <v>1</v>
      </c>
    </row>
    <row r="2491" spans="1:3" ht="15" hidden="1" customHeight="1" x14ac:dyDescent="0.3">
      <c r="A2491" t="s">
        <v>201</v>
      </c>
      <c r="B2491" s="2">
        <v>45444</v>
      </c>
      <c r="C2491">
        <v>1</v>
      </c>
    </row>
    <row r="2492" spans="1:3" ht="15" hidden="1" customHeight="1" x14ac:dyDescent="0.3">
      <c r="A2492" t="s">
        <v>201</v>
      </c>
      <c r="B2492" s="2">
        <v>45474</v>
      </c>
      <c r="C2492">
        <v>6245</v>
      </c>
    </row>
    <row r="2493" spans="1:3" ht="15" hidden="1" customHeight="1" x14ac:dyDescent="0.3">
      <c r="A2493" t="s">
        <v>201</v>
      </c>
      <c r="B2493" s="2">
        <v>45505</v>
      </c>
      <c r="C2493">
        <v>10791</v>
      </c>
    </row>
    <row r="2494" spans="1:3" ht="15" hidden="1" customHeight="1" x14ac:dyDescent="0.3">
      <c r="A2494" t="s">
        <v>201</v>
      </c>
      <c r="B2494" s="2">
        <v>45536</v>
      </c>
      <c r="C2494">
        <v>10127</v>
      </c>
    </row>
    <row r="2495" spans="1:3" ht="15" hidden="1" customHeight="1" x14ac:dyDescent="0.3">
      <c r="A2495" t="s">
        <v>201</v>
      </c>
      <c r="B2495" s="2">
        <v>45566</v>
      </c>
      <c r="C2495">
        <v>12940</v>
      </c>
    </row>
    <row r="2496" spans="1:3" ht="15" hidden="1" customHeight="1" x14ac:dyDescent="0.3">
      <c r="A2496" t="s">
        <v>201</v>
      </c>
      <c r="B2496" s="2">
        <v>45597</v>
      </c>
      <c r="C2496">
        <v>12711</v>
      </c>
    </row>
    <row r="2497" spans="1:3" ht="15" hidden="1" customHeight="1" x14ac:dyDescent="0.3">
      <c r="A2497" t="s">
        <v>201</v>
      </c>
      <c r="B2497" s="2">
        <v>45627</v>
      </c>
      <c r="C2497">
        <v>12090</v>
      </c>
    </row>
    <row r="2498" spans="1:3" ht="15" hidden="1" customHeight="1" x14ac:dyDescent="0.3">
      <c r="A2498" t="s">
        <v>201</v>
      </c>
      <c r="B2498" s="2">
        <v>45658</v>
      </c>
      <c r="C2498">
        <v>10838</v>
      </c>
    </row>
    <row r="2499" spans="1:3" ht="15" hidden="1" customHeight="1" x14ac:dyDescent="0.3">
      <c r="A2499" t="s">
        <v>201</v>
      </c>
      <c r="B2499" s="2">
        <v>45689</v>
      </c>
      <c r="C2499">
        <v>8901</v>
      </c>
    </row>
    <row r="2500" spans="1:3" ht="15" hidden="1" customHeight="1" x14ac:dyDescent="0.3">
      <c r="A2500" t="s">
        <v>201</v>
      </c>
      <c r="B2500" s="2">
        <v>45717</v>
      </c>
      <c r="C2500">
        <v>9398</v>
      </c>
    </row>
    <row r="2501" spans="1:3" ht="15" hidden="1" customHeight="1" x14ac:dyDescent="0.3">
      <c r="A2501" t="s">
        <v>201</v>
      </c>
      <c r="B2501" s="2">
        <v>45748</v>
      </c>
      <c r="C2501">
        <v>8195</v>
      </c>
    </row>
    <row r="2502" spans="1:3" ht="15" hidden="1" customHeight="1" x14ac:dyDescent="0.3">
      <c r="A2502" t="s">
        <v>201</v>
      </c>
      <c r="B2502" s="2">
        <v>45778</v>
      </c>
      <c r="C2502">
        <v>6021</v>
      </c>
    </row>
    <row r="2503" spans="1:3" ht="15" hidden="1" customHeight="1" x14ac:dyDescent="0.3">
      <c r="A2503" t="s">
        <v>201</v>
      </c>
      <c r="B2503" s="2">
        <v>45809</v>
      </c>
      <c r="C2503">
        <v>4341.5600000000004</v>
      </c>
    </row>
    <row r="2504" spans="1:3" ht="15" hidden="1" customHeight="1" x14ac:dyDescent="0.3">
      <c r="A2504" t="s">
        <v>201</v>
      </c>
      <c r="B2504" s="2">
        <v>45839</v>
      </c>
      <c r="C2504">
        <v>6989</v>
      </c>
    </row>
    <row r="2505" spans="1:3" ht="15" hidden="1" customHeight="1" x14ac:dyDescent="0.3">
      <c r="A2505" t="s">
        <v>201</v>
      </c>
      <c r="B2505" s="2">
        <v>45870</v>
      </c>
      <c r="C2505">
        <v>11205</v>
      </c>
    </row>
    <row r="2506" spans="1:3" ht="15" hidden="1" customHeight="1" x14ac:dyDescent="0.3">
      <c r="A2506" t="s">
        <v>201</v>
      </c>
      <c r="B2506" s="2">
        <v>45901</v>
      </c>
      <c r="C2506">
        <v>10024</v>
      </c>
    </row>
    <row r="2507" spans="1:3" ht="15" hidden="1" customHeight="1" x14ac:dyDescent="0.3">
      <c r="A2507" t="s">
        <v>201</v>
      </c>
      <c r="B2507" s="2">
        <v>45931</v>
      </c>
      <c r="C2507">
        <v>13192</v>
      </c>
    </row>
    <row r="2508" spans="1:3" ht="15" hidden="1" customHeight="1" x14ac:dyDescent="0.3">
      <c r="A2508" t="s">
        <v>201</v>
      </c>
      <c r="B2508" s="2">
        <v>45962</v>
      </c>
      <c r="C2508">
        <v>10364</v>
      </c>
    </row>
    <row r="2509" spans="1:3" ht="15" hidden="1" customHeight="1" x14ac:dyDescent="0.3">
      <c r="A2509" t="s">
        <v>201</v>
      </c>
      <c r="B2509" s="2">
        <v>45992</v>
      </c>
      <c r="C2509">
        <v>10702</v>
      </c>
    </row>
    <row r="2510" spans="1:3" ht="15" hidden="1" customHeight="1" x14ac:dyDescent="0.3">
      <c r="A2510" t="s">
        <v>201</v>
      </c>
      <c r="B2510" s="2">
        <v>46023</v>
      </c>
      <c r="C2510">
        <v>12710</v>
      </c>
    </row>
    <row r="2511" spans="1:3" ht="15" hidden="1" customHeight="1" x14ac:dyDescent="0.3">
      <c r="A2511" t="s">
        <v>201</v>
      </c>
      <c r="B2511" s="2">
        <v>46054</v>
      </c>
      <c r="C2511">
        <v>12261</v>
      </c>
    </row>
    <row r="2512" spans="1:3" ht="15" hidden="1" customHeight="1" x14ac:dyDescent="0.3">
      <c r="A2512" t="s">
        <v>201</v>
      </c>
      <c r="B2512" s="2">
        <v>46082</v>
      </c>
      <c r="C2512">
        <v>11049</v>
      </c>
    </row>
    <row r="2513" spans="1:3" ht="15" hidden="1" customHeight="1" x14ac:dyDescent="0.3">
      <c r="A2513" t="s">
        <v>201</v>
      </c>
      <c r="B2513" s="2">
        <v>46113</v>
      </c>
      <c r="C2513">
        <v>9364.19</v>
      </c>
    </row>
    <row r="2514" spans="1:3" ht="15" hidden="1" customHeight="1" x14ac:dyDescent="0.3">
      <c r="A2514" t="s">
        <v>201</v>
      </c>
      <c r="B2514" s="2">
        <v>46143</v>
      </c>
      <c r="C2514" s="12">
        <v>10132.34</v>
      </c>
    </row>
    <row r="2515" spans="1:3" ht="15" hidden="1" customHeight="1" x14ac:dyDescent="0.3">
      <c r="A2515" t="s">
        <v>201</v>
      </c>
      <c r="B2515" s="2">
        <v>46174</v>
      </c>
      <c r="C2515">
        <v>8126</v>
      </c>
    </row>
    <row r="2516" spans="1:3" ht="15" customHeight="1" x14ac:dyDescent="0.3">
      <c r="A2516" t="s">
        <v>192</v>
      </c>
      <c r="B2516" s="2">
        <v>46204</v>
      </c>
      <c r="C2516">
        <v>0</v>
      </c>
    </row>
    <row r="2517" spans="1:3" ht="15" hidden="1" customHeight="1" x14ac:dyDescent="0.3">
      <c r="A2517" t="s">
        <v>201</v>
      </c>
      <c r="B2517" s="2">
        <v>46235</v>
      </c>
    </row>
    <row r="2518" spans="1:3" ht="15" hidden="1" customHeight="1" x14ac:dyDescent="0.3">
      <c r="A2518" t="s">
        <v>201</v>
      </c>
      <c r="B2518" s="2">
        <v>46266</v>
      </c>
    </row>
    <row r="2519" spans="1:3" ht="15" hidden="1" customHeight="1" x14ac:dyDescent="0.3">
      <c r="A2519" t="s">
        <v>201</v>
      </c>
      <c r="B2519" s="2">
        <v>46296</v>
      </c>
    </row>
    <row r="2520" spans="1:3" ht="15" hidden="1" customHeight="1" x14ac:dyDescent="0.3">
      <c r="A2520" t="s">
        <v>201</v>
      </c>
      <c r="B2520" s="2">
        <v>46327</v>
      </c>
    </row>
    <row r="2521" spans="1:3" ht="15" hidden="1" customHeight="1" x14ac:dyDescent="0.3">
      <c r="A2521" t="s">
        <v>201</v>
      </c>
      <c r="B2521" s="2">
        <v>46357</v>
      </c>
    </row>
    <row r="2522" spans="1:3" ht="15" hidden="1" customHeight="1" x14ac:dyDescent="0.3">
      <c r="A2522" t="s">
        <v>211</v>
      </c>
      <c r="B2522" s="2">
        <v>45292</v>
      </c>
    </row>
    <row r="2523" spans="1:3" ht="15" hidden="1" customHeight="1" x14ac:dyDescent="0.3">
      <c r="A2523" t="s">
        <v>211</v>
      </c>
      <c r="B2523" s="2">
        <v>45323</v>
      </c>
    </row>
    <row r="2524" spans="1:3" ht="15" hidden="1" customHeight="1" x14ac:dyDescent="0.3">
      <c r="A2524" t="s">
        <v>211</v>
      </c>
      <c r="B2524" s="2">
        <v>45352</v>
      </c>
    </row>
    <row r="2525" spans="1:3" ht="15" hidden="1" customHeight="1" x14ac:dyDescent="0.3">
      <c r="A2525" t="s">
        <v>211</v>
      </c>
      <c r="B2525" s="2">
        <v>45383</v>
      </c>
    </row>
    <row r="2526" spans="1:3" ht="15" hidden="1" customHeight="1" x14ac:dyDescent="0.3">
      <c r="A2526" t="s">
        <v>211</v>
      </c>
      <c r="B2526" s="2">
        <v>45413</v>
      </c>
    </row>
    <row r="2527" spans="1:3" ht="15" hidden="1" customHeight="1" x14ac:dyDescent="0.3">
      <c r="A2527" t="s">
        <v>211</v>
      </c>
      <c r="B2527" s="2">
        <v>45444</v>
      </c>
    </row>
    <row r="2528" spans="1:3" ht="15" hidden="1" customHeight="1" x14ac:dyDescent="0.3">
      <c r="A2528" t="s">
        <v>211</v>
      </c>
      <c r="B2528" s="2">
        <v>45474</v>
      </c>
    </row>
    <row r="2529" spans="1:3" ht="15" hidden="1" customHeight="1" x14ac:dyDescent="0.3">
      <c r="A2529" t="s">
        <v>211</v>
      </c>
      <c r="B2529" s="2">
        <v>45505</v>
      </c>
    </row>
    <row r="2530" spans="1:3" ht="15" hidden="1" customHeight="1" x14ac:dyDescent="0.3">
      <c r="A2530" t="s">
        <v>211</v>
      </c>
      <c r="B2530" s="2">
        <v>45536</v>
      </c>
    </row>
    <row r="2531" spans="1:3" ht="15" hidden="1" customHeight="1" x14ac:dyDescent="0.3">
      <c r="A2531" t="s">
        <v>211</v>
      </c>
      <c r="B2531" s="2">
        <v>45566</v>
      </c>
    </row>
    <row r="2532" spans="1:3" ht="15" hidden="1" customHeight="1" x14ac:dyDescent="0.3">
      <c r="A2532" t="s">
        <v>211</v>
      </c>
      <c r="B2532" s="2">
        <v>45597</v>
      </c>
    </row>
    <row r="2533" spans="1:3" ht="15" hidden="1" customHeight="1" x14ac:dyDescent="0.3">
      <c r="A2533" t="s">
        <v>211</v>
      </c>
      <c r="B2533" s="2">
        <v>45627</v>
      </c>
    </row>
    <row r="2534" spans="1:3" ht="15" hidden="1" customHeight="1" x14ac:dyDescent="0.3">
      <c r="A2534" t="s">
        <v>211</v>
      </c>
      <c r="B2534" s="2">
        <v>45658</v>
      </c>
    </row>
    <row r="2535" spans="1:3" ht="15" hidden="1" customHeight="1" x14ac:dyDescent="0.3">
      <c r="A2535" t="s">
        <v>211</v>
      </c>
      <c r="B2535" s="2">
        <v>45689</v>
      </c>
    </row>
    <row r="2536" spans="1:3" ht="15" hidden="1" customHeight="1" x14ac:dyDescent="0.3">
      <c r="A2536" t="s">
        <v>211</v>
      </c>
      <c r="B2536" s="2">
        <v>45717</v>
      </c>
    </row>
    <row r="2537" spans="1:3" ht="15" hidden="1" customHeight="1" x14ac:dyDescent="0.3">
      <c r="A2537" t="s">
        <v>211</v>
      </c>
      <c r="B2537" s="2">
        <v>45748</v>
      </c>
    </row>
    <row r="2538" spans="1:3" ht="15" hidden="1" customHeight="1" x14ac:dyDescent="0.3">
      <c r="A2538" t="s">
        <v>211</v>
      </c>
      <c r="B2538" s="2">
        <v>45778</v>
      </c>
    </row>
    <row r="2539" spans="1:3" ht="15" hidden="1" customHeight="1" x14ac:dyDescent="0.3">
      <c r="A2539" t="s">
        <v>211</v>
      </c>
      <c r="B2539" s="2">
        <v>45809</v>
      </c>
    </row>
    <row r="2540" spans="1:3" ht="15" hidden="1" customHeight="1" x14ac:dyDescent="0.3">
      <c r="A2540" t="s">
        <v>211</v>
      </c>
      <c r="B2540" s="2">
        <v>45839</v>
      </c>
    </row>
    <row r="2541" spans="1:3" ht="15" hidden="1" customHeight="1" x14ac:dyDescent="0.3">
      <c r="A2541" t="s">
        <v>211</v>
      </c>
      <c r="B2541" s="2">
        <v>45870</v>
      </c>
      <c r="C2541">
        <v>3866</v>
      </c>
    </row>
    <row r="2542" spans="1:3" ht="15" hidden="1" customHeight="1" x14ac:dyDescent="0.3">
      <c r="A2542" t="s">
        <v>211</v>
      </c>
      <c r="B2542" s="2">
        <v>45901</v>
      </c>
      <c r="C2542">
        <v>4249</v>
      </c>
    </row>
    <row r="2543" spans="1:3" ht="15" hidden="1" customHeight="1" x14ac:dyDescent="0.3">
      <c r="A2543" t="s">
        <v>211</v>
      </c>
      <c r="B2543" s="2">
        <v>45931</v>
      </c>
      <c r="C2543">
        <v>5286</v>
      </c>
    </row>
    <row r="2544" spans="1:3" ht="15" hidden="1" customHeight="1" x14ac:dyDescent="0.3">
      <c r="A2544" t="s">
        <v>211</v>
      </c>
      <c r="B2544" s="2">
        <v>45962</v>
      </c>
      <c r="C2544">
        <v>5001</v>
      </c>
    </row>
    <row r="2545" spans="1:3" ht="15" hidden="1" customHeight="1" x14ac:dyDescent="0.3">
      <c r="A2545" t="s">
        <v>211</v>
      </c>
      <c r="B2545" s="2">
        <v>45992</v>
      </c>
      <c r="C2545">
        <v>6707</v>
      </c>
    </row>
    <row r="2546" spans="1:3" ht="15" hidden="1" customHeight="1" x14ac:dyDescent="0.3">
      <c r="A2546" t="s">
        <v>211</v>
      </c>
      <c r="B2546" s="2">
        <v>46023</v>
      </c>
      <c r="C2546">
        <v>7171.5</v>
      </c>
    </row>
    <row r="2547" spans="1:3" ht="15" hidden="1" customHeight="1" x14ac:dyDescent="0.3">
      <c r="A2547" t="s">
        <v>211</v>
      </c>
      <c r="B2547" s="2">
        <v>46054</v>
      </c>
      <c r="C2547">
        <v>4844</v>
      </c>
    </row>
    <row r="2548" spans="1:3" ht="15" hidden="1" customHeight="1" x14ac:dyDescent="0.3">
      <c r="A2548" t="s">
        <v>211</v>
      </c>
      <c r="B2548" s="2">
        <v>46082</v>
      </c>
      <c r="C2548">
        <v>5410</v>
      </c>
    </row>
    <row r="2549" spans="1:3" ht="15" hidden="1" customHeight="1" x14ac:dyDescent="0.3">
      <c r="A2549" t="s">
        <v>211</v>
      </c>
      <c r="B2549" s="2">
        <v>46113</v>
      </c>
      <c r="C2549">
        <v>2815.5</v>
      </c>
    </row>
    <row r="2550" spans="1:3" ht="15" hidden="1" customHeight="1" x14ac:dyDescent="0.3">
      <c r="A2550" t="s">
        <v>211</v>
      </c>
      <c r="B2550" s="2">
        <v>46143</v>
      </c>
      <c r="C2550" s="12">
        <v>2205.5</v>
      </c>
    </row>
    <row r="2551" spans="1:3" ht="15" hidden="1" customHeight="1" x14ac:dyDescent="0.3">
      <c r="A2551" t="s">
        <v>211</v>
      </c>
      <c r="B2551" s="2">
        <v>46174</v>
      </c>
      <c r="C2551">
        <v>1921.8</v>
      </c>
    </row>
    <row r="2552" spans="1:3" ht="15" customHeight="1" x14ac:dyDescent="0.3">
      <c r="A2552" t="s">
        <v>194</v>
      </c>
      <c r="B2552" s="2">
        <v>46204</v>
      </c>
      <c r="C2552">
        <v>2690</v>
      </c>
    </row>
    <row r="2553" spans="1:3" ht="15" hidden="1" customHeight="1" x14ac:dyDescent="0.3">
      <c r="A2553" t="s">
        <v>211</v>
      </c>
      <c r="B2553" s="2">
        <v>46235</v>
      </c>
    </row>
    <row r="2554" spans="1:3" ht="15" hidden="1" customHeight="1" x14ac:dyDescent="0.3">
      <c r="A2554" t="s">
        <v>211</v>
      </c>
      <c r="B2554" s="2">
        <v>46266</v>
      </c>
    </row>
    <row r="2555" spans="1:3" ht="15" hidden="1" customHeight="1" x14ac:dyDescent="0.3">
      <c r="A2555" t="s">
        <v>211</v>
      </c>
      <c r="B2555" s="2">
        <v>46296</v>
      </c>
    </row>
    <row r="2556" spans="1:3" ht="15" hidden="1" customHeight="1" x14ac:dyDescent="0.3">
      <c r="A2556" t="s">
        <v>211</v>
      </c>
      <c r="B2556" s="2">
        <v>46327</v>
      </c>
    </row>
    <row r="2557" spans="1:3" ht="15" hidden="1" customHeight="1" x14ac:dyDescent="0.3">
      <c r="A2557" t="s">
        <v>211</v>
      </c>
      <c r="B2557" s="2">
        <v>46357</v>
      </c>
    </row>
    <row r="2558" spans="1:3" ht="15" hidden="1" customHeight="1" x14ac:dyDescent="0.3">
      <c r="A2558" t="s">
        <v>202</v>
      </c>
      <c r="B2558" s="2">
        <v>45292</v>
      </c>
      <c r="C2558">
        <v>17892</v>
      </c>
    </row>
    <row r="2559" spans="1:3" ht="15" hidden="1" customHeight="1" x14ac:dyDescent="0.3">
      <c r="A2559" t="s">
        <v>202</v>
      </c>
      <c r="B2559" s="2">
        <v>45323</v>
      </c>
      <c r="C2559">
        <v>15929</v>
      </c>
    </row>
    <row r="2560" spans="1:3" ht="15" hidden="1" customHeight="1" x14ac:dyDescent="0.3">
      <c r="A2560" t="s">
        <v>202</v>
      </c>
      <c r="B2560" s="2">
        <v>45352</v>
      </c>
      <c r="C2560">
        <v>18524</v>
      </c>
    </row>
    <row r="2561" spans="1:3" ht="15" hidden="1" customHeight="1" x14ac:dyDescent="0.3">
      <c r="A2561" t="s">
        <v>202</v>
      </c>
      <c r="B2561" s="2">
        <v>45383</v>
      </c>
      <c r="C2561">
        <v>13076</v>
      </c>
    </row>
    <row r="2562" spans="1:3" ht="15" hidden="1" customHeight="1" x14ac:dyDescent="0.3">
      <c r="A2562" t="s">
        <v>202</v>
      </c>
      <c r="B2562" s="2">
        <v>45413</v>
      </c>
      <c r="C2562">
        <v>17640</v>
      </c>
    </row>
    <row r="2563" spans="1:3" ht="15" hidden="1" customHeight="1" x14ac:dyDescent="0.3">
      <c r="A2563" t="s">
        <v>202</v>
      </c>
      <c r="B2563" s="2">
        <v>45444</v>
      </c>
      <c r="C2563">
        <v>14642</v>
      </c>
    </row>
    <row r="2564" spans="1:3" ht="15" hidden="1" customHeight="1" x14ac:dyDescent="0.3">
      <c r="A2564" t="s">
        <v>202</v>
      </c>
      <c r="B2564" s="2">
        <v>45474</v>
      </c>
      <c r="C2564">
        <v>15002</v>
      </c>
    </row>
    <row r="2565" spans="1:3" ht="15" hidden="1" customHeight="1" x14ac:dyDescent="0.3">
      <c r="A2565" t="s">
        <v>202</v>
      </c>
      <c r="B2565" s="2">
        <v>45505</v>
      </c>
      <c r="C2565">
        <v>20792</v>
      </c>
    </row>
    <row r="2566" spans="1:3" ht="15" hidden="1" customHeight="1" x14ac:dyDescent="0.3">
      <c r="A2566" t="s">
        <v>202</v>
      </c>
      <c r="B2566" s="2">
        <v>45536</v>
      </c>
      <c r="C2566">
        <v>20898</v>
      </c>
    </row>
    <row r="2567" spans="1:3" ht="15" hidden="1" customHeight="1" x14ac:dyDescent="0.3">
      <c r="A2567" t="s">
        <v>202</v>
      </c>
      <c r="B2567" s="2">
        <v>45566</v>
      </c>
      <c r="C2567">
        <v>30325</v>
      </c>
    </row>
    <row r="2568" spans="1:3" ht="15" hidden="1" customHeight="1" x14ac:dyDescent="0.3">
      <c r="A2568" t="s">
        <v>202</v>
      </c>
      <c r="B2568" s="2">
        <v>45597</v>
      </c>
      <c r="C2568">
        <v>27930</v>
      </c>
    </row>
    <row r="2569" spans="1:3" ht="15" hidden="1" customHeight="1" x14ac:dyDescent="0.3">
      <c r="A2569" t="s">
        <v>202</v>
      </c>
      <c r="B2569" s="2">
        <v>45627</v>
      </c>
      <c r="C2569">
        <v>17653</v>
      </c>
    </row>
    <row r="2570" spans="1:3" ht="15" hidden="1" customHeight="1" x14ac:dyDescent="0.3">
      <c r="A2570" t="s">
        <v>202</v>
      </c>
      <c r="B2570" s="2">
        <v>45658</v>
      </c>
      <c r="C2570">
        <v>23957</v>
      </c>
    </row>
    <row r="2571" spans="1:3" ht="15" hidden="1" customHeight="1" x14ac:dyDescent="0.3">
      <c r="A2571" t="s">
        <v>202</v>
      </c>
      <c r="B2571" s="2">
        <v>45689</v>
      </c>
      <c r="C2571">
        <v>19898</v>
      </c>
    </row>
    <row r="2572" spans="1:3" ht="15" hidden="1" customHeight="1" x14ac:dyDescent="0.3">
      <c r="A2572" t="s">
        <v>202</v>
      </c>
      <c r="B2572" s="2">
        <v>45717</v>
      </c>
      <c r="C2572">
        <v>18434</v>
      </c>
    </row>
    <row r="2573" spans="1:3" ht="15" hidden="1" customHeight="1" x14ac:dyDescent="0.3">
      <c r="A2573" t="s">
        <v>202</v>
      </c>
      <c r="B2573" s="2">
        <v>45748</v>
      </c>
      <c r="C2573">
        <v>16717</v>
      </c>
    </row>
    <row r="2574" spans="1:3" ht="15" hidden="1" customHeight="1" x14ac:dyDescent="0.3">
      <c r="A2574" t="s">
        <v>202</v>
      </c>
      <c r="B2574" s="2">
        <v>45778</v>
      </c>
      <c r="C2574">
        <v>19518</v>
      </c>
    </row>
    <row r="2575" spans="1:3" ht="15" hidden="1" customHeight="1" x14ac:dyDescent="0.3">
      <c r="A2575" t="s">
        <v>202</v>
      </c>
      <c r="B2575" s="2">
        <v>45809</v>
      </c>
      <c r="C2575">
        <v>16703.900000000001</v>
      </c>
    </row>
    <row r="2576" spans="1:3" ht="15" hidden="1" customHeight="1" x14ac:dyDescent="0.3">
      <c r="A2576" t="s">
        <v>202</v>
      </c>
      <c r="B2576" s="2">
        <v>45839</v>
      </c>
      <c r="C2576">
        <v>17442.419999999998</v>
      </c>
    </row>
    <row r="2577" spans="1:3" ht="15" hidden="1" customHeight="1" x14ac:dyDescent="0.3">
      <c r="A2577" t="s">
        <v>202</v>
      </c>
      <c r="B2577" s="2">
        <v>45870</v>
      </c>
      <c r="C2577">
        <v>21419</v>
      </c>
    </row>
    <row r="2578" spans="1:3" ht="15" hidden="1" customHeight="1" x14ac:dyDescent="0.3">
      <c r="A2578" t="s">
        <v>202</v>
      </c>
      <c r="B2578" s="2">
        <v>45901</v>
      </c>
      <c r="C2578">
        <v>19487</v>
      </c>
    </row>
    <row r="2579" spans="1:3" ht="15" hidden="1" customHeight="1" x14ac:dyDescent="0.3">
      <c r="A2579" t="s">
        <v>202</v>
      </c>
      <c r="B2579" s="2">
        <v>45931</v>
      </c>
      <c r="C2579">
        <v>25859.040000000001</v>
      </c>
    </row>
    <row r="2580" spans="1:3" ht="15" hidden="1" customHeight="1" x14ac:dyDescent="0.3">
      <c r="A2580" t="s">
        <v>202</v>
      </c>
      <c r="B2580" s="2">
        <v>45962</v>
      </c>
      <c r="C2580">
        <v>23228</v>
      </c>
    </row>
    <row r="2581" spans="1:3" ht="15" hidden="1" customHeight="1" x14ac:dyDescent="0.3">
      <c r="A2581" t="s">
        <v>202</v>
      </c>
      <c r="B2581" s="2">
        <v>45992</v>
      </c>
      <c r="C2581">
        <v>13257</v>
      </c>
    </row>
    <row r="2582" spans="1:3" ht="15" hidden="1" customHeight="1" x14ac:dyDescent="0.3">
      <c r="A2582" t="s">
        <v>202</v>
      </c>
      <c r="B2582" s="2">
        <v>46023</v>
      </c>
      <c r="C2582">
        <v>24628</v>
      </c>
    </row>
    <row r="2583" spans="1:3" ht="15" hidden="1" customHeight="1" x14ac:dyDescent="0.3">
      <c r="A2583" t="s">
        <v>202</v>
      </c>
      <c r="B2583" s="2">
        <v>46054</v>
      </c>
      <c r="C2583">
        <v>24848.5</v>
      </c>
    </row>
    <row r="2584" spans="1:3" ht="15" hidden="1" customHeight="1" x14ac:dyDescent="0.3">
      <c r="A2584" t="s">
        <v>202</v>
      </c>
      <c r="B2584" s="2">
        <v>46082</v>
      </c>
      <c r="C2584">
        <v>20359</v>
      </c>
    </row>
    <row r="2585" spans="1:3" ht="15" hidden="1" customHeight="1" x14ac:dyDescent="0.3">
      <c r="A2585" t="s">
        <v>202</v>
      </c>
      <c r="B2585" s="2">
        <v>46113</v>
      </c>
      <c r="C2585">
        <v>17480.97</v>
      </c>
    </row>
    <row r="2586" spans="1:3" ht="15" hidden="1" customHeight="1" x14ac:dyDescent="0.3">
      <c r="A2586" t="s">
        <v>202</v>
      </c>
      <c r="B2586" s="2">
        <v>46143</v>
      </c>
      <c r="C2586" s="12">
        <v>17505.34</v>
      </c>
    </row>
    <row r="2587" spans="1:3" ht="15" hidden="1" customHeight="1" x14ac:dyDescent="0.3">
      <c r="A2587" t="s">
        <v>218</v>
      </c>
      <c r="B2587" s="2">
        <v>46174</v>
      </c>
      <c r="C2587">
        <v>4827</v>
      </c>
    </row>
    <row r="2588" spans="1:3" ht="15" customHeight="1" x14ac:dyDescent="0.3">
      <c r="A2588" t="s">
        <v>196</v>
      </c>
      <c r="B2588" s="2">
        <v>46204</v>
      </c>
      <c r="C2588">
        <v>3037</v>
      </c>
    </row>
    <row r="2589" spans="1:3" ht="15" hidden="1" customHeight="1" x14ac:dyDescent="0.3">
      <c r="A2589" t="s">
        <v>202</v>
      </c>
      <c r="B2589" s="2">
        <v>46235</v>
      </c>
    </row>
    <row r="2590" spans="1:3" ht="15" hidden="1" customHeight="1" x14ac:dyDescent="0.3">
      <c r="A2590" t="s">
        <v>202</v>
      </c>
      <c r="B2590" s="2">
        <v>46266</v>
      </c>
    </row>
    <row r="2591" spans="1:3" ht="15" hidden="1" customHeight="1" x14ac:dyDescent="0.3">
      <c r="A2591" t="s">
        <v>202</v>
      </c>
      <c r="B2591" s="2">
        <v>46296</v>
      </c>
    </row>
    <row r="2592" spans="1:3" ht="15" hidden="1" customHeight="1" x14ac:dyDescent="0.3">
      <c r="A2592" t="s">
        <v>202</v>
      </c>
      <c r="B2592" s="2">
        <v>46327</v>
      </c>
    </row>
    <row r="2593" spans="1:2" ht="15" hidden="1" customHeight="1" x14ac:dyDescent="0.3">
      <c r="A2593" t="s">
        <v>202</v>
      </c>
      <c r="B2593" s="2">
        <v>46357</v>
      </c>
    </row>
    <row r="2594" spans="1:2" ht="15" hidden="1" customHeight="1" x14ac:dyDescent="0.3">
      <c r="A2594" t="s">
        <v>206</v>
      </c>
      <c r="B2594" s="2">
        <v>45292</v>
      </c>
    </row>
    <row r="2595" spans="1:2" ht="15" hidden="1" customHeight="1" x14ac:dyDescent="0.3">
      <c r="A2595" t="s">
        <v>206</v>
      </c>
      <c r="B2595" s="2">
        <v>45323</v>
      </c>
    </row>
    <row r="2596" spans="1:2" ht="15" hidden="1" customHeight="1" x14ac:dyDescent="0.3">
      <c r="A2596" t="s">
        <v>206</v>
      </c>
      <c r="B2596" s="2">
        <v>45352</v>
      </c>
    </row>
    <row r="2597" spans="1:2" ht="15" hidden="1" customHeight="1" x14ac:dyDescent="0.3">
      <c r="A2597" t="s">
        <v>206</v>
      </c>
      <c r="B2597" s="2">
        <v>45383</v>
      </c>
    </row>
    <row r="2598" spans="1:2" ht="15" hidden="1" customHeight="1" x14ac:dyDescent="0.3">
      <c r="A2598" t="s">
        <v>206</v>
      </c>
      <c r="B2598" s="2">
        <v>45413</v>
      </c>
    </row>
    <row r="2599" spans="1:2" ht="15" hidden="1" customHeight="1" x14ac:dyDescent="0.3">
      <c r="A2599" t="s">
        <v>206</v>
      </c>
      <c r="B2599" s="2">
        <v>45444</v>
      </c>
    </row>
    <row r="2600" spans="1:2" ht="15" hidden="1" customHeight="1" x14ac:dyDescent="0.3">
      <c r="A2600" t="s">
        <v>206</v>
      </c>
      <c r="B2600" s="2">
        <v>45474</v>
      </c>
    </row>
    <row r="2601" spans="1:2" ht="15" hidden="1" customHeight="1" x14ac:dyDescent="0.3">
      <c r="A2601" t="s">
        <v>206</v>
      </c>
      <c r="B2601" s="2">
        <v>45505</v>
      </c>
    </row>
    <row r="2602" spans="1:2" ht="15" hidden="1" customHeight="1" x14ac:dyDescent="0.3">
      <c r="A2602" t="s">
        <v>206</v>
      </c>
      <c r="B2602" s="2">
        <v>45536</v>
      </c>
    </row>
    <row r="2603" spans="1:2" ht="15" hidden="1" customHeight="1" x14ac:dyDescent="0.3">
      <c r="A2603" t="s">
        <v>206</v>
      </c>
      <c r="B2603" s="2">
        <v>45566</v>
      </c>
    </row>
    <row r="2604" spans="1:2" ht="15" hidden="1" customHeight="1" x14ac:dyDescent="0.3">
      <c r="A2604" t="s">
        <v>206</v>
      </c>
      <c r="B2604" s="2">
        <v>45597</v>
      </c>
    </row>
    <row r="2605" spans="1:2" ht="15" hidden="1" customHeight="1" x14ac:dyDescent="0.3">
      <c r="A2605" t="s">
        <v>206</v>
      </c>
      <c r="B2605" s="2">
        <v>45627</v>
      </c>
    </row>
    <row r="2606" spans="1:2" ht="15" hidden="1" customHeight="1" x14ac:dyDescent="0.3">
      <c r="A2606" t="s">
        <v>206</v>
      </c>
      <c r="B2606" s="2">
        <v>45658</v>
      </c>
    </row>
    <row r="2607" spans="1:2" ht="15" hidden="1" customHeight="1" x14ac:dyDescent="0.3">
      <c r="A2607" t="s">
        <v>206</v>
      </c>
      <c r="B2607" s="2">
        <v>45689</v>
      </c>
    </row>
    <row r="2608" spans="1:2" ht="15" hidden="1" customHeight="1" x14ac:dyDescent="0.3">
      <c r="A2608" t="s">
        <v>206</v>
      </c>
      <c r="B2608" s="2">
        <v>45717</v>
      </c>
    </row>
    <row r="2609" spans="1:3" ht="15" hidden="1" customHeight="1" x14ac:dyDescent="0.3">
      <c r="A2609" t="s">
        <v>206</v>
      </c>
      <c r="B2609" s="2">
        <v>45748</v>
      </c>
    </row>
    <row r="2610" spans="1:3" ht="15" hidden="1" customHeight="1" x14ac:dyDescent="0.3">
      <c r="A2610" t="s">
        <v>206</v>
      </c>
      <c r="B2610" s="2">
        <v>45778</v>
      </c>
    </row>
    <row r="2611" spans="1:3" ht="15" hidden="1" customHeight="1" x14ac:dyDescent="0.3">
      <c r="A2611" t="s">
        <v>206</v>
      </c>
      <c r="B2611" s="2">
        <v>45809</v>
      </c>
    </row>
    <row r="2612" spans="1:3" ht="15" hidden="1" customHeight="1" x14ac:dyDescent="0.3">
      <c r="A2612" t="s">
        <v>206</v>
      </c>
      <c r="B2612" s="2">
        <v>45839</v>
      </c>
    </row>
    <row r="2613" spans="1:3" ht="15" hidden="1" customHeight="1" x14ac:dyDescent="0.3">
      <c r="A2613" t="s">
        <v>206</v>
      </c>
      <c r="B2613" s="2">
        <v>45870</v>
      </c>
    </row>
    <row r="2614" spans="1:3" ht="15" hidden="1" customHeight="1" x14ac:dyDescent="0.3">
      <c r="A2614" t="s">
        <v>206</v>
      </c>
      <c r="B2614" s="2">
        <v>45901</v>
      </c>
    </row>
    <row r="2615" spans="1:3" ht="15" hidden="1" customHeight="1" x14ac:dyDescent="0.3">
      <c r="A2615" t="s">
        <v>206</v>
      </c>
      <c r="B2615" s="2">
        <v>45931</v>
      </c>
    </row>
    <row r="2616" spans="1:3" ht="15" hidden="1" customHeight="1" x14ac:dyDescent="0.3">
      <c r="A2616" t="s">
        <v>206</v>
      </c>
      <c r="B2616" s="2">
        <v>45962</v>
      </c>
    </row>
    <row r="2617" spans="1:3" ht="15" hidden="1" customHeight="1" x14ac:dyDescent="0.3">
      <c r="A2617" t="s">
        <v>206</v>
      </c>
      <c r="B2617" s="2">
        <v>45992</v>
      </c>
    </row>
    <row r="2618" spans="1:3" ht="15" hidden="1" customHeight="1" x14ac:dyDescent="0.3">
      <c r="A2618" t="s">
        <v>206</v>
      </c>
      <c r="B2618" s="2">
        <v>46023</v>
      </c>
    </row>
    <row r="2619" spans="1:3" ht="15" hidden="1" customHeight="1" x14ac:dyDescent="0.3">
      <c r="A2619" t="s">
        <v>206</v>
      </c>
      <c r="B2619" s="2">
        <v>46054</v>
      </c>
    </row>
    <row r="2620" spans="1:3" ht="15" hidden="1" customHeight="1" x14ac:dyDescent="0.3">
      <c r="A2620" t="s">
        <v>206</v>
      </c>
      <c r="B2620" s="2">
        <v>46082</v>
      </c>
    </row>
    <row r="2621" spans="1:3" ht="15" hidden="1" customHeight="1" x14ac:dyDescent="0.3">
      <c r="A2621" t="s">
        <v>206</v>
      </c>
      <c r="B2621" s="2">
        <v>46113</v>
      </c>
    </row>
    <row r="2622" spans="1:3" ht="15" hidden="1" customHeight="1" x14ac:dyDescent="0.3">
      <c r="A2622" t="s">
        <v>206</v>
      </c>
      <c r="B2622" s="2">
        <v>46143</v>
      </c>
      <c r="C2622" s="12"/>
    </row>
    <row r="2623" spans="1:3" ht="15" hidden="1" customHeight="1" x14ac:dyDescent="0.3">
      <c r="A2623" t="s">
        <v>206</v>
      </c>
      <c r="B2623" s="2">
        <v>46174</v>
      </c>
      <c r="C2623">
        <v>0</v>
      </c>
    </row>
    <row r="2624" spans="1:3" ht="15" customHeight="1" x14ac:dyDescent="0.3">
      <c r="A2624" t="s">
        <v>1013</v>
      </c>
      <c r="B2624" s="2">
        <v>46204</v>
      </c>
      <c r="C2624">
        <v>10958.825586000001</v>
      </c>
    </row>
    <row r="2625" spans="1:3" ht="15" hidden="1" customHeight="1" x14ac:dyDescent="0.3">
      <c r="A2625" t="s">
        <v>206</v>
      </c>
      <c r="B2625" s="2">
        <v>46235</v>
      </c>
    </row>
    <row r="2626" spans="1:3" ht="15" hidden="1" customHeight="1" x14ac:dyDescent="0.3">
      <c r="A2626" t="s">
        <v>206</v>
      </c>
      <c r="B2626" s="2">
        <v>46266</v>
      </c>
    </row>
    <row r="2627" spans="1:3" ht="15" hidden="1" customHeight="1" x14ac:dyDescent="0.3">
      <c r="A2627" t="s">
        <v>206</v>
      </c>
      <c r="B2627" s="2">
        <v>46296</v>
      </c>
    </row>
    <row r="2628" spans="1:3" ht="15" hidden="1" customHeight="1" x14ac:dyDescent="0.3">
      <c r="A2628" t="s">
        <v>206</v>
      </c>
      <c r="B2628" s="2">
        <v>46327</v>
      </c>
    </row>
    <row r="2629" spans="1:3" ht="15" hidden="1" customHeight="1" x14ac:dyDescent="0.3">
      <c r="A2629" t="s">
        <v>206</v>
      </c>
      <c r="B2629" s="2">
        <v>46357</v>
      </c>
    </row>
    <row r="2630" spans="1:3" ht="14.25" hidden="1" customHeight="1" x14ac:dyDescent="0.3">
      <c r="A2630" t="s">
        <v>244</v>
      </c>
      <c r="B2630" s="2">
        <v>46113</v>
      </c>
      <c r="C2630">
        <v>10820</v>
      </c>
    </row>
    <row r="2631" spans="1:3" hidden="1" x14ac:dyDescent="0.3">
      <c r="A2631" s="12" t="s">
        <v>244</v>
      </c>
      <c r="B2631" s="2">
        <v>46143</v>
      </c>
      <c r="C2631" s="12">
        <v>11820</v>
      </c>
    </row>
    <row r="2632" spans="1:3" hidden="1" x14ac:dyDescent="0.3">
      <c r="A2632" s="12" t="s">
        <v>251</v>
      </c>
      <c r="B2632" s="2">
        <v>46143</v>
      </c>
      <c r="C2632" s="12">
        <v>17630</v>
      </c>
    </row>
    <row r="2633" spans="1:3" hidden="1" x14ac:dyDescent="0.3">
      <c r="A2633" s="12" t="s">
        <v>250</v>
      </c>
      <c r="B2633" s="2">
        <v>46143</v>
      </c>
      <c r="C2633" s="12">
        <v>27917.200000000001</v>
      </c>
    </row>
    <row r="2634" spans="1:3" hidden="1" x14ac:dyDescent="0.3">
      <c r="A2634" t="s">
        <v>271</v>
      </c>
      <c r="B2634" s="2">
        <v>45292</v>
      </c>
    </row>
    <row r="2635" spans="1:3" hidden="1" x14ac:dyDescent="0.3">
      <c r="A2635" t="s">
        <v>271</v>
      </c>
      <c r="B2635" s="2">
        <v>45323</v>
      </c>
    </row>
    <row r="2636" spans="1:3" hidden="1" x14ac:dyDescent="0.3">
      <c r="A2636" t="s">
        <v>271</v>
      </c>
      <c r="B2636" s="2">
        <v>45352</v>
      </c>
    </row>
    <row r="2637" spans="1:3" hidden="1" x14ac:dyDescent="0.3">
      <c r="A2637" t="s">
        <v>271</v>
      </c>
      <c r="B2637" s="2">
        <v>45383</v>
      </c>
    </row>
    <row r="2638" spans="1:3" hidden="1" x14ac:dyDescent="0.3">
      <c r="A2638" t="s">
        <v>271</v>
      </c>
      <c r="B2638" s="2">
        <v>45413</v>
      </c>
    </row>
    <row r="2639" spans="1:3" hidden="1" x14ac:dyDescent="0.3">
      <c r="A2639" t="s">
        <v>271</v>
      </c>
      <c r="B2639" s="2">
        <v>45444</v>
      </c>
    </row>
    <row r="2640" spans="1:3" hidden="1" x14ac:dyDescent="0.3">
      <c r="A2640" t="s">
        <v>271</v>
      </c>
      <c r="B2640" s="2">
        <v>45474</v>
      </c>
    </row>
    <row r="2641" spans="1:2" hidden="1" x14ac:dyDescent="0.3">
      <c r="A2641" t="s">
        <v>271</v>
      </c>
      <c r="B2641" s="2">
        <v>45505</v>
      </c>
    </row>
    <row r="2642" spans="1:2" hidden="1" x14ac:dyDescent="0.3">
      <c r="A2642" t="s">
        <v>271</v>
      </c>
      <c r="B2642" s="2">
        <v>45536</v>
      </c>
    </row>
    <row r="2643" spans="1:2" hidden="1" x14ac:dyDescent="0.3">
      <c r="A2643" t="s">
        <v>271</v>
      </c>
      <c r="B2643" s="2">
        <v>45566</v>
      </c>
    </row>
    <row r="2644" spans="1:2" hidden="1" x14ac:dyDescent="0.3">
      <c r="A2644" t="s">
        <v>271</v>
      </c>
      <c r="B2644" s="2">
        <v>45597</v>
      </c>
    </row>
    <row r="2645" spans="1:2" hidden="1" x14ac:dyDescent="0.3">
      <c r="A2645" t="s">
        <v>271</v>
      </c>
      <c r="B2645" s="2">
        <v>45627</v>
      </c>
    </row>
    <row r="2646" spans="1:2" hidden="1" x14ac:dyDescent="0.3">
      <c r="A2646" t="s">
        <v>271</v>
      </c>
      <c r="B2646" s="2">
        <v>45658</v>
      </c>
    </row>
    <row r="2647" spans="1:2" hidden="1" x14ac:dyDescent="0.3">
      <c r="A2647" t="s">
        <v>271</v>
      </c>
      <c r="B2647" s="2">
        <v>45689</v>
      </c>
    </row>
    <row r="2648" spans="1:2" hidden="1" x14ac:dyDescent="0.3">
      <c r="A2648" t="s">
        <v>271</v>
      </c>
      <c r="B2648" s="2">
        <v>45717</v>
      </c>
    </row>
    <row r="2649" spans="1:2" hidden="1" x14ac:dyDescent="0.3">
      <c r="A2649" t="s">
        <v>271</v>
      </c>
      <c r="B2649" s="2">
        <v>45748</v>
      </c>
    </row>
    <row r="2650" spans="1:2" hidden="1" x14ac:dyDescent="0.3">
      <c r="A2650" t="s">
        <v>271</v>
      </c>
      <c r="B2650" s="2">
        <v>45778</v>
      </c>
    </row>
    <row r="2651" spans="1:2" hidden="1" x14ac:dyDescent="0.3">
      <c r="A2651" t="s">
        <v>271</v>
      </c>
      <c r="B2651" s="2">
        <v>45809</v>
      </c>
    </row>
    <row r="2652" spans="1:2" hidden="1" x14ac:dyDescent="0.3">
      <c r="A2652" t="s">
        <v>271</v>
      </c>
      <c r="B2652" s="2">
        <v>45839</v>
      </c>
    </row>
    <row r="2653" spans="1:2" hidden="1" x14ac:dyDescent="0.3">
      <c r="A2653" t="s">
        <v>271</v>
      </c>
      <c r="B2653" s="2">
        <v>45870</v>
      </c>
    </row>
    <row r="2654" spans="1:2" hidden="1" x14ac:dyDescent="0.3">
      <c r="A2654" t="s">
        <v>271</v>
      </c>
      <c r="B2654" s="2">
        <v>45901</v>
      </c>
    </row>
    <row r="2655" spans="1:2" hidden="1" x14ac:dyDescent="0.3">
      <c r="A2655" t="s">
        <v>271</v>
      </c>
      <c r="B2655" s="2">
        <v>45931</v>
      </c>
    </row>
    <row r="2656" spans="1:2" hidden="1" x14ac:dyDescent="0.3">
      <c r="A2656" t="s">
        <v>271</v>
      </c>
      <c r="B2656" s="2">
        <v>45962</v>
      </c>
    </row>
    <row r="2657" spans="1:3" hidden="1" x14ac:dyDescent="0.3">
      <c r="A2657" t="s">
        <v>271</v>
      </c>
      <c r="B2657" s="2">
        <v>45992</v>
      </c>
    </row>
    <row r="2658" spans="1:3" hidden="1" x14ac:dyDescent="0.3">
      <c r="A2658" t="s">
        <v>271</v>
      </c>
      <c r="B2658" s="2">
        <v>46023</v>
      </c>
    </row>
    <row r="2659" spans="1:3" hidden="1" x14ac:dyDescent="0.3">
      <c r="A2659" t="s">
        <v>271</v>
      </c>
      <c r="B2659" s="2">
        <v>46054</v>
      </c>
    </row>
    <row r="2660" spans="1:3" hidden="1" x14ac:dyDescent="0.3">
      <c r="A2660" t="s">
        <v>271</v>
      </c>
      <c r="B2660" s="2">
        <v>46082</v>
      </c>
    </row>
    <row r="2661" spans="1:3" hidden="1" x14ac:dyDescent="0.3">
      <c r="A2661" t="s">
        <v>271</v>
      </c>
      <c r="B2661" s="2">
        <v>46113</v>
      </c>
    </row>
    <row r="2662" spans="1:3" hidden="1" x14ac:dyDescent="0.3">
      <c r="A2662" t="s">
        <v>271</v>
      </c>
      <c r="B2662" s="2">
        <v>46143</v>
      </c>
    </row>
    <row r="2663" spans="1:3" hidden="1" x14ac:dyDescent="0.3">
      <c r="A2663" t="s">
        <v>194</v>
      </c>
      <c r="B2663" s="2">
        <v>46174</v>
      </c>
      <c r="C2663">
        <v>2444</v>
      </c>
    </row>
    <row r="2664" spans="1:3" x14ac:dyDescent="0.3">
      <c r="A2664" t="s">
        <v>199</v>
      </c>
      <c r="B2664" s="2">
        <v>46204</v>
      </c>
      <c r="C2664">
        <v>2200.69</v>
      </c>
    </row>
    <row r="2665" spans="1:3" hidden="1" x14ac:dyDescent="0.3">
      <c r="A2665" t="s">
        <v>271</v>
      </c>
      <c r="B2665" s="2">
        <v>46235</v>
      </c>
    </row>
    <row r="2666" spans="1:3" hidden="1" x14ac:dyDescent="0.3">
      <c r="A2666" t="s">
        <v>271</v>
      </c>
      <c r="B2666" s="2">
        <v>46266</v>
      </c>
    </row>
    <row r="2667" spans="1:3" hidden="1" x14ac:dyDescent="0.3">
      <c r="A2667" t="s">
        <v>271</v>
      </c>
      <c r="B2667" s="2">
        <v>46296</v>
      </c>
    </row>
    <row r="2668" spans="1:3" hidden="1" x14ac:dyDescent="0.3">
      <c r="A2668" t="s">
        <v>271</v>
      </c>
      <c r="B2668" s="2">
        <v>46327</v>
      </c>
    </row>
    <row r="2669" spans="1:3" hidden="1" x14ac:dyDescent="0.3">
      <c r="A2669" t="s">
        <v>271</v>
      </c>
      <c r="B2669" s="2">
        <v>46357</v>
      </c>
    </row>
    <row r="2670" spans="1:3" hidden="1" x14ac:dyDescent="0.3">
      <c r="A2670" t="s">
        <v>250</v>
      </c>
      <c r="B2670" s="2">
        <v>45292</v>
      </c>
    </row>
    <row r="2671" spans="1:3" hidden="1" x14ac:dyDescent="0.3">
      <c r="A2671" t="s">
        <v>250</v>
      </c>
      <c r="B2671" s="2">
        <v>45323</v>
      </c>
    </row>
    <row r="2672" spans="1:3" hidden="1" x14ac:dyDescent="0.3">
      <c r="A2672" t="s">
        <v>250</v>
      </c>
      <c r="B2672" s="2">
        <v>45352</v>
      </c>
    </row>
    <row r="2673" spans="1:2" hidden="1" x14ac:dyDescent="0.3">
      <c r="A2673" t="s">
        <v>250</v>
      </c>
      <c r="B2673" s="2">
        <v>45383</v>
      </c>
    </row>
    <row r="2674" spans="1:2" hidden="1" x14ac:dyDescent="0.3">
      <c r="A2674" t="s">
        <v>250</v>
      </c>
      <c r="B2674" s="2">
        <v>45413</v>
      </c>
    </row>
    <row r="2675" spans="1:2" hidden="1" x14ac:dyDescent="0.3">
      <c r="A2675" t="s">
        <v>250</v>
      </c>
      <c r="B2675" s="2">
        <v>45444</v>
      </c>
    </row>
    <row r="2676" spans="1:2" hidden="1" x14ac:dyDescent="0.3">
      <c r="A2676" t="s">
        <v>250</v>
      </c>
      <c r="B2676" s="2">
        <v>45474</v>
      </c>
    </row>
    <row r="2677" spans="1:2" hidden="1" x14ac:dyDescent="0.3">
      <c r="A2677" t="s">
        <v>250</v>
      </c>
      <c r="B2677" s="2">
        <v>45505</v>
      </c>
    </row>
    <row r="2678" spans="1:2" hidden="1" x14ac:dyDescent="0.3">
      <c r="A2678" t="s">
        <v>250</v>
      </c>
      <c r="B2678" s="2">
        <v>45536</v>
      </c>
    </row>
    <row r="2679" spans="1:2" hidden="1" x14ac:dyDescent="0.3">
      <c r="A2679" t="s">
        <v>250</v>
      </c>
      <c r="B2679" s="2">
        <v>45566</v>
      </c>
    </row>
    <row r="2680" spans="1:2" hidden="1" x14ac:dyDescent="0.3">
      <c r="A2680" t="s">
        <v>250</v>
      </c>
      <c r="B2680" s="2">
        <v>45597</v>
      </c>
    </row>
    <row r="2681" spans="1:2" hidden="1" x14ac:dyDescent="0.3">
      <c r="A2681" t="s">
        <v>250</v>
      </c>
      <c r="B2681" s="2">
        <v>45627</v>
      </c>
    </row>
    <row r="2682" spans="1:2" hidden="1" x14ac:dyDescent="0.3">
      <c r="A2682" t="s">
        <v>250</v>
      </c>
      <c r="B2682" s="2">
        <v>45658</v>
      </c>
    </row>
    <row r="2683" spans="1:2" hidden="1" x14ac:dyDescent="0.3">
      <c r="A2683" t="s">
        <v>250</v>
      </c>
      <c r="B2683" s="2">
        <v>45689</v>
      </c>
    </row>
    <row r="2684" spans="1:2" hidden="1" x14ac:dyDescent="0.3">
      <c r="A2684" t="s">
        <v>250</v>
      </c>
      <c r="B2684" s="2">
        <v>45717</v>
      </c>
    </row>
    <row r="2685" spans="1:2" hidden="1" x14ac:dyDescent="0.3">
      <c r="A2685" t="s">
        <v>250</v>
      </c>
      <c r="B2685" s="2">
        <v>45748</v>
      </c>
    </row>
    <row r="2686" spans="1:2" hidden="1" x14ac:dyDescent="0.3">
      <c r="A2686" t="s">
        <v>250</v>
      </c>
      <c r="B2686" s="2">
        <v>45778</v>
      </c>
    </row>
    <row r="2687" spans="1:2" hidden="1" x14ac:dyDescent="0.3">
      <c r="A2687" t="s">
        <v>250</v>
      </c>
      <c r="B2687" s="2">
        <v>45809</v>
      </c>
    </row>
    <row r="2688" spans="1:2" hidden="1" x14ac:dyDescent="0.3">
      <c r="A2688" t="s">
        <v>250</v>
      </c>
      <c r="B2688" s="2">
        <v>45839</v>
      </c>
    </row>
    <row r="2689" spans="1:3" hidden="1" x14ac:dyDescent="0.3">
      <c r="A2689" t="s">
        <v>250</v>
      </c>
      <c r="B2689" s="2">
        <v>45870</v>
      </c>
    </row>
    <row r="2690" spans="1:3" hidden="1" x14ac:dyDescent="0.3">
      <c r="A2690" t="s">
        <v>250</v>
      </c>
      <c r="B2690" s="2">
        <v>45901</v>
      </c>
    </row>
    <row r="2691" spans="1:3" hidden="1" x14ac:dyDescent="0.3">
      <c r="A2691" t="s">
        <v>250</v>
      </c>
      <c r="B2691" s="2">
        <v>45931</v>
      </c>
    </row>
    <row r="2692" spans="1:3" hidden="1" x14ac:dyDescent="0.3">
      <c r="A2692" t="s">
        <v>250</v>
      </c>
      <c r="B2692" s="2">
        <v>45962</v>
      </c>
    </row>
    <row r="2693" spans="1:3" hidden="1" x14ac:dyDescent="0.3">
      <c r="A2693" t="s">
        <v>250</v>
      </c>
      <c r="B2693" s="2">
        <v>45992</v>
      </c>
    </row>
    <row r="2694" spans="1:3" hidden="1" x14ac:dyDescent="0.3">
      <c r="A2694" t="s">
        <v>250</v>
      </c>
      <c r="B2694" s="2">
        <v>46023</v>
      </c>
    </row>
    <row r="2695" spans="1:3" hidden="1" x14ac:dyDescent="0.3">
      <c r="A2695" t="s">
        <v>250</v>
      </c>
      <c r="B2695" s="2">
        <v>46054</v>
      </c>
    </row>
    <row r="2696" spans="1:3" hidden="1" x14ac:dyDescent="0.3">
      <c r="A2696" t="s">
        <v>250</v>
      </c>
      <c r="B2696" s="2">
        <v>46082</v>
      </c>
    </row>
    <row r="2697" spans="1:3" hidden="1" x14ac:dyDescent="0.3">
      <c r="A2697" t="s">
        <v>250</v>
      </c>
      <c r="B2697" s="2">
        <v>46113</v>
      </c>
    </row>
    <row r="2698" spans="1:3" hidden="1" x14ac:dyDescent="0.3">
      <c r="A2698" t="s">
        <v>202</v>
      </c>
      <c r="B2698" s="2">
        <v>46174</v>
      </c>
      <c r="C2698">
        <v>11655</v>
      </c>
    </row>
    <row r="2699" spans="1:3" x14ac:dyDescent="0.3">
      <c r="A2699" t="s">
        <v>201</v>
      </c>
      <c r="B2699" s="2">
        <v>46204</v>
      </c>
      <c r="C2699">
        <v>9893.59</v>
      </c>
    </row>
    <row r="2700" spans="1:3" hidden="1" x14ac:dyDescent="0.3">
      <c r="A2700" t="s">
        <v>250</v>
      </c>
      <c r="B2700" s="2">
        <v>46235</v>
      </c>
    </row>
    <row r="2701" spans="1:3" hidden="1" x14ac:dyDescent="0.3">
      <c r="A2701" t="s">
        <v>250</v>
      </c>
      <c r="B2701" s="2">
        <v>46266</v>
      </c>
    </row>
    <row r="2702" spans="1:3" hidden="1" x14ac:dyDescent="0.3">
      <c r="A2702" t="s">
        <v>250</v>
      </c>
      <c r="B2702" s="2">
        <v>46296</v>
      </c>
    </row>
    <row r="2703" spans="1:3" hidden="1" x14ac:dyDescent="0.3">
      <c r="A2703" t="s">
        <v>250</v>
      </c>
      <c r="B2703" s="2">
        <v>46327</v>
      </c>
    </row>
    <row r="2704" spans="1:3" hidden="1" x14ac:dyDescent="0.3">
      <c r="A2704" t="s">
        <v>250</v>
      </c>
      <c r="B2704" s="2">
        <v>46357</v>
      </c>
    </row>
    <row r="2705" spans="1:3" x14ac:dyDescent="0.3">
      <c r="A2705" t="s">
        <v>211</v>
      </c>
      <c r="B2705" s="2">
        <v>46204</v>
      </c>
      <c r="C2705">
        <v>2292.6909999999998</v>
      </c>
    </row>
    <row r="2706" spans="1:3" x14ac:dyDescent="0.3">
      <c r="A2706" t="s">
        <v>1004</v>
      </c>
      <c r="B2706" s="2">
        <v>46204</v>
      </c>
      <c r="C2706">
        <v>4094.8841000000002</v>
      </c>
    </row>
    <row r="2707" spans="1:3" x14ac:dyDescent="0.3">
      <c r="A2707" t="s">
        <v>202</v>
      </c>
      <c r="B2707" s="2">
        <v>46204</v>
      </c>
      <c r="C2707">
        <v>14705</v>
      </c>
    </row>
    <row r="2708" spans="1:3" x14ac:dyDescent="0.3">
      <c r="A2708" t="s">
        <v>206</v>
      </c>
      <c r="B2708" s="2">
        <v>46204</v>
      </c>
      <c r="C2708">
        <v>0</v>
      </c>
    </row>
  </sheetData>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80"/>
  <sheetViews>
    <sheetView zoomScaleNormal="100" workbookViewId="0">
      <pane xSplit="1" ySplit="1" topLeftCell="B66" activePane="bottomRight" state="frozen"/>
      <selection pane="topRight" activeCell="B1" sqref="B1"/>
      <selection pane="bottomLeft" activeCell="A2" sqref="A2"/>
      <selection pane="bottomRight" activeCell="B27" sqref="B27"/>
    </sheetView>
  </sheetViews>
  <sheetFormatPr defaultColWidth="8.6640625" defaultRowHeight="14.4" outlineLevelCol="1" x14ac:dyDescent="0.3"/>
  <cols>
    <col min="1" max="1" width="24.109375" customWidth="1"/>
    <col min="2" max="2" width="20.88671875" customWidth="1"/>
    <col min="3" max="8" width="8.109375" customWidth="1" outlineLevel="1"/>
    <col min="9" max="12" width="8.6640625" customWidth="1" outlineLevel="1"/>
    <col min="13" max="14" width="8.109375" customWidth="1" outlineLevel="1"/>
  </cols>
  <sheetData>
    <row r="1" spans="1:14" ht="14.25" customHeight="1" x14ac:dyDescent="0.3">
      <c r="A1" t="s">
        <v>0</v>
      </c>
      <c r="B1" t="s">
        <v>267</v>
      </c>
      <c r="C1" t="s">
        <v>253</v>
      </c>
      <c r="D1" t="s">
        <v>254</v>
      </c>
      <c r="E1" t="s">
        <v>255</v>
      </c>
      <c r="F1" t="s">
        <v>256</v>
      </c>
      <c r="G1" t="s">
        <v>257</v>
      </c>
      <c r="H1" t="s">
        <v>258</v>
      </c>
      <c r="I1" t="s">
        <v>259</v>
      </c>
      <c r="J1" t="s">
        <v>260</v>
      </c>
      <c r="K1" t="s">
        <v>261</v>
      </c>
      <c r="L1" t="s">
        <v>262</v>
      </c>
      <c r="M1" t="s">
        <v>263</v>
      </c>
      <c r="N1" t="s">
        <v>264</v>
      </c>
    </row>
    <row r="2" spans="1:14" ht="14.25" customHeight="1" x14ac:dyDescent="0.3">
      <c r="A2" t="s">
        <v>31</v>
      </c>
      <c r="B2">
        <v>0.9</v>
      </c>
      <c r="C2" s="5">
        <f>Table4[[#This Row],[Jan]]*$B2</f>
        <v>2370.6</v>
      </c>
      <c r="D2" s="5">
        <f>Table4[[#This Row],[Feb]]*$B2</f>
        <v>2680.2000000000003</v>
      </c>
      <c r="E2" s="5">
        <f>Table4[[#This Row],[Mar]]*$B2</f>
        <v>2183.4</v>
      </c>
      <c r="F2" s="5">
        <f>Table4[[#This Row],[Apr]]*$B2</f>
        <v>1873.8</v>
      </c>
      <c r="G2" s="5">
        <f>Table4[[#This Row],[May]]*$B2</f>
        <v>1822.5</v>
      </c>
      <c r="H2" s="5">
        <f>Table4[[#This Row],[Jun]]*$B2</f>
        <v>1629</v>
      </c>
      <c r="I2" s="5">
        <f>Table4[[#This Row],[Jul]]*$B2</f>
        <v>1814.4</v>
      </c>
      <c r="J2" s="5">
        <f>Table4[[#This Row],[Aug]]*$B2</f>
        <v>2116.8000000000002</v>
      </c>
      <c r="K2" s="5">
        <f>Table4[[#This Row],[Sep]]*$B2</f>
        <v>2275.2000000000003</v>
      </c>
      <c r="L2" s="5">
        <f>Table4[[#This Row],[Oct]]*$B2</f>
        <v>2407.5</v>
      </c>
      <c r="M2" s="5">
        <f>Table4[[#This Row],[Nov]]*$B2</f>
        <v>2356.2000000000003</v>
      </c>
      <c r="N2" s="5">
        <f>Table4[[#This Row],[Dec]]*$B2</f>
        <v>2482.2000000000003</v>
      </c>
    </row>
    <row r="3" spans="1:14" ht="14.25" customHeight="1" x14ac:dyDescent="0.3">
      <c r="A3" t="s">
        <v>43</v>
      </c>
      <c r="B3">
        <v>0.85</v>
      </c>
      <c r="C3" s="5">
        <f>Table4[[#This Row],[Jan]]*$B3</f>
        <v>22515.904999999999</v>
      </c>
      <c r="D3" s="5">
        <f>Table4[[#This Row],[Feb]]*$B3</f>
        <v>19786.129999999997</v>
      </c>
      <c r="E3" s="5">
        <f>Table4[[#This Row],[Mar]]*$B3</f>
        <v>20148.399999999998</v>
      </c>
      <c r="F3" s="5">
        <f>Table4[[#This Row],[Apr]]*$B3</f>
        <v>16764.89</v>
      </c>
      <c r="G3" s="5">
        <f>Table4[[#This Row],[May]]*$B3</f>
        <v>15972.094999999999</v>
      </c>
      <c r="H3" s="5">
        <f>Table4[[#This Row],[Jun]]*$B3</f>
        <v>14367.21</v>
      </c>
      <c r="I3" s="5">
        <f>Table4[[#This Row],[Jul]]*$B3</f>
        <v>15907.665000000001</v>
      </c>
      <c r="J3" s="5">
        <f>Table4[[#This Row],[Aug]]*$B3</f>
        <v>18527.365000000002</v>
      </c>
      <c r="K3" s="5">
        <f>Table4[[#This Row],[Sep]]*$B3</f>
        <v>20404.334999999999</v>
      </c>
      <c r="L3" s="5">
        <f>Table4[[#This Row],[Oct]]*$B3</f>
        <v>22320.66</v>
      </c>
      <c r="M3" s="5">
        <f>Table4[[#This Row],[Nov]]*$B3</f>
        <v>22520.665000000001</v>
      </c>
      <c r="N3" s="5">
        <f>Table4[[#This Row],[Dec]]*$B3</f>
        <v>23777.984999999997</v>
      </c>
    </row>
    <row r="4" spans="1:14" ht="14.25" customHeight="1" x14ac:dyDescent="0.3">
      <c r="A4" t="s">
        <v>49</v>
      </c>
      <c r="B4">
        <v>0.9</v>
      </c>
      <c r="C4" s="5">
        <f>Table4[[#This Row],[Jan]]*$B4</f>
        <v>4801.5</v>
      </c>
      <c r="D4" s="5">
        <f>Table4[[#This Row],[Feb]]*$B4</f>
        <v>4303.8</v>
      </c>
      <c r="E4" s="5">
        <f>Table4[[#This Row],[Mar]]*$B4</f>
        <v>4545.9000000000005</v>
      </c>
      <c r="F4" s="5">
        <f>Table4[[#This Row],[Apr]]*$B4</f>
        <v>4619.7</v>
      </c>
      <c r="G4" s="5">
        <f>Table4[[#This Row],[May]]*$B4</f>
        <v>4990.5</v>
      </c>
      <c r="H4" s="5">
        <f>Table4[[#This Row],[Jun]]*$B4</f>
        <v>4761.9000000000005</v>
      </c>
      <c r="I4" s="5">
        <f>Table4[[#This Row],[Jul]]*$B4</f>
        <v>4680.9000000000005</v>
      </c>
      <c r="J4" s="5">
        <f>Table4[[#This Row],[Aug]]*$B4</f>
        <v>5249.7</v>
      </c>
      <c r="K4" s="5">
        <f>Table4[[#This Row],[Sep]]*$B4</f>
        <v>4694.4000000000005</v>
      </c>
      <c r="L4" s="5">
        <f>Table4[[#This Row],[Oct]]*$B4</f>
        <v>4732.2</v>
      </c>
      <c r="M4" s="5">
        <f>Table4[[#This Row],[Nov]]*$B4</f>
        <v>4822.2</v>
      </c>
      <c r="N4" s="5">
        <f>Table4[[#This Row],[Dec]]*$B4</f>
        <v>4805.1000000000004</v>
      </c>
    </row>
    <row r="5" spans="1:14" ht="14.25" customHeight="1" x14ac:dyDescent="0.3">
      <c r="A5" t="s">
        <v>55</v>
      </c>
      <c r="B5">
        <v>0.85</v>
      </c>
      <c r="C5" s="5">
        <f>Table4[[#This Row],[Jan]]*$B5</f>
        <v>16262.199999999999</v>
      </c>
      <c r="D5" s="5">
        <f>Table4[[#This Row],[Feb]]*$B5</f>
        <v>13986.75</v>
      </c>
      <c r="E5" s="5">
        <f>Table4[[#This Row],[Mar]]*$B5</f>
        <v>15463.199999999999</v>
      </c>
      <c r="F5" s="5">
        <f>Table4[[#This Row],[Apr]]*$B5</f>
        <v>14886.05</v>
      </c>
      <c r="G5" s="5">
        <f>Table4[[#This Row],[May]]*$B5</f>
        <v>14411.75</v>
      </c>
      <c r="H5" s="5">
        <f>Table4[[#This Row],[Jun]]*$B5</f>
        <v>13050.05</v>
      </c>
      <c r="I5" s="5">
        <f>Table4[[#This Row],[Jul]]*$B5</f>
        <v>13735.15</v>
      </c>
      <c r="J5" s="5">
        <f>Table4[[#This Row],[Aug]]*$B5</f>
        <v>15350.15</v>
      </c>
      <c r="K5" s="5">
        <f>Table4[[#This Row],[Sep]]*$B5</f>
        <v>15431.75</v>
      </c>
      <c r="L5" s="5">
        <f>Table4[[#This Row],[Oct]]*$B5</f>
        <v>14821.449999999999</v>
      </c>
      <c r="M5" s="5">
        <f>Table4[[#This Row],[Nov]]*$B5</f>
        <v>14695.65</v>
      </c>
      <c r="N5" s="5">
        <f>Table4[[#This Row],[Dec]]*$B5</f>
        <v>16154.25</v>
      </c>
    </row>
    <row r="6" spans="1:14" ht="14.25" customHeight="1" x14ac:dyDescent="0.3">
      <c r="A6" t="s">
        <v>60</v>
      </c>
      <c r="B6">
        <v>0.9</v>
      </c>
      <c r="C6" s="5">
        <f>Table4[[#This Row],[Jan]]*$B6</f>
        <v>51314.734709999997</v>
      </c>
      <c r="D6" s="5">
        <f>Table4[[#This Row],[Feb]]*$B6</f>
        <v>44103.290670000002</v>
      </c>
      <c r="E6" s="5">
        <f>Table4[[#This Row],[Mar]]*$B6</f>
        <v>48739.270049999999</v>
      </c>
      <c r="F6" s="5">
        <f>Table4[[#This Row],[Apr]]*$B6</f>
        <v>46849.898880000001</v>
      </c>
      <c r="G6" s="5">
        <f>Table4[[#This Row],[May]]*$B6</f>
        <v>45273.233340000006</v>
      </c>
      <c r="H6" s="5">
        <f>Table4[[#This Row],[Jun]]*$B6</f>
        <v>40943.971800000007</v>
      </c>
      <c r="I6" s="5">
        <f>Table4[[#This Row],[Jul]]*$B6</f>
        <v>43112.802960000001</v>
      </c>
      <c r="J6" s="5">
        <f>Table4[[#This Row],[Aug]]*$B6</f>
        <v>48266.50275</v>
      </c>
      <c r="K6" s="5">
        <f>Table4[[#This Row],[Sep]]*$B6</f>
        <v>48602.891429999996</v>
      </c>
      <c r="L6" s="5">
        <f>Table4[[#This Row],[Oct]]*$B6</f>
        <v>46748.910779999998</v>
      </c>
      <c r="M6" s="5">
        <f>Table4[[#This Row],[Nov]]*$B6</f>
        <v>46388.481569999996</v>
      </c>
      <c r="N6" s="5">
        <f>Table4[[#This Row],[Dec]]*$B6</f>
        <v>50640.311422710001</v>
      </c>
    </row>
    <row r="7" spans="1:14" ht="14.25" customHeight="1" x14ac:dyDescent="0.3">
      <c r="A7" t="s">
        <v>61</v>
      </c>
      <c r="B7">
        <v>0.9</v>
      </c>
      <c r="C7" s="5">
        <f>Table4[[#This Row],[Jan]]*$B7</f>
        <v>13787.1</v>
      </c>
      <c r="D7" s="5">
        <f>Table4[[#This Row],[Feb]]*$B7</f>
        <v>11359.800000000001</v>
      </c>
      <c r="E7" s="5">
        <f>Table4[[#This Row],[Mar]]*$B7</f>
        <v>10881</v>
      </c>
      <c r="F7" s="5">
        <f>Table4[[#This Row],[Apr]]*$B7</f>
        <v>7828.2</v>
      </c>
      <c r="G7" s="5">
        <f>Table4[[#This Row],[May]]*$B7</f>
        <v>5953.5</v>
      </c>
      <c r="H7" s="5">
        <f>Table4[[#This Row],[Jun]]*$B7</f>
        <v>5166</v>
      </c>
      <c r="I7" s="5">
        <f>Table4[[#This Row],[Jul]]*$B7</f>
        <v>5564.7</v>
      </c>
      <c r="J7" s="5">
        <f>Table4[[#This Row],[Aug]]*$B7</f>
        <v>6960.6</v>
      </c>
      <c r="K7" s="5">
        <f>Table4[[#This Row],[Sep]]*$B7</f>
        <v>8946</v>
      </c>
      <c r="L7" s="5">
        <f>Table4[[#This Row],[Oct]]*$B7</f>
        <v>11314.800000000001</v>
      </c>
      <c r="M7" s="5">
        <f>Table4[[#This Row],[Nov]]*$B7</f>
        <v>12713.4</v>
      </c>
      <c r="N7" s="5">
        <f>Table4[[#This Row],[Dec]]*$B7</f>
        <v>13878.9</v>
      </c>
    </row>
    <row r="8" spans="1:14" ht="14.25" customHeight="1" x14ac:dyDescent="0.3">
      <c r="A8" t="s">
        <v>64</v>
      </c>
      <c r="B8">
        <v>0.9</v>
      </c>
      <c r="C8" s="5">
        <f>Table4[[#This Row],[Jan]]*$B8</f>
        <v>8151.3</v>
      </c>
      <c r="D8" s="5">
        <f>Table4[[#This Row],[Feb]]*$B8</f>
        <v>7235.1</v>
      </c>
      <c r="E8" s="5">
        <f>Table4[[#This Row],[Mar]]*$B8</f>
        <v>7075.8</v>
      </c>
      <c r="F8" s="5">
        <f>Table4[[#This Row],[Apr]]*$B8</f>
        <v>5754.6</v>
      </c>
      <c r="G8" s="5">
        <f>Table4[[#This Row],[May]]*$B8</f>
        <v>5424.3</v>
      </c>
      <c r="H8" s="5">
        <f>Table4[[#This Row],[Jun]]*$B8</f>
        <v>4787.1000000000004</v>
      </c>
      <c r="I8" s="5">
        <f>Table4[[#This Row],[Jul]]*$B8</f>
        <v>5360.4000000000005</v>
      </c>
      <c r="J8" s="5">
        <f>Table4[[#This Row],[Aug]]*$B8</f>
        <v>6363</v>
      </c>
      <c r="K8" s="5">
        <f>Table4[[#This Row],[Sep]]*$B8</f>
        <v>7218.9000000000005</v>
      </c>
      <c r="L8" s="5">
        <f>Table4[[#This Row],[Oct]]*$B8</f>
        <v>7839</v>
      </c>
      <c r="M8" s="5">
        <f>Table4[[#This Row],[Nov]]*$B8</f>
        <v>8191.8</v>
      </c>
      <c r="N8" s="5">
        <f>Table4[[#This Row],[Dec]]*$B8</f>
        <v>8227.8000000000011</v>
      </c>
    </row>
    <row r="9" spans="1:14" ht="14.25" customHeight="1" x14ac:dyDescent="0.3">
      <c r="A9" t="s">
        <v>66</v>
      </c>
      <c r="B9">
        <v>0.9</v>
      </c>
      <c r="C9" s="5">
        <f>Table4[[#This Row],[Jan]]*$B9</f>
        <v>2202.3000000000002</v>
      </c>
      <c r="D9" s="5">
        <f>Table4[[#This Row],[Feb]]*$B9</f>
        <v>1983.6000000000001</v>
      </c>
      <c r="E9" s="5">
        <f>Table4[[#This Row],[Mar]]*$B9</f>
        <v>2127.6</v>
      </c>
      <c r="F9" s="5">
        <f>Table4[[#This Row],[Apr]]*$B9</f>
        <v>1767.6000000000001</v>
      </c>
      <c r="G9" s="5">
        <f>Table4[[#This Row],[May]]*$B9</f>
        <v>1631.7</v>
      </c>
      <c r="H9" s="5">
        <f>Table4[[#This Row],[Jun]]*$B9</f>
        <v>1480.5</v>
      </c>
      <c r="I9" s="5">
        <f>Table4[[#This Row],[Jul]]*$B9</f>
        <v>1612.8</v>
      </c>
      <c r="J9" s="5">
        <f>Table4[[#This Row],[Aug]]*$B9</f>
        <v>1764</v>
      </c>
      <c r="K9" s="5">
        <f>Table4[[#This Row],[Sep]]*$B9</f>
        <v>1868.4</v>
      </c>
      <c r="L9" s="5">
        <f>Table4[[#This Row],[Oct]]*$B9</f>
        <v>1900.8</v>
      </c>
      <c r="M9" s="5">
        <f>Table4[[#This Row],[Nov]]*$B9</f>
        <v>1835.1000000000001</v>
      </c>
      <c r="N9" s="5">
        <f>Table4[[#This Row],[Dec]]*$B9</f>
        <v>1986.3</v>
      </c>
    </row>
    <row r="10" spans="1:14" ht="14.25" customHeight="1" x14ac:dyDescent="0.3">
      <c r="A10" t="s">
        <v>71</v>
      </c>
      <c r="B10">
        <v>0.9</v>
      </c>
      <c r="C10" s="5">
        <f>Table4[[#This Row],[Jan]]*$B10</f>
        <v>26689.5</v>
      </c>
      <c r="D10" s="5">
        <f>Table4[[#This Row],[Feb]]*$B10</f>
        <v>20674.8</v>
      </c>
      <c r="E10" s="5">
        <f>Table4[[#This Row],[Mar]]*$B10</f>
        <v>20095.2</v>
      </c>
      <c r="F10" s="5">
        <f>Table4[[#This Row],[Apr]]*$B10</f>
        <v>16286.4</v>
      </c>
      <c r="G10" s="5">
        <f>Table4[[#This Row],[May]]*$B10</f>
        <v>13518.9</v>
      </c>
      <c r="H10" s="5">
        <f>Table4[[#This Row],[Jun]]*$B10</f>
        <v>11864.7</v>
      </c>
      <c r="I10" s="5">
        <f>Table4[[#This Row],[Jul]]*$B10</f>
        <v>13589.1</v>
      </c>
      <c r="J10" s="5">
        <f>Table4[[#This Row],[Aug]]*$B10</f>
        <v>17109</v>
      </c>
      <c r="K10" s="5">
        <f>Table4[[#This Row],[Sep]]*$B10</f>
        <v>19506.600000000002</v>
      </c>
      <c r="L10" s="5">
        <f>Table4[[#This Row],[Oct]]*$B10</f>
        <v>24081.3</v>
      </c>
      <c r="M10" s="5">
        <f>Table4[[#This Row],[Nov]]*$B10</f>
        <v>25889.4</v>
      </c>
      <c r="N10" s="5">
        <f>Table4[[#This Row],[Dec]]*$B10</f>
        <v>27992.7</v>
      </c>
    </row>
    <row r="11" spans="1:14" ht="14.25" customHeight="1" x14ac:dyDescent="0.3">
      <c r="A11" t="s">
        <v>77</v>
      </c>
      <c r="B11">
        <v>0.9</v>
      </c>
      <c r="C11" s="5">
        <f>Table4[[#This Row],[Jan]]*$B11</f>
        <v>21105</v>
      </c>
      <c r="D11" s="5">
        <f>Table4[[#This Row],[Feb]]*$B11</f>
        <v>18220.5</v>
      </c>
      <c r="E11" s="5">
        <f>Table4[[#This Row],[Mar]]*$B11</f>
        <v>18368.100000000002</v>
      </c>
      <c r="F11" s="5">
        <f>Table4[[#This Row],[Apr]]*$B11</f>
        <v>15103.800000000001</v>
      </c>
      <c r="G11" s="5">
        <f>Table4[[#This Row],[May]]*$B11</f>
        <v>14130</v>
      </c>
      <c r="H11" s="5">
        <f>Table4[[#This Row],[Jun]]*$B11</f>
        <v>12619.800000000001</v>
      </c>
      <c r="I11" s="5">
        <f>Table4[[#This Row],[Jul]]*$B11</f>
        <v>14002.2</v>
      </c>
      <c r="J11" s="5">
        <f>Table4[[#This Row],[Aug]]*$B11</f>
        <v>16641.900000000001</v>
      </c>
      <c r="K11" s="5">
        <f>Table4[[#This Row],[Sep]]*$B11</f>
        <v>18626.400000000001</v>
      </c>
      <c r="L11" s="5">
        <f>Table4[[#This Row],[Oct]]*$B11</f>
        <v>20503.8</v>
      </c>
      <c r="M11" s="5">
        <f>Table4[[#This Row],[Nov]]*$B11</f>
        <v>20601</v>
      </c>
      <c r="N11" s="5">
        <f>Table4[[#This Row],[Dec]]*$B11</f>
        <v>22024.799999999999</v>
      </c>
    </row>
    <row r="12" spans="1:14" ht="14.25" customHeight="1" x14ac:dyDescent="0.3">
      <c r="A12" t="s">
        <v>80</v>
      </c>
      <c r="B12">
        <v>0.9</v>
      </c>
      <c r="C12" s="5">
        <f>Table4[[#This Row],[Jan]]*$B12</f>
        <v>21105</v>
      </c>
      <c r="D12" s="5">
        <f>Table4[[#This Row],[Feb]]*$B12</f>
        <v>18220.5</v>
      </c>
      <c r="E12" s="5">
        <f>Table4[[#This Row],[Mar]]*$B12</f>
        <v>18368.100000000002</v>
      </c>
      <c r="F12" s="5">
        <f>Table4[[#This Row],[Apr]]*$B12</f>
        <v>15103.800000000001</v>
      </c>
      <c r="G12" s="5">
        <f>Table4[[#This Row],[May]]*$B12</f>
        <v>14130</v>
      </c>
      <c r="H12" s="5">
        <f>Table4[[#This Row],[Jun]]*$B12</f>
        <v>12619.800000000001</v>
      </c>
      <c r="I12" s="5">
        <f>Table4[[#This Row],[Jul]]*$B12</f>
        <v>14002.2</v>
      </c>
      <c r="J12" s="5">
        <f>Table4[[#This Row],[Aug]]*$B12</f>
        <v>16641.900000000001</v>
      </c>
      <c r="K12" s="5">
        <f>Table4[[#This Row],[Sep]]*$B12</f>
        <v>18626.400000000001</v>
      </c>
      <c r="L12" s="5">
        <f>Table4[[#This Row],[Oct]]*$B12</f>
        <v>20503.8</v>
      </c>
      <c r="M12" s="5">
        <f>Table4[[#This Row],[Nov]]*$B12</f>
        <v>20601</v>
      </c>
      <c r="N12" s="5">
        <f>Table4[[#This Row],[Dec]]*$B12</f>
        <v>22024.799999999999</v>
      </c>
    </row>
    <row r="13" spans="1:14" ht="14.25" customHeight="1" x14ac:dyDescent="0.3">
      <c r="A13" t="s">
        <v>81</v>
      </c>
      <c r="B13">
        <v>0.9</v>
      </c>
      <c r="C13" s="5">
        <f>Table4[[#This Row],[Jan]]*$B13</f>
        <v>8664.3000000000011</v>
      </c>
      <c r="D13" s="5">
        <f>Table4[[#This Row],[Feb]]*$B13</f>
        <v>8100</v>
      </c>
      <c r="E13" s="5">
        <f>Table4[[#This Row],[Mar]]*$B13</f>
        <v>7805.7</v>
      </c>
      <c r="F13" s="5">
        <f>Table4[[#This Row],[Apr]]*$B13</f>
        <v>6534</v>
      </c>
      <c r="G13" s="5">
        <f>Table4[[#This Row],[May]]*$B13</f>
        <v>5592.6</v>
      </c>
      <c r="H13" s="5">
        <f>Table4[[#This Row],[Jun]]*$B13</f>
        <v>5059.8</v>
      </c>
      <c r="I13" s="5">
        <f>Table4[[#This Row],[Jul]]*$B13</f>
        <v>5372.1</v>
      </c>
      <c r="J13" s="5">
        <f>Table4[[#This Row],[Aug]]*$B13</f>
        <v>6485.4000000000005</v>
      </c>
      <c r="K13" s="5">
        <f>Table4[[#This Row],[Sep]]*$B13</f>
        <v>6914.7</v>
      </c>
      <c r="L13" s="5">
        <f>Table4[[#This Row],[Oct]]*$B13</f>
        <v>8033.4000000000005</v>
      </c>
      <c r="M13" s="5">
        <f>Table4[[#This Row],[Nov]]*$B13</f>
        <v>8012.7</v>
      </c>
      <c r="N13" s="5">
        <f>Table4[[#This Row],[Dec]]*$B13</f>
        <v>8547.3000000000011</v>
      </c>
    </row>
    <row r="14" spans="1:14" ht="14.25" customHeight="1" x14ac:dyDescent="0.3">
      <c r="A14" t="s">
        <v>85</v>
      </c>
      <c r="B14">
        <v>0.9</v>
      </c>
      <c r="C14" s="5">
        <f>Table4[[#This Row],[Jan]]*$B14</f>
        <v>5767.2</v>
      </c>
      <c r="D14" s="5">
        <f>Table4[[#This Row],[Feb]]*$B14</f>
        <v>4828.5</v>
      </c>
      <c r="E14" s="5">
        <f>Table4[[#This Row],[Mar]]*$B14</f>
        <v>4913.1000000000004</v>
      </c>
      <c r="F14" s="5">
        <f>Table4[[#This Row],[Apr]]*$B14</f>
        <v>4149.9000000000005</v>
      </c>
      <c r="G14" s="5">
        <f>Table4[[#This Row],[May]]*$B14</f>
        <v>3937.5</v>
      </c>
      <c r="H14" s="5">
        <f>Table4[[#This Row],[Jun]]*$B14</f>
        <v>3463.2000000000003</v>
      </c>
      <c r="I14" s="5">
        <f>Table4[[#This Row],[Jul]]*$B14</f>
        <v>3874.5</v>
      </c>
      <c r="J14" s="5">
        <f>Table4[[#This Row],[Aug]]*$B14</f>
        <v>4560.3</v>
      </c>
      <c r="K14" s="5">
        <f>Table4[[#This Row],[Sep]]*$B14</f>
        <v>5033.7</v>
      </c>
      <c r="L14" s="5">
        <f>Table4[[#This Row],[Oct]]*$B14</f>
        <v>5613.3</v>
      </c>
      <c r="M14" s="5">
        <f>Table4[[#This Row],[Nov]]*$B14</f>
        <v>5712.3</v>
      </c>
      <c r="N14" s="5">
        <f>Table4[[#This Row],[Dec]]*$B14</f>
        <v>6027.3</v>
      </c>
    </row>
    <row r="15" spans="1:14" ht="14.25" customHeight="1" x14ac:dyDescent="0.3">
      <c r="A15" t="s">
        <v>90</v>
      </c>
      <c r="B15">
        <v>0.85</v>
      </c>
      <c r="C15" s="5">
        <f>Table4[[#This Row],[Jan]]*$B15</f>
        <v>4897.0199999999995</v>
      </c>
      <c r="D15" s="5">
        <f>Table4[[#This Row],[Feb]]*$B15</f>
        <v>4496.2449999999999</v>
      </c>
      <c r="E15" s="5">
        <f>Table4[[#This Row],[Mar]]*$B15</f>
        <v>4548.6050000000005</v>
      </c>
      <c r="F15" s="5">
        <f>Table4[[#This Row],[Apr]]*$B15</f>
        <v>3805.1949999999997</v>
      </c>
      <c r="G15" s="5">
        <f>Table4[[#This Row],[May]]*$B15</f>
        <v>3522.5699999999997</v>
      </c>
      <c r="H15" s="5">
        <f>Table4[[#This Row],[Jun]]*$B15</f>
        <v>3187.9249999999997</v>
      </c>
      <c r="I15" s="5">
        <f>Table4[[#This Row],[Jul]]*$B15</f>
        <v>3416.15</v>
      </c>
      <c r="J15" s="5">
        <f>Table4[[#This Row],[Aug]]*$B15</f>
        <v>3857.0449999999996</v>
      </c>
      <c r="K15" s="5">
        <f>Table4[[#This Row],[Sep]]*$B15</f>
        <v>3805.7049999999999</v>
      </c>
      <c r="L15" s="5">
        <f>Table4[[#This Row],[Oct]]*$B15</f>
        <v>4238.6949999999997</v>
      </c>
      <c r="M15" s="5">
        <f>Table4[[#This Row],[Nov]]*$B15</f>
        <v>4335.3399999999992</v>
      </c>
      <c r="N15" s="5">
        <f>Table4[[#This Row],[Dec]]*$B15</f>
        <v>5058.01</v>
      </c>
    </row>
    <row r="16" spans="1:14" ht="14.25" customHeight="1" x14ac:dyDescent="0.3">
      <c r="A16" t="s">
        <v>93</v>
      </c>
      <c r="B16">
        <v>0.9</v>
      </c>
      <c r="C16" s="5">
        <f>Table4[[#This Row],[Jan]]*$B16</f>
        <v>11798.1</v>
      </c>
      <c r="D16" s="5">
        <f>Table4[[#This Row],[Feb]]*$B16</f>
        <v>10269.9</v>
      </c>
      <c r="E16" s="5">
        <f>Table4[[#This Row],[Mar]]*$B16</f>
        <v>10571.4</v>
      </c>
      <c r="F16" s="5">
        <f>Table4[[#This Row],[Apr]]*$B16</f>
        <v>8335.8000000000011</v>
      </c>
      <c r="G16" s="5">
        <f>Table4[[#This Row],[May]]*$B16</f>
        <v>6723.9000000000005</v>
      </c>
      <c r="H16" s="5">
        <f>Table4[[#This Row],[Jun]]*$B16</f>
        <v>5859.9000000000005</v>
      </c>
      <c r="I16" s="5">
        <f>Table4[[#This Row],[Jul]]*$B16</f>
        <v>6453</v>
      </c>
      <c r="J16" s="5">
        <f>Table4[[#This Row],[Aug]]*$B16</f>
        <v>7491.6</v>
      </c>
      <c r="K16" s="5">
        <f>Table4[[#This Row],[Sep]]*$B16</f>
        <v>8864.1</v>
      </c>
      <c r="L16" s="5">
        <f>Table4[[#This Row],[Oct]]*$B16</f>
        <v>10361.700000000001</v>
      </c>
      <c r="M16" s="5">
        <f>Table4[[#This Row],[Nov]]*$B16</f>
        <v>10972.800000000001</v>
      </c>
      <c r="N16" s="5">
        <f>Table4[[#This Row],[Dec]]*$B16</f>
        <v>11630.7</v>
      </c>
    </row>
    <row r="17" spans="1:14" ht="14.25" customHeight="1" x14ac:dyDescent="0.3">
      <c r="A17" t="s">
        <v>95</v>
      </c>
      <c r="B17">
        <v>0.8</v>
      </c>
      <c r="C17" s="5">
        <f>Table4[[#This Row],[Jan]]*$B17</f>
        <v>33516</v>
      </c>
      <c r="D17" s="5">
        <f>Table4[[#This Row],[Feb]]*$B17</f>
        <v>28776.800000000003</v>
      </c>
      <c r="E17" s="5">
        <f>Table4[[#This Row],[Mar]]*$B17</f>
        <v>29186.400000000001</v>
      </c>
      <c r="F17" s="5">
        <f>Table4[[#This Row],[Apr]]*$B17</f>
        <v>24678.400000000001</v>
      </c>
      <c r="G17" s="5">
        <f>Table4[[#This Row],[May]]*$B17</f>
        <v>23380.800000000003</v>
      </c>
      <c r="H17" s="5">
        <f>Table4[[#This Row],[Jun]]*$B17</f>
        <v>20986.400000000001</v>
      </c>
      <c r="I17" s="5">
        <f>Table4[[#This Row],[Jul]]*$B17</f>
        <v>23255.200000000001</v>
      </c>
      <c r="J17" s="5">
        <f>Table4[[#This Row],[Aug]]*$B17</f>
        <v>27306.400000000001</v>
      </c>
      <c r="K17" s="5">
        <f>Table4[[#This Row],[Sep]]*$B17</f>
        <v>30312</v>
      </c>
      <c r="L17" s="5">
        <f>Table4[[#This Row],[Oct]]*$B17</f>
        <v>33024</v>
      </c>
      <c r="M17" s="5">
        <f>Table4[[#This Row],[Nov]]*$B17</f>
        <v>33214.400000000001</v>
      </c>
      <c r="N17" s="5">
        <f>Table4[[#This Row],[Dec]]*$B17</f>
        <v>35066.400000000001</v>
      </c>
    </row>
    <row r="18" spans="1:14" ht="14.25" customHeight="1" x14ac:dyDescent="0.3">
      <c r="A18" t="s">
        <v>239</v>
      </c>
      <c r="B18">
        <v>0.9</v>
      </c>
      <c r="C18" s="5">
        <f>Table4[[#This Row],[Jan]]*$B18</f>
        <v>2461.5</v>
      </c>
      <c r="D18" s="5">
        <f>Table4[[#This Row],[Feb]]*$B18</f>
        <v>2300.4</v>
      </c>
      <c r="E18" s="5">
        <f>Table4[[#This Row],[Mar]]*$B18</f>
        <v>2281.5</v>
      </c>
      <c r="F18" s="5">
        <f>Table4[[#This Row],[Apr]]*$B18</f>
        <v>2197.8000000000002</v>
      </c>
      <c r="G18" s="5">
        <f>Table4[[#This Row],[May]]*$B18</f>
        <v>2226.6</v>
      </c>
      <c r="H18" s="5">
        <f>Table4[[#This Row],[Jun]]*$B18</f>
        <v>2480.4</v>
      </c>
      <c r="I18" s="5">
        <f>Table4[[#This Row],[Jul]]*$B18</f>
        <v>2349.9</v>
      </c>
      <c r="J18" s="5">
        <f>Table4[[#This Row],[Aug]]*$B18</f>
        <v>2520</v>
      </c>
      <c r="K18" s="5">
        <f>Table4[[#This Row],[Sep]]*$B18</f>
        <v>2436.3000000000002</v>
      </c>
      <c r="L18" s="5">
        <f>Table4[[#This Row],[Oct]]*$B18</f>
        <v>2425.5</v>
      </c>
      <c r="M18" s="5">
        <f>Table4[[#This Row],[Nov]]*$B18</f>
        <v>2356.2000000000003</v>
      </c>
      <c r="N18" s="5">
        <f>Table4[[#This Row],[Dec]]*$B18</f>
        <v>2437.2000000000003</v>
      </c>
    </row>
    <row r="19" spans="1:14" ht="14.25" customHeight="1" x14ac:dyDescent="0.3">
      <c r="A19" t="s">
        <v>98</v>
      </c>
      <c r="B19">
        <v>0.8</v>
      </c>
      <c r="C19" s="5">
        <f>Table4[[#This Row],[Jan]]*$B19</f>
        <v>13584</v>
      </c>
      <c r="D19" s="5">
        <f>Table4[[#This Row],[Feb]]*$B19</f>
        <v>12445.28</v>
      </c>
      <c r="E19" s="5">
        <f>Table4[[#This Row],[Mar]]*$B19</f>
        <v>12742.080000000002</v>
      </c>
      <c r="F19" s="5">
        <f>Table4[[#This Row],[Apr]]*$B19</f>
        <v>10941.84</v>
      </c>
      <c r="G19" s="5">
        <f>Table4[[#This Row],[May]]*$B19</f>
        <v>9881.2800000000007</v>
      </c>
      <c r="H19" s="5">
        <f>Table4[[#This Row],[Jun]]*$B19</f>
        <v>9234.880000000001</v>
      </c>
      <c r="I19" s="5">
        <f>Table4[[#This Row],[Jul]]*$B19</f>
        <v>9756.08</v>
      </c>
      <c r="J19" s="5">
        <f>Table4[[#This Row],[Aug]]*$B19</f>
        <v>10822.400000000001</v>
      </c>
      <c r="K19" s="5">
        <f>Table4[[#This Row],[Sep]]*$B19</f>
        <v>10915.68</v>
      </c>
      <c r="L19" s="5">
        <f>Table4[[#This Row],[Oct]]*$B19</f>
        <v>12133.12</v>
      </c>
      <c r="M19" s="5">
        <f>Table4[[#This Row],[Nov]]*$B19</f>
        <v>12325.989840000002</v>
      </c>
      <c r="N19" s="5">
        <f>Table4[[#This Row],[Dec]]*$B19</f>
        <v>13473.89784</v>
      </c>
    </row>
    <row r="20" spans="1:14" ht="14.25" customHeight="1" x14ac:dyDescent="0.3">
      <c r="A20" t="s">
        <v>102</v>
      </c>
      <c r="B20">
        <v>0.75</v>
      </c>
      <c r="C20" s="5">
        <f>Table4[[#This Row],[Jan]]*$B20</f>
        <v>11384.625</v>
      </c>
      <c r="D20" s="5">
        <f>Table4[[#This Row],[Feb]]*$B20</f>
        <v>10143.599999999999</v>
      </c>
      <c r="E20" s="5">
        <f>Table4[[#This Row],[Mar]]*$B20</f>
        <v>10396.424999999999</v>
      </c>
      <c r="F20" s="5">
        <f>Table4[[#This Row],[Apr]]*$B20</f>
        <v>8842.2750000000015</v>
      </c>
      <c r="G20" s="5">
        <f>Table4[[#This Row],[May]]*$B20</f>
        <v>7963.7249999999995</v>
      </c>
      <c r="H20" s="5">
        <f>Table4[[#This Row],[Jun]]*$B20</f>
        <v>7364.3250000000007</v>
      </c>
      <c r="I20" s="5">
        <f>Table4[[#This Row],[Jul]]*$B20</f>
        <v>7865.1749999999993</v>
      </c>
      <c r="J20" s="5">
        <f>Table4[[#This Row],[Aug]]*$B20</f>
        <v>8758.7249999999985</v>
      </c>
      <c r="K20" s="5">
        <f>Table4[[#This Row],[Sep]]*$B20</f>
        <v>8956.3499999999985</v>
      </c>
      <c r="L20" s="5">
        <f>Table4[[#This Row],[Oct]]*$B20</f>
        <v>9957.75</v>
      </c>
      <c r="M20" s="5">
        <f>Table4[[#This Row],[Nov]]*$B20</f>
        <v>10009.663424999999</v>
      </c>
      <c r="N20" s="5">
        <f>Table4[[#This Row],[Dec]]*$B20</f>
        <v>11121.500700000001</v>
      </c>
    </row>
    <row r="21" spans="1:14" ht="14.25" customHeight="1" x14ac:dyDescent="0.3">
      <c r="A21" t="s">
        <v>104</v>
      </c>
      <c r="B21">
        <v>0.9</v>
      </c>
      <c r="C21" s="5">
        <f>Table4[[#This Row],[Jan]]*$B21</f>
        <v>4042.8</v>
      </c>
      <c r="D21" s="5">
        <f>Table4[[#This Row],[Feb]]*$B21</f>
        <v>3650.4</v>
      </c>
      <c r="E21" s="5">
        <f>Table4[[#This Row],[Mar]]*$B21</f>
        <v>3957.3</v>
      </c>
      <c r="F21" s="5">
        <f>Table4[[#This Row],[Apr]]*$B21</f>
        <v>3279.6</v>
      </c>
      <c r="G21" s="5">
        <f>Table4[[#This Row],[May]]*$B21</f>
        <v>3050.1</v>
      </c>
      <c r="H21" s="5">
        <f>Table4[[#This Row],[Jun]]*$B21</f>
        <v>2790</v>
      </c>
      <c r="I21" s="5">
        <f>Table4[[#This Row],[Jul]]*$B21</f>
        <v>3044.7000000000003</v>
      </c>
      <c r="J21" s="5">
        <f>Table4[[#This Row],[Aug]]*$B21</f>
        <v>3298.5</v>
      </c>
      <c r="K21" s="5">
        <f>Table4[[#This Row],[Sep]]*$B21</f>
        <v>3492.9</v>
      </c>
      <c r="L21" s="5">
        <f>Table4[[#This Row],[Oct]]*$B21</f>
        <v>3509.1</v>
      </c>
      <c r="M21" s="5">
        <f>Table4[[#This Row],[Nov]]*$B21</f>
        <v>3348</v>
      </c>
      <c r="N21" s="5">
        <f>Table4[[#This Row],[Dec]]*$B21</f>
        <v>3591.9</v>
      </c>
    </row>
    <row r="22" spans="1:14" ht="14.25" customHeight="1" x14ac:dyDescent="0.3">
      <c r="A22" t="s">
        <v>107</v>
      </c>
      <c r="B22">
        <v>0.9</v>
      </c>
      <c r="C22" s="5">
        <f>Table4[[#This Row],[Jan]]*$B22</f>
        <v>3618</v>
      </c>
      <c r="D22" s="5">
        <f>Table4[[#This Row],[Feb]]*$B22</f>
        <v>3254.4</v>
      </c>
      <c r="E22" s="5">
        <f>Table4[[#This Row],[Mar]]*$B22</f>
        <v>3608.1</v>
      </c>
      <c r="F22" s="5">
        <f>Table4[[#This Row],[Apr]]*$B22</f>
        <v>2962.8</v>
      </c>
      <c r="G22" s="5">
        <f>Table4[[#This Row],[May]]*$B22</f>
        <v>2723.4</v>
      </c>
      <c r="H22" s="5">
        <f>Table4[[#This Row],[Jun]]*$B22</f>
        <v>2461.5</v>
      </c>
      <c r="I22" s="5">
        <f>Table4[[#This Row],[Jul]]*$B22</f>
        <v>2701.8</v>
      </c>
      <c r="J22" s="5">
        <f>Table4[[#This Row],[Aug]]*$B22</f>
        <v>2973.6</v>
      </c>
      <c r="K22" s="5">
        <f>Table4[[#This Row],[Sep]]*$B22</f>
        <v>3147.3</v>
      </c>
      <c r="L22" s="5">
        <f>Table4[[#This Row],[Oct]]*$B22</f>
        <v>3179.7000000000003</v>
      </c>
      <c r="M22" s="5">
        <f>Table4[[#This Row],[Nov]]*$B22</f>
        <v>3013.2000000000003</v>
      </c>
      <c r="N22" s="5">
        <f>Table4[[#This Row],[Dec]]*$B22</f>
        <v>3204</v>
      </c>
    </row>
    <row r="23" spans="1:14" ht="14.25" customHeight="1" x14ac:dyDescent="0.3">
      <c r="A23" t="s">
        <v>228</v>
      </c>
      <c r="B23">
        <v>0.9</v>
      </c>
      <c r="C23" s="5">
        <f>Table4[[#This Row],[Jan]]*$B23</f>
        <v>0</v>
      </c>
      <c r="D23" s="5">
        <f>Table4[[#This Row],[Feb]]*$B23</f>
        <v>0</v>
      </c>
      <c r="E23" s="5">
        <f>Table4[[#This Row],[Mar]]*$B23</f>
        <v>0</v>
      </c>
      <c r="F23" s="5">
        <f>Table4[[#This Row],[Apr]]*$B23</f>
        <v>0</v>
      </c>
      <c r="G23" s="5">
        <f>Table4[[#This Row],[May]]*$B23</f>
        <v>0</v>
      </c>
      <c r="H23" s="5">
        <f>Table4[[#This Row],[Jun]]*$B23</f>
        <v>0</v>
      </c>
      <c r="I23" s="5">
        <f>Table4[[#This Row],[Jul]]*$B23</f>
        <v>0</v>
      </c>
      <c r="J23" s="5">
        <f>Table4[[#This Row],[Aug]]*$B23</f>
        <v>0</v>
      </c>
      <c r="K23" s="5">
        <f>Table4[[#This Row],[Sep]]*$B23</f>
        <v>0</v>
      </c>
      <c r="L23" s="5">
        <f>Table4[[#This Row],[Oct]]*$B23</f>
        <v>0</v>
      </c>
      <c r="M23" s="5">
        <f>Table4[[#This Row],[Nov]]*$B23</f>
        <v>0</v>
      </c>
      <c r="N23" s="5">
        <f>Table4[[#This Row],[Dec]]*$B23</f>
        <v>0</v>
      </c>
    </row>
    <row r="24" spans="1:14" ht="14.25" customHeight="1" x14ac:dyDescent="0.3">
      <c r="A24" t="s">
        <v>109</v>
      </c>
      <c r="B24">
        <v>0.9</v>
      </c>
      <c r="C24" s="5">
        <f>Table4[[#This Row],[Jan]]*$B24</f>
        <v>4235.4000000000005</v>
      </c>
      <c r="D24" s="5">
        <f>Table4[[#This Row],[Feb]]*$B24</f>
        <v>3699</v>
      </c>
      <c r="E24" s="5">
        <f>Table4[[#This Row],[Mar]]*$B24</f>
        <v>3788.1</v>
      </c>
      <c r="F24" s="5">
        <f>Table4[[#This Row],[Apr]]*$B24</f>
        <v>3184.2000000000003</v>
      </c>
      <c r="G24" s="5">
        <f>Table4[[#This Row],[May]]*$B24</f>
        <v>3052.8</v>
      </c>
      <c r="H24" s="5">
        <f>Table4[[#This Row],[Jun]]*$B24</f>
        <v>2752.2000000000003</v>
      </c>
      <c r="I24" s="5">
        <f>Table4[[#This Row],[Jul]]*$B24</f>
        <v>3029.4</v>
      </c>
      <c r="J24" s="5">
        <f>Table4[[#This Row],[Aug]]*$B24</f>
        <v>3546.9</v>
      </c>
      <c r="K24" s="5">
        <f>Table4[[#This Row],[Sep]]*$B24</f>
        <v>3911.4</v>
      </c>
      <c r="L24" s="5">
        <f>Table4[[#This Row],[Oct]]*$B24</f>
        <v>4103.1000000000004</v>
      </c>
      <c r="M24" s="5">
        <f>Table4[[#This Row],[Nov]]*$B24</f>
        <v>4120.2</v>
      </c>
      <c r="N24" s="5">
        <f>Table4[[#This Row],[Dec]]*$B24</f>
        <v>4377.6000000000004</v>
      </c>
    </row>
    <row r="25" spans="1:14" ht="14.25" customHeight="1" x14ac:dyDescent="0.3">
      <c r="A25" t="s">
        <v>113</v>
      </c>
      <c r="B25">
        <v>0.9</v>
      </c>
      <c r="C25" s="5">
        <f>Table4[[#This Row],[Jan]]*$B25</f>
        <v>39600.810000000005</v>
      </c>
      <c r="D25" s="5">
        <f>Table4[[#This Row],[Feb]]*$B25</f>
        <v>33064.920000000006</v>
      </c>
      <c r="E25" s="5">
        <f>Table4[[#This Row],[Mar]]*$B25</f>
        <v>32219.55</v>
      </c>
      <c r="F25" s="5">
        <f>Table4[[#This Row],[Apr]]*$B25</f>
        <v>23614.38</v>
      </c>
      <c r="G25" s="5">
        <f>Table4[[#This Row],[May]]*$B25</f>
        <v>17952.57</v>
      </c>
      <c r="H25" s="5">
        <f>Table4[[#This Row],[Jun]]*$B25</f>
        <v>14925.6</v>
      </c>
      <c r="I25" s="5">
        <f>Table4[[#This Row],[Jul]]*$B25</f>
        <v>16774.830000000002</v>
      </c>
      <c r="J25" s="5">
        <f>Table4[[#This Row],[Aug]]*$B25</f>
        <v>20886.75</v>
      </c>
      <c r="K25" s="5">
        <f>Table4[[#This Row],[Sep]]*$B25</f>
        <v>26689.95</v>
      </c>
      <c r="L25" s="5">
        <f>Table4[[#This Row],[Oct]]*$B25</f>
        <v>33024.69</v>
      </c>
      <c r="M25" s="5">
        <f>Table4[[#This Row],[Nov]]*$B25</f>
        <v>37111.770000000004</v>
      </c>
      <c r="N25" s="5">
        <f>Table4[[#This Row],[Dec]]*$B25</f>
        <v>40125.69</v>
      </c>
    </row>
    <row r="26" spans="1:14" ht="14.25" customHeight="1" x14ac:dyDescent="0.3">
      <c r="A26" t="s">
        <v>114</v>
      </c>
      <c r="B26">
        <v>0.85</v>
      </c>
      <c r="C26" s="5">
        <f>Table4[[#This Row],[Jan]]*$B26</f>
        <v>27758.45</v>
      </c>
      <c r="D26" s="5">
        <f>Table4[[#This Row],[Feb]]*$B26</f>
        <v>24250.5</v>
      </c>
      <c r="E26" s="5">
        <f>Table4[[#This Row],[Mar]]*$B26</f>
        <v>22859.899999999998</v>
      </c>
      <c r="F26" s="5">
        <f>Table4[[#This Row],[Apr]]*$B26</f>
        <v>20353.25</v>
      </c>
      <c r="G26" s="5">
        <f>Table4[[#This Row],[May]]*$B26</f>
        <v>18229.099999999999</v>
      </c>
      <c r="H26" s="5">
        <f>Table4[[#This Row],[Jun]]*$B26</f>
        <v>16127.9</v>
      </c>
      <c r="I26" s="5">
        <f>Table4[[#This Row],[Jul]]*$B26</f>
        <v>17954.55</v>
      </c>
      <c r="J26" s="5">
        <f>Table4[[#This Row],[Aug]]*$B26</f>
        <v>20938.05</v>
      </c>
      <c r="K26" s="5">
        <f>Table4[[#This Row],[Sep]]*$B26</f>
        <v>23291.7</v>
      </c>
      <c r="L26" s="5">
        <f>Table4[[#This Row],[Oct]]*$B26</f>
        <v>25925.85</v>
      </c>
      <c r="M26" s="5">
        <f>Table4[[#This Row],[Nov]]*$B26</f>
        <v>27223.8</v>
      </c>
      <c r="N26" s="5">
        <f>Table4[[#This Row],[Dec]]*$B26</f>
        <v>26753.75</v>
      </c>
    </row>
    <row r="27" spans="1:14" ht="14.25" customHeight="1" x14ac:dyDescent="0.3">
      <c r="A27" t="s">
        <v>117</v>
      </c>
      <c r="B27">
        <v>0.9</v>
      </c>
      <c r="C27" s="5">
        <f>Table4[[#This Row],[Jan]]*$B27</f>
        <v>30214.799999999999</v>
      </c>
      <c r="D27" s="5">
        <f>Table4[[#This Row],[Feb]]*$B27</f>
        <v>26381.7</v>
      </c>
      <c r="E27" s="5">
        <f>Table4[[#This Row],[Mar]]*$B27</f>
        <v>27566.100000000002</v>
      </c>
      <c r="F27" s="5">
        <f>Table4[[#This Row],[Apr]]*$B27</f>
        <v>23747.4</v>
      </c>
      <c r="G27" s="5">
        <f>Table4[[#This Row],[May]]*$B27</f>
        <v>22569.3</v>
      </c>
      <c r="H27" s="5">
        <f>Table4[[#This Row],[Jun]]*$B27</f>
        <v>20228.400000000001</v>
      </c>
      <c r="I27" s="5">
        <f>Table4[[#This Row],[Jul]]*$B27</f>
        <v>22354.2</v>
      </c>
      <c r="J27" s="5">
        <f>Table4[[#This Row],[Aug]]*$B27</f>
        <v>26968.5</v>
      </c>
      <c r="K27" s="5">
        <f>Table4[[#This Row],[Sep]]*$B27</f>
        <v>28840.5</v>
      </c>
      <c r="L27" s="5">
        <f>Table4[[#This Row],[Oct]]*$B27</f>
        <v>30258</v>
      </c>
      <c r="M27" s="5">
        <f>Table4[[#This Row],[Nov]]*$B27</f>
        <v>29380.5</v>
      </c>
      <c r="N27" s="5">
        <f>Table4[[#This Row],[Dec]]*$B27</f>
        <v>31219.200000000001</v>
      </c>
    </row>
    <row r="28" spans="1:14" ht="14.25" customHeight="1" x14ac:dyDescent="0.3">
      <c r="A28" t="s">
        <v>225</v>
      </c>
      <c r="B28">
        <v>0.9</v>
      </c>
      <c r="C28" s="5">
        <f>Table4[[#This Row],[Jan]]*$B28</f>
        <v>7573.5</v>
      </c>
      <c r="D28" s="5">
        <f>Table4[[#This Row],[Feb]]*$B28</f>
        <v>6513.75</v>
      </c>
      <c r="E28" s="5">
        <f>Table4[[#This Row],[Mar]]*$B28</f>
        <v>6841.35</v>
      </c>
      <c r="F28" s="5">
        <f>Table4[[#This Row],[Apr]]*$B28</f>
        <v>6183</v>
      </c>
      <c r="G28" s="5">
        <f>Table4[[#This Row],[May]]*$B28</f>
        <v>5924.7</v>
      </c>
      <c r="H28" s="5">
        <f>Table4[[#This Row],[Jun]]*$B28</f>
        <v>5295.6</v>
      </c>
      <c r="I28" s="5">
        <f>Table4[[#This Row],[Jul]]*$B28</f>
        <v>5785.2</v>
      </c>
      <c r="J28" s="5">
        <f>Table4[[#This Row],[Aug]]*$B28</f>
        <v>6585.3</v>
      </c>
      <c r="K28" s="5">
        <f>Table4[[#This Row],[Sep]]*$B28</f>
        <v>7018.6500000000005</v>
      </c>
      <c r="L28" s="5">
        <f>Table4[[#This Row],[Oct]]*$B28</f>
        <v>7479.45</v>
      </c>
      <c r="M28" s="5">
        <f>Table4[[#This Row],[Nov]]*$B28</f>
        <v>7552.8</v>
      </c>
      <c r="N28" s="5">
        <f>Table4[[#This Row],[Dec]]*$B28</f>
        <v>7415.1</v>
      </c>
    </row>
    <row r="29" spans="1:14" ht="14.25" customHeight="1" x14ac:dyDescent="0.3">
      <c r="A29" t="s">
        <v>223</v>
      </c>
      <c r="B29">
        <v>0.9</v>
      </c>
      <c r="C29" s="5">
        <f>Table4[[#This Row],[Jan]]*$B29</f>
        <v>7573.5</v>
      </c>
      <c r="D29" s="5">
        <f>Table4[[#This Row],[Feb]]*$B29</f>
        <v>6513.75</v>
      </c>
      <c r="E29" s="5">
        <f>Table4[[#This Row],[Mar]]*$B29</f>
        <v>6841.35</v>
      </c>
      <c r="F29" s="5">
        <f>Table4[[#This Row],[Apr]]*$B29</f>
        <v>6183</v>
      </c>
      <c r="G29" s="5">
        <f>Table4[[#This Row],[May]]*$B29</f>
        <v>5924.7</v>
      </c>
      <c r="H29" s="5">
        <f>Table4[[#This Row],[Jun]]*$B29</f>
        <v>5295.6</v>
      </c>
      <c r="I29" s="5">
        <f>Table4[[#This Row],[Jul]]*$B29</f>
        <v>5785.2</v>
      </c>
      <c r="J29" s="5">
        <f>Table4[[#This Row],[Aug]]*$B29</f>
        <v>6585.3</v>
      </c>
      <c r="K29" s="5">
        <f>Table4[[#This Row],[Sep]]*$B29</f>
        <v>7018.6500000000005</v>
      </c>
      <c r="L29" s="5">
        <f>Table4[[#This Row],[Oct]]*$B29</f>
        <v>7479.45</v>
      </c>
      <c r="M29" s="5">
        <f>Table4[[#This Row],[Nov]]*$B29</f>
        <v>7552.8</v>
      </c>
      <c r="N29" s="5">
        <f>Table4[[#This Row],[Dec]]*$B29</f>
        <v>7415.1</v>
      </c>
    </row>
    <row r="30" spans="1:14" ht="14.25" customHeight="1" x14ac:dyDescent="0.3">
      <c r="A30" t="s">
        <v>120</v>
      </c>
      <c r="B30">
        <v>0.9</v>
      </c>
      <c r="C30" s="5">
        <f>Table4[[#This Row],[Jan]]*$B30</f>
        <v>12213</v>
      </c>
      <c r="D30" s="5">
        <f>Table4[[#This Row],[Feb]]*$B30</f>
        <v>10570.5</v>
      </c>
      <c r="E30" s="5">
        <f>Table4[[#This Row],[Mar]]*$B30</f>
        <v>10619.1</v>
      </c>
      <c r="F30" s="5">
        <f>Table4[[#This Row],[Apr]]*$B30</f>
        <v>9139.5</v>
      </c>
      <c r="G30" s="5">
        <f>Table4[[#This Row],[May]]*$B30</f>
        <v>8593.2000000000007</v>
      </c>
      <c r="H30" s="5">
        <f>Table4[[#This Row],[Jun]]*$B30</f>
        <v>7680.6</v>
      </c>
      <c r="I30" s="5">
        <f>Table4[[#This Row],[Jul]]*$B30</f>
        <v>8550.9</v>
      </c>
      <c r="J30" s="5">
        <f>Table4[[#This Row],[Aug]]*$B30</f>
        <v>9997.2000000000007</v>
      </c>
      <c r="K30" s="5">
        <f>Table4[[#This Row],[Sep]]*$B30</f>
        <v>10701.9</v>
      </c>
      <c r="L30" s="5">
        <f>Table4[[#This Row],[Oct]]*$B30</f>
        <v>11834.1</v>
      </c>
      <c r="M30" s="5">
        <f>Table4[[#This Row],[Nov]]*$B30</f>
        <v>12129.300000000001</v>
      </c>
      <c r="N30" s="5">
        <f>Table4[[#This Row],[Dec]]*$B30</f>
        <v>12998.7</v>
      </c>
    </row>
    <row r="31" spans="1:14" ht="14.25" customHeight="1" x14ac:dyDescent="0.3">
      <c r="A31" t="s">
        <v>236</v>
      </c>
      <c r="C31" s="5">
        <f>Table4[[#This Row],[Jan]]*$B31</f>
        <v>0</v>
      </c>
      <c r="D31" s="5">
        <f>Table4[[#This Row],[Feb]]*$B31</f>
        <v>0</v>
      </c>
      <c r="E31" s="5">
        <f>Table4[[#This Row],[Mar]]*$B31</f>
        <v>0</v>
      </c>
      <c r="F31" s="5">
        <f>Table4[[#This Row],[Apr]]*$B31</f>
        <v>0</v>
      </c>
      <c r="G31" s="5">
        <f>Table4[[#This Row],[May]]*$B31</f>
        <v>0</v>
      </c>
      <c r="H31" s="5">
        <f>Table4[[#This Row],[Jun]]*$B31</f>
        <v>0</v>
      </c>
      <c r="I31" s="5">
        <f>Table4[[#This Row],[Jul]]*$B31</f>
        <v>0</v>
      </c>
      <c r="J31" s="5">
        <f>Table4[[#This Row],[Aug]]*$B31</f>
        <v>0</v>
      </c>
      <c r="K31" s="5">
        <f>Table4[[#This Row],[Sep]]*$B31</f>
        <v>0</v>
      </c>
      <c r="L31" s="5">
        <f>Table4[[#This Row],[Oct]]*$B31</f>
        <v>0</v>
      </c>
      <c r="M31" s="5">
        <f>Table4[[#This Row],[Nov]]*$B31</f>
        <v>0</v>
      </c>
      <c r="N31" s="5">
        <f>Table4[[#This Row],[Dec]]*$B31</f>
        <v>0</v>
      </c>
    </row>
    <row r="32" spans="1:14" ht="14.25" customHeight="1" x14ac:dyDescent="0.3">
      <c r="A32" t="s">
        <v>122</v>
      </c>
      <c r="B32">
        <v>0.9</v>
      </c>
      <c r="C32" s="5">
        <f>Table4[[#This Row],[Jan]]*$B32</f>
        <v>22241.7</v>
      </c>
      <c r="D32" s="5">
        <f>Table4[[#This Row],[Feb]]*$B32</f>
        <v>19450.8</v>
      </c>
      <c r="E32" s="5">
        <f>Table4[[#This Row],[Mar]]*$B32</f>
        <v>19575</v>
      </c>
      <c r="F32" s="5">
        <f>Table4[[#This Row],[Apr]]*$B32</f>
        <v>15792.300000000001</v>
      </c>
      <c r="G32" s="5">
        <f>Table4[[#This Row],[May]]*$B32</f>
        <v>13477.5</v>
      </c>
      <c r="H32" s="5">
        <f>Table4[[#This Row],[Jun]]*$B32</f>
        <v>12124.800000000001</v>
      </c>
      <c r="I32" s="5">
        <f>Table4[[#This Row],[Jul]]*$B32</f>
        <v>13099.5</v>
      </c>
      <c r="J32" s="5">
        <f>Table4[[#This Row],[Aug]]*$B32</f>
        <v>15450.300000000001</v>
      </c>
      <c r="K32" s="5">
        <f>Table4[[#This Row],[Sep]]*$B32</f>
        <v>16583.400000000001</v>
      </c>
      <c r="L32" s="5">
        <f>Table4[[#This Row],[Oct]]*$B32</f>
        <v>19432.8</v>
      </c>
      <c r="M32" s="5">
        <f>Table4[[#This Row],[Nov]]*$B32</f>
        <v>20010.600000000002</v>
      </c>
      <c r="N32" s="5">
        <f>Table4[[#This Row],[Dec]]*$B32</f>
        <v>22485.600000000002</v>
      </c>
    </row>
    <row r="33" spans="1:14" ht="14.25" customHeight="1" x14ac:dyDescent="0.3">
      <c r="A33" t="s">
        <v>124</v>
      </c>
      <c r="B33">
        <v>0.85</v>
      </c>
      <c r="C33" s="5">
        <f>Table4[[#This Row],[Jan]]*$B33</f>
        <v>61302.85</v>
      </c>
      <c r="D33" s="5">
        <f>Table4[[#This Row],[Feb]]*$B33</f>
        <v>55639.299999999996</v>
      </c>
      <c r="E33" s="5">
        <f>Table4[[#This Row],[Mar]]*$B33</f>
        <v>58024.4</v>
      </c>
      <c r="F33" s="5">
        <f>Table4[[#This Row],[Apr]]*$B33</f>
        <v>48946.400000000001</v>
      </c>
      <c r="G33" s="5">
        <f>Table4[[#This Row],[May]]*$B33</f>
        <v>44310.5</v>
      </c>
      <c r="H33" s="5">
        <f>Table4[[#This Row],[Jun]]*$B33</f>
        <v>40933.449999999997</v>
      </c>
      <c r="I33" s="5">
        <f>Table4[[#This Row],[Jul]]*$B33</f>
        <v>43977.299999999996</v>
      </c>
      <c r="J33" s="5">
        <f>Table4[[#This Row],[Aug]]*$B33</f>
        <v>48620.85</v>
      </c>
      <c r="K33" s="5">
        <f>Table4[[#This Row],[Sep]]*$B33</f>
        <v>50331.049999999996</v>
      </c>
      <c r="L33" s="5">
        <f>Table4[[#This Row],[Oct]]*$B33</f>
        <v>55230.45</v>
      </c>
      <c r="M33" s="5">
        <f>Table4[[#This Row],[Nov]]*$B33</f>
        <v>56583.65</v>
      </c>
      <c r="N33" s="5">
        <f>Table4[[#This Row],[Dec]]*$B33</f>
        <v>61075.9</v>
      </c>
    </row>
    <row r="34" spans="1:14" ht="14.25" customHeight="1" x14ac:dyDescent="0.3">
      <c r="A34" t="s">
        <v>127</v>
      </c>
      <c r="B34">
        <v>0.8</v>
      </c>
      <c r="C34" s="5">
        <f>Table4[[#This Row],[Jan]]*$B34</f>
        <v>14107.2</v>
      </c>
      <c r="D34" s="5">
        <f>Table4[[#This Row],[Feb]]*$B34</f>
        <v>13178.400000000001</v>
      </c>
      <c r="E34" s="5">
        <f>Table4[[#This Row],[Mar]]*$B34</f>
        <v>15390.400000000001</v>
      </c>
      <c r="F34" s="5">
        <f>Table4[[#This Row],[Apr]]*$B34</f>
        <v>13652</v>
      </c>
      <c r="G34" s="5">
        <f>Table4[[#This Row],[May]]*$B34</f>
        <v>13508.800000000001</v>
      </c>
      <c r="H34" s="5">
        <f>Table4[[#This Row],[Jun]]*$B34</f>
        <v>12879.2</v>
      </c>
      <c r="I34" s="5">
        <f>Table4[[#This Row],[Jul]]*$B34</f>
        <v>13680.800000000001</v>
      </c>
      <c r="J34" s="5">
        <f>Table4[[#This Row],[Aug]]*$B34</f>
        <v>13878.400000000001</v>
      </c>
      <c r="K34" s="5">
        <f>Table4[[#This Row],[Sep]]*$B34</f>
        <v>13503.2</v>
      </c>
      <c r="L34" s="5">
        <f>Table4[[#This Row],[Oct]]*$B34</f>
        <v>12755.2</v>
      </c>
      <c r="M34" s="5">
        <f>Table4[[#This Row],[Nov]]*$B34</f>
        <v>11784.800000000001</v>
      </c>
      <c r="N34" s="5">
        <f>Table4[[#This Row],[Dec]]*$B34</f>
        <v>12301.6</v>
      </c>
    </row>
    <row r="35" spans="1:14" ht="14.25" customHeight="1" x14ac:dyDescent="0.3">
      <c r="A35" t="s">
        <v>234</v>
      </c>
      <c r="B35">
        <v>0.9</v>
      </c>
      <c r="C35" s="5">
        <f>Table4[[#This Row],[Jan]]*$B35</f>
        <v>53361.9</v>
      </c>
      <c r="D35" s="5">
        <f>Table4[[#This Row],[Feb]]*$B35</f>
        <v>43750.8</v>
      </c>
      <c r="E35" s="5">
        <f>Table4[[#This Row],[Mar]]*$B35</f>
        <v>40931.1</v>
      </c>
      <c r="F35" s="5">
        <f>Table4[[#This Row],[Apr]]*$B35</f>
        <v>29080.799999999999</v>
      </c>
      <c r="G35" s="5">
        <f>Table4[[#This Row],[May]]*$B35</f>
        <v>21434.400000000001</v>
      </c>
      <c r="H35" s="5">
        <f>Table4[[#This Row],[Jun]]*$B35</f>
        <v>17483.400000000001</v>
      </c>
      <c r="I35" s="5">
        <f>Table4[[#This Row],[Jul]]*$B35</f>
        <v>19783.8</v>
      </c>
      <c r="J35" s="5">
        <f>Table4[[#This Row],[Aug]]*$B35</f>
        <v>25524</v>
      </c>
      <c r="K35" s="5">
        <f>Table4[[#This Row],[Sep]]*$B35</f>
        <v>33381.9</v>
      </c>
      <c r="L35" s="5">
        <f>Table4[[#This Row],[Oct]]*$B35</f>
        <v>43038</v>
      </c>
      <c r="M35" s="5">
        <f>Table4[[#This Row],[Nov]]*$B35</f>
        <v>49565.700000000004</v>
      </c>
      <c r="N35" s="5">
        <f>Table4[[#This Row],[Dec]]*$B35</f>
        <v>54135.9</v>
      </c>
    </row>
    <row r="36" spans="1:14" ht="14.25" customHeight="1" x14ac:dyDescent="0.3">
      <c r="A36" t="s">
        <v>131</v>
      </c>
      <c r="B36">
        <v>0.9</v>
      </c>
      <c r="C36" s="5">
        <f>Table4[[#This Row],[Jan]]*$B36</f>
        <v>5361.3</v>
      </c>
      <c r="D36" s="5">
        <f>Table4[[#This Row],[Feb]]*$B36</f>
        <v>4869</v>
      </c>
      <c r="E36" s="5">
        <f>Table4[[#This Row],[Mar]]*$B36</f>
        <v>5370.3</v>
      </c>
      <c r="F36" s="5">
        <f>Table4[[#This Row],[Apr]]*$B36</f>
        <v>5150.7</v>
      </c>
      <c r="G36" s="5">
        <f>Table4[[#This Row],[May]]*$B36</f>
        <v>5477.4000000000005</v>
      </c>
      <c r="H36" s="5">
        <f>Table4[[#This Row],[Jun]]*$B36</f>
        <v>5296.5</v>
      </c>
      <c r="I36" s="5">
        <f>Table4[[#This Row],[Jul]]*$B36</f>
        <v>5700.6</v>
      </c>
      <c r="J36" s="5">
        <f>Table4[[#This Row],[Aug]]*$B36</f>
        <v>5969.7</v>
      </c>
      <c r="K36" s="5">
        <f>Table4[[#This Row],[Sep]]*$B36</f>
        <v>5915.7</v>
      </c>
      <c r="L36" s="5">
        <f>Table4[[#This Row],[Oct]]*$B36</f>
        <v>5814.9000000000005</v>
      </c>
      <c r="M36" s="5">
        <f>Table4[[#This Row],[Nov]]*$B36</f>
        <v>5410.8</v>
      </c>
      <c r="N36" s="5">
        <f>Table4[[#This Row],[Dec]]*$B36</f>
        <v>5530.5</v>
      </c>
    </row>
    <row r="37" spans="1:14" ht="14.25" customHeight="1" x14ac:dyDescent="0.3">
      <c r="A37" t="s">
        <v>134</v>
      </c>
      <c r="B37">
        <v>0.9</v>
      </c>
      <c r="C37" s="5">
        <f>Table4[[#This Row],[Jan]]*$B37</f>
        <v>40416.300000000003</v>
      </c>
      <c r="D37" s="5">
        <f>Table4[[#This Row],[Feb]]*$B37</f>
        <v>33988.5</v>
      </c>
      <c r="E37" s="5">
        <f>Table4[[#This Row],[Mar]]*$B37</f>
        <v>35132.400000000001</v>
      </c>
      <c r="F37" s="5">
        <f>Table4[[#This Row],[Apr]]*$B37</f>
        <v>29903.4</v>
      </c>
      <c r="G37" s="5">
        <f>Table4[[#This Row],[May]]*$B37</f>
        <v>28383.3</v>
      </c>
      <c r="H37" s="5">
        <f>Table4[[#This Row],[Jun]]*$B37</f>
        <v>25641.9</v>
      </c>
      <c r="I37" s="5">
        <f>Table4[[#This Row],[Jul]]*$B37</f>
        <v>28361.7</v>
      </c>
      <c r="J37" s="5">
        <f>Table4[[#This Row],[Aug]]*$B37</f>
        <v>33006.6</v>
      </c>
      <c r="K37" s="5">
        <f>Table4[[#This Row],[Sep]]*$B37</f>
        <v>36521.1</v>
      </c>
      <c r="L37" s="5">
        <f>Table4[[#This Row],[Oct]]*$B37</f>
        <v>39682.800000000003</v>
      </c>
      <c r="M37" s="5">
        <f>Table4[[#This Row],[Nov]]*$B37</f>
        <v>39748.5</v>
      </c>
      <c r="N37" s="5">
        <f>Table4[[#This Row],[Dec]]*$B37</f>
        <v>42519.6</v>
      </c>
    </row>
    <row r="38" spans="1:14" ht="14.25" customHeight="1" x14ac:dyDescent="0.3">
      <c r="A38" t="s">
        <v>138</v>
      </c>
      <c r="B38">
        <v>1</v>
      </c>
      <c r="C38" s="5">
        <f>Table4[[#This Row],[Jan]]*$B38</f>
        <v>23544</v>
      </c>
      <c r="D38" s="5">
        <f>Table4[[#This Row],[Feb]]*$B38</f>
        <v>21677</v>
      </c>
      <c r="E38" s="5">
        <f>Table4[[#This Row],[Mar]]*$B38</f>
        <v>24212</v>
      </c>
      <c r="F38" s="5">
        <f>Table4[[#This Row],[Apr]]*$B38</f>
        <v>20861</v>
      </c>
      <c r="G38" s="5">
        <f>Table4[[#This Row],[May]]*$B38</f>
        <v>20012</v>
      </c>
      <c r="H38" s="5">
        <f>Table4[[#This Row],[Jun]]*$B38</f>
        <v>18485</v>
      </c>
      <c r="I38" s="5">
        <f>Table4[[#This Row],[Jul]]*$B38</f>
        <v>20016</v>
      </c>
      <c r="J38" s="5">
        <f>Table4[[#This Row],[Aug]]*$B38</f>
        <v>21052</v>
      </c>
      <c r="K38" s="5">
        <f>Table4[[#This Row],[Sep]]*$B38</f>
        <v>21403</v>
      </c>
      <c r="L38" s="5">
        <f>Table4[[#This Row],[Oct]]*$B38</f>
        <v>20962</v>
      </c>
      <c r="M38" s="5">
        <f>Table4[[#This Row],[Nov]]*$B38</f>
        <v>19856</v>
      </c>
      <c r="N38" s="5">
        <f>Table4[[#This Row],[Dec]]*$B38</f>
        <v>21184</v>
      </c>
    </row>
    <row r="39" spans="1:14" ht="14.25" customHeight="1" x14ac:dyDescent="0.3">
      <c r="A39" t="s">
        <v>220</v>
      </c>
      <c r="B39">
        <v>0.9</v>
      </c>
      <c r="C39" s="5">
        <f>Table4[[#This Row],[Jan]]*$B39</f>
        <v>46872</v>
      </c>
      <c r="D39" s="5">
        <f>Table4[[#This Row],[Feb]]*$B39</f>
        <v>40989.599999999999</v>
      </c>
      <c r="E39" s="5">
        <f>Table4[[#This Row],[Mar]]*$B39</f>
        <v>39989.700000000004</v>
      </c>
      <c r="F39" s="5">
        <f>Table4[[#This Row],[Apr]]*$B39</f>
        <v>34783.200000000004</v>
      </c>
      <c r="G39" s="5">
        <f>Table4[[#This Row],[May]]*$B39</f>
        <v>32139</v>
      </c>
      <c r="H39" s="5">
        <f>Table4[[#This Row],[Jun]]*$B39</f>
        <v>28357.200000000001</v>
      </c>
      <c r="I39" s="5">
        <f>Table4[[#This Row],[Jul]]*$B39</f>
        <v>31229.100000000002</v>
      </c>
      <c r="J39" s="5">
        <f>Table4[[#This Row],[Aug]]*$B39</f>
        <v>36815.4</v>
      </c>
      <c r="K39" s="5">
        <f>Table4[[#This Row],[Sep]]*$B39</f>
        <v>40778.1</v>
      </c>
      <c r="L39" s="5">
        <f>Table4[[#This Row],[Oct]]*$B39</f>
        <v>46212.3</v>
      </c>
      <c r="M39" s="5">
        <f>Table4[[#This Row],[Nov]]*$B39</f>
        <v>46653.3</v>
      </c>
      <c r="N39" s="5">
        <f>Table4[[#This Row],[Dec]]*$B39</f>
        <v>47656.800000000003</v>
      </c>
    </row>
    <row r="40" spans="1:14" ht="14.25" customHeight="1" x14ac:dyDescent="0.3">
      <c r="A40" t="s">
        <v>222</v>
      </c>
      <c r="B40">
        <v>0.9</v>
      </c>
      <c r="C40" s="5">
        <f>Table4[[#This Row],[Jan]]*$B40</f>
        <v>12369.6</v>
      </c>
      <c r="D40" s="5">
        <f>Table4[[#This Row],[Feb]]*$B40</f>
        <v>10801.800000000001</v>
      </c>
      <c r="E40" s="5">
        <f>Table4[[#This Row],[Mar]]*$B40</f>
        <v>10537.2</v>
      </c>
      <c r="F40" s="5">
        <f>Table4[[#This Row],[Apr]]*$B40</f>
        <v>9173.7000000000007</v>
      </c>
      <c r="G40" s="5">
        <f>Table4[[#This Row],[May]]*$B40</f>
        <v>8503.2000000000007</v>
      </c>
      <c r="H40" s="5">
        <f>Table4[[#This Row],[Jun]]*$B40</f>
        <v>7545.6</v>
      </c>
      <c r="I40" s="5">
        <f>Table4[[#This Row],[Jul]]*$B40</f>
        <v>8307</v>
      </c>
      <c r="J40" s="5">
        <f>Table4[[#This Row],[Aug]]*$B40</f>
        <v>9720.9</v>
      </c>
      <c r="K40" s="5">
        <f>Table4[[#This Row],[Sep]]*$B40</f>
        <v>10755.9</v>
      </c>
      <c r="L40" s="5">
        <f>Table4[[#This Row],[Oct]]*$B40</f>
        <v>12190.5</v>
      </c>
      <c r="M40" s="5">
        <f>Table4[[#This Row],[Nov]]*$B40</f>
        <v>12263.4</v>
      </c>
      <c r="N40" s="5">
        <f>Table4[[#This Row],[Dec]]*$B40</f>
        <v>12539.7</v>
      </c>
    </row>
    <row r="41" spans="1:14" ht="14.25" customHeight="1" x14ac:dyDescent="0.3">
      <c r="A41" t="s">
        <v>142</v>
      </c>
      <c r="B41">
        <v>0.9</v>
      </c>
      <c r="C41" s="5">
        <f>Table4[[#This Row],[Jan]]*$B41</f>
        <v>5685.3</v>
      </c>
      <c r="D41" s="5">
        <f>Table4[[#This Row],[Feb]]*$B41</f>
        <v>4780.8</v>
      </c>
      <c r="E41" s="5">
        <f>Table4[[#This Row],[Mar]]*$B41</f>
        <v>4935.6000000000004</v>
      </c>
      <c r="F41" s="5">
        <f>Table4[[#This Row],[Apr]]*$B41</f>
        <v>4359.6000000000004</v>
      </c>
      <c r="G41" s="5">
        <f>Table4[[#This Row],[May]]*$B41</f>
        <v>4194</v>
      </c>
      <c r="H41" s="5">
        <f>Table4[[#This Row],[Jun]]*$B41</f>
        <v>3818.7000000000003</v>
      </c>
      <c r="I41" s="5">
        <f>Table4[[#This Row],[Jul]]*$B41</f>
        <v>4217.4000000000005</v>
      </c>
      <c r="J41" s="5">
        <f>Table4[[#This Row],[Aug]]*$B41</f>
        <v>4844.7</v>
      </c>
      <c r="K41" s="5">
        <f>Table4[[#This Row],[Sep]]*$B41</f>
        <v>5300.1</v>
      </c>
      <c r="L41" s="5">
        <f>Table4[[#This Row],[Oct]]*$B41</f>
        <v>5667.3</v>
      </c>
      <c r="M41" s="5">
        <f>Table4[[#This Row],[Nov]]*$B41</f>
        <v>5624.1</v>
      </c>
      <c r="N41" s="5">
        <f>Table4[[#This Row],[Dec]]*$B41</f>
        <v>5995.8</v>
      </c>
    </row>
    <row r="42" spans="1:14" ht="14.25" customHeight="1" x14ac:dyDescent="0.3">
      <c r="A42" t="s">
        <v>145</v>
      </c>
      <c r="B42">
        <v>0.9</v>
      </c>
      <c r="C42" s="5">
        <f>Table4[[#This Row],[Jan]]*$B42</f>
        <v>41208.479999999996</v>
      </c>
      <c r="D42" s="5">
        <f>Table4[[#This Row],[Feb]]*$B42</f>
        <v>35976.15</v>
      </c>
      <c r="E42" s="5">
        <f>Table4[[#This Row],[Mar]]*$B42</f>
        <v>36559.979999999996</v>
      </c>
      <c r="F42" s="5">
        <f>Table4[[#This Row],[Apr]]*$B42</f>
        <v>33604.11</v>
      </c>
      <c r="G42" s="5">
        <f>Table4[[#This Row],[May]]*$B42</f>
        <v>32958.629999999997</v>
      </c>
      <c r="H42" s="5">
        <f>Table4[[#This Row],[Jun]]*$B42</f>
        <v>30018.221190000004</v>
      </c>
      <c r="I42" s="5">
        <f>Table4[[#This Row],[Jul]]*$B42</f>
        <v>32459.809590000001</v>
      </c>
      <c r="J42" s="5">
        <f>Table4[[#This Row],[Aug]]*$B42</f>
        <v>36506.125710000008</v>
      </c>
      <c r="K42" s="5">
        <f>Table4[[#This Row],[Sep]]*$B42</f>
        <v>37370.869830000003</v>
      </c>
      <c r="L42" s="5">
        <f>Table4[[#This Row],[Oct]]*$B42</f>
        <v>40182.986250000002</v>
      </c>
      <c r="M42" s="5">
        <f>Table4[[#This Row],[Nov]]*$B42</f>
        <v>40330.536120000004</v>
      </c>
      <c r="N42" s="5">
        <f>Table4[[#This Row],[Dec]]*$B42</f>
        <v>42601.427820000004</v>
      </c>
    </row>
    <row r="43" spans="1:14" ht="14.25" customHeight="1" x14ac:dyDescent="0.3">
      <c r="A43" t="s">
        <v>149</v>
      </c>
      <c r="B43">
        <v>0.75</v>
      </c>
      <c r="C43" s="5">
        <f>Table4[[#This Row],[Jan]]*$B43</f>
        <v>8591.0250000000015</v>
      </c>
      <c r="D43" s="5">
        <f>Table4[[#This Row],[Feb]]*$B43</f>
        <v>7466.4749999999995</v>
      </c>
      <c r="E43" s="5">
        <f>Table4[[#This Row],[Mar]]*$B43</f>
        <v>7931.8499999999995</v>
      </c>
      <c r="F43" s="5">
        <f>Table4[[#This Row],[Apr]]*$B43</f>
        <v>6987.1500000000005</v>
      </c>
      <c r="G43" s="5">
        <f>Table4[[#This Row],[May]]*$B43</f>
        <v>6858.5250000000005</v>
      </c>
      <c r="H43" s="5">
        <f>Table4[[#This Row],[Jun]]*$B43</f>
        <v>6375.4500000000007</v>
      </c>
      <c r="I43" s="5">
        <f>Table4[[#This Row],[Jul]]*$B43</f>
        <v>6946.7249999999995</v>
      </c>
      <c r="J43" s="5">
        <f>Table4[[#This Row],[Aug]]*$B43</f>
        <v>7852.6500000000005</v>
      </c>
      <c r="K43" s="5">
        <f>Table4[[#This Row],[Sep]]*$B43</f>
        <v>8347.0499999999993</v>
      </c>
      <c r="L43" s="5">
        <f>Table4[[#This Row],[Oct]]*$B43</f>
        <v>8786.625</v>
      </c>
      <c r="M43" s="5">
        <f>Table4[[#This Row],[Nov]]*$B43</f>
        <v>8551.7999999999993</v>
      </c>
      <c r="N43" s="5">
        <f>Table4[[#This Row],[Dec]]*$B43</f>
        <v>9109.0499999999993</v>
      </c>
    </row>
    <row r="44" spans="1:14" ht="14.25" customHeight="1" x14ac:dyDescent="0.3">
      <c r="A44" t="s">
        <v>152</v>
      </c>
      <c r="B44">
        <v>0.8</v>
      </c>
      <c r="C44" s="5">
        <f>Table4[[#This Row],[Jan]]*$B44</f>
        <v>11540.960000000001</v>
      </c>
      <c r="D44" s="5">
        <f>Table4[[#This Row],[Feb]]*$B44</f>
        <v>9862.32</v>
      </c>
      <c r="E44" s="5">
        <f>Table4[[#This Row],[Mar]]*$B44</f>
        <v>10345.44</v>
      </c>
      <c r="F44" s="5">
        <f>Table4[[#This Row],[Apr]]*$B44</f>
        <v>8819.52</v>
      </c>
      <c r="G44" s="5">
        <f>Table4[[#This Row],[May]]*$B44</f>
        <v>8538.08</v>
      </c>
      <c r="H44" s="5">
        <f>Table4[[#This Row],[Jun]]*$B44</f>
        <v>7700</v>
      </c>
      <c r="I44" s="5">
        <f>Table4[[#This Row],[Jul]]*$B44</f>
        <v>8487.2000000000007</v>
      </c>
      <c r="J44" s="5">
        <f>Table4[[#This Row],[Aug]]*$B44</f>
        <v>9810.4800000000014</v>
      </c>
      <c r="K44" s="5">
        <f>Table4[[#This Row],[Sep]]*$B44</f>
        <v>10706.480000000001</v>
      </c>
      <c r="L44" s="5">
        <f>Table4[[#This Row],[Oct]]*$B44</f>
        <v>11410.400000000001</v>
      </c>
      <c r="M44" s="5">
        <f>Table4[[#This Row],[Nov]]*$B44</f>
        <v>11340.400000000001</v>
      </c>
      <c r="N44" s="5">
        <f>Table4[[#This Row],[Dec]]*$B44</f>
        <v>12102.560000000001</v>
      </c>
    </row>
    <row r="45" spans="1:14" ht="14.25" customHeight="1" x14ac:dyDescent="0.3">
      <c r="A45" t="s">
        <v>155</v>
      </c>
      <c r="B45">
        <v>0.9</v>
      </c>
      <c r="C45" s="5">
        <f>Table4[[#This Row],[Jan]]*$B45</f>
        <v>4894.2900000000009</v>
      </c>
      <c r="D45" s="5">
        <f>Table4[[#This Row],[Feb]]*$B45</f>
        <v>4527.45</v>
      </c>
      <c r="E45" s="5">
        <f>Table4[[#This Row],[Mar]]*$B45</f>
        <v>4754.25</v>
      </c>
      <c r="F45" s="5">
        <f>Table4[[#This Row],[Apr]]*$B45</f>
        <v>4171.59</v>
      </c>
      <c r="G45" s="5">
        <f>Table4[[#This Row],[May]]*$B45</f>
        <v>4117.5</v>
      </c>
      <c r="H45" s="5">
        <f>Table4[[#This Row],[Jun]]*$B45</f>
        <v>3729.06</v>
      </c>
      <c r="I45" s="5">
        <f>Table4[[#This Row],[Jul]]*$B45</f>
        <v>4105.53</v>
      </c>
      <c r="J45" s="5">
        <f>Table4[[#This Row],[Aug]]*$B45</f>
        <v>4624.83</v>
      </c>
      <c r="K45" s="5">
        <f>Table4[[#This Row],[Sep]]*$B45</f>
        <v>4797</v>
      </c>
      <c r="L45" s="5">
        <f>Table4[[#This Row],[Oct]]*$B45</f>
        <v>5068.9799999999996</v>
      </c>
      <c r="M45" s="5">
        <f>Table4[[#This Row],[Nov]]*$B45</f>
        <v>4862.88</v>
      </c>
      <c r="N45" s="5">
        <f>Table4[[#This Row],[Dec]]*$B45</f>
        <v>5082.3900000000003</v>
      </c>
    </row>
    <row r="46" spans="1:14" ht="14.25" customHeight="1" x14ac:dyDescent="0.3">
      <c r="A46" t="s">
        <v>157</v>
      </c>
      <c r="B46">
        <v>0.9</v>
      </c>
      <c r="C46" s="5">
        <f>Table4[[#This Row],[Jan]]*$B46</f>
        <v>5902.47</v>
      </c>
      <c r="D46" s="5">
        <f>Table4[[#This Row],[Feb]]*$B46</f>
        <v>5299.2</v>
      </c>
      <c r="E46" s="5">
        <f>Table4[[#This Row],[Mar]]*$B46</f>
        <v>5701.86</v>
      </c>
      <c r="F46" s="5">
        <f>Table4[[#This Row],[Apr]]*$B46</f>
        <v>5085.9000000000005</v>
      </c>
      <c r="G46" s="5">
        <f>Table4[[#This Row],[May]]*$B46</f>
        <v>5204.6099999999997</v>
      </c>
      <c r="H46" s="5">
        <f>Table4[[#This Row],[Jun]]*$B46</f>
        <v>4824.3599999999997</v>
      </c>
      <c r="I46" s="5">
        <f>Table4[[#This Row],[Jul]]*$B46</f>
        <v>5303.16</v>
      </c>
      <c r="J46" s="5">
        <f>Table4[[#This Row],[Aug]]*$B46</f>
        <v>5833.08</v>
      </c>
      <c r="K46" s="5">
        <f>Table4[[#This Row],[Sep]]*$B46</f>
        <v>6021.8099999999995</v>
      </c>
      <c r="L46" s="5">
        <f>Table4[[#This Row],[Oct]]*$B46</f>
        <v>6128.91</v>
      </c>
      <c r="M46" s="5">
        <f>Table4[[#This Row],[Nov]]*$B46</f>
        <v>5928.5700000000006</v>
      </c>
      <c r="N46" s="5">
        <f>Table4[[#This Row],[Dec]]*$B46</f>
        <v>6186.6900000000005</v>
      </c>
    </row>
    <row r="47" spans="1:14" ht="14.25" customHeight="1" x14ac:dyDescent="0.3">
      <c r="A47" t="s">
        <v>160</v>
      </c>
      <c r="B47">
        <v>0.85</v>
      </c>
      <c r="C47" s="5">
        <f>Table4[[#This Row],[Jan]]*$B47</f>
        <v>17099.45</v>
      </c>
      <c r="D47" s="5">
        <f>Table4[[#This Row],[Feb]]*$B47</f>
        <v>15031.4</v>
      </c>
      <c r="E47" s="5">
        <f>Table4[[#This Row],[Mar]]*$B47</f>
        <v>16289.4</v>
      </c>
      <c r="F47" s="5">
        <f>Table4[[#This Row],[Apr]]*$B47</f>
        <v>14250.25</v>
      </c>
      <c r="G47" s="5">
        <f>Table4[[#This Row],[May]]*$B47</f>
        <v>14783.199999999999</v>
      </c>
      <c r="H47" s="5">
        <f>Table4[[#This Row],[Jun]]*$B47</f>
        <v>13871.15</v>
      </c>
      <c r="I47" s="5">
        <f>Table4[[#This Row],[Jul]]*$B47</f>
        <v>15110.449999999999</v>
      </c>
      <c r="J47" s="5">
        <f>Table4[[#This Row],[Aug]]*$B47</f>
        <v>16763.7</v>
      </c>
      <c r="K47" s="5">
        <f>Table4[[#This Row],[Sep]]*$B47</f>
        <v>16935.399999999998</v>
      </c>
      <c r="L47" s="5">
        <f>Table4[[#This Row],[Oct]]*$B47</f>
        <v>17583.95</v>
      </c>
      <c r="M47" s="5">
        <f>Table4[[#This Row],[Nov]]*$B47</f>
        <v>16597.099999999999</v>
      </c>
      <c r="N47" s="5">
        <f>Table4[[#This Row],[Dec]]*$B47</f>
        <v>17731</v>
      </c>
    </row>
    <row r="48" spans="1:14" ht="14.25" customHeight="1" x14ac:dyDescent="0.3">
      <c r="A48" t="s">
        <v>163</v>
      </c>
      <c r="B48">
        <v>0.84532499999999999</v>
      </c>
      <c r="C48" s="5">
        <f>Table4[[#This Row],[Jan]]*$B48</f>
        <v>5191.4789549999996</v>
      </c>
      <c r="D48" s="5">
        <f>Table4[[#This Row],[Feb]]*$B48</f>
        <v>4656.5572950000005</v>
      </c>
      <c r="E48" s="5">
        <f>Table4[[#This Row],[Mar]]*$B48</f>
        <v>5018.2718624999998</v>
      </c>
      <c r="F48" s="5">
        <f>Table4[[#This Row],[Apr]]*$B48</f>
        <v>4498.5660524999994</v>
      </c>
      <c r="G48" s="5">
        <f>Table4[[#This Row],[May]]*$B48</f>
        <v>4604.0626124999999</v>
      </c>
      <c r="H48" s="5">
        <f>Table4[[#This Row],[Jun]]*$B48</f>
        <v>4265.4254174999996</v>
      </c>
      <c r="I48" s="5">
        <f>Table4[[#This Row],[Jul]]*$B48</f>
        <v>4694.8505175</v>
      </c>
      <c r="J48" s="5">
        <f>Table4[[#This Row],[Aug]]*$B48</f>
        <v>5144.2252875000004</v>
      </c>
      <c r="K48" s="5">
        <f>Table4[[#This Row],[Sep]]*$B48</f>
        <v>5295.0312674999996</v>
      </c>
      <c r="L48" s="5">
        <f>Table4[[#This Row],[Oct]]*$B48</f>
        <v>5391.4828500000003</v>
      </c>
      <c r="M48" s="5">
        <f>Table4[[#This Row],[Nov]]*$B48</f>
        <v>5210.6678325000003</v>
      </c>
      <c r="N48" s="5">
        <f>Table4[[#This Row],[Dec]]*$B48</f>
        <v>5439.6663749999998</v>
      </c>
    </row>
    <row r="49" spans="1:14" ht="14.25" customHeight="1" x14ac:dyDescent="0.3">
      <c r="A49" t="s">
        <v>166</v>
      </c>
      <c r="B49">
        <v>0.9</v>
      </c>
      <c r="C49" s="5">
        <f>Table4[[#This Row],[Jan]]*$B49</f>
        <v>23005.8</v>
      </c>
      <c r="D49" s="5">
        <f>Table4[[#This Row],[Feb]]*$B49</f>
        <v>19888.2</v>
      </c>
      <c r="E49" s="5">
        <f>Table4[[#This Row],[Mar]]*$B49</f>
        <v>21952.799999999999</v>
      </c>
      <c r="F49" s="5">
        <f>Table4[[#This Row],[Apr]]*$B49</f>
        <v>21444.3</v>
      </c>
      <c r="G49" s="5">
        <f>Table4[[#This Row],[May]]*$B49</f>
        <v>20688.3</v>
      </c>
      <c r="H49" s="5">
        <f>Table4[[#This Row],[Jun]]*$B49</f>
        <v>18646.2</v>
      </c>
      <c r="I49" s="5">
        <f>Table4[[#This Row],[Jul]]*$B49</f>
        <v>19629.900000000001</v>
      </c>
      <c r="J49" s="5">
        <f>Table4[[#This Row],[Aug]]*$B49</f>
        <v>22998.600000000002</v>
      </c>
      <c r="K49" s="5">
        <f>Table4[[#This Row],[Sep]]*$B49</f>
        <v>22670.100000000002</v>
      </c>
      <c r="L49" s="5">
        <f>Table4[[#This Row],[Oct]]*$B49</f>
        <v>22045.5</v>
      </c>
      <c r="M49" s="5">
        <f>Table4[[#This Row],[Nov]]*$B49</f>
        <v>22062.600000000002</v>
      </c>
      <c r="N49" s="5">
        <f>Table4[[#This Row],[Dec]]*$B49</f>
        <v>23333.4</v>
      </c>
    </row>
    <row r="50" spans="1:14" ht="14.25" customHeight="1" x14ac:dyDescent="0.3">
      <c r="A50" t="s">
        <v>169</v>
      </c>
      <c r="B50">
        <v>0.85</v>
      </c>
      <c r="C50" s="5">
        <f>Table4[[#This Row],[Jan]]*$B50</f>
        <v>3308.4549999999999</v>
      </c>
      <c r="D50" s="5">
        <f>Table4[[#This Row],[Feb]]*$B50</f>
        <v>2856.5949999999998</v>
      </c>
      <c r="E50" s="5">
        <f>Table4[[#This Row],[Mar]]*$B50</f>
        <v>3155.625</v>
      </c>
      <c r="F50" s="5">
        <f>Table4[[#This Row],[Apr]]*$B50</f>
        <v>3081.8449999999998</v>
      </c>
      <c r="G50" s="5">
        <f>Table4[[#This Row],[May]]*$B50</f>
        <v>2972.875</v>
      </c>
      <c r="H50" s="5">
        <f>Table4[[#This Row],[Jun]]*$B50</f>
        <v>2678.69</v>
      </c>
      <c r="I50" s="5">
        <f>Table4[[#This Row],[Jul]]*$B50</f>
        <v>2819.0250000000001</v>
      </c>
      <c r="J50" s="5">
        <f>Table4[[#This Row],[Aug]]*$B50</f>
        <v>3304.375</v>
      </c>
      <c r="K50" s="5">
        <f>Table4[[#This Row],[Sep]]*$B50</f>
        <v>3255.7550000000001</v>
      </c>
      <c r="L50" s="5">
        <f>Table4[[#This Row],[Oct]]*$B50</f>
        <v>3170.2449999999999</v>
      </c>
      <c r="M50" s="5">
        <f>Table4[[#This Row],[Nov]]*$B50</f>
        <v>3173.1349999999998</v>
      </c>
      <c r="N50" s="5">
        <f>Table4[[#This Row],[Dec]]*$B50</f>
        <v>3354.1849999999999</v>
      </c>
    </row>
    <row r="51" spans="1:14" ht="14.25" customHeight="1" x14ac:dyDescent="0.3">
      <c r="A51" t="s">
        <v>171</v>
      </c>
      <c r="B51">
        <v>0.95</v>
      </c>
      <c r="C51" s="5">
        <f>Table4[[#This Row],[Jan]]*$B51</f>
        <v>12489.554999999998</v>
      </c>
      <c r="D51" s="5">
        <f>Table4[[#This Row],[Feb]]*$B51</f>
        <v>10877.69</v>
      </c>
      <c r="E51" s="5">
        <f>Table4[[#This Row],[Mar]]*$B51</f>
        <v>10897.355</v>
      </c>
      <c r="F51" s="5">
        <f>Table4[[#This Row],[Apr]]*$B51</f>
        <v>8757.9549999999999</v>
      </c>
      <c r="G51" s="5">
        <f>Table4[[#This Row],[May]]*$B51</f>
        <v>7449.4249999999993</v>
      </c>
      <c r="H51" s="5">
        <f>Table4[[#This Row],[Jun]]*$B51</f>
        <v>6752.6949999999997</v>
      </c>
      <c r="I51" s="5">
        <f>Table4[[#This Row],[Jul]]*$B51</f>
        <v>7274.2449999999999</v>
      </c>
      <c r="J51" s="5">
        <f>Table4[[#This Row],[Aug]]*$B51</f>
        <v>8568.7150000000001</v>
      </c>
      <c r="K51" s="5">
        <f>Table4[[#This Row],[Sep]]*$B51</f>
        <v>9196</v>
      </c>
      <c r="L51" s="5">
        <f>Table4[[#This Row],[Oct]]*$B51</f>
        <v>10753.525</v>
      </c>
      <c r="M51" s="5">
        <f>Table4[[#This Row],[Nov]]*$B51</f>
        <v>11159.27</v>
      </c>
      <c r="N51" s="5">
        <f>Table4[[#This Row],[Dec]]*$B51</f>
        <v>12687.82</v>
      </c>
    </row>
    <row r="52" spans="1:14" ht="14.25" customHeight="1" x14ac:dyDescent="0.3">
      <c r="A52" t="s">
        <v>172</v>
      </c>
      <c r="B52">
        <v>0.95</v>
      </c>
      <c r="C52" s="5">
        <f>Table4[[#This Row],[Jan]]*$B52</f>
        <v>13218.014999999999</v>
      </c>
      <c r="D52" s="5">
        <f>Table4[[#This Row],[Feb]]*$B52</f>
        <v>10966.134999999998</v>
      </c>
      <c r="E52" s="5">
        <f>Table4[[#This Row],[Mar]]*$B52</f>
        <v>11441.134999999998</v>
      </c>
      <c r="F52" s="5">
        <f>Table4[[#This Row],[Apr]]*$B52</f>
        <v>10004.07</v>
      </c>
      <c r="G52" s="5">
        <f>Table4[[#This Row],[May]]*$B52</f>
        <v>8979.59</v>
      </c>
      <c r="H52" s="5">
        <f>Table4[[#This Row],[Jun]]*$B52</f>
        <v>7800.2599999999993</v>
      </c>
      <c r="I52" s="5">
        <f>Table4[[#This Row],[Jul]]*$B52</f>
        <v>8635.69</v>
      </c>
      <c r="J52" s="5">
        <f>Table4[[#This Row],[Aug]]*$B52</f>
        <v>9829.9349999999995</v>
      </c>
      <c r="K52" s="5">
        <f>Table4[[#This Row],[Sep]]*$B52</f>
        <v>10568.94</v>
      </c>
      <c r="L52" s="5">
        <f>Table4[[#This Row],[Oct]]*$B52</f>
        <v>11606.34</v>
      </c>
      <c r="M52" s="5">
        <f>Table4[[#This Row],[Nov]]*$B52</f>
        <v>12483.284999999998</v>
      </c>
      <c r="N52" s="5">
        <f>Table4[[#This Row],[Dec]]*$B52</f>
        <v>13393.574999999999</v>
      </c>
    </row>
    <row r="53" spans="1:14" ht="14.25" customHeight="1" x14ac:dyDescent="0.3">
      <c r="A53" t="s">
        <v>265</v>
      </c>
      <c r="B53">
        <v>0.9</v>
      </c>
      <c r="C53" s="5">
        <f>Table4[[#This Row],[Jan]]*$B53</f>
        <v>23065.02</v>
      </c>
      <c r="D53" s="5">
        <f>Table4[[#This Row],[Feb]]*$B53</f>
        <v>20354.850000000002</v>
      </c>
      <c r="E53" s="5">
        <f>Table4[[#This Row],[Mar]]*$B53</f>
        <v>21716.37</v>
      </c>
      <c r="F53" s="5">
        <f>Table4[[#This Row],[Apr]]*$B53</f>
        <v>18847.89</v>
      </c>
      <c r="G53" s="5">
        <f>Table4[[#This Row],[May]]*$B53</f>
        <v>18700.919999999998</v>
      </c>
      <c r="H53" s="5">
        <f>Table4[[#This Row],[Jun]]*$B53</f>
        <v>17164.439999999999</v>
      </c>
      <c r="I53" s="5">
        <f>Table4[[#This Row],[Jul]]*$B53</f>
        <v>18821.97</v>
      </c>
      <c r="J53" s="5">
        <f>Table4[[#This Row],[Aug]]*$B53</f>
        <v>21497.67</v>
      </c>
      <c r="K53" s="5">
        <f>Table4[[#This Row],[Sep]]*$B53</f>
        <v>22688.37</v>
      </c>
      <c r="L53" s="5">
        <f>Table4[[#This Row],[Oct]]*$B53</f>
        <v>22841.55</v>
      </c>
      <c r="M53" s="5">
        <f>Table4[[#This Row],[Nov]]*$B53</f>
        <v>22507.919999999998</v>
      </c>
      <c r="N53" s="5">
        <f>Table4[[#This Row],[Dec]]*$B53</f>
        <v>23494.59</v>
      </c>
    </row>
    <row r="54" spans="1:14" ht="14.25" customHeight="1" x14ac:dyDescent="0.3">
      <c r="A54" t="s">
        <v>177</v>
      </c>
      <c r="B54">
        <v>0.9</v>
      </c>
      <c r="C54" s="5">
        <f>Table4[[#This Row],[Jan]]*$B54</f>
        <v>4359.6000000000004</v>
      </c>
      <c r="D54" s="5">
        <f>Table4[[#This Row],[Feb]]*$B54</f>
        <v>3825.9</v>
      </c>
      <c r="E54" s="5">
        <f>Table4[[#This Row],[Mar]]*$B54</f>
        <v>4077</v>
      </c>
      <c r="F54" s="5">
        <f>Table4[[#This Row],[Apr]]*$B54</f>
        <v>3573.9</v>
      </c>
      <c r="G54" s="5">
        <f>Table4[[#This Row],[May]]*$B54</f>
        <v>3623.4</v>
      </c>
      <c r="H54" s="5">
        <f>Table4[[#This Row],[Jun]]*$B54</f>
        <v>3360.6</v>
      </c>
      <c r="I54" s="5">
        <f>Table4[[#This Row],[Jul]]*$B54</f>
        <v>3665.7000000000003</v>
      </c>
      <c r="J54" s="5">
        <f>Table4[[#This Row],[Aug]]*$B54</f>
        <v>4104</v>
      </c>
      <c r="K54" s="5">
        <f>Table4[[#This Row],[Sep]]*$B54</f>
        <v>4274.1000000000004</v>
      </c>
      <c r="L54" s="5">
        <f>Table4[[#This Row],[Oct]]*$B54</f>
        <v>4289.4000000000005</v>
      </c>
      <c r="M54" s="5">
        <f>Table4[[#This Row],[Nov]]*$B54</f>
        <v>4249.8</v>
      </c>
      <c r="N54" s="5">
        <f>Table4[[#This Row],[Dec]]*$B54</f>
        <v>4446</v>
      </c>
    </row>
    <row r="55" spans="1:14" ht="14.25" customHeight="1" x14ac:dyDescent="0.3">
      <c r="A55" t="s">
        <v>180</v>
      </c>
      <c r="B55">
        <v>0.9</v>
      </c>
      <c r="C55" s="5">
        <f>Table4[[#This Row],[Jan]]*$B55</f>
        <v>23724</v>
      </c>
      <c r="D55" s="5">
        <f>Table4[[#This Row],[Feb]]*$B55</f>
        <v>20448</v>
      </c>
      <c r="E55" s="5">
        <f>Table4[[#This Row],[Mar]]*$B55</f>
        <v>19986.3</v>
      </c>
      <c r="F55" s="5">
        <f>Table4[[#This Row],[Apr]]*$B55</f>
        <v>17181.900000000001</v>
      </c>
      <c r="G55" s="5">
        <f>Table4[[#This Row],[May]]*$B55</f>
        <v>15369.300000000001</v>
      </c>
      <c r="H55" s="5">
        <f>Table4[[#This Row],[Jun]]*$B55</f>
        <v>13381.2</v>
      </c>
      <c r="I55" s="5">
        <f>Table4[[#This Row],[Jul]]*$B55</f>
        <v>15023.7</v>
      </c>
      <c r="J55" s="5">
        <f>Table4[[#This Row],[Aug]]*$B55</f>
        <v>18071.100000000002</v>
      </c>
      <c r="K55" s="5">
        <f>Table4[[#This Row],[Sep]]*$B55</f>
        <v>20545.2</v>
      </c>
      <c r="L55" s="5">
        <f>Table4[[#This Row],[Oct]]*$B55</f>
        <v>23411.7</v>
      </c>
      <c r="M55" s="5">
        <f>Table4[[#This Row],[Nov]]*$B55</f>
        <v>23583.600000000002</v>
      </c>
      <c r="N55" s="5">
        <f>Table4[[#This Row],[Dec]]*$B55</f>
        <v>24027.3</v>
      </c>
    </row>
    <row r="56" spans="1:14" ht="14.25" customHeight="1" x14ac:dyDescent="0.3">
      <c r="A56" t="s">
        <v>182</v>
      </c>
      <c r="B56">
        <v>0.95</v>
      </c>
      <c r="C56" s="5">
        <f>Table4[[#This Row],[Jan]]*$B56</f>
        <v>20564.649999999998</v>
      </c>
      <c r="D56" s="5">
        <f>Table4[[#This Row],[Feb]]*$B56</f>
        <v>17491.399999999998</v>
      </c>
      <c r="E56" s="5">
        <f>Table4[[#This Row],[Mar]]*$B56</f>
        <v>18246.649999999998</v>
      </c>
      <c r="F56" s="5">
        <f>Table4[[#This Row],[Apr]]*$B56</f>
        <v>15297.849999999999</v>
      </c>
      <c r="G56" s="5">
        <f>Table4[[#This Row],[May]]*$B56</f>
        <v>14953</v>
      </c>
      <c r="H56" s="5">
        <f>Table4[[#This Row],[Jun]]*$B56</f>
        <v>13275.3</v>
      </c>
      <c r="I56" s="5">
        <f>Table4[[#This Row],[Jul]]*$B56</f>
        <v>14678.449999999999</v>
      </c>
      <c r="J56" s="5">
        <f>Table4[[#This Row],[Aug]]*$B56</f>
        <v>17062.95</v>
      </c>
      <c r="K56" s="5">
        <f>Table4[[#This Row],[Sep]]*$B56</f>
        <v>18937.3</v>
      </c>
      <c r="L56" s="5">
        <f>Table4[[#This Row],[Oct]]*$B56</f>
        <v>20481.05</v>
      </c>
      <c r="M56" s="5">
        <f>Table4[[#This Row],[Nov]]*$B56</f>
        <v>20366.099999999999</v>
      </c>
      <c r="N56" s="5">
        <f>Table4[[#This Row],[Dec]]*$B56</f>
        <v>21890.85</v>
      </c>
    </row>
    <row r="57" spans="1:14" ht="14.25" customHeight="1" x14ac:dyDescent="0.3">
      <c r="A57" t="s">
        <v>184</v>
      </c>
      <c r="B57">
        <v>0.95</v>
      </c>
      <c r="C57" s="5">
        <f>Table4[[#This Row],[Jan]]*$B57</f>
        <v>37513.599999999999</v>
      </c>
      <c r="D57" s="5">
        <f>Table4[[#This Row],[Feb]]*$B57</f>
        <v>31212.25</v>
      </c>
      <c r="E57" s="5">
        <f>Table4[[#This Row],[Mar]]*$B57</f>
        <v>29700.134999999998</v>
      </c>
      <c r="F57" s="5">
        <f>Table4[[#This Row],[Apr]]*$B57</f>
        <v>24898.55</v>
      </c>
      <c r="G57" s="5">
        <f>Table4[[#This Row],[May]]*$B57</f>
        <v>21981.1</v>
      </c>
      <c r="H57" s="5">
        <f>Table4[[#This Row],[Jun]]*$B57</f>
        <v>18982.899999999998</v>
      </c>
      <c r="I57" s="5">
        <f>Table4[[#This Row],[Jul]]*$B57</f>
        <v>21551.7</v>
      </c>
      <c r="J57" s="5">
        <f>Table4[[#This Row],[Aug]]*$B57</f>
        <v>26041.399999999998</v>
      </c>
      <c r="K57" s="5">
        <f>Table4[[#This Row],[Sep]]*$B57</f>
        <v>29888.899999999998</v>
      </c>
      <c r="L57" s="5">
        <f>Table4[[#This Row],[Oct]]*$B57</f>
        <v>34705.4</v>
      </c>
      <c r="M57" s="5">
        <f>Table4[[#This Row],[Nov]]*$B57</f>
        <v>36881.85</v>
      </c>
      <c r="N57" s="5">
        <f>Table4[[#This Row],[Dec]]*$B57</f>
        <v>40110.9</v>
      </c>
    </row>
    <row r="58" spans="1:14" ht="14.25" customHeight="1" x14ac:dyDescent="0.3">
      <c r="A58" t="s">
        <v>186</v>
      </c>
      <c r="B58">
        <v>0.9</v>
      </c>
      <c r="C58" s="5">
        <f>Table4[[#This Row],[Jan]]*$B58</f>
        <v>34074.9</v>
      </c>
      <c r="D58" s="5">
        <f>Table4[[#This Row],[Feb]]*$B58</f>
        <v>28396.799999999999</v>
      </c>
      <c r="E58" s="5">
        <f>Table4[[#This Row],[Mar]]*$B58</f>
        <v>28665.9</v>
      </c>
      <c r="F58" s="5">
        <f>Table4[[#This Row],[Apr]]*$B58</f>
        <v>24411.600000000002</v>
      </c>
      <c r="G58" s="5">
        <f>Table4[[#This Row],[May]]*$B58</f>
        <v>22266.9</v>
      </c>
      <c r="H58" s="5">
        <f>Table4[[#This Row],[Jun]]*$B58</f>
        <v>19791.900000000001</v>
      </c>
      <c r="I58" s="5">
        <f>Table4[[#This Row],[Jul]]*$B58</f>
        <v>21774.600000000002</v>
      </c>
      <c r="J58" s="5">
        <f>Table4[[#This Row],[Aug]]*$B58</f>
        <v>25973.100000000002</v>
      </c>
      <c r="K58" s="5">
        <f>Table4[[#This Row],[Sep]]*$B58</f>
        <v>28984.5</v>
      </c>
      <c r="L58" s="5">
        <f>Table4[[#This Row],[Oct]]*$B58</f>
        <v>33058.800000000003</v>
      </c>
      <c r="M58" s="5">
        <f>Table4[[#This Row],[Nov]]*$B58</f>
        <v>34366.5</v>
      </c>
      <c r="N58" s="5">
        <f>Table4[[#This Row],[Dec]]*$B58</f>
        <v>36320.400000000001</v>
      </c>
    </row>
    <row r="59" spans="1:14" ht="14.25" customHeight="1" x14ac:dyDescent="0.3">
      <c r="A59" t="s">
        <v>188</v>
      </c>
      <c r="B59">
        <v>0.9</v>
      </c>
      <c r="C59" s="5">
        <f>Table4[[#This Row],[Jan]]*$B59</f>
        <v>20588.400000000001</v>
      </c>
      <c r="D59" s="5">
        <f>Table4[[#This Row],[Feb]]*$B59</f>
        <v>17538.3</v>
      </c>
      <c r="E59" s="5">
        <f>Table4[[#This Row],[Mar]]*$B59</f>
        <v>17897.400000000001</v>
      </c>
      <c r="F59" s="5">
        <f>Table4[[#This Row],[Apr]]*$B59</f>
        <v>14674.5</v>
      </c>
      <c r="G59" s="5">
        <f>Table4[[#This Row],[May]]*$B59</f>
        <v>13272.300000000001</v>
      </c>
      <c r="H59" s="5">
        <f>Table4[[#This Row],[Jun]]*$B59</f>
        <v>11571.300000000001</v>
      </c>
      <c r="I59" s="5">
        <f>Table4[[#This Row],[Jul]]*$B59</f>
        <v>12990.6</v>
      </c>
      <c r="J59" s="5">
        <f>Table4[[#This Row],[Aug]]*$B59</f>
        <v>15871.5</v>
      </c>
      <c r="K59" s="5">
        <f>Table4[[#This Row],[Sep]]*$B59</f>
        <v>18317.7</v>
      </c>
      <c r="L59" s="5">
        <f>Table4[[#This Row],[Oct]]*$B59</f>
        <v>20121.3</v>
      </c>
      <c r="M59" s="5">
        <f>Table4[[#This Row],[Nov]]*$B59</f>
        <v>20573.100000000002</v>
      </c>
      <c r="N59" s="5">
        <f>Table4[[#This Row],[Dec]]*$B59</f>
        <v>21930.3</v>
      </c>
    </row>
    <row r="60" spans="1:14" ht="14.25" customHeight="1" x14ac:dyDescent="0.3">
      <c r="A60" t="s">
        <v>226</v>
      </c>
      <c r="B60">
        <v>0.9</v>
      </c>
      <c r="C60" s="5">
        <f>Table4[[#This Row],[Jan]]*$B60</f>
        <v>30721.5</v>
      </c>
      <c r="D60" s="5">
        <f>Table4[[#This Row],[Feb]]*$B60</f>
        <v>24282.9</v>
      </c>
      <c r="E60" s="5">
        <f>Table4[[#This Row],[Mar]]*$B60</f>
        <v>24146.100000000002</v>
      </c>
      <c r="F60" s="5">
        <f>Table4[[#This Row],[Apr]]*$B60</f>
        <v>18389.7</v>
      </c>
      <c r="G60" s="5">
        <f>Table4[[#This Row],[May]]*$B60</f>
        <v>18961.2</v>
      </c>
      <c r="H60" s="5">
        <f>Table4[[#This Row],[Jun]]*$B60</f>
        <v>15280.2</v>
      </c>
      <c r="I60" s="5">
        <f>Table4[[#This Row],[Jul]]*$B60</f>
        <v>17361.900000000001</v>
      </c>
      <c r="J60" s="5">
        <f>Table4[[#This Row],[Aug]]*$B60</f>
        <v>19303.2</v>
      </c>
      <c r="K60" s="5">
        <f>Table4[[#This Row],[Sep]]*$B60</f>
        <v>18141.3</v>
      </c>
      <c r="L60" s="5">
        <f>Table4[[#This Row],[Oct]]*$B60</f>
        <v>22548.600000000002</v>
      </c>
      <c r="M60" s="5">
        <f>Table4[[#This Row],[Nov]]*$B60</f>
        <v>22923.9</v>
      </c>
      <c r="N60" s="5">
        <f>Table4[[#This Row],[Dec]]*$B60</f>
        <v>28392.3</v>
      </c>
    </row>
    <row r="61" spans="1:14" ht="14.25" customHeight="1" x14ac:dyDescent="0.3">
      <c r="A61" t="s">
        <v>208</v>
      </c>
      <c r="B61">
        <v>0.9</v>
      </c>
      <c r="C61" s="5">
        <f>Table4[[#This Row],[Jan]]*$B61</f>
        <v>18584.100000000002</v>
      </c>
      <c r="D61" s="5">
        <f>Table4[[#This Row],[Feb]]*$B61</f>
        <v>16101.9</v>
      </c>
      <c r="E61" s="5">
        <f>Table4[[#This Row],[Mar]]*$B61</f>
        <v>15901.2</v>
      </c>
      <c r="F61" s="5">
        <f>Table4[[#This Row],[Apr]]*$B61</f>
        <v>13660.2</v>
      </c>
      <c r="G61" s="5">
        <f>Table4[[#This Row],[May]]*$B61</f>
        <v>12620.7</v>
      </c>
      <c r="H61" s="5">
        <f>Table4[[#This Row],[Jun]]*$B61</f>
        <v>11094.300000000001</v>
      </c>
      <c r="I61" s="5">
        <f>Table4[[#This Row],[Jul]]*$B61</f>
        <v>12367.800000000001</v>
      </c>
      <c r="J61" s="5">
        <f>Table4[[#This Row],[Aug]]*$B61</f>
        <v>14484.6</v>
      </c>
      <c r="K61" s="5">
        <f>Table4[[#This Row],[Sep]]*$B61</f>
        <v>16189.2</v>
      </c>
      <c r="L61" s="5">
        <f>Table4[[#This Row],[Oct]]*$B61</f>
        <v>18663.3</v>
      </c>
      <c r="M61" s="5">
        <f>Table4[[#This Row],[Nov]]*$B61</f>
        <v>18589.5</v>
      </c>
      <c r="N61" s="5">
        <f>Table4[[#This Row],[Dec]]*$B61</f>
        <v>19022.400000000001</v>
      </c>
    </row>
    <row r="62" spans="1:14" ht="14.25" customHeight="1" x14ac:dyDescent="0.3">
      <c r="A62" t="s">
        <v>190</v>
      </c>
      <c r="B62">
        <v>0.85</v>
      </c>
      <c r="C62" s="5">
        <f>Table4[[#This Row],[Jan]]*$B62</f>
        <v>16638.665000000001</v>
      </c>
      <c r="D62" s="5">
        <f>Table4[[#This Row],[Feb]]*$B62</f>
        <v>14215.059999999998</v>
      </c>
      <c r="E62" s="5">
        <f>Table4[[#This Row],[Mar]]*$B62</f>
        <v>15137.309999999998</v>
      </c>
      <c r="F62" s="5">
        <f>Table4[[#This Row],[Apr]]*$B62</f>
        <v>13176.87</v>
      </c>
      <c r="G62" s="5">
        <f>Table4[[#This Row],[May]]*$B62</f>
        <v>12813.75</v>
      </c>
      <c r="H62" s="5">
        <f>Table4[[#This Row],[Jun]]*$B62</f>
        <v>11578.87</v>
      </c>
      <c r="I62" s="5">
        <f>Table4[[#This Row],[Jul]]*$B62</f>
        <v>12892.545</v>
      </c>
      <c r="J62" s="5">
        <f>Table4[[#This Row],[Aug]]*$B62</f>
        <v>14836.92</v>
      </c>
      <c r="K62" s="5">
        <f>Table4[[#This Row],[Sep]]*$B62</f>
        <v>15996.15</v>
      </c>
      <c r="L62" s="5">
        <f>Table4[[#This Row],[Oct]]*$B62</f>
        <v>16796.170000000002</v>
      </c>
      <c r="M62" s="5">
        <f>Table4[[#This Row],[Nov]]*$B62</f>
        <v>16463.224999999999</v>
      </c>
      <c r="N62" s="5">
        <f>Table4[[#This Row],[Dec]]*$B62</f>
        <v>17398.904999999999</v>
      </c>
    </row>
    <row r="63" spans="1:14" ht="14.25" customHeight="1" x14ac:dyDescent="0.3">
      <c r="A63" t="s">
        <v>213</v>
      </c>
      <c r="B63">
        <v>0.9</v>
      </c>
      <c r="C63" s="5">
        <f>Table4[[#This Row],[Jan]]*$B63</f>
        <v>9307.8000000000011</v>
      </c>
      <c r="D63" s="5">
        <f>Table4[[#This Row],[Feb]]*$B63</f>
        <v>8001.9000000000005</v>
      </c>
      <c r="E63" s="5">
        <f>Table4[[#This Row],[Mar]]*$B63</f>
        <v>7803.9000000000005</v>
      </c>
      <c r="F63" s="5">
        <f>Table4[[#This Row],[Apr]]*$B63</f>
        <v>6785.1</v>
      </c>
      <c r="G63" s="5">
        <f>Table4[[#This Row],[May]]*$B63</f>
        <v>6244.2</v>
      </c>
      <c r="H63" s="5">
        <f>Table4[[#This Row],[Jun]]*$B63</f>
        <v>5524.2</v>
      </c>
      <c r="I63" s="5">
        <f>Table4[[#This Row],[Jul]]*$B63</f>
        <v>6086.7</v>
      </c>
      <c r="J63" s="5">
        <f>Table4[[#This Row],[Aug]]*$B63</f>
        <v>2298.1935483870966</v>
      </c>
      <c r="K63" s="5">
        <f>Table4[[#This Row],[Sep]]*$B63</f>
        <v>7864.2</v>
      </c>
      <c r="L63" s="5">
        <f>Table4[[#This Row],[Oct]]*$B63</f>
        <v>9007.2000000000007</v>
      </c>
      <c r="M63" s="5">
        <f>Table4[[#This Row],[Nov]]*$B63</f>
        <v>8999.1</v>
      </c>
      <c r="N63" s="5">
        <f>Table4[[#This Row],[Dec]]*$B63</f>
        <v>9241.2000000000007</v>
      </c>
    </row>
    <row r="64" spans="1:14" ht="14.25" customHeight="1" x14ac:dyDescent="0.3">
      <c r="A64" t="s">
        <v>216</v>
      </c>
      <c r="B64">
        <v>0.9</v>
      </c>
      <c r="C64" s="5">
        <f>Table4[[#This Row],[Jan]]*$B64</f>
        <v>28699.56</v>
      </c>
      <c r="D64" s="5">
        <f>Table4[[#This Row],[Feb]]*$B64</f>
        <v>24909.3</v>
      </c>
      <c r="E64" s="5">
        <f>Table4[[#This Row],[Mar]]*$B64</f>
        <v>24570</v>
      </c>
      <c r="F64" s="5">
        <f>Table4[[#This Row],[Apr]]*$B64</f>
        <v>21388.5</v>
      </c>
      <c r="G64" s="5">
        <f>Table4[[#This Row],[May]]*$B64</f>
        <v>19723.5</v>
      </c>
      <c r="H64" s="5">
        <f>Table4[[#This Row],[Jun]]*$B64</f>
        <v>17431.2</v>
      </c>
      <c r="I64" s="5">
        <f>Table4[[#This Row],[Jul]]*$B64</f>
        <v>19181.7</v>
      </c>
      <c r="J64" s="5">
        <f>Table4[[#This Row],[Aug]]*$B64</f>
        <v>7231.354838709678</v>
      </c>
      <c r="K64" s="5">
        <f>Table4[[#This Row],[Sep]]*$B64</f>
        <v>24780.600000000002</v>
      </c>
      <c r="L64" s="5">
        <f>Table4[[#This Row],[Oct]]*$B64</f>
        <v>28127.7</v>
      </c>
      <c r="M64" s="5">
        <f>Table4[[#This Row],[Nov]]*$B64</f>
        <v>28061.100000000002</v>
      </c>
      <c r="N64" s="5">
        <f>Table4[[#This Row],[Dec]]*$B64</f>
        <v>28703.7</v>
      </c>
    </row>
    <row r="65" spans="1:14" ht="14.25" customHeight="1" x14ac:dyDescent="0.3">
      <c r="A65" t="s">
        <v>218</v>
      </c>
      <c r="B65">
        <v>0.9</v>
      </c>
      <c r="C65" s="5">
        <f>Table4[[#This Row],[Jan]]*$B65</f>
        <v>9601.92</v>
      </c>
      <c r="D65" s="5">
        <f>Table4[[#This Row],[Feb]]*$B65</f>
        <v>8296.74</v>
      </c>
      <c r="E65" s="5">
        <f>Table4[[#This Row],[Mar]]*$B65</f>
        <v>8140.5</v>
      </c>
      <c r="F65" s="5">
        <f>Table4[[#This Row],[Apr]]*$B65</f>
        <v>7017.3</v>
      </c>
      <c r="G65" s="5">
        <f>Table4[[#This Row],[May]]*$B65</f>
        <v>6430.3200000000006</v>
      </c>
      <c r="H65" s="5">
        <f>Table4[[#This Row],[Jun]]*$B65</f>
        <v>5669.28</v>
      </c>
      <c r="I65" s="5">
        <f>Table4[[#This Row],[Jul]]*$B65</f>
        <v>6247.4400000000005</v>
      </c>
      <c r="J65" s="5">
        <f>Table4[[#This Row],[Aug]]*$B65</f>
        <v>2367.7838709677417</v>
      </c>
      <c r="K65" s="5">
        <f>Table4[[#This Row],[Sep]]*$B65</f>
        <v>8154</v>
      </c>
      <c r="L65" s="5">
        <f>Table4[[#This Row],[Oct]]*$B65</f>
        <v>9352.8000000000011</v>
      </c>
      <c r="M65" s="5">
        <f>Table4[[#This Row],[Nov]]*$B65</f>
        <v>9353.7000000000007</v>
      </c>
      <c r="N65" s="5">
        <f>Table4[[#This Row],[Dec]]*$B65</f>
        <v>9582.3000000000011</v>
      </c>
    </row>
    <row r="66" spans="1:14" ht="14.25" customHeight="1" x14ac:dyDescent="0.3">
      <c r="A66" t="s">
        <v>192</v>
      </c>
      <c r="C66" s="5">
        <f>Table4[[#This Row],[Jan]]*$B66</f>
        <v>0</v>
      </c>
      <c r="D66" s="5">
        <f>Table4[[#This Row],[Feb]]*$B66</f>
        <v>0</v>
      </c>
      <c r="E66" s="5">
        <f>Table4[[#This Row],[Mar]]*$B66</f>
        <v>0</v>
      </c>
      <c r="F66" s="5">
        <f>Table4[[#This Row],[Apr]]*$B66</f>
        <v>0</v>
      </c>
      <c r="G66" s="5">
        <f>Table4[[#This Row],[May]]*$B66</f>
        <v>0</v>
      </c>
      <c r="H66" s="5">
        <f>Table4[[#This Row],[Jun]]*$B66</f>
        <v>0</v>
      </c>
      <c r="I66" s="5">
        <f>Table4[[#This Row],[Jul]]*$B66</f>
        <v>0</v>
      </c>
      <c r="J66" s="5">
        <f>Table4[[#This Row],[Aug]]*$B66</f>
        <v>0</v>
      </c>
      <c r="K66" s="5">
        <f>Table4[[#This Row],[Sep]]*$B66</f>
        <v>0</v>
      </c>
      <c r="L66" s="5">
        <f>Table4[[#This Row],[Oct]]*$B66</f>
        <v>0</v>
      </c>
      <c r="M66" s="5">
        <f>Table4[[#This Row],[Nov]]*$B66</f>
        <v>0</v>
      </c>
      <c r="N66" s="5">
        <f>Table4[[#This Row],[Dec]]*$B66</f>
        <v>0</v>
      </c>
    </row>
    <row r="67" spans="1:14" ht="14.25" customHeight="1" x14ac:dyDescent="0.3">
      <c r="A67" t="s">
        <v>194</v>
      </c>
      <c r="B67">
        <v>0.92500000000000004</v>
      </c>
      <c r="C67" s="5">
        <f>Table4[[#This Row],[Jan]]*$B67</f>
        <v>7605.35</v>
      </c>
      <c r="D67" s="5">
        <f>Table4[[#This Row],[Feb]]*$B67</f>
        <v>6473.1500000000005</v>
      </c>
      <c r="E67" s="5">
        <f>Table4[[#This Row],[Mar]]*$B67</f>
        <v>6529.5750000000007</v>
      </c>
      <c r="F67" s="5">
        <f>Table4[[#This Row],[Apr]]*$B67</f>
        <v>5155.95</v>
      </c>
      <c r="G67" s="5">
        <f>Table4[[#This Row],[May]]*$B67</f>
        <v>4885.8500000000004</v>
      </c>
      <c r="H67" s="5">
        <f>Table4[[#This Row],[Jun]]*$B67</f>
        <v>4375.25</v>
      </c>
      <c r="I67" s="5">
        <f>Table4[[#This Row],[Jul]]*$B67</f>
        <v>4861.8</v>
      </c>
      <c r="J67" s="5">
        <f>Table4[[#This Row],[Aug]]*$B67</f>
        <v>5591.625</v>
      </c>
      <c r="K67" s="5">
        <f>Table4[[#This Row],[Sep]]*$B67</f>
        <v>6522.1750000000002</v>
      </c>
      <c r="L67" s="5">
        <f>Table4[[#This Row],[Oct]]*$B67</f>
        <v>7451.8</v>
      </c>
      <c r="M67" s="5">
        <f>Table4[[#This Row],[Nov]]*$B67</f>
        <v>7534.125</v>
      </c>
      <c r="N67" s="5">
        <f>Table4[[#This Row],[Dec]]*$B67</f>
        <v>8084.5</v>
      </c>
    </row>
    <row r="68" spans="1:14" ht="14.25" customHeight="1" x14ac:dyDescent="0.3">
      <c r="A68" t="s">
        <v>196</v>
      </c>
      <c r="B68">
        <v>0.75</v>
      </c>
      <c r="C68" s="5">
        <f>Table4[[#This Row],[Jan]]*$B68</f>
        <v>4274.1000000000004</v>
      </c>
      <c r="D68" s="5">
        <f>Table4[[#This Row],[Feb]]*$B68</f>
        <v>3810.6000000000004</v>
      </c>
      <c r="E68" s="5">
        <f>Table4[[#This Row],[Mar]]*$B68</f>
        <v>3907.2749999999996</v>
      </c>
      <c r="F68" s="5">
        <f>Table4[[#This Row],[Apr]]*$B68</f>
        <v>3268.125</v>
      </c>
      <c r="G68" s="5">
        <f>Table4[[#This Row],[May]]*$B68</f>
        <v>2929.95</v>
      </c>
      <c r="H68" s="5">
        <f>Table4[[#This Row],[Jun]]*$B68</f>
        <v>2664.75</v>
      </c>
      <c r="I68" s="5">
        <f>Table4[[#This Row],[Jul]]*$B68</f>
        <v>2851.125</v>
      </c>
      <c r="J68" s="5">
        <f>Table4[[#This Row],[Aug]]*$B68</f>
        <v>3237</v>
      </c>
      <c r="K68" s="5">
        <f>Table4[[#This Row],[Sep]]*$B68</f>
        <v>3327.75</v>
      </c>
      <c r="L68" s="5">
        <f>Table4[[#This Row],[Oct]]*$B68</f>
        <v>3775.7250000000004</v>
      </c>
      <c r="M68" s="5">
        <f>Table4[[#This Row],[Nov]]*$B68</f>
        <v>3829.5750000000003</v>
      </c>
      <c r="N68" s="5">
        <f>Table4[[#This Row],[Dec]]*$B68</f>
        <v>4315.6499999999996</v>
      </c>
    </row>
    <row r="69" spans="1:14" ht="14.25" customHeight="1" x14ac:dyDescent="0.3">
      <c r="A69" t="s">
        <v>199</v>
      </c>
      <c r="B69">
        <v>0.75</v>
      </c>
      <c r="C69" s="5">
        <f>Table4[[#This Row],[Jan]]*$B69</f>
        <v>3784.4249999999997</v>
      </c>
      <c r="D69" s="5">
        <f>Table4[[#This Row],[Feb]]*$B69</f>
        <v>3270.1499999999996</v>
      </c>
      <c r="E69" s="5">
        <f>Table4[[#This Row],[Mar]]*$B69</f>
        <v>3533.3250000000003</v>
      </c>
      <c r="F69" s="5">
        <f>Table4[[#This Row],[Apr]]*$B69</f>
        <v>3063.0749999999998</v>
      </c>
      <c r="G69" s="5">
        <f>Table4[[#This Row],[May]]*$B69</f>
        <v>3093.8250000000003</v>
      </c>
      <c r="H69" s="5">
        <f>Table4[[#This Row],[Jun]]*$B69</f>
        <v>2834.0249999999996</v>
      </c>
      <c r="I69" s="5">
        <f>Table4[[#This Row],[Jul]]*$B69</f>
        <v>3103.3500000000004</v>
      </c>
      <c r="J69" s="5">
        <f>Table4[[#This Row],[Aug]]*$B69</f>
        <v>3491.5499999999997</v>
      </c>
      <c r="K69" s="5">
        <f>Table4[[#This Row],[Sep]]*$B69</f>
        <v>3723.4500000000003</v>
      </c>
      <c r="L69" s="5">
        <f>Table4[[#This Row],[Oct]]*$B69</f>
        <v>3899.3999999999996</v>
      </c>
      <c r="M69" s="5">
        <f>Table4[[#This Row],[Nov]]*$B69</f>
        <v>3732.75</v>
      </c>
      <c r="N69" s="5">
        <f>Table4[[#This Row],[Dec]]*$B69</f>
        <v>4016.1749999999997</v>
      </c>
    </row>
    <row r="70" spans="1:14" ht="14.25" customHeight="1" x14ac:dyDescent="0.3">
      <c r="A70" t="s">
        <v>201</v>
      </c>
      <c r="B70">
        <v>0.85</v>
      </c>
      <c r="C70" s="5">
        <f>Table4[[#This Row],[Jan]]*$B70</f>
        <v>13441.985000000001</v>
      </c>
      <c r="D70" s="5">
        <f>Table4[[#This Row],[Feb]]*$B70</f>
        <v>12055.125</v>
      </c>
      <c r="E70" s="5">
        <f>Table4[[#This Row],[Mar]]*$B70</f>
        <v>12858.46</v>
      </c>
      <c r="F70" s="5">
        <f>Table4[[#This Row],[Apr]]*$B70</f>
        <v>11531.27</v>
      </c>
      <c r="G70" s="5">
        <f>Table4[[#This Row],[May]]*$B70</f>
        <v>11785.929999999998</v>
      </c>
      <c r="H70" s="5">
        <f>Table4[[#This Row],[Jun]]*$B70</f>
        <v>11018.635</v>
      </c>
      <c r="I70" s="5">
        <f>Table4[[#This Row],[Jul]]*$B70</f>
        <v>12024.27</v>
      </c>
      <c r="J70" s="5">
        <f>Table4[[#This Row],[Aug]]*$B70</f>
        <v>13262.635</v>
      </c>
      <c r="K70" s="5">
        <f>Table4[[#This Row],[Sep]]*$B70</f>
        <v>13540.33</v>
      </c>
      <c r="L70" s="5">
        <f>Table4[[#This Row],[Oct]]*$B70</f>
        <v>13925.295</v>
      </c>
      <c r="M70" s="5">
        <f>Table4[[#This Row],[Nov]]*$B70</f>
        <v>13508.37</v>
      </c>
      <c r="N70" s="5">
        <f>Table4[[#This Row],[Dec]]*$B70</f>
        <v>14234.525</v>
      </c>
    </row>
    <row r="71" spans="1:14" ht="14.25" customHeight="1" x14ac:dyDescent="0.3">
      <c r="A71" t="s">
        <v>211</v>
      </c>
      <c r="B71">
        <v>0.9</v>
      </c>
      <c r="C71" s="5">
        <f>Table4[[#This Row],[Jan]]*$B71</f>
        <v>7299.9000000000005</v>
      </c>
      <c r="D71" s="5">
        <f>Table4[[#This Row],[Feb]]*$B71</f>
        <v>6223.5</v>
      </c>
      <c r="E71" s="5">
        <f>Table4[[#This Row],[Mar]]*$B71</f>
        <v>6048.9000000000005</v>
      </c>
      <c r="F71" s="5">
        <f>Table4[[#This Row],[Apr]]*$B71</f>
        <v>5130.9000000000005</v>
      </c>
      <c r="G71" s="5">
        <f>Table4[[#This Row],[May]]*$B71</f>
        <v>4621.5</v>
      </c>
      <c r="H71" s="5">
        <f>Table4[[#This Row],[Jun]]*$B71</f>
        <v>3931.2000000000003</v>
      </c>
      <c r="I71" s="5">
        <f>Table4[[#This Row],[Jul]]*$B71</f>
        <v>4065.3</v>
      </c>
      <c r="J71" s="5">
        <f>Table4[[#This Row],[Aug]]*$B71</f>
        <v>4723.2</v>
      </c>
      <c r="K71" s="5">
        <f>Table4[[#This Row],[Sep]]*$B71</f>
        <v>5251.5</v>
      </c>
      <c r="L71" s="5">
        <f>Table4[[#This Row],[Oct]]*$B71</f>
        <v>6489.9000000000005</v>
      </c>
      <c r="M71" s="5">
        <f>Table4[[#This Row],[Nov]]*$B71</f>
        <v>6813.9000000000005</v>
      </c>
      <c r="N71" s="5">
        <f>Table4[[#This Row],[Dec]]*$B71</f>
        <v>7296.3</v>
      </c>
    </row>
    <row r="72" spans="1:14" ht="14.25" customHeight="1" x14ac:dyDescent="0.3">
      <c r="A72" t="s">
        <v>202</v>
      </c>
      <c r="B72">
        <v>0.9</v>
      </c>
      <c r="C72" s="5">
        <f>Table4[[#This Row],[Jan]]*$B72</f>
        <v>28027.8</v>
      </c>
      <c r="D72" s="5">
        <f>Table4[[#This Row],[Feb]]*$B72</f>
        <v>23853.600000000002</v>
      </c>
      <c r="E72" s="5">
        <f>Table4[[#This Row],[Mar]]*$B72</f>
        <v>24144.3</v>
      </c>
      <c r="F72" s="5">
        <f>Table4[[#This Row],[Apr]]*$B72</f>
        <v>20043</v>
      </c>
      <c r="G72" s="5">
        <f>Table4[[#This Row],[May]]*$B72</f>
        <v>19021.5</v>
      </c>
      <c r="H72" s="5">
        <f>Table4[[#This Row],[Jun]]*$B72</f>
        <v>17054.100000000002</v>
      </c>
      <c r="I72" s="5">
        <f>Table4[[#This Row],[Jul]]*$B72</f>
        <v>18900</v>
      </c>
      <c r="J72" s="5">
        <f>Table4[[#This Row],[Aug]]*$B72</f>
        <v>22066.2</v>
      </c>
      <c r="K72" s="5">
        <f>Table4[[#This Row],[Sep]]*$B72</f>
        <v>24526.799999999999</v>
      </c>
      <c r="L72" s="5">
        <f>Table4[[#This Row],[Oct]]*$B72</f>
        <v>27256.5</v>
      </c>
      <c r="M72" s="5">
        <f>Table4[[#This Row],[Nov]]*$B72</f>
        <v>26973.9</v>
      </c>
      <c r="N72" s="5">
        <f>Table4[[#This Row],[Dec]]*$B72</f>
        <v>29028.600000000002</v>
      </c>
    </row>
    <row r="73" spans="1:14" ht="14.25" customHeight="1" x14ac:dyDescent="0.3">
      <c r="A73" t="s">
        <v>206</v>
      </c>
      <c r="B73">
        <v>0.9</v>
      </c>
      <c r="C73" s="5" t="e">
        <f>Table4[[#This Row],[Jan]]*$B73</f>
        <v>#VALUE!</v>
      </c>
      <c r="D73" s="5" t="e">
        <f>Table4[[#This Row],[Feb]]*$B73</f>
        <v>#VALUE!</v>
      </c>
      <c r="E73" s="5" t="e">
        <f>Table4[[#This Row],[Mar]]*$B73</f>
        <v>#VALUE!</v>
      </c>
      <c r="F73" s="5" t="e">
        <f>Table4[[#This Row],[Apr]]*$B73</f>
        <v>#VALUE!</v>
      </c>
      <c r="G73" s="5" t="e">
        <f>Table4[[#This Row],[May]]*$B73</f>
        <v>#VALUE!</v>
      </c>
      <c r="H73" s="5" t="e">
        <f>Table4[[#This Row],[Jun]]*$B73</f>
        <v>#VALUE!</v>
      </c>
      <c r="I73" s="5" t="e">
        <f>Table4[[#This Row],[Jul]]*$B73</f>
        <v>#VALUE!</v>
      </c>
      <c r="J73" s="5" t="e">
        <f>Table4[[#This Row],[Aug]]*$B73</f>
        <v>#VALUE!</v>
      </c>
      <c r="K73" s="5" t="e">
        <f>Table4[[#This Row],[Sep]]*$B73</f>
        <v>#VALUE!</v>
      </c>
      <c r="L73" s="5" t="e">
        <f>Table4[[#This Row],[Oct]]*$B73</f>
        <v>#VALUE!</v>
      </c>
      <c r="M73" s="5" t="e">
        <f>Table4[[#This Row],[Nov]]*$B73</f>
        <v>#VALUE!</v>
      </c>
      <c r="N73" s="5" t="e">
        <f>Table4[[#This Row],[Dec]]*$B73</f>
        <v>#VALUE!</v>
      </c>
    </row>
    <row r="74" spans="1:14" ht="14.25" customHeight="1" x14ac:dyDescent="0.3">
      <c r="A74" t="s">
        <v>241</v>
      </c>
      <c r="B74">
        <v>0.9</v>
      </c>
      <c r="C74" s="5">
        <f>Table4[[#This Row],[Jan]]*$B74</f>
        <v>28380.600000000002</v>
      </c>
      <c r="D74" s="5">
        <f>Table4[[#This Row],[Feb]]*$B74</f>
        <v>24379.200000000001</v>
      </c>
      <c r="E74" s="5">
        <f>Table4[[#This Row],[Mar]]*$B74</f>
        <v>23351.4</v>
      </c>
      <c r="F74" s="5">
        <f>Table4[[#This Row],[Apr]]*$B74</f>
        <v>19887.3</v>
      </c>
      <c r="G74" s="5">
        <f>Table4[[#This Row],[May]]*$B74</f>
        <v>17745.3</v>
      </c>
      <c r="H74" s="5">
        <f>Table4[[#This Row],[Jun]]*$B74</f>
        <v>15502.5</v>
      </c>
      <c r="I74" s="5">
        <f>Table4[[#This Row],[Jul]]*$B74</f>
        <v>17358.3</v>
      </c>
      <c r="J74" s="5">
        <f>Table4[[#This Row],[Aug]]*$B74</f>
        <v>20842.2</v>
      </c>
      <c r="K74" s="5">
        <f>Table4[[#This Row],[Sep]]*$B74</f>
        <v>23841</v>
      </c>
      <c r="L74" s="5">
        <f>Table4[[#This Row],[Oct]]*$B74</f>
        <v>27285.3</v>
      </c>
      <c r="M74" s="5">
        <f>Table4[[#This Row],[Nov]]*$B74</f>
        <v>27841.5</v>
      </c>
      <c r="N74" s="5">
        <f>Table4[[#This Row],[Dec]]*$B74</f>
        <v>28779.3</v>
      </c>
    </row>
    <row r="75" spans="1:14" ht="14.25" customHeight="1" x14ac:dyDescent="0.3">
      <c r="A75" t="s">
        <v>228</v>
      </c>
      <c r="B75">
        <v>0.9</v>
      </c>
      <c r="C75" s="5">
        <f>Table4[[#This Row],[Jan]]*$B75</f>
        <v>29074.5</v>
      </c>
      <c r="D75" s="5">
        <f>Table4[[#This Row],[Feb]]*$B75</f>
        <v>26716.5</v>
      </c>
      <c r="E75" s="5">
        <f>Table4[[#This Row],[Mar]]*$B75</f>
        <v>27941.4</v>
      </c>
      <c r="F75" s="5">
        <f>Table4[[#This Row],[Apr]]*$B75</f>
        <v>25610.400000000001</v>
      </c>
      <c r="G75" s="5">
        <f>Table4[[#This Row],[May]]*$B75</f>
        <v>25802.100000000002</v>
      </c>
      <c r="H75" s="5">
        <f>Table4[[#This Row],[Jun]]*$B75</f>
        <v>23428.799999999999</v>
      </c>
      <c r="I75" s="5">
        <f>Table4[[#This Row],[Jul]]*$B75</f>
        <v>25632</v>
      </c>
      <c r="J75" s="5">
        <f>Table4[[#This Row],[Aug]]*$B75</f>
        <v>28549.8</v>
      </c>
      <c r="K75" s="5">
        <f>Table4[[#This Row],[Sep]]*$B75</f>
        <v>29561.4</v>
      </c>
      <c r="L75" s="5">
        <f>Table4[[#This Row],[Oct]]*$B75</f>
        <v>31417.200000000001</v>
      </c>
      <c r="M75" s="5">
        <f>Table4[[#This Row],[Nov]]*$B75</f>
        <v>30121.200000000001</v>
      </c>
      <c r="N75" s="5">
        <f>Table4[[#This Row],[Dec]]*$B75</f>
        <v>29445.3</v>
      </c>
    </row>
    <row r="76" spans="1:14" ht="14.25" customHeight="1" x14ac:dyDescent="0.3">
      <c r="A76" t="s">
        <v>244</v>
      </c>
      <c r="B76">
        <v>1</v>
      </c>
      <c r="C76" s="5">
        <f>Table4[[#This Row],[Jan]]*$B76</f>
        <v>20178</v>
      </c>
      <c r="D76" s="5">
        <f>Table4[[#This Row],[Feb]]*$B76</f>
        <v>17954</v>
      </c>
      <c r="E76" s="5">
        <f>Table4[[#This Row],[Mar]]*$B76</f>
        <v>19150</v>
      </c>
      <c r="F76" s="5">
        <f>Table4[[#This Row],[Apr]]*$B76</f>
        <v>18060</v>
      </c>
      <c r="G76" s="5">
        <f>Table4[[#This Row],[May]]*$B76</f>
        <v>18124</v>
      </c>
      <c r="H76" s="5">
        <f>Table4[[#This Row],[Jun]]*$B76</f>
        <v>15908</v>
      </c>
      <c r="I76" s="5">
        <f>Table4[[#This Row],[Jul]]*$B76</f>
        <v>16827</v>
      </c>
      <c r="J76" s="5">
        <f>Table4[[#This Row],[Aug]]*$B76</f>
        <v>19405</v>
      </c>
      <c r="K76" s="5">
        <f>Table4[[#This Row],[Sep]]*$B76</f>
        <v>19981</v>
      </c>
      <c r="L76" s="5">
        <f>Table4[[#This Row],[Oct]]*$B76</f>
        <v>22401</v>
      </c>
      <c r="M76" s="5">
        <f>Table4[[#This Row],[Nov]]*$B76</f>
        <v>20125</v>
      </c>
      <c r="N76" s="5">
        <f>Table4[[#This Row],[Dec]]*$B76</f>
        <v>20771</v>
      </c>
    </row>
    <row r="77" spans="1:14" x14ac:dyDescent="0.3">
      <c r="A77" t="s">
        <v>271</v>
      </c>
      <c r="B77">
        <v>0.9</v>
      </c>
      <c r="C77" s="5">
        <f>Table4[[#This Row],[Jan]]*$B77</f>
        <v>17370.900000000001</v>
      </c>
      <c r="D77" s="5">
        <f>Table4[[#This Row],[Feb]]*$B77</f>
        <v>15077.7</v>
      </c>
      <c r="E77" s="5">
        <f>Table4[[#This Row],[Mar]]*$B77</f>
        <v>14634</v>
      </c>
      <c r="F77" s="5">
        <f>Table4[[#This Row],[Apr]]*$B77</f>
        <v>12420</v>
      </c>
      <c r="G77" s="5">
        <f>Table4[[#This Row],[May]]*$B77</f>
        <v>11402.1</v>
      </c>
      <c r="H77" s="5">
        <f>Table4[[#This Row],[Jun]]*$B77</f>
        <v>9989.1</v>
      </c>
      <c r="I77" s="5">
        <f>Table4[[#This Row],[Jul]]*$B77</f>
        <v>10986.300000000001</v>
      </c>
      <c r="J77" s="5">
        <f>Table4[[#This Row],[Aug]]*$B77</f>
        <v>13108.77</v>
      </c>
      <c r="K77" s="5">
        <f>Table4[[#This Row],[Sep]]*$B77</f>
        <v>14833.17</v>
      </c>
      <c r="L77" s="5">
        <f>Table4[[#This Row],[Oct]]*$B77</f>
        <v>17053.2</v>
      </c>
      <c r="M77" s="5">
        <f>Table4[[#This Row],[Nov]]*$B77</f>
        <v>17239.5</v>
      </c>
      <c r="N77" s="5">
        <f>Table4[[#This Row],[Dec]]*$B77</f>
        <v>17465.400000000001</v>
      </c>
    </row>
    <row r="78" spans="1:14" x14ac:dyDescent="0.3">
      <c r="A78" t="s">
        <v>251</v>
      </c>
      <c r="B78">
        <v>0.9</v>
      </c>
      <c r="C78" s="5">
        <f>Table4[[#This Row],[Jan]]*$B78</f>
        <v>26451</v>
      </c>
      <c r="D78" s="5">
        <f>Table4[[#This Row],[Feb]]*$B78</f>
        <v>23215.5</v>
      </c>
      <c r="E78" s="5">
        <f>Table4[[#This Row],[Mar]]*$B78</f>
        <v>23034.600000000002</v>
      </c>
      <c r="F78" s="5">
        <f>Table4[[#This Row],[Apr]]*$B78</f>
        <v>19930.5</v>
      </c>
      <c r="G78" s="5">
        <f>Table4[[#This Row],[May]]*$B78</f>
        <v>18754.2</v>
      </c>
      <c r="H78" s="5">
        <f>Table4[[#This Row],[Jun]]*$B78</f>
        <v>16767.900000000001</v>
      </c>
      <c r="I78" s="5">
        <f>Table4[[#This Row],[Jul]]*$B78</f>
        <v>18261</v>
      </c>
      <c r="J78" s="5">
        <f>Table4[[#This Row],[Aug]]*$B78</f>
        <v>21311.100000000002</v>
      </c>
      <c r="K78" s="5">
        <f>Table4[[#This Row],[Sep]]*$B78</f>
        <v>23659.200000000001</v>
      </c>
      <c r="L78" s="5">
        <f>Table4[[#This Row],[Oct]]*$B78</f>
        <v>26865.9</v>
      </c>
      <c r="M78" s="5">
        <f>Table4[[#This Row],[Nov]]*$B78</f>
        <v>27153.9</v>
      </c>
      <c r="N78" s="5">
        <f>Table4[[#This Row],[Dec]]*$B78</f>
        <v>27402.3</v>
      </c>
    </row>
    <row r="79" spans="1:14" x14ac:dyDescent="0.3">
      <c r="A79" t="s">
        <v>250</v>
      </c>
      <c r="B79">
        <v>0.9</v>
      </c>
      <c r="C79" s="5">
        <f>Table4[[#This Row],[Jan]]*$B79</f>
        <v>28877.4</v>
      </c>
      <c r="D79" s="5">
        <f>Table4[[#This Row],[Feb]]*$B79</f>
        <v>25884.9</v>
      </c>
      <c r="E79" s="5">
        <f>Table4[[#This Row],[Mar]]*$B79</f>
        <v>27341.100000000002</v>
      </c>
      <c r="F79" s="5">
        <f>Table4[[#This Row],[Apr]]*$B79</f>
        <v>27823.5</v>
      </c>
      <c r="G79" s="5">
        <f>Table4[[#This Row],[May]]*$B79</f>
        <v>29920.5</v>
      </c>
      <c r="H79" s="5">
        <f>Table4[[#This Row],[Jun]]*$B79</f>
        <v>28644.3</v>
      </c>
      <c r="I79" s="5">
        <f>Table4[[#This Row],[Jul]]*$B79</f>
        <v>28051.200000000001</v>
      </c>
      <c r="J79" s="5">
        <f>Table4[[#This Row],[Aug]]*$B79</f>
        <v>31649.4</v>
      </c>
      <c r="K79" s="5">
        <f>Table4[[#This Row],[Sep]]*$B79</f>
        <v>28250.100000000002</v>
      </c>
      <c r="L79" s="5">
        <f>Table4[[#This Row],[Oct]]*$B79</f>
        <v>28466.100000000002</v>
      </c>
      <c r="M79" s="5">
        <f>Table4[[#This Row],[Nov]]*$B79</f>
        <v>28991.7</v>
      </c>
      <c r="N79" s="5">
        <f>Table4[[#This Row],[Dec]]*$B79</f>
        <v>28903.5</v>
      </c>
    </row>
    <row r="80" spans="1:14" x14ac:dyDescent="0.3">
      <c r="A80" t="s">
        <v>1004</v>
      </c>
      <c r="B80">
        <v>0.9</v>
      </c>
      <c r="C80">
        <f>Table4[[#This Row],[Jan]]*$B80</f>
        <v>5973.3</v>
      </c>
      <c r="D80">
        <f>Table4[[#This Row],[Feb]]*$B80</f>
        <v>5271.3</v>
      </c>
      <c r="E80">
        <f>Table4[[#This Row],[Mar]]*$B80</f>
        <v>5330.7</v>
      </c>
      <c r="F80">
        <f>Table4[[#This Row],[Apr]]*$B80</f>
        <v>4826.7</v>
      </c>
      <c r="G80">
        <f>Table4[[#This Row],[May]]*$B80</f>
        <v>4649.4000000000005</v>
      </c>
      <c r="H80">
        <f>Table4[[#This Row],[Jun]]*$B80</f>
        <v>4253.4000000000005</v>
      </c>
      <c r="I80">
        <f>Table4[[#This Row],[Jul]]*$B80</f>
        <v>4644.9000000000005</v>
      </c>
      <c r="J80">
        <f>Table4[[#This Row],[Aug]]*$B80</f>
        <v>5254.2</v>
      </c>
      <c r="K80">
        <f>Table4[[#This Row],[Sep]]*$B80</f>
        <v>5567.4000000000005</v>
      </c>
      <c r="L80">
        <f>Table4[[#This Row],[Oct]]*$B80</f>
        <v>6030.9000000000005</v>
      </c>
      <c r="M80">
        <f>Table4[[#This Row],[Nov]]*$B80</f>
        <v>5897.7</v>
      </c>
      <c r="N80">
        <f>Table4[[#This Row],[Dec]]*$B80</f>
        <v>5989.5</v>
      </c>
    </row>
  </sheetData>
  <phoneticPr fontId="4" type="noConversion"/>
  <pageMargins left="0.7" right="0.7" top="0.75" bottom="0.75"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815"/>
  <sheetViews>
    <sheetView topLeftCell="A2264" zoomScaleNormal="100" workbookViewId="0">
      <selection activeCell="A572" sqref="A572"/>
    </sheetView>
  </sheetViews>
  <sheetFormatPr defaultColWidth="8.6640625" defaultRowHeight="14.4" x14ac:dyDescent="0.3"/>
  <cols>
    <col min="1" max="1" width="31" customWidth="1"/>
    <col min="2" max="2" width="23" customWidth="1"/>
    <col min="3" max="3" width="29" customWidth="1"/>
  </cols>
  <sheetData>
    <row r="1" spans="1:3" ht="15" customHeight="1" x14ac:dyDescent="0.3">
      <c r="A1" t="s">
        <v>268</v>
      </c>
      <c r="B1" t="s">
        <v>266</v>
      </c>
      <c r="C1" t="s">
        <v>269</v>
      </c>
    </row>
    <row r="2" spans="1:3" ht="15" hidden="1" customHeight="1" x14ac:dyDescent="0.3">
      <c r="A2" t="s">
        <v>31</v>
      </c>
      <c r="B2" s="2">
        <v>45292</v>
      </c>
      <c r="C2">
        <v>2370.6</v>
      </c>
    </row>
    <row r="3" spans="1:3" ht="15" hidden="1" customHeight="1" x14ac:dyDescent="0.3">
      <c r="A3" t="s">
        <v>31</v>
      </c>
      <c r="B3" s="2">
        <v>45323</v>
      </c>
      <c r="C3">
        <v>2680.2</v>
      </c>
    </row>
    <row r="4" spans="1:3" ht="15" hidden="1" customHeight="1" x14ac:dyDescent="0.3">
      <c r="A4" t="s">
        <v>31</v>
      </c>
      <c r="B4" s="2">
        <v>45352</v>
      </c>
      <c r="C4">
        <v>2183.4</v>
      </c>
    </row>
    <row r="5" spans="1:3" ht="15" hidden="1" customHeight="1" x14ac:dyDescent="0.3">
      <c r="A5" t="s">
        <v>31</v>
      </c>
      <c r="B5" s="2">
        <v>45383</v>
      </c>
      <c r="C5">
        <v>1873.8</v>
      </c>
    </row>
    <row r="6" spans="1:3" ht="15" hidden="1" customHeight="1" x14ac:dyDescent="0.3">
      <c r="A6" t="s">
        <v>31</v>
      </c>
      <c r="B6" s="2">
        <v>45413</v>
      </c>
      <c r="C6">
        <v>1822.5</v>
      </c>
    </row>
    <row r="7" spans="1:3" ht="15" hidden="1" customHeight="1" x14ac:dyDescent="0.3">
      <c r="A7" t="s">
        <v>31</v>
      </c>
      <c r="B7" s="2">
        <v>45444</v>
      </c>
      <c r="C7">
        <v>1629</v>
      </c>
    </row>
    <row r="8" spans="1:3" ht="15" hidden="1" customHeight="1" x14ac:dyDescent="0.3">
      <c r="A8" t="s">
        <v>31</v>
      </c>
      <c r="B8" s="2">
        <v>45474</v>
      </c>
      <c r="C8">
        <v>1814.4</v>
      </c>
    </row>
    <row r="9" spans="1:3" ht="15" hidden="1" customHeight="1" x14ac:dyDescent="0.3">
      <c r="A9" t="s">
        <v>31</v>
      </c>
      <c r="B9" s="2">
        <v>45505</v>
      </c>
      <c r="C9">
        <v>2116.8000000000002</v>
      </c>
    </row>
    <row r="10" spans="1:3" ht="15" hidden="1" customHeight="1" x14ac:dyDescent="0.3">
      <c r="A10" t="s">
        <v>31</v>
      </c>
      <c r="B10" s="2">
        <v>45536</v>
      </c>
      <c r="C10">
        <v>2275.1999999999998</v>
      </c>
    </row>
    <row r="11" spans="1:3" ht="15" hidden="1" customHeight="1" x14ac:dyDescent="0.3">
      <c r="A11" t="s">
        <v>31</v>
      </c>
      <c r="B11" s="2">
        <v>45566</v>
      </c>
      <c r="C11">
        <v>2407.5</v>
      </c>
    </row>
    <row r="12" spans="1:3" ht="15" hidden="1" customHeight="1" x14ac:dyDescent="0.3">
      <c r="A12" t="s">
        <v>31</v>
      </c>
      <c r="B12" s="2">
        <v>45597</v>
      </c>
      <c r="C12">
        <v>2356.1999999999998</v>
      </c>
    </row>
    <row r="13" spans="1:3" ht="15" hidden="1" customHeight="1" x14ac:dyDescent="0.3">
      <c r="A13" t="s">
        <v>31</v>
      </c>
      <c r="B13" s="2">
        <v>45627</v>
      </c>
      <c r="C13">
        <v>2482.1999999999998</v>
      </c>
    </row>
    <row r="14" spans="1:3" ht="15" hidden="1" customHeight="1" x14ac:dyDescent="0.3">
      <c r="A14" t="s">
        <v>31</v>
      </c>
      <c r="B14" s="2">
        <v>45658</v>
      </c>
      <c r="C14">
        <v>2370.6</v>
      </c>
    </row>
    <row r="15" spans="1:3" ht="15" hidden="1" customHeight="1" x14ac:dyDescent="0.3">
      <c r="A15" t="s">
        <v>31</v>
      </c>
      <c r="B15" s="2">
        <v>45689</v>
      </c>
      <c r="C15">
        <v>2680.2</v>
      </c>
    </row>
    <row r="16" spans="1:3" ht="15" hidden="1" customHeight="1" x14ac:dyDescent="0.3">
      <c r="A16" t="s">
        <v>31</v>
      </c>
      <c r="B16" s="2">
        <v>45717</v>
      </c>
      <c r="C16">
        <v>2183.4</v>
      </c>
    </row>
    <row r="17" spans="1:3" ht="15" hidden="1" customHeight="1" x14ac:dyDescent="0.3">
      <c r="A17" t="s">
        <v>31</v>
      </c>
      <c r="B17" s="2">
        <v>45748</v>
      </c>
      <c r="C17">
        <v>1873.8</v>
      </c>
    </row>
    <row r="18" spans="1:3" ht="15" hidden="1" customHeight="1" x14ac:dyDescent="0.3">
      <c r="A18" t="s">
        <v>31</v>
      </c>
      <c r="B18" s="2">
        <v>45778</v>
      </c>
      <c r="C18">
        <v>1822.5</v>
      </c>
    </row>
    <row r="19" spans="1:3" ht="15" hidden="1" customHeight="1" x14ac:dyDescent="0.3">
      <c r="A19" t="s">
        <v>31</v>
      </c>
      <c r="B19" s="2">
        <v>45809</v>
      </c>
      <c r="C19">
        <v>1629</v>
      </c>
    </row>
    <row r="20" spans="1:3" ht="15" hidden="1" customHeight="1" x14ac:dyDescent="0.3">
      <c r="A20" t="s">
        <v>31</v>
      </c>
      <c r="B20" s="2">
        <v>45839</v>
      </c>
      <c r="C20">
        <v>1814.4</v>
      </c>
    </row>
    <row r="21" spans="1:3" ht="15" hidden="1" customHeight="1" x14ac:dyDescent="0.3">
      <c r="A21" t="s">
        <v>31</v>
      </c>
      <c r="B21" s="2">
        <v>45870</v>
      </c>
      <c r="C21">
        <v>2116.8000000000002</v>
      </c>
    </row>
    <row r="22" spans="1:3" ht="15" hidden="1" customHeight="1" x14ac:dyDescent="0.3">
      <c r="A22" t="s">
        <v>31</v>
      </c>
      <c r="B22" s="2">
        <v>45901</v>
      </c>
      <c r="C22">
        <v>2275.1999999999998</v>
      </c>
    </row>
    <row r="23" spans="1:3" ht="15" hidden="1" customHeight="1" x14ac:dyDescent="0.3">
      <c r="A23" t="s">
        <v>31</v>
      </c>
      <c r="B23" s="2">
        <v>45931</v>
      </c>
      <c r="C23">
        <v>2407.5</v>
      </c>
    </row>
    <row r="24" spans="1:3" ht="15" hidden="1" customHeight="1" x14ac:dyDescent="0.3">
      <c r="A24" t="s">
        <v>31</v>
      </c>
      <c r="B24" s="2">
        <v>45962</v>
      </c>
      <c r="C24">
        <v>2356.1999999999998</v>
      </c>
    </row>
    <row r="25" spans="1:3" ht="15" hidden="1" customHeight="1" x14ac:dyDescent="0.3">
      <c r="A25" t="s">
        <v>31</v>
      </c>
      <c r="B25" s="2">
        <v>45992</v>
      </c>
      <c r="C25">
        <v>2482.1999999999998</v>
      </c>
    </row>
    <row r="26" spans="1:3" ht="15" hidden="1" customHeight="1" x14ac:dyDescent="0.3">
      <c r="A26" t="s">
        <v>31</v>
      </c>
      <c r="B26" s="2">
        <v>46023</v>
      </c>
      <c r="C26">
        <v>2370.6</v>
      </c>
    </row>
    <row r="27" spans="1:3" ht="15" hidden="1" customHeight="1" x14ac:dyDescent="0.3">
      <c r="A27" t="s">
        <v>31</v>
      </c>
      <c r="B27" s="2">
        <v>46054</v>
      </c>
      <c r="C27">
        <v>2680.2</v>
      </c>
    </row>
    <row r="28" spans="1:3" ht="15" hidden="1" customHeight="1" x14ac:dyDescent="0.3">
      <c r="A28" t="s">
        <v>31</v>
      </c>
      <c r="B28" s="2">
        <v>46082</v>
      </c>
      <c r="C28">
        <v>2183.4</v>
      </c>
    </row>
    <row r="29" spans="1:3" ht="15" hidden="1" customHeight="1" x14ac:dyDescent="0.3">
      <c r="A29" t="s">
        <v>31</v>
      </c>
      <c r="B29" s="2">
        <v>46113</v>
      </c>
      <c r="C29">
        <v>1873.8</v>
      </c>
    </row>
    <row r="30" spans="1:3" ht="15" hidden="1" customHeight="1" x14ac:dyDescent="0.3">
      <c r="A30" t="s">
        <v>31</v>
      </c>
      <c r="B30" s="2">
        <v>46143</v>
      </c>
      <c r="C30">
        <v>1822.5</v>
      </c>
    </row>
    <row r="31" spans="1:3" ht="15" hidden="1" customHeight="1" x14ac:dyDescent="0.3">
      <c r="A31" t="s">
        <v>31</v>
      </c>
      <c r="B31" s="2">
        <v>46174</v>
      </c>
      <c r="C31">
        <v>1629</v>
      </c>
    </row>
    <row r="32" spans="1:3" ht="15" customHeight="1" x14ac:dyDescent="0.3">
      <c r="A32" t="s">
        <v>31</v>
      </c>
      <c r="B32" s="2">
        <v>46204</v>
      </c>
      <c r="C32">
        <v>1814.4</v>
      </c>
    </row>
    <row r="33" spans="1:3" ht="15" hidden="1" customHeight="1" x14ac:dyDescent="0.3">
      <c r="A33" t="s">
        <v>31</v>
      </c>
      <c r="B33" s="2">
        <v>46235</v>
      </c>
      <c r="C33">
        <v>2116.8000000000002</v>
      </c>
    </row>
    <row r="34" spans="1:3" ht="15" hidden="1" customHeight="1" x14ac:dyDescent="0.3">
      <c r="A34" t="s">
        <v>31</v>
      </c>
      <c r="B34" s="2">
        <v>46266</v>
      </c>
      <c r="C34">
        <v>2275.1999999999998</v>
      </c>
    </row>
    <row r="35" spans="1:3" ht="15" hidden="1" customHeight="1" x14ac:dyDescent="0.3">
      <c r="A35" t="s">
        <v>31</v>
      </c>
      <c r="B35" s="2">
        <v>46296</v>
      </c>
      <c r="C35">
        <v>2407.5</v>
      </c>
    </row>
    <row r="36" spans="1:3" ht="15" hidden="1" customHeight="1" x14ac:dyDescent="0.3">
      <c r="A36" t="s">
        <v>31</v>
      </c>
      <c r="B36" s="2">
        <v>46327</v>
      </c>
      <c r="C36">
        <v>2356.1999999999998</v>
      </c>
    </row>
    <row r="37" spans="1:3" ht="15" hidden="1" customHeight="1" x14ac:dyDescent="0.3">
      <c r="A37" t="s">
        <v>31</v>
      </c>
      <c r="B37" s="2">
        <v>46357</v>
      </c>
      <c r="C37">
        <v>2482.1999999999998</v>
      </c>
    </row>
    <row r="38" spans="1:3" ht="15" hidden="1" customHeight="1" x14ac:dyDescent="0.3">
      <c r="A38" t="s">
        <v>43</v>
      </c>
      <c r="B38" s="2">
        <v>45292</v>
      </c>
      <c r="C38">
        <v>22515.904999999999</v>
      </c>
    </row>
    <row r="39" spans="1:3" ht="15" hidden="1" customHeight="1" x14ac:dyDescent="0.3">
      <c r="A39" t="s">
        <v>43</v>
      </c>
      <c r="B39" s="2">
        <v>45323</v>
      </c>
      <c r="C39">
        <v>19786.13</v>
      </c>
    </row>
    <row r="40" spans="1:3" ht="15" hidden="1" customHeight="1" x14ac:dyDescent="0.3">
      <c r="A40" t="s">
        <v>43</v>
      </c>
      <c r="B40" s="2">
        <v>45352</v>
      </c>
      <c r="C40">
        <v>20148.400000000001</v>
      </c>
    </row>
    <row r="41" spans="1:3" ht="15" hidden="1" customHeight="1" x14ac:dyDescent="0.3">
      <c r="A41" t="s">
        <v>43</v>
      </c>
      <c r="B41" s="2">
        <v>45383</v>
      </c>
      <c r="C41">
        <v>16764.89</v>
      </c>
    </row>
    <row r="42" spans="1:3" ht="15" hidden="1" customHeight="1" x14ac:dyDescent="0.3">
      <c r="A42" t="s">
        <v>43</v>
      </c>
      <c r="B42" s="2">
        <v>45413</v>
      </c>
      <c r="C42">
        <v>15972.094999999999</v>
      </c>
    </row>
    <row r="43" spans="1:3" ht="15" hidden="1" customHeight="1" x14ac:dyDescent="0.3">
      <c r="A43" t="s">
        <v>43</v>
      </c>
      <c r="B43" s="2">
        <v>45444</v>
      </c>
      <c r="C43">
        <v>14367.21</v>
      </c>
    </row>
    <row r="44" spans="1:3" ht="15" hidden="1" customHeight="1" x14ac:dyDescent="0.3">
      <c r="A44" t="s">
        <v>43</v>
      </c>
      <c r="B44" s="2">
        <v>45474</v>
      </c>
      <c r="C44">
        <v>15907.665000000001</v>
      </c>
    </row>
    <row r="45" spans="1:3" ht="15" hidden="1" customHeight="1" x14ac:dyDescent="0.3">
      <c r="A45" t="s">
        <v>43</v>
      </c>
      <c r="B45" s="2">
        <v>45505</v>
      </c>
      <c r="C45">
        <v>18527.365000000002</v>
      </c>
    </row>
    <row r="46" spans="1:3" ht="15" hidden="1" customHeight="1" x14ac:dyDescent="0.3">
      <c r="A46" t="s">
        <v>43</v>
      </c>
      <c r="B46" s="2">
        <v>45536</v>
      </c>
      <c r="C46">
        <v>20404.334999999999</v>
      </c>
    </row>
    <row r="47" spans="1:3" ht="15" hidden="1" customHeight="1" x14ac:dyDescent="0.3">
      <c r="A47" t="s">
        <v>43</v>
      </c>
      <c r="B47" s="2">
        <v>45566</v>
      </c>
      <c r="C47">
        <v>22320.66</v>
      </c>
    </row>
    <row r="48" spans="1:3" ht="15" hidden="1" customHeight="1" x14ac:dyDescent="0.3">
      <c r="A48" t="s">
        <v>43</v>
      </c>
      <c r="B48" s="2">
        <v>45597</v>
      </c>
      <c r="C48">
        <v>22520.665000000001</v>
      </c>
    </row>
    <row r="49" spans="1:3" ht="15" hidden="1" customHeight="1" x14ac:dyDescent="0.3">
      <c r="A49" t="s">
        <v>43</v>
      </c>
      <c r="B49" s="2">
        <v>45627</v>
      </c>
      <c r="C49">
        <v>23777.985000000001</v>
      </c>
    </row>
    <row r="50" spans="1:3" ht="15" hidden="1" customHeight="1" x14ac:dyDescent="0.3">
      <c r="A50" t="s">
        <v>43</v>
      </c>
      <c r="B50" s="2">
        <v>45658</v>
      </c>
      <c r="C50">
        <v>22515.904999999999</v>
      </c>
    </row>
    <row r="51" spans="1:3" ht="15" hidden="1" customHeight="1" x14ac:dyDescent="0.3">
      <c r="A51" t="s">
        <v>43</v>
      </c>
      <c r="B51" s="2">
        <v>45689</v>
      </c>
      <c r="C51">
        <v>19786.13</v>
      </c>
    </row>
    <row r="52" spans="1:3" ht="15" hidden="1" customHeight="1" x14ac:dyDescent="0.3">
      <c r="A52" t="s">
        <v>43</v>
      </c>
      <c r="B52" s="2">
        <v>45717</v>
      </c>
      <c r="C52">
        <v>20148.400000000001</v>
      </c>
    </row>
    <row r="53" spans="1:3" ht="15" hidden="1" customHeight="1" x14ac:dyDescent="0.3">
      <c r="A53" t="s">
        <v>43</v>
      </c>
      <c r="B53" s="2">
        <v>45748</v>
      </c>
      <c r="C53">
        <v>16764.89</v>
      </c>
    </row>
    <row r="54" spans="1:3" ht="15" hidden="1" customHeight="1" x14ac:dyDescent="0.3">
      <c r="A54" t="s">
        <v>43</v>
      </c>
      <c r="B54" s="2">
        <v>45778</v>
      </c>
      <c r="C54">
        <v>15972.094999999999</v>
      </c>
    </row>
    <row r="55" spans="1:3" ht="15" hidden="1" customHeight="1" x14ac:dyDescent="0.3">
      <c r="A55" t="s">
        <v>43</v>
      </c>
      <c r="B55" s="2">
        <v>45809</v>
      </c>
      <c r="C55">
        <v>14367.21</v>
      </c>
    </row>
    <row r="56" spans="1:3" ht="15" hidden="1" customHeight="1" x14ac:dyDescent="0.3">
      <c r="A56" t="s">
        <v>43</v>
      </c>
      <c r="B56" s="2">
        <v>45839</v>
      </c>
      <c r="C56">
        <v>15907.665000000001</v>
      </c>
    </row>
    <row r="57" spans="1:3" ht="15" hidden="1" customHeight="1" x14ac:dyDescent="0.3">
      <c r="A57" t="s">
        <v>43</v>
      </c>
      <c r="B57" s="2">
        <v>45870</v>
      </c>
      <c r="C57">
        <v>18527.365000000002</v>
      </c>
    </row>
    <row r="58" spans="1:3" ht="15" hidden="1" customHeight="1" x14ac:dyDescent="0.3">
      <c r="A58" t="s">
        <v>43</v>
      </c>
      <c r="B58" s="2">
        <v>45901</v>
      </c>
      <c r="C58">
        <v>20404.334999999999</v>
      </c>
    </row>
    <row r="59" spans="1:3" ht="15" hidden="1" customHeight="1" x14ac:dyDescent="0.3">
      <c r="A59" t="s">
        <v>43</v>
      </c>
      <c r="B59" s="2">
        <v>45931</v>
      </c>
      <c r="C59">
        <v>22320.66</v>
      </c>
    </row>
    <row r="60" spans="1:3" ht="15" hidden="1" customHeight="1" x14ac:dyDescent="0.3">
      <c r="A60" t="s">
        <v>43</v>
      </c>
      <c r="B60" s="2">
        <v>45962</v>
      </c>
      <c r="C60">
        <v>22520.665000000001</v>
      </c>
    </row>
    <row r="61" spans="1:3" ht="15" hidden="1" customHeight="1" x14ac:dyDescent="0.3">
      <c r="A61" t="s">
        <v>43</v>
      </c>
      <c r="B61" s="2">
        <v>45992</v>
      </c>
      <c r="C61">
        <v>23777.985000000001</v>
      </c>
    </row>
    <row r="62" spans="1:3" ht="15" hidden="1" customHeight="1" x14ac:dyDescent="0.3">
      <c r="A62" t="s">
        <v>43</v>
      </c>
      <c r="B62" s="2">
        <v>46023</v>
      </c>
      <c r="C62">
        <v>22515.904999999999</v>
      </c>
    </row>
    <row r="63" spans="1:3" ht="15" hidden="1" customHeight="1" x14ac:dyDescent="0.3">
      <c r="A63" t="s">
        <v>43</v>
      </c>
      <c r="B63" s="2">
        <v>46054</v>
      </c>
      <c r="C63">
        <v>19786.13</v>
      </c>
    </row>
    <row r="64" spans="1:3" ht="15" hidden="1" customHeight="1" x14ac:dyDescent="0.3">
      <c r="A64" t="s">
        <v>43</v>
      </c>
      <c r="B64" s="2">
        <v>46082</v>
      </c>
      <c r="C64">
        <v>20148.400000000001</v>
      </c>
    </row>
    <row r="65" spans="1:3" ht="15" hidden="1" customHeight="1" x14ac:dyDescent="0.3">
      <c r="A65" t="s">
        <v>43</v>
      </c>
      <c r="B65" s="2">
        <v>46113</v>
      </c>
      <c r="C65">
        <v>16764.89</v>
      </c>
    </row>
    <row r="66" spans="1:3" ht="15" hidden="1" customHeight="1" x14ac:dyDescent="0.3">
      <c r="A66" t="s">
        <v>43</v>
      </c>
      <c r="B66" s="2">
        <v>46143</v>
      </c>
      <c r="C66">
        <v>15972.094999999999</v>
      </c>
    </row>
    <row r="67" spans="1:3" ht="15" hidden="1" customHeight="1" x14ac:dyDescent="0.3">
      <c r="A67" t="s">
        <v>43</v>
      </c>
      <c r="B67" s="2">
        <v>46174</v>
      </c>
      <c r="C67">
        <v>14367.21</v>
      </c>
    </row>
    <row r="68" spans="1:3" ht="15" customHeight="1" x14ac:dyDescent="0.3">
      <c r="A68" t="s">
        <v>43</v>
      </c>
      <c r="B68" s="2">
        <v>46204</v>
      </c>
      <c r="C68">
        <v>15907.665000000001</v>
      </c>
    </row>
    <row r="69" spans="1:3" ht="15" hidden="1" customHeight="1" x14ac:dyDescent="0.3">
      <c r="A69" t="s">
        <v>43</v>
      </c>
      <c r="B69" s="2">
        <v>46235</v>
      </c>
      <c r="C69">
        <v>18527.365000000002</v>
      </c>
    </row>
    <row r="70" spans="1:3" ht="15" hidden="1" customHeight="1" x14ac:dyDescent="0.3">
      <c r="A70" t="s">
        <v>43</v>
      </c>
      <c r="B70" s="2">
        <v>46266</v>
      </c>
      <c r="C70">
        <v>20404.334999999999</v>
      </c>
    </row>
    <row r="71" spans="1:3" ht="15" hidden="1" customHeight="1" x14ac:dyDescent="0.3">
      <c r="A71" t="s">
        <v>43</v>
      </c>
      <c r="B71" s="2">
        <v>46296</v>
      </c>
      <c r="C71">
        <v>22320.66</v>
      </c>
    </row>
    <row r="72" spans="1:3" ht="15" hidden="1" customHeight="1" x14ac:dyDescent="0.3">
      <c r="A72" t="s">
        <v>43</v>
      </c>
      <c r="B72" s="2">
        <v>46327</v>
      </c>
      <c r="C72">
        <v>22520.665000000001</v>
      </c>
    </row>
    <row r="73" spans="1:3" ht="15" hidden="1" customHeight="1" x14ac:dyDescent="0.3">
      <c r="A73" t="s">
        <v>43</v>
      </c>
      <c r="B73" s="2">
        <v>46357</v>
      </c>
      <c r="C73">
        <v>23777.985000000001</v>
      </c>
    </row>
    <row r="74" spans="1:3" ht="15" hidden="1" customHeight="1" x14ac:dyDescent="0.3">
      <c r="A74" t="s">
        <v>49</v>
      </c>
      <c r="B74" s="2">
        <v>45292</v>
      </c>
      <c r="C74">
        <v>4801.5</v>
      </c>
    </row>
    <row r="75" spans="1:3" ht="15" hidden="1" customHeight="1" x14ac:dyDescent="0.3">
      <c r="A75" t="s">
        <v>49</v>
      </c>
      <c r="B75" s="2">
        <v>45323</v>
      </c>
      <c r="C75">
        <v>4303.8</v>
      </c>
    </row>
    <row r="76" spans="1:3" ht="15" hidden="1" customHeight="1" x14ac:dyDescent="0.3">
      <c r="A76" t="s">
        <v>49</v>
      </c>
      <c r="B76" s="2">
        <v>45352</v>
      </c>
      <c r="C76">
        <v>4545.8999999999996</v>
      </c>
    </row>
    <row r="77" spans="1:3" ht="15" hidden="1" customHeight="1" x14ac:dyDescent="0.3">
      <c r="A77" t="s">
        <v>49</v>
      </c>
      <c r="B77" s="2">
        <v>45383</v>
      </c>
      <c r="C77">
        <v>4619.7</v>
      </c>
    </row>
    <row r="78" spans="1:3" ht="15" hidden="1" customHeight="1" x14ac:dyDescent="0.3">
      <c r="A78" t="s">
        <v>49</v>
      </c>
      <c r="B78" s="2">
        <v>45413</v>
      </c>
      <c r="C78">
        <v>4990.5</v>
      </c>
    </row>
    <row r="79" spans="1:3" ht="15" hidden="1" customHeight="1" x14ac:dyDescent="0.3">
      <c r="A79" t="s">
        <v>49</v>
      </c>
      <c r="B79" s="2">
        <v>45444</v>
      </c>
      <c r="C79">
        <v>4761.8999999999996</v>
      </c>
    </row>
    <row r="80" spans="1:3" ht="15" hidden="1" customHeight="1" x14ac:dyDescent="0.3">
      <c r="A80" t="s">
        <v>49</v>
      </c>
      <c r="B80" s="2">
        <v>45474</v>
      </c>
      <c r="C80">
        <v>4680.8999999999996</v>
      </c>
    </row>
    <row r="81" spans="1:3" ht="15" hidden="1" customHeight="1" x14ac:dyDescent="0.3">
      <c r="A81" t="s">
        <v>49</v>
      </c>
      <c r="B81" s="2">
        <v>45505</v>
      </c>
      <c r="C81">
        <v>5249.7</v>
      </c>
    </row>
    <row r="82" spans="1:3" ht="15" hidden="1" customHeight="1" x14ac:dyDescent="0.3">
      <c r="A82" t="s">
        <v>49</v>
      </c>
      <c r="B82" s="2">
        <v>45536</v>
      </c>
      <c r="C82">
        <v>4694.3999999999996</v>
      </c>
    </row>
    <row r="83" spans="1:3" ht="15" hidden="1" customHeight="1" x14ac:dyDescent="0.3">
      <c r="A83" t="s">
        <v>49</v>
      </c>
      <c r="B83" s="2">
        <v>45566</v>
      </c>
      <c r="C83">
        <v>4732.2</v>
      </c>
    </row>
    <row r="84" spans="1:3" ht="15" hidden="1" customHeight="1" x14ac:dyDescent="0.3">
      <c r="A84" t="s">
        <v>49</v>
      </c>
      <c r="B84" s="2">
        <v>45597</v>
      </c>
      <c r="C84">
        <v>4822.2</v>
      </c>
    </row>
    <row r="85" spans="1:3" ht="15" hidden="1" customHeight="1" x14ac:dyDescent="0.3">
      <c r="A85" t="s">
        <v>49</v>
      </c>
      <c r="B85" s="2">
        <v>45627</v>
      </c>
      <c r="C85">
        <v>4805.1000000000004</v>
      </c>
    </row>
    <row r="86" spans="1:3" ht="15" hidden="1" customHeight="1" x14ac:dyDescent="0.3">
      <c r="A86" t="s">
        <v>49</v>
      </c>
      <c r="B86" s="2">
        <v>45658</v>
      </c>
      <c r="C86">
        <v>4801.5</v>
      </c>
    </row>
    <row r="87" spans="1:3" ht="15" hidden="1" customHeight="1" x14ac:dyDescent="0.3">
      <c r="A87" t="s">
        <v>49</v>
      </c>
      <c r="B87" s="2">
        <v>45689</v>
      </c>
      <c r="C87">
        <v>4303.8</v>
      </c>
    </row>
    <row r="88" spans="1:3" ht="15" hidden="1" customHeight="1" x14ac:dyDescent="0.3">
      <c r="A88" t="s">
        <v>49</v>
      </c>
      <c r="B88" s="2">
        <v>45717</v>
      </c>
      <c r="C88">
        <v>4545.8999999999996</v>
      </c>
    </row>
    <row r="89" spans="1:3" ht="15" hidden="1" customHeight="1" x14ac:dyDescent="0.3">
      <c r="A89" t="s">
        <v>49</v>
      </c>
      <c r="B89" s="2">
        <v>45748</v>
      </c>
      <c r="C89">
        <v>4619.7</v>
      </c>
    </row>
    <row r="90" spans="1:3" ht="15" hidden="1" customHeight="1" x14ac:dyDescent="0.3">
      <c r="A90" t="s">
        <v>49</v>
      </c>
      <c r="B90" s="2">
        <v>45778</v>
      </c>
      <c r="C90">
        <v>4990.5</v>
      </c>
    </row>
    <row r="91" spans="1:3" ht="15" hidden="1" customHeight="1" x14ac:dyDescent="0.3">
      <c r="A91" t="s">
        <v>49</v>
      </c>
      <c r="B91" s="2">
        <v>45809</v>
      </c>
      <c r="C91">
        <v>4761.8999999999996</v>
      </c>
    </row>
    <row r="92" spans="1:3" ht="15" hidden="1" customHeight="1" x14ac:dyDescent="0.3">
      <c r="A92" t="s">
        <v>49</v>
      </c>
      <c r="B92" s="2">
        <v>45839</v>
      </c>
      <c r="C92">
        <v>4680.8999999999996</v>
      </c>
    </row>
    <row r="93" spans="1:3" ht="15" hidden="1" customHeight="1" x14ac:dyDescent="0.3">
      <c r="A93" t="s">
        <v>49</v>
      </c>
      <c r="B93" s="2">
        <v>45870</v>
      </c>
      <c r="C93">
        <v>5249.7</v>
      </c>
    </row>
    <row r="94" spans="1:3" ht="15" hidden="1" customHeight="1" x14ac:dyDescent="0.3">
      <c r="A94" t="s">
        <v>49</v>
      </c>
      <c r="B94" s="2">
        <v>45901</v>
      </c>
      <c r="C94">
        <v>4694.3999999999996</v>
      </c>
    </row>
    <row r="95" spans="1:3" ht="15" hidden="1" customHeight="1" x14ac:dyDescent="0.3">
      <c r="A95" t="s">
        <v>49</v>
      </c>
      <c r="B95" s="2">
        <v>45931</v>
      </c>
      <c r="C95">
        <v>4732.2</v>
      </c>
    </row>
    <row r="96" spans="1:3" ht="15" hidden="1" customHeight="1" x14ac:dyDescent="0.3">
      <c r="A96" t="s">
        <v>49</v>
      </c>
      <c r="B96" s="2">
        <v>45962</v>
      </c>
      <c r="C96">
        <v>4822.2</v>
      </c>
    </row>
    <row r="97" spans="1:3" ht="15" hidden="1" customHeight="1" x14ac:dyDescent="0.3">
      <c r="A97" t="s">
        <v>49</v>
      </c>
      <c r="B97" s="2">
        <v>45992</v>
      </c>
      <c r="C97">
        <v>4805.1000000000004</v>
      </c>
    </row>
    <row r="98" spans="1:3" ht="15" hidden="1" customHeight="1" x14ac:dyDescent="0.3">
      <c r="A98" t="s">
        <v>49</v>
      </c>
      <c r="B98" s="2">
        <v>46023</v>
      </c>
      <c r="C98">
        <v>4801.5</v>
      </c>
    </row>
    <row r="99" spans="1:3" ht="15" hidden="1" customHeight="1" x14ac:dyDescent="0.3">
      <c r="A99" t="s">
        <v>49</v>
      </c>
      <c r="B99" s="2">
        <v>46054</v>
      </c>
      <c r="C99">
        <v>4303.8</v>
      </c>
    </row>
    <row r="100" spans="1:3" ht="15" hidden="1" customHeight="1" x14ac:dyDescent="0.3">
      <c r="A100" t="s">
        <v>49</v>
      </c>
      <c r="B100" s="2">
        <v>46082</v>
      </c>
      <c r="C100">
        <v>4545.8999999999996</v>
      </c>
    </row>
    <row r="101" spans="1:3" ht="15" hidden="1" customHeight="1" x14ac:dyDescent="0.3">
      <c r="A101" t="s">
        <v>49</v>
      </c>
      <c r="B101" s="2">
        <v>46113</v>
      </c>
      <c r="C101">
        <v>4619.7</v>
      </c>
    </row>
    <row r="102" spans="1:3" ht="15" hidden="1" customHeight="1" x14ac:dyDescent="0.3">
      <c r="A102" t="s">
        <v>49</v>
      </c>
      <c r="B102" s="2">
        <v>46143</v>
      </c>
      <c r="C102">
        <v>4990.5</v>
      </c>
    </row>
    <row r="103" spans="1:3" ht="15" hidden="1" customHeight="1" x14ac:dyDescent="0.3">
      <c r="A103" t="s">
        <v>49</v>
      </c>
      <c r="B103" s="2">
        <v>46174</v>
      </c>
      <c r="C103">
        <v>4761.8999999999996</v>
      </c>
    </row>
    <row r="104" spans="1:3" ht="15" customHeight="1" x14ac:dyDescent="0.3">
      <c r="A104" t="s">
        <v>49</v>
      </c>
      <c r="B104" s="2">
        <v>46204</v>
      </c>
      <c r="C104">
        <v>4680.8999999999996</v>
      </c>
    </row>
    <row r="105" spans="1:3" ht="15" hidden="1" customHeight="1" x14ac:dyDescent="0.3">
      <c r="A105" t="s">
        <v>49</v>
      </c>
      <c r="B105" s="2">
        <v>46235</v>
      </c>
      <c r="C105">
        <v>5249.7</v>
      </c>
    </row>
    <row r="106" spans="1:3" ht="15" hidden="1" customHeight="1" x14ac:dyDescent="0.3">
      <c r="A106" t="s">
        <v>49</v>
      </c>
      <c r="B106" s="2">
        <v>46266</v>
      </c>
      <c r="C106">
        <v>4694.3999999999996</v>
      </c>
    </row>
    <row r="107" spans="1:3" ht="15" hidden="1" customHeight="1" x14ac:dyDescent="0.3">
      <c r="A107" t="s">
        <v>49</v>
      </c>
      <c r="B107" s="2">
        <v>46296</v>
      </c>
      <c r="C107">
        <v>4732.2</v>
      </c>
    </row>
    <row r="108" spans="1:3" ht="15" hidden="1" customHeight="1" x14ac:dyDescent="0.3">
      <c r="A108" t="s">
        <v>49</v>
      </c>
      <c r="B108" s="2">
        <v>46327</v>
      </c>
      <c r="C108">
        <v>4822.2</v>
      </c>
    </row>
    <row r="109" spans="1:3" ht="15" hidden="1" customHeight="1" x14ac:dyDescent="0.3">
      <c r="A109" t="s">
        <v>49</v>
      </c>
      <c r="B109" s="2">
        <v>46357</v>
      </c>
      <c r="C109">
        <v>4805.1000000000004</v>
      </c>
    </row>
    <row r="110" spans="1:3" ht="15" hidden="1" customHeight="1" x14ac:dyDescent="0.3">
      <c r="A110" t="s">
        <v>64</v>
      </c>
      <c r="B110" s="2">
        <v>45292</v>
      </c>
      <c r="C110">
        <v>8151.3</v>
      </c>
    </row>
    <row r="111" spans="1:3" ht="15" hidden="1" customHeight="1" x14ac:dyDescent="0.3">
      <c r="A111" t="s">
        <v>64</v>
      </c>
      <c r="B111" s="2">
        <v>45323</v>
      </c>
      <c r="C111">
        <v>7235.1</v>
      </c>
    </row>
    <row r="112" spans="1:3" ht="15" hidden="1" customHeight="1" x14ac:dyDescent="0.3">
      <c r="A112" t="s">
        <v>64</v>
      </c>
      <c r="B112" s="2">
        <v>45352</v>
      </c>
      <c r="C112">
        <v>7075.8</v>
      </c>
    </row>
    <row r="113" spans="1:3" ht="15" hidden="1" customHeight="1" x14ac:dyDescent="0.3">
      <c r="A113" t="s">
        <v>64</v>
      </c>
      <c r="B113" s="2">
        <v>45383</v>
      </c>
      <c r="C113">
        <v>5754.6</v>
      </c>
    </row>
    <row r="114" spans="1:3" ht="15" hidden="1" customHeight="1" x14ac:dyDescent="0.3">
      <c r="A114" t="s">
        <v>64</v>
      </c>
      <c r="B114" s="2">
        <v>45413</v>
      </c>
      <c r="C114">
        <v>5424.3</v>
      </c>
    </row>
    <row r="115" spans="1:3" ht="15" hidden="1" customHeight="1" x14ac:dyDescent="0.3">
      <c r="A115" t="s">
        <v>64</v>
      </c>
      <c r="B115" s="2">
        <v>45444</v>
      </c>
      <c r="C115">
        <v>4787.1000000000004</v>
      </c>
    </row>
    <row r="116" spans="1:3" ht="15" hidden="1" customHeight="1" x14ac:dyDescent="0.3">
      <c r="A116" t="s">
        <v>64</v>
      </c>
      <c r="B116" s="2">
        <v>45474</v>
      </c>
      <c r="C116">
        <v>5360.4</v>
      </c>
    </row>
    <row r="117" spans="1:3" ht="15" hidden="1" customHeight="1" x14ac:dyDescent="0.3">
      <c r="A117" t="s">
        <v>64</v>
      </c>
      <c r="B117" s="2">
        <v>45505</v>
      </c>
      <c r="C117">
        <v>6363</v>
      </c>
    </row>
    <row r="118" spans="1:3" ht="15" hidden="1" customHeight="1" x14ac:dyDescent="0.3">
      <c r="A118" t="s">
        <v>64</v>
      </c>
      <c r="B118" s="2">
        <v>45536</v>
      </c>
      <c r="C118">
        <v>7218.9</v>
      </c>
    </row>
    <row r="119" spans="1:3" ht="15" hidden="1" customHeight="1" x14ac:dyDescent="0.3">
      <c r="A119" t="s">
        <v>64</v>
      </c>
      <c r="B119" s="2">
        <v>45566</v>
      </c>
      <c r="C119">
        <v>7839</v>
      </c>
    </row>
    <row r="120" spans="1:3" ht="15" hidden="1" customHeight="1" x14ac:dyDescent="0.3">
      <c r="A120" t="s">
        <v>64</v>
      </c>
      <c r="B120" s="2">
        <v>45597</v>
      </c>
      <c r="C120">
        <v>8191.8</v>
      </c>
    </row>
    <row r="121" spans="1:3" ht="15" hidden="1" customHeight="1" x14ac:dyDescent="0.3">
      <c r="A121" t="s">
        <v>64</v>
      </c>
      <c r="B121" s="2">
        <v>45627</v>
      </c>
      <c r="C121">
        <v>8227.7999999999993</v>
      </c>
    </row>
    <row r="122" spans="1:3" ht="15" hidden="1" customHeight="1" x14ac:dyDescent="0.3">
      <c r="A122" t="s">
        <v>64</v>
      </c>
      <c r="B122" s="2">
        <v>45658</v>
      </c>
      <c r="C122">
        <v>8151.3</v>
      </c>
    </row>
    <row r="123" spans="1:3" ht="15" hidden="1" customHeight="1" x14ac:dyDescent="0.3">
      <c r="A123" t="s">
        <v>64</v>
      </c>
      <c r="B123" s="2">
        <v>45689</v>
      </c>
      <c r="C123">
        <v>7235.1</v>
      </c>
    </row>
    <row r="124" spans="1:3" ht="15" hidden="1" customHeight="1" x14ac:dyDescent="0.3">
      <c r="A124" t="s">
        <v>64</v>
      </c>
      <c r="B124" s="2">
        <v>45717</v>
      </c>
      <c r="C124">
        <v>7075.8</v>
      </c>
    </row>
    <row r="125" spans="1:3" ht="15" hidden="1" customHeight="1" x14ac:dyDescent="0.3">
      <c r="A125" t="s">
        <v>64</v>
      </c>
      <c r="B125" s="2">
        <v>45748</v>
      </c>
      <c r="C125">
        <v>5754.6</v>
      </c>
    </row>
    <row r="126" spans="1:3" ht="15" hidden="1" customHeight="1" x14ac:dyDescent="0.3">
      <c r="A126" t="s">
        <v>64</v>
      </c>
      <c r="B126" s="2">
        <v>45778</v>
      </c>
      <c r="C126">
        <v>5424.3</v>
      </c>
    </row>
    <row r="127" spans="1:3" ht="15" hidden="1" customHeight="1" x14ac:dyDescent="0.3">
      <c r="A127" t="s">
        <v>64</v>
      </c>
      <c r="B127" s="2">
        <v>45809</v>
      </c>
      <c r="C127">
        <v>4787.1000000000004</v>
      </c>
    </row>
    <row r="128" spans="1:3" ht="15" hidden="1" customHeight="1" x14ac:dyDescent="0.3">
      <c r="A128" t="s">
        <v>64</v>
      </c>
      <c r="B128" s="2">
        <v>45839</v>
      </c>
      <c r="C128">
        <v>5360.4</v>
      </c>
    </row>
    <row r="129" spans="1:3" ht="15" hidden="1" customHeight="1" x14ac:dyDescent="0.3">
      <c r="A129" t="s">
        <v>64</v>
      </c>
      <c r="B129" s="2">
        <v>45870</v>
      </c>
      <c r="C129">
        <v>6363</v>
      </c>
    </row>
    <row r="130" spans="1:3" ht="15" hidden="1" customHeight="1" x14ac:dyDescent="0.3">
      <c r="A130" t="s">
        <v>64</v>
      </c>
      <c r="B130" s="2">
        <v>45901</v>
      </c>
      <c r="C130">
        <v>7218.9</v>
      </c>
    </row>
    <row r="131" spans="1:3" ht="15" hidden="1" customHeight="1" x14ac:dyDescent="0.3">
      <c r="A131" t="s">
        <v>64</v>
      </c>
      <c r="B131" s="2">
        <v>45931</v>
      </c>
      <c r="C131">
        <v>7839</v>
      </c>
    </row>
    <row r="132" spans="1:3" ht="15" hidden="1" customHeight="1" x14ac:dyDescent="0.3">
      <c r="A132" t="s">
        <v>64</v>
      </c>
      <c r="B132" s="2">
        <v>45962</v>
      </c>
      <c r="C132">
        <v>8191.8</v>
      </c>
    </row>
    <row r="133" spans="1:3" ht="15" hidden="1" customHeight="1" x14ac:dyDescent="0.3">
      <c r="A133" t="s">
        <v>64</v>
      </c>
      <c r="B133" s="2">
        <v>45992</v>
      </c>
      <c r="C133">
        <v>8227.7999999999993</v>
      </c>
    </row>
    <row r="134" spans="1:3" ht="15" hidden="1" customHeight="1" x14ac:dyDescent="0.3">
      <c r="A134" t="s">
        <v>64</v>
      </c>
      <c r="B134" s="2">
        <v>46023</v>
      </c>
      <c r="C134">
        <v>8151.3</v>
      </c>
    </row>
    <row r="135" spans="1:3" ht="15" hidden="1" customHeight="1" x14ac:dyDescent="0.3">
      <c r="A135" t="s">
        <v>64</v>
      </c>
      <c r="B135" s="2">
        <v>46054</v>
      </c>
      <c r="C135">
        <v>7235.1</v>
      </c>
    </row>
    <row r="136" spans="1:3" ht="15" hidden="1" customHeight="1" x14ac:dyDescent="0.3">
      <c r="A136" t="s">
        <v>64</v>
      </c>
      <c r="B136" s="2">
        <v>46082</v>
      </c>
      <c r="C136">
        <v>7075.8</v>
      </c>
    </row>
    <row r="137" spans="1:3" ht="15" hidden="1" customHeight="1" x14ac:dyDescent="0.3">
      <c r="A137" t="s">
        <v>64</v>
      </c>
      <c r="B137" s="2">
        <v>46113</v>
      </c>
      <c r="C137">
        <v>5754.6</v>
      </c>
    </row>
    <row r="138" spans="1:3" ht="15" hidden="1" customHeight="1" x14ac:dyDescent="0.3">
      <c r="A138" t="s">
        <v>64</v>
      </c>
      <c r="B138" s="2">
        <v>46143</v>
      </c>
      <c r="C138">
        <v>5424.3</v>
      </c>
    </row>
    <row r="139" spans="1:3" ht="15" hidden="1" customHeight="1" x14ac:dyDescent="0.3">
      <c r="A139" t="s">
        <v>64</v>
      </c>
      <c r="B139" s="2">
        <v>46174</v>
      </c>
      <c r="C139">
        <v>4787.1000000000004</v>
      </c>
    </row>
    <row r="140" spans="1:3" ht="15" customHeight="1" x14ac:dyDescent="0.3">
      <c r="A140" t="s">
        <v>64</v>
      </c>
      <c r="B140" s="2">
        <v>46204</v>
      </c>
      <c r="C140">
        <v>5360.4</v>
      </c>
    </row>
    <row r="141" spans="1:3" ht="15" hidden="1" customHeight="1" x14ac:dyDescent="0.3">
      <c r="A141" t="s">
        <v>64</v>
      </c>
      <c r="B141" s="2">
        <v>46235</v>
      </c>
      <c r="C141">
        <v>6363</v>
      </c>
    </row>
    <row r="142" spans="1:3" ht="15" hidden="1" customHeight="1" x14ac:dyDescent="0.3">
      <c r="A142" t="s">
        <v>64</v>
      </c>
      <c r="B142" s="2">
        <v>46266</v>
      </c>
      <c r="C142">
        <v>7218.9</v>
      </c>
    </row>
    <row r="143" spans="1:3" ht="15" hidden="1" customHeight="1" x14ac:dyDescent="0.3">
      <c r="A143" t="s">
        <v>64</v>
      </c>
      <c r="B143" s="2">
        <v>46296</v>
      </c>
      <c r="C143">
        <v>7839</v>
      </c>
    </row>
    <row r="144" spans="1:3" ht="15" hidden="1" customHeight="1" x14ac:dyDescent="0.3">
      <c r="A144" t="s">
        <v>64</v>
      </c>
      <c r="B144" s="2">
        <v>46327</v>
      </c>
      <c r="C144">
        <v>8191.8</v>
      </c>
    </row>
    <row r="145" spans="1:3" ht="15" hidden="1" customHeight="1" x14ac:dyDescent="0.3">
      <c r="A145" t="s">
        <v>64</v>
      </c>
      <c r="B145" s="2">
        <v>46357</v>
      </c>
      <c r="C145">
        <v>8227.7999999999993</v>
      </c>
    </row>
    <row r="146" spans="1:3" ht="15" hidden="1" customHeight="1" x14ac:dyDescent="0.3">
      <c r="A146" t="s">
        <v>55</v>
      </c>
      <c r="B146" s="2">
        <v>45292</v>
      </c>
      <c r="C146">
        <v>16262.2</v>
      </c>
    </row>
    <row r="147" spans="1:3" ht="15" hidden="1" customHeight="1" x14ac:dyDescent="0.3">
      <c r="A147" t="s">
        <v>55</v>
      </c>
      <c r="B147" s="2">
        <v>45323</v>
      </c>
      <c r="C147">
        <v>13986.75</v>
      </c>
    </row>
    <row r="148" spans="1:3" ht="15" hidden="1" customHeight="1" x14ac:dyDescent="0.3">
      <c r="A148" t="s">
        <v>55</v>
      </c>
      <c r="B148" s="2">
        <v>45352</v>
      </c>
      <c r="C148">
        <v>15463.2</v>
      </c>
    </row>
    <row r="149" spans="1:3" ht="15" hidden="1" customHeight="1" x14ac:dyDescent="0.3">
      <c r="A149" t="s">
        <v>55</v>
      </c>
      <c r="B149" s="2">
        <v>45383</v>
      </c>
      <c r="C149">
        <v>14886.05</v>
      </c>
    </row>
    <row r="150" spans="1:3" ht="15" hidden="1" customHeight="1" x14ac:dyDescent="0.3">
      <c r="A150" t="s">
        <v>55</v>
      </c>
      <c r="B150" s="2">
        <v>45413</v>
      </c>
      <c r="C150">
        <v>14411.75</v>
      </c>
    </row>
    <row r="151" spans="1:3" ht="15" hidden="1" customHeight="1" x14ac:dyDescent="0.3">
      <c r="A151" t="s">
        <v>55</v>
      </c>
      <c r="B151" s="2">
        <v>45444</v>
      </c>
      <c r="C151">
        <v>13050.05</v>
      </c>
    </row>
    <row r="152" spans="1:3" ht="15" hidden="1" customHeight="1" x14ac:dyDescent="0.3">
      <c r="A152" t="s">
        <v>55</v>
      </c>
      <c r="B152" s="2">
        <v>45474</v>
      </c>
      <c r="C152">
        <v>13735.15</v>
      </c>
    </row>
    <row r="153" spans="1:3" ht="15" hidden="1" customHeight="1" x14ac:dyDescent="0.3">
      <c r="A153" t="s">
        <v>55</v>
      </c>
      <c r="B153" s="2">
        <v>45505</v>
      </c>
      <c r="C153">
        <v>15350.15</v>
      </c>
    </row>
    <row r="154" spans="1:3" ht="15" hidden="1" customHeight="1" x14ac:dyDescent="0.3">
      <c r="A154" t="s">
        <v>55</v>
      </c>
      <c r="B154" s="2">
        <v>45536</v>
      </c>
      <c r="C154">
        <v>15431.75</v>
      </c>
    </row>
    <row r="155" spans="1:3" ht="15" hidden="1" customHeight="1" x14ac:dyDescent="0.3">
      <c r="A155" t="s">
        <v>55</v>
      </c>
      <c r="B155" s="2">
        <v>45566</v>
      </c>
      <c r="C155">
        <v>14821.45</v>
      </c>
    </row>
    <row r="156" spans="1:3" ht="15" hidden="1" customHeight="1" x14ac:dyDescent="0.3">
      <c r="A156" t="s">
        <v>55</v>
      </c>
      <c r="B156" s="2">
        <v>45597</v>
      </c>
      <c r="C156">
        <v>14695.65</v>
      </c>
    </row>
    <row r="157" spans="1:3" ht="15" hidden="1" customHeight="1" x14ac:dyDescent="0.3">
      <c r="A157" t="s">
        <v>55</v>
      </c>
      <c r="B157" s="2">
        <v>45627</v>
      </c>
      <c r="C157">
        <v>16154.25</v>
      </c>
    </row>
    <row r="158" spans="1:3" ht="15" hidden="1" customHeight="1" x14ac:dyDescent="0.3">
      <c r="A158" t="s">
        <v>55</v>
      </c>
      <c r="B158" s="2">
        <v>45658</v>
      </c>
      <c r="C158">
        <v>16262.2</v>
      </c>
    </row>
    <row r="159" spans="1:3" ht="15" hidden="1" customHeight="1" x14ac:dyDescent="0.3">
      <c r="A159" t="s">
        <v>55</v>
      </c>
      <c r="B159" s="2">
        <v>45689</v>
      </c>
      <c r="C159">
        <v>13986.75</v>
      </c>
    </row>
    <row r="160" spans="1:3" ht="15" hidden="1" customHeight="1" x14ac:dyDescent="0.3">
      <c r="A160" t="s">
        <v>55</v>
      </c>
      <c r="B160" s="2">
        <v>45717</v>
      </c>
      <c r="C160">
        <v>15463.2</v>
      </c>
    </row>
    <row r="161" spans="1:3" ht="15" hidden="1" customHeight="1" x14ac:dyDescent="0.3">
      <c r="A161" t="s">
        <v>55</v>
      </c>
      <c r="B161" s="2">
        <v>45748</v>
      </c>
      <c r="C161">
        <v>14886.05</v>
      </c>
    </row>
    <row r="162" spans="1:3" ht="15" hidden="1" customHeight="1" x14ac:dyDescent="0.3">
      <c r="A162" t="s">
        <v>55</v>
      </c>
      <c r="B162" s="2">
        <v>45778</v>
      </c>
      <c r="C162">
        <v>14411.75</v>
      </c>
    </row>
    <row r="163" spans="1:3" ht="15" hidden="1" customHeight="1" x14ac:dyDescent="0.3">
      <c r="A163" t="s">
        <v>55</v>
      </c>
      <c r="B163" s="2">
        <v>45809</v>
      </c>
      <c r="C163">
        <v>13050.05</v>
      </c>
    </row>
    <row r="164" spans="1:3" ht="15" hidden="1" customHeight="1" x14ac:dyDescent="0.3">
      <c r="A164" t="s">
        <v>55</v>
      </c>
      <c r="B164" s="2">
        <v>45839</v>
      </c>
      <c r="C164">
        <v>13735.15</v>
      </c>
    </row>
    <row r="165" spans="1:3" ht="15" hidden="1" customHeight="1" x14ac:dyDescent="0.3">
      <c r="A165" t="s">
        <v>55</v>
      </c>
      <c r="B165" s="2">
        <v>45870</v>
      </c>
      <c r="C165">
        <v>15350.15</v>
      </c>
    </row>
    <row r="166" spans="1:3" ht="15" hidden="1" customHeight="1" x14ac:dyDescent="0.3">
      <c r="A166" t="s">
        <v>55</v>
      </c>
      <c r="B166" s="2">
        <v>45901</v>
      </c>
      <c r="C166">
        <v>15431.75</v>
      </c>
    </row>
    <row r="167" spans="1:3" ht="15" hidden="1" customHeight="1" x14ac:dyDescent="0.3">
      <c r="A167" t="s">
        <v>55</v>
      </c>
      <c r="B167" s="2">
        <v>45931</v>
      </c>
      <c r="C167">
        <v>14821.45</v>
      </c>
    </row>
    <row r="168" spans="1:3" ht="15" hidden="1" customHeight="1" x14ac:dyDescent="0.3">
      <c r="A168" t="s">
        <v>55</v>
      </c>
      <c r="B168" s="2">
        <v>45962</v>
      </c>
      <c r="C168">
        <v>14695.65</v>
      </c>
    </row>
    <row r="169" spans="1:3" ht="15" hidden="1" customHeight="1" x14ac:dyDescent="0.3">
      <c r="A169" t="s">
        <v>55</v>
      </c>
      <c r="B169" s="2">
        <v>45992</v>
      </c>
      <c r="C169">
        <v>16154.25</v>
      </c>
    </row>
    <row r="170" spans="1:3" ht="15" hidden="1" customHeight="1" x14ac:dyDescent="0.3">
      <c r="A170" t="s">
        <v>55</v>
      </c>
      <c r="B170" s="2">
        <v>46023</v>
      </c>
      <c r="C170">
        <v>16262.2</v>
      </c>
    </row>
    <row r="171" spans="1:3" ht="15" hidden="1" customHeight="1" x14ac:dyDescent="0.3">
      <c r="A171" t="s">
        <v>55</v>
      </c>
      <c r="B171" s="2">
        <v>46054</v>
      </c>
      <c r="C171">
        <v>13986.75</v>
      </c>
    </row>
    <row r="172" spans="1:3" ht="15" hidden="1" customHeight="1" x14ac:dyDescent="0.3">
      <c r="A172" t="s">
        <v>55</v>
      </c>
      <c r="B172" s="2">
        <v>46082</v>
      </c>
      <c r="C172">
        <v>15463.2</v>
      </c>
    </row>
    <row r="173" spans="1:3" ht="15" hidden="1" customHeight="1" x14ac:dyDescent="0.3">
      <c r="A173" t="s">
        <v>55</v>
      </c>
      <c r="B173" s="2">
        <v>46113</v>
      </c>
      <c r="C173">
        <v>14886.05</v>
      </c>
    </row>
    <row r="174" spans="1:3" ht="15" hidden="1" customHeight="1" x14ac:dyDescent="0.3">
      <c r="A174" t="s">
        <v>55</v>
      </c>
      <c r="B174" s="2">
        <v>46143</v>
      </c>
      <c r="C174">
        <v>14411.75</v>
      </c>
    </row>
    <row r="175" spans="1:3" ht="15" hidden="1" customHeight="1" x14ac:dyDescent="0.3">
      <c r="A175" t="s">
        <v>55</v>
      </c>
      <c r="B175" s="2">
        <v>46174</v>
      </c>
      <c r="C175">
        <v>13050.05</v>
      </c>
    </row>
    <row r="176" spans="1:3" ht="15" customHeight="1" x14ac:dyDescent="0.3">
      <c r="A176" t="s">
        <v>55</v>
      </c>
      <c r="B176" s="2">
        <v>46204</v>
      </c>
      <c r="C176">
        <v>13735.15</v>
      </c>
    </row>
    <row r="177" spans="1:3" ht="15" hidden="1" customHeight="1" x14ac:dyDescent="0.3">
      <c r="A177" t="s">
        <v>55</v>
      </c>
      <c r="B177" s="2">
        <v>46235</v>
      </c>
      <c r="C177">
        <v>15350.15</v>
      </c>
    </row>
    <row r="178" spans="1:3" ht="15" hidden="1" customHeight="1" x14ac:dyDescent="0.3">
      <c r="A178" t="s">
        <v>55</v>
      </c>
      <c r="B178" s="2">
        <v>46266</v>
      </c>
      <c r="C178">
        <v>15431.75</v>
      </c>
    </row>
    <row r="179" spans="1:3" ht="15" hidden="1" customHeight="1" x14ac:dyDescent="0.3">
      <c r="A179" t="s">
        <v>55</v>
      </c>
      <c r="B179" s="2">
        <v>46296</v>
      </c>
      <c r="C179">
        <v>14821.45</v>
      </c>
    </row>
    <row r="180" spans="1:3" ht="15" hidden="1" customHeight="1" x14ac:dyDescent="0.3">
      <c r="A180" t="s">
        <v>55</v>
      </c>
      <c r="B180" s="2">
        <v>46327</v>
      </c>
      <c r="C180">
        <v>14695.65</v>
      </c>
    </row>
    <row r="181" spans="1:3" ht="15" hidden="1" customHeight="1" x14ac:dyDescent="0.3">
      <c r="A181" t="s">
        <v>55</v>
      </c>
      <c r="B181" s="2">
        <v>46357</v>
      </c>
      <c r="C181">
        <v>16154.25</v>
      </c>
    </row>
    <row r="182" spans="1:3" ht="15" hidden="1" customHeight="1" x14ac:dyDescent="0.3">
      <c r="A182" t="s">
        <v>60</v>
      </c>
      <c r="B182" s="2">
        <v>45292</v>
      </c>
      <c r="C182">
        <v>51314.734709999997</v>
      </c>
    </row>
    <row r="183" spans="1:3" ht="15" hidden="1" customHeight="1" x14ac:dyDescent="0.3">
      <c r="A183" t="s">
        <v>60</v>
      </c>
      <c r="B183" s="2">
        <v>45323</v>
      </c>
      <c r="C183">
        <v>44103.290670000002</v>
      </c>
    </row>
    <row r="184" spans="1:3" ht="15" hidden="1" customHeight="1" x14ac:dyDescent="0.3">
      <c r="A184" t="s">
        <v>60</v>
      </c>
      <c r="B184" s="2">
        <v>45352</v>
      </c>
      <c r="C184">
        <v>48739.270049999999</v>
      </c>
    </row>
    <row r="185" spans="1:3" ht="15" hidden="1" customHeight="1" x14ac:dyDescent="0.3">
      <c r="A185" t="s">
        <v>60</v>
      </c>
      <c r="B185" s="2">
        <v>45383</v>
      </c>
      <c r="C185">
        <v>46849.898880000001</v>
      </c>
    </row>
    <row r="186" spans="1:3" ht="15" hidden="1" customHeight="1" x14ac:dyDescent="0.3">
      <c r="A186" t="s">
        <v>60</v>
      </c>
      <c r="B186" s="2">
        <v>45413</v>
      </c>
      <c r="C186">
        <v>45273.233339999999</v>
      </c>
    </row>
    <row r="187" spans="1:3" ht="15" hidden="1" customHeight="1" x14ac:dyDescent="0.3">
      <c r="A187" t="s">
        <v>60</v>
      </c>
      <c r="B187" s="2">
        <v>45444</v>
      </c>
      <c r="C187">
        <v>40943.971799999999</v>
      </c>
    </row>
    <row r="188" spans="1:3" ht="15" hidden="1" customHeight="1" x14ac:dyDescent="0.3">
      <c r="A188" t="s">
        <v>60</v>
      </c>
      <c r="B188" s="2">
        <v>45474</v>
      </c>
      <c r="C188">
        <v>43112.802960000001</v>
      </c>
    </row>
    <row r="189" spans="1:3" ht="15" hidden="1" customHeight="1" x14ac:dyDescent="0.3">
      <c r="A189" t="s">
        <v>60</v>
      </c>
      <c r="B189" s="2">
        <v>45505</v>
      </c>
      <c r="C189">
        <v>48266.50275</v>
      </c>
    </row>
    <row r="190" spans="1:3" ht="15" hidden="1" customHeight="1" x14ac:dyDescent="0.3">
      <c r="A190" t="s">
        <v>60</v>
      </c>
      <c r="B190" s="2">
        <v>45536</v>
      </c>
      <c r="C190">
        <v>48602.891430000003</v>
      </c>
    </row>
    <row r="191" spans="1:3" ht="15" hidden="1" customHeight="1" x14ac:dyDescent="0.3">
      <c r="A191" t="s">
        <v>60</v>
      </c>
      <c r="B191" s="2">
        <v>45566</v>
      </c>
      <c r="C191">
        <v>46748.910779999998</v>
      </c>
    </row>
    <row r="192" spans="1:3" ht="15" hidden="1" customHeight="1" x14ac:dyDescent="0.3">
      <c r="A192" t="s">
        <v>60</v>
      </c>
      <c r="B192" s="2">
        <v>45597</v>
      </c>
      <c r="C192">
        <v>46388.481570000004</v>
      </c>
    </row>
    <row r="193" spans="1:3" ht="15" hidden="1" customHeight="1" x14ac:dyDescent="0.3">
      <c r="A193" t="s">
        <v>60</v>
      </c>
      <c r="B193" s="2">
        <v>45627</v>
      </c>
      <c r="C193">
        <v>50640.311422710001</v>
      </c>
    </row>
    <row r="194" spans="1:3" ht="15" hidden="1" customHeight="1" x14ac:dyDescent="0.3">
      <c r="A194" t="s">
        <v>60</v>
      </c>
      <c r="B194" s="2">
        <v>45658</v>
      </c>
      <c r="C194">
        <v>51314.734709999997</v>
      </c>
    </row>
    <row r="195" spans="1:3" ht="15" hidden="1" customHeight="1" x14ac:dyDescent="0.3">
      <c r="A195" t="s">
        <v>60</v>
      </c>
      <c r="B195" s="2">
        <v>45689</v>
      </c>
      <c r="C195">
        <v>44103.290670000002</v>
      </c>
    </row>
    <row r="196" spans="1:3" ht="15" hidden="1" customHeight="1" x14ac:dyDescent="0.3">
      <c r="A196" t="s">
        <v>60</v>
      </c>
      <c r="B196" s="2">
        <v>45717</v>
      </c>
      <c r="C196">
        <v>48739.270049999999</v>
      </c>
    </row>
    <row r="197" spans="1:3" ht="15" hidden="1" customHeight="1" x14ac:dyDescent="0.3">
      <c r="A197" t="s">
        <v>60</v>
      </c>
      <c r="B197" s="2">
        <v>45748</v>
      </c>
      <c r="C197">
        <v>46849.898880000001</v>
      </c>
    </row>
    <row r="198" spans="1:3" ht="15" hidden="1" customHeight="1" x14ac:dyDescent="0.3">
      <c r="A198" t="s">
        <v>60</v>
      </c>
      <c r="B198" s="2">
        <v>45778</v>
      </c>
      <c r="C198">
        <v>45273.233339999999</v>
      </c>
    </row>
    <row r="199" spans="1:3" ht="15" hidden="1" customHeight="1" x14ac:dyDescent="0.3">
      <c r="A199" t="s">
        <v>60</v>
      </c>
      <c r="B199" s="2">
        <v>45809</v>
      </c>
      <c r="C199">
        <v>40943.971799999999</v>
      </c>
    </row>
    <row r="200" spans="1:3" ht="15" hidden="1" customHeight="1" x14ac:dyDescent="0.3">
      <c r="A200" t="s">
        <v>60</v>
      </c>
      <c r="B200" s="2">
        <v>45839</v>
      </c>
      <c r="C200">
        <v>43112.802960000001</v>
      </c>
    </row>
    <row r="201" spans="1:3" ht="15" hidden="1" customHeight="1" x14ac:dyDescent="0.3">
      <c r="A201" t="s">
        <v>60</v>
      </c>
      <c r="B201" s="2">
        <v>45870</v>
      </c>
      <c r="C201">
        <v>48266.50275</v>
      </c>
    </row>
    <row r="202" spans="1:3" ht="15" hidden="1" customHeight="1" x14ac:dyDescent="0.3">
      <c r="A202" t="s">
        <v>60</v>
      </c>
      <c r="B202" s="2">
        <v>45901</v>
      </c>
      <c r="C202">
        <v>48602.891430000003</v>
      </c>
    </row>
    <row r="203" spans="1:3" ht="15" hidden="1" customHeight="1" x14ac:dyDescent="0.3">
      <c r="A203" t="s">
        <v>60</v>
      </c>
      <c r="B203" s="2">
        <v>45931</v>
      </c>
      <c r="C203">
        <v>46748.910779999998</v>
      </c>
    </row>
    <row r="204" spans="1:3" ht="15" hidden="1" customHeight="1" x14ac:dyDescent="0.3">
      <c r="A204" t="s">
        <v>60</v>
      </c>
      <c r="B204" s="2">
        <v>45962</v>
      </c>
      <c r="C204">
        <v>46388.481570000004</v>
      </c>
    </row>
    <row r="205" spans="1:3" ht="15" hidden="1" customHeight="1" x14ac:dyDescent="0.3">
      <c r="A205" t="s">
        <v>60</v>
      </c>
      <c r="B205" s="2">
        <v>45992</v>
      </c>
      <c r="C205">
        <v>50640.311422710001</v>
      </c>
    </row>
    <row r="206" spans="1:3" ht="15" hidden="1" customHeight="1" x14ac:dyDescent="0.3">
      <c r="A206" t="s">
        <v>60</v>
      </c>
      <c r="B206" s="2">
        <v>46023</v>
      </c>
      <c r="C206">
        <v>51314.734709999997</v>
      </c>
    </row>
    <row r="207" spans="1:3" ht="15" hidden="1" customHeight="1" x14ac:dyDescent="0.3">
      <c r="A207" t="s">
        <v>60</v>
      </c>
      <c r="B207" s="2">
        <v>46054</v>
      </c>
      <c r="C207">
        <v>44103.290670000002</v>
      </c>
    </row>
    <row r="208" spans="1:3" ht="15" hidden="1" customHeight="1" x14ac:dyDescent="0.3">
      <c r="A208" t="s">
        <v>60</v>
      </c>
      <c r="B208" s="2">
        <v>46082</v>
      </c>
      <c r="C208">
        <v>48739.270049999999</v>
      </c>
    </row>
    <row r="209" spans="1:3" ht="15" hidden="1" customHeight="1" x14ac:dyDescent="0.3">
      <c r="A209" t="s">
        <v>60</v>
      </c>
      <c r="B209" s="2">
        <v>46113</v>
      </c>
      <c r="C209">
        <v>46849.898880000001</v>
      </c>
    </row>
    <row r="210" spans="1:3" ht="15" hidden="1" customHeight="1" x14ac:dyDescent="0.3">
      <c r="A210" t="s">
        <v>60</v>
      </c>
      <c r="B210" s="2">
        <v>46143</v>
      </c>
      <c r="C210">
        <v>45273.233339999999</v>
      </c>
    </row>
    <row r="211" spans="1:3" ht="15" hidden="1" customHeight="1" x14ac:dyDescent="0.3">
      <c r="A211" t="s">
        <v>60</v>
      </c>
      <c r="B211" s="2">
        <v>46174</v>
      </c>
      <c r="C211">
        <v>40943.971799999999</v>
      </c>
    </row>
    <row r="212" spans="1:3" ht="15" customHeight="1" x14ac:dyDescent="0.3">
      <c r="A212" t="s">
        <v>60</v>
      </c>
      <c r="B212" s="2">
        <v>46204</v>
      </c>
      <c r="C212">
        <v>43112.802960000001</v>
      </c>
    </row>
    <row r="213" spans="1:3" ht="15" hidden="1" customHeight="1" x14ac:dyDescent="0.3">
      <c r="A213" t="s">
        <v>60</v>
      </c>
      <c r="B213" s="2">
        <v>46235</v>
      </c>
      <c r="C213">
        <v>48266.50275</v>
      </c>
    </row>
    <row r="214" spans="1:3" ht="15" hidden="1" customHeight="1" x14ac:dyDescent="0.3">
      <c r="A214" t="s">
        <v>60</v>
      </c>
      <c r="B214" s="2">
        <v>46266</v>
      </c>
      <c r="C214">
        <v>48602.891430000003</v>
      </c>
    </row>
    <row r="215" spans="1:3" ht="15" hidden="1" customHeight="1" x14ac:dyDescent="0.3">
      <c r="A215" t="s">
        <v>60</v>
      </c>
      <c r="B215" s="2">
        <v>46296</v>
      </c>
      <c r="C215">
        <v>46748.910779999998</v>
      </c>
    </row>
    <row r="216" spans="1:3" ht="15" hidden="1" customHeight="1" x14ac:dyDescent="0.3">
      <c r="A216" t="s">
        <v>60</v>
      </c>
      <c r="B216" s="2">
        <v>46327</v>
      </c>
      <c r="C216">
        <v>46388.481570000004</v>
      </c>
    </row>
    <row r="217" spans="1:3" ht="15" hidden="1" customHeight="1" x14ac:dyDescent="0.3">
      <c r="A217" t="s">
        <v>60</v>
      </c>
      <c r="B217" s="2">
        <v>46357</v>
      </c>
      <c r="C217">
        <v>50640.311422710001</v>
      </c>
    </row>
    <row r="218" spans="1:3" ht="15" hidden="1" customHeight="1" x14ac:dyDescent="0.3">
      <c r="A218" t="s">
        <v>61</v>
      </c>
      <c r="B218" s="2">
        <v>45292</v>
      </c>
      <c r="C218">
        <v>13787.1</v>
      </c>
    </row>
    <row r="219" spans="1:3" ht="15" hidden="1" customHeight="1" x14ac:dyDescent="0.3">
      <c r="A219" t="s">
        <v>61</v>
      </c>
      <c r="B219" s="2">
        <v>45323</v>
      </c>
      <c r="C219">
        <v>11359.8</v>
      </c>
    </row>
    <row r="220" spans="1:3" ht="15" hidden="1" customHeight="1" x14ac:dyDescent="0.3">
      <c r="A220" t="s">
        <v>61</v>
      </c>
      <c r="B220" s="2">
        <v>45352</v>
      </c>
      <c r="C220">
        <v>10881</v>
      </c>
    </row>
    <row r="221" spans="1:3" ht="15" hidden="1" customHeight="1" x14ac:dyDescent="0.3">
      <c r="A221" t="s">
        <v>61</v>
      </c>
      <c r="B221" s="2">
        <v>45383</v>
      </c>
      <c r="C221">
        <v>7828.2</v>
      </c>
    </row>
    <row r="222" spans="1:3" ht="15" hidden="1" customHeight="1" x14ac:dyDescent="0.3">
      <c r="A222" t="s">
        <v>61</v>
      </c>
      <c r="B222" s="2">
        <v>45413</v>
      </c>
      <c r="C222">
        <v>5953.5</v>
      </c>
    </row>
    <row r="223" spans="1:3" ht="15" hidden="1" customHeight="1" x14ac:dyDescent="0.3">
      <c r="A223" t="s">
        <v>61</v>
      </c>
      <c r="B223" s="2">
        <v>45444</v>
      </c>
      <c r="C223">
        <v>5166</v>
      </c>
    </row>
    <row r="224" spans="1:3" ht="15" hidden="1" customHeight="1" x14ac:dyDescent="0.3">
      <c r="A224" t="s">
        <v>61</v>
      </c>
      <c r="B224" s="2">
        <v>45474</v>
      </c>
      <c r="C224">
        <v>5564.7</v>
      </c>
    </row>
    <row r="225" spans="1:3" ht="15" hidden="1" customHeight="1" x14ac:dyDescent="0.3">
      <c r="A225" t="s">
        <v>61</v>
      </c>
      <c r="B225" s="2">
        <v>45505</v>
      </c>
      <c r="C225">
        <v>6960.6</v>
      </c>
    </row>
    <row r="226" spans="1:3" ht="15" hidden="1" customHeight="1" x14ac:dyDescent="0.3">
      <c r="A226" t="s">
        <v>61</v>
      </c>
      <c r="B226" s="2">
        <v>45536</v>
      </c>
      <c r="C226">
        <v>8946</v>
      </c>
    </row>
    <row r="227" spans="1:3" ht="15" hidden="1" customHeight="1" x14ac:dyDescent="0.3">
      <c r="A227" t="s">
        <v>61</v>
      </c>
      <c r="B227" s="2">
        <v>45566</v>
      </c>
      <c r="C227">
        <v>11314.8</v>
      </c>
    </row>
    <row r="228" spans="1:3" ht="15" hidden="1" customHeight="1" x14ac:dyDescent="0.3">
      <c r="A228" t="s">
        <v>61</v>
      </c>
      <c r="B228" s="2">
        <v>45597</v>
      </c>
      <c r="C228">
        <v>12713.4</v>
      </c>
    </row>
    <row r="229" spans="1:3" ht="15" hidden="1" customHeight="1" x14ac:dyDescent="0.3">
      <c r="A229" t="s">
        <v>61</v>
      </c>
      <c r="B229" s="2">
        <v>45627</v>
      </c>
      <c r="C229">
        <v>13878.9</v>
      </c>
    </row>
    <row r="230" spans="1:3" ht="15" hidden="1" customHeight="1" x14ac:dyDescent="0.3">
      <c r="A230" t="s">
        <v>61</v>
      </c>
      <c r="B230" s="2">
        <v>45658</v>
      </c>
      <c r="C230">
        <v>13787.1</v>
      </c>
    </row>
    <row r="231" spans="1:3" ht="15" hidden="1" customHeight="1" x14ac:dyDescent="0.3">
      <c r="A231" t="s">
        <v>61</v>
      </c>
      <c r="B231" s="2">
        <v>45689</v>
      </c>
      <c r="C231">
        <v>11359.8</v>
      </c>
    </row>
    <row r="232" spans="1:3" ht="15" hidden="1" customHeight="1" x14ac:dyDescent="0.3">
      <c r="A232" t="s">
        <v>61</v>
      </c>
      <c r="B232" s="2">
        <v>45717</v>
      </c>
      <c r="C232">
        <v>10881</v>
      </c>
    </row>
    <row r="233" spans="1:3" ht="15" hidden="1" customHeight="1" x14ac:dyDescent="0.3">
      <c r="A233" t="s">
        <v>61</v>
      </c>
      <c r="B233" s="2">
        <v>45748</v>
      </c>
      <c r="C233">
        <v>7828.2</v>
      </c>
    </row>
    <row r="234" spans="1:3" ht="15" hidden="1" customHeight="1" x14ac:dyDescent="0.3">
      <c r="A234" t="s">
        <v>61</v>
      </c>
      <c r="B234" s="2">
        <v>45778</v>
      </c>
      <c r="C234">
        <v>5953.5</v>
      </c>
    </row>
    <row r="235" spans="1:3" ht="15" hidden="1" customHeight="1" x14ac:dyDescent="0.3">
      <c r="A235" t="s">
        <v>61</v>
      </c>
      <c r="B235" s="2">
        <v>45809</v>
      </c>
      <c r="C235">
        <v>5166</v>
      </c>
    </row>
    <row r="236" spans="1:3" ht="15" hidden="1" customHeight="1" x14ac:dyDescent="0.3">
      <c r="A236" t="s">
        <v>61</v>
      </c>
      <c r="B236" s="2">
        <v>45839</v>
      </c>
      <c r="C236">
        <v>5564.7</v>
      </c>
    </row>
    <row r="237" spans="1:3" ht="15" hidden="1" customHeight="1" x14ac:dyDescent="0.3">
      <c r="A237" t="s">
        <v>61</v>
      </c>
      <c r="B237" s="2">
        <v>45870</v>
      </c>
      <c r="C237">
        <v>6960.6</v>
      </c>
    </row>
    <row r="238" spans="1:3" ht="15" hidden="1" customHeight="1" x14ac:dyDescent="0.3">
      <c r="A238" t="s">
        <v>61</v>
      </c>
      <c r="B238" s="2">
        <v>45901</v>
      </c>
      <c r="C238">
        <v>8946</v>
      </c>
    </row>
    <row r="239" spans="1:3" ht="15" hidden="1" customHeight="1" x14ac:dyDescent="0.3">
      <c r="A239" t="s">
        <v>61</v>
      </c>
      <c r="B239" s="2">
        <v>45931</v>
      </c>
      <c r="C239">
        <v>11314.8</v>
      </c>
    </row>
    <row r="240" spans="1:3" ht="15" hidden="1" customHeight="1" x14ac:dyDescent="0.3">
      <c r="A240" t="s">
        <v>61</v>
      </c>
      <c r="B240" s="2">
        <v>45962</v>
      </c>
      <c r="C240">
        <v>12713.4</v>
      </c>
    </row>
    <row r="241" spans="1:3" ht="15" hidden="1" customHeight="1" x14ac:dyDescent="0.3">
      <c r="A241" t="s">
        <v>61</v>
      </c>
      <c r="B241" s="2">
        <v>45992</v>
      </c>
      <c r="C241">
        <v>13878.9</v>
      </c>
    </row>
    <row r="242" spans="1:3" ht="15" hidden="1" customHeight="1" x14ac:dyDescent="0.3">
      <c r="A242" t="s">
        <v>61</v>
      </c>
      <c r="B242" s="2">
        <v>46023</v>
      </c>
      <c r="C242">
        <v>13787.1</v>
      </c>
    </row>
    <row r="243" spans="1:3" ht="15" hidden="1" customHeight="1" x14ac:dyDescent="0.3">
      <c r="A243" t="s">
        <v>61</v>
      </c>
      <c r="B243" s="2">
        <v>46054</v>
      </c>
      <c r="C243">
        <v>11359.8</v>
      </c>
    </row>
    <row r="244" spans="1:3" ht="15" hidden="1" customHeight="1" x14ac:dyDescent="0.3">
      <c r="A244" t="s">
        <v>61</v>
      </c>
      <c r="B244" s="2">
        <v>46082</v>
      </c>
      <c r="C244">
        <v>10881</v>
      </c>
    </row>
    <row r="245" spans="1:3" ht="15" hidden="1" customHeight="1" x14ac:dyDescent="0.3">
      <c r="A245" t="s">
        <v>61</v>
      </c>
      <c r="B245" s="2">
        <v>46113</v>
      </c>
      <c r="C245">
        <v>7828.2</v>
      </c>
    </row>
    <row r="246" spans="1:3" ht="15" hidden="1" customHeight="1" x14ac:dyDescent="0.3">
      <c r="A246" t="s">
        <v>61</v>
      </c>
      <c r="B246" s="2">
        <v>46143</v>
      </c>
      <c r="C246">
        <v>5953.5</v>
      </c>
    </row>
    <row r="247" spans="1:3" ht="15" hidden="1" customHeight="1" x14ac:dyDescent="0.3">
      <c r="A247" t="s">
        <v>61</v>
      </c>
      <c r="B247" s="2">
        <v>46174</v>
      </c>
      <c r="C247">
        <v>5166</v>
      </c>
    </row>
    <row r="248" spans="1:3" ht="15" customHeight="1" x14ac:dyDescent="0.3">
      <c r="A248" t="s">
        <v>61</v>
      </c>
      <c r="B248" s="2">
        <v>46204</v>
      </c>
      <c r="C248">
        <v>5564.7</v>
      </c>
    </row>
    <row r="249" spans="1:3" ht="15" hidden="1" customHeight="1" x14ac:dyDescent="0.3">
      <c r="A249" t="s">
        <v>61</v>
      </c>
      <c r="B249" s="2">
        <v>46235</v>
      </c>
      <c r="C249">
        <v>6960.6</v>
      </c>
    </row>
    <row r="250" spans="1:3" ht="15" hidden="1" customHeight="1" x14ac:dyDescent="0.3">
      <c r="A250" t="s">
        <v>61</v>
      </c>
      <c r="B250" s="2">
        <v>46266</v>
      </c>
      <c r="C250">
        <v>8946</v>
      </c>
    </row>
    <row r="251" spans="1:3" ht="15" hidden="1" customHeight="1" x14ac:dyDescent="0.3">
      <c r="A251" t="s">
        <v>61</v>
      </c>
      <c r="B251" s="2">
        <v>46296</v>
      </c>
      <c r="C251">
        <v>11314.8</v>
      </c>
    </row>
    <row r="252" spans="1:3" ht="15" hidden="1" customHeight="1" x14ac:dyDescent="0.3">
      <c r="A252" t="s">
        <v>61</v>
      </c>
      <c r="B252" s="2">
        <v>46327</v>
      </c>
      <c r="C252">
        <v>12713.4</v>
      </c>
    </row>
    <row r="253" spans="1:3" ht="15" hidden="1" customHeight="1" x14ac:dyDescent="0.3">
      <c r="A253" t="s">
        <v>61</v>
      </c>
      <c r="B253" s="2">
        <v>46357</v>
      </c>
      <c r="C253">
        <v>13878.9</v>
      </c>
    </row>
    <row r="254" spans="1:3" ht="15" hidden="1" customHeight="1" x14ac:dyDescent="0.3">
      <c r="A254" t="s">
        <v>66</v>
      </c>
      <c r="B254" s="2">
        <v>45292</v>
      </c>
      <c r="C254">
        <v>2202.3000000000002</v>
      </c>
    </row>
    <row r="255" spans="1:3" ht="15" hidden="1" customHeight="1" x14ac:dyDescent="0.3">
      <c r="A255" t="s">
        <v>66</v>
      </c>
      <c r="B255" s="2">
        <v>45323</v>
      </c>
      <c r="C255">
        <v>1983.6</v>
      </c>
    </row>
    <row r="256" spans="1:3" ht="15" hidden="1" customHeight="1" x14ac:dyDescent="0.3">
      <c r="A256" t="s">
        <v>66</v>
      </c>
      <c r="B256" s="2">
        <v>45352</v>
      </c>
      <c r="C256">
        <v>2127.6</v>
      </c>
    </row>
    <row r="257" spans="1:3" ht="15" hidden="1" customHeight="1" x14ac:dyDescent="0.3">
      <c r="A257" t="s">
        <v>66</v>
      </c>
      <c r="B257" s="2">
        <v>45383</v>
      </c>
      <c r="C257">
        <v>1767.6</v>
      </c>
    </row>
    <row r="258" spans="1:3" ht="15" hidden="1" customHeight="1" x14ac:dyDescent="0.3">
      <c r="A258" t="s">
        <v>66</v>
      </c>
      <c r="B258" s="2">
        <v>45413</v>
      </c>
      <c r="C258">
        <v>1631.7</v>
      </c>
    </row>
    <row r="259" spans="1:3" ht="15" hidden="1" customHeight="1" x14ac:dyDescent="0.3">
      <c r="A259" t="s">
        <v>66</v>
      </c>
      <c r="B259" s="2">
        <v>45444</v>
      </c>
      <c r="C259">
        <v>1480.5</v>
      </c>
    </row>
    <row r="260" spans="1:3" ht="15" hidden="1" customHeight="1" x14ac:dyDescent="0.3">
      <c r="A260" t="s">
        <v>66</v>
      </c>
      <c r="B260" s="2">
        <v>45474</v>
      </c>
      <c r="C260">
        <v>1612.8</v>
      </c>
    </row>
    <row r="261" spans="1:3" ht="15" hidden="1" customHeight="1" x14ac:dyDescent="0.3">
      <c r="A261" t="s">
        <v>66</v>
      </c>
      <c r="B261" s="2">
        <v>45505</v>
      </c>
      <c r="C261">
        <v>1764</v>
      </c>
    </row>
    <row r="262" spans="1:3" ht="15" hidden="1" customHeight="1" x14ac:dyDescent="0.3">
      <c r="A262" t="s">
        <v>66</v>
      </c>
      <c r="B262" s="2">
        <v>45536</v>
      </c>
      <c r="C262">
        <v>1868.4</v>
      </c>
    </row>
    <row r="263" spans="1:3" ht="15" hidden="1" customHeight="1" x14ac:dyDescent="0.3">
      <c r="A263" t="s">
        <v>66</v>
      </c>
      <c r="B263" s="2">
        <v>45566</v>
      </c>
      <c r="C263">
        <v>1900.8</v>
      </c>
    </row>
    <row r="264" spans="1:3" ht="15" hidden="1" customHeight="1" x14ac:dyDescent="0.3">
      <c r="A264" t="s">
        <v>66</v>
      </c>
      <c r="B264" s="2">
        <v>45597</v>
      </c>
      <c r="C264">
        <v>1835.1</v>
      </c>
    </row>
    <row r="265" spans="1:3" ht="15" hidden="1" customHeight="1" x14ac:dyDescent="0.3">
      <c r="A265" t="s">
        <v>66</v>
      </c>
      <c r="B265" s="2">
        <v>45627</v>
      </c>
      <c r="C265">
        <v>1986.3</v>
      </c>
    </row>
    <row r="266" spans="1:3" ht="15" hidden="1" customHeight="1" x14ac:dyDescent="0.3">
      <c r="A266" t="s">
        <v>66</v>
      </c>
      <c r="B266" s="2">
        <v>45658</v>
      </c>
      <c r="C266">
        <v>2202.3000000000002</v>
      </c>
    </row>
    <row r="267" spans="1:3" ht="15" hidden="1" customHeight="1" x14ac:dyDescent="0.3">
      <c r="A267" t="s">
        <v>66</v>
      </c>
      <c r="B267" s="2">
        <v>45689</v>
      </c>
      <c r="C267">
        <v>1983.6</v>
      </c>
    </row>
    <row r="268" spans="1:3" ht="15" hidden="1" customHeight="1" x14ac:dyDescent="0.3">
      <c r="A268" t="s">
        <v>66</v>
      </c>
      <c r="B268" s="2">
        <v>45717</v>
      </c>
      <c r="C268">
        <v>2127.6</v>
      </c>
    </row>
    <row r="269" spans="1:3" ht="15" hidden="1" customHeight="1" x14ac:dyDescent="0.3">
      <c r="A269" t="s">
        <v>66</v>
      </c>
      <c r="B269" s="2">
        <v>45748</v>
      </c>
      <c r="C269">
        <v>1767.6</v>
      </c>
    </row>
    <row r="270" spans="1:3" ht="15" hidden="1" customHeight="1" x14ac:dyDescent="0.3">
      <c r="A270" t="s">
        <v>66</v>
      </c>
      <c r="B270" s="2">
        <v>45778</v>
      </c>
      <c r="C270">
        <v>1631.7</v>
      </c>
    </row>
    <row r="271" spans="1:3" ht="15" hidden="1" customHeight="1" x14ac:dyDescent="0.3">
      <c r="A271" t="s">
        <v>66</v>
      </c>
      <c r="B271" s="2">
        <v>45809</v>
      </c>
      <c r="C271">
        <v>1480.5</v>
      </c>
    </row>
    <row r="272" spans="1:3" ht="15" hidden="1" customHeight="1" x14ac:dyDescent="0.3">
      <c r="A272" t="s">
        <v>66</v>
      </c>
      <c r="B272" s="2">
        <v>45839</v>
      </c>
      <c r="C272">
        <v>1612.8</v>
      </c>
    </row>
    <row r="273" spans="1:3" ht="15" hidden="1" customHeight="1" x14ac:dyDescent="0.3">
      <c r="A273" t="s">
        <v>66</v>
      </c>
      <c r="B273" s="2">
        <v>45870</v>
      </c>
      <c r="C273">
        <v>1764</v>
      </c>
    </row>
    <row r="274" spans="1:3" ht="15" hidden="1" customHeight="1" x14ac:dyDescent="0.3">
      <c r="A274" t="s">
        <v>66</v>
      </c>
      <c r="B274" s="2">
        <v>45901</v>
      </c>
      <c r="C274">
        <v>1868.4</v>
      </c>
    </row>
    <row r="275" spans="1:3" ht="15" hidden="1" customHeight="1" x14ac:dyDescent="0.3">
      <c r="A275" t="s">
        <v>66</v>
      </c>
      <c r="B275" s="2">
        <v>45931</v>
      </c>
      <c r="C275">
        <v>1900.8</v>
      </c>
    </row>
    <row r="276" spans="1:3" ht="15" hidden="1" customHeight="1" x14ac:dyDescent="0.3">
      <c r="A276" t="s">
        <v>66</v>
      </c>
      <c r="B276" s="2">
        <v>45962</v>
      </c>
      <c r="C276">
        <v>1835.1</v>
      </c>
    </row>
    <row r="277" spans="1:3" ht="15" hidden="1" customHeight="1" x14ac:dyDescent="0.3">
      <c r="A277" t="s">
        <v>66</v>
      </c>
      <c r="B277" s="2">
        <v>45992</v>
      </c>
      <c r="C277">
        <v>1986.3</v>
      </c>
    </row>
    <row r="278" spans="1:3" ht="15" hidden="1" customHeight="1" x14ac:dyDescent="0.3">
      <c r="A278" t="s">
        <v>66</v>
      </c>
      <c r="B278" s="2">
        <v>46023</v>
      </c>
      <c r="C278">
        <v>2202.3000000000002</v>
      </c>
    </row>
    <row r="279" spans="1:3" ht="15" hidden="1" customHeight="1" x14ac:dyDescent="0.3">
      <c r="A279" t="s">
        <v>66</v>
      </c>
      <c r="B279" s="2">
        <v>46054</v>
      </c>
      <c r="C279">
        <v>1983.6</v>
      </c>
    </row>
    <row r="280" spans="1:3" ht="15" hidden="1" customHeight="1" x14ac:dyDescent="0.3">
      <c r="A280" t="s">
        <v>66</v>
      </c>
      <c r="B280" s="2">
        <v>46082</v>
      </c>
      <c r="C280">
        <v>2127.6</v>
      </c>
    </row>
    <row r="281" spans="1:3" ht="15" hidden="1" customHeight="1" x14ac:dyDescent="0.3">
      <c r="A281" t="s">
        <v>66</v>
      </c>
      <c r="B281" s="2">
        <v>46113</v>
      </c>
      <c r="C281">
        <v>1767.6</v>
      </c>
    </row>
    <row r="282" spans="1:3" ht="15" hidden="1" customHeight="1" x14ac:dyDescent="0.3">
      <c r="A282" t="s">
        <v>66</v>
      </c>
      <c r="B282" s="2">
        <v>46143</v>
      </c>
      <c r="C282">
        <v>1631.7</v>
      </c>
    </row>
    <row r="283" spans="1:3" ht="15" hidden="1" customHeight="1" x14ac:dyDescent="0.3">
      <c r="A283" t="s">
        <v>66</v>
      </c>
      <c r="B283" s="2">
        <v>46174</v>
      </c>
      <c r="C283">
        <v>1480.5</v>
      </c>
    </row>
    <row r="284" spans="1:3" ht="15" customHeight="1" x14ac:dyDescent="0.3">
      <c r="A284" t="s">
        <v>66</v>
      </c>
      <c r="B284" s="2">
        <v>46204</v>
      </c>
      <c r="C284">
        <v>1612.8</v>
      </c>
    </row>
    <row r="285" spans="1:3" ht="15" hidden="1" customHeight="1" x14ac:dyDescent="0.3">
      <c r="A285" t="s">
        <v>66</v>
      </c>
      <c r="B285" s="2">
        <v>46235</v>
      </c>
      <c r="C285">
        <v>1764</v>
      </c>
    </row>
    <row r="286" spans="1:3" ht="15" hidden="1" customHeight="1" x14ac:dyDescent="0.3">
      <c r="A286" t="s">
        <v>66</v>
      </c>
      <c r="B286" s="2">
        <v>46266</v>
      </c>
      <c r="C286">
        <v>1868.4</v>
      </c>
    </row>
    <row r="287" spans="1:3" ht="15" hidden="1" customHeight="1" x14ac:dyDescent="0.3">
      <c r="A287" t="s">
        <v>66</v>
      </c>
      <c r="B287" s="2">
        <v>46296</v>
      </c>
      <c r="C287">
        <v>1900.8</v>
      </c>
    </row>
    <row r="288" spans="1:3" ht="15" hidden="1" customHeight="1" x14ac:dyDescent="0.3">
      <c r="A288" t="s">
        <v>66</v>
      </c>
      <c r="B288" s="2">
        <v>46327</v>
      </c>
      <c r="C288">
        <v>1835.1</v>
      </c>
    </row>
    <row r="289" spans="1:3" ht="15" hidden="1" customHeight="1" x14ac:dyDescent="0.3">
      <c r="A289" t="s">
        <v>66</v>
      </c>
      <c r="B289" s="2">
        <v>46357</v>
      </c>
      <c r="C289">
        <v>1986.3</v>
      </c>
    </row>
    <row r="290" spans="1:3" ht="15" hidden="1" customHeight="1" x14ac:dyDescent="0.3">
      <c r="A290" t="s">
        <v>71</v>
      </c>
      <c r="B290" s="2">
        <v>45292</v>
      </c>
      <c r="C290">
        <v>26689.5</v>
      </c>
    </row>
    <row r="291" spans="1:3" ht="15" hidden="1" customHeight="1" x14ac:dyDescent="0.3">
      <c r="A291" t="s">
        <v>71</v>
      </c>
      <c r="B291" s="2">
        <v>45323</v>
      </c>
      <c r="C291">
        <v>20674.8</v>
      </c>
    </row>
    <row r="292" spans="1:3" ht="15" hidden="1" customHeight="1" x14ac:dyDescent="0.3">
      <c r="A292" t="s">
        <v>71</v>
      </c>
      <c r="B292" s="2">
        <v>45352</v>
      </c>
      <c r="C292">
        <v>20095.2</v>
      </c>
    </row>
    <row r="293" spans="1:3" ht="15" hidden="1" customHeight="1" x14ac:dyDescent="0.3">
      <c r="A293" t="s">
        <v>71</v>
      </c>
      <c r="B293" s="2">
        <v>45383</v>
      </c>
      <c r="C293">
        <v>16286.4</v>
      </c>
    </row>
    <row r="294" spans="1:3" ht="15" hidden="1" customHeight="1" x14ac:dyDescent="0.3">
      <c r="A294" t="s">
        <v>71</v>
      </c>
      <c r="B294" s="2">
        <v>45413</v>
      </c>
      <c r="C294">
        <v>13518.9</v>
      </c>
    </row>
    <row r="295" spans="1:3" ht="15" hidden="1" customHeight="1" x14ac:dyDescent="0.3">
      <c r="A295" t="s">
        <v>71</v>
      </c>
      <c r="B295" s="2">
        <v>45444</v>
      </c>
      <c r="C295">
        <v>11864.7</v>
      </c>
    </row>
    <row r="296" spans="1:3" ht="15" hidden="1" customHeight="1" x14ac:dyDescent="0.3">
      <c r="A296" t="s">
        <v>71</v>
      </c>
      <c r="B296" s="2">
        <v>45474</v>
      </c>
      <c r="C296">
        <v>13589.1</v>
      </c>
    </row>
    <row r="297" spans="1:3" ht="15" hidden="1" customHeight="1" x14ac:dyDescent="0.3">
      <c r="A297" t="s">
        <v>71</v>
      </c>
      <c r="B297" s="2">
        <v>45505</v>
      </c>
      <c r="C297">
        <v>17109</v>
      </c>
    </row>
    <row r="298" spans="1:3" ht="15" hidden="1" customHeight="1" x14ac:dyDescent="0.3">
      <c r="A298" t="s">
        <v>71</v>
      </c>
      <c r="B298" s="2">
        <v>45536</v>
      </c>
      <c r="C298">
        <v>19506.599999999999</v>
      </c>
    </row>
    <row r="299" spans="1:3" ht="15" hidden="1" customHeight="1" x14ac:dyDescent="0.3">
      <c r="A299" t="s">
        <v>71</v>
      </c>
      <c r="B299" s="2">
        <v>45566</v>
      </c>
      <c r="C299">
        <v>24081.3</v>
      </c>
    </row>
    <row r="300" spans="1:3" ht="15" hidden="1" customHeight="1" x14ac:dyDescent="0.3">
      <c r="A300" t="s">
        <v>71</v>
      </c>
      <c r="B300" s="2">
        <v>45597</v>
      </c>
      <c r="C300">
        <v>25889.4</v>
      </c>
    </row>
    <row r="301" spans="1:3" ht="15" hidden="1" customHeight="1" x14ac:dyDescent="0.3">
      <c r="A301" t="s">
        <v>71</v>
      </c>
      <c r="B301" s="2">
        <v>45627</v>
      </c>
      <c r="C301">
        <v>27992.7</v>
      </c>
    </row>
    <row r="302" spans="1:3" ht="15" hidden="1" customHeight="1" x14ac:dyDescent="0.3">
      <c r="A302" t="s">
        <v>71</v>
      </c>
      <c r="B302" s="2">
        <v>45658</v>
      </c>
      <c r="C302">
        <v>26689.5</v>
      </c>
    </row>
    <row r="303" spans="1:3" ht="15" hidden="1" customHeight="1" x14ac:dyDescent="0.3">
      <c r="A303" t="s">
        <v>71</v>
      </c>
      <c r="B303" s="2">
        <v>45689</v>
      </c>
      <c r="C303">
        <v>20674.8</v>
      </c>
    </row>
    <row r="304" spans="1:3" ht="15" hidden="1" customHeight="1" x14ac:dyDescent="0.3">
      <c r="A304" t="s">
        <v>71</v>
      </c>
      <c r="B304" s="2">
        <v>45717</v>
      </c>
      <c r="C304">
        <v>20095.2</v>
      </c>
    </row>
    <row r="305" spans="1:3" ht="15" hidden="1" customHeight="1" x14ac:dyDescent="0.3">
      <c r="A305" t="s">
        <v>71</v>
      </c>
      <c r="B305" s="2">
        <v>45748</v>
      </c>
      <c r="C305">
        <v>16286.4</v>
      </c>
    </row>
    <row r="306" spans="1:3" ht="15" hidden="1" customHeight="1" x14ac:dyDescent="0.3">
      <c r="A306" t="s">
        <v>71</v>
      </c>
      <c r="B306" s="2">
        <v>45778</v>
      </c>
      <c r="C306">
        <v>13518.9</v>
      </c>
    </row>
    <row r="307" spans="1:3" ht="15" hidden="1" customHeight="1" x14ac:dyDescent="0.3">
      <c r="A307" t="s">
        <v>71</v>
      </c>
      <c r="B307" s="2">
        <v>45809</v>
      </c>
      <c r="C307">
        <v>11864.7</v>
      </c>
    </row>
    <row r="308" spans="1:3" ht="15" hidden="1" customHeight="1" x14ac:dyDescent="0.3">
      <c r="A308" t="s">
        <v>71</v>
      </c>
      <c r="B308" s="2">
        <v>45839</v>
      </c>
      <c r="C308">
        <v>13589.1</v>
      </c>
    </row>
    <row r="309" spans="1:3" ht="15" hidden="1" customHeight="1" x14ac:dyDescent="0.3">
      <c r="A309" t="s">
        <v>71</v>
      </c>
      <c r="B309" s="2">
        <v>45870</v>
      </c>
      <c r="C309">
        <v>17109</v>
      </c>
    </row>
    <row r="310" spans="1:3" ht="15" hidden="1" customHeight="1" x14ac:dyDescent="0.3">
      <c r="A310" t="s">
        <v>71</v>
      </c>
      <c r="B310" s="2">
        <v>45901</v>
      </c>
      <c r="C310">
        <v>19506.599999999999</v>
      </c>
    </row>
    <row r="311" spans="1:3" ht="15" hidden="1" customHeight="1" x14ac:dyDescent="0.3">
      <c r="A311" t="s">
        <v>71</v>
      </c>
      <c r="B311" s="2">
        <v>45931</v>
      </c>
      <c r="C311">
        <v>24081.3</v>
      </c>
    </row>
    <row r="312" spans="1:3" ht="15" hidden="1" customHeight="1" x14ac:dyDescent="0.3">
      <c r="A312" t="s">
        <v>71</v>
      </c>
      <c r="B312" s="2">
        <v>45962</v>
      </c>
      <c r="C312">
        <v>25889.4</v>
      </c>
    </row>
    <row r="313" spans="1:3" ht="15" hidden="1" customHeight="1" x14ac:dyDescent="0.3">
      <c r="A313" t="s">
        <v>71</v>
      </c>
      <c r="B313" s="2">
        <v>45992</v>
      </c>
      <c r="C313">
        <v>27992.7</v>
      </c>
    </row>
    <row r="314" spans="1:3" ht="15" hidden="1" customHeight="1" x14ac:dyDescent="0.3">
      <c r="A314" t="s">
        <v>71</v>
      </c>
      <c r="B314" s="2">
        <v>46023</v>
      </c>
      <c r="C314">
        <v>26689.5</v>
      </c>
    </row>
    <row r="315" spans="1:3" ht="15" hidden="1" customHeight="1" x14ac:dyDescent="0.3">
      <c r="A315" t="s">
        <v>71</v>
      </c>
      <c r="B315" s="2">
        <v>46054</v>
      </c>
      <c r="C315">
        <v>20674.8</v>
      </c>
    </row>
    <row r="316" spans="1:3" ht="15" hidden="1" customHeight="1" x14ac:dyDescent="0.3">
      <c r="A316" t="s">
        <v>71</v>
      </c>
      <c r="B316" s="2">
        <v>46082</v>
      </c>
      <c r="C316">
        <v>20095.2</v>
      </c>
    </row>
    <row r="317" spans="1:3" ht="15" hidden="1" customHeight="1" x14ac:dyDescent="0.3">
      <c r="A317" t="s">
        <v>71</v>
      </c>
      <c r="B317" s="2">
        <v>46113</v>
      </c>
      <c r="C317">
        <v>16286.4</v>
      </c>
    </row>
    <row r="318" spans="1:3" ht="15" hidden="1" customHeight="1" x14ac:dyDescent="0.3">
      <c r="A318" t="s">
        <v>71</v>
      </c>
      <c r="B318" s="2">
        <v>46143</v>
      </c>
      <c r="C318">
        <v>13518.9</v>
      </c>
    </row>
    <row r="319" spans="1:3" ht="15" hidden="1" customHeight="1" x14ac:dyDescent="0.3">
      <c r="A319" t="s">
        <v>71</v>
      </c>
      <c r="B319" s="2">
        <v>46174</v>
      </c>
      <c r="C319">
        <v>11864.7</v>
      </c>
    </row>
    <row r="320" spans="1:3" ht="15" customHeight="1" x14ac:dyDescent="0.3">
      <c r="A320" t="s">
        <v>71</v>
      </c>
      <c r="B320" s="2">
        <v>46204</v>
      </c>
      <c r="C320">
        <v>13589.1</v>
      </c>
    </row>
    <row r="321" spans="1:3" ht="15" hidden="1" customHeight="1" x14ac:dyDescent="0.3">
      <c r="A321" t="s">
        <v>71</v>
      </c>
      <c r="B321" s="2">
        <v>46235</v>
      </c>
      <c r="C321">
        <v>17109</v>
      </c>
    </row>
    <row r="322" spans="1:3" ht="15" hidden="1" customHeight="1" x14ac:dyDescent="0.3">
      <c r="A322" t="s">
        <v>71</v>
      </c>
      <c r="B322" s="2">
        <v>46266</v>
      </c>
      <c r="C322">
        <v>19506.599999999999</v>
      </c>
    </row>
    <row r="323" spans="1:3" ht="15" hidden="1" customHeight="1" x14ac:dyDescent="0.3">
      <c r="A323" t="s">
        <v>71</v>
      </c>
      <c r="B323" s="2">
        <v>46296</v>
      </c>
      <c r="C323">
        <v>24081.3</v>
      </c>
    </row>
    <row r="324" spans="1:3" ht="15" hidden="1" customHeight="1" x14ac:dyDescent="0.3">
      <c r="A324" t="s">
        <v>71</v>
      </c>
      <c r="B324" s="2">
        <v>46327</v>
      </c>
      <c r="C324">
        <v>25889.4</v>
      </c>
    </row>
    <row r="325" spans="1:3" ht="15" hidden="1" customHeight="1" x14ac:dyDescent="0.3">
      <c r="A325" t="s">
        <v>71</v>
      </c>
      <c r="B325" s="2">
        <v>46357</v>
      </c>
      <c r="C325">
        <v>27992.7</v>
      </c>
    </row>
    <row r="326" spans="1:3" ht="15" hidden="1" customHeight="1" x14ac:dyDescent="0.3">
      <c r="A326" t="s">
        <v>77</v>
      </c>
      <c r="B326" s="2">
        <v>45292</v>
      </c>
      <c r="C326">
        <v>21105</v>
      </c>
    </row>
    <row r="327" spans="1:3" ht="15" hidden="1" customHeight="1" x14ac:dyDescent="0.3">
      <c r="A327" t="s">
        <v>77</v>
      </c>
      <c r="B327" s="2">
        <v>45323</v>
      </c>
      <c r="C327">
        <v>18220.5</v>
      </c>
    </row>
    <row r="328" spans="1:3" ht="15" hidden="1" customHeight="1" x14ac:dyDescent="0.3">
      <c r="A328" t="s">
        <v>77</v>
      </c>
      <c r="B328" s="2">
        <v>45352</v>
      </c>
      <c r="C328">
        <v>18368.099999999999</v>
      </c>
    </row>
    <row r="329" spans="1:3" ht="15" hidden="1" customHeight="1" x14ac:dyDescent="0.3">
      <c r="A329" t="s">
        <v>77</v>
      </c>
      <c r="B329" s="2">
        <v>45383</v>
      </c>
      <c r="C329">
        <v>15103.8</v>
      </c>
    </row>
    <row r="330" spans="1:3" ht="15" hidden="1" customHeight="1" x14ac:dyDescent="0.3">
      <c r="A330" t="s">
        <v>77</v>
      </c>
      <c r="B330" s="2">
        <v>45413</v>
      </c>
      <c r="C330">
        <v>14130</v>
      </c>
    </row>
    <row r="331" spans="1:3" ht="15" hidden="1" customHeight="1" x14ac:dyDescent="0.3">
      <c r="A331" t="s">
        <v>77</v>
      </c>
      <c r="B331" s="2">
        <v>45444</v>
      </c>
      <c r="C331">
        <v>12619.8</v>
      </c>
    </row>
    <row r="332" spans="1:3" ht="15" hidden="1" customHeight="1" x14ac:dyDescent="0.3">
      <c r="A332" t="s">
        <v>77</v>
      </c>
      <c r="B332" s="2">
        <v>45474</v>
      </c>
      <c r="C332">
        <v>14002.2</v>
      </c>
    </row>
    <row r="333" spans="1:3" ht="15" hidden="1" customHeight="1" x14ac:dyDescent="0.3">
      <c r="A333" t="s">
        <v>77</v>
      </c>
      <c r="B333" s="2">
        <v>45505</v>
      </c>
      <c r="C333">
        <v>16641.900000000001</v>
      </c>
    </row>
    <row r="334" spans="1:3" ht="15" hidden="1" customHeight="1" x14ac:dyDescent="0.3">
      <c r="A334" t="s">
        <v>77</v>
      </c>
      <c r="B334" s="2">
        <v>45536</v>
      </c>
      <c r="C334">
        <v>18626.400000000001</v>
      </c>
    </row>
    <row r="335" spans="1:3" ht="15" hidden="1" customHeight="1" x14ac:dyDescent="0.3">
      <c r="A335" t="s">
        <v>77</v>
      </c>
      <c r="B335" s="2">
        <v>45566</v>
      </c>
      <c r="C335">
        <v>20503.8</v>
      </c>
    </row>
    <row r="336" spans="1:3" ht="15" hidden="1" customHeight="1" x14ac:dyDescent="0.3">
      <c r="A336" t="s">
        <v>77</v>
      </c>
      <c r="B336" s="2">
        <v>45597</v>
      </c>
      <c r="C336">
        <v>20601</v>
      </c>
    </row>
    <row r="337" spans="1:3" ht="15" hidden="1" customHeight="1" x14ac:dyDescent="0.3">
      <c r="A337" t="s">
        <v>77</v>
      </c>
      <c r="B337" s="2">
        <v>45627</v>
      </c>
      <c r="C337">
        <v>22024.799999999999</v>
      </c>
    </row>
    <row r="338" spans="1:3" ht="15" hidden="1" customHeight="1" x14ac:dyDescent="0.3">
      <c r="A338" t="s">
        <v>77</v>
      </c>
      <c r="B338" s="2">
        <v>45658</v>
      </c>
      <c r="C338">
        <v>21105</v>
      </c>
    </row>
    <row r="339" spans="1:3" ht="15" hidden="1" customHeight="1" x14ac:dyDescent="0.3">
      <c r="A339" t="s">
        <v>77</v>
      </c>
      <c r="B339" s="2">
        <v>45689</v>
      </c>
      <c r="C339">
        <v>18220.5</v>
      </c>
    </row>
    <row r="340" spans="1:3" ht="15" hidden="1" customHeight="1" x14ac:dyDescent="0.3">
      <c r="A340" t="s">
        <v>77</v>
      </c>
      <c r="B340" s="2">
        <v>45717</v>
      </c>
      <c r="C340">
        <v>18368.099999999999</v>
      </c>
    </row>
    <row r="341" spans="1:3" ht="15" hidden="1" customHeight="1" x14ac:dyDescent="0.3">
      <c r="A341" t="s">
        <v>77</v>
      </c>
      <c r="B341" s="2">
        <v>45748</v>
      </c>
      <c r="C341">
        <v>15103.8</v>
      </c>
    </row>
    <row r="342" spans="1:3" ht="15" hidden="1" customHeight="1" x14ac:dyDescent="0.3">
      <c r="A342" t="s">
        <v>77</v>
      </c>
      <c r="B342" s="2">
        <v>45778</v>
      </c>
      <c r="C342">
        <v>14130</v>
      </c>
    </row>
    <row r="343" spans="1:3" ht="15" hidden="1" customHeight="1" x14ac:dyDescent="0.3">
      <c r="A343" t="s">
        <v>77</v>
      </c>
      <c r="B343" s="2">
        <v>45809</v>
      </c>
      <c r="C343">
        <v>12619.8</v>
      </c>
    </row>
    <row r="344" spans="1:3" ht="15" hidden="1" customHeight="1" x14ac:dyDescent="0.3">
      <c r="A344" t="s">
        <v>77</v>
      </c>
      <c r="B344" s="2">
        <v>45839</v>
      </c>
      <c r="C344">
        <v>14002.2</v>
      </c>
    </row>
    <row r="345" spans="1:3" ht="15" hidden="1" customHeight="1" x14ac:dyDescent="0.3">
      <c r="A345" t="s">
        <v>77</v>
      </c>
      <c r="B345" s="2">
        <v>45870</v>
      </c>
      <c r="C345">
        <v>16641.900000000001</v>
      </c>
    </row>
    <row r="346" spans="1:3" ht="15" hidden="1" customHeight="1" x14ac:dyDescent="0.3">
      <c r="A346" t="s">
        <v>77</v>
      </c>
      <c r="B346" s="2">
        <v>45901</v>
      </c>
      <c r="C346">
        <v>18626.400000000001</v>
      </c>
    </row>
    <row r="347" spans="1:3" ht="15" hidden="1" customHeight="1" x14ac:dyDescent="0.3">
      <c r="A347" t="s">
        <v>77</v>
      </c>
      <c r="B347" s="2">
        <v>45931</v>
      </c>
      <c r="C347">
        <v>20503.8</v>
      </c>
    </row>
    <row r="348" spans="1:3" ht="15" hidden="1" customHeight="1" x14ac:dyDescent="0.3">
      <c r="A348" t="s">
        <v>77</v>
      </c>
      <c r="B348" s="2">
        <v>45962</v>
      </c>
      <c r="C348">
        <v>20601</v>
      </c>
    </row>
    <row r="349" spans="1:3" ht="15" hidden="1" customHeight="1" x14ac:dyDescent="0.3">
      <c r="A349" t="s">
        <v>77</v>
      </c>
      <c r="B349" s="2">
        <v>45992</v>
      </c>
      <c r="C349">
        <v>22024.799999999999</v>
      </c>
    </row>
    <row r="350" spans="1:3" ht="15" hidden="1" customHeight="1" x14ac:dyDescent="0.3">
      <c r="A350" t="s">
        <v>77</v>
      </c>
      <c r="B350" s="2">
        <v>46023</v>
      </c>
      <c r="C350">
        <v>21105</v>
      </c>
    </row>
    <row r="351" spans="1:3" ht="15" hidden="1" customHeight="1" x14ac:dyDescent="0.3">
      <c r="A351" t="s">
        <v>77</v>
      </c>
      <c r="B351" s="2">
        <v>46054</v>
      </c>
      <c r="C351">
        <v>18220.5</v>
      </c>
    </row>
    <row r="352" spans="1:3" ht="15" hidden="1" customHeight="1" x14ac:dyDescent="0.3">
      <c r="A352" t="s">
        <v>77</v>
      </c>
      <c r="B352" s="2">
        <v>46082</v>
      </c>
      <c r="C352">
        <v>18368.099999999999</v>
      </c>
    </row>
    <row r="353" spans="1:3" ht="15" hidden="1" customHeight="1" x14ac:dyDescent="0.3">
      <c r="A353" t="s">
        <v>77</v>
      </c>
      <c r="B353" s="2">
        <v>46113</v>
      </c>
      <c r="C353">
        <v>15103.8</v>
      </c>
    </row>
    <row r="354" spans="1:3" ht="15" hidden="1" customHeight="1" x14ac:dyDescent="0.3">
      <c r="A354" t="s">
        <v>77</v>
      </c>
      <c r="B354" s="2">
        <v>46143</v>
      </c>
      <c r="C354">
        <v>14130</v>
      </c>
    </row>
    <row r="355" spans="1:3" ht="15" hidden="1" customHeight="1" x14ac:dyDescent="0.3">
      <c r="A355" t="s">
        <v>77</v>
      </c>
      <c r="B355" s="2">
        <v>46174</v>
      </c>
      <c r="C355">
        <v>12619.8</v>
      </c>
    </row>
    <row r="356" spans="1:3" ht="15" customHeight="1" x14ac:dyDescent="0.3">
      <c r="A356" t="s">
        <v>77</v>
      </c>
      <c r="B356" s="2">
        <v>46204</v>
      </c>
      <c r="C356">
        <v>14002.2</v>
      </c>
    </row>
    <row r="357" spans="1:3" ht="15" hidden="1" customHeight="1" x14ac:dyDescent="0.3">
      <c r="A357" t="s">
        <v>77</v>
      </c>
      <c r="B357" s="2">
        <v>46235</v>
      </c>
      <c r="C357">
        <v>16641.900000000001</v>
      </c>
    </row>
    <row r="358" spans="1:3" ht="15" hidden="1" customHeight="1" x14ac:dyDescent="0.3">
      <c r="A358" t="s">
        <v>77</v>
      </c>
      <c r="B358" s="2">
        <v>46266</v>
      </c>
      <c r="C358">
        <v>18626.400000000001</v>
      </c>
    </row>
    <row r="359" spans="1:3" ht="15" hidden="1" customHeight="1" x14ac:dyDescent="0.3">
      <c r="A359" t="s">
        <v>77</v>
      </c>
      <c r="B359" s="2">
        <v>46296</v>
      </c>
      <c r="C359">
        <v>20503.8</v>
      </c>
    </row>
    <row r="360" spans="1:3" ht="15" hidden="1" customHeight="1" x14ac:dyDescent="0.3">
      <c r="A360" t="s">
        <v>77</v>
      </c>
      <c r="B360" s="2">
        <v>46327</v>
      </c>
      <c r="C360">
        <v>20601</v>
      </c>
    </row>
    <row r="361" spans="1:3" ht="15" hidden="1" customHeight="1" x14ac:dyDescent="0.3">
      <c r="A361" t="s">
        <v>77</v>
      </c>
      <c r="B361" s="2">
        <v>46357</v>
      </c>
      <c r="C361">
        <v>22024.799999999999</v>
      </c>
    </row>
    <row r="362" spans="1:3" ht="15" hidden="1" customHeight="1" x14ac:dyDescent="0.3">
      <c r="A362" t="s">
        <v>80</v>
      </c>
      <c r="B362" s="2">
        <v>45292</v>
      </c>
      <c r="C362">
        <v>21105</v>
      </c>
    </row>
    <row r="363" spans="1:3" ht="15" hidden="1" customHeight="1" x14ac:dyDescent="0.3">
      <c r="A363" t="s">
        <v>80</v>
      </c>
      <c r="B363" s="2">
        <v>45323</v>
      </c>
      <c r="C363">
        <v>18220.5</v>
      </c>
    </row>
    <row r="364" spans="1:3" ht="15" hidden="1" customHeight="1" x14ac:dyDescent="0.3">
      <c r="A364" t="s">
        <v>80</v>
      </c>
      <c r="B364" s="2">
        <v>45352</v>
      </c>
      <c r="C364">
        <v>18368.099999999999</v>
      </c>
    </row>
    <row r="365" spans="1:3" ht="15" hidden="1" customHeight="1" x14ac:dyDescent="0.3">
      <c r="A365" t="s">
        <v>80</v>
      </c>
      <c r="B365" s="2">
        <v>45383</v>
      </c>
      <c r="C365">
        <v>15103.8</v>
      </c>
    </row>
    <row r="366" spans="1:3" ht="15" hidden="1" customHeight="1" x14ac:dyDescent="0.3">
      <c r="A366" t="s">
        <v>80</v>
      </c>
      <c r="B366" s="2">
        <v>45413</v>
      </c>
      <c r="C366">
        <v>14130</v>
      </c>
    </row>
    <row r="367" spans="1:3" ht="15" hidden="1" customHeight="1" x14ac:dyDescent="0.3">
      <c r="A367" t="s">
        <v>80</v>
      </c>
      <c r="B367" s="2">
        <v>45444</v>
      </c>
      <c r="C367">
        <v>12619.8</v>
      </c>
    </row>
    <row r="368" spans="1:3" ht="15" hidden="1" customHeight="1" x14ac:dyDescent="0.3">
      <c r="A368" t="s">
        <v>80</v>
      </c>
      <c r="B368" s="2">
        <v>45474</v>
      </c>
      <c r="C368">
        <v>14002.2</v>
      </c>
    </row>
    <row r="369" spans="1:3" ht="15" hidden="1" customHeight="1" x14ac:dyDescent="0.3">
      <c r="A369" t="s">
        <v>80</v>
      </c>
      <c r="B369" s="2">
        <v>45505</v>
      </c>
      <c r="C369">
        <v>16641.900000000001</v>
      </c>
    </row>
    <row r="370" spans="1:3" ht="15" hidden="1" customHeight="1" x14ac:dyDescent="0.3">
      <c r="A370" t="s">
        <v>80</v>
      </c>
      <c r="B370" s="2">
        <v>45536</v>
      </c>
      <c r="C370">
        <v>18626.400000000001</v>
      </c>
    </row>
    <row r="371" spans="1:3" ht="15" hidden="1" customHeight="1" x14ac:dyDescent="0.3">
      <c r="A371" t="s">
        <v>80</v>
      </c>
      <c r="B371" s="2">
        <v>45566</v>
      </c>
      <c r="C371">
        <v>20503.8</v>
      </c>
    </row>
    <row r="372" spans="1:3" ht="15" hidden="1" customHeight="1" x14ac:dyDescent="0.3">
      <c r="A372" t="s">
        <v>80</v>
      </c>
      <c r="B372" s="2">
        <v>45597</v>
      </c>
      <c r="C372">
        <v>20601</v>
      </c>
    </row>
    <row r="373" spans="1:3" ht="15" hidden="1" customHeight="1" x14ac:dyDescent="0.3">
      <c r="A373" t="s">
        <v>80</v>
      </c>
      <c r="B373" s="2">
        <v>45627</v>
      </c>
      <c r="C373">
        <v>22024.799999999999</v>
      </c>
    </row>
    <row r="374" spans="1:3" ht="15" hidden="1" customHeight="1" x14ac:dyDescent="0.3">
      <c r="A374" t="s">
        <v>80</v>
      </c>
      <c r="B374" s="2">
        <v>45658</v>
      </c>
      <c r="C374">
        <v>21105</v>
      </c>
    </row>
    <row r="375" spans="1:3" ht="15" hidden="1" customHeight="1" x14ac:dyDescent="0.3">
      <c r="A375" t="s">
        <v>80</v>
      </c>
      <c r="B375" s="2">
        <v>45689</v>
      </c>
      <c r="C375">
        <v>18220.5</v>
      </c>
    </row>
    <row r="376" spans="1:3" ht="15" hidden="1" customHeight="1" x14ac:dyDescent="0.3">
      <c r="A376" t="s">
        <v>80</v>
      </c>
      <c r="B376" s="2">
        <v>45717</v>
      </c>
      <c r="C376">
        <v>18368.099999999999</v>
      </c>
    </row>
    <row r="377" spans="1:3" ht="15" hidden="1" customHeight="1" x14ac:dyDescent="0.3">
      <c r="A377" t="s">
        <v>80</v>
      </c>
      <c r="B377" s="2">
        <v>45748</v>
      </c>
      <c r="C377">
        <v>15103.8</v>
      </c>
    </row>
    <row r="378" spans="1:3" ht="15" hidden="1" customHeight="1" x14ac:dyDescent="0.3">
      <c r="A378" t="s">
        <v>80</v>
      </c>
      <c r="B378" s="2">
        <v>45778</v>
      </c>
      <c r="C378">
        <v>14130</v>
      </c>
    </row>
    <row r="379" spans="1:3" ht="15" hidden="1" customHeight="1" x14ac:dyDescent="0.3">
      <c r="A379" t="s">
        <v>80</v>
      </c>
      <c r="B379" s="2">
        <v>45809</v>
      </c>
      <c r="C379">
        <v>12619.8</v>
      </c>
    </row>
    <row r="380" spans="1:3" ht="15" hidden="1" customHeight="1" x14ac:dyDescent="0.3">
      <c r="A380" t="s">
        <v>80</v>
      </c>
      <c r="B380" s="2">
        <v>45839</v>
      </c>
      <c r="C380">
        <v>14002.2</v>
      </c>
    </row>
    <row r="381" spans="1:3" ht="15" hidden="1" customHeight="1" x14ac:dyDescent="0.3">
      <c r="A381" t="s">
        <v>80</v>
      </c>
      <c r="B381" s="2">
        <v>45870</v>
      </c>
      <c r="C381">
        <v>16641.900000000001</v>
      </c>
    </row>
    <row r="382" spans="1:3" ht="15" hidden="1" customHeight="1" x14ac:dyDescent="0.3">
      <c r="A382" t="s">
        <v>80</v>
      </c>
      <c r="B382" s="2">
        <v>45901</v>
      </c>
      <c r="C382">
        <v>18626.400000000001</v>
      </c>
    </row>
    <row r="383" spans="1:3" ht="15" hidden="1" customHeight="1" x14ac:dyDescent="0.3">
      <c r="A383" t="s">
        <v>80</v>
      </c>
      <c r="B383" s="2">
        <v>45931</v>
      </c>
      <c r="C383">
        <v>20503.8</v>
      </c>
    </row>
    <row r="384" spans="1:3" ht="15" hidden="1" customHeight="1" x14ac:dyDescent="0.3">
      <c r="A384" t="s">
        <v>80</v>
      </c>
      <c r="B384" s="2">
        <v>45962</v>
      </c>
      <c r="C384">
        <v>20601</v>
      </c>
    </row>
    <row r="385" spans="1:3" ht="15" hidden="1" customHeight="1" x14ac:dyDescent="0.3">
      <c r="A385" t="s">
        <v>80</v>
      </c>
      <c r="B385" s="2">
        <v>45992</v>
      </c>
      <c r="C385">
        <v>22024.799999999999</v>
      </c>
    </row>
    <row r="386" spans="1:3" ht="15" hidden="1" customHeight="1" x14ac:dyDescent="0.3">
      <c r="A386" t="s">
        <v>80</v>
      </c>
      <c r="B386" s="2">
        <v>46023</v>
      </c>
      <c r="C386">
        <v>21105</v>
      </c>
    </row>
    <row r="387" spans="1:3" ht="15" hidden="1" customHeight="1" x14ac:dyDescent="0.3">
      <c r="A387" t="s">
        <v>80</v>
      </c>
      <c r="B387" s="2">
        <v>46054</v>
      </c>
      <c r="C387">
        <v>18220.5</v>
      </c>
    </row>
    <row r="388" spans="1:3" ht="15" hidden="1" customHeight="1" x14ac:dyDescent="0.3">
      <c r="A388" t="s">
        <v>80</v>
      </c>
      <c r="B388" s="2">
        <v>46082</v>
      </c>
      <c r="C388">
        <v>18368.099999999999</v>
      </c>
    </row>
    <row r="389" spans="1:3" ht="15" hidden="1" customHeight="1" x14ac:dyDescent="0.3">
      <c r="A389" t="s">
        <v>80</v>
      </c>
      <c r="B389" s="2">
        <v>46113</v>
      </c>
      <c r="C389">
        <v>15103.8</v>
      </c>
    </row>
    <row r="390" spans="1:3" ht="15" hidden="1" customHeight="1" x14ac:dyDescent="0.3">
      <c r="A390" t="s">
        <v>80</v>
      </c>
      <c r="B390" s="2">
        <v>46143</v>
      </c>
      <c r="C390">
        <v>14130</v>
      </c>
    </row>
    <row r="391" spans="1:3" ht="15" hidden="1" customHeight="1" x14ac:dyDescent="0.3">
      <c r="A391" t="s">
        <v>80</v>
      </c>
      <c r="B391" s="2">
        <v>46174</v>
      </c>
      <c r="C391">
        <v>12619.8</v>
      </c>
    </row>
    <row r="392" spans="1:3" ht="15" customHeight="1" x14ac:dyDescent="0.3">
      <c r="A392" t="s">
        <v>80</v>
      </c>
      <c r="B392" s="2">
        <v>46204</v>
      </c>
      <c r="C392">
        <v>14002.2</v>
      </c>
    </row>
    <row r="393" spans="1:3" ht="15" hidden="1" customHeight="1" x14ac:dyDescent="0.3">
      <c r="A393" t="s">
        <v>80</v>
      </c>
      <c r="B393" s="2">
        <v>46235</v>
      </c>
      <c r="C393">
        <v>16641.900000000001</v>
      </c>
    </row>
    <row r="394" spans="1:3" ht="15" hidden="1" customHeight="1" x14ac:dyDescent="0.3">
      <c r="A394" t="s">
        <v>80</v>
      </c>
      <c r="B394" s="2">
        <v>46266</v>
      </c>
      <c r="C394">
        <v>18626.400000000001</v>
      </c>
    </row>
    <row r="395" spans="1:3" ht="15" hidden="1" customHeight="1" x14ac:dyDescent="0.3">
      <c r="A395" t="s">
        <v>80</v>
      </c>
      <c r="B395" s="2">
        <v>46296</v>
      </c>
      <c r="C395">
        <v>20503.8</v>
      </c>
    </row>
    <row r="396" spans="1:3" ht="15" hidden="1" customHeight="1" x14ac:dyDescent="0.3">
      <c r="A396" t="s">
        <v>80</v>
      </c>
      <c r="B396" s="2">
        <v>46327</v>
      </c>
      <c r="C396">
        <v>20601</v>
      </c>
    </row>
    <row r="397" spans="1:3" ht="15" hidden="1" customHeight="1" x14ac:dyDescent="0.3">
      <c r="A397" t="s">
        <v>80</v>
      </c>
      <c r="B397" s="2">
        <v>46357</v>
      </c>
      <c r="C397">
        <v>22024.799999999999</v>
      </c>
    </row>
    <row r="398" spans="1:3" ht="15" hidden="1" customHeight="1" x14ac:dyDescent="0.3">
      <c r="A398" t="s">
        <v>81</v>
      </c>
      <c r="B398" s="2">
        <v>45292</v>
      </c>
      <c r="C398">
        <v>8664.2999999999993</v>
      </c>
    </row>
    <row r="399" spans="1:3" ht="15" hidden="1" customHeight="1" x14ac:dyDescent="0.3">
      <c r="A399" t="s">
        <v>81</v>
      </c>
      <c r="B399" s="2">
        <v>45323</v>
      </c>
      <c r="C399">
        <v>8100</v>
      </c>
    </row>
    <row r="400" spans="1:3" ht="15" hidden="1" customHeight="1" x14ac:dyDescent="0.3">
      <c r="A400" t="s">
        <v>81</v>
      </c>
      <c r="B400" s="2">
        <v>45352</v>
      </c>
      <c r="C400">
        <v>7805.7</v>
      </c>
    </row>
    <row r="401" spans="1:3" ht="15" hidden="1" customHeight="1" x14ac:dyDescent="0.3">
      <c r="A401" t="s">
        <v>81</v>
      </c>
      <c r="B401" s="2">
        <v>45383</v>
      </c>
      <c r="C401">
        <v>6534</v>
      </c>
    </row>
    <row r="402" spans="1:3" ht="15" hidden="1" customHeight="1" x14ac:dyDescent="0.3">
      <c r="A402" t="s">
        <v>81</v>
      </c>
      <c r="B402" s="2">
        <v>45413</v>
      </c>
      <c r="C402">
        <v>5592.6</v>
      </c>
    </row>
    <row r="403" spans="1:3" ht="15" hidden="1" customHeight="1" x14ac:dyDescent="0.3">
      <c r="A403" t="s">
        <v>81</v>
      </c>
      <c r="B403" s="2">
        <v>45444</v>
      </c>
      <c r="C403">
        <v>5059.8</v>
      </c>
    </row>
    <row r="404" spans="1:3" ht="15" hidden="1" customHeight="1" x14ac:dyDescent="0.3">
      <c r="A404" t="s">
        <v>81</v>
      </c>
      <c r="B404" s="2">
        <v>45474</v>
      </c>
      <c r="C404">
        <v>5372.1</v>
      </c>
    </row>
    <row r="405" spans="1:3" ht="15" hidden="1" customHeight="1" x14ac:dyDescent="0.3">
      <c r="A405" t="s">
        <v>81</v>
      </c>
      <c r="B405" s="2">
        <v>45505</v>
      </c>
      <c r="C405">
        <v>6485.4</v>
      </c>
    </row>
    <row r="406" spans="1:3" ht="15" hidden="1" customHeight="1" x14ac:dyDescent="0.3">
      <c r="A406" t="s">
        <v>81</v>
      </c>
      <c r="B406" s="2">
        <v>45536</v>
      </c>
      <c r="C406">
        <v>6914.7</v>
      </c>
    </row>
    <row r="407" spans="1:3" ht="15" hidden="1" customHeight="1" x14ac:dyDescent="0.3">
      <c r="A407" t="s">
        <v>81</v>
      </c>
      <c r="B407" s="2">
        <v>45566</v>
      </c>
      <c r="C407">
        <v>8033.4</v>
      </c>
    </row>
    <row r="408" spans="1:3" ht="15" hidden="1" customHeight="1" x14ac:dyDescent="0.3">
      <c r="A408" t="s">
        <v>81</v>
      </c>
      <c r="B408" s="2">
        <v>45597</v>
      </c>
      <c r="C408">
        <v>8012.7</v>
      </c>
    </row>
    <row r="409" spans="1:3" ht="15" hidden="1" customHeight="1" x14ac:dyDescent="0.3">
      <c r="A409" t="s">
        <v>81</v>
      </c>
      <c r="B409" s="2">
        <v>45627</v>
      </c>
      <c r="C409">
        <v>8547.2999999999993</v>
      </c>
    </row>
    <row r="410" spans="1:3" ht="15" hidden="1" customHeight="1" x14ac:dyDescent="0.3">
      <c r="A410" t="s">
        <v>81</v>
      </c>
      <c r="B410" s="2">
        <v>45658</v>
      </c>
      <c r="C410">
        <v>8664.2999999999993</v>
      </c>
    </row>
    <row r="411" spans="1:3" ht="15" hidden="1" customHeight="1" x14ac:dyDescent="0.3">
      <c r="A411" t="s">
        <v>81</v>
      </c>
      <c r="B411" s="2">
        <v>45689</v>
      </c>
      <c r="C411">
        <v>8100</v>
      </c>
    </row>
    <row r="412" spans="1:3" ht="15" hidden="1" customHeight="1" x14ac:dyDescent="0.3">
      <c r="A412" t="s">
        <v>81</v>
      </c>
      <c r="B412" s="2">
        <v>45717</v>
      </c>
      <c r="C412">
        <v>7805.7</v>
      </c>
    </row>
    <row r="413" spans="1:3" ht="15" hidden="1" customHeight="1" x14ac:dyDescent="0.3">
      <c r="A413" t="s">
        <v>81</v>
      </c>
      <c r="B413" s="2">
        <v>45748</v>
      </c>
      <c r="C413">
        <v>6534</v>
      </c>
    </row>
    <row r="414" spans="1:3" ht="15" hidden="1" customHeight="1" x14ac:dyDescent="0.3">
      <c r="A414" t="s">
        <v>81</v>
      </c>
      <c r="B414" s="2">
        <v>45778</v>
      </c>
      <c r="C414">
        <v>5592.6</v>
      </c>
    </row>
    <row r="415" spans="1:3" ht="15" hidden="1" customHeight="1" x14ac:dyDescent="0.3">
      <c r="A415" t="s">
        <v>81</v>
      </c>
      <c r="B415" s="2">
        <v>45809</v>
      </c>
      <c r="C415">
        <v>5059.8</v>
      </c>
    </row>
    <row r="416" spans="1:3" ht="15" hidden="1" customHeight="1" x14ac:dyDescent="0.3">
      <c r="A416" t="s">
        <v>81</v>
      </c>
      <c r="B416" s="2">
        <v>45839</v>
      </c>
      <c r="C416">
        <v>5372.1</v>
      </c>
    </row>
    <row r="417" spans="1:3" ht="15" hidden="1" customHeight="1" x14ac:dyDescent="0.3">
      <c r="A417" t="s">
        <v>81</v>
      </c>
      <c r="B417" s="2">
        <v>45870</v>
      </c>
      <c r="C417">
        <v>6485.4</v>
      </c>
    </row>
    <row r="418" spans="1:3" ht="15" hidden="1" customHeight="1" x14ac:dyDescent="0.3">
      <c r="A418" t="s">
        <v>81</v>
      </c>
      <c r="B418" s="2">
        <v>45901</v>
      </c>
      <c r="C418">
        <v>6914.7</v>
      </c>
    </row>
    <row r="419" spans="1:3" ht="15" hidden="1" customHeight="1" x14ac:dyDescent="0.3">
      <c r="A419" t="s">
        <v>81</v>
      </c>
      <c r="B419" s="2">
        <v>45931</v>
      </c>
      <c r="C419">
        <v>8033.4</v>
      </c>
    </row>
    <row r="420" spans="1:3" ht="15" hidden="1" customHeight="1" x14ac:dyDescent="0.3">
      <c r="A420" t="s">
        <v>81</v>
      </c>
      <c r="B420" s="2">
        <v>45962</v>
      </c>
      <c r="C420">
        <v>8012.7</v>
      </c>
    </row>
    <row r="421" spans="1:3" ht="15" hidden="1" customHeight="1" x14ac:dyDescent="0.3">
      <c r="A421" t="s">
        <v>81</v>
      </c>
      <c r="B421" s="2">
        <v>45992</v>
      </c>
      <c r="C421">
        <v>8547.2999999999993</v>
      </c>
    </row>
    <row r="422" spans="1:3" ht="15" hidden="1" customHeight="1" x14ac:dyDescent="0.3">
      <c r="A422" t="s">
        <v>81</v>
      </c>
      <c r="B422" s="2">
        <v>46023</v>
      </c>
      <c r="C422">
        <v>8664.2999999999993</v>
      </c>
    </row>
    <row r="423" spans="1:3" ht="15" hidden="1" customHeight="1" x14ac:dyDescent="0.3">
      <c r="A423" t="s">
        <v>81</v>
      </c>
      <c r="B423" s="2">
        <v>46054</v>
      </c>
      <c r="C423">
        <v>8100</v>
      </c>
    </row>
    <row r="424" spans="1:3" ht="15" hidden="1" customHeight="1" x14ac:dyDescent="0.3">
      <c r="A424" t="s">
        <v>81</v>
      </c>
      <c r="B424" s="2">
        <v>46082</v>
      </c>
      <c r="C424">
        <v>7805.7</v>
      </c>
    </row>
    <row r="425" spans="1:3" ht="15" hidden="1" customHeight="1" x14ac:dyDescent="0.3">
      <c r="A425" t="s">
        <v>81</v>
      </c>
      <c r="B425" s="2">
        <v>46113</v>
      </c>
      <c r="C425">
        <v>6534</v>
      </c>
    </row>
    <row r="426" spans="1:3" ht="15" hidden="1" customHeight="1" x14ac:dyDescent="0.3">
      <c r="A426" t="s">
        <v>81</v>
      </c>
      <c r="B426" s="2">
        <v>46143</v>
      </c>
      <c r="C426">
        <v>5592.6</v>
      </c>
    </row>
    <row r="427" spans="1:3" ht="15" hidden="1" customHeight="1" x14ac:dyDescent="0.3">
      <c r="A427" t="s">
        <v>81</v>
      </c>
      <c r="B427" s="2">
        <v>46174</v>
      </c>
      <c r="C427">
        <v>5059.8</v>
      </c>
    </row>
    <row r="428" spans="1:3" ht="15" customHeight="1" x14ac:dyDescent="0.3">
      <c r="A428" t="s">
        <v>81</v>
      </c>
      <c r="B428" s="2">
        <v>46204</v>
      </c>
      <c r="C428">
        <v>5372.1</v>
      </c>
    </row>
    <row r="429" spans="1:3" ht="15" hidden="1" customHeight="1" x14ac:dyDescent="0.3">
      <c r="A429" t="s">
        <v>81</v>
      </c>
      <c r="B429" s="2">
        <v>46235</v>
      </c>
      <c r="C429">
        <v>6485.4</v>
      </c>
    </row>
    <row r="430" spans="1:3" ht="15" hidden="1" customHeight="1" x14ac:dyDescent="0.3">
      <c r="A430" t="s">
        <v>81</v>
      </c>
      <c r="B430" s="2">
        <v>46266</v>
      </c>
      <c r="C430">
        <v>6914.7</v>
      </c>
    </row>
    <row r="431" spans="1:3" ht="15" hidden="1" customHeight="1" x14ac:dyDescent="0.3">
      <c r="A431" t="s">
        <v>81</v>
      </c>
      <c r="B431" s="2">
        <v>46296</v>
      </c>
      <c r="C431">
        <v>8033.4</v>
      </c>
    </row>
    <row r="432" spans="1:3" ht="15" hidden="1" customHeight="1" x14ac:dyDescent="0.3">
      <c r="A432" t="s">
        <v>81</v>
      </c>
      <c r="B432" s="2">
        <v>46327</v>
      </c>
      <c r="C432">
        <v>8012.7</v>
      </c>
    </row>
    <row r="433" spans="1:3" ht="15" hidden="1" customHeight="1" x14ac:dyDescent="0.3">
      <c r="A433" t="s">
        <v>81</v>
      </c>
      <c r="B433" s="2">
        <v>46357</v>
      </c>
      <c r="C433">
        <v>8547.2999999999993</v>
      </c>
    </row>
    <row r="434" spans="1:3" ht="15" hidden="1" customHeight="1" x14ac:dyDescent="0.3">
      <c r="A434" t="s">
        <v>85</v>
      </c>
      <c r="B434" s="2">
        <v>45292</v>
      </c>
      <c r="C434">
        <v>5767.2</v>
      </c>
    </row>
    <row r="435" spans="1:3" ht="15" hidden="1" customHeight="1" x14ac:dyDescent="0.3">
      <c r="A435" t="s">
        <v>85</v>
      </c>
      <c r="B435" s="2">
        <v>45323</v>
      </c>
      <c r="C435">
        <v>4828.5</v>
      </c>
    </row>
    <row r="436" spans="1:3" ht="15" hidden="1" customHeight="1" x14ac:dyDescent="0.3">
      <c r="A436" t="s">
        <v>85</v>
      </c>
      <c r="B436" s="2">
        <v>45352</v>
      </c>
      <c r="C436">
        <v>4913.1000000000004</v>
      </c>
    </row>
    <row r="437" spans="1:3" ht="15" hidden="1" customHeight="1" x14ac:dyDescent="0.3">
      <c r="A437" t="s">
        <v>85</v>
      </c>
      <c r="B437" s="2">
        <v>45383</v>
      </c>
      <c r="C437">
        <v>4149.8999999999996</v>
      </c>
    </row>
    <row r="438" spans="1:3" ht="15" hidden="1" customHeight="1" x14ac:dyDescent="0.3">
      <c r="A438" t="s">
        <v>85</v>
      </c>
      <c r="B438" s="2">
        <v>45413</v>
      </c>
      <c r="C438">
        <v>3937.5</v>
      </c>
    </row>
    <row r="439" spans="1:3" ht="15" hidden="1" customHeight="1" x14ac:dyDescent="0.3">
      <c r="A439" t="s">
        <v>85</v>
      </c>
      <c r="B439" s="2">
        <v>45444</v>
      </c>
      <c r="C439">
        <v>3463.2</v>
      </c>
    </row>
    <row r="440" spans="1:3" ht="15" hidden="1" customHeight="1" x14ac:dyDescent="0.3">
      <c r="A440" t="s">
        <v>85</v>
      </c>
      <c r="B440" s="2">
        <v>45474</v>
      </c>
      <c r="C440">
        <v>3874.5</v>
      </c>
    </row>
    <row r="441" spans="1:3" ht="15" hidden="1" customHeight="1" x14ac:dyDescent="0.3">
      <c r="A441" t="s">
        <v>85</v>
      </c>
      <c r="B441" s="2">
        <v>45505</v>
      </c>
      <c r="C441">
        <v>4560.3</v>
      </c>
    </row>
    <row r="442" spans="1:3" ht="15" hidden="1" customHeight="1" x14ac:dyDescent="0.3">
      <c r="A442" t="s">
        <v>85</v>
      </c>
      <c r="B442" s="2">
        <v>45536</v>
      </c>
      <c r="C442">
        <v>5033.7</v>
      </c>
    </row>
    <row r="443" spans="1:3" ht="15" hidden="1" customHeight="1" x14ac:dyDescent="0.3">
      <c r="A443" t="s">
        <v>85</v>
      </c>
      <c r="B443" s="2">
        <v>45566</v>
      </c>
      <c r="C443">
        <v>5613.3</v>
      </c>
    </row>
    <row r="444" spans="1:3" ht="15" hidden="1" customHeight="1" x14ac:dyDescent="0.3">
      <c r="A444" t="s">
        <v>85</v>
      </c>
      <c r="B444" s="2">
        <v>45597</v>
      </c>
      <c r="C444">
        <v>5712.3</v>
      </c>
    </row>
    <row r="445" spans="1:3" ht="15" hidden="1" customHeight="1" x14ac:dyDescent="0.3">
      <c r="A445" t="s">
        <v>85</v>
      </c>
      <c r="B445" s="2">
        <v>45627</v>
      </c>
      <c r="C445">
        <v>6027.3</v>
      </c>
    </row>
    <row r="446" spans="1:3" ht="15" hidden="1" customHeight="1" x14ac:dyDescent="0.3">
      <c r="A446" t="s">
        <v>85</v>
      </c>
      <c r="B446" s="2">
        <v>45658</v>
      </c>
      <c r="C446">
        <v>5767.2</v>
      </c>
    </row>
    <row r="447" spans="1:3" ht="15" hidden="1" customHeight="1" x14ac:dyDescent="0.3">
      <c r="A447" t="s">
        <v>85</v>
      </c>
      <c r="B447" s="2">
        <v>45689</v>
      </c>
      <c r="C447">
        <v>4828.5</v>
      </c>
    </row>
    <row r="448" spans="1:3" ht="15" hidden="1" customHeight="1" x14ac:dyDescent="0.3">
      <c r="A448" t="s">
        <v>85</v>
      </c>
      <c r="B448" s="2">
        <v>45717</v>
      </c>
      <c r="C448">
        <v>4913.1000000000004</v>
      </c>
    </row>
    <row r="449" spans="1:3" ht="15" hidden="1" customHeight="1" x14ac:dyDescent="0.3">
      <c r="A449" t="s">
        <v>85</v>
      </c>
      <c r="B449" s="2">
        <v>45748</v>
      </c>
      <c r="C449">
        <v>4149.8999999999996</v>
      </c>
    </row>
    <row r="450" spans="1:3" ht="15" hidden="1" customHeight="1" x14ac:dyDescent="0.3">
      <c r="A450" t="s">
        <v>85</v>
      </c>
      <c r="B450" s="2">
        <v>45778</v>
      </c>
      <c r="C450">
        <v>3937.5</v>
      </c>
    </row>
    <row r="451" spans="1:3" ht="15" hidden="1" customHeight="1" x14ac:dyDescent="0.3">
      <c r="A451" t="s">
        <v>85</v>
      </c>
      <c r="B451" s="2">
        <v>45809</v>
      </c>
      <c r="C451">
        <v>3463.2</v>
      </c>
    </row>
    <row r="452" spans="1:3" ht="15" hidden="1" customHeight="1" x14ac:dyDescent="0.3">
      <c r="A452" t="s">
        <v>85</v>
      </c>
      <c r="B452" s="2">
        <v>45839</v>
      </c>
      <c r="C452">
        <v>3874.5</v>
      </c>
    </row>
    <row r="453" spans="1:3" ht="15" hidden="1" customHeight="1" x14ac:dyDescent="0.3">
      <c r="A453" t="s">
        <v>85</v>
      </c>
      <c r="B453" s="2">
        <v>45870</v>
      </c>
      <c r="C453">
        <v>4560.3</v>
      </c>
    </row>
    <row r="454" spans="1:3" ht="15" hidden="1" customHeight="1" x14ac:dyDescent="0.3">
      <c r="A454" t="s">
        <v>85</v>
      </c>
      <c r="B454" s="2">
        <v>45901</v>
      </c>
      <c r="C454">
        <v>5033.7</v>
      </c>
    </row>
    <row r="455" spans="1:3" ht="15" hidden="1" customHeight="1" x14ac:dyDescent="0.3">
      <c r="A455" t="s">
        <v>85</v>
      </c>
      <c r="B455" s="2">
        <v>45931</v>
      </c>
      <c r="C455">
        <v>5613.3</v>
      </c>
    </row>
    <row r="456" spans="1:3" ht="15" hidden="1" customHeight="1" x14ac:dyDescent="0.3">
      <c r="A456" t="s">
        <v>85</v>
      </c>
      <c r="B456" s="2">
        <v>45962</v>
      </c>
      <c r="C456">
        <v>5712.3</v>
      </c>
    </row>
    <row r="457" spans="1:3" ht="15" hidden="1" customHeight="1" x14ac:dyDescent="0.3">
      <c r="A457" t="s">
        <v>85</v>
      </c>
      <c r="B457" s="2">
        <v>45992</v>
      </c>
      <c r="C457">
        <v>6027.3</v>
      </c>
    </row>
    <row r="458" spans="1:3" ht="15" hidden="1" customHeight="1" x14ac:dyDescent="0.3">
      <c r="A458" t="s">
        <v>85</v>
      </c>
      <c r="B458" s="2">
        <v>46023</v>
      </c>
      <c r="C458">
        <v>5767.2</v>
      </c>
    </row>
    <row r="459" spans="1:3" ht="15" hidden="1" customHeight="1" x14ac:dyDescent="0.3">
      <c r="A459" t="s">
        <v>85</v>
      </c>
      <c r="B459" s="2">
        <v>46054</v>
      </c>
      <c r="C459">
        <v>4828.5</v>
      </c>
    </row>
    <row r="460" spans="1:3" ht="15" hidden="1" customHeight="1" x14ac:dyDescent="0.3">
      <c r="A460" t="s">
        <v>85</v>
      </c>
      <c r="B460" s="2">
        <v>46082</v>
      </c>
      <c r="C460">
        <v>4913.1000000000004</v>
      </c>
    </row>
    <row r="461" spans="1:3" ht="15" hidden="1" customHeight="1" x14ac:dyDescent="0.3">
      <c r="A461" t="s">
        <v>85</v>
      </c>
      <c r="B461" s="2">
        <v>46113</v>
      </c>
      <c r="C461">
        <v>4149.8999999999996</v>
      </c>
    </row>
    <row r="462" spans="1:3" ht="15" hidden="1" customHeight="1" x14ac:dyDescent="0.3">
      <c r="A462" t="s">
        <v>85</v>
      </c>
      <c r="B462" s="2">
        <v>46143</v>
      </c>
      <c r="C462">
        <v>3937.5</v>
      </c>
    </row>
    <row r="463" spans="1:3" ht="15" hidden="1" customHeight="1" x14ac:dyDescent="0.3">
      <c r="A463" t="s">
        <v>85</v>
      </c>
      <c r="B463" s="2">
        <v>46174</v>
      </c>
      <c r="C463">
        <v>3463.2</v>
      </c>
    </row>
    <row r="464" spans="1:3" ht="15" customHeight="1" x14ac:dyDescent="0.3">
      <c r="A464" t="s">
        <v>85</v>
      </c>
      <c r="B464" s="2">
        <v>46204</v>
      </c>
      <c r="C464">
        <v>3874.5</v>
      </c>
    </row>
    <row r="465" spans="1:3" ht="15" hidden="1" customHeight="1" x14ac:dyDescent="0.3">
      <c r="A465" t="s">
        <v>85</v>
      </c>
      <c r="B465" s="2">
        <v>46235</v>
      </c>
      <c r="C465">
        <v>4560.3</v>
      </c>
    </row>
    <row r="466" spans="1:3" ht="15" hidden="1" customHeight="1" x14ac:dyDescent="0.3">
      <c r="A466" t="s">
        <v>85</v>
      </c>
      <c r="B466" s="2">
        <v>46266</v>
      </c>
      <c r="C466">
        <v>5033.7</v>
      </c>
    </row>
    <row r="467" spans="1:3" ht="15" hidden="1" customHeight="1" x14ac:dyDescent="0.3">
      <c r="A467" t="s">
        <v>85</v>
      </c>
      <c r="B467" s="2">
        <v>46296</v>
      </c>
      <c r="C467">
        <v>5613.3</v>
      </c>
    </row>
    <row r="468" spans="1:3" ht="15" hidden="1" customHeight="1" x14ac:dyDescent="0.3">
      <c r="A468" t="s">
        <v>85</v>
      </c>
      <c r="B468" s="2">
        <v>46327</v>
      </c>
      <c r="C468">
        <v>5712.3</v>
      </c>
    </row>
    <row r="469" spans="1:3" ht="15" hidden="1" customHeight="1" x14ac:dyDescent="0.3">
      <c r="A469" t="s">
        <v>85</v>
      </c>
      <c r="B469" s="2">
        <v>46357</v>
      </c>
      <c r="C469">
        <v>6027.3</v>
      </c>
    </row>
    <row r="470" spans="1:3" ht="15" hidden="1" customHeight="1" x14ac:dyDescent="0.3">
      <c r="A470" t="s">
        <v>90</v>
      </c>
      <c r="B470" s="2">
        <v>45292</v>
      </c>
      <c r="C470">
        <v>4897.0200000000004</v>
      </c>
    </row>
    <row r="471" spans="1:3" ht="15" hidden="1" customHeight="1" x14ac:dyDescent="0.3">
      <c r="A471" t="s">
        <v>90</v>
      </c>
      <c r="B471" s="2">
        <v>45323</v>
      </c>
      <c r="C471">
        <v>4496.2449999999999</v>
      </c>
    </row>
    <row r="472" spans="1:3" ht="15" hidden="1" customHeight="1" x14ac:dyDescent="0.3">
      <c r="A472" t="s">
        <v>90</v>
      </c>
      <c r="B472" s="2">
        <v>45352</v>
      </c>
      <c r="C472">
        <v>4548.6049999999996</v>
      </c>
    </row>
    <row r="473" spans="1:3" ht="15" hidden="1" customHeight="1" x14ac:dyDescent="0.3">
      <c r="A473" t="s">
        <v>90</v>
      </c>
      <c r="B473" s="2">
        <v>45383</v>
      </c>
      <c r="C473">
        <v>3805.1950000000002</v>
      </c>
    </row>
    <row r="474" spans="1:3" ht="15" hidden="1" customHeight="1" x14ac:dyDescent="0.3">
      <c r="A474" t="s">
        <v>90</v>
      </c>
      <c r="B474" s="2">
        <v>45413</v>
      </c>
      <c r="C474">
        <v>3522.57</v>
      </c>
    </row>
    <row r="475" spans="1:3" ht="15" hidden="1" customHeight="1" x14ac:dyDescent="0.3">
      <c r="A475" t="s">
        <v>90</v>
      </c>
      <c r="B475" s="2">
        <v>45444</v>
      </c>
      <c r="C475">
        <v>3187.9250000000002</v>
      </c>
    </row>
    <row r="476" spans="1:3" ht="15" hidden="1" customHeight="1" x14ac:dyDescent="0.3">
      <c r="A476" t="s">
        <v>90</v>
      </c>
      <c r="B476" s="2">
        <v>45474</v>
      </c>
      <c r="C476">
        <v>3416.15</v>
      </c>
    </row>
    <row r="477" spans="1:3" ht="15" hidden="1" customHeight="1" x14ac:dyDescent="0.3">
      <c r="A477" t="s">
        <v>90</v>
      </c>
      <c r="B477" s="2">
        <v>45505</v>
      </c>
      <c r="C477">
        <v>3857.0450000000001</v>
      </c>
    </row>
    <row r="478" spans="1:3" ht="15" hidden="1" customHeight="1" x14ac:dyDescent="0.3">
      <c r="A478" t="s">
        <v>90</v>
      </c>
      <c r="B478" s="2">
        <v>45536</v>
      </c>
      <c r="C478">
        <v>3805.7049999999999</v>
      </c>
    </row>
    <row r="479" spans="1:3" ht="15" hidden="1" customHeight="1" x14ac:dyDescent="0.3">
      <c r="A479" t="s">
        <v>90</v>
      </c>
      <c r="B479" s="2">
        <v>45566</v>
      </c>
      <c r="C479">
        <v>4238.6949999999997</v>
      </c>
    </row>
    <row r="480" spans="1:3" ht="15" hidden="1" customHeight="1" x14ac:dyDescent="0.3">
      <c r="A480" t="s">
        <v>90</v>
      </c>
      <c r="B480" s="2">
        <v>45597</v>
      </c>
      <c r="C480">
        <v>4335.34</v>
      </c>
    </row>
    <row r="481" spans="1:3" ht="15" hidden="1" customHeight="1" x14ac:dyDescent="0.3">
      <c r="A481" t="s">
        <v>90</v>
      </c>
      <c r="B481" s="2">
        <v>45627</v>
      </c>
      <c r="C481">
        <v>5058.01</v>
      </c>
    </row>
    <row r="482" spans="1:3" ht="15" hidden="1" customHeight="1" x14ac:dyDescent="0.3">
      <c r="A482" t="s">
        <v>90</v>
      </c>
      <c r="B482" s="2">
        <v>45658</v>
      </c>
      <c r="C482">
        <v>4897.0200000000004</v>
      </c>
    </row>
    <row r="483" spans="1:3" ht="15" hidden="1" customHeight="1" x14ac:dyDescent="0.3">
      <c r="A483" t="s">
        <v>90</v>
      </c>
      <c r="B483" s="2">
        <v>45689</v>
      </c>
      <c r="C483">
        <v>4496.2449999999999</v>
      </c>
    </row>
    <row r="484" spans="1:3" ht="15" hidden="1" customHeight="1" x14ac:dyDescent="0.3">
      <c r="A484" t="s">
        <v>90</v>
      </c>
      <c r="B484" s="2">
        <v>45717</v>
      </c>
      <c r="C484">
        <v>4548.6049999999996</v>
      </c>
    </row>
    <row r="485" spans="1:3" ht="15" hidden="1" customHeight="1" x14ac:dyDescent="0.3">
      <c r="A485" t="s">
        <v>90</v>
      </c>
      <c r="B485" s="2">
        <v>45748</v>
      </c>
      <c r="C485">
        <v>3805.1950000000002</v>
      </c>
    </row>
    <row r="486" spans="1:3" ht="15" hidden="1" customHeight="1" x14ac:dyDescent="0.3">
      <c r="A486" t="s">
        <v>90</v>
      </c>
      <c r="B486" s="2">
        <v>45778</v>
      </c>
      <c r="C486">
        <v>3522.57</v>
      </c>
    </row>
    <row r="487" spans="1:3" ht="15" hidden="1" customHeight="1" x14ac:dyDescent="0.3">
      <c r="A487" t="s">
        <v>90</v>
      </c>
      <c r="B487" s="2">
        <v>45809</v>
      </c>
      <c r="C487">
        <v>3187.9250000000002</v>
      </c>
    </row>
    <row r="488" spans="1:3" ht="15" hidden="1" customHeight="1" x14ac:dyDescent="0.3">
      <c r="A488" t="s">
        <v>90</v>
      </c>
      <c r="B488" s="2">
        <v>45839</v>
      </c>
      <c r="C488">
        <v>3416.15</v>
      </c>
    </row>
    <row r="489" spans="1:3" ht="15" hidden="1" customHeight="1" x14ac:dyDescent="0.3">
      <c r="A489" t="s">
        <v>90</v>
      </c>
      <c r="B489" s="2">
        <v>45870</v>
      </c>
      <c r="C489">
        <v>3857.0450000000001</v>
      </c>
    </row>
    <row r="490" spans="1:3" ht="15" hidden="1" customHeight="1" x14ac:dyDescent="0.3">
      <c r="A490" t="s">
        <v>90</v>
      </c>
      <c r="B490" s="2">
        <v>45901</v>
      </c>
      <c r="C490">
        <v>3805.7049999999999</v>
      </c>
    </row>
    <row r="491" spans="1:3" ht="15" hidden="1" customHeight="1" x14ac:dyDescent="0.3">
      <c r="A491" t="s">
        <v>90</v>
      </c>
      <c r="B491" s="2">
        <v>45931</v>
      </c>
      <c r="C491">
        <v>4238.6949999999997</v>
      </c>
    </row>
    <row r="492" spans="1:3" ht="15" hidden="1" customHeight="1" x14ac:dyDescent="0.3">
      <c r="A492" t="s">
        <v>90</v>
      </c>
      <c r="B492" s="2">
        <v>45962</v>
      </c>
      <c r="C492">
        <v>4335.34</v>
      </c>
    </row>
    <row r="493" spans="1:3" ht="15" hidden="1" customHeight="1" x14ac:dyDescent="0.3">
      <c r="A493" t="s">
        <v>90</v>
      </c>
      <c r="B493" s="2">
        <v>45992</v>
      </c>
      <c r="C493">
        <v>5058.01</v>
      </c>
    </row>
    <row r="494" spans="1:3" ht="15" hidden="1" customHeight="1" x14ac:dyDescent="0.3">
      <c r="A494" t="s">
        <v>90</v>
      </c>
      <c r="B494" s="2">
        <v>46023</v>
      </c>
      <c r="C494">
        <v>4897.0200000000004</v>
      </c>
    </row>
    <row r="495" spans="1:3" ht="15" hidden="1" customHeight="1" x14ac:dyDescent="0.3">
      <c r="A495" t="s">
        <v>90</v>
      </c>
      <c r="B495" s="2">
        <v>46054</v>
      </c>
      <c r="C495">
        <v>4496.2449999999999</v>
      </c>
    </row>
    <row r="496" spans="1:3" ht="15" hidden="1" customHeight="1" x14ac:dyDescent="0.3">
      <c r="A496" t="s">
        <v>90</v>
      </c>
      <c r="B496" s="2">
        <v>46082</v>
      </c>
      <c r="C496">
        <v>4548.6049999999996</v>
      </c>
    </row>
    <row r="497" spans="1:3" ht="15" hidden="1" customHeight="1" x14ac:dyDescent="0.3">
      <c r="A497" t="s">
        <v>90</v>
      </c>
      <c r="B497" s="2">
        <v>46113</v>
      </c>
      <c r="C497">
        <v>3805.1950000000002</v>
      </c>
    </row>
    <row r="498" spans="1:3" ht="15" hidden="1" customHeight="1" x14ac:dyDescent="0.3">
      <c r="A498" t="s">
        <v>90</v>
      </c>
      <c r="B498" s="2">
        <v>46143</v>
      </c>
      <c r="C498">
        <v>3522.57</v>
      </c>
    </row>
    <row r="499" spans="1:3" ht="15" hidden="1" customHeight="1" x14ac:dyDescent="0.3">
      <c r="A499" t="s">
        <v>90</v>
      </c>
      <c r="B499" s="2">
        <v>46174</v>
      </c>
      <c r="C499">
        <v>3187.9250000000002</v>
      </c>
    </row>
    <row r="500" spans="1:3" ht="15" customHeight="1" x14ac:dyDescent="0.3">
      <c r="A500" t="s">
        <v>90</v>
      </c>
      <c r="B500" s="2">
        <v>46204</v>
      </c>
      <c r="C500">
        <v>3416.15</v>
      </c>
    </row>
    <row r="501" spans="1:3" ht="15" hidden="1" customHeight="1" x14ac:dyDescent="0.3">
      <c r="A501" t="s">
        <v>90</v>
      </c>
      <c r="B501" s="2">
        <v>46235</v>
      </c>
      <c r="C501">
        <v>3857.0450000000001</v>
      </c>
    </row>
    <row r="502" spans="1:3" ht="15" hidden="1" customHeight="1" x14ac:dyDescent="0.3">
      <c r="A502" t="s">
        <v>90</v>
      </c>
      <c r="B502" s="2">
        <v>46266</v>
      </c>
      <c r="C502">
        <v>3805.7049999999999</v>
      </c>
    </row>
    <row r="503" spans="1:3" ht="15" hidden="1" customHeight="1" x14ac:dyDescent="0.3">
      <c r="A503" t="s">
        <v>90</v>
      </c>
      <c r="B503" s="2">
        <v>46296</v>
      </c>
      <c r="C503">
        <v>4238.6949999999997</v>
      </c>
    </row>
    <row r="504" spans="1:3" ht="15" hidden="1" customHeight="1" x14ac:dyDescent="0.3">
      <c r="A504" t="s">
        <v>90</v>
      </c>
      <c r="B504" s="2">
        <v>46327</v>
      </c>
      <c r="C504">
        <v>4335.34</v>
      </c>
    </row>
    <row r="505" spans="1:3" ht="15" hidden="1" customHeight="1" x14ac:dyDescent="0.3">
      <c r="A505" t="s">
        <v>90</v>
      </c>
      <c r="B505" s="2">
        <v>46357</v>
      </c>
      <c r="C505">
        <v>5058.01</v>
      </c>
    </row>
    <row r="506" spans="1:3" ht="15" hidden="1" customHeight="1" x14ac:dyDescent="0.3">
      <c r="A506" t="s">
        <v>93</v>
      </c>
      <c r="B506" s="2">
        <v>45292</v>
      </c>
      <c r="C506">
        <v>11798.1</v>
      </c>
    </row>
    <row r="507" spans="1:3" ht="15" hidden="1" customHeight="1" x14ac:dyDescent="0.3">
      <c r="A507" t="s">
        <v>93</v>
      </c>
      <c r="B507" s="2">
        <v>45323</v>
      </c>
      <c r="C507">
        <v>10269.9</v>
      </c>
    </row>
    <row r="508" spans="1:3" ht="15" hidden="1" customHeight="1" x14ac:dyDescent="0.3">
      <c r="A508" t="s">
        <v>93</v>
      </c>
      <c r="B508" s="2">
        <v>45352</v>
      </c>
      <c r="C508">
        <v>10571.4</v>
      </c>
    </row>
    <row r="509" spans="1:3" ht="15" hidden="1" customHeight="1" x14ac:dyDescent="0.3">
      <c r="A509" t="s">
        <v>93</v>
      </c>
      <c r="B509" s="2">
        <v>45383</v>
      </c>
      <c r="C509">
        <v>8335.7999999999993</v>
      </c>
    </row>
    <row r="510" spans="1:3" ht="15" hidden="1" customHeight="1" x14ac:dyDescent="0.3">
      <c r="A510" t="s">
        <v>93</v>
      </c>
      <c r="B510" s="2">
        <v>45413</v>
      </c>
      <c r="C510">
        <v>6723.9</v>
      </c>
    </row>
    <row r="511" spans="1:3" ht="15" hidden="1" customHeight="1" x14ac:dyDescent="0.3">
      <c r="A511" t="s">
        <v>93</v>
      </c>
      <c r="B511" s="2">
        <v>45444</v>
      </c>
      <c r="C511">
        <v>5859.9</v>
      </c>
    </row>
    <row r="512" spans="1:3" ht="15" hidden="1" customHeight="1" x14ac:dyDescent="0.3">
      <c r="A512" t="s">
        <v>93</v>
      </c>
      <c r="B512" s="2">
        <v>45474</v>
      </c>
      <c r="C512">
        <v>6453</v>
      </c>
    </row>
    <row r="513" spans="1:3" ht="15" hidden="1" customHeight="1" x14ac:dyDescent="0.3">
      <c r="A513" t="s">
        <v>93</v>
      </c>
      <c r="B513" s="2">
        <v>45505</v>
      </c>
      <c r="C513">
        <v>7491.6</v>
      </c>
    </row>
    <row r="514" spans="1:3" ht="15" hidden="1" customHeight="1" x14ac:dyDescent="0.3">
      <c r="A514" t="s">
        <v>93</v>
      </c>
      <c r="B514" s="2">
        <v>45536</v>
      </c>
      <c r="C514">
        <v>8864.1</v>
      </c>
    </row>
    <row r="515" spans="1:3" ht="15" hidden="1" customHeight="1" x14ac:dyDescent="0.3">
      <c r="A515" t="s">
        <v>93</v>
      </c>
      <c r="B515" s="2">
        <v>45566</v>
      </c>
      <c r="C515">
        <v>10361.700000000001</v>
      </c>
    </row>
    <row r="516" spans="1:3" ht="15" hidden="1" customHeight="1" x14ac:dyDescent="0.3">
      <c r="A516" t="s">
        <v>93</v>
      </c>
      <c r="B516" s="2">
        <v>45597</v>
      </c>
      <c r="C516">
        <v>10972.8</v>
      </c>
    </row>
    <row r="517" spans="1:3" ht="15" hidden="1" customHeight="1" x14ac:dyDescent="0.3">
      <c r="A517" t="s">
        <v>93</v>
      </c>
      <c r="B517" s="2">
        <v>45627</v>
      </c>
      <c r="C517">
        <v>11630.7</v>
      </c>
    </row>
    <row r="518" spans="1:3" ht="15" hidden="1" customHeight="1" x14ac:dyDescent="0.3">
      <c r="A518" t="s">
        <v>93</v>
      </c>
      <c r="B518" s="2">
        <v>45658</v>
      </c>
      <c r="C518">
        <v>11798.1</v>
      </c>
    </row>
    <row r="519" spans="1:3" ht="15" hidden="1" customHeight="1" x14ac:dyDescent="0.3">
      <c r="A519" t="s">
        <v>93</v>
      </c>
      <c r="B519" s="2">
        <v>45689</v>
      </c>
      <c r="C519">
        <v>10269.9</v>
      </c>
    </row>
    <row r="520" spans="1:3" ht="15" hidden="1" customHeight="1" x14ac:dyDescent="0.3">
      <c r="A520" t="s">
        <v>93</v>
      </c>
      <c r="B520" s="2">
        <v>45717</v>
      </c>
      <c r="C520">
        <v>10571.4</v>
      </c>
    </row>
    <row r="521" spans="1:3" ht="15" hidden="1" customHeight="1" x14ac:dyDescent="0.3">
      <c r="A521" t="s">
        <v>93</v>
      </c>
      <c r="B521" s="2">
        <v>45748</v>
      </c>
      <c r="C521">
        <v>8335.7999999999993</v>
      </c>
    </row>
    <row r="522" spans="1:3" ht="15" hidden="1" customHeight="1" x14ac:dyDescent="0.3">
      <c r="A522" t="s">
        <v>93</v>
      </c>
      <c r="B522" s="2">
        <v>45778</v>
      </c>
      <c r="C522">
        <v>6723.9</v>
      </c>
    </row>
    <row r="523" spans="1:3" ht="15" hidden="1" customHeight="1" x14ac:dyDescent="0.3">
      <c r="A523" t="s">
        <v>93</v>
      </c>
      <c r="B523" s="2">
        <v>45809</v>
      </c>
      <c r="C523">
        <v>5859.9</v>
      </c>
    </row>
    <row r="524" spans="1:3" ht="15" hidden="1" customHeight="1" x14ac:dyDescent="0.3">
      <c r="A524" t="s">
        <v>93</v>
      </c>
      <c r="B524" s="2">
        <v>45839</v>
      </c>
      <c r="C524">
        <v>6453</v>
      </c>
    </row>
    <row r="525" spans="1:3" ht="15" hidden="1" customHeight="1" x14ac:dyDescent="0.3">
      <c r="A525" t="s">
        <v>93</v>
      </c>
      <c r="B525" s="2">
        <v>45870</v>
      </c>
      <c r="C525">
        <v>7491.6</v>
      </c>
    </row>
    <row r="526" spans="1:3" ht="15" hidden="1" customHeight="1" x14ac:dyDescent="0.3">
      <c r="A526" t="s">
        <v>93</v>
      </c>
      <c r="B526" s="2">
        <v>45901</v>
      </c>
      <c r="C526">
        <v>8864.1</v>
      </c>
    </row>
    <row r="527" spans="1:3" ht="15" hidden="1" customHeight="1" x14ac:dyDescent="0.3">
      <c r="A527" t="s">
        <v>93</v>
      </c>
      <c r="B527" s="2">
        <v>45931</v>
      </c>
      <c r="C527">
        <v>10361.700000000001</v>
      </c>
    </row>
    <row r="528" spans="1:3" ht="15" hidden="1" customHeight="1" x14ac:dyDescent="0.3">
      <c r="A528" t="s">
        <v>93</v>
      </c>
      <c r="B528" s="2">
        <v>45962</v>
      </c>
      <c r="C528">
        <v>10972.8</v>
      </c>
    </row>
    <row r="529" spans="1:3" ht="15" hidden="1" customHeight="1" x14ac:dyDescent="0.3">
      <c r="A529" t="s">
        <v>93</v>
      </c>
      <c r="B529" s="2">
        <v>45992</v>
      </c>
      <c r="C529">
        <v>11630.7</v>
      </c>
    </row>
    <row r="530" spans="1:3" ht="15" hidden="1" customHeight="1" x14ac:dyDescent="0.3">
      <c r="A530" t="s">
        <v>93</v>
      </c>
      <c r="B530" s="2">
        <v>46023</v>
      </c>
      <c r="C530">
        <v>11798.1</v>
      </c>
    </row>
    <row r="531" spans="1:3" ht="15" hidden="1" customHeight="1" x14ac:dyDescent="0.3">
      <c r="A531" t="s">
        <v>93</v>
      </c>
      <c r="B531" s="2">
        <v>46054</v>
      </c>
      <c r="C531">
        <v>10269.9</v>
      </c>
    </row>
    <row r="532" spans="1:3" ht="15" hidden="1" customHeight="1" x14ac:dyDescent="0.3">
      <c r="A532" t="s">
        <v>93</v>
      </c>
      <c r="B532" s="2">
        <v>46082</v>
      </c>
      <c r="C532">
        <v>10571.4</v>
      </c>
    </row>
    <row r="533" spans="1:3" ht="15" hidden="1" customHeight="1" x14ac:dyDescent="0.3">
      <c r="A533" t="s">
        <v>93</v>
      </c>
      <c r="B533" s="2">
        <v>46113</v>
      </c>
      <c r="C533">
        <v>8335.7999999999993</v>
      </c>
    </row>
    <row r="534" spans="1:3" ht="15" hidden="1" customHeight="1" x14ac:dyDescent="0.3">
      <c r="A534" t="s">
        <v>93</v>
      </c>
      <c r="B534" s="2">
        <v>46143</v>
      </c>
      <c r="C534">
        <v>6723.9</v>
      </c>
    </row>
    <row r="535" spans="1:3" ht="15" hidden="1" customHeight="1" x14ac:dyDescent="0.3">
      <c r="A535" t="s">
        <v>93</v>
      </c>
      <c r="B535" s="2">
        <v>46174</v>
      </c>
      <c r="C535">
        <v>5859.9</v>
      </c>
    </row>
    <row r="536" spans="1:3" ht="15" customHeight="1" x14ac:dyDescent="0.3">
      <c r="A536" t="s">
        <v>93</v>
      </c>
      <c r="B536" s="2">
        <v>46204</v>
      </c>
      <c r="C536">
        <v>6453</v>
      </c>
    </row>
    <row r="537" spans="1:3" ht="15" hidden="1" customHeight="1" x14ac:dyDescent="0.3">
      <c r="A537" t="s">
        <v>93</v>
      </c>
      <c r="B537" s="2">
        <v>46235</v>
      </c>
      <c r="C537">
        <v>7491.6</v>
      </c>
    </row>
    <row r="538" spans="1:3" ht="15" hidden="1" customHeight="1" x14ac:dyDescent="0.3">
      <c r="A538" t="s">
        <v>93</v>
      </c>
      <c r="B538" s="2">
        <v>46266</v>
      </c>
      <c r="C538">
        <v>8864.1</v>
      </c>
    </row>
    <row r="539" spans="1:3" ht="15" hidden="1" customHeight="1" x14ac:dyDescent="0.3">
      <c r="A539" t="s">
        <v>93</v>
      </c>
      <c r="B539" s="2">
        <v>46296</v>
      </c>
      <c r="C539">
        <v>10361.700000000001</v>
      </c>
    </row>
    <row r="540" spans="1:3" ht="15" hidden="1" customHeight="1" x14ac:dyDescent="0.3">
      <c r="A540" t="s">
        <v>93</v>
      </c>
      <c r="B540" s="2">
        <v>46327</v>
      </c>
      <c r="C540">
        <v>10972.8</v>
      </c>
    </row>
    <row r="541" spans="1:3" ht="15" hidden="1" customHeight="1" x14ac:dyDescent="0.3">
      <c r="A541" t="s">
        <v>93</v>
      </c>
      <c r="B541" s="2">
        <v>46357</v>
      </c>
      <c r="C541">
        <v>11630.7</v>
      </c>
    </row>
    <row r="542" spans="1:3" ht="15" hidden="1" customHeight="1" x14ac:dyDescent="0.3">
      <c r="A542" t="s">
        <v>95</v>
      </c>
      <c r="B542" s="2">
        <v>45292</v>
      </c>
      <c r="C542">
        <v>33516</v>
      </c>
    </row>
    <row r="543" spans="1:3" ht="15" hidden="1" customHeight="1" x14ac:dyDescent="0.3">
      <c r="A543" t="s">
        <v>95</v>
      </c>
      <c r="B543" s="2">
        <v>45323</v>
      </c>
      <c r="C543">
        <v>28776.799999999999</v>
      </c>
    </row>
    <row r="544" spans="1:3" ht="15" hidden="1" customHeight="1" x14ac:dyDescent="0.3">
      <c r="A544" t="s">
        <v>95</v>
      </c>
      <c r="B544" s="2">
        <v>45352</v>
      </c>
      <c r="C544">
        <v>29186.400000000001</v>
      </c>
    </row>
    <row r="545" spans="1:3" ht="15" hidden="1" customHeight="1" x14ac:dyDescent="0.3">
      <c r="A545" t="s">
        <v>95</v>
      </c>
      <c r="B545" s="2">
        <v>45383</v>
      </c>
      <c r="C545">
        <v>24678.400000000001</v>
      </c>
    </row>
    <row r="546" spans="1:3" ht="15" hidden="1" customHeight="1" x14ac:dyDescent="0.3">
      <c r="A546" t="s">
        <v>95</v>
      </c>
      <c r="B546" s="2">
        <v>45413</v>
      </c>
      <c r="C546">
        <v>23380.799999999999</v>
      </c>
    </row>
    <row r="547" spans="1:3" ht="15" hidden="1" customHeight="1" x14ac:dyDescent="0.3">
      <c r="A547" t="s">
        <v>95</v>
      </c>
      <c r="B547" s="2">
        <v>45444</v>
      </c>
      <c r="C547">
        <v>20986.400000000001</v>
      </c>
    </row>
    <row r="548" spans="1:3" ht="15" hidden="1" customHeight="1" x14ac:dyDescent="0.3">
      <c r="A548" t="s">
        <v>95</v>
      </c>
      <c r="B548" s="2">
        <v>45474</v>
      </c>
      <c r="C548">
        <v>23255.200000000001</v>
      </c>
    </row>
    <row r="549" spans="1:3" ht="15" hidden="1" customHeight="1" x14ac:dyDescent="0.3">
      <c r="A549" t="s">
        <v>95</v>
      </c>
      <c r="B549" s="2">
        <v>45505</v>
      </c>
      <c r="C549">
        <v>27306.400000000001</v>
      </c>
    </row>
    <row r="550" spans="1:3" ht="15" hidden="1" customHeight="1" x14ac:dyDescent="0.3">
      <c r="A550" t="s">
        <v>95</v>
      </c>
      <c r="B550" s="2">
        <v>45536</v>
      </c>
      <c r="C550">
        <v>30312</v>
      </c>
    </row>
    <row r="551" spans="1:3" ht="15" hidden="1" customHeight="1" x14ac:dyDescent="0.3">
      <c r="A551" t="s">
        <v>95</v>
      </c>
      <c r="B551" s="2">
        <v>45566</v>
      </c>
      <c r="C551">
        <v>33024</v>
      </c>
    </row>
    <row r="552" spans="1:3" ht="15" hidden="1" customHeight="1" x14ac:dyDescent="0.3">
      <c r="A552" t="s">
        <v>95</v>
      </c>
      <c r="B552" s="2">
        <v>45597</v>
      </c>
      <c r="C552">
        <v>33214.400000000001</v>
      </c>
    </row>
    <row r="553" spans="1:3" ht="15" hidden="1" customHeight="1" x14ac:dyDescent="0.3">
      <c r="A553" t="s">
        <v>95</v>
      </c>
      <c r="B553" s="2">
        <v>45627</v>
      </c>
      <c r="C553">
        <v>35066.400000000001</v>
      </c>
    </row>
    <row r="554" spans="1:3" ht="15" hidden="1" customHeight="1" x14ac:dyDescent="0.3">
      <c r="A554" t="s">
        <v>95</v>
      </c>
      <c r="B554" s="2">
        <v>45658</v>
      </c>
      <c r="C554">
        <v>33516</v>
      </c>
    </row>
    <row r="555" spans="1:3" ht="15" hidden="1" customHeight="1" x14ac:dyDescent="0.3">
      <c r="A555" t="s">
        <v>95</v>
      </c>
      <c r="B555" s="2">
        <v>45689</v>
      </c>
      <c r="C555">
        <v>28776.799999999999</v>
      </c>
    </row>
    <row r="556" spans="1:3" ht="15" hidden="1" customHeight="1" x14ac:dyDescent="0.3">
      <c r="A556" t="s">
        <v>95</v>
      </c>
      <c r="B556" s="2">
        <v>45717</v>
      </c>
      <c r="C556">
        <v>29186.400000000001</v>
      </c>
    </row>
    <row r="557" spans="1:3" ht="15" hidden="1" customHeight="1" x14ac:dyDescent="0.3">
      <c r="A557" t="s">
        <v>95</v>
      </c>
      <c r="B557" s="2">
        <v>45748</v>
      </c>
      <c r="C557">
        <v>24678.400000000001</v>
      </c>
    </row>
    <row r="558" spans="1:3" ht="15" hidden="1" customHeight="1" x14ac:dyDescent="0.3">
      <c r="A558" t="s">
        <v>95</v>
      </c>
      <c r="B558" s="2">
        <v>45778</v>
      </c>
      <c r="C558">
        <v>23380.799999999999</v>
      </c>
    </row>
    <row r="559" spans="1:3" ht="15" hidden="1" customHeight="1" x14ac:dyDescent="0.3">
      <c r="A559" t="s">
        <v>95</v>
      </c>
      <c r="B559" s="2">
        <v>45809</v>
      </c>
      <c r="C559">
        <v>20986.400000000001</v>
      </c>
    </row>
    <row r="560" spans="1:3" ht="15" hidden="1" customHeight="1" x14ac:dyDescent="0.3">
      <c r="A560" t="s">
        <v>95</v>
      </c>
      <c r="B560" s="2">
        <v>45839</v>
      </c>
      <c r="C560">
        <v>23255.200000000001</v>
      </c>
    </row>
    <row r="561" spans="1:3" ht="15" hidden="1" customHeight="1" x14ac:dyDescent="0.3">
      <c r="A561" t="s">
        <v>95</v>
      </c>
      <c r="B561" s="2">
        <v>45870</v>
      </c>
      <c r="C561">
        <v>27306.400000000001</v>
      </c>
    </row>
    <row r="562" spans="1:3" ht="15" hidden="1" customHeight="1" x14ac:dyDescent="0.3">
      <c r="A562" t="s">
        <v>95</v>
      </c>
      <c r="B562" s="2">
        <v>45901</v>
      </c>
      <c r="C562">
        <v>30312</v>
      </c>
    </row>
    <row r="563" spans="1:3" ht="15" hidden="1" customHeight="1" x14ac:dyDescent="0.3">
      <c r="A563" t="s">
        <v>95</v>
      </c>
      <c r="B563" s="2">
        <v>45931</v>
      </c>
      <c r="C563">
        <v>33024</v>
      </c>
    </row>
    <row r="564" spans="1:3" ht="15" hidden="1" customHeight="1" x14ac:dyDescent="0.3">
      <c r="A564" t="s">
        <v>95</v>
      </c>
      <c r="B564" s="2">
        <v>45962</v>
      </c>
      <c r="C564">
        <v>33214.400000000001</v>
      </c>
    </row>
    <row r="565" spans="1:3" ht="15" hidden="1" customHeight="1" x14ac:dyDescent="0.3">
      <c r="A565" t="s">
        <v>95</v>
      </c>
      <c r="B565" s="2">
        <v>45992</v>
      </c>
      <c r="C565">
        <v>35066.400000000001</v>
      </c>
    </row>
    <row r="566" spans="1:3" ht="15" hidden="1" customHeight="1" x14ac:dyDescent="0.3">
      <c r="A566" t="s">
        <v>95</v>
      </c>
      <c r="B566" s="2">
        <v>46023</v>
      </c>
      <c r="C566">
        <v>33516</v>
      </c>
    </row>
    <row r="567" spans="1:3" ht="15" hidden="1" customHeight="1" x14ac:dyDescent="0.3">
      <c r="A567" t="s">
        <v>95</v>
      </c>
      <c r="B567" s="2">
        <v>46054</v>
      </c>
      <c r="C567">
        <v>28776.799999999999</v>
      </c>
    </row>
    <row r="568" spans="1:3" ht="15" hidden="1" customHeight="1" x14ac:dyDescent="0.3">
      <c r="A568" t="s">
        <v>95</v>
      </c>
      <c r="B568" s="2">
        <v>46082</v>
      </c>
      <c r="C568">
        <v>29186.400000000001</v>
      </c>
    </row>
    <row r="569" spans="1:3" ht="15" hidden="1" customHeight="1" x14ac:dyDescent="0.3">
      <c r="A569" t="s">
        <v>95</v>
      </c>
      <c r="B569" s="2">
        <v>46113</v>
      </c>
      <c r="C569">
        <v>24678.400000000001</v>
      </c>
    </row>
    <row r="570" spans="1:3" ht="15" hidden="1" customHeight="1" x14ac:dyDescent="0.3">
      <c r="A570" t="s">
        <v>95</v>
      </c>
      <c r="B570" s="2">
        <v>46143</v>
      </c>
      <c r="C570">
        <v>23380.799999999999</v>
      </c>
    </row>
    <row r="571" spans="1:3" ht="15" hidden="1" customHeight="1" x14ac:dyDescent="0.3">
      <c r="A571" t="s">
        <v>95</v>
      </c>
      <c r="B571" s="2">
        <v>46174</v>
      </c>
      <c r="C571">
        <v>20986.400000000001</v>
      </c>
    </row>
    <row r="572" spans="1:3" ht="15" customHeight="1" x14ac:dyDescent="0.3">
      <c r="A572" t="s">
        <v>95</v>
      </c>
      <c r="B572" s="2">
        <v>46204</v>
      </c>
      <c r="C572">
        <v>23255.200000000001</v>
      </c>
    </row>
    <row r="573" spans="1:3" ht="15" hidden="1" customHeight="1" x14ac:dyDescent="0.3">
      <c r="A573" t="s">
        <v>95</v>
      </c>
      <c r="B573" s="2">
        <v>46235</v>
      </c>
      <c r="C573">
        <v>27306.400000000001</v>
      </c>
    </row>
    <row r="574" spans="1:3" ht="15" hidden="1" customHeight="1" x14ac:dyDescent="0.3">
      <c r="A574" t="s">
        <v>95</v>
      </c>
      <c r="B574" s="2">
        <v>46266</v>
      </c>
      <c r="C574">
        <v>30312</v>
      </c>
    </row>
    <row r="575" spans="1:3" ht="15" hidden="1" customHeight="1" x14ac:dyDescent="0.3">
      <c r="A575" t="s">
        <v>95</v>
      </c>
      <c r="B575" s="2">
        <v>46296</v>
      </c>
      <c r="C575">
        <v>33024</v>
      </c>
    </row>
    <row r="576" spans="1:3" ht="15" hidden="1" customHeight="1" x14ac:dyDescent="0.3">
      <c r="A576" t="s">
        <v>95</v>
      </c>
      <c r="B576" s="2">
        <v>46327</v>
      </c>
      <c r="C576">
        <v>33214.400000000001</v>
      </c>
    </row>
    <row r="577" spans="1:3" ht="15" hidden="1" customHeight="1" x14ac:dyDescent="0.3">
      <c r="A577" t="s">
        <v>95</v>
      </c>
      <c r="B577" s="2">
        <v>46357</v>
      </c>
      <c r="C577">
        <v>35066.400000000001</v>
      </c>
    </row>
    <row r="578" spans="1:3" ht="15" hidden="1" customHeight="1" x14ac:dyDescent="0.3">
      <c r="A578" t="s">
        <v>239</v>
      </c>
      <c r="B578" s="2">
        <v>45292</v>
      </c>
      <c r="C578">
        <v>2461.5</v>
      </c>
    </row>
    <row r="579" spans="1:3" ht="15" hidden="1" customHeight="1" x14ac:dyDescent="0.3">
      <c r="A579" t="s">
        <v>239</v>
      </c>
      <c r="B579" s="2">
        <v>45323</v>
      </c>
      <c r="C579">
        <v>2300.4</v>
      </c>
    </row>
    <row r="580" spans="1:3" ht="15" hidden="1" customHeight="1" x14ac:dyDescent="0.3">
      <c r="A580" t="s">
        <v>239</v>
      </c>
      <c r="B580" s="2">
        <v>45352</v>
      </c>
      <c r="C580">
        <v>2281.5</v>
      </c>
    </row>
    <row r="581" spans="1:3" ht="15" hidden="1" customHeight="1" x14ac:dyDescent="0.3">
      <c r="A581" t="s">
        <v>239</v>
      </c>
      <c r="B581" s="2">
        <v>45383</v>
      </c>
      <c r="C581">
        <v>2197.8000000000002</v>
      </c>
    </row>
    <row r="582" spans="1:3" ht="15" hidden="1" customHeight="1" x14ac:dyDescent="0.3">
      <c r="A582" t="s">
        <v>239</v>
      </c>
      <c r="B582" s="2">
        <v>45413</v>
      </c>
      <c r="C582">
        <v>2226.6</v>
      </c>
    </row>
    <row r="583" spans="1:3" ht="15" hidden="1" customHeight="1" x14ac:dyDescent="0.3">
      <c r="A583" t="s">
        <v>239</v>
      </c>
      <c r="B583" s="2">
        <v>45444</v>
      </c>
      <c r="C583">
        <v>2480.4</v>
      </c>
    </row>
    <row r="584" spans="1:3" ht="15" hidden="1" customHeight="1" x14ac:dyDescent="0.3">
      <c r="A584" t="s">
        <v>239</v>
      </c>
      <c r="B584" s="2">
        <v>45474</v>
      </c>
      <c r="C584">
        <v>2349.9</v>
      </c>
    </row>
    <row r="585" spans="1:3" ht="15" hidden="1" customHeight="1" x14ac:dyDescent="0.3">
      <c r="A585" t="s">
        <v>239</v>
      </c>
      <c r="B585" s="2">
        <v>45505</v>
      </c>
      <c r="C585">
        <v>2520</v>
      </c>
    </row>
    <row r="586" spans="1:3" ht="15" hidden="1" customHeight="1" x14ac:dyDescent="0.3">
      <c r="A586" t="s">
        <v>239</v>
      </c>
      <c r="B586" s="2">
        <v>45536</v>
      </c>
      <c r="C586">
        <v>2436.3000000000002</v>
      </c>
    </row>
    <row r="587" spans="1:3" ht="15" hidden="1" customHeight="1" x14ac:dyDescent="0.3">
      <c r="A587" t="s">
        <v>239</v>
      </c>
      <c r="B587" s="2">
        <v>45566</v>
      </c>
      <c r="C587">
        <v>2425.5</v>
      </c>
    </row>
    <row r="588" spans="1:3" ht="15" hidden="1" customHeight="1" x14ac:dyDescent="0.3">
      <c r="A588" t="s">
        <v>239</v>
      </c>
      <c r="B588" s="2">
        <v>45597</v>
      </c>
      <c r="C588">
        <v>2356.1999999999998</v>
      </c>
    </row>
    <row r="589" spans="1:3" ht="15" hidden="1" customHeight="1" x14ac:dyDescent="0.3">
      <c r="A589" t="s">
        <v>239</v>
      </c>
      <c r="B589" s="2">
        <v>45627</v>
      </c>
      <c r="C589">
        <v>2437.1999999999998</v>
      </c>
    </row>
    <row r="590" spans="1:3" ht="15" hidden="1" customHeight="1" x14ac:dyDescent="0.3">
      <c r="A590" t="s">
        <v>239</v>
      </c>
      <c r="B590" s="2">
        <v>45658</v>
      </c>
      <c r="C590">
        <v>2461.5</v>
      </c>
    </row>
    <row r="591" spans="1:3" ht="15" hidden="1" customHeight="1" x14ac:dyDescent="0.3">
      <c r="A591" t="s">
        <v>239</v>
      </c>
      <c r="B591" s="2">
        <v>45689</v>
      </c>
      <c r="C591">
        <v>2300.4</v>
      </c>
    </row>
    <row r="592" spans="1:3" ht="15" hidden="1" customHeight="1" x14ac:dyDescent="0.3">
      <c r="A592" t="s">
        <v>239</v>
      </c>
      <c r="B592" s="2">
        <v>45717</v>
      </c>
      <c r="C592">
        <v>2281.5</v>
      </c>
    </row>
    <row r="593" spans="1:3" ht="15" hidden="1" customHeight="1" x14ac:dyDescent="0.3">
      <c r="A593" t="s">
        <v>239</v>
      </c>
      <c r="B593" s="2">
        <v>45748</v>
      </c>
      <c r="C593">
        <v>2197.8000000000002</v>
      </c>
    </row>
    <row r="594" spans="1:3" ht="15" hidden="1" customHeight="1" x14ac:dyDescent="0.3">
      <c r="A594" t="s">
        <v>239</v>
      </c>
      <c r="B594" s="2">
        <v>45778</v>
      </c>
      <c r="C594">
        <v>2226.6</v>
      </c>
    </row>
    <row r="595" spans="1:3" ht="15" hidden="1" customHeight="1" x14ac:dyDescent="0.3">
      <c r="A595" t="s">
        <v>239</v>
      </c>
      <c r="B595" s="2">
        <v>45809</v>
      </c>
      <c r="C595">
        <v>2480.4</v>
      </c>
    </row>
    <row r="596" spans="1:3" ht="15" hidden="1" customHeight="1" x14ac:dyDescent="0.3">
      <c r="A596" t="s">
        <v>239</v>
      </c>
      <c r="B596" s="2">
        <v>45839</v>
      </c>
      <c r="C596">
        <v>2349.9</v>
      </c>
    </row>
    <row r="597" spans="1:3" ht="15" hidden="1" customHeight="1" x14ac:dyDescent="0.3">
      <c r="A597" t="s">
        <v>239</v>
      </c>
      <c r="B597" s="2">
        <v>45870</v>
      </c>
      <c r="C597">
        <v>2520</v>
      </c>
    </row>
    <row r="598" spans="1:3" ht="15" hidden="1" customHeight="1" x14ac:dyDescent="0.3">
      <c r="A598" t="s">
        <v>239</v>
      </c>
      <c r="B598" s="2">
        <v>45901</v>
      </c>
      <c r="C598">
        <v>2436.3000000000002</v>
      </c>
    </row>
    <row r="599" spans="1:3" ht="15" hidden="1" customHeight="1" x14ac:dyDescent="0.3">
      <c r="A599" t="s">
        <v>239</v>
      </c>
      <c r="B599" s="2">
        <v>45931</v>
      </c>
      <c r="C599">
        <v>2425.5</v>
      </c>
    </row>
    <row r="600" spans="1:3" ht="15" hidden="1" customHeight="1" x14ac:dyDescent="0.3">
      <c r="A600" t="s">
        <v>239</v>
      </c>
      <c r="B600" s="2">
        <v>45962</v>
      </c>
      <c r="C600">
        <v>2356.1999999999998</v>
      </c>
    </row>
    <row r="601" spans="1:3" ht="15" hidden="1" customHeight="1" x14ac:dyDescent="0.3">
      <c r="A601" t="s">
        <v>239</v>
      </c>
      <c r="B601" s="2">
        <v>45992</v>
      </c>
      <c r="C601">
        <v>2437.1999999999998</v>
      </c>
    </row>
    <row r="602" spans="1:3" ht="15" hidden="1" customHeight="1" x14ac:dyDescent="0.3">
      <c r="A602" t="s">
        <v>239</v>
      </c>
      <c r="B602" s="2">
        <v>46023</v>
      </c>
      <c r="C602">
        <v>2461.5</v>
      </c>
    </row>
    <row r="603" spans="1:3" ht="15" hidden="1" customHeight="1" x14ac:dyDescent="0.3">
      <c r="A603" t="s">
        <v>239</v>
      </c>
      <c r="B603" s="2">
        <v>46054</v>
      </c>
      <c r="C603">
        <v>2300.4</v>
      </c>
    </row>
    <row r="604" spans="1:3" ht="15" hidden="1" customHeight="1" x14ac:dyDescent="0.3">
      <c r="A604" t="s">
        <v>239</v>
      </c>
      <c r="B604" s="2">
        <v>46082</v>
      </c>
      <c r="C604">
        <v>2281.5</v>
      </c>
    </row>
    <row r="605" spans="1:3" ht="15" hidden="1" customHeight="1" x14ac:dyDescent="0.3">
      <c r="A605" t="s">
        <v>239</v>
      </c>
      <c r="B605" s="2">
        <v>46113</v>
      </c>
      <c r="C605">
        <v>2197.8000000000002</v>
      </c>
    </row>
    <row r="606" spans="1:3" ht="15" hidden="1" customHeight="1" x14ac:dyDescent="0.3">
      <c r="A606" t="s">
        <v>239</v>
      </c>
      <c r="B606" s="2">
        <v>46143</v>
      </c>
      <c r="C606">
        <v>2226.6</v>
      </c>
    </row>
    <row r="607" spans="1:3" ht="15" hidden="1" customHeight="1" x14ac:dyDescent="0.3">
      <c r="A607" t="s">
        <v>239</v>
      </c>
      <c r="B607" s="2">
        <v>46174</v>
      </c>
      <c r="C607">
        <v>2480.4</v>
      </c>
    </row>
    <row r="608" spans="1:3" ht="15" customHeight="1" x14ac:dyDescent="0.3">
      <c r="A608" t="s">
        <v>239</v>
      </c>
      <c r="B608" s="2">
        <v>46204</v>
      </c>
      <c r="C608">
        <v>2349.9</v>
      </c>
    </row>
    <row r="609" spans="1:3" ht="15" hidden="1" customHeight="1" x14ac:dyDescent="0.3">
      <c r="A609" t="s">
        <v>239</v>
      </c>
      <c r="B609" s="2">
        <v>46235</v>
      </c>
      <c r="C609">
        <v>2520</v>
      </c>
    </row>
    <row r="610" spans="1:3" ht="15" hidden="1" customHeight="1" x14ac:dyDescent="0.3">
      <c r="A610" t="s">
        <v>239</v>
      </c>
      <c r="B610" s="2">
        <v>46266</v>
      </c>
      <c r="C610">
        <v>2436.3000000000002</v>
      </c>
    </row>
    <row r="611" spans="1:3" ht="15" hidden="1" customHeight="1" x14ac:dyDescent="0.3">
      <c r="A611" t="s">
        <v>239</v>
      </c>
      <c r="B611" s="2">
        <v>46296</v>
      </c>
      <c r="C611">
        <v>2425.5</v>
      </c>
    </row>
    <row r="612" spans="1:3" ht="15" hidden="1" customHeight="1" x14ac:dyDescent="0.3">
      <c r="A612" t="s">
        <v>239</v>
      </c>
      <c r="B612" s="2">
        <v>46327</v>
      </c>
      <c r="C612">
        <v>2356.1999999999998</v>
      </c>
    </row>
    <row r="613" spans="1:3" ht="15" hidden="1" customHeight="1" x14ac:dyDescent="0.3">
      <c r="A613" t="s">
        <v>239</v>
      </c>
      <c r="B613" s="2">
        <v>46357</v>
      </c>
      <c r="C613">
        <v>2437.1999999999998</v>
      </c>
    </row>
    <row r="614" spans="1:3" ht="15" hidden="1" customHeight="1" x14ac:dyDescent="0.3">
      <c r="A614" t="s">
        <v>98</v>
      </c>
      <c r="B614" s="2">
        <v>45292</v>
      </c>
      <c r="C614">
        <v>13584</v>
      </c>
    </row>
    <row r="615" spans="1:3" ht="15" hidden="1" customHeight="1" x14ac:dyDescent="0.3">
      <c r="A615" t="s">
        <v>98</v>
      </c>
      <c r="B615" s="2">
        <v>45323</v>
      </c>
      <c r="C615">
        <v>12445.28</v>
      </c>
    </row>
    <row r="616" spans="1:3" ht="15" hidden="1" customHeight="1" x14ac:dyDescent="0.3">
      <c r="A616" t="s">
        <v>98</v>
      </c>
      <c r="B616" s="2">
        <v>45352</v>
      </c>
      <c r="C616">
        <v>12742.08</v>
      </c>
    </row>
    <row r="617" spans="1:3" ht="15" hidden="1" customHeight="1" x14ac:dyDescent="0.3">
      <c r="A617" t="s">
        <v>98</v>
      </c>
      <c r="B617" s="2">
        <v>45383</v>
      </c>
      <c r="C617">
        <v>10941.84</v>
      </c>
    </row>
    <row r="618" spans="1:3" ht="15" hidden="1" customHeight="1" x14ac:dyDescent="0.3">
      <c r="A618" t="s">
        <v>98</v>
      </c>
      <c r="B618" s="2">
        <v>45413</v>
      </c>
      <c r="C618">
        <v>9881.2800000000007</v>
      </c>
    </row>
    <row r="619" spans="1:3" ht="15" hidden="1" customHeight="1" x14ac:dyDescent="0.3">
      <c r="A619" t="s">
        <v>98</v>
      </c>
      <c r="B619" s="2">
        <v>45444</v>
      </c>
      <c r="C619">
        <v>9234.8799999999992</v>
      </c>
    </row>
    <row r="620" spans="1:3" ht="15" hidden="1" customHeight="1" x14ac:dyDescent="0.3">
      <c r="A620" t="s">
        <v>98</v>
      </c>
      <c r="B620" s="2">
        <v>45474</v>
      </c>
      <c r="C620">
        <v>9756.08</v>
      </c>
    </row>
    <row r="621" spans="1:3" ht="15" hidden="1" customHeight="1" x14ac:dyDescent="0.3">
      <c r="A621" t="s">
        <v>98</v>
      </c>
      <c r="B621" s="2">
        <v>45505</v>
      </c>
      <c r="C621">
        <v>10822.4</v>
      </c>
    </row>
    <row r="622" spans="1:3" ht="15" hidden="1" customHeight="1" x14ac:dyDescent="0.3">
      <c r="A622" t="s">
        <v>98</v>
      </c>
      <c r="B622" s="2">
        <v>45536</v>
      </c>
      <c r="C622">
        <v>10915.68</v>
      </c>
    </row>
    <row r="623" spans="1:3" ht="15" hidden="1" customHeight="1" x14ac:dyDescent="0.3">
      <c r="A623" t="s">
        <v>98</v>
      </c>
      <c r="B623" s="2">
        <v>45566</v>
      </c>
      <c r="C623">
        <v>12133.12</v>
      </c>
    </row>
    <row r="624" spans="1:3" ht="15" hidden="1" customHeight="1" x14ac:dyDescent="0.3">
      <c r="A624" t="s">
        <v>98</v>
      </c>
      <c r="B624" s="2">
        <v>45597</v>
      </c>
      <c r="C624">
        <v>12325.98984</v>
      </c>
    </row>
    <row r="625" spans="1:3" ht="15" hidden="1" customHeight="1" x14ac:dyDescent="0.3">
      <c r="A625" t="s">
        <v>98</v>
      </c>
      <c r="B625" s="2">
        <v>45627</v>
      </c>
      <c r="C625">
        <v>13473.89784</v>
      </c>
    </row>
    <row r="626" spans="1:3" ht="15" hidden="1" customHeight="1" x14ac:dyDescent="0.3">
      <c r="A626" t="s">
        <v>98</v>
      </c>
      <c r="B626" s="2">
        <v>45658</v>
      </c>
      <c r="C626">
        <v>13584</v>
      </c>
    </row>
    <row r="627" spans="1:3" ht="15" hidden="1" customHeight="1" x14ac:dyDescent="0.3">
      <c r="A627" t="s">
        <v>98</v>
      </c>
      <c r="B627" s="2">
        <v>45689</v>
      </c>
      <c r="C627">
        <v>12445.28</v>
      </c>
    </row>
    <row r="628" spans="1:3" ht="15" hidden="1" customHeight="1" x14ac:dyDescent="0.3">
      <c r="A628" t="s">
        <v>98</v>
      </c>
      <c r="B628" s="2">
        <v>45717</v>
      </c>
      <c r="C628">
        <v>12742.08</v>
      </c>
    </row>
    <row r="629" spans="1:3" ht="15" hidden="1" customHeight="1" x14ac:dyDescent="0.3">
      <c r="A629" t="s">
        <v>98</v>
      </c>
      <c r="B629" s="2">
        <v>45748</v>
      </c>
      <c r="C629">
        <v>10941.84</v>
      </c>
    </row>
    <row r="630" spans="1:3" ht="15" hidden="1" customHeight="1" x14ac:dyDescent="0.3">
      <c r="A630" t="s">
        <v>98</v>
      </c>
      <c r="B630" s="2">
        <v>45778</v>
      </c>
      <c r="C630">
        <v>9881.2800000000007</v>
      </c>
    </row>
    <row r="631" spans="1:3" ht="15" hidden="1" customHeight="1" x14ac:dyDescent="0.3">
      <c r="A631" t="s">
        <v>98</v>
      </c>
      <c r="B631" s="2">
        <v>45809</v>
      </c>
      <c r="C631">
        <v>9234.8799999999992</v>
      </c>
    </row>
    <row r="632" spans="1:3" ht="15" hidden="1" customHeight="1" x14ac:dyDescent="0.3">
      <c r="A632" t="s">
        <v>98</v>
      </c>
      <c r="B632" s="2">
        <v>45839</v>
      </c>
      <c r="C632">
        <v>9756.08</v>
      </c>
    </row>
    <row r="633" spans="1:3" ht="15" hidden="1" customHeight="1" x14ac:dyDescent="0.3">
      <c r="A633" t="s">
        <v>98</v>
      </c>
      <c r="B633" s="2">
        <v>45870</v>
      </c>
      <c r="C633">
        <v>10822.4</v>
      </c>
    </row>
    <row r="634" spans="1:3" ht="15" hidden="1" customHeight="1" x14ac:dyDescent="0.3">
      <c r="A634" t="s">
        <v>98</v>
      </c>
      <c r="B634" s="2">
        <v>45901</v>
      </c>
      <c r="C634">
        <v>10915.68</v>
      </c>
    </row>
    <row r="635" spans="1:3" ht="15" hidden="1" customHeight="1" x14ac:dyDescent="0.3">
      <c r="A635" t="s">
        <v>98</v>
      </c>
      <c r="B635" s="2">
        <v>45931</v>
      </c>
      <c r="C635">
        <v>12133.12</v>
      </c>
    </row>
    <row r="636" spans="1:3" ht="15" hidden="1" customHeight="1" x14ac:dyDescent="0.3">
      <c r="A636" t="s">
        <v>98</v>
      </c>
      <c r="B636" s="2">
        <v>45962</v>
      </c>
      <c r="C636">
        <v>12325.98984</v>
      </c>
    </row>
    <row r="637" spans="1:3" ht="15" hidden="1" customHeight="1" x14ac:dyDescent="0.3">
      <c r="A637" t="s">
        <v>98</v>
      </c>
      <c r="B637" s="2">
        <v>45992</v>
      </c>
      <c r="C637">
        <v>13473.89784</v>
      </c>
    </row>
    <row r="638" spans="1:3" ht="15" hidden="1" customHeight="1" x14ac:dyDescent="0.3">
      <c r="A638" t="s">
        <v>98</v>
      </c>
      <c r="B638" s="2">
        <v>46023</v>
      </c>
      <c r="C638">
        <v>13584</v>
      </c>
    </row>
    <row r="639" spans="1:3" ht="15" hidden="1" customHeight="1" x14ac:dyDescent="0.3">
      <c r="A639" t="s">
        <v>98</v>
      </c>
      <c r="B639" s="2">
        <v>46054</v>
      </c>
      <c r="C639">
        <v>12445.28</v>
      </c>
    </row>
    <row r="640" spans="1:3" ht="15" hidden="1" customHeight="1" x14ac:dyDescent="0.3">
      <c r="A640" t="s">
        <v>98</v>
      </c>
      <c r="B640" s="2">
        <v>46082</v>
      </c>
      <c r="C640">
        <v>12742.08</v>
      </c>
    </row>
    <row r="641" spans="1:3" ht="15" hidden="1" customHeight="1" x14ac:dyDescent="0.3">
      <c r="A641" t="s">
        <v>98</v>
      </c>
      <c r="B641" s="2">
        <v>46113</v>
      </c>
      <c r="C641">
        <v>10941.84</v>
      </c>
    </row>
    <row r="642" spans="1:3" ht="15" hidden="1" customHeight="1" x14ac:dyDescent="0.3">
      <c r="A642" t="s">
        <v>98</v>
      </c>
      <c r="B642" s="2">
        <v>46143</v>
      </c>
      <c r="C642">
        <v>9881.2800000000007</v>
      </c>
    </row>
    <row r="643" spans="1:3" ht="15" hidden="1" customHeight="1" x14ac:dyDescent="0.3">
      <c r="A643" t="s">
        <v>98</v>
      </c>
      <c r="B643" s="2">
        <v>46174</v>
      </c>
      <c r="C643">
        <v>9234.8799999999992</v>
      </c>
    </row>
    <row r="644" spans="1:3" ht="15" customHeight="1" x14ac:dyDescent="0.3">
      <c r="A644" t="s">
        <v>98</v>
      </c>
      <c r="B644" s="2">
        <v>46204</v>
      </c>
      <c r="C644">
        <v>9756.08</v>
      </c>
    </row>
    <row r="645" spans="1:3" ht="15" hidden="1" customHeight="1" x14ac:dyDescent="0.3">
      <c r="A645" t="s">
        <v>98</v>
      </c>
      <c r="B645" s="2">
        <v>46235</v>
      </c>
      <c r="C645">
        <v>10822.4</v>
      </c>
    </row>
    <row r="646" spans="1:3" ht="15" hidden="1" customHeight="1" x14ac:dyDescent="0.3">
      <c r="A646" t="s">
        <v>98</v>
      </c>
      <c r="B646" s="2">
        <v>46266</v>
      </c>
      <c r="C646">
        <v>10915.68</v>
      </c>
    </row>
    <row r="647" spans="1:3" ht="15" hidden="1" customHeight="1" x14ac:dyDescent="0.3">
      <c r="A647" t="s">
        <v>98</v>
      </c>
      <c r="B647" s="2">
        <v>46296</v>
      </c>
      <c r="C647">
        <v>12133.12</v>
      </c>
    </row>
    <row r="648" spans="1:3" ht="15" hidden="1" customHeight="1" x14ac:dyDescent="0.3">
      <c r="A648" t="s">
        <v>98</v>
      </c>
      <c r="B648" s="2">
        <v>46327</v>
      </c>
      <c r="C648">
        <v>12325.98984</v>
      </c>
    </row>
    <row r="649" spans="1:3" ht="15" hidden="1" customHeight="1" x14ac:dyDescent="0.3">
      <c r="A649" t="s">
        <v>98</v>
      </c>
      <c r="B649" s="2">
        <v>46357</v>
      </c>
      <c r="C649">
        <v>13473.89784</v>
      </c>
    </row>
    <row r="650" spans="1:3" ht="15" hidden="1" customHeight="1" x14ac:dyDescent="0.3">
      <c r="A650" t="s">
        <v>102</v>
      </c>
      <c r="B650" s="2">
        <v>45292</v>
      </c>
      <c r="C650">
        <v>11384.625</v>
      </c>
    </row>
    <row r="651" spans="1:3" ht="15" hidden="1" customHeight="1" x14ac:dyDescent="0.3">
      <c r="A651" t="s">
        <v>102</v>
      </c>
      <c r="B651" s="2">
        <v>45323</v>
      </c>
      <c r="C651">
        <v>10143.6</v>
      </c>
    </row>
    <row r="652" spans="1:3" ht="15" hidden="1" customHeight="1" x14ac:dyDescent="0.3">
      <c r="A652" t="s">
        <v>102</v>
      </c>
      <c r="B652" s="2">
        <v>45352</v>
      </c>
      <c r="C652">
        <v>10396.424999999999</v>
      </c>
    </row>
    <row r="653" spans="1:3" ht="15" hidden="1" customHeight="1" x14ac:dyDescent="0.3">
      <c r="A653" t="s">
        <v>102</v>
      </c>
      <c r="B653" s="2">
        <v>45383</v>
      </c>
      <c r="C653">
        <v>8842.2749999999996</v>
      </c>
    </row>
    <row r="654" spans="1:3" ht="15" hidden="1" customHeight="1" x14ac:dyDescent="0.3">
      <c r="A654" t="s">
        <v>102</v>
      </c>
      <c r="B654" s="2">
        <v>45413</v>
      </c>
      <c r="C654">
        <v>7963.7250000000004</v>
      </c>
    </row>
    <row r="655" spans="1:3" ht="15" hidden="1" customHeight="1" x14ac:dyDescent="0.3">
      <c r="A655" t="s">
        <v>102</v>
      </c>
      <c r="B655" s="2">
        <v>45444</v>
      </c>
      <c r="C655">
        <v>7364.3249999999998</v>
      </c>
    </row>
    <row r="656" spans="1:3" ht="15" hidden="1" customHeight="1" x14ac:dyDescent="0.3">
      <c r="A656" t="s">
        <v>102</v>
      </c>
      <c r="B656" s="2">
        <v>45474</v>
      </c>
      <c r="C656">
        <v>7865.1750000000002</v>
      </c>
    </row>
    <row r="657" spans="1:3" ht="15" hidden="1" customHeight="1" x14ac:dyDescent="0.3">
      <c r="A657" t="s">
        <v>102</v>
      </c>
      <c r="B657" s="2">
        <v>45505</v>
      </c>
      <c r="C657">
        <v>8758.7250000000004</v>
      </c>
    </row>
    <row r="658" spans="1:3" ht="15" hidden="1" customHeight="1" x14ac:dyDescent="0.3">
      <c r="A658" t="s">
        <v>102</v>
      </c>
      <c r="B658" s="2">
        <v>45536</v>
      </c>
      <c r="C658">
        <v>8956.35</v>
      </c>
    </row>
    <row r="659" spans="1:3" ht="15" hidden="1" customHeight="1" x14ac:dyDescent="0.3">
      <c r="A659" t="s">
        <v>102</v>
      </c>
      <c r="B659" s="2">
        <v>45566</v>
      </c>
      <c r="C659">
        <v>9957.75</v>
      </c>
    </row>
    <row r="660" spans="1:3" ht="15" hidden="1" customHeight="1" x14ac:dyDescent="0.3">
      <c r="A660" t="s">
        <v>102</v>
      </c>
      <c r="B660" s="2">
        <v>45597</v>
      </c>
      <c r="C660">
        <v>10009.663425000001</v>
      </c>
    </row>
    <row r="661" spans="1:3" ht="15" hidden="1" customHeight="1" x14ac:dyDescent="0.3">
      <c r="A661" t="s">
        <v>102</v>
      </c>
      <c r="B661" s="2">
        <v>45627</v>
      </c>
      <c r="C661">
        <v>11121.500700000001</v>
      </c>
    </row>
    <row r="662" spans="1:3" ht="15" hidden="1" customHeight="1" x14ac:dyDescent="0.3">
      <c r="A662" t="s">
        <v>102</v>
      </c>
      <c r="B662" s="2">
        <v>45658</v>
      </c>
      <c r="C662">
        <v>11384.625</v>
      </c>
    </row>
    <row r="663" spans="1:3" ht="15" hidden="1" customHeight="1" x14ac:dyDescent="0.3">
      <c r="A663" t="s">
        <v>102</v>
      </c>
      <c r="B663" s="2">
        <v>45689</v>
      </c>
      <c r="C663">
        <v>10143.6</v>
      </c>
    </row>
    <row r="664" spans="1:3" ht="15" hidden="1" customHeight="1" x14ac:dyDescent="0.3">
      <c r="A664" t="s">
        <v>102</v>
      </c>
      <c r="B664" s="2">
        <v>45717</v>
      </c>
      <c r="C664">
        <v>10396.424999999999</v>
      </c>
    </row>
    <row r="665" spans="1:3" ht="15" hidden="1" customHeight="1" x14ac:dyDescent="0.3">
      <c r="A665" t="s">
        <v>102</v>
      </c>
      <c r="B665" s="2">
        <v>45748</v>
      </c>
      <c r="C665">
        <v>8842.2749999999996</v>
      </c>
    </row>
    <row r="666" spans="1:3" ht="15" hidden="1" customHeight="1" x14ac:dyDescent="0.3">
      <c r="A666" t="s">
        <v>102</v>
      </c>
      <c r="B666" s="2">
        <v>45778</v>
      </c>
      <c r="C666">
        <v>7963.7250000000004</v>
      </c>
    </row>
    <row r="667" spans="1:3" ht="15" hidden="1" customHeight="1" x14ac:dyDescent="0.3">
      <c r="A667" t="s">
        <v>102</v>
      </c>
      <c r="B667" s="2">
        <v>45809</v>
      </c>
      <c r="C667">
        <v>7364.3249999999998</v>
      </c>
    </row>
    <row r="668" spans="1:3" ht="15" hidden="1" customHeight="1" x14ac:dyDescent="0.3">
      <c r="A668" t="s">
        <v>102</v>
      </c>
      <c r="B668" s="2">
        <v>45839</v>
      </c>
      <c r="C668">
        <v>7865.1750000000002</v>
      </c>
    </row>
    <row r="669" spans="1:3" ht="15" hidden="1" customHeight="1" x14ac:dyDescent="0.3">
      <c r="A669" t="s">
        <v>102</v>
      </c>
      <c r="B669" s="2">
        <v>45870</v>
      </c>
      <c r="C669">
        <v>8758.7250000000004</v>
      </c>
    </row>
    <row r="670" spans="1:3" ht="15" hidden="1" customHeight="1" x14ac:dyDescent="0.3">
      <c r="A670" t="s">
        <v>102</v>
      </c>
      <c r="B670" s="2">
        <v>45901</v>
      </c>
      <c r="C670">
        <v>8956.35</v>
      </c>
    </row>
    <row r="671" spans="1:3" ht="15" hidden="1" customHeight="1" x14ac:dyDescent="0.3">
      <c r="A671" t="s">
        <v>102</v>
      </c>
      <c r="B671" s="2">
        <v>45931</v>
      </c>
      <c r="C671">
        <v>9957.75</v>
      </c>
    </row>
    <row r="672" spans="1:3" ht="15" hidden="1" customHeight="1" x14ac:dyDescent="0.3">
      <c r="A672" t="s">
        <v>102</v>
      </c>
      <c r="B672" s="2">
        <v>45962</v>
      </c>
      <c r="C672">
        <v>10009.663425000001</v>
      </c>
    </row>
    <row r="673" spans="1:3" ht="15" hidden="1" customHeight="1" x14ac:dyDescent="0.3">
      <c r="A673" t="s">
        <v>102</v>
      </c>
      <c r="B673" s="2">
        <v>45992</v>
      </c>
      <c r="C673">
        <v>11121.500700000001</v>
      </c>
    </row>
    <row r="674" spans="1:3" ht="15" hidden="1" customHeight="1" x14ac:dyDescent="0.3">
      <c r="A674" t="s">
        <v>102</v>
      </c>
      <c r="B674" s="2">
        <v>46023</v>
      </c>
      <c r="C674">
        <v>11384.625</v>
      </c>
    </row>
    <row r="675" spans="1:3" ht="15" hidden="1" customHeight="1" x14ac:dyDescent="0.3">
      <c r="A675" t="s">
        <v>102</v>
      </c>
      <c r="B675" s="2">
        <v>46054</v>
      </c>
      <c r="C675">
        <v>10143.6</v>
      </c>
    </row>
    <row r="676" spans="1:3" ht="15" hidden="1" customHeight="1" x14ac:dyDescent="0.3">
      <c r="A676" t="s">
        <v>102</v>
      </c>
      <c r="B676" s="2">
        <v>46082</v>
      </c>
      <c r="C676">
        <v>10396.424999999999</v>
      </c>
    </row>
    <row r="677" spans="1:3" ht="15" hidden="1" customHeight="1" x14ac:dyDescent="0.3">
      <c r="A677" t="s">
        <v>102</v>
      </c>
      <c r="B677" s="2">
        <v>46113</v>
      </c>
      <c r="C677">
        <v>8842.2749999999996</v>
      </c>
    </row>
    <row r="678" spans="1:3" ht="15" hidden="1" customHeight="1" x14ac:dyDescent="0.3">
      <c r="A678" t="s">
        <v>102</v>
      </c>
      <c r="B678" s="2">
        <v>46143</v>
      </c>
      <c r="C678">
        <v>7963.7250000000004</v>
      </c>
    </row>
    <row r="679" spans="1:3" ht="15" hidden="1" customHeight="1" x14ac:dyDescent="0.3">
      <c r="A679" t="s">
        <v>102</v>
      </c>
      <c r="B679" s="2">
        <v>46174</v>
      </c>
      <c r="C679">
        <v>7364.3249999999998</v>
      </c>
    </row>
    <row r="680" spans="1:3" ht="15" customHeight="1" x14ac:dyDescent="0.3">
      <c r="A680" t="s">
        <v>102</v>
      </c>
      <c r="B680" s="2">
        <v>46204</v>
      </c>
      <c r="C680">
        <v>7865.1750000000002</v>
      </c>
    </row>
    <row r="681" spans="1:3" ht="15" hidden="1" customHeight="1" x14ac:dyDescent="0.3">
      <c r="A681" t="s">
        <v>102</v>
      </c>
      <c r="B681" s="2">
        <v>46235</v>
      </c>
      <c r="C681">
        <v>8758.7250000000004</v>
      </c>
    </row>
    <row r="682" spans="1:3" ht="15" hidden="1" customHeight="1" x14ac:dyDescent="0.3">
      <c r="A682" t="s">
        <v>102</v>
      </c>
      <c r="B682" s="2">
        <v>46266</v>
      </c>
      <c r="C682">
        <v>8956.35</v>
      </c>
    </row>
    <row r="683" spans="1:3" ht="15" hidden="1" customHeight="1" x14ac:dyDescent="0.3">
      <c r="A683" t="s">
        <v>102</v>
      </c>
      <c r="B683" s="2">
        <v>46296</v>
      </c>
      <c r="C683">
        <v>9957.75</v>
      </c>
    </row>
    <row r="684" spans="1:3" ht="15" hidden="1" customHeight="1" x14ac:dyDescent="0.3">
      <c r="A684" t="s">
        <v>102</v>
      </c>
      <c r="B684" s="2">
        <v>46327</v>
      </c>
      <c r="C684">
        <v>10009.663425000001</v>
      </c>
    </row>
    <row r="685" spans="1:3" ht="15" hidden="1" customHeight="1" x14ac:dyDescent="0.3">
      <c r="A685" t="s">
        <v>102</v>
      </c>
      <c r="B685" s="2">
        <v>46357</v>
      </c>
      <c r="C685">
        <v>11121.500700000001</v>
      </c>
    </row>
    <row r="686" spans="1:3" ht="15" hidden="1" customHeight="1" x14ac:dyDescent="0.3">
      <c r="A686" t="s">
        <v>104</v>
      </c>
      <c r="B686" s="2">
        <v>45292</v>
      </c>
      <c r="C686">
        <v>4042.8</v>
      </c>
    </row>
    <row r="687" spans="1:3" ht="15" hidden="1" customHeight="1" x14ac:dyDescent="0.3">
      <c r="A687" t="s">
        <v>104</v>
      </c>
      <c r="B687" s="2">
        <v>45323</v>
      </c>
      <c r="C687">
        <v>3650.4</v>
      </c>
    </row>
    <row r="688" spans="1:3" ht="15" hidden="1" customHeight="1" x14ac:dyDescent="0.3">
      <c r="A688" t="s">
        <v>104</v>
      </c>
      <c r="B688" s="2">
        <v>45352</v>
      </c>
      <c r="C688">
        <v>3957.3</v>
      </c>
    </row>
    <row r="689" spans="1:3" ht="15" hidden="1" customHeight="1" x14ac:dyDescent="0.3">
      <c r="A689" t="s">
        <v>104</v>
      </c>
      <c r="B689" s="2">
        <v>45383</v>
      </c>
      <c r="C689">
        <v>3279.6</v>
      </c>
    </row>
    <row r="690" spans="1:3" ht="15" hidden="1" customHeight="1" x14ac:dyDescent="0.3">
      <c r="A690" t="s">
        <v>104</v>
      </c>
      <c r="B690" s="2">
        <v>45413</v>
      </c>
      <c r="C690">
        <v>3050.1</v>
      </c>
    </row>
    <row r="691" spans="1:3" ht="15" hidden="1" customHeight="1" x14ac:dyDescent="0.3">
      <c r="A691" t="s">
        <v>104</v>
      </c>
      <c r="B691" s="2">
        <v>45444</v>
      </c>
      <c r="C691">
        <v>2790</v>
      </c>
    </row>
    <row r="692" spans="1:3" ht="15" hidden="1" customHeight="1" x14ac:dyDescent="0.3">
      <c r="A692" t="s">
        <v>104</v>
      </c>
      <c r="B692" s="2">
        <v>45474</v>
      </c>
      <c r="C692">
        <v>3044.7</v>
      </c>
    </row>
    <row r="693" spans="1:3" ht="15" hidden="1" customHeight="1" x14ac:dyDescent="0.3">
      <c r="A693" t="s">
        <v>104</v>
      </c>
      <c r="B693" s="2">
        <v>45505</v>
      </c>
      <c r="C693">
        <v>3298.5</v>
      </c>
    </row>
    <row r="694" spans="1:3" ht="15" hidden="1" customHeight="1" x14ac:dyDescent="0.3">
      <c r="A694" t="s">
        <v>104</v>
      </c>
      <c r="B694" s="2">
        <v>45536</v>
      </c>
      <c r="C694">
        <v>3492.9</v>
      </c>
    </row>
    <row r="695" spans="1:3" ht="15" hidden="1" customHeight="1" x14ac:dyDescent="0.3">
      <c r="A695" t="s">
        <v>104</v>
      </c>
      <c r="B695" s="2">
        <v>45566</v>
      </c>
      <c r="C695">
        <v>3509.1</v>
      </c>
    </row>
    <row r="696" spans="1:3" ht="15" hidden="1" customHeight="1" x14ac:dyDescent="0.3">
      <c r="A696" t="s">
        <v>104</v>
      </c>
      <c r="B696" s="2">
        <v>45597</v>
      </c>
      <c r="C696">
        <v>3348</v>
      </c>
    </row>
    <row r="697" spans="1:3" ht="15" hidden="1" customHeight="1" x14ac:dyDescent="0.3">
      <c r="A697" t="s">
        <v>104</v>
      </c>
      <c r="B697" s="2">
        <v>45627</v>
      </c>
      <c r="C697">
        <v>3591.9</v>
      </c>
    </row>
    <row r="698" spans="1:3" ht="15" hidden="1" customHeight="1" x14ac:dyDescent="0.3">
      <c r="A698" t="s">
        <v>104</v>
      </c>
      <c r="B698" s="2">
        <v>45658</v>
      </c>
      <c r="C698">
        <v>4042.8</v>
      </c>
    </row>
    <row r="699" spans="1:3" ht="15" hidden="1" customHeight="1" x14ac:dyDescent="0.3">
      <c r="A699" t="s">
        <v>104</v>
      </c>
      <c r="B699" s="2">
        <v>45689</v>
      </c>
      <c r="C699">
        <v>3650.4</v>
      </c>
    </row>
    <row r="700" spans="1:3" ht="15" hidden="1" customHeight="1" x14ac:dyDescent="0.3">
      <c r="A700" t="s">
        <v>104</v>
      </c>
      <c r="B700" s="2">
        <v>45717</v>
      </c>
      <c r="C700">
        <v>3957.3</v>
      </c>
    </row>
    <row r="701" spans="1:3" ht="15" hidden="1" customHeight="1" x14ac:dyDescent="0.3">
      <c r="A701" t="s">
        <v>104</v>
      </c>
      <c r="B701" s="2">
        <v>45748</v>
      </c>
      <c r="C701">
        <v>3279.6</v>
      </c>
    </row>
    <row r="702" spans="1:3" ht="15" hidden="1" customHeight="1" x14ac:dyDescent="0.3">
      <c r="A702" t="s">
        <v>104</v>
      </c>
      <c r="B702" s="2">
        <v>45778</v>
      </c>
      <c r="C702">
        <v>3050.1</v>
      </c>
    </row>
    <row r="703" spans="1:3" ht="15" hidden="1" customHeight="1" x14ac:dyDescent="0.3">
      <c r="A703" t="s">
        <v>104</v>
      </c>
      <c r="B703" s="2">
        <v>45809</v>
      </c>
      <c r="C703">
        <v>2790</v>
      </c>
    </row>
    <row r="704" spans="1:3" ht="15" hidden="1" customHeight="1" x14ac:dyDescent="0.3">
      <c r="A704" t="s">
        <v>104</v>
      </c>
      <c r="B704" s="2">
        <v>45839</v>
      </c>
      <c r="C704">
        <v>3044.7</v>
      </c>
    </row>
    <row r="705" spans="1:3" ht="15" hidden="1" customHeight="1" x14ac:dyDescent="0.3">
      <c r="A705" t="s">
        <v>104</v>
      </c>
      <c r="B705" s="2">
        <v>45870</v>
      </c>
      <c r="C705">
        <v>3298.5</v>
      </c>
    </row>
    <row r="706" spans="1:3" ht="15" hidden="1" customHeight="1" x14ac:dyDescent="0.3">
      <c r="A706" t="s">
        <v>104</v>
      </c>
      <c r="B706" s="2">
        <v>45901</v>
      </c>
      <c r="C706">
        <v>3492.9</v>
      </c>
    </row>
    <row r="707" spans="1:3" ht="15" hidden="1" customHeight="1" x14ac:dyDescent="0.3">
      <c r="A707" t="s">
        <v>104</v>
      </c>
      <c r="B707" s="2">
        <v>45931</v>
      </c>
      <c r="C707">
        <v>3509.1</v>
      </c>
    </row>
    <row r="708" spans="1:3" ht="15" hidden="1" customHeight="1" x14ac:dyDescent="0.3">
      <c r="A708" t="s">
        <v>104</v>
      </c>
      <c r="B708" s="2">
        <v>45962</v>
      </c>
      <c r="C708">
        <v>3348</v>
      </c>
    </row>
    <row r="709" spans="1:3" ht="15" hidden="1" customHeight="1" x14ac:dyDescent="0.3">
      <c r="A709" t="s">
        <v>104</v>
      </c>
      <c r="B709" s="2">
        <v>45992</v>
      </c>
      <c r="C709">
        <v>3591.9</v>
      </c>
    </row>
    <row r="710" spans="1:3" ht="15" hidden="1" customHeight="1" x14ac:dyDescent="0.3">
      <c r="A710" t="s">
        <v>104</v>
      </c>
      <c r="B710" s="2">
        <v>46023</v>
      </c>
      <c r="C710">
        <v>4042.8</v>
      </c>
    </row>
    <row r="711" spans="1:3" ht="15" hidden="1" customHeight="1" x14ac:dyDescent="0.3">
      <c r="A711" t="s">
        <v>104</v>
      </c>
      <c r="B711" s="2">
        <v>46054</v>
      </c>
      <c r="C711">
        <v>3650.4</v>
      </c>
    </row>
    <row r="712" spans="1:3" ht="15" hidden="1" customHeight="1" x14ac:dyDescent="0.3">
      <c r="A712" t="s">
        <v>104</v>
      </c>
      <c r="B712" s="2">
        <v>46082</v>
      </c>
      <c r="C712">
        <v>3957.3</v>
      </c>
    </row>
    <row r="713" spans="1:3" ht="15" hidden="1" customHeight="1" x14ac:dyDescent="0.3">
      <c r="A713" t="s">
        <v>104</v>
      </c>
      <c r="B713" s="2">
        <v>46113</v>
      </c>
      <c r="C713">
        <v>3279.6</v>
      </c>
    </row>
    <row r="714" spans="1:3" ht="15" hidden="1" customHeight="1" x14ac:dyDescent="0.3">
      <c r="A714" t="s">
        <v>104</v>
      </c>
      <c r="B714" s="2">
        <v>46143</v>
      </c>
      <c r="C714">
        <v>3050.1</v>
      </c>
    </row>
    <row r="715" spans="1:3" ht="15" hidden="1" customHeight="1" x14ac:dyDescent="0.3">
      <c r="A715" t="s">
        <v>104</v>
      </c>
      <c r="B715" s="2">
        <v>46174</v>
      </c>
      <c r="C715">
        <v>2790</v>
      </c>
    </row>
    <row r="716" spans="1:3" ht="15" customHeight="1" x14ac:dyDescent="0.3">
      <c r="A716" t="s">
        <v>104</v>
      </c>
      <c r="B716" s="2">
        <v>46204</v>
      </c>
      <c r="C716">
        <v>3044.7</v>
      </c>
    </row>
    <row r="717" spans="1:3" ht="15" hidden="1" customHeight="1" x14ac:dyDescent="0.3">
      <c r="A717" t="s">
        <v>104</v>
      </c>
      <c r="B717" s="2">
        <v>46235</v>
      </c>
      <c r="C717">
        <v>3298.5</v>
      </c>
    </row>
    <row r="718" spans="1:3" ht="15" hidden="1" customHeight="1" x14ac:dyDescent="0.3">
      <c r="A718" t="s">
        <v>104</v>
      </c>
      <c r="B718" s="2">
        <v>46266</v>
      </c>
      <c r="C718">
        <v>3492.9</v>
      </c>
    </row>
    <row r="719" spans="1:3" ht="15" hidden="1" customHeight="1" x14ac:dyDescent="0.3">
      <c r="A719" t="s">
        <v>104</v>
      </c>
      <c r="B719" s="2">
        <v>46296</v>
      </c>
      <c r="C719">
        <v>3509.1</v>
      </c>
    </row>
    <row r="720" spans="1:3" ht="15" hidden="1" customHeight="1" x14ac:dyDescent="0.3">
      <c r="A720" t="s">
        <v>104</v>
      </c>
      <c r="B720" s="2">
        <v>46327</v>
      </c>
      <c r="C720">
        <v>3348</v>
      </c>
    </row>
    <row r="721" spans="1:3" ht="15" hidden="1" customHeight="1" x14ac:dyDescent="0.3">
      <c r="A721" t="s">
        <v>104</v>
      </c>
      <c r="B721" s="2">
        <v>46357</v>
      </c>
      <c r="C721">
        <v>3591.9</v>
      </c>
    </row>
    <row r="722" spans="1:3" ht="15" hidden="1" customHeight="1" x14ac:dyDescent="0.3">
      <c r="A722" t="s">
        <v>107</v>
      </c>
      <c r="B722" s="2">
        <v>45292</v>
      </c>
      <c r="C722">
        <v>3618</v>
      </c>
    </row>
    <row r="723" spans="1:3" ht="15" hidden="1" customHeight="1" x14ac:dyDescent="0.3">
      <c r="A723" t="s">
        <v>107</v>
      </c>
      <c r="B723" s="2">
        <v>45323</v>
      </c>
      <c r="C723">
        <v>3254.4</v>
      </c>
    </row>
    <row r="724" spans="1:3" ht="15" hidden="1" customHeight="1" x14ac:dyDescent="0.3">
      <c r="A724" t="s">
        <v>107</v>
      </c>
      <c r="B724" s="2">
        <v>45352</v>
      </c>
      <c r="C724">
        <v>3608.1</v>
      </c>
    </row>
    <row r="725" spans="1:3" ht="15" hidden="1" customHeight="1" x14ac:dyDescent="0.3">
      <c r="A725" t="s">
        <v>107</v>
      </c>
      <c r="B725" s="2">
        <v>45383</v>
      </c>
      <c r="C725">
        <v>2962.8</v>
      </c>
    </row>
    <row r="726" spans="1:3" ht="15" hidden="1" customHeight="1" x14ac:dyDescent="0.3">
      <c r="A726" t="s">
        <v>107</v>
      </c>
      <c r="B726" s="2">
        <v>45413</v>
      </c>
      <c r="C726">
        <v>2723.4</v>
      </c>
    </row>
    <row r="727" spans="1:3" ht="15" hidden="1" customHeight="1" x14ac:dyDescent="0.3">
      <c r="A727" t="s">
        <v>107</v>
      </c>
      <c r="B727" s="2">
        <v>45444</v>
      </c>
      <c r="C727">
        <v>2461.5</v>
      </c>
    </row>
    <row r="728" spans="1:3" ht="15" hidden="1" customHeight="1" x14ac:dyDescent="0.3">
      <c r="A728" t="s">
        <v>107</v>
      </c>
      <c r="B728" s="2">
        <v>45474</v>
      </c>
      <c r="C728">
        <v>2701.8</v>
      </c>
    </row>
    <row r="729" spans="1:3" ht="15" hidden="1" customHeight="1" x14ac:dyDescent="0.3">
      <c r="A729" t="s">
        <v>107</v>
      </c>
      <c r="B729" s="2">
        <v>45505</v>
      </c>
      <c r="C729">
        <v>2973.6</v>
      </c>
    </row>
    <row r="730" spans="1:3" ht="15" hidden="1" customHeight="1" x14ac:dyDescent="0.3">
      <c r="A730" t="s">
        <v>107</v>
      </c>
      <c r="B730" s="2">
        <v>45536</v>
      </c>
      <c r="C730">
        <v>3147.3</v>
      </c>
    </row>
    <row r="731" spans="1:3" ht="15" hidden="1" customHeight="1" x14ac:dyDescent="0.3">
      <c r="A731" t="s">
        <v>107</v>
      </c>
      <c r="B731" s="2">
        <v>45566</v>
      </c>
      <c r="C731">
        <v>3179.7</v>
      </c>
    </row>
    <row r="732" spans="1:3" ht="15" hidden="1" customHeight="1" x14ac:dyDescent="0.3">
      <c r="A732" t="s">
        <v>107</v>
      </c>
      <c r="B732" s="2">
        <v>45597</v>
      </c>
      <c r="C732">
        <v>3013.2</v>
      </c>
    </row>
    <row r="733" spans="1:3" ht="15" hidden="1" customHeight="1" x14ac:dyDescent="0.3">
      <c r="A733" t="s">
        <v>107</v>
      </c>
      <c r="B733" s="2">
        <v>45627</v>
      </c>
      <c r="C733">
        <v>3204</v>
      </c>
    </row>
    <row r="734" spans="1:3" ht="15" hidden="1" customHeight="1" x14ac:dyDescent="0.3">
      <c r="A734" t="s">
        <v>107</v>
      </c>
      <c r="B734" s="2">
        <v>45658</v>
      </c>
      <c r="C734">
        <v>3618</v>
      </c>
    </row>
    <row r="735" spans="1:3" ht="15" hidden="1" customHeight="1" x14ac:dyDescent="0.3">
      <c r="A735" t="s">
        <v>107</v>
      </c>
      <c r="B735" s="2">
        <v>45689</v>
      </c>
      <c r="C735">
        <v>3254.4</v>
      </c>
    </row>
    <row r="736" spans="1:3" ht="15" hidden="1" customHeight="1" x14ac:dyDescent="0.3">
      <c r="A736" t="s">
        <v>107</v>
      </c>
      <c r="B736" s="2">
        <v>45717</v>
      </c>
      <c r="C736">
        <v>3608.1</v>
      </c>
    </row>
    <row r="737" spans="1:3" ht="15" hidden="1" customHeight="1" x14ac:dyDescent="0.3">
      <c r="A737" t="s">
        <v>107</v>
      </c>
      <c r="B737" s="2">
        <v>45748</v>
      </c>
      <c r="C737">
        <v>2962.8</v>
      </c>
    </row>
    <row r="738" spans="1:3" ht="15" hidden="1" customHeight="1" x14ac:dyDescent="0.3">
      <c r="A738" t="s">
        <v>107</v>
      </c>
      <c r="B738" s="2">
        <v>45778</v>
      </c>
      <c r="C738">
        <v>2723.4</v>
      </c>
    </row>
    <row r="739" spans="1:3" ht="15" hidden="1" customHeight="1" x14ac:dyDescent="0.3">
      <c r="A739" t="s">
        <v>107</v>
      </c>
      <c r="B739" s="2">
        <v>45809</v>
      </c>
      <c r="C739">
        <v>2461.5</v>
      </c>
    </row>
    <row r="740" spans="1:3" ht="15" hidden="1" customHeight="1" x14ac:dyDescent="0.3">
      <c r="A740" t="s">
        <v>107</v>
      </c>
      <c r="B740" s="2">
        <v>45839</v>
      </c>
      <c r="C740">
        <v>2701.8</v>
      </c>
    </row>
    <row r="741" spans="1:3" ht="15" hidden="1" customHeight="1" x14ac:dyDescent="0.3">
      <c r="A741" t="s">
        <v>107</v>
      </c>
      <c r="B741" s="2">
        <v>45870</v>
      </c>
      <c r="C741">
        <v>2973.6</v>
      </c>
    </row>
    <row r="742" spans="1:3" ht="15" hidden="1" customHeight="1" x14ac:dyDescent="0.3">
      <c r="A742" t="s">
        <v>107</v>
      </c>
      <c r="B742" s="2">
        <v>45901</v>
      </c>
      <c r="C742">
        <v>3147.3</v>
      </c>
    </row>
    <row r="743" spans="1:3" ht="15" hidden="1" customHeight="1" x14ac:dyDescent="0.3">
      <c r="A743" t="s">
        <v>107</v>
      </c>
      <c r="B743" s="2">
        <v>45931</v>
      </c>
      <c r="C743">
        <v>3179.7</v>
      </c>
    </row>
    <row r="744" spans="1:3" ht="15" hidden="1" customHeight="1" x14ac:dyDescent="0.3">
      <c r="A744" t="s">
        <v>107</v>
      </c>
      <c r="B744" s="2">
        <v>45962</v>
      </c>
      <c r="C744">
        <v>3013.2</v>
      </c>
    </row>
    <row r="745" spans="1:3" ht="15" hidden="1" customHeight="1" x14ac:dyDescent="0.3">
      <c r="A745" t="s">
        <v>107</v>
      </c>
      <c r="B745" s="2">
        <v>45992</v>
      </c>
      <c r="C745">
        <v>3204</v>
      </c>
    </row>
    <row r="746" spans="1:3" ht="15" hidden="1" customHeight="1" x14ac:dyDescent="0.3">
      <c r="A746" t="s">
        <v>107</v>
      </c>
      <c r="B746" s="2">
        <v>46023</v>
      </c>
      <c r="C746">
        <v>3618</v>
      </c>
    </row>
    <row r="747" spans="1:3" ht="15" hidden="1" customHeight="1" x14ac:dyDescent="0.3">
      <c r="A747" t="s">
        <v>107</v>
      </c>
      <c r="B747" s="2">
        <v>46054</v>
      </c>
      <c r="C747">
        <v>3254.4</v>
      </c>
    </row>
    <row r="748" spans="1:3" ht="15" hidden="1" customHeight="1" x14ac:dyDescent="0.3">
      <c r="A748" t="s">
        <v>107</v>
      </c>
      <c r="B748" s="2">
        <v>46082</v>
      </c>
      <c r="C748">
        <v>3608.1</v>
      </c>
    </row>
    <row r="749" spans="1:3" ht="15" hidden="1" customHeight="1" x14ac:dyDescent="0.3">
      <c r="A749" t="s">
        <v>107</v>
      </c>
      <c r="B749" s="2">
        <v>46113</v>
      </c>
      <c r="C749">
        <v>2962.8</v>
      </c>
    </row>
    <row r="750" spans="1:3" ht="15" hidden="1" customHeight="1" x14ac:dyDescent="0.3">
      <c r="A750" t="s">
        <v>107</v>
      </c>
      <c r="B750" s="2">
        <v>46143</v>
      </c>
      <c r="C750">
        <v>2723.4</v>
      </c>
    </row>
    <row r="751" spans="1:3" ht="15" hidden="1" customHeight="1" x14ac:dyDescent="0.3">
      <c r="A751" t="s">
        <v>107</v>
      </c>
      <c r="B751" s="2">
        <v>46174</v>
      </c>
      <c r="C751">
        <v>2461.5</v>
      </c>
    </row>
    <row r="752" spans="1:3" ht="15" customHeight="1" x14ac:dyDescent="0.3">
      <c r="A752" t="s">
        <v>107</v>
      </c>
      <c r="B752" s="2">
        <v>46204</v>
      </c>
      <c r="C752">
        <v>2701.8</v>
      </c>
    </row>
    <row r="753" spans="1:3" ht="15" hidden="1" customHeight="1" x14ac:dyDescent="0.3">
      <c r="A753" t="s">
        <v>107</v>
      </c>
      <c r="B753" s="2">
        <v>46235</v>
      </c>
      <c r="C753">
        <v>2973.6</v>
      </c>
    </row>
    <row r="754" spans="1:3" ht="15" hidden="1" customHeight="1" x14ac:dyDescent="0.3">
      <c r="A754" t="s">
        <v>107</v>
      </c>
      <c r="B754" s="2">
        <v>46266</v>
      </c>
      <c r="C754">
        <v>3147.3</v>
      </c>
    </row>
    <row r="755" spans="1:3" ht="15" hidden="1" customHeight="1" x14ac:dyDescent="0.3">
      <c r="A755" t="s">
        <v>107</v>
      </c>
      <c r="B755" s="2">
        <v>46296</v>
      </c>
      <c r="C755">
        <v>3179.7</v>
      </c>
    </row>
    <row r="756" spans="1:3" ht="15" hidden="1" customHeight="1" x14ac:dyDescent="0.3">
      <c r="A756" t="s">
        <v>107</v>
      </c>
      <c r="B756" s="2">
        <v>46327</v>
      </c>
      <c r="C756">
        <v>3013.2</v>
      </c>
    </row>
    <row r="757" spans="1:3" ht="15" hidden="1" customHeight="1" x14ac:dyDescent="0.3">
      <c r="A757" t="s">
        <v>107</v>
      </c>
      <c r="B757" s="2">
        <v>46357</v>
      </c>
      <c r="C757">
        <v>3204</v>
      </c>
    </row>
    <row r="758" spans="1:3" ht="15" hidden="1" customHeight="1" x14ac:dyDescent="0.3">
      <c r="A758" t="s">
        <v>228</v>
      </c>
      <c r="B758" s="2">
        <v>45292</v>
      </c>
      <c r="C758">
        <v>0</v>
      </c>
    </row>
    <row r="759" spans="1:3" ht="15" hidden="1" customHeight="1" x14ac:dyDescent="0.3">
      <c r="A759" t="s">
        <v>228</v>
      </c>
      <c r="B759" s="2">
        <v>45292</v>
      </c>
      <c r="C759">
        <v>29074.5</v>
      </c>
    </row>
    <row r="760" spans="1:3" ht="15" hidden="1" customHeight="1" x14ac:dyDescent="0.3">
      <c r="A760" t="s">
        <v>228</v>
      </c>
      <c r="B760" s="2">
        <v>45323</v>
      </c>
      <c r="C760">
        <v>0</v>
      </c>
    </row>
    <row r="761" spans="1:3" ht="15" hidden="1" customHeight="1" x14ac:dyDescent="0.3">
      <c r="A761" t="s">
        <v>228</v>
      </c>
      <c r="B761" s="2">
        <v>45323</v>
      </c>
      <c r="C761">
        <v>26716.5</v>
      </c>
    </row>
    <row r="762" spans="1:3" ht="15" hidden="1" customHeight="1" x14ac:dyDescent="0.3">
      <c r="A762" t="s">
        <v>228</v>
      </c>
      <c r="B762" s="2">
        <v>45352</v>
      </c>
      <c r="C762">
        <v>0</v>
      </c>
    </row>
    <row r="763" spans="1:3" ht="15" hidden="1" customHeight="1" x14ac:dyDescent="0.3">
      <c r="A763" t="s">
        <v>228</v>
      </c>
      <c r="B763" s="2">
        <v>45352</v>
      </c>
      <c r="C763">
        <v>27941.4</v>
      </c>
    </row>
    <row r="764" spans="1:3" ht="15" hidden="1" customHeight="1" x14ac:dyDescent="0.3">
      <c r="A764" t="s">
        <v>228</v>
      </c>
      <c r="B764" s="2">
        <v>45383</v>
      </c>
      <c r="C764">
        <v>0</v>
      </c>
    </row>
    <row r="765" spans="1:3" ht="15" hidden="1" customHeight="1" x14ac:dyDescent="0.3">
      <c r="A765" t="s">
        <v>228</v>
      </c>
      <c r="B765" s="2">
        <v>45383</v>
      </c>
      <c r="C765">
        <v>25610.400000000001</v>
      </c>
    </row>
    <row r="766" spans="1:3" ht="15" hidden="1" customHeight="1" x14ac:dyDescent="0.3">
      <c r="A766" t="s">
        <v>228</v>
      </c>
      <c r="B766" s="2">
        <v>45413</v>
      </c>
      <c r="C766">
        <v>0</v>
      </c>
    </row>
    <row r="767" spans="1:3" ht="15" hidden="1" customHeight="1" x14ac:dyDescent="0.3">
      <c r="A767" t="s">
        <v>228</v>
      </c>
      <c r="B767" s="2">
        <v>45413</v>
      </c>
      <c r="C767">
        <v>25802.1</v>
      </c>
    </row>
    <row r="768" spans="1:3" ht="15" hidden="1" customHeight="1" x14ac:dyDescent="0.3">
      <c r="A768" t="s">
        <v>228</v>
      </c>
      <c r="B768" s="2">
        <v>45444</v>
      </c>
      <c r="C768">
        <v>0</v>
      </c>
    </row>
    <row r="769" spans="1:3" ht="15" hidden="1" customHeight="1" x14ac:dyDescent="0.3">
      <c r="A769" t="s">
        <v>228</v>
      </c>
      <c r="B769" s="2">
        <v>45444</v>
      </c>
      <c r="C769">
        <v>23428.799999999999</v>
      </c>
    </row>
    <row r="770" spans="1:3" ht="15" hidden="1" customHeight="1" x14ac:dyDescent="0.3">
      <c r="A770" t="s">
        <v>228</v>
      </c>
      <c r="B770" s="2">
        <v>45474</v>
      </c>
      <c r="C770">
        <v>0</v>
      </c>
    </row>
    <row r="771" spans="1:3" ht="15" hidden="1" customHeight="1" x14ac:dyDescent="0.3">
      <c r="A771" t="s">
        <v>228</v>
      </c>
      <c r="B771" s="2">
        <v>45474</v>
      </c>
      <c r="C771">
        <v>25632</v>
      </c>
    </row>
    <row r="772" spans="1:3" ht="15" hidden="1" customHeight="1" x14ac:dyDescent="0.3">
      <c r="A772" t="s">
        <v>228</v>
      </c>
      <c r="B772" s="2">
        <v>45505</v>
      </c>
      <c r="C772">
        <v>0</v>
      </c>
    </row>
    <row r="773" spans="1:3" ht="15" hidden="1" customHeight="1" x14ac:dyDescent="0.3">
      <c r="A773" t="s">
        <v>228</v>
      </c>
      <c r="B773" s="2">
        <v>45505</v>
      </c>
      <c r="C773">
        <v>28549.8</v>
      </c>
    </row>
    <row r="774" spans="1:3" ht="15" hidden="1" customHeight="1" x14ac:dyDescent="0.3">
      <c r="A774" t="s">
        <v>228</v>
      </c>
      <c r="B774" s="2">
        <v>45536</v>
      </c>
      <c r="C774">
        <v>0</v>
      </c>
    </row>
    <row r="775" spans="1:3" ht="15" hidden="1" customHeight="1" x14ac:dyDescent="0.3">
      <c r="A775" t="s">
        <v>228</v>
      </c>
      <c r="B775" s="2">
        <v>45536</v>
      </c>
      <c r="C775">
        <v>29561.4</v>
      </c>
    </row>
    <row r="776" spans="1:3" ht="15" hidden="1" customHeight="1" x14ac:dyDescent="0.3">
      <c r="A776" t="s">
        <v>228</v>
      </c>
      <c r="B776" s="2">
        <v>45566</v>
      </c>
      <c r="C776">
        <v>0</v>
      </c>
    </row>
    <row r="777" spans="1:3" ht="15" hidden="1" customHeight="1" x14ac:dyDescent="0.3">
      <c r="A777" t="s">
        <v>228</v>
      </c>
      <c r="B777" s="2">
        <v>45566</v>
      </c>
      <c r="C777">
        <v>31417.200000000001</v>
      </c>
    </row>
    <row r="778" spans="1:3" ht="15" hidden="1" customHeight="1" x14ac:dyDescent="0.3">
      <c r="A778" t="s">
        <v>228</v>
      </c>
      <c r="B778" s="2">
        <v>45597</v>
      </c>
      <c r="C778">
        <v>0</v>
      </c>
    </row>
    <row r="779" spans="1:3" ht="15" hidden="1" customHeight="1" x14ac:dyDescent="0.3">
      <c r="A779" t="s">
        <v>228</v>
      </c>
      <c r="B779" s="2">
        <v>45597</v>
      </c>
      <c r="C779">
        <v>30121.200000000001</v>
      </c>
    </row>
    <row r="780" spans="1:3" ht="15" hidden="1" customHeight="1" x14ac:dyDescent="0.3">
      <c r="A780" t="s">
        <v>228</v>
      </c>
      <c r="B780" s="2">
        <v>45627</v>
      </c>
      <c r="C780">
        <v>0</v>
      </c>
    </row>
    <row r="781" spans="1:3" ht="15" hidden="1" customHeight="1" x14ac:dyDescent="0.3">
      <c r="A781" t="s">
        <v>228</v>
      </c>
      <c r="B781" s="2">
        <v>45627</v>
      </c>
      <c r="C781">
        <v>29445.3</v>
      </c>
    </row>
    <row r="782" spans="1:3" ht="15" hidden="1" customHeight="1" x14ac:dyDescent="0.3">
      <c r="A782" t="s">
        <v>228</v>
      </c>
      <c r="B782" s="2">
        <v>45658</v>
      </c>
      <c r="C782">
        <v>0</v>
      </c>
    </row>
    <row r="783" spans="1:3" ht="15" hidden="1" customHeight="1" x14ac:dyDescent="0.3">
      <c r="A783" t="s">
        <v>228</v>
      </c>
      <c r="B783" s="2">
        <v>45658</v>
      </c>
      <c r="C783">
        <v>29074.5</v>
      </c>
    </row>
    <row r="784" spans="1:3" ht="15" hidden="1" customHeight="1" x14ac:dyDescent="0.3">
      <c r="A784" t="s">
        <v>228</v>
      </c>
      <c r="B784" s="2">
        <v>45689</v>
      </c>
      <c r="C784">
        <v>0</v>
      </c>
    </row>
    <row r="785" spans="1:3" ht="15" hidden="1" customHeight="1" x14ac:dyDescent="0.3">
      <c r="A785" t="s">
        <v>228</v>
      </c>
      <c r="B785" s="2">
        <v>45689</v>
      </c>
      <c r="C785">
        <v>26716.5</v>
      </c>
    </row>
    <row r="786" spans="1:3" ht="15" hidden="1" customHeight="1" x14ac:dyDescent="0.3">
      <c r="A786" t="s">
        <v>228</v>
      </c>
      <c r="B786" s="2">
        <v>45717</v>
      </c>
      <c r="C786">
        <v>0</v>
      </c>
    </row>
    <row r="787" spans="1:3" ht="15" hidden="1" customHeight="1" x14ac:dyDescent="0.3">
      <c r="A787" t="s">
        <v>228</v>
      </c>
      <c r="B787" s="2">
        <v>45717</v>
      </c>
      <c r="C787">
        <v>27941.4</v>
      </c>
    </row>
    <row r="788" spans="1:3" ht="15" hidden="1" customHeight="1" x14ac:dyDescent="0.3">
      <c r="A788" t="s">
        <v>228</v>
      </c>
      <c r="B788" s="2">
        <v>45748</v>
      </c>
      <c r="C788">
        <v>0</v>
      </c>
    </row>
    <row r="789" spans="1:3" ht="15" hidden="1" customHeight="1" x14ac:dyDescent="0.3">
      <c r="A789" t="s">
        <v>228</v>
      </c>
      <c r="B789" s="2">
        <v>45748</v>
      </c>
      <c r="C789">
        <v>25610.400000000001</v>
      </c>
    </row>
    <row r="790" spans="1:3" ht="15" hidden="1" customHeight="1" x14ac:dyDescent="0.3">
      <c r="A790" t="s">
        <v>228</v>
      </c>
      <c r="B790" s="2">
        <v>45778</v>
      </c>
      <c r="C790">
        <v>0</v>
      </c>
    </row>
    <row r="791" spans="1:3" ht="15" hidden="1" customHeight="1" x14ac:dyDescent="0.3">
      <c r="A791" t="s">
        <v>228</v>
      </c>
      <c r="B791" s="2">
        <v>45778</v>
      </c>
      <c r="C791">
        <v>25802.1</v>
      </c>
    </row>
    <row r="792" spans="1:3" ht="15" hidden="1" customHeight="1" x14ac:dyDescent="0.3">
      <c r="A792" t="s">
        <v>228</v>
      </c>
      <c r="B792" s="2">
        <v>45809</v>
      </c>
      <c r="C792">
        <v>0</v>
      </c>
    </row>
    <row r="793" spans="1:3" ht="15" hidden="1" customHeight="1" x14ac:dyDescent="0.3">
      <c r="A793" t="s">
        <v>228</v>
      </c>
      <c r="B793" s="2">
        <v>45809</v>
      </c>
      <c r="C793">
        <v>23428.799999999999</v>
      </c>
    </row>
    <row r="794" spans="1:3" ht="15" hidden="1" customHeight="1" x14ac:dyDescent="0.3">
      <c r="A794" t="s">
        <v>228</v>
      </c>
      <c r="B794" s="2">
        <v>45839</v>
      </c>
      <c r="C794">
        <v>0</v>
      </c>
    </row>
    <row r="795" spans="1:3" ht="15" hidden="1" customHeight="1" x14ac:dyDescent="0.3">
      <c r="A795" t="s">
        <v>228</v>
      </c>
      <c r="B795" s="2">
        <v>45839</v>
      </c>
      <c r="C795">
        <v>25632</v>
      </c>
    </row>
    <row r="796" spans="1:3" ht="15" hidden="1" customHeight="1" x14ac:dyDescent="0.3">
      <c r="A796" t="s">
        <v>228</v>
      </c>
      <c r="B796" s="2">
        <v>45870</v>
      </c>
      <c r="C796">
        <v>0</v>
      </c>
    </row>
    <row r="797" spans="1:3" ht="15" hidden="1" customHeight="1" x14ac:dyDescent="0.3">
      <c r="A797" t="s">
        <v>228</v>
      </c>
      <c r="B797" s="2">
        <v>45870</v>
      </c>
      <c r="C797">
        <v>28549.8</v>
      </c>
    </row>
    <row r="798" spans="1:3" ht="15" hidden="1" customHeight="1" x14ac:dyDescent="0.3">
      <c r="A798" t="s">
        <v>228</v>
      </c>
      <c r="B798" s="2">
        <v>45901</v>
      </c>
      <c r="C798">
        <v>0</v>
      </c>
    </row>
    <row r="799" spans="1:3" ht="15" hidden="1" customHeight="1" x14ac:dyDescent="0.3">
      <c r="A799" t="s">
        <v>228</v>
      </c>
      <c r="B799" s="2">
        <v>45901</v>
      </c>
      <c r="C799">
        <v>29561.4</v>
      </c>
    </row>
    <row r="800" spans="1:3" ht="15" hidden="1" customHeight="1" x14ac:dyDescent="0.3">
      <c r="A800" t="s">
        <v>228</v>
      </c>
      <c r="B800" s="2">
        <v>45931</v>
      </c>
      <c r="C800">
        <v>0</v>
      </c>
    </row>
    <row r="801" spans="1:3" ht="15" hidden="1" customHeight="1" x14ac:dyDescent="0.3">
      <c r="A801" t="s">
        <v>228</v>
      </c>
      <c r="B801" s="2">
        <v>45931</v>
      </c>
      <c r="C801">
        <v>31417.200000000001</v>
      </c>
    </row>
    <row r="802" spans="1:3" ht="15" hidden="1" customHeight="1" x14ac:dyDescent="0.3">
      <c r="A802" t="s">
        <v>228</v>
      </c>
      <c r="B802" s="2">
        <v>45962</v>
      </c>
      <c r="C802">
        <v>0</v>
      </c>
    </row>
    <row r="803" spans="1:3" ht="15" hidden="1" customHeight="1" x14ac:dyDescent="0.3">
      <c r="A803" t="s">
        <v>228</v>
      </c>
      <c r="B803" s="2">
        <v>45962</v>
      </c>
      <c r="C803">
        <v>30121.200000000001</v>
      </c>
    </row>
    <row r="804" spans="1:3" ht="15" hidden="1" customHeight="1" x14ac:dyDescent="0.3">
      <c r="A804" t="s">
        <v>228</v>
      </c>
      <c r="B804" s="2">
        <v>45992</v>
      </c>
      <c r="C804">
        <v>0</v>
      </c>
    </row>
    <row r="805" spans="1:3" ht="15" hidden="1" customHeight="1" x14ac:dyDescent="0.3">
      <c r="A805" t="s">
        <v>228</v>
      </c>
      <c r="B805" s="2">
        <v>45992</v>
      </c>
      <c r="C805">
        <v>29445.3</v>
      </c>
    </row>
    <row r="806" spans="1:3" ht="15" hidden="1" customHeight="1" x14ac:dyDescent="0.3">
      <c r="A806" t="s">
        <v>228</v>
      </c>
      <c r="B806" s="2">
        <v>46023</v>
      </c>
      <c r="C806">
        <v>0</v>
      </c>
    </row>
    <row r="807" spans="1:3" ht="15" hidden="1" customHeight="1" x14ac:dyDescent="0.3">
      <c r="A807" t="s">
        <v>228</v>
      </c>
      <c r="B807" s="2">
        <v>46023</v>
      </c>
      <c r="C807">
        <v>29074.5</v>
      </c>
    </row>
    <row r="808" spans="1:3" ht="15" hidden="1" customHeight="1" x14ac:dyDescent="0.3">
      <c r="A808" t="s">
        <v>228</v>
      </c>
      <c r="B808" s="2">
        <v>46054</v>
      </c>
      <c r="C808">
        <v>0</v>
      </c>
    </row>
    <row r="809" spans="1:3" ht="15" hidden="1" customHeight="1" x14ac:dyDescent="0.3">
      <c r="A809" t="s">
        <v>228</v>
      </c>
      <c r="B809" s="2">
        <v>46054</v>
      </c>
      <c r="C809">
        <v>26716.5</v>
      </c>
    </row>
    <row r="810" spans="1:3" ht="15" hidden="1" customHeight="1" x14ac:dyDescent="0.3">
      <c r="A810" t="s">
        <v>228</v>
      </c>
      <c r="B810" s="2">
        <v>46082</v>
      </c>
      <c r="C810">
        <v>0</v>
      </c>
    </row>
    <row r="811" spans="1:3" ht="15" hidden="1" customHeight="1" x14ac:dyDescent="0.3">
      <c r="A811" t="s">
        <v>228</v>
      </c>
      <c r="B811" s="2">
        <v>46082</v>
      </c>
      <c r="C811">
        <v>27941.4</v>
      </c>
    </row>
    <row r="812" spans="1:3" ht="15" hidden="1" customHeight="1" x14ac:dyDescent="0.3">
      <c r="A812" t="s">
        <v>228</v>
      </c>
      <c r="B812" s="2">
        <v>46113</v>
      </c>
      <c r="C812">
        <v>25610.400000000001</v>
      </c>
    </row>
    <row r="813" spans="1:3" ht="15" hidden="1" customHeight="1" x14ac:dyDescent="0.3">
      <c r="A813" t="s">
        <v>228</v>
      </c>
      <c r="B813" s="2">
        <v>46113</v>
      </c>
      <c r="C813">
        <v>25610.400000000001</v>
      </c>
    </row>
    <row r="814" spans="1:3" ht="15" hidden="1" customHeight="1" x14ac:dyDescent="0.3">
      <c r="A814" t="s">
        <v>228</v>
      </c>
      <c r="B814" s="2">
        <v>46143</v>
      </c>
      <c r="C814">
        <v>0</v>
      </c>
    </row>
    <row r="815" spans="1:3" ht="15" hidden="1" customHeight="1" x14ac:dyDescent="0.3">
      <c r="A815" t="s">
        <v>228</v>
      </c>
      <c r="B815" s="2">
        <v>46143</v>
      </c>
      <c r="C815">
        <v>25802.1</v>
      </c>
    </row>
    <row r="816" spans="1:3" ht="15" hidden="1" customHeight="1" x14ac:dyDescent="0.3">
      <c r="A816" t="s">
        <v>228</v>
      </c>
      <c r="B816" s="2">
        <v>46174</v>
      </c>
      <c r="C816">
        <v>0</v>
      </c>
    </row>
    <row r="817" spans="1:3" ht="15" hidden="1" customHeight="1" x14ac:dyDescent="0.3">
      <c r="A817" t="s">
        <v>228</v>
      </c>
      <c r="B817" s="2">
        <v>46174</v>
      </c>
      <c r="C817">
        <v>23428.799999999999</v>
      </c>
    </row>
    <row r="818" spans="1:3" ht="15" customHeight="1" x14ac:dyDescent="0.3">
      <c r="A818" t="s">
        <v>228</v>
      </c>
      <c r="B818" s="2">
        <v>46204</v>
      </c>
      <c r="C818">
        <v>0</v>
      </c>
    </row>
    <row r="819" spans="1:3" ht="15" customHeight="1" x14ac:dyDescent="0.3">
      <c r="A819" t="s">
        <v>228</v>
      </c>
      <c r="B819" s="2">
        <v>46204</v>
      </c>
      <c r="C819">
        <v>25632</v>
      </c>
    </row>
    <row r="820" spans="1:3" ht="15" hidden="1" customHeight="1" x14ac:dyDescent="0.3">
      <c r="A820" t="s">
        <v>228</v>
      </c>
      <c r="B820" s="2">
        <v>46235</v>
      </c>
      <c r="C820">
        <v>0</v>
      </c>
    </row>
    <row r="821" spans="1:3" ht="15" hidden="1" customHeight="1" x14ac:dyDescent="0.3">
      <c r="A821" t="s">
        <v>228</v>
      </c>
      <c r="B821" s="2">
        <v>46235</v>
      </c>
      <c r="C821">
        <v>28549.8</v>
      </c>
    </row>
    <row r="822" spans="1:3" ht="15" hidden="1" customHeight="1" x14ac:dyDescent="0.3">
      <c r="A822" t="s">
        <v>228</v>
      </c>
      <c r="B822" s="2">
        <v>46266</v>
      </c>
      <c r="C822">
        <v>0</v>
      </c>
    </row>
    <row r="823" spans="1:3" ht="15" hidden="1" customHeight="1" x14ac:dyDescent="0.3">
      <c r="A823" t="s">
        <v>228</v>
      </c>
      <c r="B823" s="2">
        <v>46266</v>
      </c>
      <c r="C823">
        <v>29561.4</v>
      </c>
    </row>
    <row r="824" spans="1:3" ht="15" hidden="1" customHeight="1" x14ac:dyDescent="0.3">
      <c r="A824" t="s">
        <v>228</v>
      </c>
      <c r="B824" s="2">
        <v>46296</v>
      </c>
      <c r="C824">
        <v>0</v>
      </c>
    </row>
    <row r="825" spans="1:3" ht="15" hidden="1" customHeight="1" x14ac:dyDescent="0.3">
      <c r="A825" t="s">
        <v>228</v>
      </c>
      <c r="B825" s="2">
        <v>46296</v>
      </c>
      <c r="C825">
        <v>31417.200000000001</v>
      </c>
    </row>
    <row r="826" spans="1:3" ht="15" hidden="1" customHeight="1" x14ac:dyDescent="0.3">
      <c r="A826" t="s">
        <v>228</v>
      </c>
      <c r="B826" s="2">
        <v>46327</v>
      </c>
      <c r="C826">
        <v>0</v>
      </c>
    </row>
    <row r="827" spans="1:3" ht="15" hidden="1" customHeight="1" x14ac:dyDescent="0.3">
      <c r="A827" t="s">
        <v>228</v>
      </c>
      <c r="B827" s="2">
        <v>46327</v>
      </c>
      <c r="C827">
        <v>30121.200000000001</v>
      </c>
    </row>
    <row r="828" spans="1:3" ht="15" hidden="1" customHeight="1" x14ac:dyDescent="0.3">
      <c r="A828" t="s">
        <v>228</v>
      </c>
      <c r="B828" s="2">
        <v>46357</v>
      </c>
      <c r="C828">
        <v>0</v>
      </c>
    </row>
    <row r="829" spans="1:3" ht="15" hidden="1" customHeight="1" x14ac:dyDescent="0.3">
      <c r="A829" t="s">
        <v>228</v>
      </c>
      <c r="B829" s="2">
        <v>46357</v>
      </c>
      <c r="C829">
        <v>29445.3</v>
      </c>
    </row>
    <row r="830" spans="1:3" ht="15" hidden="1" customHeight="1" x14ac:dyDescent="0.3">
      <c r="A830" t="s">
        <v>109</v>
      </c>
      <c r="B830" s="2">
        <v>45292</v>
      </c>
      <c r="C830">
        <v>4235.3999999999996</v>
      </c>
    </row>
    <row r="831" spans="1:3" ht="15" hidden="1" customHeight="1" x14ac:dyDescent="0.3">
      <c r="A831" t="s">
        <v>109</v>
      </c>
      <c r="B831" s="2">
        <v>45323</v>
      </c>
      <c r="C831">
        <v>3699</v>
      </c>
    </row>
    <row r="832" spans="1:3" ht="15" hidden="1" customHeight="1" x14ac:dyDescent="0.3">
      <c r="A832" t="s">
        <v>109</v>
      </c>
      <c r="B832" s="2">
        <v>45352</v>
      </c>
      <c r="C832">
        <v>3788.1</v>
      </c>
    </row>
    <row r="833" spans="1:3" ht="15" hidden="1" customHeight="1" x14ac:dyDescent="0.3">
      <c r="A833" t="s">
        <v>109</v>
      </c>
      <c r="B833" s="2">
        <v>45383</v>
      </c>
      <c r="C833">
        <v>3184.2</v>
      </c>
    </row>
    <row r="834" spans="1:3" ht="15" hidden="1" customHeight="1" x14ac:dyDescent="0.3">
      <c r="A834" t="s">
        <v>109</v>
      </c>
      <c r="B834" s="2">
        <v>45413</v>
      </c>
      <c r="C834">
        <v>3052.8</v>
      </c>
    </row>
    <row r="835" spans="1:3" ht="15" hidden="1" customHeight="1" x14ac:dyDescent="0.3">
      <c r="A835" t="s">
        <v>109</v>
      </c>
      <c r="B835" s="2">
        <v>45444</v>
      </c>
      <c r="C835">
        <v>2752.2</v>
      </c>
    </row>
    <row r="836" spans="1:3" ht="15" hidden="1" customHeight="1" x14ac:dyDescent="0.3">
      <c r="A836" t="s">
        <v>109</v>
      </c>
      <c r="B836" s="2">
        <v>45474</v>
      </c>
      <c r="C836">
        <v>3029.4</v>
      </c>
    </row>
    <row r="837" spans="1:3" ht="15" hidden="1" customHeight="1" x14ac:dyDescent="0.3">
      <c r="A837" t="s">
        <v>109</v>
      </c>
      <c r="B837" s="2">
        <v>45505</v>
      </c>
      <c r="C837">
        <v>3546.9</v>
      </c>
    </row>
    <row r="838" spans="1:3" ht="15" hidden="1" customHeight="1" x14ac:dyDescent="0.3">
      <c r="A838" t="s">
        <v>109</v>
      </c>
      <c r="B838" s="2">
        <v>45536</v>
      </c>
      <c r="C838">
        <v>3911.4</v>
      </c>
    </row>
    <row r="839" spans="1:3" ht="15" hidden="1" customHeight="1" x14ac:dyDescent="0.3">
      <c r="A839" t="s">
        <v>109</v>
      </c>
      <c r="B839" s="2">
        <v>45566</v>
      </c>
      <c r="C839">
        <v>4103.1000000000004</v>
      </c>
    </row>
    <row r="840" spans="1:3" ht="15" hidden="1" customHeight="1" x14ac:dyDescent="0.3">
      <c r="A840" t="s">
        <v>109</v>
      </c>
      <c r="B840" s="2">
        <v>45597</v>
      </c>
      <c r="C840">
        <v>4120.2</v>
      </c>
    </row>
    <row r="841" spans="1:3" ht="15" hidden="1" customHeight="1" x14ac:dyDescent="0.3">
      <c r="A841" t="s">
        <v>109</v>
      </c>
      <c r="B841" s="2">
        <v>45627</v>
      </c>
      <c r="C841">
        <v>4377.6000000000004</v>
      </c>
    </row>
    <row r="842" spans="1:3" ht="15" hidden="1" customHeight="1" x14ac:dyDescent="0.3">
      <c r="A842" t="s">
        <v>109</v>
      </c>
      <c r="B842" s="2">
        <v>45658</v>
      </c>
      <c r="C842">
        <v>4235.3999999999996</v>
      </c>
    </row>
    <row r="843" spans="1:3" ht="15" hidden="1" customHeight="1" x14ac:dyDescent="0.3">
      <c r="A843" t="s">
        <v>109</v>
      </c>
      <c r="B843" s="2">
        <v>45689</v>
      </c>
      <c r="C843">
        <v>3699</v>
      </c>
    </row>
    <row r="844" spans="1:3" ht="15" hidden="1" customHeight="1" x14ac:dyDescent="0.3">
      <c r="A844" t="s">
        <v>109</v>
      </c>
      <c r="B844" s="2">
        <v>45717</v>
      </c>
      <c r="C844">
        <v>3788.1</v>
      </c>
    </row>
    <row r="845" spans="1:3" ht="15" hidden="1" customHeight="1" x14ac:dyDescent="0.3">
      <c r="A845" t="s">
        <v>109</v>
      </c>
      <c r="B845" s="2">
        <v>45748</v>
      </c>
      <c r="C845">
        <v>3184.2</v>
      </c>
    </row>
    <row r="846" spans="1:3" ht="15" hidden="1" customHeight="1" x14ac:dyDescent="0.3">
      <c r="A846" t="s">
        <v>109</v>
      </c>
      <c r="B846" s="2">
        <v>45778</v>
      </c>
      <c r="C846">
        <v>3052.8</v>
      </c>
    </row>
    <row r="847" spans="1:3" ht="15" hidden="1" customHeight="1" x14ac:dyDescent="0.3">
      <c r="A847" t="s">
        <v>109</v>
      </c>
      <c r="B847" s="2">
        <v>45809</v>
      </c>
      <c r="C847">
        <v>2752.2</v>
      </c>
    </row>
    <row r="848" spans="1:3" ht="15" hidden="1" customHeight="1" x14ac:dyDescent="0.3">
      <c r="A848" t="s">
        <v>109</v>
      </c>
      <c r="B848" s="2">
        <v>45839</v>
      </c>
      <c r="C848">
        <v>3029.4</v>
      </c>
    </row>
    <row r="849" spans="1:3" ht="15" hidden="1" customHeight="1" x14ac:dyDescent="0.3">
      <c r="A849" t="s">
        <v>109</v>
      </c>
      <c r="B849" s="2">
        <v>45870</v>
      </c>
      <c r="C849">
        <v>3546.9</v>
      </c>
    </row>
    <row r="850" spans="1:3" ht="15" hidden="1" customHeight="1" x14ac:dyDescent="0.3">
      <c r="A850" t="s">
        <v>109</v>
      </c>
      <c r="B850" s="2">
        <v>45901</v>
      </c>
      <c r="C850">
        <v>3911.4</v>
      </c>
    </row>
    <row r="851" spans="1:3" ht="15" hidden="1" customHeight="1" x14ac:dyDescent="0.3">
      <c r="A851" t="s">
        <v>109</v>
      </c>
      <c r="B851" s="2">
        <v>45931</v>
      </c>
      <c r="C851">
        <v>4103.1000000000004</v>
      </c>
    </row>
    <row r="852" spans="1:3" ht="15" hidden="1" customHeight="1" x14ac:dyDescent="0.3">
      <c r="A852" t="s">
        <v>109</v>
      </c>
      <c r="B852" s="2">
        <v>45962</v>
      </c>
      <c r="C852">
        <v>4120.2</v>
      </c>
    </row>
    <row r="853" spans="1:3" ht="15" hidden="1" customHeight="1" x14ac:dyDescent="0.3">
      <c r="A853" t="s">
        <v>109</v>
      </c>
      <c r="B853" s="2">
        <v>45992</v>
      </c>
      <c r="C853">
        <v>4377.6000000000004</v>
      </c>
    </row>
    <row r="854" spans="1:3" ht="15" hidden="1" customHeight="1" x14ac:dyDescent="0.3">
      <c r="A854" t="s">
        <v>109</v>
      </c>
      <c r="B854" s="2">
        <v>46023</v>
      </c>
      <c r="C854">
        <v>4235.3999999999996</v>
      </c>
    </row>
    <row r="855" spans="1:3" ht="15" hidden="1" customHeight="1" x14ac:dyDescent="0.3">
      <c r="A855" t="s">
        <v>109</v>
      </c>
      <c r="B855" s="2">
        <v>46054</v>
      </c>
      <c r="C855">
        <v>3699</v>
      </c>
    </row>
    <row r="856" spans="1:3" ht="15" hidden="1" customHeight="1" x14ac:dyDescent="0.3">
      <c r="A856" t="s">
        <v>109</v>
      </c>
      <c r="B856" s="2">
        <v>46082</v>
      </c>
      <c r="C856">
        <v>3788.1</v>
      </c>
    </row>
    <row r="857" spans="1:3" ht="15" hidden="1" customHeight="1" x14ac:dyDescent="0.3">
      <c r="A857" t="s">
        <v>109</v>
      </c>
      <c r="B857" s="2">
        <v>46113</v>
      </c>
      <c r="C857">
        <v>3184.2</v>
      </c>
    </row>
    <row r="858" spans="1:3" ht="15" hidden="1" customHeight="1" x14ac:dyDescent="0.3">
      <c r="A858" t="s">
        <v>109</v>
      </c>
      <c r="B858" s="2">
        <v>46143</v>
      </c>
      <c r="C858">
        <v>3052.8</v>
      </c>
    </row>
    <row r="859" spans="1:3" ht="15" hidden="1" customHeight="1" x14ac:dyDescent="0.3">
      <c r="A859" t="s">
        <v>109</v>
      </c>
      <c r="B859" s="2">
        <v>46174</v>
      </c>
      <c r="C859">
        <v>2752.2</v>
      </c>
    </row>
    <row r="860" spans="1:3" ht="15" customHeight="1" x14ac:dyDescent="0.3">
      <c r="A860" t="s">
        <v>109</v>
      </c>
      <c r="B860" s="2">
        <v>46204</v>
      </c>
      <c r="C860">
        <v>3029.4</v>
      </c>
    </row>
    <row r="861" spans="1:3" ht="15" hidden="1" customHeight="1" x14ac:dyDescent="0.3">
      <c r="A861" t="s">
        <v>109</v>
      </c>
      <c r="B861" s="2">
        <v>46235</v>
      </c>
      <c r="C861">
        <v>3546.9</v>
      </c>
    </row>
    <row r="862" spans="1:3" ht="15" hidden="1" customHeight="1" x14ac:dyDescent="0.3">
      <c r="A862" t="s">
        <v>109</v>
      </c>
      <c r="B862" s="2">
        <v>46266</v>
      </c>
      <c r="C862">
        <v>3911.4</v>
      </c>
    </row>
    <row r="863" spans="1:3" ht="15" hidden="1" customHeight="1" x14ac:dyDescent="0.3">
      <c r="A863" t="s">
        <v>109</v>
      </c>
      <c r="B863" s="2">
        <v>46296</v>
      </c>
      <c r="C863">
        <v>4103.1000000000004</v>
      </c>
    </row>
    <row r="864" spans="1:3" ht="15" hidden="1" customHeight="1" x14ac:dyDescent="0.3">
      <c r="A864" t="s">
        <v>109</v>
      </c>
      <c r="B864" s="2">
        <v>46327</v>
      </c>
      <c r="C864">
        <v>4120.2</v>
      </c>
    </row>
    <row r="865" spans="1:3" ht="15" hidden="1" customHeight="1" x14ac:dyDescent="0.3">
      <c r="A865" t="s">
        <v>109</v>
      </c>
      <c r="B865" s="2">
        <v>46357</v>
      </c>
      <c r="C865">
        <v>4377.6000000000004</v>
      </c>
    </row>
    <row r="866" spans="1:3" ht="15" hidden="1" customHeight="1" x14ac:dyDescent="0.3">
      <c r="A866" t="s">
        <v>113</v>
      </c>
      <c r="B866" s="2">
        <v>45292</v>
      </c>
      <c r="C866">
        <v>39600.81</v>
      </c>
    </row>
    <row r="867" spans="1:3" ht="15" hidden="1" customHeight="1" x14ac:dyDescent="0.3">
      <c r="A867" t="s">
        <v>113</v>
      </c>
      <c r="B867" s="2">
        <v>45323</v>
      </c>
      <c r="C867">
        <v>33064.92</v>
      </c>
    </row>
    <row r="868" spans="1:3" ht="15" hidden="1" customHeight="1" x14ac:dyDescent="0.3">
      <c r="A868" t="s">
        <v>113</v>
      </c>
      <c r="B868" s="2">
        <v>45352</v>
      </c>
      <c r="C868">
        <v>32219.55</v>
      </c>
    </row>
    <row r="869" spans="1:3" ht="15" hidden="1" customHeight="1" x14ac:dyDescent="0.3">
      <c r="A869" t="s">
        <v>113</v>
      </c>
      <c r="B869" s="2">
        <v>45383</v>
      </c>
      <c r="C869">
        <v>23614.38</v>
      </c>
    </row>
    <row r="870" spans="1:3" ht="15" hidden="1" customHeight="1" x14ac:dyDescent="0.3">
      <c r="A870" t="s">
        <v>113</v>
      </c>
      <c r="B870" s="2">
        <v>45413</v>
      </c>
      <c r="C870">
        <v>17952.57</v>
      </c>
    </row>
    <row r="871" spans="1:3" ht="15" hidden="1" customHeight="1" x14ac:dyDescent="0.3">
      <c r="A871" t="s">
        <v>113</v>
      </c>
      <c r="B871" s="2">
        <v>45444</v>
      </c>
      <c r="C871">
        <v>14925.6</v>
      </c>
    </row>
    <row r="872" spans="1:3" ht="15" hidden="1" customHeight="1" x14ac:dyDescent="0.3">
      <c r="A872" t="s">
        <v>113</v>
      </c>
      <c r="B872" s="2">
        <v>45474</v>
      </c>
      <c r="C872">
        <v>16774.830000000002</v>
      </c>
    </row>
    <row r="873" spans="1:3" ht="15" hidden="1" customHeight="1" x14ac:dyDescent="0.3">
      <c r="A873" t="s">
        <v>113</v>
      </c>
      <c r="B873" s="2">
        <v>45505</v>
      </c>
      <c r="C873">
        <v>20886.75</v>
      </c>
    </row>
    <row r="874" spans="1:3" ht="15" hidden="1" customHeight="1" x14ac:dyDescent="0.3">
      <c r="A874" t="s">
        <v>113</v>
      </c>
      <c r="B874" s="2">
        <v>45536</v>
      </c>
      <c r="C874">
        <v>26689.95</v>
      </c>
    </row>
    <row r="875" spans="1:3" ht="15" hidden="1" customHeight="1" x14ac:dyDescent="0.3">
      <c r="A875" t="s">
        <v>113</v>
      </c>
      <c r="B875" s="2">
        <v>45566</v>
      </c>
      <c r="C875">
        <v>33024.69</v>
      </c>
    </row>
    <row r="876" spans="1:3" ht="15" hidden="1" customHeight="1" x14ac:dyDescent="0.3">
      <c r="A876" t="s">
        <v>113</v>
      </c>
      <c r="B876" s="2">
        <v>45597</v>
      </c>
      <c r="C876">
        <v>37111.769999999997</v>
      </c>
    </row>
    <row r="877" spans="1:3" ht="15" hidden="1" customHeight="1" x14ac:dyDescent="0.3">
      <c r="A877" t="s">
        <v>113</v>
      </c>
      <c r="B877" s="2">
        <v>45627</v>
      </c>
      <c r="C877">
        <v>40125.69</v>
      </c>
    </row>
    <row r="878" spans="1:3" ht="15" hidden="1" customHeight="1" x14ac:dyDescent="0.3">
      <c r="A878" t="s">
        <v>113</v>
      </c>
      <c r="B878" s="2">
        <v>45658</v>
      </c>
      <c r="C878">
        <v>39600.81</v>
      </c>
    </row>
    <row r="879" spans="1:3" ht="15" hidden="1" customHeight="1" x14ac:dyDescent="0.3">
      <c r="A879" t="s">
        <v>113</v>
      </c>
      <c r="B879" s="2">
        <v>45689</v>
      </c>
      <c r="C879">
        <v>33064.92</v>
      </c>
    </row>
    <row r="880" spans="1:3" ht="15" hidden="1" customHeight="1" x14ac:dyDescent="0.3">
      <c r="A880" t="s">
        <v>113</v>
      </c>
      <c r="B880" s="2">
        <v>45717</v>
      </c>
      <c r="C880">
        <v>32219.55</v>
      </c>
    </row>
    <row r="881" spans="1:3" ht="15" hidden="1" customHeight="1" x14ac:dyDescent="0.3">
      <c r="A881" t="s">
        <v>113</v>
      </c>
      <c r="B881" s="2">
        <v>45748</v>
      </c>
      <c r="C881">
        <v>23614.38</v>
      </c>
    </row>
    <row r="882" spans="1:3" ht="15" hidden="1" customHeight="1" x14ac:dyDescent="0.3">
      <c r="A882" t="s">
        <v>113</v>
      </c>
      <c r="B882" s="2">
        <v>45778</v>
      </c>
      <c r="C882">
        <v>17952.57</v>
      </c>
    </row>
    <row r="883" spans="1:3" ht="15" hidden="1" customHeight="1" x14ac:dyDescent="0.3">
      <c r="A883" t="s">
        <v>113</v>
      </c>
      <c r="B883" s="2">
        <v>45809</v>
      </c>
      <c r="C883">
        <v>14925.6</v>
      </c>
    </row>
    <row r="884" spans="1:3" ht="15" hidden="1" customHeight="1" x14ac:dyDescent="0.3">
      <c r="A884" t="s">
        <v>113</v>
      </c>
      <c r="B884" s="2">
        <v>45839</v>
      </c>
      <c r="C884">
        <v>16774.830000000002</v>
      </c>
    </row>
    <row r="885" spans="1:3" ht="15" hidden="1" customHeight="1" x14ac:dyDescent="0.3">
      <c r="A885" t="s">
        <v>113</v>
      </c>
      <c r="B885" s="2">
        <v>45870</v>
      </c>
      <c r="C885">
        <v>20886.75</v>
      </c>
    </row>
    <row r="886" spans="1:3" ht="15" hidden="1" customHeight="1" x14ac:dyDescent="0.3">
      <c r="A886" t="s">
        <v>113</v>
      </c>
      <c r="B886" s="2">
        <v>45901</v>
      </c>
      <c r="C886">
        <v>26689.95</v>
      </c>
    </row>
    <row r="887" spans="1:3" ht="15" hidden="1" customHeight="1" x14ac:dyDescent="0.3">
      <c r="A887" t="s">
        <v>113</v>
      </c>
      <c r="B887" s="2">
        <v>45931</v>
      </c>
      <c r="C887">
        <v>33024.69</v>
      </c>
    </row>
    <row r="888" spans="1:3" ht="15" hidden="1" customHeight="1" x14ac:dyDescent="0.3">
      <c r="A888" t="s">
        <v>113</v>
      </c>
      <c r="B888" s="2">
        <v>45962</v>
      </c>
      <c r="C888">
        <v>37111.769999999997</v>
      </c>
    </row>
    <row r="889" spans="1:3" ht="15" hidden="1" customHeight="1" x14ac:dyDescent="0.3">
      <c r="A889" t="s">
        <v>113</v>
      </c>
      <c r="B889" s="2">
        <v>45992</v>
      </c>
      <c r="C889">
        <v>40125.69</v>
      </c>
    </row>
    <row r="890" spans="1:3" ht="15" hidden="1" customHeight="1" x14ac:dyDescent="0.3">
      <c r="A890" t="s">
        <v>113</v>
      </c>
      <c r="B890" s="2">
        <v>46023</v>
      </c>
      <c r="C890">
        <v>39600.81</v>
      </c>
    </row>
    <row r="891" spans="1:3" ht="15" hidden="1" customHeight="1" x14ac:dyDescent="0.3">
      <c r="A891" t="s">
        <v>113</v>
      </c>
      <c r="B891" s="2">
        <v>46054</v>
      </c>
      <c r="C891">
        <v>33064.92</v>
      </c>
    </row>
    <row r="892" spans="1:3" ht="15" hidden="1" customHeight="1" x14ac:dyDescent="0.3">
      <c r="A892" t="s">
        <v>113</v>
      </c>
      <c r="B892" s="2">
        <v>46082</v>
      </c>
      <c r="C892">
        <v>32219.55</v>
      </c>
    </row>
    <row r="893" spans="1:3" ht="15" hidden="1" customHeight="1" x14ac:dyDescent="0.3">
      <c r="A893" t="s">
        <v>113</v>
      </c>
      <c r="B893" s="2">
        <v>46113</v>
      </c>
      <c r="C893">
        <v>23614.38</v>
      </c>
    </row>
    <row r="894" spans="1:3" ht="15" hidden="1" customHeight="1" x14ac:dyDescent="0.3">
      <c r="A894" t="s">
        <v>113</v>
      </c>
      <c r="B894" s="2">
        <v>46143</v>
      </c>
      <c r="C894">
        <v>17952.57</v>
      </c>
    </row>
    <row r="895" spans="1:3" ht="15" hidden="1" customHeight="1" x14ac:dyDescent="0.3">
      <c r="A895" t="s">
        <v>113</v>
      </c>
      <c r="B895" s="2">
        <v>46174</v>
      </c>
      <c r="C895">
        <v>14925.6</v>
      </c>
    </row>
    <row r="896" spans="1:3" ht="15" customHeight="1" x14ac:dyDescent="0.3">
      <c r="A896" t="s">
        <v>113</v>
      </c>
      <c r="B896" s="2">
        <v>46204</v>
      </c>
      <c r="C896">
        <v>16774.830000000002</v>
      </c>
    </row>
    <row r="897" spans="1:3" ht="15" hidden="1" customHeight="1" x14ac:dyDescent="0.3">
      <c r="A897" t="s">
        <v>113</v>
      </c>
      <c r="B897" s="2">
        <v>46235</v>
      </c>
      <c r="C897">
        <v>20886.75</v>
      </c>
    </row>
    <row r="898" spans="1:3" ht="15" hidden="1" customHeight="1" x14ac:dyDescent="0.3">
      <c r="A898" t="s">
        <v>113</v>
      </c>
      <c r="B898" s="2">
        <v>46266</v>
      </c>
      <c r="C898">
        <v>26689.95</v>
      </c>
    </row>
    <row r="899" spans="1:3" ht="15" hidden="1" customHeight="1" x14ac:dyDescent="0.3">
      <c r="A899" t="s">
        <v>113</v>
      </c>
      <c r="B899" s="2">
        <v>46296</v>
      </c>
      <c r="C899">
        <v>33024.69</v>
      </c>
    </row>
    <row r="900" spans="1:3" ht="15" hidden="1" customHeight="1" x14ac:dyDescent="0.3">
      <c r="A900" t="s">
        <v>113</v>
      </c>
      <c r="B900" s="2">
        <v>46327</v>
      </c>
      <c r="C900">
        <v>37111.769999999997</v>
      </c>
    </row>
    <row r="901" spans="1:3" ht="15" hidden="1" customHeight="1" x14ac:dyDescent="0.3">
      <c r="A901" t="s">
        <v>113</v>
      </c>
      <c r="B901" s="2">
        <v>46357</v>
      </c>
      <c r="C901">
        <v>40125.69</v>
      </c>
    </row>
    <row r="902" spans="1:3" ht="15" hidden="1" customHeight="1" x14ac:dyDescent="0.3">
      <c r="A902" t="s">
        <v>114</v>
      </c>
      <c r="B902" s="2">
        <v>45292</v>
      </c>
      <c r="C902">
        <v>29391.3</v>
      </c>
    </row>
    <row r="903" spans="1:3" ht="15" hidden="1" customHeight="1" x14ac:dyDescent="0.3">
      <c r="A903" t="s">
        <v>114</v>
      </c>
      <c r="B903" s="2">
        <v>45323</v>
      </c>
      <c r="C903">
        <v>25677</v>
      </c>
    </row>
    <row r="904" spans="1:3" ht="15" hidden="1" customHeight="1" x14ac:dyDescent="0.3">
      <c r="A904" t="s">
        <v>114</v>
      </c>
      <c r="B904" s="2">
        <v>45352</v>
      </c>
      <c r="C904">
        <v>24204.6</v>
      </c>
    </row>
    <row r="905" spans="1:3" ht="15" hidden="1" customHeight="1" x14ac:dyDescent="0.3">
      <c r="A905" t="s">
        <v>114</v>
      </c>
      <c r="B905" s="2">
        <v>45383</v>
      </c>
      <c r="C905">
        <v>21550.5</v>
      </c>
    </row>
    <row r="906" spans="1:3" ht="15" hidden="1" customHeight="1" x14ac:dyDescent="0.3">
      <c r="A906" t="s">
        <v>114</v>
      </c>
      <c r="B906" s="2">
        <v>45413</v>
      </c>
      <c r="C906">
        <v>19301.400000000001</v>
      </c>
    </row>
    <row r="907" spans="1:3" ht="15" hidden="1" customHeight="1" x14ac:dyDescent="0.3">
      <c r="A907" t="s">
        <v>114</v>
      </c>
      <c r="B907" s="2">
        <v>45444</v>
      </c>
      <c r="C907">
        <v>17076.599999999999</v>
      </c>
    </row>
    <row r="908" spans="1:3" ht="15" hidden="1" customHeight="1" x14ac:dyDescent="0.3">
      <c r="A908" t="s">
        <v>114</v>
      </c>
      <c r="B908" s="2">
        <v>45474</v>
      </c>
      <c r="C908">
        <v>19010.7</v>
      </c>
    </row>
    <row r="909" spans="1:3" ht="15" hidden="1" customHeight="1" x14ac:dyDescent="0.3">
      <c r="A909" t="s">
        <v>114</v>
      </c>
      <c r="B909" s="2">
        <v>45505</v>
      </c>
      <c r="C909">
        <v>22169.7</v>
      </c>
    </row>
    <row r="910" spans="1:3" ht="15" hidden="1" customHeight="1" x14ac:dyDescent="0.3">
      <c r="A910" t="s">
        <v>114</v>
      </c>
      <c r="B910" s="2">
        <v>45536</v>
      </c>
      <c r="C910">
        <v>24661.8</v>
      </c>
    </row>
    <row r="911" spans="1:3" ht="15" hidden="1" customHeight="1" x14ac:dyDescent="0.3">
      <c r="A911" t="s">
        <v>114</v>
      </c>
      <c r="B911" s="2">
        <v>45566</v>
      </c>
      <c r="C911">
        <v>27450.9</v>
      </c>
    </row>
    <row r="912" spans="1:3" ht="15" hidden="1" customHeight="1" x14ac:dyDescent="0.3">
      <c r="A912" t="s">
        <v>114</v>
      </c>
      <c r="B912" s="2">
        <v>45597</v>
      </c>
      <c r="C912">
        <v>28825.200000000001</v>
      </c>
    </row>
    <row r="913" spans="1:3" ht="15" hidden="1" customHeight="1" x14ac:dyDescent="0.3">
      <c r="A913" t="s">
        <v>114</v>
      </c>
      <c r="B913" s="2">
        <v>45627</v>
      </c>
      <c r="C913">
        <v>28327.5</v>
      </c>
    </row>
    <row r="914" spans="1:3" ht="15" hidden="1" customHeight="1" x14ac:dyDescent="0.3">
      <c r="A914" t="s">
        <v>114</v>
      </c>
      <c r="B914" s="2">
        <v>45658</v>
      </c>
      <c r="C914">
        <v>29391.3</v>
      </c>
    </row>
    <row r="915" spans="1:3" ht="15" hidden="1" customHeight="1" x14ac:dyDescent="0.3">
      <c r="A915" t="s">
        <v>114</v>
      </c>
      <c r="B915" s="2">
        <v>45689</v>
      </c>
      <c r="C915">
        <v>25677</v>
      </c>
    </row>
    <row r="916" spans="1:3" ht="15" hidden="1" customHeight="1" x14ac:dyDescent="0.3">
      <c r="A916" t="s">
        <v>114</v>
      </c>
      <c r="B916" s="2">
        <v>45717</v>
      </c>
      <c r="C916">
        <v>24204.6</v>
      </c>
    </row>
    <row r="917" spans="1:3" ht="15" hidden="1" customHeight="1" x14ac:dyDescent="0.3">
      <c r="A917" t="s">
        <v>114</v>
      </c>
      <c r="B917" s="2">
        <v>45748</v>
      </c>
      <c r="C917">
        <v>21550.5</v>
      </c>
    </row>
    <row r="918" spans="1:3" ht="15" hidden="1" customHeight="1" x14ac:dyDescent="0.3">
      <c r="A918" t="s">
        <v>114</v>
      </c>
      <c r="B918" s="2">
        <v>45778</v>
      </c>
      <c r="C918">
        <v>19301.400000000001</v>
      </c>
    </row>
    <row r="919" spans="1:3" ht="15" hidden="1" customHeight="1" x14ac:dyDescent="0.3">
      <c r="A919" t="s">
        <v>114</v>
      </c>
      <c r="B919" s="2">
        <v>45809</v>
      </c>
      <c r="C919">
        <v>17076.599999999999</v>
      </c>
    </row>
    <row r="920" spans="1:3" ht="15" hidden="1" customHeight="1" x14ac:dyDescent="0.3">
      <c r="A920" t="s">
        <v>114</v>
      </c>
      <c r="B920" s="2">
        <v>45839</v>
      </c>
      <c r="C920">
        <v>19010.7</v>
      </c>
    </row>
    <row r="921" spans="1:3" ht="15" hidden="1" customHeight="1" x14ac:dyDescent="0.3">
      <c r="A921" t="s">
        <v>114</v>
      </c>
      <c r="B921" s="2">
        <v>45870</v>
      </c>
      <c r="C921">
        <v>22169.7</v>
      </c>
    </row>
    <row r="922" spans="1:3" ht="15" hidden="1" customHeight="1" x14ac:dyDescent="0.3">
      <c r="A922" t="s">
        <v>114</v>
      </c>
      <c r="B922" s="2">
        <v>45901</v>
      </c>
      <c r="C922">
        <v>24661.8</v>
      </c>
    </row>
    <row r="923" spans="1:3" ht="15" hidden="1" customHeight="1" x14ac:dyDescent="0.3">
      <c r="A923" t="s">
        <v>114</v>
      </c>
      <c r="B923" s="2">
        <v>45931</v>
      </c>
      <c r="C923">
        <v>27450.9</v>
      </c>
    </row>
    <row r="924" spans="1:3" ht="15" hidden="1" customHeight="1" x14ac:dyDescent="0.3">
      <c r="A924" t="s">
        <v>114</v>
      </c>
      <c r="B924" s="2">
        <v>45962</v>
      </c>
      <c r="C924">
        <v>28825.200000000001</v>
      </c>
    </row>
    <row r="925" spans="1:3" ht="15" hidden="1" customHeight="1" x14ac:dyDescent="0.3">
      <c r="A925" t="s">
        <v>114</v>
      </c>
      <c r="B925" s="2">
        <v>45992</v>
      </c>
      <c r="C925">
        <v>28327.5</v>
      </c>
    </row>
    <row r="926" spans="1:3" ht="15" hidden="1" customHeight="1" x14ac:dyDescent="0.3">
      <c r="A926" t="s">
        <v>114</v>
      </c>
      <c r="B926" s="2">
        <v>46023</v>
      </c>
      <c r="C926">
        <v>29391.3</v>
      </c>
    </row>
    <row r="927" spans="1:3" ht="15" hidden="1" customHeight="1" x14ac:dyDescent="0.3">
      <c r="A927" t="s">
        <v>114</v>
      </c>
      <c r="B927" s="2">
        <v>46054</v>
      </c>
      <c r="C927">
        <v>25677</v>
      </c>
    </row>
    <row r="928" spans="1:3" ht="15" hidden="1" customHeight="1" x14ac:dyDescent="0.3">
      <c r="A928" t="s">
        <v>114</v>
      </c>
      <c r="B928" s="2">
        <v>46082</v>
      </c>
      <c r="C928">
        <v>24204.6</v>
      </c>
    </row>
    <row r="929" spans="1:3" ht="15" hidden="1" customHeight="1" x14ac:dyDescent="0.3">
      <c r="A929" t="s">
        <v>114</v>
      </c>
      <c r="B929" s="2">
        <v>46113</v>
      </c>
      <c r="C929">
        <v>21550.5</v>
      </c>
    </row>
    <row r="930" spans="1:3" ht="15" hidden="1" customHeight="1" x14ac:dyDescent="0.3">
      <c r="A930" t="s">
        <v>114</v>
      </c>
      <c r="B930" s="2">
        <v>46143</v>
      </c>
      <c r="C930">
        <v>19301.400000000001</v>
      </c>
    </row>
    <row r="931" spans="1:3" ht="15" hidden="1" customHeight="1" x14ac:dyDescent="0.3">
      <c r="A931" t="s">
        <v>114</v>
      </c>
      <c r="B931" s="2">
        <v>46174</v>
      </c>
      <c r="C931">
        <v>17076.599999999999</v>
      </c>
    </row>
    <row r="932" spans="1:3" ht="15" customHeight="1" x14ac:dyDescent="0.3">
      <c r="A932" t="s">
        <v>114</v>
      </c>
      <c r="B932" s="2">
        <v>46204</v>
      </c>
      <c r="C932">
        <v>19010.7</v>
      </c>
    </row>
    <row r="933" spans="1:3" ht="15" hidden="1" customHeight="1" x14ac:dyDescent="0.3">
      <c r="A933" t="s">
        <v>114</v>
      </c>
      <c r="B933" s="2">
        <v>46235</v>
      </c>
      <c r="C933">
        <v>22169.7</v>
      </c>
    </row>
    <row r="934" spans="1:3" ht="15" hidden="1" customHeight="1" x14ac:dyDescent="0.3">
      <c r="A934" t="s">
        <v>114</v>
      </c>
      <c r="B934" s="2">
        <v>46266</v>
      </c>
      <c r="C934">
        <v>24661.8</v>
      </c>
    </row>
    <row r="935" spans="1:3" ht="15" hidden="1" customHeight="1" x14ac:dyDescent="0.3">
      <c r="A935" t="s">
        <v>114</v>
      </c>
      <c r="B935" s="2">
        <v>46296</v>
      </c>
      <c r="C935">
        <v>27450.9</v>
      </c>
    </row>
    <row r="936" spans="1:3" ht="15" hidden="1" customHeight="1" x14ac:dyDescent="0.3">
      <c r="A936" t="s">
        <v>114</v>
      </c>
      <c r="B936" s="2">
        <v>46327</v>
      </c>
      <c r="C936">
        <v>28825.200000000001</v>
      </c>
    </row>
    <row r="937" spans="1:3" ht="15" hidden="1" customHeight="1" x14ac:dyDescent="0.3">
      <c r="A937" t="s">
        <v>114</v>
      </c>
      <c r="B937" s="2">
        <v>46357</v>
      </c>
      <c r="C937">
        <v>28327.5</v>
      </c>
    </row>
    <row r="938" spans="1:3" ht="15" hidden="1" customHeight="1" x14ac:dyDescent="0.3">
      <c r="A938" t="s">
        <v>117</v>
      </c>
      <c r="B938" s="2">
        <v>45292</v>
      </c>
      <c r="C938">
        <v>30214.799999999999</v>
      </c>
    </row>
    <row r="939" spans="1:3" ht="15" hidden="1" customHeight="1" x14ac:dyDescent="0.3">
      <c r="A939" t="s">
        <v>117</v>
      </c>
      <c r="B939" s="2">
        <v>45323</v>
      </c>
      <c r="C939">
        <v>26381.7</v>
      </c>
    </row>
    <row r="940" spans="1:3" ht="15" hidden="1" customHeight="1" x14ac:dyDescent="0.3">
      <c r="A940" t="s">
        <v>117</v>
      </c>
      <c r="B940" s="2">
        <v>45352</v>
      </c>
      <c r="C940">
        <v>27566.1</v>
      </c>
    </row>
    <row r="941" spans="1:3" ht="15" hidden="1" customHeight="1" x14ac:dyDescent="0.3">
      <c r="A941" t="s">
        <v>117</v>
      </c>
      <c r="B941" s="2">
        <v>45383</v>
      </c>
      <c r="C941">
        <v>23747.4</v>
      </c>
    </row>
    <row r="942" spans="1:3" ht="15" hidden="1" customHeight="1" x14ac:dyDescent="0.3">
      <c r="A942" t="s">
        <v>117</v>
      </c>
      <c r="B942" s="2">
        <v>45413</v>
      </c>
      <c r="C942">
        <v>22569.3</v>
      </c>
    </row>
    <row r="943" spans="1:3" ht="15" hidden="1" customHeight="1" x14ac:dyDescent="0.3">
      <c r="A943" t="s">
        <v>117</v>
      </c>
      <c r="B943" s="2">
        <v>45444</v>
      </c>
      <c r="C943">
        <v>20228.400000000001</v>
      </c>
    </row>
    <row r="944" spans="1:3" ht="15" hidden="1" customHeight="1" x14ac:dyDescent="0.3">
      <c r="A944" t="s">
        <v>117</v>
      </c>
      <c r="B944" s="2">
        <v>45474</v>
      </c>
      <c r="C944">
        <v>22354.2</v>
      </c>
    </row>
    <row r="945" spans="1:3" ht="15" hidden="1" customHeight="1" x14ac:dyDescent="0.3">
      <c r="A945" t="s">
        <v>117</v>
      </c>
      <c r="B945" s="2">
        <v>45505</v>
      </c>
      <c r="C945">
        <v>26968.5</v>
      </c>
    </row>
    <row r="946" spans="1:3" ht="15" hidden="1" customHeight="1" x14ac:dyDescent="0.3">
      <c r="A946" t="s">
        <v>117</v>
      </c>
      <c r="B946" s="2">
        <v>45536</v>
      </c>
      <c r="C946">
        <v>28840.5</v>
      </c>
    </row>
    <row r="947" spans="1:3" ht="15" hidden="1" customHeight="1" x14ac:dyDescent="0.3">
      <c r="A947" t="s">
        <v>117</v>
      </c>
      <c r="B947" s="2">
        <v>45566</v>
      </c>
      <c r="C947">
        <v>30258</v>
      </c>
    </row>
    <row r="948" spans="1:3" ht="15" hidden="1" customHeight="1" x14ac:dyDescent="0.3">
      <c r="A948" t="s">
        <v>117</v>
      </c>
      <c r="B948" s="2">
        <v>45597</v>
      </c>
      <c r="C948">
        <v>29380.5</v>
      </c>
    </row>
    <row r="949" spans="1:3" ht="15" hidden="1" customHeight="1" x14ac:dyDescent="0.3">
      <c r="A949" t="s">
        <v>117</v>
      </c>
      <c r="B949" s="2">
        <v>45627</v>
      </c>
      <c r="C949">
        <v>31219.200000000001</v>
      </c>
    </row>
    <row r="950" spans="1:3" ht="15" hidden="1" customHeight="1" x14ac:dyDescent="0.3">
      <c r="A950" t="s">
        <v>117</v>
      </c>
      <c r="B950" s="2">
        <v>45658</v>
      </c>
      <c r="C950">
        <v>30214.799999999999</v>
      </c>
    </row>
    <row r="951" spans="1:3" ht="15" hidden="1" customHeight="1" x14ac:dyDescent="0.3">
      <c r="A951" t="s">
        <v>117</v>
      </c>
      <c r="B951" s="2">
        <v>45689</v>
      </c>
      <c r="C951">
        <v>26381.7</v>
      </c>
    </row>
    <row r="952" spans="1:3" ht="15" hidden="1" customHeight="1" x14ac:dyDescent="0.3">
      <c r="A952" t="s">
        <v>117</v>
      </c>
      <c r="B952" s="2">
        <v>45717</v>
      </c>
      <c r="C952">
        <v>27566.1</v>
      </c>
    </row>
    <row r="953" spans="1:3" ht="15" hidden="1" customHeight="1" x14ac:dyDescent="0.3">
      <c r="A953" t="s">
        <v>117</v>
      </c>
      <c r="B953" s="2">
        <v>45748</v>
      </c>
      <c r="C953">
        <v>23747.4</v>
      </c>
    </row>
    <row r="954" spans="1:3" ht="15" hidden="1" customHeight="1" x14ac:dyDescent="0.3">
      <c r="A954" t="s">
        <v>117</v>
      </c>
      <c r="B954" s="2">
        <v>45778</v>
      </c>
      <c r="C954">
        <v>22569.3</v>
      </c>
    </row>
    <row r="955" spans="1:3" ht="15" hidden="1" customHeight="1" x14ac:dyDescent="0.3">
      <c r="A955" t="s">
        <v>117</v>
      </c>
      <c r="B955" s="2">
        <v>45809</v>
      </c>
      <c r="C955">
        <v>20228.400000000001</v>
      </c>
    </row>
    <row r="956" spans="1:3" ht="15" hidden="1" customHeight="1" x14ac:dyDescent="0.3">
      <c r="A956" t="s">
        <v>117</v>
      </c>
      <c r="B956" s="2">
        <v>45839</v>
      </c>
      <c r="C956">
        <v>22354.2</v>
      </c>
    </row>
    <row r="957" spans="1:3" ht="15" hidden="1" customHeight="1" x14ac:dyDescent="0.3">
      <c r="A957" t="s">
        <v>117</v>
      </c>
      <c r="B957" s="2">
        <v>45870</v>
      </c>
      <c r="C957">
        <v>26968.5</v>
      </c>
    </row>
    <row r="958" spans="1:3" ht="15" hidden="1" customHeight="1" x14ac:dyDescent="0.3">
      <c r="A958" t="s">
        <v>117</v>
      </c>
      <c r="B958" s="2">
        <v>45901</v>
      </c>
      <c r="C958">
        <v>28840.5</v>
      </c>
    </row>
    <row r="959" spans="1:3" ht="15" hidden="1" customHeight="1" x14ac:dyDescent="0.3">
      <c r="A959" t="s">
        <v>117</v>
      </c>
      <c r="B959" s="2">
        <v>45931</v>
      </c>
      <c r="C959">
        <v>30258</v>
      </c>
    </row>
    <row r="960" spans="1:3" ht="15" hidden="1" customHeight="1" x14ac:dyDescent="0.3">
      <c r="A960" t="s">
        <v>117</v>
      </c>
      <c r="B960" s="2">
        <v>45962</v>
      </c>
      <c r="C960">
        <v>29380.5</v>
      </c>
    </row>
    <row r="961" spans="1:3" ht="15" hidden="1" customHeight="1" x14ac:dyDescent="0.3">
      <c r="A961" t="s">
        <v>117</v>
      </c>
      <c r="B961" s="2">
        <v>45992</v>
      </c>
      <c r="C961">
        <v>31219.200000000001</v>
      </c>
    </row>
    <row r="962" spans="1:3" ht="15" hidden="1" customHeight="1" x14ac:dyDescent="0.3">
      <c r="A962" t="s">
        <v>117</v>
      </c>
      <c r="B962" s="2">
        <v>46023</v>
      </c>
      <c r="C962">
        <v>30214.799999999999</v>
      </c>
    </row>
    <row r="963" spans="1:3" ht="15" hidden="1" customHeight="1" x14ac:dyDescent="0.3">
      <c r="A963" t="s">
        <v>117</v>
      </c>
      <c r="B963" s="2">
        <v>46054</v>
      </c>
      <c r="C963">
        <v>26381.7</v>
      </c>
    </row>
    <row r="964" spans="1:3" ht="15" hidden="1" customHeight="1" x14ac:dyDescent="0.3">
      <c r="A964" t="s">
        <v>117</v>
      </c>
      <c r="B964" s="2">
        <v>46082</v>
      </c>
      <c r="C964">
        <v>27566.1</v>
      </c>
    </row>
    <row r="965" spans="1:3" ht="15" hidden="1" customHeight="1" x14ac:dyDescent="0.3">
      <c r="A965" t="s">
        <v>117</v>
      </c>
      <c r="B965" s="2">
        <v>46113</v>
      </c>
      <c r="C965">
        <v>23747.4</v>
      </c>
    </row>
    <row r="966" spans="1:3" ht="15" hidden="1" customHeight="1" x14ac:dyDescent="0.3">
      <c r="A966" t="s">
        <v>117</v>
      </c>
      <c r="B966" s="2">
        <v>46143</v>
      </c>
      <c r="C966">
        <v>22569.3</v>
      </c>
    </row>
    <row r="967" spans="1:3" ht="15" hidden="1" customHeight="1" x14ac:dyDescent="0.3">
      <c r="A967" t="s">
        <v>117</v>
      </c>
      <c r="B967" s="2">
        <v>46174</v>
      </c>
      <c r="C967">
        <v>20228.400000000001</v>
      </c>
    </row>
    <row r="968" spans="1:3" ht="15" customHeight="1" x14ac:dyDescent="0.3">
      <c r="A968" t="s">
        <v>117</v>
      </c>
      <c r="B968" s="2">
        <v>46204</v>
      </c>
      <c r="C968">
        <v>22354.2</v>
      </c>
    </row>
    <row r="969" spans="1:3" ht="15" hidden="1" customHeight="1" x14ac:dyDescent="0.3">
      <c r="A969" t="s">
        <v>117</v>
      </c>
      <c r="B969" s="2">
        <v>46235</v>
      </c>
      <c r="C969">
        <v>26968.5</v>
      </c>
    </row>
    <row r="970" spans="1:3" ht="15" hidden="1" customHeight="1" x14ac:dyDescent="0.3">
      <c r="A970" t="s">
        <v>117</v>
      </c>
      <c r="B970" s="2">
        <v>46266</v>
      </c>
      <c r="C970">
        <v>28840.5</v>
      </c>
    </row>
    <row r="971" spans="1:3" ht="15" hidden="1" customHeight="1" x14ac:dyDescent="0.3">
      <c r="A971" t="s">
        <v>117</v>
      </c>
      <c r="B971" s="2">
        <v>46296</v>
      </c>
      <c r="C971">
        <v>30258</v>
      </c>
    </row>
    <row r="972" spans="1:3" ht="15" hidden="1" customHeight="1" x14ac:dyDescent="0.3">
      <c r="A972" t="s">
        <v>117</v>
      </c>
      <c r="B972" s="2">
        <v>46327</v>
      </c>
      <c r="C972">
        <v>29380.5</v>
      </c>
    </row>
    <row r="973" spans="1:3" ht="15" hidden="1" customHeight="1" x14ac:dyDescent="0.3">
      <c r="A973" t="s">
        <v>117</v>
      </c>
      <c r="B973" s="2">
        <v>46357</v>
      </c>
      <c r="C973">
        <v>31219.200000000001</v>
      </c>
    </row>
    <row r="974" spans="1:3" ht="15" hidden="1" customHeight="1" x14ac:dyDescent="0.3">
      <c r="A974" t="s">
        <v>225</v>
      </c>
      <c r="B974" s="2">
        <v>45292</v>
      </c>
      <c r="C974">
        <v>7573.5</v>
      </c>
    </row>
    <row r="975" spans="1:3" ht="15" hidden="1" customHeight="1" x14ac:dyDescent="0.3">
      <c r="A975" t="s">
        <v>225</v>
      </c>
      <c r="B975" s="2">
        <v>45323</v>
      </c>
      <c r="C975">
        <v>6513.75</v>
      </c>
    </row>
    <row r="976" spans="1:3" ht="15" hidden="1" customHeight="1" x14ac:dyDescent="0.3">
      <c r="A976" t="s">
        <v>225</v>
      </c>
      <c r="B976" s="2">
        <v>45352</v>
      </c>
      <c r="C976">
        <v>6841.35</v>
      </c>
    </row>
    <row r="977" spans="1:3" ht="15" hidden="1" customHeight="1" x14ac:dyDescent="0.3">
      <c r="A977" t="s">
        <v>225</v>
      </c>
      <c r="B977" s="2">
        <v>45383</v>
      </c>
      <c r="C977">
        <v>618.29999999999995</v>
      </c>
    </row>
    <row r="978" spans="1:3" ht="15" hidden="1" customHeight="1" x14ac:dyDescent="0.3">
      <c r="A978" t="s">
        <v>225</v>
      </c>
      <c r="B978" s="2">
        <v>45413</v>
      </c>
      <c r="C978">
        <v>5924.7</v>
      </c>
    </row>
    <row r="979" spans="1:3" ht="15" hidden="1" customHeight="1" x14ac:dyDescent="0.3">
      <c r="A979" t="s">
        <v>225</v>
      </c>
      <c r="B979" s="2">
        <v>45444</v>
      </c>
      <c r="C979">
        <v>5295.6</v>
      </c>
    </row>
    <row r="980" spans="1:3" ht="15" hidden="1" customHeight="1" x14ac:dyDescent="0.3">
      <c r="A980" t="s">
        <v>225</v>
      </c>
      <c r="B980" s="2">
        <v>45474</v>
      </c>
      <c r="C980">
        <v>5785.2</v>
      </c>
    </row>
    <row r="981" spans="1:3" ht="15" hidden="1" customHeight="1" x14ac:dyDescent="0.3">
      <c r="A981" t="s">
        <v>225</v>
      </c>
      <c r="B981" s="2">
        <v>45505</v>
      </c>
      <c r="C981">
        <v>6585.3</v>
      </c>
    </row>
    <row r="982" spans="1:3" ht="15" hidden="1" customHeight="1" x14ac:dyDescent="0.3">
      <c r="A982" t="s">
        <v>225</v>
      </c>
      <c r="B982" s="2">
        <v>45536</v>
      </c>
      <c r="C982">
        <v>7018.65</v>
      </c>
    </row>
    <row r="983" spans="1:3" ht="15" hidden="1" customHeight="1" x14ac:dyDescent="0.3">
      <c r="A983" t="s">
        <v>225</v>
      </c>
      <c r="B983" s="2">
        <v>45566</v>
      </c>
      <c r="C983">
        <v>7479.45</v>
      </c>
    </row>
    <row r="984" spans="1:3" ht="15" hidden="1" customHeight="1" x14ac:dyDescent="0.3">
      <c r="A984" t="s">
        <v>225</v>
      </c>
      <c r="B984" s="2">
        <v>45597</v>
      </c>
      <c r="C984">
        <v>7552.8</v>
      </c>
    </row>
    <row r="985" spans="1:3" ht="15" hidden="1" customHeight="1" x14ac:dyDescent="0.3">
      <c r="A985" t="s">
        <v>225</v>
      </c>
      <c r="B985" s="2">
        <v>45627</v>
      </c>
      <c r="C985">
        <v>7415.1</v>
      </c>
    </row>
    <row r="986" spans="1:3" ht="15" hidden="1" customHeight="1" x14ac:dyDescent="0.3">
      <c r="A986" t="s">
        <v>225</v>
      </c>
      <c r="B986" s="2">
        <v>45658</v>
      </c>
      <c r="C986">
        <v>7573.5</v>
      </c>
    </row>
    <row r="987" spans="1:3" ht="15" hidden="1" customHeight="1" x14ac:dyDescent="0.3">
      <c r="A987" t="s">
        <v>225</v>
      </c>
      <c r="B987" s="2">
        <v>45689</v>
      </c>
      <c r="C987">
        <v>6513.75</v>
      </c>
    </row>
    <row r="988" spans="1:3" ht="15" hidden="1" customHeight="1" x14ac:dyDescent="0.3">
      <c r="A988" t="s">
        <v>225</v>
      </c>
      <c r="B988" s="2">
        <v>45717</v>
      </c>
      <c r="C988">
        <v>6841.35</v>
      </c>
    </row>
    <row r="989" spans="1:3" ht="15" hidden="1" customHeight="1" x14ac:dyDescent="0.3">
      <c r="A989" t="s">
        <v>225</v>
      </c>
      <c r="B989" s="2">
        <v>45748</v>
      </c>
      <c r="C989">
        <v>618.29999999999995</v>
      </c>
    </row>
    <row r="990" spans="1:3" ht="15" hidden="1" customHeight="1" x14ac:dyDescent="0.3">
      <c r="A990" t="s">
        <v>225</v>
      </c>
      <c r="B990" s="2">
        <v>45778</v>
      </c>
      <c r="C990">
        <v>5924.7</v>
      </c>
    </row>
    <row r="991" spans="1:3" ht="15" hidden="1" customHeight="1" x14ac:dyDescent="0.3">
      <c r="A991" t="s">
        <v>225</v>
      </c>
      <c r="B991" s="2">
        <v>45809</v>
      </c>
      <c r="C991">
        <v>5295.6</v>
      </c>
    </row>
    <row r="992" spans="1:3" ht="15" hidden="1" customHeight="1" x14ac:dyDescent="0.3">
      <c r="A992" t="s">
        <v>225</v>
      </c>
      <c r="B992" s="2">
        <v>45839</v>
      </c>
      <c r="C992">
        <v>5785.2</v>
      </c>
    </row>
    <row r="993" spans="1:3" ht="15" hidden="1" customHeight="1" x14ac:dyDescent="0.3">
      <c r="A993" t="s">
        <v>225</v>
      </c>
      <c r="B993" s="2">
        <v>45870</v>
      </c>
      <c r="C993">
        <v>6585.3</v>
      </c>
    </row>
    <row r="994" spans="1:3" ht="15" hidden="1" customHeight="1" x14ac:dyDescent="0.3">
      <c r="A994" t="s">
        <v>225</v>
      </c>
      <c r="B994" s="2">
        <v>45901</v>
      </c>
      <c r="C994">
        <v>7018.65</v>
      </c>
    </row>
    <row r="995" spans="1:3" ht="15" hidden="1" customHeight="1" x14ac:dyDescent="0.3">
      <c r="A995" t="s">
        <v>225</v>
      </c>
      <c r="B995" s="2">
        <v>45931</v>
      </c>
      <c r="C995">
        <v>7479.45</v>
      </c>
    </row>
    <row r="996" spans="1:3" ht="15" hidden="1" customHeight="1" x14ac:dyDescent="0.3">
      <c r="A996" t="s">
        <v>225</v>
      </c>
      <c r="B996" s="2">
        <v>45962</v>
      </c>
      <c r="C996">
        <v>7552.8</v>
      </c>
    </row>
    <row r="997" spans="1:3" ht="15" hidden="1" customHeight="1" x14ac:dyDescent="0.3">
      <c r="A997" t="s">
        <v>225</v>
      </c>
      <c r="B997" s="2">
        <v>45992</v>
      </c>
      <c r="C997">
        <v>7415.1</v>
      </c>
    </row>
    <row r="998" spans="1:3" ht="15" hidden="1" customHeight="1" x14ac:dyDescent="0.3">
      <c r="A998" t="s">
        <v>225</v>
      </c>
      <c r="B998" s="2">
        <v>46023</v>
      </c>
      <c r="C998">
        <v>7573.5</v>
      </c>
    </row>
    <row r="999" spans="1:3" ht="15" hidden="1" customHeight="1" x14ac:dyDescent="0.3">
      <c r="A999" t="s">
        <v>225</v>
      </c>
      <c r="B999" s="2">
        <v>46054</v>
      </c>
      <c r="C999">
        <v>6513.75</v>
      </c>
    </row>
    <row r="1000" spans="1:3" ht="15" hidden="1" customHeight="1" x14ac:dyDescent="0.3">
      <c r="A1000" t="s">
        <v>225</v>
      </c>
      <c r="B1000" s="2">
        <v>46082</v>
      </c>
      <c r="C1000">
        <v>6841.35</v>
      </c>
    </row>
    <row r="1001" spans="1:3" ht="15" hidden="1" customHeight="1" x14ac:dyDescent="0.3">
      <c r="A1001" t="s">
        <v>225</v>
      </c>
      <c r="B1001" s="2">
        <v>46113</v>
      </c>
      <c r="C1001">
        <v>6183</v>
      </c>
    </row>
    <row r="1002" spans="1:3" ht="15" hidden="1" customHeight="1" x14ac:dyDescent="0.3">
      <c r="A1002" t="s">
        <v>225</v>
      </c>
      <c r="B1002" s="2">
        <v>46143</v>
      </c>
      <c r="C1002">
        <v>5924.7</v>
      </c>
    </row>
    <row r="1003" spans="1:3" ht="15" hidden="1" customHeight="1" x14ac:dyDescent="0.3">
      <c r="A1003" t="s">
        <v>225</v>
      </c>
      <c r="B1003" s="2">
        <v>46174</v>
      </c>
      <c r="C1003">
        <v>5295.6</v>
      </c>
    </row>
    <row r="1004" spans="1:3" ht="15" customHeight="1" x14ac:dyDescent="0.3">
      <c r="A1004" t="s">
        <v>225</v>
      </c>
      <c r="B1004" s="2">
        <v>46204</v>
      </c>
      <c r="C1004">
        <v>5785.2</v>
      </c>
    </row>
    <row r="1005" spans="1:3" ht="15" hidden="1" customHeight="1" x14ac:dyDescent="0.3">
      <c r="A1005" t="s">
        <v>225</v>
      </c>
      <c r="B1005" s="2">
        <v>46235</v>
      </c>
      <c r="C1005">
        <v>6585.3</v>
      </c>
    </row>
    <row r="1006" spans="1:3" ht="15" hidden="1" customHeight="1" x14ac:dyDescent="0.3">
      <c r="A1006" t="s">
        <v>225</v>
      </c>
      <c r="B1006" s="2">
        <v>46266</v>
      </c>
      <c r="C1006">
        <v>7018.65</v>
      </c>
    </row>
    <row r="1007" spans="1:3" ht="15" hidden="1" customHeight="1" x14ac:dyDescent="0.3">
      <c r="A1007" t="s">
        <v>225</v>
      </c>
      <c r="B1007" s="2">
        <v>46296</v>
      </c>
      <c r="C1007">
        <v>7479.45</v>
      </c>
    </row>
    <row r="1008" spans="1:3" ht="15" hidden="1" customHeight="1" x14ac:dyDescent="0.3">
      <c r="A1008" t="s">
        <v>225</v>
      </c>
      <c r="B1008" s="2">
        <v>46327</v>
      </c>
      <c r="C1008">
        <v>7552.8</v>
      </c>
    </row>
    <row r="1009" spans="1:3" ht="15" hidden="1" customHeight="1" x14ac:dyDescent="0.3">
      <c r="A1009" t="s">
        <v>225</v>
      </c>
      <c r="B1009" s="2">
        <v>46357</v>
      </c>
      <c r="C1009">
        <v>7415.1</v>
      </c>
    </row>
    <row r="1010" spans="1:3" ht="15" hidden="1" customHeight="1" x14ac:dyDescent="0.3">
      <c r="A1010" t="s">
        <v>223</v>
      </c>
      <c r="B1010" s="2">
        <v>45292</v>
      </c>
      <c r="C1010">
        <v>7573.5</v>
      </c>
    </row>
    <row r="1011" spans="1:3" ht="15" hidden="1" customHeight="1" x14ac:dyDescent="0.3">
      <c r="A1011" t="s">
        <v>223</v>
      </c>
      <c r="B1011" s="2">
        <v>45323</v>
      </c>
      <c r="C1011">
        <v>6513.75</v>
      </c>
    </row>
    <row r="1012" spans="1:3" ht="15" hidden="1" customHeight="1" x14ac:dyDescent="0.3">
      <c r="A1012" t="s">
        <v>223</v>
      </c>
      <c r="B1012" s="2">
        <v>45352</v>
      </c>
      <c r="C1012">
        <v>6841.35</v>
      </c>
    </row>
    <row r="1013" spans="1:3" ht="15" hidden="1" customHeight="1" x14ac:dyDescent="0.3">
      <c r="A1013" t="s">
        <v>223</v>
      </c>
      <c r="B1013" s="2">
        <v>45383</v>
      </c>
      <c r="C1013">
        <v>618.29999999999995</v>
      </c>
    </row>
    <row r="1014" spans="1:3" ht="15" hidden="1" customHeight="1" x14ac:dyDescent="0.3">
      <c r="A1014" t="s">
        <v>223</v>
      </c>
      <c r="B1014" s="2">
        <v>45413</v>
      </c>
      <c r="C1014">
        <v>5924.7</v>
      </c>
    </row>
    <row r="1015" spans="1:3" ht="15" hidden="1" customHeight="1" x14ac:dyDescent="0.3">
      <c r="A1015" t="s">
        <v>223</v>
      </c>
      <c r="B1015" s="2">
        <v>45444</v>
      </c>
      <c r="C1015">
        <v>5295.6</v>
      </c>
    </row>
    <row r="1016" spans="1:3" ht="15" hidden="1" customHeight="1" x14ac:dyDescent="0.3">
      <c r="A1016" t="s">
        <v>223</v>
      </c>
      <c r="B1016" s="2">
        <v>45474</v>
      </c>
      <c r="C1016">
        <v>5785.2</v>
      </c>
    </row>
    <row r="1017" spans="1:3" ht="15" hidden="1" customHeight="1" x14ac:dyDescent="0.3">
      <c r="A1017" t="s">
        <v>223</v>
      </c>
      <c r="B1017" s="2">
        <v>45505</v>
      </c>
      <c r="C1017">
        <v>6585.3</v>
      </c>
    </row>
    <row r="1018" spans="1:3" ht="15" hidden="1" customHeight="1" x14ac:dyDescent="0.3">
      <c r="A1018" t="s">
        <v>223</v>
      </c>
      <c r="B1018" s="2">
        <v>45536</v>
      </c>
      <c r="C1018">
        <v>7018.65</v>
      </c>
    </row>
    <row r="1019" spans="1:3" ht="15" hidden="1" customHeight="1" x14ac:dyDescent="0.3">
      <c r="A1019" t="s">
        <v>223</v>
      </c>
      <c r="B1019" s="2">
        <v>45566</v>
      </c>
      <c r="C1019">
        <v>7479.45</v>
      </c>
    </row>
    <row r="1020" spans="1:3" ht="15" hidden="1" customHeight="1" x14ac:dyDescent="0.3">
      <c r="A1020" t="s">
        <v>223</v>
      </c>
      <c r="B1020" s="2">
        <v>45597</v>
      </c>
      <c r="C1020">
        <v>7552.8</v>
      </c>
    </row>
    <row r="1021" spans="1:3" ht="15" hidden="1" customHeight="1" x14ac:dyDescent="0.3">
      <c r="A1021" t="s">
        <v>223</v>
      </c>
      <c r="B1021" s="2">
        <v>45627</v>
      </c>
      <c r="C1021">
        <v>7415.1</v>
      </c>
    </row>
    <row r="1022" spans="1:3" ht="15" hidden="1" customHeight="1" x14ac:dyDescent="0.3">
      <c r="A1022" t="s">
        <v>223</v>
      </c>
      <c r="B1022" s="2">
        <v>45658</v>
      </c>
      <c r="C1022">
        <v>7573.5</v>
      </c>
    </row>
    <row r="1023" spans="1:3" ht="15" hidden="1" customHeight="1" x14ac:dyDescent="0.3">
      <c r="A1023" t="s">
        <v>223</v>
      </c>
      <c r="B1023" s="2">
        <v>45689</v>
      </c>
      <c r="C1023">
        <v>6513.75</v>
      </c>
    </row>
    <row r="1024" spans="1:3" ht="15" hidden="1" customHeight="1" x14ac:dyDescent="0.3">
      <c r="A1024" t="s">
        <v>223</v>
      </c>
      <c r="B1024" s="2">
        <v>45717</v>
      </c>
      <c r="C1024">
        <v>6841.35</v>
      </c>
    </row>
    <row r="1025" spans="1:3" ht="15" hidden="1" customHeight="1" x14ac:dyDescent="0.3">
      <c r="A1025" t="s">
        <v>223</v>
      </c>
      <c r="B1025" s="2">
        <v>45748</v>
      </c>
      <c r="C1025">
        <v>618.29999999999995</v>
      </c>
    </row>
    <row r="1026" spans="1:3" ht="15" hidden="1" customHeight="1" x14ac:dyDescent="0.3">
      <c r="A1026" t="s">
        <v>223</v>
      </c>
      <c r="B1026" s="2">
        <v>45778</v>
      </c>
      <c r="C1026">
        <v>5924.7</v>
      </c>
    </row>
    <row r="1027" spans="1:3" ht="15" hidden="1" customHeight="1" x14ac:dyDescent="0.3">
      <c r="A1027" t="s">
        <v>223</v>
      </c>
      <c r="B1027" s="2">
        <v>45809</v>
      </c>
      <c r="C1027">
        <v>5295.6</v>
      </c>
    </row>
    <row r="1028" spans="1:3" ht="15" hidden="1" customHeight="1" x14ac:dyDescent="0.3">
      <c r="A1028" t="s">
        <v>223</v>
      </c>
      <c r="B1028" s="2">
        <v>45839</v>
      </c>
      <c r="C1028">
        <v>5785.2</v>
      </c>
    </row>
    <row r="1029" spans="1:3" ht="15" hidden="1" customHeight="1" x14ac:dyDescent="0.3">
      <c r="A1029" t="s">
        <v>223</v>
      </c>
      <c r="B1029" s="2">
        <v>45870</v>
      </c>
      <c r="C1029">
        <v>6585.3</v>
      </c>
    </row>
    <row r="1030" spans="1:3" ht="15" hidden="1" customHeight="1" x14ac:dyDescent="0.3">
      <c r="A1030" t="s">
        <v>223</v>
      </c>
      <c r="B1030" s="2">
        <v>45901</v>
      </c>
      <c r="C1030">
        <v>7018.65</v>
      </c>
    </row>
    <row r="1031" spans="1:3" ht="15" hidden="1" customHeight="1" x14ac:dyDescent="0.3">
      <c r="A1031" t="s">
        <v>223</v>
      </c>
      <c r="B1031" s="2">
        <v>45931</v>
      </c>
      <c r="C1031">
        <v>7479.45</v>
      </c>
    </row>
    <row r="1032" spans="1:3" ht="15" hidden="1" customHeight="1" x14ac:dyDescent="0.3">
      <c r="A1032" t="s">
        <v>223</v>
      </c>
      <c r="B1032" s="2">
        <v>45962</v>
      </c>
      <c r="C1032">
        <v>7552.8</v>
      </c>
    </row>
    <row r="1033" spans="1:3" ht="15" hidden="1" customHeight="1" x14ac:dyDescent="0.3">
      <c r="A1033" t="s">
        <v>223</v>
      </c>
      <c r="B1033" s="2">
        <v>45992</v>
      </c>
      <c r="C1033">
        <v>7415.1</v>
      </c>
    </row>
    <row r="1034" spans="1:3" ht="15" hidden="1" customHeight="1" x14ac:dyDescent="0.3">
      <c r="A1034" t="s">
        <v>223</v>
      </c>
      <c r="B1034" s="2">
        <v>46023</v>
      </c>
      <c r="C1034">
        <v>7573.5</v>
      </c>
    </row>
    <row r="1035" spans="1:3" ht="15" hidden="1" customHeight="1" x14ac:dyDescent="0.3">
      <c r="A1035" t="s">
        <v>223</v>
      </c>
      <c r="B1035" s="2">
        <v>46054</v>
      </c>
      <c r="C1035">
        <v>6513.75</v>
      </c>
    </row>
    <row r="1036" spans="1:3" ht="15" hidden="1" customHeight="1" x14ac:dyDescent="0.3">
      <c r="A1036" t="s">
        <v>223</v>
      </c>
      <c r="B1036" s="2">
        <v>46082</v>
      </c>
      <c r="C1036">
        <v>6841.35</v>
      </c>
    </row>
    <row r="1037" spans="1:3" ht="15" hidden="1" customHeight="1" x14ac:dyDescent="0.3">
      <c r="A1037" t="s">
        <v>223</v>
      </c>
      <c r="B1037" s="2">
        <v>46113</v>
      </c>
      <c r="C1037">
        <v>6183</v>
      </c>
    </row>
    <row r="1038" spans="1:3" ht="15" hidden="1" customHeight="1" x14ac:dyDescent="0.3">
      <c r="A1038" t="s">
        <v>223</v>
      </c>
      <c r="B1038" s="2">
        <v>46143</v>
      </c>
      <c r="C1038">
        <v>5924.7</v>
      </c>
    </row>
    <row r="1039" spans="1:3" ht="15" hidden="1" customHeight="1" x14ac:dyDescent="0.3">
      <c r="A1039" t="s">
        <v>223</v>
      </c>
      <c r="B1039" s="2">
        <v>46174</v>
      </c>
      <c r="C1039">
        <v>5295.6</v>
      </c>
    </row>
    <row r="1040" spans="1:3" ht="15" customHeight="1" x14ac:dyDescent="0.3">
      <c r="A1040" t="s">
        <v>223</v>
      </c>
      <c r="B1040" s="2">
        <v>46204</v>
      </c>
      <c r="C1040">
        <v>5785.2</v>
      </c>
    </row>
    <row r="1041" spans="1:3" ht="15" hidden="1" customHeight="1" x14ac:dyDescent="0.3">
      <c r="A1041" t="s">
        <v>223</v>
      </c>
      <c r="B1041" s="2">
        <v>46235</v>
      </c>
      <c r="C1041">
        <v>6585.3</v>
      </c>
    </row>
    <row r="1042" spans="1:3" ht="15" hidden="1" customHeight="1" x14ac:dyDescent="0.3">
      <c r="A1042" t="s">
        <v>223</v>
      </c>
      <c r="B1042" s="2">
        <v>46266</v>
      </c>
      <c r="C1042">
        <v>7018.65</v>
      </c>
    </row>
    <row r="1043" spans="1:3" ht="15" hidden="1" customHeight="1" x14ac:dyDescent="0.3">
      <c r="A1043" t="s">
        <v>223</v>
      </c>
      <c r="B1043" s="2">
        <v>46296</v>
      </c>
      <c r="C1043">
        <v>7479.45</v>
      </c>
    </row>
    <row r="1044" spans="1:3" ht="15" hidden="1" customHeight="1" x14ac:dyDescent="0.3">
      <c r="A1044" t="s">
        <v>223</v>
      </c>
      <c r="B1044" s="2">
        <v>46327</v>
      </c>
      <c r="C1044">
        <v>7552.8</v>
      </c>
    </row>
    <row r="1045" spans="1:3" ht="15" hidden="1" customHeight="1" x14ac:dyDescent="0.3">
      <c r="A1045" t="s">
        <v>223</v>
      </c>
      <c r="B1045" s="2">
        <v>46357</v>
      </c>
      <c r="C1045">
        <v>7415.1</v>
      </c>
    </row>
    <row r="1046" spans="1:3" ht="15" hidden="1" customHeight="1" x14ac:dyDescent="0.3">
      <c r="A1046" t="s">
        <v>120</v>
      </c>
      <c r="B1046" s="2">
        <v>45292</v>
      </c>
      <c r="C1046">
        <v>12213</v>
      </c>
    </row>
    <row r="1047" spans="1:3" ht="15" hidden="1" customHeight="1" x14ac:dyDescent="0.3">
      <c r="A1047" t="s">
        <v>120</v>
      </c>
      <c r="B1047" s="2">
        <v>45323</v>
      </c>
      <c r="C1047">
        <v>10570.5</v>
      </c>
    </row>
    <row r="1048" spans="1:3" ht="15" hidden="1" customHeight="1" x14ac:dyDescent="0.3">
      <c r="A1048" t="s">
        <v>120</v>
      </c>
      <c r="B1048" s="2">
        <v>45352</v>
      </c>
      <c r="C1048">
        <v>10619.1</v>
      </c>
    </row>
    <row r="1049" spans="1:3" ht="15" hidden="1" customHeight="1" x14ac:dyDescent="0.3">
      <c r="A1049" t="s">
        <v>120</v>
      </c>
      <c r="B1049" s="2">
        <v>45383</v>
      </c>
      <c r="C1049">
        <v>9139.5</v>
      </c>
    </row>
    <row r="1050" spans="1:3" ht="15" hidden="1" customHeight="1" x14ac:dyDescent="0.3">
      <c r="A1050" t="s">
        <v>120</v>
      </c>
      <c r="B1050" s="2">
        <v>45413</v>
      </c>
      <c r="C1050">
        <v>8593.2000000000007</v>
      </c>
    </row>
    <row r="1051" spans="1:3" ht="15" hidden="1" customHeight="1" x14ac:dyDescent="0.3">
      <c r="A1051" t="s">
        <v>120</v>
      </c>
      <c r="B1051" s="2">
        <v>45444</v>
      </c>
      <c r="C1051">
        <v>7680.6</v>
      </c>
    </row>
    <row r="1052" spans="1:3" ht="15" hidden="1" customHeight="1" x14ac:dyDescent="0.3">
      <c r="A1052" t="s">
        <v>120</v>
      </c>
      <c r="B1052" s="2">
        <v>45474</v>
      </c>
      <c r="C1052">
        <v>8550.9</v>
      </c>
    </row>
    <row r="1053" spans="1:3" ht="15" hidden="1" customHeight="1" x14ac:dyDescent="0.3">
      <c r="A1053" t="s">
        <v>120</v>
      </c>
      <c r="B1053" s="2">
        <v>45505</v>
      </c>
      <c r="C1053">
        <v>9997.2000000000007</v>
      </c>
    </row>
    <row r="1054" spans="1:3" ht="15" hidden="1" customHeight="1" x14ac:dyDescent="0.3">
      <c r="A1054" t="s">
        <v>120</v>
      </c>
      <c r="B1054" s="2">
        <v>45536</v>
      </c>
      <c r="C1054">
        <v>10701.9</v>
      </c>
    </row>
    <row r="1055" spans="1:3" ht="15" hidden="1" customHeight="1" x14ac:dyDescent="0.3">
      <c r="A1055" t="s">
        <v>120</v>
      </c>
      <c r="B1055" s="2">
        <v>45566</v>
      </c>
      <c r="C1055">
        <v>11834.1</v>
      </c>
    </row>
    <row r="1056" spans="1:3" ht="15" hidden="1" customHeight="1" x14ac:dyDescent="0.3">
      <c r="A1056" t="s">
        <v>120</v>
      </c>
      <c r="B1056" s="2">
        <v>45597</v>
      </c>
      <c r="C1056">
        <v>12129.3</v>
      </c>
    </row>
    <row r="1057" spans="1:3" ht="15" hidden="1" customHeight="1" x14ac:dyDescent="0.3">
      <c r="A1057" t="s">
        <v>120</v>
      </c>
      <c r="B1057" s="2">
        <v>45627</v>
      </c>
      <c r="C1057">
        <v>12998.7</v>
      </c>
    </row>
    <row r="1058" spans="1:3" ht="15" hidden="1" customHeight="1" x14ac:dyDescent="0.3">
      <c r="A1058" t="s">
        <v>120</v>
      </c>
      <c r="B1058" s="2">
        <v>45658</v>
      </c>
      <c r="C1058">
        <v>12213</v>
      </c>
    </row>
    <row r="1059" spans="1:3" ht="15" hidden="1" customHeight="1" x14ac:dyDescent="0.3">
      <c r="A1059" t="s">
        <v>120</v>
      </c>
      <c r="B1059" s="2">
        <v>45689</v>
      </c>
      <c r="C1059">
        <v>10570.5</v>
      </c>
    </row>
    <row r="1060" spans="1:3" ht="15" hidden="1" customHeight="1" x14ac:dyDescent="0.3">
      <c r="A1060" t="s">
        <v>120</v>
      </c>
      <c r="B1060" s="2">
        <v>45717</v>
      </c>
      <c r="C1060">
        <v>10619.1</v>
      </c>
    </row>
    <row r="1061" spans="1:3" ht="15" hidden="1" customHeight="1" x14ac:dyDescent="0.3">
      <c r="A1061" t="s">
        <v>120</v>
      </c>
      <c r="B1061" s="2">
        <v>45748</v>
      </c>
      <c r="C1061">
        <v>9139.5</v>
      </c>
    </row>
    <row r="1062" spans="1:3" ht="15" hidden="1" customHeight="1" x14ac:dyDescent="0.3">
      <c r="A1062" t="s">
        <v>120</v>
      </c>
      <c r="B1062" s="2">
        <v>45778</v>
      </c>
      <c r="C1062">
        <v>8593.2000000000007</v>
      </c>
    </row>
    <row r="1063" spans="1:3" ht="15" hidden="1" customHeight="1" x14ac:dyDescent="0.3">
      <c r="A1063" t="s">
        <v>120</v>
      </c>
      <c r="B1063" s="2">
        <v>45809</v>
      </c>
      <c r="C1063">
        <v>7680.6</v>
      </c>
    </row>
    <row r="1064" spans="1:3" ht="15" hidden="1" customHeight="1" x14ac:dyDescent="0.3">
      <c r="A1064" t="s">
        <v>120</v>
      </c>
      <c r="B1064" s="2">
        <v>45839</v>
      </c>
      <c r="C1064">
        <v>8550.9</v>
      </c>
    </row>
    <row r="1065" spans="1:3" ht="15" hidden="1" customHeight="1" x14ac:dyDescent="0.3">
      <c r="A1065" t="s">
        <v>120</v>
      </c>
      <c r="B1065" s="2">
        <v>45870</v>
      </c>
      <c r="C1065">
        <v>9997.2000000000007</v>
      </c>
    </row>
    <row r="1066" spans="1:3" ht="15" hidden="1" customHeight="1" x14ac:dyDescent="0.3">
      <c r="A1066" t="s">
        <v>120</v>
      </c>
      <c r="B1066" s="2">
        <v>45901</v>
      </c>
      <c r="C1066">
        <v>10701.9</v>
      </c>
    </row>
    <row r="1067" spans="1:3" ht="15" hidden="1" customHeight="1" x14ac:dyDescent="0.3">
      <c r="A1067" t="s">
        <v>120</v>
      </c>
      <c r="B1067" s="2">
        <v>45931</v>
      </c>
      <c r="C1067">
        <v>11834.1</v>
      </c>
    </row>
    <row r="1068" spans="1:3" ht="15" hidden="1" customHeight="1" x14ac:dyDescent="0.3">
      <c r="A1068" t="s">
        <v>120</v>
      </c>
      <c r="B1068" s="2">
        <v>45962</v>
      </c>
      <c r="C1068">
        <v>12129.3</v>
      </c>
    </row>
    <row r="1069" spans="1:3" ht="15" hidden="1" customHeight="1" x14ac:dyDescent="0.3">
      <c r="A1069" t="s">
        <v>120</v>
      </c>
      <c r="B1069" s="2">
        <v>45992</v>
      </c>
      <c r="C1069">
        <v>12998.7</v>
      </c>
    </row>
    <row r="1070" spans="1:3" ht="15" hidden="1" customHeight="1" x14ac:dyDescent="0.3">
      <c r="A1070" t="s">
        <v>120</v>
      </c>
      <c r="B1070" s="2">
        <v>46023</v>
      </c>
      <c r="C1070">
        <v>12213</v>
      </c>
    </row>
    <row r="1071" spans="1:3" ht="15" hidden="1" customHeight="1" x14ac:dyDescent="0.3">
      <c r="A1071" t="s">
        <v>120</v>
      </c>
      <c r="B1071" s="2">
        <v>46054</v>
      </c>
      <c r="C1071">
        <v>10570.5</v>
      </c>
    </row>
    <row r="1072" spans="1:3" ht="15" hidden="1" customHeight="1" x14ac:dyDescent="0.3">
      <c r="A1072" t="s">
        <v>120</v>
      </c>
      <c r="B1072" s="2">
        <v>46082</v>
      </c>
      <c r="C1072">
        <v>10619.1</v>
      </c>
    </row>
    <row r="1073" spans="1:3" ht="15" hidden="1" customHeight="1" x14ac:dyDescent="0.3">
      <c r="A1073" t="s">
        <v>120</v>
      </c>
      <c r="B1073" s="2">
        <v>46113</v>
      </c>
      <c r="C1073">
        <v>9139.5</v>
      </c>
    </row>
    <row r="1074" spans="1:3" ht="15" hidden="1" customHeight="1" x14ac:dyDescent="0.3">
      <c r="A1074" t="s">
        <v>120</v>
      </c>
      <c r="B1074" s="2">
        <v>46143</v>
      </c>
      <c r="C1074">
        <v>8593.2000000000007</v>
      </c>
    </row>
    <row r="1075" spans="1:3" ht="15" hidden="1" customHeight="1" x14ac:dyDescent="0.3">
      <c r="A1075" t="s">
        <v>120</v>
      </c>
      <c r="B1075" s="2">
        <v>46174</v>
      </c>
      <c r="C1075">
        <v>7680.6</v>
      </c>
    </row>
    <row r="1076" spans="1:3" ht="15" customHeight="1" x14ac:dyDescent="0.3">
      <c r="A1076" t="s">
        <v>120</v>
      </c>
      <c r="B1076" s="2">
        <v>46204</v>
      </c>
      <c r="C1076">
        <v>8550.9</v>
      </c>
    </row>
    <row r="1077" spans="1:3" ht="15" hidden="1" customHeight="1" x14ac:dyDescent="0.3">
      <c r="A1077" t="s">
        <v>120</v>
      </c>
      <c r="B1077" s="2">
        <v>46235</v>
      </c>
      <c r="C1077">
        <v>9997.2000000000007</v>
      </c>
    </row>
    <row r="1078" spans="1:3" ht="15" hidden="1" customHeight="1" x14ac:dyDescent="0.3">
      <c r="A1078" t="s">
        <v>120</v>
      </c>
      <c r="B1078" s="2">
        <v>46266</v>
      </c>
      <c r="C1078">
        <v>10701.9</v>
      </c>
    </row>
    <row r="1079" spans="1:3" ht="15" hidden="1" customHeight="1" x14ac:dyDescent="0.3">
      <c r="A1079" t="s">
        <v>120</v>
      </c>
      <c r="B1079" s="2">
        <v>46296</v>
      </c>
      <c r="C1079">
        <v>11834.1</v>
      </c>
    </row>
    <row r="1080" spans="1:3" ht="15" hidden="1" customHeight="1" x14ac:dyDescent="0.3">
      <c r="A1080" t="s">
        <v>120</v>
      </c>
      <c r="B1080" s="2">
        <v>46327</v>
      </c>
      <c r="C1080">
        <v>12129.3</v>
      </c>
    </row>
    <row r="1081" spans="1:3" ht="15" hidden="1" customHeight="1" x14ac:dyDescent="0.3">
      <c r="A1081" t="s">
        <v>120</v>
      </c>
      <c r="B1081" s="2">
        <v>46357</v>
      </c>
      <c r="C1081">
        <v>12998.7</v>
      </c>
    </row>
    <row r="1082" spans="1:3" ht="15" hidden="1" customHeight="1" x14ac:dyDescent="0.3">
      <c r="A1082" t="s">
        <v>236</v>
      </c>
      <c r="B1082" s="2">
        <v>45292</v>
      </c>
      <c r="C1082">
        <v>0</v>
      </c>
    </row>
    <row r="1083" spans="1:3" ht="15" hidden="1" customHeight="1" x14ac:dyDescent="0.3">
      <c r="A1083" t="s">
        <v>236</v>
      </c>
      <c r="B1083" s="2">
        <v>45323</v>
      </c>
      <c r="C1083">
        <v>0</v>
      </c>
    </row>
    <row r="1084" spans="1:3" ht="15" hidden="1" customHeight="1" x14ac:dyDescent="0.3">
      <c r="A1084" t="s">
        <v>236</v>
      </c>
      <c r="B1084" s="2">
        <v>45352</v>
      </c>
      <c r="C1084">
        <v>0</v>
      </c>
    </row>
    <row r="1085" spans="1:3" ht="15" hidden="1" customHeight="1" x14ac:dyDescent="0.3">
      <c r="A1085" t="s">
        <v>236</v>
      </c>
      <c r="B1085" s="2">
        <v>45383</v>
      </c>
      <c r="C1085">
        <v>0</v>
      </c>
    </row>
    <row r="1086" spans="1:3" ht="15" hidden="1" customHeight="1" x14ac:dyDescent="0.3">
      <c r="A1086" t="s">
        <v>236</v>
      </c>
      <c r="B1086" s="2">
        <v>45413</v>
      </c>
      <c r="C1086">
        <v>0</v>
      </c>
    </row>
    <row r="1087" spans="1:3" ht="15" hidden="1" customHeight="1" x14ac:dyDescent="0.3">
      <c r="A1087" t="s">
        <v>236</v>
      </c>
      <c r="B1087" s="2">
        <v>45444</v>
      </c>
      <c r="C1087">
        <v>0</v>
      </c>
    </row>
    <row r="1088" spans="1:3" ht="15" hidden="1" customHeight="1" x14ac:dyDescent="0.3">
      <c r="A1088" t="s">
        <v>236</v>
      </c>
      <c r="B1088" s="2">
        <v>45474</v>
      </c>
      <c r="C1088">
        <v>0</v>
      </c>
    </row>
    <row r="1089" spans="1:3" ht="15" hidden="1" customHeight="1" x14ac:dyDescent="0.3">
      <c r="A1089" t="s">
        <v>236</v>
      </c>
      <c r="B1089" s="2">
        <v>45505</v>
      </c>
      <c r="C1089">
        <v>0</v>
      </c>
    </row>
    <row r="1090" spans="1:3" ht="15" hidden="1" customHeight="1" x14ac:dyDescent="0.3">
      <c r="A1090" t="s">
        <v>236</v>
      </c>
      <c r="B1090" s="2">
        <v>45536</v>
      </c>
      <c r="C1090">
        <v>0</v>
      </c>
    </row>
    <row r="1091" spans="1:3" ht="15" hidden="1" customHeight="1" x14ac:dyDescent="0.3">
      <c r="A1091" t="s">
        <v>236</v>
      </c>
      <c r="B1091" s="2">
        <v>45566</v>
      </c>
      <c r="C1091">
        <v>0</v>
      </c>
    </row>
    <row r="1092" spans="1:3" ht="15" hidden="1" customHeight="1" x14ac:dyDescent="0.3">
      <c r="A1092" t="s">
        <v>236</v>
      </c>
      <c r="B1092" s="2">
        <v>45597</v>
      </c>
      <c r="C1092">
        <v>0</v>
      </c>
    </row>
    <row r="1093" spans="1:3" ht="15" hidden="1" customHeight="1" x14ac:dyDescent="0.3">
      <c r="A1093" t="s">
        <v>236</v>
      </c>
      <c r="B1093" s="2">
        <v>45627</v>
      </c>
      <c r="C1093">
        <v>0</v>
      </c>
    </row>
    <row r="1094" spans="1:3" ht="15" hidden="1" customHeight="1" x14ac:dyDescent="0.3">
      <c r="A1094" t="s">
        <v>236</v>
      </c>
      <c r="B1094" s="2">
        <v>45658</v>
      </c>
      <c r="C1094">
        <v>0</v>
      </c>
    </row>
    <row r="1095" spans="1:3" ht="15" hidden="1" customHeight="1" x14ac:dyDescent="0.3">
      <c r="A1095" t="s">
        <v>236</v>
      </c>
      <c r="B1095" s="2">
        <v>45689</v>
      </c>
      <c r="C1095">
        <v>0</v>
      </c>
    </row>
    <row r="1096" spans="1:3" ht="15" hidden="1" customHeight="1" x14ac:dyDescent="0.3">
      <c r="A1096" t="s">
        <v>236</v>
      </c>
      <c r="B1096" s="2">
        <v>45717</v>
      </c>
      <c r="C1096">
        <v>0</v>
      </c>
    </row>
    <row r="1097" spans="1:3" ht="15" hidden="1" customHeight="1" x14ac:dyDescent="0.3">
      <c r="A1097" t="s">
        <v>236</v>
      </c>
      <c r="B1097" s="2">
        <v>45748</v>
      </c>
      <c r="C1097">
        <v>0</v>
      </c>
    </row>
    <row r="1098" spans="1:3" ht="15" hidden="1" customHeight="1" x14ac:dyDescent="0.3">
      <c r="A1098" t="s">
        <v>236</v>
      </c>
      <c r="B1098" s="2">
        <v>45778</v>
      </c>
      <c r="C1098">
        <v>0</v>
      </c>
    </row>
    <row r="1099" spans="1:3" ht="15" hidden="1" customHeight="1" x14ac:dyDescent="0.3">
      <c r="A1099" t="s">
        <v>236</v>
      </c>
      <c r="B1099" s="2">
        <v>45809</v>
      </c>
      <c r="C1099">
        <v>0</v>
      </c>
    </row>
    <row r="1100" spans="1:3" ht="15" hidden="1" customHeight="1" x14ac:dyDescent="0.3">
      <c r="A1100" t="s">
        <v>236</v>
      </c>
      <c r="B1100" s="2">
        <v>45839</v>
      </c>
      <c r="C1100">
        <v>0</v>
      </c>
    </row>
    <row r="1101" spans="1:3" ht="15" hidden="1" customHeight="1" x14ac:dyDescent="0.3">
      <c r="A1101" t="s">
        <v>236</v>
      </c>
      <c r="B1101" s="2">
        <v>45870</v>
      </c>
      <c r="C1101">
        <v>0</v>
      </c>
    </row>
    <row r="1102" spans="1:3" ht="15" hidden="1" customHeight="1" x14ac:dyDescent="0.3">
      <c r="A1102" t="s">
        <v>236</v>
      </c>
      <c r="B1102" s="2">
        <v>45901</v>
      </c>
      <c r="C1102">
        <v>0</v>
      </c>
    </row>
    <row r="1103" spans="1:3" ht="15" hidden="1" customHeight="1" x14ac:dyDescent="0.3">
      <c r="A1103" t="s">
        <v>236</v>
      </c>
      <c r="B1103" s="2">
        <v>45931</v>
      </c>
      <c r="C1103">
        <v>0</v>
      </c>
    </row>
    <row r="1104" spans="1:3" ht="15" hidden="1" customHeight="1" x14ac:dyDescent="0.3">
      <c r="A1104" t="s">
        <v>236</v>
      </c>
      <c r="B1104" s="2">
        <v>45962</v>
      </c>
      <c r="C1104">
        <v>0</v>
      </c>
    </row>
    <row r="1105" spans="1:3" ht="15" hidden="1" customHeight="1" x14ac:dyDescent="0.3">
      <c r="A1105" t="s">
        <v>236</v>
      </c>
      <c r="B1105" s="2">
        <v>45992</v>
      </c>
      <c r="C1105">
        <v>0</v>
      </c>
    </row>
    <row r="1106" spans="1:3" ht="15" hidden="1" customHeight="1" x14ac:dyDescent="0.3">
      <c r="A1106" t="s">
        <v>236</v>
      </c>
      <c r="B1106" s="2">
        <v>46023</v>
      </c>
      <c r="C1106">
        <v>0</v>
      </c>
    </row>
    <row r="1107" spans="1:3" ht="15" hidden="1" customHeight="1" x14ac:dyDescent="0.3">
      <c r="A1107" t="s">
        <v>236</v>
      </c>
      <c r="B1107" s="2">
        <v>46054</v>
      </c>
      <c r="C1107">
        <v>0</v>
      </c>
    </row>
    <row r="1108" spans="1:3" ht="15" hidden="1" customHeight="1" x14ac:dyDescent="0.3">
      <c r="A1108" t="s">
        <v>236</v>
      </c>
      <c r="B1108" s="2">
        <v>46082</v>
      </c>
      <c r="C1108">
        <v>0</v>
      </c>
    </row>
    <row r="1109" spans="1:3" ht="15" hidden="1" customHeight="1" x14ac:dyDescent="0.3">
      <c r="A1109" t="s">
        <v>236</v>
      </c>
      <c r="B1109" s="2">
        <v>46113</v>
      </c>
      <c r="C1109">
        <v>0</v>
      </c>
    </row>
    <row r="1110" spans="1:3" ht="15" hidden="1" customHeight="1" x14ac:dyDescent="0.3">
      <c r="A1110" t="s">
        <v>236</v>
      </c>
      <c r="B1110" s="2">
        <v>46143</v>
      </c>
      <c r="C1110">
        <v>0</v>
      </c>
    </row>
    <row r="1111" spans="1:3" ht="15" hidden="1" customHeight="1" x14ac:dyDescent="0.3">
      <c r="A1111" t="s">
        <v>236</v>
      </c>
      <c r="B1111" s="2">
        <v>46174</v>
      </c>
      <c r="C1111">
        <v>0</v>
      </c>
    </row>
    <row r="1112" spans="1:3" ht="15" customHeight="1" x14ac:dyDescent="0.3">
      <c r="A1112" t="s">
        <v>236</v>
      </c>
      <c r="B1112" s="2">
        <v>46204</v>
      </c>
      <c r="C1112">
        <v>0</v>
      </c>
    </row>
    <row r="1113" spans="1:3" ht="15" hidden="1" customHeight="1" x14ac:dyDescent="0.3">
      <c r="A1113" t="s">
        <v>236</v>
      </c>
      <c r="B1113" s="2">
        <v>46235</v>
      </c>
      <c r="C1113">
        <v>0</v>
      </c>
    </row>
    <row r="1114" spans="1:3" ht="15" hidden="1" customHeight="1" x14ac:dyDescent="0.3">
      <c r="A1114" t="s">
        <v>236</v>
      </c>
      <c r="B1114" s="2">
        <v>46266</v>
      </c>
      <c r="C1114">
        <v>0</v>
      </c>
    </row>
    <row r="1115" spans="1:3" ht="15" hidden="1" customHeight="1" x14ac:dyDescent="0.3">
      <c r="A1115" t="s">
        <v>236</v>
      </c>
      <c r="B1115" s="2">
        <v>46296</v>
      </c>
      <c r="C1115">
        <v>0</v>
      </c>
    </row>
    <row r="1116" spans="1:3" ht="15" hidden="1" customHeight="1" x14ac:dyDescent="0.3">
      <c r="A1116" t="s">
        <v>236</v>
      </c>
      <c r="B1116" s="2">
        <v>46327</v>
      </c>
      <c r="C1116">
        <v>0</v>
      </c>
    </row>
    <row r="1117" spans="1:3" ht="15" hidden="1" customHeight="1" x14ac:dyDescent="0.3">
      <c r="A1117" t="s">
        <v>236</v>
      </c>
      <c r="B1117" s="2">
        <v>46357</v>
      </c>
      <c r="C1117">
        <v>0</v>
      </c>
    </row>
    <row r="1118" spans="1:3" ht="15" hidden="1" customHeight="1" x14ac:dyDescent="0.3">
      <c r="A1118" t="s">
        <v>122</v>
      </c>
      <c r="B1118" s="2">
        <v>45292</v>
      </c>
      <c r="C1118">
        <v>22241.7</v>
      </c>
    </row>
    <row r="1119" spans="1:3" ht="15" hidden="1" customHeight="1" x14ac:dyDescent="0.3">
      <c r="A1119" t="s">
        <v>122</v>
      </c>
      <c r="B1119" s="2">
        <v>45323</v>
      </c>
      <c r="C1119">
        <v>19450.8</v>
      </c>
    </row>
    <row r="1120" spans="1:3" ht="15" hidden="1" customHeight="1" x14ac:dyDescent="0.3">
      <c r="A1120" t="s">
        <v>122</v>
      </c>
      <c r="B1120" s="2">
        <v>45352</v>
      </c>
      <c r="C1120">
        <v>19575</v>
      </c>
    </row>
    <row r="1121" spans="1:3" ht="15" hidden="1" customHeight="1" x14ac:dyDescent="0.3">
      <c r="A1121" t="s">
        <v>122</v>
      </c>
      <c r="B1121" s="2">
        <v>45383</v>
      </c>
      <c r="C1121">
        <v>15792.3</v>
      </c>
    </row>
    <row r="1122" spans="1:3" ht="15" hidden="1" customHeight="1" x14ac:dyDescent="0.3">
      <c r="A1122" t="s">
        <v>122</v>
      </c>
      <c r="B1122" s="2">
        <v>45413</v>
      </c>
      <c r="C1122">
        <v>13477.5</v>
      </c>
    </row>
    <row r="1123" spans="1:3" ht="15" hidden="1" customHeight="1" x14ac:dyDescent="0.3">
      <c r="A1123" t="s">
        <v>122</v>
      </c>
      <c r="B1123" s="2">
        <v>45444</v>
      </c>
      <c r="C1123">
        <v>12124.8</v>
      </c>
    </row>
    <row r="1124" spans="1:3" ht="15" hidden="1" customHeight="1" x14ac:dyDescent="0.3">
      <c r="A1124" t="s">
        <v>122</v>
      </c>
      <c r="B1124" s="2">
        <v>45474</v>
      </c>
      <c r="C1124">
        <v>13099.5</v>
      </c>
    </row>
    <row r="1125" spans="1:3" ht="15" hidden="1" customHeight="1" x14ac:dyDescent="0.3">
      <c r="A1125" t="s">
        <v>122</v>
      </c>
      <c r="B1125" s="2">
        <v>45505</v>
      </c>
      <c r="C1125">
        <v>15450.3</v>
      </c>
    </row>
    <row r="1126" spans="1:3" ht="15" hidden="1" customHeight="1" x14ac:dyDescent="0.3">
      <c r="A1126" t="s">
        <v>122</v>
      </c>
      <c r="B1126" s="2">
        <v>45536</v>
      </c>
      <c r="C1126">
        <v>16583.400000000001</v>
      </c>
    </row>
    <row r="1127" spans="1:3" ht="15" hidden="1" customHeight="1" x14ac:dyDescent="0.3">
      <c r="A1127" t="s">
        <v>122</v>
      </c>
      <c r="B1127" s="2">
        <v>45566</v>
      </c>
      <c r="C1127">
        <v>19432.8</v>
      </c>
    </row>
    <row r="1128" spans="1:3" ht="15" hidden="1" customHeight="1" x14ac:dyDescent="0.3">
      <c r="A1128" t="s">
        <v>122</v>
      </c>
      <c r="B1128" s="2">
        <v>45597</v>
      </c>
      <c r="C1128">
        <v>20010.599999999999</v>
      </c>
    </row>
    <row r="1129" spans="1:3" ht="15" hidden="1" customHeight="1" x14ac:dyDescent="0.3">
      <c r="A1129" t="s">
        <v>122</v>
      </c>
      <c r="B1129" s="2">
        <v>45627</v>
      </c>
      <c r="C1129">
        <v>22485.599999999999</v>
      </c>
    </row>
    <row r="1130" spans="1:3" ht="15" hidden="1" customHeight="1" x14ac:dyDescent="0.3">
      <c r="A1130" t="s">
        <v>122</v>
      </c>
      <c r="B1130" s="2">
        <v>45658</v>
      </c>
      <c r="C1130">
        <v>22241.7</v>
      </c>
    </row>
    <row r="1131" spans="1:3" ht="15" hidden="1" customHeight="1" x14ac:dyDescent="0.3">
      <c r="A1131" t="s">
        <v>122</v>
      </c>
      <c r="B1131" s="2">
        <v>45689</v>
      </c>
      <c r="C1131">
        <v>19450.8</v>
      </c>
    </row>
    <row r="1132" spans="1:3" ht="15" hidden="1" customHeight="1" x14ac:dyDescent="0.3">
      <c r="A1132" t="s">
        <v>122</v>
      </c>
      <c r="B1132" s="2">
        <v>45717</v>
      </c>
      <c r="C1132">
        <v>19575</v>
      </c>
    </row>
    <row r="1133" spans="1:3" ht="15" hidden="1" customHeight="1" x14ac:dyDescent="0.3">
      <c r="A1133" t="s">
        <v>122</v>
      </c>
      <c r="B1133" s="2">
        <v>45748</v>
      </c>
      <c r="C1133">
        <v>15792.3</v>
      </c>
    </row>
    <row r="1134" spans="1:3" ht="15" hidden="1" customHeight="1" x14ac:dyDescent="0.3">
      <c r="A1134" t="s">
        <v>122</v>
      </c>
      <c r="B1134" s="2">
        <v>45778</v>
      </c>
      <c r="C1134">
        <v>13477.5</v>
      </c>
    </row>
    <row r="1135" spans="1:3" ht="15" hidden="1" customHeight="1" x14ac:dyDescent="0.3">
      <c r="A1135" t="s">
        <v>122</v>
      </c>
      <c r="B1135" s="2">
        <v>45809</v>
      </c>
      <c r="C1135">
        <v>12124.8</v>
      </c>
    </row>
    <row r="1136" spans="1:3" ht="15" hidden="1" customHeight="1" x14ac:dyDescent="0.3">
      <c r="A1136" t="s">
        <v>122</v>
      </c>
      <c r="B1136" s="2">
        <v>45839</v>
      </c>
      <c r="C1136">
        <v>13099.5</v>
      </c>
    </row>
    <row r="1137" spans="1:3" ht="15" hidden="1" customHeight="1" x14ac:dyDescent="0.3">
      <c r="A1137" t="s">
        <v>122</v>
      </c>
      <c r="B1137" s="2">
        <v>45870</v>
      </c>
      <c r="C1137">
        <v>15450.3</v>
      </c>
    </row>
    <row r="1138" spans="1:3" ht="15" hidden="1" customHeight="1" x14ac:dyDescent="0.3">
      <c r="A1138" t="s">
        <v>122</v>
      </c>
      <c r="B1138" s="2">
        <v>45901</v>
      </c>
      <c r="C1138">
        <v>16583.400000000001</v>
      </c>
    </row>
    <row r="1139" spans="1:3" ht="15" hidden="1" customHeight="1" x14ac:dyDescent="0.3">
      <c r="A1139" t="s">
        <v>122</v>
      </c>
      <c r="B1139" s="2">
        <v>45931</v>
      </c>
      <c r="C1139">
        <v>19432.8</v>
      </c>
    </row>
    <row r="1140" spans="1:3" ht="15" hidden="1" customHeight="1" x14ac:dyDescent="0.3">
      <c r="A1140" t="s">
        <v>122</v>
      </c>
      <c r="B1140" s="2">
        <v>45962</v>
      </c>
      <c r="C1140">
        <v>20010.599999999999</v>
      </c>
    </row>
    <row r="1141" spans="1:3" ht="15" hidden="1" customHeight="1" x14ac:dyDescent="0.3">
      <c r="A1141" t="s">
        <v>122</v>
      </c>
      <c r="B1141" s="2">
        <v>45992</v>
      </c>
      <c r="C1141">
        <v>22485.599999999999</v>
      </c>
    </row>
    <row r="1142" spans="1:3" ht="15" hidden="1" customHeight="1" x14ac:dyDescent="0.3">
      <c r="A1142" t="s">
        <v>122</v>
      </c>
      <c r="B1142" s="2">
        <v>46023</v>
      </c>
      <c r="C1142">
        <v>22241.7</v>
      </c>
    </row>
    <row r="1143" spans="1:3" ht="15" hidden="1" customHeight="1" x14ac:dyDescent="0.3">
      <c r="A1143" t="s">
        <v>122</v>
      </c>
      <c r="B1143" s="2">
        <v>46054</v>
      </c>
      <c r="C1143">
        <v>19450.8</v>
      </c>
    </row>
    <row r="1144" spans="1:3" ht="15" hidden="1" customHeight="1" x14ac:dyDescent="0.3">
      <c r="A1144" t="s">
        <v>122</v>
      </c>
      <c r="B1144" s="2">
        <v>46082</v>
      </c>
      <c r="C1144">
        <v>19575</v>
      </c>
    </row>
    <row r="1145" spans="1:3" ht="15" hidden="1" customHeight="1" x14ac:dyDescent="0.3">
      <c r="A1145" t="s">
        <v>122</v>
      </c>
      <c r="B1145" s="2">
        <v>46113</v>
      </c>
      <c r="C1145">
        <v>15792.3</v>
      </c>
    </row>
    <row r="1146" spans="1:3" ht="15" hidden="1" customHeight="1" x14ac:dyDescent="0.3">
      <c r="A1146" t="s">
        <v>122</v>
      </c>
      <c r="B1146" s="2">
        <v>46143</v>
      </c>
      <c r="C1146">
        <v>13477.5</v>
      </c>
    </row>
    <row r="1147" spans="1:3" ht="15" hidden="1" customHeight="1" x14ac:dyDescent="0.3">
      <c r="A1147" t="s">
        <v>122</v>
      </c>
      <c r="B1147" s="2">
        <v>46174</v>
      </c>
      <c r="C1147">
        <v>12124.8</v>
      </c>
    </row>
    <row r="1148" spans="1:3" ht="15" customHeight="1" x14ac:dyDescent="0.3">
      <c r="A1148" t="s">
        <v>122</v>
      </c>
      <c r="B1148" s="2">
        <v>46204</v>
      </c>
      <c r="C1148">
        <v>13099.5</v>
      </c>
    </row>
    <row r="1149" spans="1:3" ht="15" hidden="1" customHeight="1" x14ac:dyDescent="0.3">
      <c r="A1149" t="s">
        <v>122</v>
      </c>
      <c r="B1149" s="2">
        <v>46235</v>
      </c>
      <c r="C1149">
        <v>15450.3</v>
      </c>
    </row>
    <row r="1150" spans="1:3" ht="15" hidden="1" customHeight="1" x14ac:dyDescent="0.3">
      <c r="A1150" t="s">
        <v>122</v>
      </c>
      <c r="B1150" s="2">
        <v>46266</v>
      </c>
      <c r="C1150">
        <v>16583.400000000001</v>
      </c>
    </row>
    <row r="1151" spans="1:3" ht="15" hidden="1" customHeight="1" x14ac:dyDescent="0.3">
      <c r="A1151" t="s">
        <v>122</v>
      </c>
      <c r="B1151" s="2">
        <v>46296</v>
      </c>
      <c r="C1151">
        <v>19432.8</v>
      </c>
    </row>
    <row r="1152" spans="1:3" ht="15" hidden="1" customHeight="1" x14ac:dyDescent="0.3">
      <c r="A1152" t="s">
        <v>122</v>
      </c>
      <c r="B1152" s="2">
        <v>46327</v>
      </c>
      <c r="C1152">
        <v>20010.599999999999</v>
      </c>
    </row>
    <row r="1153" spans="1:3" ht="15" hidden="1" customHeight="1" x14ac:dyDescent="0.3">
      <c r="A1153" t="s">
        <v>122</v>
      </c>
      <c r="B1153" s="2">
        <v>46357</v>
      </c>
      <c r="C1153">
        <v>22485.599999999999</v>
      </c>
    </row>
    <row r="1154" spans="1:3" ht="15" hidden="1" customHeight="1" x14ac:dyDescent="0.3">
      <c r="A1154" t="s">
        <v>124</v>
      </c>
      <c r="B1154" s="2">
        <v>45292</v>
      </c>
      <c r="C1154">
        <v>61302.85</v>
      </c>
    </row>
    <row r="1155" spans="1:3" ht="15" hidden="1" customHeight="1" x14ac:dyDescent="0.3">
      <c r="A1155" t="s">
        <v>124</v>
      </c>
      <c r="B1155" s="2">
        <v>45323</v>
      </c>
      <c r="C1155">
        <v>55639.3</v>
      </c>
    </row>
    <row r="1156" spans="1:3" ht="15" hidden="1" customHeight="1" x14ac:dyDescent="0.3">
      <c r="A1156" t="s">
        <v>124</v>
      </c>
      <c r="B1156" s="2">
        <v>45352</v>
      </c>
      <c r="C1156">
        <v>58024.4</v>
      </c>
    </row>
    <row r="1157" spans="1:3" ht="15" hidden="1" customHeight="1" x14ac:dyDescent="0.3">
      <c r="A1157" t="s">
        <v>124</v>
      </c>
      <c r="B1157" s="2">
        <v>45383</v>
      </c>
      <c r="C1157">
        <v>48946.400000000001</v>
      </c>
    </row>
    <row r="1158" spans="1:3" ht="15" hidden="1" customHeight="1" x14ac:dyDescent="0.3">
      <c r="A1158" t="s">
        <v>124</v>
      </c>
      <c r="B1158" s="2">
        <v>45413</v>
      </c>
      <c r="C1158">
        <v>44310.5</v>
      </c>
    </row>
    <row r="1159" spans="1:3" ht="15" hidden="1" customHeight="1" x14ac:dyDescent="0.3">
      <c r="A1159" t="s">
        <v>124</v>
      </c>
      <c r="B1159" s="2">
        <v>45444</v>
      </c>
      <c r="C1159">
        <v>40933.449999999997</v>
      </c>
    </row>
    <row r="1160" spans="1:3" ht="15" hidden="1" customHeight="1" x14ac:dyDescent="0.3">
      <c r="A1160" t="s">
        <v>124</v>
      </c>
      <c r="B1160" s="2">
        <v>45474</v>
      </c>
      <c r="C1160">
        <v>43977.3</v>
      </c>
    </row>
    <row r="1161" spans="1:3" ht="15" hidden="1" customHeight="1" x14ac:dyDescent="0.3">
      <c r="A1161" t="s">
        <v>124</v>
      </c>
      <c r="B1161" s="2">
        <v>45505</v>
      </c>
      <c r="C1161">
        <v>48620.85</v>
      </c>
    </row>
    <row r="1162" spans="1:3" ht="15" hidden="1" customHeight="1" x14ac:dyDescent="0.3">
      <c r="A1162" t="s">
        <v>124</v>
      </c>
      <c r="B1162" s="2">
        <v>45536</v>
      </c>
      <c r="C1162">
        <v>50331.05</v>
      </c>
    </row>
    <row r="1163" spans="1:3" ht="15" hidden="1" customHeight="1" x14ac:dyDescent="0.3">
      <c r="A1163" t="s">
        <v>124</v>
      </c>
      <c r="B1163" s="2">
        <v>45566</v>
      </c>
      <c r="C1163">
        <v>55230.45</v>
      </c>
    </row>
    <row r="1164" spans="1:3" ht="15" hidden="1" customHeight="1" x14ac:dyDescent="0.3">
      <c r="A1164" t="s">
        <v>124</v>
      </c>
      <c r="B1164" s="2">
        <v>45597</v>
      </c>
      <c r="C1164">
        <v>56583.65</v>
      </c>
    </row>
    <row r="1165" spans="1:3" ht="15" hidden="1" customHeight="1" x14ac:dyDescent="0.3">
      <c r="A1165" t="s">
        <v>124</v>
      </c>
      <c r="B1165" s="2">
        <v>45627</v>
      </c>
      <c r="C1165">
        <v>61075.9</v>
      </c>
    </row>
    <row r="1166" spans="1:3" ht="15" hidden="1" customHeight="1" x14ac:dyDescent="0.3">
      <c r="A1166" t="s">
        <v>124</v>
      </c>
      <c r="B1166" s="2">
        <v>45658</v>
      </c>
      <c r="C1166">
        <v>61302.85</v>
      </c>
    </row>
    <row r="1167" spans="1:3" ht="15" hidden="1" customHeight="1" x14ac:dyDescent="0.3">
      <c r="A1167" t="s">
        <v>124</v>
      </c>
      <c r="B1167" s="2">
        <v>45689</v>
      </c>
      <c r="C1167">
        <v>55639.3</v>
      </c>
    </row>
    <row r="1168" spans="1:3" ht="15" hidden="1" customHeight="1" x14ac:dyDescent="0.3">
      <c r="A1168" t="s">
        <v>124</v>
      </c>
      <c r="B1168" s="2">
        <v>45717</v>
      </c>
      <c r="C1168">
        <v>58024.4</v>
      </c>
    </row>
    <row r="1169" spans="1:3" ht="15" hidden="1" customHeight="1" x14ac:dyDescent="0.3">
      <c r="A1169" t="s">
        <v>124</v>
      </c>
      <c r="B1169" s="2">
        <v>45748</v>
      </c>
      <c r="C1169">
        <v>48946.400000000001</v>
      </c>
    </row>
    <row r="1170" spans="1:3" ht="15" hidden="1" customHeight="1" x14ac:dyDescent="0.3">
      <c r="A1170" t="s">
        <v>124</v>
      </c>
      <c r="B1170" s="2">
        <v>45778</v>
      </c>
      <c r="C1170">
        <v>44310.5</v>
      </c>
    </row>
    <row r="1171" spans="1:3" ht="15" hidden="1" customHeight="1" x14ac:dyDescent="0.3">
      <c r="A1171" t="s">
        <v>124</v>
      </c>
      <c r="B1171" s="2">
        <v>45809</v>
      </c>
      <c r="C1171">
        <v>40933.449999999997</v>
      </c>
    </row>
    <row r="1172" spans="1:3" ht="15" hidden="1" customHeight="1" x14ac:dyDescent="0.3">
      <c r="A1172" t="s">
        <v>124</v>
      </c>
      <c r="B1172" s="2">
        <v>45839</v>
      </c>
      <c r="C1172">
        <v>43977.3</v>
      </c>
    </row>
    <row r="1173" spans="1:3" ht="15" hidden="1" customHeight="1" x14ac:dyDescent="0.3">
      <c r="A1173" t="s">
        <v>124</v>
      </c>
      <c r="B1173" s="2">
        <v>45870</v>
      </c>
      <c r="C1173">
        <v>48620.85</v>
      </c>
    </row>
    <row r="1174" spans="1:3" ht="15" hidden="1" customHeight="1" x14ac:dyDescent="0.3">
      <c r="A1174" t="s">
        <v>124</v>
      </c>
      <c r="B1174" s="2">
        <v>45901</v>
      </c>
      <c r="C1174">
        <v>50331.05</v>
      </c>
    </row>
    <row r="1175" spans="1:3" ht="15" hidden="1" customHeight="1" x14ac:dyDescent="0.3">
      <c r="A1175" t="s">
        <v>124</v>
      </c>
      <c r="B1175" s="2">
        <v>45931</v>
      </c>
      <c r="C1175">
        <v>55230.45</v>
      </c>
    </row>
    <row r="1176" spans="1:3" ht="15" hidden="1" customHeight="1" x14ac:dyDescent="0.3">
      <c r="A1176" t="s">
        <v>124</v>
      </c>
      <c r="B1176" s="2">
        <v>45962</v>
      </c>
      <c r="C1176">
        <v>56583.65</v>
      </c>
    </row>
    <row r="1177" spans="1:3" ht="15" hidden="1" customHeight="1" x14ac:dyDescent="0.3">
      <c r="A1177" t="s">
        <v>124</v>
      </c>
      <c r="B1177" s="2">
        <v>45992</v>
      </c>
      <c r="C1177">
        <v>61075.9</v>
      </c>
    </row>
    <row r="1178" spans="1:3" ht="15" hidden="1" customHeight="1" x14ac:dyDescent="0.3">
      <c r="A1178" t="s">
        <v>124</v>
      </c>
      <c r="B1178" s="2">
        <v>46023</v>
      </c>
      <c r="C1178">
        <v>61302.85</v>
      </c>
    </row>
    <row r="1179" spans="1:3" ht="15" hidden="1" customHeight="1" x14ac:dyDescent="0.3">
      <c r="A1179" t="s">
        <v>124</v>
      </c>
      <c r="B1179" s="2">
        <v>46054</v>
      </c>
      <c r="C1179">
        <v>55639.3</v>
      </c>
    </row>
    <row r="1180" spans="1:3" ht="15" hidden="1" customHeight="1" x14ac:dyDescent="0.3">
      <c r="A1180" t="s">
        <v>124</v>
      </c>
      <c r="B1180" s="2">
        <v>46082</v>
      </c>
      <c r="C1180">
        <v>58024.4</v>
      </c>
    </row>
    <row r="1181" spans="1:3" ht="15" hidden="1" customHeight="1" x14ac:dyDescent="0.3">
      <c r="A1181" t="s">
        <v>124</v>
      </c>
      <c r="B1181" s="2">
        <v>46113</v>
      </c>
      <c r="C1181">
        <v>48946.400000000001</v>
      </c>
    </row>
    <row r="1182" spans="1:3" ht="15" hidden="1" customHeight="1" x14ac:dyDescent="0.3">
      <c r="A1182" t="s">
        <v>124</v>
      </c>
      <c r="B1182" s="2">
        <v>46143</v>
      </c>
      <c r="C1182">
        <v>44310.5</v>
      </c>
    </row>
    <row r="1183" spans="1:3" ht="15" hidden="1" customHeight="1" x14ac:dyDescent="0.3">
      <c r="A1183" t="s">
        <v>124</v>
      </c>
      <c r="B1183" s="2">
        <v>46174</v>
      </c>
      <c r="C1183">
        <v>40933.449999999997</v>
      </c>
    </row>
    <row r="1184" spans="1:3" ht="15" customHeight="1" x14ac:dyDescent="0.3">
      <c r="A1184" t="s">
        <v>124</v>
      </c>
      <c r="B1184" s="2">
        <v>46204</v>
      </c>
      <c r="C1184">
        <v>43977.3</v>
      </c>
    </row>
    <row r="1185" spans="1:3" ht="15" hidden="1" customHeight="1" x14ac:dyDescent="0.3">
      <c r="A1185" t="s">
        <v>124</v>
      </c>
      <c r="B1185" s="2">
        <v>46235</v>
      </c>
      <c r="C1185">
        <v>48620.85</v>
      </c>
    </row>
    <row r="1186" spans="1:3" ht="15" hidden="1" customHeight="1" x14ac:dyDescent="0.3">
      <c r="A1186" t="s">
        <v>124</v>
      </c>
      <c r="B1186" s="2">
        <v>46266</v>
      </c>
      <c r="C1186">
        <v>50331.05</v>
      </c>
    </row>
    <row r="1187" spans="1:3" ht="15" hidden="1" customHeight="1" x14ac:dyDescent="0.3">
      <c r="A1187" t="s">
        <v>124</v>
      </c>
      <c r="B1187" s="2">
        <v>46296</v>
      </c>
      <c r="C1187">
        <v>55230.45</v>
      </c>
    </row>
    <row r="1188" spans="1:3" ht="15" hidden="1" customHeight="1" x14ac:dyDescent="0.3">
      <c r="A1188" t="s">
        <v>124</v>
      </c>
      <c r="B1188" s="2">
        <v>46327</v>
      </c>
      <c r="C1188">
        <v>56583.65</v>
      </c>
    </row>
    <row r="1189" spans="1:3" ht="15" hidden="1" customHeight="1" x14ac:dyDescent="0.3">
      <c r="A1189" t="s">
        <v>124</v>
      </c>
      <c r="B1189" s="2">
        <v>46357</v>
      </c>
      <c r="C1189">
        <v>61075.9</v>
      </c>
    </row>
    <row r="1190" spans="1:3" ht="15" hidden="1" customHeight="1" x14ac:dyDescent="0.3">
      <c r="A1190" t="s">
        <v>127</v>
      </c>
      <c r="B1190" s="2">
        <v>45292</v>
      </c>
      <c r="C1190">
        <v>15870.6</v>
      </c>
    </row>
    <row r="1191" spans="1:3" ht="15" hidden="1" customHeight="1" x14ac:dyDescent="0.3">
      <c r="A1191" t="s">
        <v>127</v>
      </c>
      <c r="B1191" s="2">
        <v>45323</v>
      </c>
      <c r="C1191">
        <v>14825.7</v>
      </c>
    </row>
    <row r="1192" spans="1:3" ht="15" hidden="1" customHeight="1" x14ac:dyDescent="0.3">
      <c r="A1192" t="s">
        <v>127</v>
      </c>
      <c r="B1192" s="2">
        <v>45352</v>
      </c>
      <c r="C1192">
        <v>17314.2</v>
      </c>
    </row>
    <row r="1193" spans="1:3" ht="15" hidden="1" customHeight="1" x14ac:dyDescent="0.3">
      <c r="A1193" t="s">
        <v>127</v>
      </c>
      <c r="B1193" s="2">
        <v>45383</v>
      </c>
      <c r="C1193">
        <v>15358.5</v>
      </c>
    </row>
    <row r="1194" spans="1:3" ht="15" hidden="1" customHeight="1" x14ac:dyDescent="0.3">
      <c r="A1194" t="s">
        <v>127</v>
      </c>
      <c r="B1194" s="2">
        <v>45413</v>
      </c>
      <c r="C1194">
        <v>15197.4</v>
      </c>
    </row>
    <row r="1195" spans="1:3" ht="15" hidden="1" customHeight="1" x14ac:dyDescent="0.3">
      <c r="A1195" t="s">
        <v>127</v>
      </c>
      <c r="B1195" s="2">
        <v>45444</v>
      </c>
      <c r="C1195">
        <v>14489.1</v>
      </c>
    </row>
    <row r="1196" spans="1:3" ht="15" hidden="1" customHeight="1" x14ac:dyDescent="0.3">
      <c r="A1196" t="s">
        <v>127</v>
      </c>
      <c r="B1196" s="2">
        <v>45474</v>
      </c>
      <c r="C1196">
        <v>15390.9</v>
      </c>
    </row>
    <row r="1197" spans="1:3" ht="15" hidden="1" customHeight="1" x14ac:dyDescent="0.3">
      <c r="A1197" t="s">
        <v>127</v>
      </c>
      <c r="B1197" s="2">
        <v>45505</v>
      </c>
      <c r="C1197">
        <v>15613.2</v>
      </c>
    </row>
    <row r="1198" spans="1:3" ht="15" hidden="1" customHeight="1" x14ac:dyDescent="0.3">
      <c r="A1198" t="s">
        <v>127</v>
      </c>
      <c r="B1198" s="2">
        <v>45536</v>
      </c>
      <c r="C1198">
        <v>15191.1</v>
      </c>
    </row>
    <row r="1199" spans="1:3" ht="15" hidden="1" customHeight="1" x14ac:dyDescent="0.3">
      <c r="A1199" t="s">
        <v>127</v>
      </c>
      <c r="B1199" s="2">
        <v>45566</v>
      </c>
      <c r="C1199">
        <v>14349.6</v>
      </c>
    </row>
    <row r="1200" spans="1:3" ht="15" hidden="1" customHeight="1" x14ac:dyDescent="0.3">
      <c r="A1200" t="s">
        <v>127</v>
      </c>
      <c r="B1200" s="2">
        <v>45597</v>
      </c>
      <c r="C1200">
        <v>13257.9</v>
      </c>
    </row>
    <row r="1201" spans="1:3" ht="15" hidden="1" customHeight="1" x14ac:dyDescent="0.3">
      <c r="A1201" t="s">
        <v>127</v>
      </c>
      <c r="B1201" s="2">
        <v>45627</v>
      </c>
      <c r="C1201">
        <v>13839.3</v>
      </c>
    </row>
    <row r="1202" spans="1:3" ht="15" hidden="1" customHeight="1" x14ac:dyDescent="0.3">
      <c r="A1202" t="s">
        <v>127</v>
      </c>
      <c r="B1202" s="2">
        <v>45658</v>
      </c>
      <c r="C1202">
        <v>15870.6</v>
      </c>
    </row>
    <row r="1203" spans="1:3" ht="15" hidden="1" customHeight="1" x14ac:dyDescent="0.3">
      <c r="A1203" t="s">
        <v>127</v>
      </c>
      <c r="B1203" s="2">
        <v>45689</v>
      </c>
      <c r="C1203">
        <v>14825.7</v>
      </c>
    </row>
    <row r="1204" spans="1:3" ht="15" hidden="1" customHeight="1" x14ac:dyDescent="0.3">
      <c r="A1204" t="s">
        <v>127</v>
      </c>
      <c r="B1204" s="2">
        <v>45717</v>
      </c>
      <c r="C1204">
        <v>17314.2</v>
      </c>
    </row>
    <row r="1205" spans="1:3" ht="15" hidden="1" customHeight="1" x14ac:dyDescent="0.3">
      <c r="A1205" t="s">
        <v>127</v>
      </c>
      <c r="B1205" s="2">
        <v>45748</v>
      </c>
      <c r="C1205">
        <v>15358.5</v>
      </c>
    </row>
    <row r="1206" spans="1:3" ht="15" hidden="1" customHeight="1" x14ac:dyDescent="0.3">
      <c r="A1206" t="s">
        <v>127</v>
      </c>
      <c r="B1206" s="2">
        <v>45778</v>
      </c>
      <c r="C1206">
        <v>15197.4</v>
      </c>
    </row>
    <row r="1207" spans="1:3" ht="15" hidden="1" customHeight="1" x14ac:dyDescent="0.3">
      <c r="A1207" t="s">
        <v>127</v>
      </c>
      <c r="B1207" s="2">
        <v>45809</v>
      </c>
      <c r="C1207">
        <v>14489.1</v>
      </c>
    </row>
    <row r="1208" spans="1:3" ht="15" hidden="1" customHeight="1" x14ac:dyDescent="0.3">
      <c r="A1208" t="s">
        <v>127</v>
      </c>
      <c r="B1208" s="2">
        <v>45839</v>
      </c>
      <c r="C1208">
        <v>15390.9</v>
      </c>
    </row>
    <row r="1209" spans="1:3" ht="15" hidden="1" customHeight="1" x14ac:dyDescent="0.3">
      <c r="A1209" t="s">
        <v>127</v>
      </c>
      <c r="B1209" s="2">
        <v>45870</v>
      </c>
      <c r="C1209">
        <v>15613.2</v>
      </c>
    </row>
    <row r="1210" spans="1:3" ht="15" hidden="1" customHeight="1" x14ac:dyDescent="0.3">
      <c r="A1210" t="s">
        <v>127</v>
      </c>
      <c r="B1210" s="2">
        <v>45901</v>
      </c>
      <c r="C1210">
        <v>15191.1</v>
      </c>
    </row>
    <row r="1211" spans="1:3" ht="15" hidden="1" customHeight="1" x14ac:dyDescent="0.3">
      <c r="A1211" t="s">
        <v>127</v>
      </c>
      <c r="B1211" s="2">
        <v>45931</v>
      </c>
      <c r="C1211">
        <v>14349.6</v>
      </c>
    </row>
    <row r="1212" spans="1:3" ht="15" hidden="1" customHeight="1" x14ac:dyDescent="0.3">
      <c r="A1212" t="s">
        <v>127</v>
      </c>
      <c r="B1212" s="2">
        <v>45962</v>
      </c>
      <c r="C1212">
        <v>13257.9</v>
      </c>
    </row>
    <row r="1213" spans="1:3" ht="15" hidden="1" customHeight="1" x14ac:dyDescent="0.3">
      <c r="A1213" t="s">
        <v>127</v>
      </c>
      <c r="B1213" s="2">
        <v>45992</v>
      </c>
      <c r="C1213">
        <v>13839.3</v>
      </c>
    </row>
    <row r="1214" spans="1:3" ht="15" hidden="1" customHeight="1" x14ac:dyDescent="0.3">
      <c r="A1214" t="s">
        <v>127</v>
      </c>
      <c r="B1214" s="2">
        <v>46023</v>
      </c>
      <c r="C1214">
        <v>15870.6</v>
      </c>
    </row>
    <row r="1215" spans="1:3" ht="15" hidden="1" customHeight="1" x14ac:dyDescent="0.3">
      <c r="A1215" t="s">
        <v>127</v>
      </c>
      <c r="B1215" s="2">
        <v>46054</v>
      </c>
      <c r="C1215">
        <v>14825.7</v>
      </c>
    </row>
    <row r="1216" spans="1:3" ht="15" hidden="1" customHeight="1" x14ac:dyDescent="0.3">
      <c r="A1216" t="s">
        <v>127</v>
      </c>
      <c r="B1216" s="2">
        <v>46082</v>
      </c>
      <c r="C1216">
        <v>17314.2</v>
      </c>
    </row>
    <row r="1217" spans="1:3" ht="15" hidden="1" customHeight="1" x14ac:dyDescent="0.3">
      <c r="A1217" t="s">
        <v>127</v>
      </c>
      <c r="B1217" s="2">
        <v>46113</v>
      </c>
      <c r="C1217">
        <v>15358.5</v>
      </c>
    </row>
    <row r="1218" spans="1:3" ht="15" hidden="1" customHeight="1" x14ac:dyDescent="0.3">
      <c r="A1218" t="s">
        <v>127</v>
      </c>
      <c r="B1218" s="2">
        <v>46143</v>
      </c>
      <c r="C1218">
        <v>15197.4</v>
      </c>
    </row>
    <row r="1219" spans="1:3" ht="15" hidden="1" customHeight="1" x14ac:dyDescent="0.3">
      <c r="A1219" t="s">
        <v>127</v>
      </c>
      <c r="B1219" s="2">
        <v>46174</v>
      </c>
      <c r="C1219">
        <v>14489.1</v>
      </c>
    </row>
    <row r="1220" spans="1:3" ht="15" customHeight="1" x14ac:dyDescent="0.3">
      <c r="A1220" t="s">
        <v>127</v>
      </c>
      <c r="B1220" s="2">
        <v>46204</v>
      </c>
      <c r="C1220">
        <v>15390.9</v>
      </c>
    </row>
    <row r="1221" spans="1:3" ht="15" hidden="1" customHeight="1" x14ac:dyDescent="0.3">
      <c r="A1221" t="s">
        <v>127</v>
      </c>
      <c r="B1221" s="2">
        <v>46235</v>
      </c>
      <c r="C1221">
        <v>15613.2</v>
      </c>
    </row>
    <row r="1222" spans="1:3" ht="15" hidden="1" customHeight="1" x14ac:dyDescent="0.3">
      <c r="A1222" t="s">
        <v>127</v>
      </c>
      <c r="B1222" s="2">
        <v>46266</v>
      </c>
      <c r="C1222">
        <v>15191.1</v>
      </c>
    </row>
    <row r="1223" spans="1:3" ht="15" hidden="1" customHeight="1" x14ac:dyDescent="0.3">
      <c r="A1223" t="s">
        <v>127</v>
      </c>
      <c r="B1223" s="2">
        <v>46296</v>
      </c>
      <c r="C1223">
        <v>14349.6</v>
      </c>
    </row>
    <row r="1224" spans="1:3" ht="15" hidden="1" customHeight="1" x14ac:dyDescent="0.3">
      <c r="A1224" t="s">
        <v>127</v>
      </c>
      <c r="B1224" s="2">
        <v>46327</v>
      </c>
      <c r="C1224">
        <v>13257.9</v>
      </c>
    </row>
    <row r="1225" spans="1:3" ht="15" hidden="1" customHeight="1" x14ac:dyDescent="0.3">
      <c r="A1225" t="s">
        <v>127</v>
      </c>
      <c r="B1225" s="2">
        <v>46357</v>
      </c>
      <c r="C1225">
        <v>13839.3</v>
      </c>
    </row>
    <row r="1226" spans="1:3" ht="15" hidden="1" customHeight="1" x14ac:dyDescent="0.3">
      <c r="A1226" t="s">
        <v>234</v>
      </c>
      <c r="B1226" s="2">
        <v>45292</v>
      </c>
      <c r="C1226">
        <v>53361.9</v>
      </c>
    </row>
    <row r="1227" spans="1:3" ht="15" hidden="1" customHeight="1" x14ac:dyDescent="0.3">
      <c r="A1227" t="s">
        <v>234</v>
      </c>
      <c r="B1227" s="2">
        <v>45323</v>
      </c>
      <c r="C1227">
        <v>43750.8</v>
      </c>
    </row>
    <row r="1228" spans="1:3" ht="15" hidden="1" customHeight="1" x14ac:dyDescent="0.3">
      <c r="A1228" t="s">
        <v>234</v>
      </c>
      <c r="B1228" s="2">
        <v>45352</v>
      </c>
      <c r="C1228">
        <v>40931.1</v>
      </c>
    </row>
    <row r="1229" spans="1:3" ht="15" hidden="1" customHeight="1" x14ac:dyDescent="0.3">
      <c r="A1229" t="s">
        <v>234</v>
      </c>
      <c r="B1229" s="2">
        <v>45383</v>
      </c>
      <c r="C1229">
        <v>29080.799999999999</v>
      </c>
    </row>
    <row r="1230" spans="1:3" ht="15" hidden="1" customHeight="1" x14ac:dyDescent="0.3">
      <c r="A1230" t="s">
        <v>234</v>
      </c>
      <c r="B1230" s="2">
        <v>45413</v>
      </c>
      <c r="C1230">
        <v>21434.400000000001</v>
      </c>
    </row>
    <row r="1231" spans="1:3" ht="15" hidden="1" customHeight="1" x14ac:dyDescent="0.3">
      <c r="A1231" t="s">
        <v>234</v>
      </c>
      <c r="B1231" s="2">
        <v>45444</v>
      </c>
      <c r="C1231">
        <v>17483.400000000001</v>
      </c>
    </row>
    <row r="1232" spans="1:3" ht="15" hidden="1" customHeight="1" x14ac:dyDescent="0.3">
      <c r="A1232" t="s">
        <v>234</v>
      </c>
      <c r="B1232" s="2">
        <v>45474</v>
      </c>
      <c r="C1232">
        <v>19783.8</v>
      </c>
    </row>
    <row r="1233" spans="1:3" ht="15" hidden="1" customHeight="1" x14ac:dyDescent="0.3">
      <c r="A1233" t="s">
        <v>234</v>
      </c>
      <c r="B1233" s="2">
        <v>45505</v>
      </c>
      <c r="C1233">
        <v>25524</v>
      </c>
    </row>
    <row r="1234" spans="1:3" ht="15" hidden="1" customHeight="1" x14ac:dyDescent="0.3">
      <c r="A1234" t="s">
        <v>234</v>
      </c>
      <c r="B1234" s="2">
        <v>45536</v>
      </c>
      <c r="C1234">
        <v>33381.9</v>
      </c>
    </row>
    <row r="1235" spans="1:3" ht="15" hidden="1" customHeight="1" x14ac:dyDescent="0.3">
      <c r="A1235" t="s">
        <v>234</v>
      </c>
      <c r="B1235" s="2">
        <v>45566</v>
      </c>
      <c r="C1235">
        <v>43038</v>
      </c>
    </row>
    <row r="1236" spans="1:3" ht="15" hidden="1" customHeight="1" x14ac:dyDescent="0.3">
      <c r="A1236" t="s">
        <v>234</v>
      </c>
      <c r="B1236" s="2">
        <v>45597</v>
      </c>
      <c r="C1236">
        <v>49565.7</v>
      </c>
    </row>
    <row r="1237" spans="1:3" ht="15" hidden="1" customHeight="1" x14ac:dyDescent="0.3">
      <c r="A1237" t="s">
        <v>234</v>
      </c>
      <c r="B1237" s="2">
        <v>45627</v>
      </c>
      <c r="C1237">
        <v>54135.9</v>
      </c>
    </row>
    <row r="1238" spans="1:3" ht="15" hidden="1" customHeight="1" x14ac:dyDescent="0.3">
      <c r="A1238" t="s">
        <v>234</v>
      </c>
      <c r="B1238" s="2">
        <v>45658</v>
      </c>
      <c r="C1238">
        <v>53361.9</v>
      </c>
    </row>
    <row r="1239" spans="1:3" ht="15" hidden="1" customHeight="1" x14ac:dyDescent="0.3">
      <c r="A1239" t="s">
        <v>234</v>
      </c>
      <c r="B1239" s="2">
        <v>45689</v>
      </c>
      <c r="C1239">
        <v>43750.8</v>
      </c>
    </row>
    <row r="1240" spans="1:3" ht="15" hidden="1" customHeight="1" x14ac:dyDescent="0.3">
      <c r="A1240" t="s">
        <v>234</v>
      </c>
      <c r="B1240" s="2">
        <v>45717</v>
      </c>
      <c r="C1240">
        <v>40931.1</v>
      </c>
    </row>
    <row r="1241" spans="1:3" ht="15" hidden="1" customHeight="1" x14ac:dyDescent="0.3">
      <c r="A1241" t="s">
        <v>234</v>
      </c>
      <c r="B1241" s="2">
        <v>45748</v>
      </c>
      <c r="C1241">
        <v>29080.799999999999</v>
      </c>
    </row>
    <row r="1242" spans="1:3" ht="15" hidden="1" customHeight="1" x14ac:dyDescent="0.3">
      <c r="A1242" t="s">
        <v>234</v>
      </c>
      <c r="B1242" s="2">
        <v>45778</v>
      </c>
      <c r="C1242">
        <v>21434.400000000001</v>
      </c>
    </row>
    <row r="1243" spans="1:3" ht="15" hidden="1" customHeight="1" x14ac:dyDescent="0.3">
      <c r="A1243" t="s">
        <v>234</v>
      </c>
      <c r="B1243" s="2">
        <v>45809</v>
      </c>
      <c r="C1243">
        <v>17483.400000000001</v>
      </c>
    </row>
    <row r="1244" spans="1:3" ht="15" hidden="1" customHeight="1" x14ac:dyDescent="0.3">
      <c r="A1244" t="s">
        <v>234</v>
      </c>
      <c r="B1244" s="2">
        <v>45839</v>
      </c>
      <c r="C1244">
        <v>19783.8</v>
      </c>
    </row>
    <row r="1245" spans="1:3" ht="15" hidden="1" customHeight="1" x14ac:dyDescent="0.3">
      <c r="A1245" t="s">
        <v>234</v>
      </c>
      <c r="B1245" s="2">
        <v>45870</v>
      </c>
      <c r="C1245">
        <v>25524</v>
      </c>
    </row>
    <row r="1246" spans="1:3" ht="15" hidden="1" customHeight="1" x14ac:dyDescent="0.3">
      <c r="A1246" t="s">
        <v>234</v>
      </c>
      <c r="B1246" s="2">
        <v>45901</v>
      </c>
      <c r="C1246">
        <v>33381.9</v>
      </c>
    </row>
    <row r="1247" spans="1:3" ht="15" hidden="1" customHeight="1" x14ac:dyDescent="0.3">
      <c r="A1247" t="s">
        <v>234</v>
      </c>
      <c r="B1247" s="2">
        <v>45931</v>
      </c>
      <c r="C1247">
        <v>43038</v>
      </c>
    </row>
    <row r="1248" spans="1:3" ht="15" hidden="1" customHeight="1" x14ac:dyDescent="0.3">
      <c r="A1248" t="s">
        <v>234</v>
      </c>
      <c r="B1248" s="2">
        <v>45962</v>
      </c>
      <c r="C1248">
        <v>49565.7</v>
      </c>
    </row>
    <row r="1249" spans="1:3" ht="15" hidden="1" customHeight="1" x14ac:dyDescent="0.3">
      <c r="A1249" t="s">
        <v>234</v>
      </c>
      <c r="B1249" s="2">
        <v>45992</v>
      </c>
      <c r="C1249">
        <v>54135.9</v>
      </c>
    </row>
    <row r="1250" spans="1:3" ht="15" hidden="1" customHeight="1" x14ac:dyDescent="0.3">
      <c r="A1250" t="s">
        <v>234</v>
      </c>
      <c r="B1250" s="2">
        <v>46023</v>
      </c>
      <c r="C1250">
        <v>53361.9</v>
      </c>
    </row>
    <row r="1251" spans="1:3" ht="15" hidden="1" customHeight="1" x14ac:dyDescent="0.3">
      <c r="A1251" t="s">
        <v>234</v>
      </c>
      <c r="B1251" s="2">
        <v>46054</v>
      </c>
      <c r="C1251">
        <v>43750.8</v>
      </c>
    </row>
    <row r="1252" spans="1:3" ht="15" hidden="1" customHeight="1" x14ac:dyDescent="0.3">
      <c r="A1252" t="s">
        <v>234</v>
      </c>
      <c r="B1252" s="2">
        <v>46082</v>
      </c>
      <c r="C1252">
        <v>40931.1</v>
      </c>
    </row>
    <row r="1253" spans="1:3" ht="15" hidden="1" customHeight="1" x14ac:dyDescent="0.3">
      <c r="A1253" t="s">
        <v>234</v>
      </c>
      <c r="B1253" s="2">
        <v>46113</v>
      </c>
      <c r="C1253">
        <v>29080.799999999999</v>
      </c>
    </row>
    <row r="1254" spans="1:3" ht="15" hidden="1" customHeight="1" x14ac:dyDescent="0.3">
      <c r="A1254" t="s">
        <v>234</v>
      </c>
      <c r="B1254" s="2">
        <v>46143</v>
      </c>
      <c r="C1254">
        <v>21434.400000000001</v>
      </c>
    </row>
    <row r="1255" spans="1:3" ht="15" hidden="1" customHeight="1" x14ac:dyDescent="0.3">
      <c r="A1255" t="s">
        <v>234</v>
      </c>
      <c r="B1255" s="2">
        <v>46174</v>
      </c>
      <c r="C1255">
        <v>17483.400000000001</v>
      </c>
    </row>
    <row r="1256" spans="1:3" ht="15" customHeight="1" x14ac:dyDescent="0.3">
      <c r="A1256" t="s">
        <v>234</v>
      </c>
      <c r="B1256" s="2">
        <v>46204</v>
      </c>
      <c r="C1256">
        <v>19783.8</v>
      </c>
    </row>
    <row r="1257" spans="1:3" ht="15" hidden="1" customHeight="1" x14ac:dyDescent="0.3">
      <c r="A1257" t="s">
        <v>234</v>
      </c>
      <c r="B1257" s="2">
        <v>46235</v>
      </c>
      <c r="C1257">
        <v>25524</v>
      </c>
    </row>
    <row r="1258" spans="1:3" ht="15" hidden="1" customHeight="1" x14ac:dyDescent="0.3">
      <c r="A1258" t="s">
        <v>234</v>
      </c>
      <c r="B1258" s="2">
        <v>46266</v>
      </c>
      <c r="C1258">
        <v>33381.9</v>
      </c>
    </row>
    <row r="1259" spans="1:3" ht="15" hidden="1" customHeight="1" x14ac:dyDescent="0.3">
      <c r="A1259" t="s">
        <v>234</v>
      </c>
      <c r="B1259" s="2">
        <v>46296</v>
      </c>
      <c r="C1259">
        <v>43038</v>
      </c>
    </row>
    <row r="1260" spans="1:3" ht="15" hidden="1" customHeight="1" x14ac:dyDescent="0.3">
      <c r="A1260" t="s">
        <v>234</v>
      </c>
      <c r="B1260" s="2">
        <v>46327</v>
      </c>
      <c r="C1260">
        <v>49565.7</v>
      </c>
    </row>
    <row r="1261" spans="1:3" ht="15" hidden="1" customHeight="1" x14ac:dyDescent="0.3">
      <c r="A1261" t="s">
        <v>234</v>
      </c>
      <c r="B1261" s="2">
        <v>46357</v>
      </c>
      <c r="C1261">
        <v>54135.9</v>
      </c>
    </row>
    <row r="1262" spans="1:3" ht="15" hidden="1" customHeight="1" x14ac:dyDescent="0.3">
      <c r="A1262" t="s">
        <v>131</v>
      </c>
      <c r="B1262" s="2">
        <v>45292</v>
      </c>
      <c r="C1262">
        <v>5063.45</v>
      </c>
    </row>
    <row r="1263" spans="1:3" ht="15" hidden="1" customHeight="1" x14ac:dyDescent="0.3">
      <c r="A1263" t="s">
        <v>131</v>
      </c>
      <c r="B1263" s="2">
        <v>45323</v>
      </c>
      <c r="C1263">
        <v>4598.5</v>
      </c>
    </row>
    <row r="1264" spans="1:3" ht="15" hidden="1" customHeight="1" x14ac:dyDescent="0.3">
      <c r="A1264" t="s">
        <v>131</v>
      </c>
      <c r="B1264" s="2">
        <v>45352</v>
      </c>
      <c r="C1264">
        <v>5071.95</v>
      </c>
    </row>
    <row r="1265" spans="1:3" ht="15" hidden="1" customHeight="1" x14ac:dyDescent="0.3">
      <c r="A1265" t="s">
        <v>131</v>
      </c>
      <c r="B1265" s="2">
        <v>45383</v>
      </c>
      <c r="C1265">
        <v>4864.55</v>
      </c>
    </row>
    <row r="1266" spans="1:3" ht="15" hidden="1" customHeight="1" x14ac:dyDescent="0.3">
      <c r="A1266" t="s">
        <v>131</v>
      </c>
      <c r="B1266" s="2">
        <v>45413</v>
      </c>
      <c r="C1266">
        <v>5173.1000000000004</v>
      </c>
    </row>
    <row r="1267" spans="1:3" ht="15" hidden="1" customHeight="1" x14ac:dyDescent="0.3">
      <c r="A1267" t="s">
        <v>131</v>
      </c>
      <c r="B1267" s="2">
        <v>45444</v>
      </c>
      <c r="C1267">
        <v>5002.25</v>
      </c>
    </row>
    <row r="1268" spans="1:3" ht="15" hidden="1" customHeight="1" x14ac:dyDescent="0.3">
      <c r="A1268" t="s">
        <v>131</v>
      </c>
      <c r="B1268" s="2">
        <v>45474</v>
      </c>
      <c r="C1268">
        <v>5383.9</v>
      </c>
    </row>
    <row r="1269" spans="1:3" ht="15" hidden="1" customHeight="1" x14ac:dyDescent="0.3">
      <c r="A1269" t="s">
        <v>131</v>
      </c>
      <c r="B1269" s="2">
        <v>45505</v>
      </c>
      <c r="C1269">
        <v>5638.05</v>
      </c>
    </row>
    <row r="1270" spans="1:3" ht="15" hidden="1" customHeight="1" x14ac:dyDescent="0.3">
      <c r="A1270" t="s">
        <v>131</v>
      </c>
      <c r="B1270" s="2">
        <v>45536</v>
      </c>
      <c r="C1270">
        <v>5587.05</v>
      </c>
    </row>
    <row r="1271" spans="1:3" ht="15" hidden="1" customHeight="1" x14ac:dyDescent="0.3">
      <c r="A1271" t="s">
        <v>131</v>
      </c>
      <c r="B1271" s="2">
        <v>45566</v>
      </c>
      <c r="C1271">
        <v>5491.85</v>
      </c>
    </row>
    <row r="1272" spans="1:3" ht="15" hidden="1" customHeight="1" x14ac:dyDescent="0.3">
      <c r="A1272" t="s">
        <v>131</v>
      </c>
      <c r="B1272" s="2">
        <v>45597</v>
      </c>
      <c r="C1272">
        <v>5110.2</v>
      </c>
    </row>
    <row r="1273" spans="1:3" ht="15" hidden="1" customHeight="1" x14ac:dyDescent="0.3">
      <c r="A1273" t="s">
        <v>131</v>
      </c>
      <c r="B1273" s="2">
        <v>45627</v>
      </c>
      <c r="C1273">
        <v>5223.25</v>
      </c>
    </row>
    <row r="1274" spans="1:3" ht="15" hidden="1" customHeight="1" x14ac:dyDescent="0.3">
      <c r="A1274" t="s">
        <v>131</v>
      </c>
      <c r="B1274" s="2">
        <v>45658</v>
      </c>
      <c r="C1274">
        <v>5063.45</v>
      </c>
    </row>
    <row r="1275" spans="1:3" ht="15" hidden="1" customHeight="1" x14ac:dyDescent="0.3">
      <c r="A1275" t="s">
        <v>131</v>
      </c>
      <c r="B1275" s="2">
        <v>45689</v>
      </c>
      <c r="C1275">
        <v>4598.5</v>
      </c>
    </row>
    <row r="1276" spans="1:3" ht="15" hidden="1" customHeight="1" x14ac:dyDescent="0.3">
      <c r="A1276" t="s">
        <v>131</v>
      </c>
      <c r="B1276" s="2">
        <v>45717</v>
      </c>
      <c r="C1276">
        <v>5071.95</v>
      </c>
    </row>
    <row r="1277" spans="1:3" ht="15" hidden="1" customHeight="1" x14ac:dyDescent="0.3">
      <c r="A1277" t="s">
        <v>131</v>
      </c>
      <c r="B1277" s="2">
        <v>45748</v>
      </c>
      <c r="C1277">
        <v>4864.55</v>
      </c>
    </row>
    <row r="1278" spans="1:3" ht="15" hidden="1" customHeight="1" x14ac:dyDescent="0.3">
      <c r="A1278" t="s">
        <v>131</v>
      </c>
      <c r="B1278" s="2">
        <v>45778</v>
      </c>
      <c r="C1278">
        <v>5173.1000000000004</v>
      </c>
    </row>
    <row r="1279" spans="1:3" ht="15" hidden="1" customHeight="1" x14ac:dyDescent="0.3">
      <c r="A1279" t="s">
        <v>131</v>
      </c>
      <c r="B1279" s="2">
        <v>45809</v>
      </c>
      <c r="C1279">
        <v>5002.25</v>
      </c>
    </row>
    <row r="1280" spans="1:3" ht="15" hidden="1" customHeight="1" x14ac:dyDescent="0.3">
      <c r="A1280" t="s">
        <v>131</v>
      </c>
      <c r="B1280" s="2">
        <v>45839</v>
      </c>
      <c r="C1280">
        <v>5383.9</v>
      </c>
    </row>
    <row r="1281" spans="1:3" ht="15" hidden="1" customHeight="1" x14ac:dyDescent="0.3">
      <c r="A1281" t="s">
        <v>131</v>
      </c>
      <c r="B1281" s="2">
        <v>45870</v>
      </c>
      <c r="C1281">
        <v>5638.05</v>
      </c>
    </row>
    <row r="1282" spans="1:3" ht="15" hidden="1" customHeight="1" x14ac:dyDescent="0.3">
      <c r="A1282" t="s">
        <v>131</v>
      </c>
      <c r="B1282" s="2">
        <v>45901</v>
      </c>
      <c r="C1282">
        <v>5587.05</v>
      </c>
    </row>
    <row r="1283" spans="1:3" ht="15" hidden="1" customHeight="1" x14ac:dyDescent="0.3">
      <c r="A1283" t="s">
        <v>131</v>
      </c>
      <c r="B1283" s="2">
        <v>45931</v>
      </c>
      <c r="C1283">
        <v>5491.85</v>
      </c>
    </row>
    <row r="1284" spans="1:3" ht="15" hidden="1" customHeight="1" x14ac:dyDescent="0.3">
      <c r="A1284" t="s">
        <v>131</v>
      </c>
      <c r="B1284" s="2">
        <v>45962</v>
      </c>
      <c r="C1284">
        <v>5110.2</v>
      </c>
    </row>
    <row r="1285" spans="1:3" ht="15" hidden="1" customHeight="1" x14ac:dyDescent="0.3">
      <c r="A1285" t="s">
        <v>131</v>
      </c>
      <c r="B1285" s="2">
        <v>45992</v>
      </c>
      <c r="C1285">
        <v>5223.25</v>
      </c>
    </row>
    <row r="1286" spans="1:3" ht="15" hidden="1" customHeight="1" x14ac:dyDescent="0.3">
      <c r="A1286" t="s">
        <v>131</v>
      </c>
      <c r="B1286" s="2">
        <v>46023</v>
      </c>
      <c r="C1286">
        <v>5063.45</v>
      </c>
    </row>
    <row r="1287" spans="1:3" ht="15" hidden="1" customHeight="1" x14ac:dyDescent="0.3">
      <c r="A1287" t="s">
        <v>131</v>
      </c>
      <c r="B1287" s="2">
        <v>46054</v>
      </c>
      <c r="C1287">
        <v>4598.5</v>
      </c>
    </row>
    <row r="1288" spans="1:3" ht="15" hidden="1" customHeight="1" x14ac:dyDescent="0.3">
      <c r="A1288" t="s">
        <v>131</v>
      </c>
      <c r="B1288" s="2">
        <v>46082</v>
      </c>
      <c r="C1288">
        <v>5071.95</v>
      </c>
    </row>
    <row r="1289" spans="1:3" ht="15" hidden="1" customHeight="1" x14ac:dyDescent="0.3">
      <c r="A1289" t="s">
        <v>131</v>
      </c>
      <c r="B1289" s="2">
        <v>46113</v>
      </c>
      <c r="C1289">
        <v>4864.55</v>
      </c>
    </row>
    <row r="1290" spans="1:3" ht="15" hidden="1" customHeight="1" x14ac:dyDescent="0.3">
      <c r="A1290" t="s">
        <v>131</v>
      </c>
      <c r="B1290" s="2">
        <v>46143</v>
      </c>
      <c r="C1290">
        <v>5173.1000000000004</v>
      </c>
    </row>
    <row r="1291" spans="1:3" ht="15" hidden="1" customHeight="1" x14ac:dyDescent="0.3">
      <c r="A1291" t="s">
        <v>131</v>
      </c>
      <c r="B1291" s="2">
        <v>46174</v>
      </c>
      <c r="C1291">
        <v>5002.25</v>
      </c>
    </row>
    <row r="1292" spans="1:3" ht="15" customHeight="1" x14ac:dyDescent="0.3">
      <c r="A1292" t="s">
        <v>131</v>
      </c>
      <c r="B1292" s="2">
        <v>46204</v>
      </c>
      <c r="C1292">
        <v>5383.9</v>
      </c>
    </row>
    <row r="1293" spans="1:3" ht="15" hidden="1" customHeight="1" x14ac:dyDescent="0.3">
      <c r="A1293" t="s">
        <v>131</v>
      </c>
      <c r="B1293" s="2">
        <v>46235</v>
      </c>
      <c r="C1293">
        <v>5638.05</v>
      </c>
    </row>
    <row r="1294" spans="1:3" ht="15" hidden="1" customHeight="1" x14ac:dyDescent="0.3">
      <c r="A1294" t="s">
        <v>131</v>
      </c>
      <c r="B1294" s="2">
        <v>46266</v>
      </c>
      <c r="C1294">
        <v>5587.05</v>
      </c>
    </row>
    <row r="1295" spans="1:3" ht="15" hidden="1" customHeight="1" x14ac:dyDescent="0.3">
      <c r="A1295" t="s">
        <v>131</v>
      </c>
      <c r="B1295" s="2">
        <v>46296</v>
      </c>
      <c r="C1295">
        <v>5491.85</v>
      </c>
    </row>
    <row r="1296" spans="1:3" ht="15" hidden="1" customHeight="1" x14ac:dyDescent="0.3">
      <c r="A1296" t="s">
        <v>131</v>
      </c>
      <c r="B1296" s="2">
        <v>46327</v>
      </c>
      <c r="C1296">
        <v>5110.2</v>
      </c>
    </row>
    <row r="1297" spans="1:3" ht="15" hidden="1" customHeight="1" x14ac:dyDescent="0.3">
      <c r="A1297" t="s">
        <v>131</v>
      </c>
      <c r="B1297" s="2">
        <v>46357</v>
      </c>
      <c r="C1297">
        <v>5223.25</v>
      </c>
    </row>
    <row r="1298" spans="1:3" ht="15" hidden="1" customHeight="1" x14ac:dyDescent="0.3">
      <c r="A1298" t="s">
        <v>134</v>
      </c>
      <c r="B1298" s="2">
        <v>45292</v>
      </c>
      <c r="C1298">
        <v>40416.300000000003</v>
      </c>
    </row>
    <row r="1299" spans="1:3" ht="15" hidden="1" customHeight="1" x14ac:dyDescent="0.3">
      <c r="A1299" t="s">
        <v>134</v>
      </c>
      <c r="B1299" s="2">
        <v>45323</v>
      </c>
      <c r="C1299">
        <v>33988.5</v>
      </c>
    </row>
    <row r="1300" spans="1:3" ht="15" hidden="1" customHeight="1" x14ac:dyDescent="0.3">
      <c r="A1300" t="s">
        <v>134</v>
      </c>
      <c r="B1300" s="2">
        <v>45352</v>
      </c>
      <c r="C1300">
        <v>35132.400000000001</v>
      </c>
    </row>
    <row r="1301" spans="1:3" ht="15" hidden="1" customHeight="1" x14ac:dyDescent="0.3">
      <c r="A1301" t="s">
        <v>134</v>
      </c>
      <c r="B1301" s="2">
        <v>45383</v>
      </c>
      <c r="C1301">
        <v>29903.4</v>
      </c>
    </row>
    <row r="1302" spans="1:3" ht="15" hidden="1" customHeight="1" x14ac:dyDescent="0.3">
      <c r="A1302" t="s">
        <v>134</v>
      </c>
      <c r="B1302" s="2">
        <v>45413</v>
      </c>
      <c r="C1302">
        <v>28383.3</v>
      </c>
    </row>
    <row r="1303" spans="1:3" ht="15" hidden="1" customHeight="1" x14ac:dyDescent="0.3">
      <c r="A1303" t="s">
        <v>134</v>
      </c>
      <c r="B1303" s="2">
        <v>45444</v>
      </c>
      <c r="C1303">
        <v>25641.9</v>
      </c>
    </row>
    <row r="1304" spans="1:3" ht="15" hidden="1" customHeight="1" x14ac:dyDescent="0.3">
      <c r="A1304" t="s">
        <v>134</v>
      </c>
      <c r="B1304" s="2">
        <v>45474</v>
      </c>
      <c r="C1304">
        <v>28361.7</v>
      </c>
    </row>
    <row r="1305" spans="1:3" ht="15" hidden="1" customHeight="1" x14ac:dyDescent="0.3">
      <c r="A1305" t="s">
        <v>134</v>
      </c>
      <c r="B1305" s="2">
        <v>45505</v>
      </c>
      <c r="C1305">
        <v>33006.6</v>
      </c>
    </row>
    <row r="1306" spans="1:3" ht="15" hidden="1" customHeight="1" x14ac:dyDescent="0.3">
      <c r="A1306" t="s">
        <v>134</v>
      </c>
      <c r="B1306" s="2">
        <v>45536</v>
      </c>
      <c r="C1306">
        <v>36521.1</v>
      </c>
    </row>
    <row r="1307" spans="1:3" ht="15" hidden="1" customHeight="1" x14ac:dyDescent="0.3">
      <c r="A1307" t="s">
        <v>134</v>
      </c>
      <c r="B1307" s="2">
        <v>45566</v>
      </c>
      <c r="C1307">
        <v>39682.800000000003</v>
      </c>
    </row>
    <row r="1308" spans="1:3" ht="15" hidden="1" customHeight="1" x14ac:dyDescent="0.3">
      <c r="A1308" t="s">
        <v>134</v>
      </c>
      <c r="B1308" s="2">
        <v>45597</v>
      </c>
      <c r="C1308">
        <v>39748.5</v>
      </c>
    </row>
    <row r="1309" spans="1:3" ht="15" hidden="1" customHeight="1" x14ac:dyDescent="0.3">
      <c r="A1309" t="s">
        <v>134</v>
      </c>
      <c r="B1309" s="2">
        <v>45627</v>
      </c>
      <c r="C1309">
        <v>42519.6</v>
      </c>
    </row>
    <row r="1310" spans="1:3" ht="15" hidden="1" customHeight="1" x14ac:dyDescent="0.3">
      <c r="A1310" t="s">
        <v>134</v>
      </c>
      <c r="B1310" s="2">
        <v>45658</v>
      </c>
      <c r="C1310">
        <v>40416.300000000003</v>
      </c>
    </row>
    <row r="1311" spans="1:3" ht="15" hidden="1" customHeight="1" x14ac:dyDescent="0.3">
      <c r="A1311" t="s">
        <v>134</v>
      </c>
      <c r="B1311" s="2">
        <v>45689</v>
      </c>
      <c r="C1311">
        <v>33988.5</v>
      </c>
    </row>
    <row r="1312" spans="1:3" ht="15" hidden="1" customHeight="1" x14ac:dyDescent="0.3">
      <c r="A1312" t="s">
        <v>134</v>
      </c>
      <c r="B1312" s="2">
        <v>45717</v>
      </c>
      <c r="C1312">
        <v>35132.400000000001</v>
      </c>
    </row>
    <row r="1313" spans="1:3" ht="15" hidden="1" customHeight="1" x14ac:dyDescent="0.3">
      <c r="A1313" t="s">
        <v>134</v>
      </c>
      <c r="B1313" s="2">
        <v>45748</v>
      </c>
      <c r="C1313">
        <v>29903.4</v>
      </c>
    </row>
    <row r="1314" spans="1:3" ht="15" hidden="1" customHeight="1" x14ac:dyDescent="0.3">
      <c r="A1314" t="s">
        <v>134</v>
      </c>
      <c r="B1314" s="2">
        <v>45778</v>
      </c>
      <c r="C1314">
        <v>28383.3</v>
      </c>
    </row>
    <row r="1315" spans="1:3" ht="15" hidden="1" customHeight="1" x14ac:dyDescent="0.3">
      <c r="A1315" t="s">
        <v>134</v>
      </c>
      <c r="B1315" s="2">
        <v>45809</v>
      </c>
      <c r="C1315">
        <v>25641.9</v>
      </c>
    </row>
    <row r="1316" spans="1:3" ht="15" hidden="1" customHeight="1" x14ac:dyDescent="0.3">
      <c r="A1316" t="s">
        <v>134</v>
      </c>
      <c r="B1316" s="2">
        <v>45839</v>
      </c>
      <c r="C1316">
        <v>28361.7</v>
      </c>
    </row>
    <row r="1317" spans="1:3" ht="15" hidden="1" customHeight="1" x14ac:dyDescent="0.3">
      <c r="A1317" t="s">
        <v>134</v>
      </c>
      <c r="B1317" s="2">
        <v>45870</v>
      </c>
      <c r="C1317">
        <v>33006.6</v>
      </c>
    </row>
    <row r="1318" spans="1:3" ht="15" hidden="1" customHeight="1" x14ac:dyDescent="0.3">
      <c r="A1318" t="s">
        <v>134</v>
      </c>
      <c r="B1318" s="2">
        <v>45901</v>
      </c>
      <c r="C1318">
        <v>36521.1</v>
      </c>
    </row>
    <row r="1319" spans="1:3" ht="15" hidden="1" customHeight="1" x14ac:dyDescent="0.3">
      <c r="A1319" t="s">
        <v>134</v>
      </c>
      <c r="B1319" s="2">
        <v>45931</v>
      </c>
      <c r="C1319">
        <v>39682.800000000003</v>
      </c>
    </row>
    <row r="1320" spans="1:3" ht="15" hidden="1" customHeight="1" x14ac:dyDescent="0.3">
      <c r="A1320" t="s">
        <v>134</v>
      </c>
      <c r="B1320" s="2">
        <v>45962</v>
      </c>
      <c r="C1320">
        <v>39748.5</v>
      </c>
    </row>
    <row r="1321" spans="1:3" ht="15" hidden="1" customHeight="1" x14ac:dyDescent="0.3">
      <c r="A1321" t="s">
        <v>134</v>
      </c>
      <c r="B1321" s="2">
        <v>45992</v>
      </c>
      <c r="C1321">
        <v>42519.6</v>
      </c>
    </row>
    <row r="1322" spans="1:3" ht="15" hidden="1" customHeight="1" x14ac:dyDescent="0.3">
      <c r="A1322" t="s">
        <v>134</v>
      </c>
      <c r="B1322" s="2">
        <v>46023</v>
      </c>
      <c r="C1322">
        <v>40416.300000000003</v>
      </c>
    </row>
    <row r="1323" spans="1:3" ht="15" hidden="1" customHeight="1" x14ac:dyDescent="0.3">
      <c r="A1323" t="s">
        <v>134</v>
      </c>
      <c r="B1323" s="2">
        <v>46054</v>
      </c>
      <c r="C1323">
        <v>33988.5</v>
      </c>
    </row>
    <row r="1324" spans="1:3" ht="15" hidden="1" customHeight="1" x14ac:dyDescent="0.3">
      <c r="A1324" t="s">
        <v>134</v>
      </c>
      <c r="B1324" s="2">
        <v>46082</v>
      </c>
      <c r="C1324">
        <v>35132.400000000001</v>
      </c>
    </row>
    <row r="1325" spans="1:3" ht="15" hidden="1" customHeight="1" x14ac:dyDescent="0.3">
      <c r="A1325" t="s">
        <v>134</v>
      </c>
      <c r="B1325" s="2">
        <v>46113</v>
      </c>
      <c r="C1325">
        <v>29903.4</v>
      </c>
    </row>
    <row r="1326" spans="1:3" ht="15" hidden="1" customHeight="1" x14ac:dyDescent="0.3">
      <c r="A1326" t="s">
        <v>134</v>
      </c>
      <c r="B1326" s="2">
        <v>46143</v>
      </c>
      <c r="C1326">
        <v>28383.3</v>
      </c>
    </row>
    <row r="1327" spans="1:3" ht="15" hidden="1" customHeight="1" x14ac:dyDescent="0.3">
      <c r="A1327" t="s">
        <v>134</v>
      </c>
      <c r="B1327" s="2">
        <v>46174</v>
      </c>
      <c r="C1327">
        <v>25641.9</v>
      </c>
    </row>
    <row r="1328" spans="1:3" ht="15" customHeight="1" x14ac:dyDescent="0.3">
      <c r="A1328" t="s">
        <v>134</v>
      </c>
      <c r="B1328" s="2">
        <v>46204</v>
      </c>
      <c r="C1328">
        <v>28361.7</v>
      </c>
    </row>
    <row r="1329" spans="1:3" ht="15" hidden="1" customHeight="1" x14ac:dyDescent="0.3">
      <c r="A1329" t="s">
        <v>134</v>
      </c>
      <c r="B1329" s="2">
        <v>46235</v>
      </c>
      <c r="C1329">
        <v>33006.6</v>
      </c>
    </row>
    <row r="1330" spans="1:3" ht="15" hidden="1" customHeight="1" x14ac:dyDescent="0.3">
      <c r="A1330" t="s">
        <v>134</v>
      </c>
      <c r="B1330" s="2">
        <v>46266</v>
      </c>
      <c r="C1330">
        <v>36521.1</v>
      </c>
    </row>
    <row r="1331" spans="1:3" ht="15" hidden="1" customHeight="1" x14ac:dyDescent="0.3">
      <c r="A1331" t="s">
        <v>134</v>
      </c>
      <c r="B1331" s="2">
        <v>46296</v>
      </c>
      <c r="C1331">
        <v>39682.800000000003</v>
      </c>
    </row>
    <row r="1332" spans="1:3" ht="15" hidden="1" customHeight="1" x14ac:dyDescent="0.3">
      <c r="A1332" t="s">
        <v>134</v>
      </c>
      <c r="B1332" s="2">
        <v>46327</v>
      </c>
      <c r="C1332">
        <v>39748.5</v>
      </c>
    </row>
    <row r="1333" spans="1:3" ht="15" hidden="1" customHeight="1" x14ac:dyDescent="0.3">
      <c r="A1333" t="s">
        <v>134</v>
      </c>
      <c r="B1333" s="2">
        <v>46357</v>
      </c>
      <c r="C1333">
        <v>42519.6</v>
      </c>
    </row>
    <row r="1334" spans="1:3" ht="15" hidden="1" customHeight="1" x14ac:dyDescent="0.3">
      <c r="A1334" t="s">
        <v>138</v>
      </c>
      <c r="B1334" s="2">
        <v>45292</v>
      </c>
      <c r="C1334">
        <v>23544</v>
      </c>
    </row>
    <row r="1335" spans="1:3" ht="15" hidden="1" customHeight="1" x14ac:dyDescent="0.3">
      <c r="A1335" t="s">
        <v>138</v>
      </c>
      <c r="B1335" s="2">
        <v>45323</v>
      </c>
      <c r="C1335">
        <v>21677</v>
      </c>
    </row>
    <row r="1336" spans="1:3" ht="15" hidden="1" customHeight="1" x14ac:dyDescent="0.3">
      <c r="A1336" t="s">
        <v>138</v>
      </c>
      <c r="B1336" s="2">
        <v>45352</v>
      </c>
      <c r="C1336">
        <v>24212</v>
      </c>
    </row>
    <row r="1337" spans="1:3" ht="15" hidden="1" customHeight="1" x14ac:dyDescent="0.3">
      <c r="A1337" t="s">
        <v>138</v>
      </c>
      <c r="B1337" s="2">
        <v>45383</v>
      </c>
      <c r="C1337">
        <v>20861</v>
      </c>
    </row>
    <row r="1338" spans="1:3" ht="15" hidden="1" customHeight="1" x14ac:dyDescent="0.3">
      <c r="A1338" t="s">
        <v>138</v>
      </c>
      <c r="B1338" s="2">
        <v>45413</v>
      </c>
      <c r="C1338">
        <v>20012</v>
      </c>
    </row>
    <row r="1339" spans="1:3" ht="15" hidden="1" customHeight="1" x14ac:dyDescent="0.3">
      <c r="A1339" t="s">
        <v>138</v>
      </c>
      <c r="B1339" s="2">
        <v>45444</v>
      </c>
      <c r="C1339">
        <v>18485</v>
      </c>
    </row>
    <row r="1340" spans="1:3" ht="15" hidden="1" customHeight="1" x14ac:dyDescent="0.3">
      <c r="A1340" t="s">
        <v>138</v>
      </c>
      <c r="B1340" s="2">
        <v>45474</v>
      </c>
      <c r="C1340">
        <v>20016</v>
      </c>
    </row>
    <row r="1341" spans="1:3" ht="15" hidden="1" customHeight="1" x14ac:dyDescent="0.3">
      <c r="A1341" t="s">
        <v>138</v>
      </c>
      <c r="B1341" s="2">
        <v>45505</v>
      </c>
      <c r="C1341">
        <v>21052</v>
      </c>
    </row>
    <row r="1342" spans="1:3" ht="15" hidden="1" customHeight="1" x14ac:dyDescent="0.3">
      <c r="A1342" t="s">
        <v>138</v>
      </c>
      <c r="B1342" s="2">
        <v>45536</v>
      </c>
      <c r="C1342">
        <v>21403</v>
      </c>
    </row>
    <row r="1343" spans="1:3" ht="15" hidden="1" customHeight="1" x14ac:dyDescent="0.3">
      <c r="A1343" t="s">
        <v>138</v>
      </c>
      <c r="B1343" s="2">
        <v>45566</v>
      </c>
      <c r="C1343">
        <v>20962</v>
      </c>
    </row>
    <row r="1344" spans="1:3" ht="15" hidden="1" customHeight="1" x14ac:dyDescent="0.3">
      <c r="A1344" t="s">
        <v>138</v>
      </c>
      <c r="B1344" s="2">
        <v>45597</v>
      </c>
      <c r="C1344">
        <v>19856</v>
      </c>
    </row>
    <row r="1345" spans="1:3" ht="15" hidden="1" customHeight="1" x14ac:dyDescent="0.3">
      <c r="A1345" t="s">
        <v>138</v>
      </c>
      <c r="B1345" s="2">
        <v>45627</v>
      </c>
      <c r="C1345">
        <v>21184</v>
      </c>
    </row>
    <row r="1346" spans="1:3" ht="15" hidden="1" customHeight="1" x14ac:dyDescent="0.3">
      <c r="A1346" t="s">
        <v>138</v>
      </c>
      <c r="B1346" s="2">
        <v>45658</v>
      </c>
      <c r="C1346">
        <v>23544</v>
      </c>
    </row>
    <row r="1347" spans="1:3" ht="15" hidden="1" customHeight="1" x14ac:dyDescent="0.3">
      <c r="A1347" t="s">
        <v>138</v>
      </c>
      <c r="B1347" s="2">
        <v>45689</v>
      </c>
      <c r="C1347">
        <v>21677</v>
      </c>
    </row>
    <row r="1348" spans="1:3" ht="15" hidden="1" customHeight="1" x14ac:dyDescent="0.3">
      <c r="A1348" t="s">
        <v>138</v>
      </c>
      <c r="B1348" s="2">
        <v>45717</v>
      </c>
      <c r="C1348">
        <v>24212</v>
      </c>
    </row>
    <row r="1349" spans="1:3" ht="15" hidden="1" customHeight="1" x14ac:dyDescent="0.3">
      <c r="A1349" t="s">
        <v>138</v>
      </c>
      <c r="B1349" s="2">
        <v>45748</v>
      </c>
      <c r="C1349">
        <v>20861</v>
      </c>
    </row>
    <row r="1350" spans="1:3" ht="15" hidden="1" customHeight="1" x14ac:dyDescent="0.3">
      <c r="A1350" t="s">
        <v>138</v>
      </c>
      <c r="B1350" s="2">
        <v>45778</v>
      </c>
      <c r="C1350">
        <v>20012</v>
      </c>
    </row>
    <row r="1351" spans="1:3" ht="15" hidden="1" customHeight="1" x14ac:dyDescent="0.3">
      <c r="A1351" t="s">
        <v>138</v>
      </c>
      <c r="B1351" s="2">
        <v>45809</v>
      </c>
      <c r="C1351">
        <v>18485</v>
      </c>
    </row>
    <row r="1352" spans="1:3" ht="15" hidden="1" customHeight="1" x14ac:dyDescent="0.3">
      <c r="A1352" t="s">
        <v>138</v>
      </c>
      <c r="B1352" s="2">
        <v>45839</v>
      </c>
      <c r="C1352">
        <v>20016</v>
      </c>
    </row>
    <row r="1353" spans="1:3" ht="15" hidden="1" customHeight="1" x14ac:dyDescent="0.3">
      <c r="A1353" t="s">
        <v>138</v>
      </c>
      <c r="B1353" s="2">
        <v>45870</v>
      </c>
      <c r="C1353">
        <v>21052</v>
      </c>
    </row>
    <row r="1354" spans="1:3" ht="15" hidden="1" customHeight="1" x14ac:dyDescent="0.3">
      <c r="A1354" t="s">
        <v>138</v>
      </c>
      <c r="B1354" s="2">
        <v>45901</v>
      </c>
      <c r="C1354">
        <v>21403</v>
      </c>
    </row>
    <row r="1355" spans="1:3" ht="15" hidden="1" customHeight="1" x14ac:dyDescent="0.3">
      <c r="A1355" t="s">
        <v>138</v>
      </c>
      <c r="B1355" s="2">
        <v>45931</v>
      </c>
      <c r="C1355">
        <v>20962</v>
      </c>
    </row>
    <row r="1356" spans="1:3" ht="15" hidden="1" customHeight="1" x14ac:dyDescent="0.3">
      <c r="A1356" t="s">
        <v>138</v>
      </c>
      <c r="B1356" s="2">
        <v>45962</v>
      </c>
      <c r="C1356">
        <v>19856</v>
      </c>
    </row>
    <row r="1357" spans="1:3" ht="15" hidden="1" customHeight="1" x14ac:dyDescent="0.3">
      <c r="A1357" t="s">
        <v>138</v>
      </c>
      <c r="B1357" s="2">
        <v>45992</v>
      </c>
      <c r="C1357">
        <v>21184</v>
      </c>
    </row>
    <row r="1358" spans="1:3" ht="15" hidden="1" customHeight="1" x14ac:dyDescent="0.3">
      <c r="A1358" t="s">
        <v>138</v>
      </c>
      <c r="B1358" s="2">
        <v>46023</v>
      </c>
      <c r="C1358">
        <v>23544</v>
      </c>
    </row>
    <row r="1359" spans="1:3" ht="15" hidden="1" customHeight="1" x14ac:dyDescent="0.3">
      <c r="A1359" t="s">
        <v>138</v>
      </c>
      <c r="B1359" s="2">
        <v>46054</v>
      </c>
      <c r="C1359">
        <v>21677</v>
      </c>
    </row>
    <row r="1360" spans="1:3" ht="15" hidden="1" customHeight="1" x14ac:dyDescent="0.3">
      <c r="A1360" t="s">
        <v>138</v>
      </c>
      <c r="B1360" s="2">
        <v>46082</v>
      </c>
      <c r="C1360">
        <v>24212</v>
      </c>
    </row>
    <row r="1361" spans="1:3" ht="15" hidden="1" customHeight="1" x14ac:dyDescent="0.3">
      <c r="A1361" t="s">
        <v>138</v>
      </c>
      <c r="B1361" s="2">
        <v>46113</v>
      </c>
      <c r="C1361">
        <v>20861</v>
      </c>
    </row>
    <row r="1362" spans="1:3" ht="15" hidden="1" customHeight="1" x14ac:dyDescent="0.3">
      <c r="A1362" t="s">
        <v>138</v>
      </c>
      <c r="B1362" s="2">
        <v>46143</v>
      </c>
      <c r="C1362">
        <v>20012</v>
      </c>
    </row>
    <row r="1363" spans="1:3" ht="15" hidden="1" customHeight="1" x14ac:dyDescent="0.3">
      <c r="A1363" t="s">
        <v>138</v>
      </c>
      <c r="B1363" s="2">
        <v>46174</v>
      </c>
      <c r="C1363">
        <v>18485</v>
      </c>
    </row>
    <row r="1364" spans="1:3" ht="15" customHeight="1" x14ac:dyDescent="0.3">
      <c r="A1364" t="s">
        <v>138</v>
      </c>
      <c r="B1364" s="2">
        <v>46204</v>
      </c>
      <c r="C1364">
        <v>20016</v>
      </c>
    </row>
    <row r="1365" spans="1:3" ht="15" hidden="1" customHeight="1" x14ac:dyDescent="0.3">
      <c r="A1365" t="s">
        <v>138</v>
      </c>
      <c r="B1365" s="2">
        <v>46235</v>
      </c>
      <c r="C1365">
        <v>21052</v>
      </c>
    </row>
    <row r="1366" spans="1:3" ht="15" hidden="1" customHeight="1" x14ac:dyDescent="0.3">
      <c r="A1366" t="s">
        <v>138</v>
      </c>
      <c r="B1366" s="2">
        <v>46266</v>
      </c>
      <c r="C1366">
        <v>21403</v>
      </c>
    </row>
    <row r="1367" spans="1:3" ht="15" hidden="1" customHeight="1" x14ac:dyDescent="0.3">
      <c r="A1367" t="s">
        <v>138</v>
      </c>
      <c r="B1367" s="2">
        <v>46296</v>
      </c>
      <c r="C1367">
        <v>20962</v>
      </c>
    </row>
    <row r="1368" spans="1:3" ht="15" hidden="1" customHeight="1" x14ac:dyDescent="0.3">
      <c r="A1368" t="s">
        <v>138</v>
      </c>
      <c r="B1368" s="2">
        <v>46327</v>
      </c>
      <c r="C1368">
        <v>19856</v>
      </c>
    </row>
    <row r="1369" spans="1:3" ht="15" hidden="1" customHeight="1" x14ac:dyDescent="0.3">
      <c r="A1369" t="s">
        <v>138</v>
      </c>
      <c r="B1369" s="2">
        <v>46357</v>
      </c>
      <c r="C1369">
        <v>21184</v>
      </c>
    </row>
    <row r="1370" spans="1:3" ht="15" hidden="1" customHeight="1" x14ac:dyDescent="0.3">
      <c r="A1370" t="s">
        <v>220</v>
      </c>
      <c r="B1370" s="2">
        <v>45292</v>
      </c>
      <c r="C1370">
        <v>46872</v>
      </c>
    </row>
    <row r="1371" spans="1:3" ht="15" hidden="1" customHeight="1" x14ac:dyDescent="0.3">
      <c r="A1371" t="s">
        <v>220</v>
      </c>
      <c r="B1371" s="2">
        <v>45323</v>
      </c>
      <c r="C1371">
        <v>40989.599999999999</v>
      </c>
    </row>
    <row r="1372" spans="1:3" ht="15" hidden="1" customHeight="1" x14ac:dyDescent="0.3">
      <c r="A1372" t="s">
        <v>220</v>
      </c>
      <c r="B1372" s="2">
        <v>45352</v>
      </c>
      <c r="C1372">
        <v>39989.699999999997</v>
      </c>
    </row>
    <row r="1373" spans="1:3" ht="15" hidden="1" customHeight="1" x14ac:dyDescent="0.3">
      <c r="A1373" t="s">
        <v>220</v>
      </c>
      <c r="B1373" s="2">
        <v>45383</v>
      </c>
      <c r="C1373">
        <v>34783.199999999997</v>
      </c>
    </row>
    <row r="1374" spans="1:3" ht="15" hidden="1" customHeight="1" x14ac:dyDescent="0.3">
      <c r="A1374" t="s">
        <v>220</v>
      </c>
      <c r="B1374" s="2">
        <v>45413</v>
      </c>
      <c r="C1374">
        <v>32139</v>
      </c>
    </row>
    <row r="1375" spans="1:3" ht="15" hidden="1" customHeight="1" x14ac:dyDescent="0.3">
      <c r="A1375" t="s">
        <v>220</v>
      </c>
      <c r="B1375" s="2">
        <v>45444</v>
      </c>
      <c r="C1375">
        <v>28357.200000000001</v>
      </c>
    </row>
    <row r="1376" spans="1:3" ht="15" hidden="1" customHeight="1" x14ac:dyDescent="0.3">
      <c r="A1376" t="s">
        <v>220</v>
      </c>
      <c r="B1376" s="2">
        <v>45474</v>
      </c>
      <c r="C1376">
        <v>31229.1</v>
      </c>
    </row>
    <row r="1377" spans="1:3" ht="15" hidden="1" customHeight="1" x14ac:dyDescent="0.3">
      <c r="A1377" t="s">
        <v>220</v>
      </c>
      <c r="B1377" s="2">
        <v>45505</v>
      </c>
      <c r="C1377">
        <v>36815.4</v>
      </c>
    </row>
    <row r="1378" spans="1:3" ht="15" hidden="1" customHeight="1" x14ac:dyDescent="0.3">
      <c r="A1378" t="s">
        <v>220</v>
      </c>
      <c r="B1378" s="2">
        <v>45536</v>
      </c>
      <c r="C1378">
        <v>40778.1</v>
      </c>
    </row>
    <row r="1379" spans="1:3" ht="15" hidden="1" customHeight="1" x14ac:dyDescent="0.3">
      <c r="A1379" t="s">
        <v>220</v>
      </c>
      <c r="B1379" s="2">
        <v>45566</v>
      </c>
      <c r="C1379">
        <v>46212.3</v>
      </c>
    </row>
    <row r="1380" spans="1:3" ht="15" hidden="1" customHeight="1" x14ac:dyDescent="0.3">
      <c r="A1380" t="s">
        <v>220</v>
      </c>
      <c r="B1380" s="2">
        <v>45597</v>
      </c>
      <c r="C1380">
        <v>46653.3</v>
      </c>
    </row>
    <row r="1381" spans="1:3" ht="15" hidden="1" customHeight="1" x14ac:dyDescent="0.3">
      <c r="A1381" t="s">
        <v>220</v>
      </c>
      <c r="B1381" s="2">
        <v>45627</v>
      </c>
      <c r="C1381">
        <v>47656.800000000003</v>
      </c>
    </row>
    <row r="1382" spans="1:3" ht="15" hidden="1" customHeight="1" x14ac:dyDescent="0.3">
      <c r="A1382" t="s">
        <v>220</v>
      </c>
      <c r="B1382" s="2">
        <v>45658</v>
      </c>
      <c r="C1382">
        <v>46872</v>
      </c>
    </row>
    <row r="1383" spans="1:3" ht="15" hidden="1" customHeight="1" x14ac:dyDescent="0.3">
      <c r="A1383" t="s">
        <v>220</v>
      </c>
      <c r="B1383" s="2">
        <v>45689</v>
      </c>
      <c r="C1383">
        <v>40989.599999999999</v>
      </c>
    </row>
    <row r="1384" spans="1:3" ht="15" hidden="1" customHeight="1" x14ac:dyDescent="0.3">
      <c r="A1384" t="s">
        <v>220</v>
      </c>
      <c r="B1384" s="2">
        <v>45717</v>
      </c>
      <c r="C1384">
        <v>39989.699999999997</v>
      </c>
    </row>
    <row r="1385" spans="1:3" ht="15" hidden="1" customHeight="1" x14ac:dyDescent="0.3">
      <c r="A1385" t="s">
        <v>220</v>
      </c>
      <c r="B1385" s="2">
        <v>45748</v>
      </c>
      <c r="C1385">
        <v>34783.199999999997</v>
      </c>
    </row>
    <row r="1386" spans="1:3" ht="15" hidden="1" customHeight="1" x14ac:dyDescent="0.3">
      <c r="A1386" t="s">
        <v>220</v>
      </c>
      <c r="B1386" s="2">
        <v>45778</v>
      </c>
      <c r="C1386">
        <v>32139</v>
      </c>
    </row>
    <row r="1387" spans="1:3" ht="15" hidden="1" customHeight="1" x14ac:dyDescent="0.3">
      <c r="A1387" t="s">
        <v>220</v>
      </c>
      <c r="B1387" s="2">
        <v>45809</v>
      </c>
      <c r="C1387">
        <v>28357.200000000001</v>
      </c>
    </row>
    <row r="1388" spans="1:3" ht="15" hidden="1" customHeight="1" x14ac:dyDescent="0.3">
      <c r="A1388" t="s">
        <v>220</v>
      </c>
      <c r="B1388" s="2">
        <v>45839</v>
      </c>
      <c r="C1388">
        <v>31229.1</v>
      </c>
    </row>
    <row r="1389" spans="1:3" ht="15" hidden="1" customHeight="1" x14ac:dyDescent="0.3">
      <c r="A1389" t="s">
        <v>220</v>
      </c>
      <c r="B1389" s="2">
        <v>45870</v>
      </c>
      <c r="C1389">
        <v>36815.4</v>
      </c>
    </row>
    <row r="1390" spans="1:3" ht="15" hidden="1" customHeight="1" x14ac:dyDescent="0.3">
      <c r="A1390" t="s">
        <v>220</v>
      </c>
      <c r="B1390" s="2">
        <v>45901</v>
      </c>
      <c r="C1390">
        <v>40778.1</v>
      </c>
    </row>
    <row r="1391" spans="1:3" ht="15" hidden="1" customHeight="1" x14ac:dyDescent="0.3">
      <c r="A1391" t="s">
        <v>220</v>
      </c>
      <c r="B1391" s="2">
        <v>45931</v>
      </c>
      <c r="C1391">
        <v>46212.3</v>
      </c>
    </row>
    <row r="1392" spans="1:3" ht="15" hidden="1" customHeight="1" x14ac:dyDescent="0.3">
      <c r="A1392" t="s">
        <v>220</v>
      </c>
      <c r="B1392" s="2">
        <v>45962</v>
      </c>
      <c r="C1392">
        <v>46653.3</v>
      </c>
    </row>
    <row r="1393" spans="1:3" ht="15" hidden="1" customHeight="1" x14ac:dyDescent="0.3">
      <c r="A1393" t="s">
        <v>220</v>
      </c>
      <c r="B1393" s="2">
        <v>45992</v>
      </c>
      <c r="C1393">
        <v>47656.800000000003</v>
      </c>
    </row>
    <row r="1394" spans="1:3" ht="15" hidden="1" customHeight="1" x14ac:dyDescent="0.3">
      <c r="A1394" t="s">
        <v>220</v>
      </c>
      <c r="B1394" s="2">
        <v>46023</v>
      </c>
      <c r="C1394">
        <v>46872</v>
      </c>
    </row>
    <row r="1395" spans="1:3" ht="15" hidden="1" customHeight="1" x14ac:dyDescent="0.3">
      <c r="A1395" t="s">
        <v>220</v>
      </c>
      <c r="B1395" s="2">
        <v>46054</v>
      </c>
      <c r="C1395">
        <v>40989.599999999999</v>
      </c>
    </row>
    <row r="1396" spans="1:3" ht="15" hidden="1" customHeight="1" x14ac:dyDescent="0.3">
      <c r="A1396" t="s">
        <v>220</v>
      </c>
      <c r="B1396" s="2">
        <v>46082</v>
      </c>
      <c r="C1396">
        <v>39989.699999999997</v>
      </c>
    </row>
    <row r="1397" spans="1:3" ht="15" hidden="1" customHeight="1" x14ac:dyDescent="0.3">
      <c r="A1397" t="s">
        <v>220</v>
      </c>
      <c r="B1397" s="2">
        <v>46113</v>
      </c>
      <c r="C1397">
        <v>34783.199999999997</v>
      </c>
    </row>
    <row r="1398" spans="1:3" ht="15" hidden="1" customHeight="1" x14ac:dyDescent="0.3">
      <c r="A1398" t="s">
        <v>220</v>
      </c>
      <c r="B1398" s="2">
        <v>46143</v>
      </c>
      <c r="C1398">
        <v>32139</v>
      </c>
    </row>
    <row r="1399" spans="1:3" ht="15" hidden="1" customHeight="1" x14ac:dyDescent="0.3">
      <c r="A1399" t="s">
        <v>220</v>
      </c>
      <c r="B1399" s="2">
        <v>46174</v>
      </c>
      <c r="C1399">
        <v>28357.200000000001</v>
      </c>
    </row>
    <row r="1400" spans="1:3" ht="15" customHeight="1" x14ac:dyDescent="0.3">
      <c r="A1400" t="s">
        <v>220</v>
      </c>
      <c r="B1400" s="2">
        <v>46204</v>
      </c>
      <c r="C1400">
        <v>31229.1</v>
      </c>
    </row>
    <row r="1401" spans="1:3" ht="15" hidden="1" customHeight="1" x14ac:dyDescent="0.3">
      <c r="A1401" t="s">
        <v>220</v>
      </c>
      <c r="B1401" s="2">
        <v>46235</v>
      </c>
      <c r="C1401">
        <v>36815.4</v>
      </c>
    </row>
    <row r="1402" spans="1:3" ht="15" hidden="1" customHeight="1" x14ac:dyDescent="0.3">
      <c r="A1402" t="s">
        <v>220</v>
      </c>
      <c r="B1402" s="2">
        <v>46266</v>
      </c>
      <c r="C1402">
        <v>40778.1</v>
      </c>
    </row>
    <row r="1403" spans="1:3" ht="15" hidden="1" customHeight="1" x14ac:dyDescent="0.3">
      <c r="A1403" t="s">
        <v>220</v>
      </c>
      <c r="B1403" s="2">
        <v>46296</v>
      </c>
      <c r="C1403">
        <v>46212.3</v>
      </c>
    </row>
    <row r="1404" spans="1:3" ht="15" hidden="1" customHeight="1" x14ac:dyDescent="0.3">
      <c r="A1404" t="s">
        <v>220</v>
      </c>
      <c r="B1404" s="2">
        <v>46327</v>
      </c>
      <c r="C1404">
        <v>46653.3</v>
      </c>
    </row>
    <row r="1405" spans="1:3" ht="15" hidden="1" customHeight="1" x14ac:dyDescent="0.3">
      <c r="A1405" t="s">
        <v>220</v>
      </c>
      <c r="B1405" s="2">
        <v>46357</v>
      </c>
      <c r="C1405">
        <v>47656.800000000003</v>
      </c>
    </row>
    <row r="1406" spans="1:3" ht="15" hidden="1" customHeight="1" x14ac:dyDescent="0.3">
      <c r="A1406" t="s">
        <v>222</v>
      </c>
      <c r="B1406" s="2">
        <v>45292</v>
      </c>
      <c r="C1406">
        <v>12369.6</v>
      </c>
    </row>
    <row r="1407" spans="1:3" ht="15" hidden="1" customHeight="1" x14ac:dyDescent="0.3">
      <c r="A1407" t="s">
        <v>222</v>
      </c>
      <c r="B1407" s="2">
        <v>45323</v>
      </c>
      <c r="C1407">
        <v>10801.8</v>
      </c>
    </row>
    <row r="1408" spans="1:3" ht="15" hidden="1" customHeight="1" x14ac:dyDescent="0.3">
      <c r="A1408" t="s">
        <v>222</v>
      </c>
      <c r="B1408" s="2">
        <v>45352</v>
      </c>
      <c r="C1408">
        <v>10537.2</v>
      </c>
    </row>
    <row r="1409" spans="1:3" ht="15" hidden="1" customHeight="1" x14ac:dyDescent="0.3">
      <c r="A1409" t="s">
        <v>222</v>
      </c>
      <c r="B1409" s="2">
        <v>45383</v>
      </c>
      <c r="C1409">
        <v>9173.7000000000007</v>
      </c>
    </row>
    <row r="1410" spans="1:3" ht="15" hidden="1" customHeight="1" x14ac:dyDescent="0.3">
      <c r="A1410" t="s">
        <v>222</v>
      </c>
      <c r="B1410" s="2">
        <v>45413</v>
      </c>
      <c r="C1410">
        <v>8503.2000000000007</v>
      </c>
    </row>
    <row r="1411" spans="1:3" ht="15" hidden="1" customHeight="1" x14ac:dyDescent="0.3">
      <c r="A1411" t="s">
        <v>222</v>
      </c>
      <c r="B1411" s="2">
        <v>45444</v>
      </c>
      <c r="C1411">
        <v>7545.6</v>
      </c>
    </row>
    <row r="1412" spans="1:3" ht="15" hidden="1" customHeight="1" x14ac:dyDescent="0.3">
      <c r="A1412" t="s">
        <v>222</v>
      </c>
      <c r="B1412" s="2">
        <v>45474</v>
      </c>
      <c r="C1412">
        <v>8307</v>
      </c>
    </row>
    <row r="1413" spans="1:3" ht="15" hidden="1" customHeight="1" x14ac:dyDescent="0.3">
      <c r="A1413" t="s">
        <v>222</v>
      </c>
      <c r="B1413" s="2">
        <v>45505</v>
      </c>
      <c r="C1413">
        <v>9720.9</v>
      </c>
    </row>
    <row r="1414" spans="1:3" ht="15" hidden="1" customHeight="1" x14ac:dyDescent="0.3">
      <c r="A1414" t="s">
        <v>222</v>
      </c>
      <c r="B1414" s="2">
        <v>45536</v>
      </c>
      <c r="C1414">
        <v>10755.9</v>
      </c>
    </row>
    <row r="1415" spans="1:3" ht="15" hidden="1" customHeight="1" x14ac:dyDescent="0.3">
      <c r="A1415" t="s">
        <v>222</v>
      </c>
      <c r="B1415" s="2">
        <v>45566</v>
      </c>
      <c r="C1415">
        <v>12190.5</v>
      </c>
    </row>
    <row r="1416" spans="1:3" ht="15" hidden="1" customHeight="1" x14ac:dyDescent="0.3">
      <c r="A1416" t="s">
        <v>222</v>
      </c>
      <c r="B1416" s="2">
        <v>45597</v>
      </c>
      <c r="C1416">
        <v>12263.4</v>
      </c>
    </row>
    <row r="1417" spans="1:3" ht="15" hidden="1" customHeight="1" x14ac:dyDescent="0.3">
      <c r="A1417" t="s">
        <v>222</v>
      </c>
      <c r="B1417" s="2">
        <v>45627</v>
      </c>
      <c r="C1417">
        <v>12539.7</v>
      </c>
    </row>
    <row r="1418" spans="1:3" ht="15" hidden="1" customHeight="1" x14ac:dyDescent="0.3">
      <c r="A1418" t="s">
        <v>222</v>
      </c>
      <c r="B1418" s="2">
        <v>45658</v>
      </c>
      <c r="C1418">
        <v>12369.6</v>
      </c>
    </row>
    <row r="1419" spans="1:3" ht="15" hidden="1" customHeight="1" x14ac:dyDescent="0.3">
      <c r="A1419" t="s">
        <v>222</v>
      </c>
      <c r="B1419" s="2">
        <v>45689</v>
      </c>
      <c r="C1419">
        <v>10801.8</v>
      </c>
    </row>
    <row r="1420" spans="1:3" ht="15" hidden="1" customHeight="1" x14ac:dyDescent="0.3">
      <c r="A1420" t="s">
        <v>222</v>
      </c>
      <c r="B1420" s="2">
        <v>45717</v>
      </c>
      <c r="C1420">
        <v>10537.2</v>
      </c>
    </row>
    <row r="1421" spans="1:3" ht="15" hidden="1" customHeight="1" x14ac:dyDescent="0.3">
      <c r="A1421" t="s">
        <v>222</v>
      </c>
      <c r="B1421" s="2">
        <v>45748</v>
      </c>
      <c r="C1421">
        <v>9173.7000000000007</v>
      </c>
    </row>
    <row r="1422" spans="1:3" ht="15" hidden="1" customHeight="1" x14ac:dyDescent="0.3">
      <c r="A1422" t="s">
        <v>222</v>
      </c>
      <c r="B1422" s="2">
        <v>45778</v>
      </c>
      <c r="C1422">
        <v>8503.2000000000007</v>
      </c>
    </row>
    <row r="1423" spans="1:3" ht="15" hidden="1" customHeight="1" x14ac:dyDescent="0.3">
      <c r="A1423" t="s">
        <v>222</v>
      </c>
      <c r="B1423" s="2">
        <v>45809</v>
      </c>
      <c r="C1423">
        <v>7545.6</v>
      </c>
    </row>
    <row r="1424" spans="1:3" ht="15" hidden="1" customHeight="1" x14ac:dyDescent="0.3">
      <c r="A1424" t="s">
        <v>222</v>
      </c>
      <c r="B1424" s="2">
        <v>45839</v>
      </c>
      <c r="C1424">
        <v>8307</v>
      </c>
    </row>
    <row r="1425" spans="1:3" ht="15" hidden="1" customHeight="1" x14ac:dyDescent="0.3">
      <c r="A1425" t="s">
        <v>222</v>
      </c>
      <c r="B1425" s="2">
        <v>45870</v>
      </c>
      <c r="C1425">
        <v>9720.9</v>
      </c>
    </row>
    <row r="1426" spans="1:3" ht="15" hidden="1" customHeight="1" x14ac:dyDescent="0.3">
      <c r="A1426" t="s">
        <v>222</v>
      </c>
      <c r="B1426" s="2">
        <v>45901</v>
      </c>
      <c r="C1426">
        <v>10755.9</v>
      </c>
    </row>
    <row r="1427" spans="1:3" ht="15" hidden="1" customHeight="1" x14ac:dyDescent="0.3">
      <c r="A1427" t="s">
        <v>222</v>
      </c>
      <c r="B1427" s="2">
        <v>45931</v>
      </c>
      <c r="C1427">
        <v>12190.5</v>
      </c>
    </row>
    <row r="1428" spans="1:3" ht="15" hidden="1" customHeight="1" x14ac:dyDescent="0.3">
      <c r="A1428" t="s">
        <v>222</v>
      </c>
      <c r="B1428" s="2">
        <v>45962</v>
      </c>
      <c r="C1428">
        <v>12263.4</v>
      </c>
    </row>
    <row r="1429" spans="1:3" ht="15" hidden="1" customHeight="1" x14ac:dyDescent="0.3">
      <c r="A1429" t="s">
        <v>222</v>
      </c>
      <c r="B1429" s="2">
        <v>45992</v>
      </c>
      <c r="C1429">
        <v>12539.7</v>
      </c>
    </row>
    <row r="1430" spans="1:3" ht="15" hidden="1" customHeight="1" x14ac:dyDescent="0.3">
      <c r="A1430" t="s">
        <v>222</v>
      </c>
      <c r="B1430" s="2">
        <v>46023</v>
      </c>
      <c r="C1430">
        <v>12369.6</v>
      </c>
    </row>
    <row r="1431" spans="1:3" ht="15" hidden="1" customHeight="1" x14ac:dyDescent="0.3">
      <c r="A1431" t="s">
        <v>222</v>
      </c>
      <c r="B1431" s="2">
        <v>46054</v>
      </c>
      <c r="C1431">
        <v>10801.8</v>
      </c>
    </row>
    <row r="1432" spans="1:3" ht="15" hidden="1" customHeight="1" x14ac:dyDescent="0.3">
      <c r="A1432" t="s">
        <v>222</v>
      </c>
      <c r="B1432" s="2">
        <v>46082</v>
      </c>
      <c r="C1432">
        <v>10537.2</v>
      </c>
    </row>
    <row r="1433" spans="1:3" ht="15" hidden="1" customHeight="1" x14ac:dyDescent="0.3">
      <c r="A1433" t="s">
        <v>222</v>
      </c>
      <c r="B1433" s="2">
        <v>46113</v>
      </c>
      <c r="C1433">
        <v>9173.7000000000007</v>
      </c>
    </row>
    <row r="1434" spans="1:3" ht="15" hidden="1" customHeight="1" x14ac:dyDescent="0.3">
      <c r="A1434" t="s">
        <v>222</v>
      </c>
      <c r="B1434" s="2">
        <v>46143</v>
      </c>
      <c r="C1434">
        <v>8503.2000000000007</v>
      </c>
    </row>
    <row r="1435" spans="1:3" ht="15" hidden="1" customHeight="1" x14ac:dyDescent="0.3">
      <c r="A1435" t="s">
        <v>222</v>
      </c>
      <c r="B1435" s="2">
        <v>46174</v>
      </c>
      <c r="C1435">
        <v>7545.6</v>
      </c>
    </row>
    <row r="1436" spans="1:3" ht="15" customHeight="1" x14ac:dyDescent="0.3">
      <c r="A1436" t="s">
        <v>222</v>
      </c>
      <c r="B1436" s="2">
        <v>46204</v>
      </c>
      <c r="C1436">
        <v>8307</v>
      </c>
    </row>
    <row r="1437" spans="1:3" ht="15" hidden="1" customHeight="1" x14ac:dyDescent="0.3">
      <c r="A1437" t="s">
        <v>222</v>
      </c>
      <c r="B1437" s="2">
        <v>46235</v>
      </c>
      <c r="C1437">
        <v>9720.9</v>
      </c>
    </row>
    <row r="1438" spans="1:3" ht="15" hidden="1" customHeight="1" x14ac:dyDescent="0.3">
      <c r="A1438" t="s">
        <v>222</v>
      </c>
      <c r="B1438" s="2">
        <v>46266</v>
      </c>
      <c r="C1438">
        <v>10755.9</v>
      </c>
    </row>
    <row r="1439" spans="1:3" ht="15" hidden="1" customHeight="1" x14ac:dyDescent="0.3">
      <c r="A1439" t="s">
        <v>222</v>
      </c>
      <c r="B1439" s="2">
        <v>46296</v>
      </c>
      <c r="C1439">
        <v>12190.5</v>
      </c>
    </row>
    <row r="1440" spans="1:3" ht="15" hidden="1" customHeight="1" x14ac:dyDescent="0.3">
      <c r="A1440" t="s">
        <v>222</v>
      </c>
      <c r="B1440" s="2">
        <v>46327</v>
      </c>
      <c r="C1440">
        <v>12263.4</v>
      </c>
    </row>
    <row r="1441" spans="1:3" ht="15" hidden="1" customHeight="1" x14ac:dyDescent="0.3">
      <c r="A1441" t="s">
        <v>222</v>
      </c>
      <c r="B1441" s="2">
        <v>46357</v>
      </c>
      <c r="C1441">
        <v>12539.7</v>
      </c>
    </row>
    <row r="1442" spans="1:3" ht="15" hidden="1" customHeight="1" x14ac:dyDescent="0.3">
      <c r="A1442" t="s">
        <v>142</v>
      </c>
      <c r="B1442" s="2">
        <v>45292</v>
      </c>
      <c r="C1442">
        <v>5685.3</v>
      </c>
    </row>
    <row r="1443" spans="1:3" ht="15" hidden="1" customHeight="1" x14ac:dyDescent="0.3">
      <c r="A1443" t="s">
        <v>142</v>
      </c>
      <c r="B1443" s="2">
        <v>45323</v>
      </c>
      <c r="C1443">
        <v>4780.8</v>
      </c>
    </row>
    <row r="1444" spans="1:3" ht="15" hidden="1" customHeight="1" x14ac:dyDescent="0.3">
      <c r="A1444" t="s">
        <v>142</v>
      </c>
      <c r="B1444" s="2">
        <v>45352</v>
      </c>
      <c r="C1444">
        <v>4935.6000000000004</v>
      </c>
    </row>
    <row r="1445" spans="1:3" ht="15" hidden="1" customHeight="1" x14ac:dyDescent="0.3">
      <c r="A1445" t="s">
        <v>142</v>
      </c>
      <c r="B1445" s="2">
        <v>45383</v>
      </c>
      <c r="C1445">
        <v>4359.6000000000004</v>
      </c>
    </row>
    <row r="1446" spans="1:3" ht="15" hidden="1" customHeight="1" x14ac:dyDescent="0.3">
      <c r="A1446" t="s">
        <v>142</v>
      </c>
      <c r="B1446" s="2">
        <v>45413</v>
      </c>
      <c r="C1446">
        <v>4194</v>
      </c>
    </row>
    <row r="1447" spans="1:3" ht="15" hidden="1" customHeight="1" x14ac:dyDescent="0.3">
      <c r="A1447" t="s">
        <v>142</v>
      </c>
      <c r="B1447" s="2">
        <v>45444</v>
      </c>
      <c r="C1447">
        <v>3818.7</v>
      </c>
    </row>
    <row r="1448" spans="1:3" ht="15" hidden="1" customHeight="1" x14ac:dyDescent="0.3">
      <c r="A1448" t="s">
        <v>142</v>
      </c>
      <c r="B1448" s="2">
        <v>45474</v>
      </c>
      <c r="C1448">
        <v>4217.3999999999996</v>
      </c>
    </row>
    <row r="1449" spans="1:3" ht="15" hidden="1" customHeight="1" x14ac:dyDescent="0.3">
      <c r="A1449" t="s">
        <v>142</v>
      </c>
      <c r="B1449" s="2">
        <v>45505</v>
      </c>
      <c r="C1449">
        <v>4844.7</v>
      </c>
    </row>
    <row r="1450" spans="1:3" ht="15" hidden="1" customHeight="1" x14ac:dyDescent="0.3">
      <c r="A1450" t="s">
        <v>142</v>
      </c>
      <c r="B1450" s="2">
        <v>45536</v>
      </c>
      <c r="C1450">
        <v>5300.1</v>
      </c>
    </row>
    <row r="1451" spans="1:3" ht="15" hidden="1" customHeight="1" x14ac:dyDescent="0.3">
      <c r="A1451" t="s">
        <v>142</v>
      </c>
      <c r="B1451" s="2">
        <v>45566</v>
      </c>
      <c r="C1451">
        <v>5667.3</v>
      </c>
    </row>
    <row r="1452" spans="1:3" ht="15" hidden="1" customHeight="1" x14ac:dyDescent="0.3">
      <c r="A1452" t="s">
        <v>142</v>
      </c>
      <c r="B1452" s="2">
        <v>45597</v>
      </c>
      <c r="C1452">
        <v>5624.1</v>
      </c>
    </row>
    <row r="1453" spans="1:3" ht="15" hidden="1" customHeight="1" x14ac:dyDescent="0.3">
      <c r="A1453" t="s">
        <v>142</v>
      </c>
      <c r="B1453" s="2">
        <v>45627</v>
      </c>
      <c r="C1453">
        <v>5995.8</v>
      </c>
    </row>
    <row r="1454" spans="1:3" ht="15" hidden="1" customHeight="1" x14ac:dyDescent="0.3">
      <c r="A1454" t="s">
        <v>142</v>
      </c>
      <c r="B1454" s="2">
        <v>45658</v>
      </c>
      <c r="C1454">
        <v>5685.3</v>
      </c>
    </row>
    <row r="1455" spans="1:3" ht="15" hidden="1" customHeight="1" x14ac:dyDescent="0.3">
      <c r="A1455" t="s">
        <v>142</v>
      </c>
      <c r="B1455" s="2">
        <v>45689</v>
      </c>
      <c r="C1455">
        <v>4780.8</v>
      </c>
    </row>
    <row r="1456" spans="1:3" ht="15" hidden="1" customHeight="1" x14ac:dyDescent="0.3">
      <c r="A1456" t="s">
        <v>142</v>
      </c>
      <c r="B1456" s="2">
        <v>45717</v>
      </c>
      <c r="C1456">
        <v>4935.6000000000004</v>
      </c>
    </row>
    <row r="1457" spans="1:3" ht="15" hidden="1" customHeight="1" x14ac:dyDescent="0.3">
      <c r="A1457" t="s">
        <v>142</v>
      </c>
      <c r="B1457" s="2">
        <v>45748</v>
      </c>
      <c r="C1457">
        <v>4359.6000000000004</v>
      </c>
    </row>
    <row r="1458" spans="1:3" ht="15" hidden="1" customHeight="1" x14ac:dyDescent="0.3">
      <c r="A1458" t="s">
        <v>142</v>
      </c>
      <c r="B1458" s="2">
        <v>45778</v>
      </c>
      <c r="C1458">
        <v>4194</v>
      </c>
    </row>
    <row r="1459" spans="1:3" ht="15" hidden="1" customHeight="1" x14ac:dyDescent="0.3">
      <c r="A1459" t="s">
        <v>142</v>
      </c>
      <c r="B1459" s="2">
        <v>45809</v>
      </c>
      <c r="C1459">
        <v>3818.7</v>
      </c>
    </row>
    <row r="1460" spans="1:3" ht="15" hidden="1" customHeight="1" x14ac:dyDescent="0.3">
      <c r="A1460" t="s">
        <v>142</v>
      </c>
      <c r="B1460" s="2">
        <v>45839</v>
      </c>
      <c r="C1460">
        <v>4217.3999999999996</v>
      </c>
    </row>
    <row r="1461" spans="1:3" ht="15" hidden="1" customHeight="1" x14ac:dyDescent="0.3">
      <c r="A1461" t="s">
        <v>142</v>
      </c>
      <c r="B1461" s="2">
        <v>45870</v>
      </c>
      <c r="C1461">
        <v>4844.7</v>
      </c>
    </row>
    <row r="1462" spans="1:3" ht="15" hidden="1" customHeight="1" x14ac:dyDescent="0.3">
      <c r="A1462" t="s">
        <v>142</v>
      </c>
      <c r="B1462" s="2">
        <v>45901</v>
      </c>
      <c r="C1462">
        <v>5300.1</v>
      </c>
    </row>
    <row r="1463" spans="1:3" ht="15" hidden="1" customHeight="1" x14ac:dyDescent="0.3">
      <c r="A1463" t="s">
        <v>142</v>
      </c>
      <c r="B1463" s="2">
        <v>45931</v>
      </c>
      <c r="C1463">
        <v>5667.3</v>
      </c>
    </row>
    <row r="1464" spans="1:3" ht="15" hidden="1" customHeight="1" x14ac:dyDescent="0.3">
      <c r="A1464" t="s">
        <v>142</v>
      </c>
      <c r="B1464" s="2">
        <v>45962</v>
      </c>
      <c r="C1464">
        <v>5624.1</v>
      </c>
    </row>
    <row r="1465" spans="1:3" ht="15" hidden="1" customHeight="1" x14ac:dyDescent="0.3">
      <c r="A1465" t="s">
        <v>142</v>
      </c>
      <c r="B1465" s="2">
        <v>45992</v>
      </c>
      <c r="C1465">
        <v>5995.8</v>
      </c>
    </row>
    <row r="1466" spans="1:3" ht="15" hidden="1" customHeight="1" x14ac:dyDescent="0.3">
      <c r="A1466" t="s">
        <v>142</v>
      </c>
      <c r="B1466" s="2">
        <v>46023</v>
      </c>
      <c r="C1466">
        <v>5685.3</v>
      </c>
    </row>
    <row r="1467" spans="1:3" ht="15" hidden="1" customHeight="1" x14ac:dyDescent="0.3">
      <c r="A1467" t="s">
        <v>142</v>
      </c>
      <c r="B1467" s="2">
        <v>46054</v>
      </c>
      <c r="C1467">
        <v>4780.8</v>
      </c>
    </row>
    <row r="1468" spans="1:3" ht="15" hidden="1" customHeight="1" x14ac:dyDescent="0.3">
      <c r="A1468" t="s">
        <v>142</v>
      </c>
      <c r="B1468" s="2">
        <v>46082</v>
      </c>
      <c r="C1468">
        <v>4935.6000000000004</v>
      </c>
    </row>
    <row r="1469" spans="1:3" ht="15" hidden="1" customHeight="1" x14ac:dyDescent="0.3">
      <c r="A1469" t="s">
        <v>142</v>
      </c>
      <c r="B1469" s="2">
        <v>46113</v>
      </c>
      <c r="C1469">
        <v>4359.6000000000004</v>
      </c>
    </row>
    <row r="1470" spans="1:3" ht="15" hidden="1" customHeight="1" x14ac:dyDescent="0.3">
      <c r="A1470" t="s">
        <v>142</v>
      </c>
      <c r="B1470" s="2">
        <v>46143</v>
      </c>
      <c r="C1470">
        <v>4194</v>
      </c>
    </row>
    <row r="1471" spans="1:3" ht="15" hidden="1" customHeight="1" x14ac:dyDescent="0.3">
      <c r="A1471" t="s">
        <v>142</v>
      </c>
      <c r="B1471" s="2">
        <v>46174</v>
      </c>
      <c r="C1471">
        <v>3818.7</v>
      </c>
    </row>
    <row r="1472" spans="1:3" ht="15" customHeight="1" x14ac:dyDescent="0.3">
      <c r="A1472" t="s">
        <v>142</v>
      </c>
      <c r="B1472" s="2">
        <v>46204</v>
      </c>
      <c r="C1472">
        <v>4217.3999999999996</v>
      </c>
    </row>
    <row r="1473" spans="1:3" ht="15" hidden="1" customHeight="1" x14ac:dyDescent="0.3">
      <c r="A1473" t="s">
        <v>142</v>
      </c>
      <c r="B1473" s="2">
        <v>46235</v>
      </c>
      <c r="C1473">
        <v>4844.7</v>
      </c>
    </row>
    <row r="1474" spans="1:3" ht="15" hidden="1" customHeight="1" x14ac:dyDescent="0.3">
      <c r="A1474" t="s">
        <v>142</v>
      </c>
      <c r="B1474" s="2">
        <v>46266</v>
      </c>
      <c r="C1474">
        <v>5300.1</v>
      </c>
    </row>
    <row r="1475" spans="1:3" ht="15" hidden="1" customHeight="1" x14ac:dyDescent="0.3">
      <c r="A1475" t="s">
        <v>142</v>
      </c>
      <c r="B1475" s="2">
        <v>46296</v>
      </c>
      <c r="C1475">
        <v>5667.3</v>
      </c>
    </row>
    <row r="1476" spans="1:3" ht="15" hidden="1" customHeight="1" x14ac:dyDescent="0.3">
      <c r="A1476" t="s">
        <v>142</v>
      </c>
      <c r="B1476" s="2">
        <v>46327</v>
      </c>
      <c r="C1476">
        <v>5624.1</v>
      </c>
    </row>
    <row r="1477" spans="1:3" ht="15" hidden="1" customHeight="1" x14ac:dyDescent="0.3">
      <c r="A1477" t="s">
        <v>142</v>
      </c>
      <c r="B1477" s="2">
        <v>46357</v>
      </c>
      <c r="C1477">
        <v>5995.8</v>
      </c>
    </row>
    <row r="1478" spans="1:3" ht="15" hidden="1" customHeight="1" x14ac:dyDescent="0.3">
      <c r="A1478" t="s">
        <v>145</v>
      </c>
      <c r="B1478" s="2">
        <v>45292</v>
      </c>
      <c r="C1478">
        <v>41208.480000000003</v>
      </c>
    </row>
    <row r="1479" spans="1:3" ht="15" hidden="1" customHeight="1" x14ac:dyDescent="0.3">
      <c r="A1479" t="s">
        <v>145</v>
      </c>
      <c r="B1479" s="2">
        <v>45323</v>
      </c>
      <c r="C1479">
        <v>35976.15</v>
      </c>
    </row>
    <row r="1480" spans="1:3" ht="15" hidden="1" customHeight="1" x14ac:dyDescent="0.3">
      <c r="A1480" t="s">
        <v>145</v>
      </c>
      <c r="B1480" s="2">
        <v>45352</v>
      </c>
      <c r="C1480">
        <v>36559.980000000003</v>
      </c>
    </row>
    <row r="1481" spans="1:3" ht="15" hidden="1" customHeight="1" x14ac:dyDescent="0.3">
      <c r="A1481" t="s">
        <v>145</v>
      </c>
      <c r="B1481" s="2">
        <v>45383</v>
      </c>
      <c r="C1481">
        <v>33604.11</v>
      </c>
    </row>
    <row r="1482" spans="1:3" ht="15" hidden="1" customHeight="1" x14ac:dyDescent="0.3">
      <c r="A1482" t="s">
        <v>145</v>
      </c>
      <c r="B1482" s="2">
        <v>45413</v>
      </c>
      <c r="C1482">
        <v>32958.629999999997</v>
      </c>
    </row>
    <row r="1483" spans="1:3" ht="15" hidden="1" customHeight="1" x14ac:dyDescent="0.3">
      <c r="A1483" t="s">
        <v>145</v>
      </c>
      <c r="B1483" s="2">
        <v>45444</v>
      </c>
      <c r="C1483">
        <v>30018.22119</v>
      </c>
    </row>
    <row r="1484" spans="1:3" ht="15" hidden="1" customHeight="1" x14ac:dyDescent="0.3">
      <c r="A1484" t="s">
        <v>145</v>
      </c>
      <c r="B1484" s="2">
        <v>45474</v>
      </c>
      <c r="C1484">
        <v>32459.809590000001</v>
      </c>
    </row>
    <row r="1485" spans="1:3" ht="15" hidden="1" customHeight="1" x14ac:dyDescent="0.3">
      <c r="A1485" t="s">
        <v>145</v>
      </c>
      <c r="B1485" s="2">
        <v>45505</v>
      </c>
      <c r="C1485">
        <v>36506.12571</v>
      </c>
    </row>
    <row r="1486" spans="1:3" ht="15" hidden="1" customHeight="1" x14ac:dyDescent="0.3">
      <c r="A1486" t="s">
        <v>145</v>
      </c>
      <c r="B1486" s="2">
        <v>45536</v>
      </c>
      <c r="C1486">
        <v>37370.869830000003</v>
      </c>
    </row>
    <row r="1487" spans="1:3" ht="15" hidden="1" customHeight="1" x14ac:dyDescent="0.3">
      <c r="A1487" t="s">
        <v>145</v>
      </c>
      <c r="B1487" s="2">
        <v>45566</v>
      </c>
      <c r="C1487">
        <v>40182.986250000002</v>
      </c>
    </row>
    <row r="1488" spans="1:3" ht="15" hidden="1" customHeight="1" x14ac:dyDescent="0.3">
      <c r="A1488" t="s">
        <v>145</v>
      </c>
      <c r="B1488" s="2">
        <v>45597</v>
      </c>
      <c r="C1488">
        <v>40330.536119999997</v>
      </c>
    </row>
    <row r="1489" spans="1:3" ht="15" hidden="1" customHeight="1" x14ac:dyDescent="0.3">
      <c r="A1489" t="s">
        <v>145</v>
      </c>
      <c r="B1489" s="2">
        <v>45627</v>
      </c>
      <c r="C1489">
        <v>42601.427819999997</v>
      </c>
    </row>
    <row r="1490" spans="1:3" ht="15" hidden="1" customHeight="1" x14ac:dyDescent="0.3">
      <c r="A1490" t="s">
        <v>145</v>
      </c>
      <c r="B1490" s="2">
        <v>45658</v>
      </c>
      <c r="C1490">
        <v>41208.480000000003</v>
      </c>
    </row>
    <row r="1491" spans="1:3" ht="15" hidden="1" customHeight="1" x14ac:dyDescent="0.3">
      <c r="A1491" t="s">
        <v>145</v>
      </c>
      <c r="B1491" s="2">
        <v>45689</v>
      </c>
      <c r="C1491">
        <v>35976.15</v>
      </c>
    </row>
    <row r="1492" spans="1:3" ht="15" hidden="1" customHeight="1" x14ac:dyDescent="0.3">
      <c r="A1492" t="s">
        <v>145</v>
      </c>
      <c r="B1492" s="2">
        <v>45717</v>
      </c>
      <c r="C1492">
        <v>36559.980000000003</v>
      </c>
    </row>
    <row r="1493" spans="1:3" ht="15" hidden="1" customHeight="1" x14ac:dyDescent="0.3">
      <c r="A1493" t="s">
        <v>145</v>
      </c>
      <c r="B1493" s="2">
        <v>45748</v>
      </c>
      <c r="C1493">
        <v>33604.11</v>
      </c>
    </row>
    <row r="1494" spans="1:3" ht="15" hidden="1" customHeight="1" x14ac:dyDescent="0.3">
      <c r="A1494" t="s">
        <v>145</v>
      </c>
      <c r="B1494" s="2">
        <v>45778</v>
      </c>
      <c r="C1494">
        <v>32958.629999999997</v>
      </c>
    </row>
    <row r="1495" spans="1:3" ht="15" hidden="1" customHeight="1" x14ac:dyDescent="0.3">
      <c r="A1495" t="s">
        <v>145</v>
      </c>
      <c r="B1495" s="2">
        <v>45809</v>
      </c>
      <c r="C1495">
        <v>30018.22119</v>
      </c>
    </row>
    <row r="1496" spans="1:3" ht="15" hidden="1" customHeight="1" x14ac:dyDescent="0.3">
      <c r="A1496" t="s">
        <v>145</v>
      </c>
      <c r="B1496" s="2">
        <v>45839</v>
      </c>
      <c r="C1496">
        <v>32459.809590000001</v>
      </c>
    </row>
    <row r="1497" spans="1:3" ht="15" hidden="1" customHeight="1" x14ac:dyDescent="0.3">
      <c r="A1497" t="s">
        <v>145</v>
      </c>
      <c r="B1497" s="2">
        <v>45870</v>
      </c>
      <c r="C1497">
        <v>36506.12571</v>
      </c>
    </row>
    <row r="1498" spans="1:3" ht="15" hidden="1" customHeight="1" x14ac:dyDescent="0.3">
      <c r="A1498" t="s">
        <v>145</v>
      </c>
      <c r="B1498" s="2">
        <v>45901</v>
      </c>
      <c r="C1498">
        <v>37370.869830000003</v>
      </c>
    </row>
    <row r="1499" spans="1:3" ht="15" hidden="1" customHeight="1" x14ac:dyDescent="0.3">
      <c r="A1499" t="s">
        <v>145</v>
      </c>
      <c r="B1499" s="2">
        <v>45931</v>
      </c>
      <c r="C1499">
        <v>40182.986250000002</v>
      </c>
    </row>
    <row r="1500" spans="1:3" ht="15" hidden="1" customHeight="1" x14ac:dyDescent="0.3">
      <c r="A1500" t="s">
        <v>145</v>
      </c>
      <c r="B1500" s="2">
        <v>45962</v>
      </c>
      <c r="C1500">
        <v>40330.536119999997</v>
      </c>
    </row>
    <row r="1501" spans="1:3" ht="15" hidden="1" customHeight="1" x14ac:dyDescent="0.3">
      <c r="A1501" t="s">
        <v>145</v>
      </c>
      <c r="B1501" s="2">
        <v>45992</v>
      </c>
      <c r="C1501">
        <v>42601.427819999997</v>
      </c>
    </row>
    <row r="1502" spans="1:3" ht="15" hidden="1" customHeight="1" x14ac:dyDescent="0.3">
      <c r="A1502" t="s">
        <v>145</v>
      </c>
      <c r="B1502" s="2">
        <v>46023</v>
      </c>
      <c r="C1502">
        <v>41208.480000000003</v>
      </c>
    </row>
    <row r="1503" spans="1:3" ht="15" hidden="1" customHeight="1" x14ac:dyDescent="0.3">
      <c r="A1503" t="s">
        <v>145</v>
      </c>
      <c r="B1503" s="2">
        <v>46054</v>
      </c>
      <c r="C1503">
        <v>35976.15</v>
      </c>
    </row>
    <row r="1504" spans="1:3" ht="15" hidden="1" customHeight="1" x14ac:dyDescent="0.3">
      <c r="A1504" t="s">
        <v>145</v>
      </c>
      <c r="B1504" s="2">
        <v>46082</v>
      </c>
      <c r="C1504">
        <v>36559.980000000003</v>
      </c>
    </row>
    <row r="1505" spans="1:3" ht="15" hidden="1" customHeight="1" x14ac:dyDescent="0.3">
      <c r="A1505" t="s">
        <v>145</v>
      </c>
      <c r="B1505" s="2">
        <v>46113</v>
      </c>
      <c r="C1505">
        <v>33604.11</v>
      </c>
    </row>
    <row r="1506" spans="1:3" ht="15" hidden="1" customHeight="1" x14ac:dyDescent="0.3">
      <c r="A1506" t="s">
        <v>145</v>
      </c>
      <c r="B1506" s="2">
        <v>46143</v>
      </c>
      <c r="C1506">
        <v>32958.629999999997</v>
      </c>
    </row>
    <row r="1507" spans="1:3" ht="15" hidden="1" customHeight="1" x14ac:dyDescent="0.3">
      <c r="A1507" t="s">
        <v>145</v>
      </c>
      <c r="B1507" s="2">
        <v>46174</v>
      </c>
      <c r="C1507">
        <v>30018.22119</v>
      </c>
    </row>
    <row r="1508" spans="1:3" ht="15" customHeight="1" x14ac:dyDescent="0.3">
      <c r="A1508" t="s">
        <v>145</v>
      </c>
      <c r="B1508" s="2">
        <v>46204</v>
      </c>
      <c r="C1508">
        <v>32459.809590000001</v>
      </c>
    </row>
    <row r="1509" spans="1:3" ht="15" hidden="1" customHeight="1" x14ac:dyDescent="0.3">
      <c r="A1509" t="s">
        <v>145</v>
      </c>
      <c r="B1509" s="2">
        <v>46235</v>
      </c>
      <c r="C1509">
        <v>36506.12571</v>
      </c>
    </row>
    <row r="1510" spans="1:3" ht="15" hidden="1" customHeight="1" x14ac:dyDescent="0.3">
      <c r="A1510" t="s">
        <v>145</v>
      </c>
      <c r="B1510" s="2">
        <v>46266</v>
      </c>
      <c r="C1510">
        <v>37370.869830000003</v>
      </c>
    </row>
    <row r="1511" spans="1:3" ht="15" hidden="1" customHeight="1" x14ac:dyDescent="0.3">
      <c r="A1511" t="s">
        <v>145</v>
      </c>
      <c r="B1511" s="2">
        <v>46296</v>
      </c>
      <c r="C1511">
        <v>40182.986250000002</v>
      </c>
    </row>
    <row r="1512" spans="1:3" ht="15" hidden="1" customHeight="1" x14ac:dyDescent="0.3">
      <c r="A1512" t="s">
        <v>145</v>
      </c>
      <c r="B1512" s="2">
        <v>46327</v>
      </c>
      <c r="C1512">
        <v>40330.536119999997</v>
      </c>
    </row>
    <row r="1513" spans="1:3" ht="15" hidden="1" customHeight="1" x14ac:dyDescent="0.3">
      <c r="A1513" t="s">
        <v>145</v>
      </c>
      <c r="B1513" s="2">
        <v>46357</v>
      </c>
      <c r="C1513">
        <v>42601.427819999997</v>
      </c>
    </row>
    <row r="1514" spans="1:3" ht="15" hidden="1" customHeight="1" x14ac:dyDescent="0.3">
      <c r="A1514" t="s">
        <v>152</v>
      </c>
      <c r="B1514" s="2">
        <v>45292</v>
      </c>
      <c r="C1514">
        <v>11540.96</v>
      </c>
    </row>
    <row r="1515" spans="1:3" ht="15" hidden="1" customHeight="1" x14ac:dyDescent="0.3">
      <c r="A1515" t="s">
        <v>152</v>
      </c>
      <c r="B1515" s="2">
        <v>45323</v>
      </c>
      <c r="C1515">
        <v>9862.32</v>
      </c>
    </row>
    <row r="1516" spans="1:3" ht="15" hidden="1" customHeight="1" x14ac:dyDescent="0.3">
      <c r="A1516" t="s">
        <v>152</v>
      </c>
      <c r="B1516" s="2">
        <v>45352</v>
      </c>
      <c r="C1516">
        <v>10345.44</v>
      </c>
    </row>
    <row r="1517" spans="1:3" ht="15" hidden="1" customHeight="1" x14ac:dyDescent="0.3">
      <c r="A1517" t="s">
        <v>152</v>
      </c>
      <c r="B1517" s="2">
        <v>45383</v>
      </c>
      <c r="C1517">
        <v>8819.52</v>
      </c>
    </row>
    <row r="1518" spans="1:3" ht="15" hidden="1" customHeight="1" x14ac:dyDescent="0.3">
      <c r="A1518" t="s">
        <v>152</v>
      </c>
      <c r="B1518" s="2">
        <v>45413</v>
      </c>
      <c r="C1518">
        <v>8538.08</v>
      </c>
    </row>
    <row r="1519" spans="1:3" ht="15" hidden="1" customHeight="1" x14ac:dyDescent="0.3">
      <c r="A1519" t="s">
        <v>152</v>
      </c>
      <c r="B1519" s="2">
        <v>45444</v>
      </c>
      <c r="C1519">
        <v>7700</v>
      </c>
    </row>
    <row r="1520" spans="1:3" ht="15" hidden="1" customHeight="1" x14ac:dyDescent="0.3">
      <c r="A1520" t="s">
        <v>152</v>
      </c>
      <c r="B1520" s="2">
        <v>45474</v>
      </c>
      <c r="C1520">
        <v>8487.2000000000007</v>
      </c>
    </row>
    <row r="1521" spans="1:3" ht="15" hidden="1" customHeight="1" x14ac:dyDescent="0.3">
      <c r="A1521" t="s">
        <v>152</v>
      </c>
      <c r="B1521" s="2">
        <v>45505</v>
      </c>
      <c r="C1521">
        <v>9810.48</v>
      </c>
    </row>
    <row r="1522" spans="1:3" ht="15" hidden="1" customHeight="1" x14ac:dyDescent="0.3">
      <c r="A1522" t="s">
        <v>152</v>
      </c>
      <c r="B1522" s="2">
        <v>45536</v>
      </c>
      <c r="C1522">
        <v>10706.48</v>
      </c>
    </row>
    <row r="1523" spans="1:3" ht="15" hidden="1" customHeight="1" x14ac:dyDescent="0.3">
      <c r="A1523" t="s">
        <v>152</v>
      </c>
      <c r="B1523" s="2">
        <v>45566</v>
      </c>
      <c r="C1523">
        <v>11410.4</v>
      </c>
    </row>
    <row r="1524" spans="1:3" ht="15" hidden="1" customHeight="1" x14ac:dyDescent="0.3">
      <c r="A1524" t="s">
        <v>152</v>
      </c>
      <c r="B1524" s="2">
        <v>45597</v>
      </c>
      <c r="C1524">
        <v>11340.4</v>
      </c>
    </row>
    <row r="1525" spans="1:3" ht="15" hidden="1" customHeight="1" x14ac:dyDescent="0.3">
      <c r="A1525" t="s">
        <v>152</v>
      </c>
      <c r="B1525" s="2">
        <v>45627</v>
      </c>
      <c r="C1525">
        <v>12102.56</v>
      </c>
    </row>
    <row r="1526" spans="1:3" ht="15" hidden="1" customHeight="1" x14ac:dyDescent="0.3">
      <c r="A1526" t="s">
        <v>152</v>
      </c>
      <c r="B1526" s="2">
        <v>45658</v>
      </c>
      <c r="C1526">
        <v>11540.96</v>
      </c>
    </row>
    <row r="1527" spans="1:3" ht="15" hidden="1" customHeight="1" x14ac:dyDescent="0.3">
      <c r="A1527" t="s">
        <v>152</v>
      </c>
      <c r="B1527" s="2">
        <v>45689</v>
      </c>
      <c r="C1527">
        <v>9862.32</v>
      </c>
    </row>
    <row r="1528" spans="1:3" ht="15" hidden="1" customHeight="1" x14ac:dyDescent="0.3">
      <c r="A1528" t="s">
        <v>152</v>
      </c>
      <c r="B1528" s="2">
        <v>45717</v>
      </c>
      <c r="C1528">
        <v>10345.44</v>
      </c>
    </row>
    <row r="1529" spans="1:3" ht="15" hidden="1" customHeight="1" x14ac:dyDescent="0.3">
      <c r="A1529" t="s">
        <v>152</v>
      </c>
      <c r="B1529" s="2">
        <v>45748</v>
      </c>
      <c r="C1529">
        <v>8819.52</v>
      </c>
    </row>
    <row r="1530" spans="1:3" ht="15" hidden="1" customHeight="1" x14ac:dyDescent="0.3">
      <c r="A1530" t="s">
        <v>152</v>
      </c>
      <c r="B1530" s="2">
        <v>45778</v>
      </c>
      <c r="C1530">
        <v>8538.08</v>
      </c>
    </row>
    <row r="1531" spans="1:3" ht="15" hidden="1" customHeight="1" x14ac:dyDescent="0.3">
      <c r="A1531" t="s">
        <v>152</v>
      </c>
      <c r="B1531" s="2">
        <v>45809</v>
      </c>
      <c r="C1531">
        <v>7700</v>
      </c>
    </row>
    <row r="1532" spans="1:3" ht="15" hidden="1" customHeight="1" x14ac:dyDescent="0.3">
      <c r="A1532" t="s">
        <v>152</v>
      </c>
      <c r="B1532" s="2">
        <v>45839</v>
      </c>
      <c r="C1532">
        <v>8487.2000000000007</v>
      </c>
    </row>
    <row r="1533" spans="1:3" ht="15" hidden="1" customHeight="1" x14ac:dyDescent="0.3">
      <c r="A1533" t="s">
        <v>152</v>
      </c>
      <c r="B1533" s="2">
        <v>45870</v>
      </c>
      <c r="C1533">
        <v>9810.48</v>
      </c>
    </row>
    <row r="1534" spans="1:3" ht="15" hidden="1" customHeight="1" x14ac:dyDescent="0.3">
      <c r="A1534" t="s">
        <v>152</v>
      </c>
      <c r="B1534" s="2">
        <v>45901</v>
      </c>
      <c r="C1534">
        <v>10706.48</v>
      </c>
    </row>
    <row r="1535" spans="1:3" ht="15" hidden="1" customHeight="1" x14ac:dyDescent="0.3">
      <c r="A1535" t="s">
        <v>152</v>
      </c>
      <c r="B1535" s="2">
        <v>45931</v>
      </c>
      <c r="C1535">
        <v>11410.4</v>
      </c>
    </row>
    <row r="1536" spans="1:3" ht="15" hidden="1" customHeight="1" x14ac:dyDescent="0.3">
      <c r="A1536" t="s">
        <v>152</v>
      </c>
      <c r="B1536" s="2">
        <v>45962</v>
      </c>
      <c r="C1536">
        <v>11340.4</v>
      </c>
    </row>
    <row r="1537" spans="1:3" ht="15" hidden="1" customHeight="1" x14ac:dyDescent="0.3">
      <c r="A1537" t="s">
        <v>152</v>
      </c>
      <c r="B1537" s="2">
        <v>45992</v>
      </c>
      <c r="C1537">
        <v>12102.56</v>
      </c>
    </row>
    <row r="1538" spans="1:3" ht="15" hidden="1" customHeight="1" x14ac:dyDescent="0.3">
      <c r="A1538" t="s">
        <v>152</v>
      </c>
      <c r="B1538" s="2">
        <v>46023</v>
      </c>
      <c r="C1538">
        <v>11540.96</v>
      </c>
    </row>
    <row r="1539" spans="1:3" ht="15" hidden="1" customHeight="1" x14ac:dyDescent="0.3">
      <c r="A1539" t="s">
        <v>152</v>
      </c>
      <c r="B1539" s="2">
        <v>46054</v>
      </c>
      <c r="C1539">
        <v>9862.32</v>
      </c>
    </row>
    <row r="1540" spans="1:3" ht="15" hidden="1" customHeight="1" x14ac:dyDescent="0.3">
      <c r="A1540" t="s">
        <v>152</v>
      </c>
      <c r="B1540" s="2">
        <v>46082</v>
      </c>
      <c r="C1540">
        <v>10345.44</v>
      </c>
    </row>
    <row r="1541" spans="1:3" ht="15" hidden="1" customHeight="1" x14ac:dyDescent="0.3">
      <c r="A1541" t="s">
        <v>152</v>
      </c>
      <c r="B1541" s="2">
        <v>46113</v>
      </c>
      <c r="C1541">
        <v>8819.52</v>
      </c>
    </row>
    <row r="1542" spans="1:3" ht="15" hidden="1" customHeight="1" x14ac:dyDescent="0.3">
      <c r="A1542" t="s">
        <v>152</v>
      </c>
      <c r="B1542" s="2">
        <v>46143</v>
      </c>
      <c r="C1542">
        <v>8538.08</v>
      </c>
    </row>
    <row r="1543" spans="1:3" ht="15" hidden="1" customHeight="1" x14ac:dyDescent="0.3">
      <c r="A1543" t="s">
        <v>152</v>
      </c>
      <c r="B1543" s="2">
        <v>46174</v>
      </c>
      <c r="C1543">
        <v>7700</v>
      </c>
    </row>
    <row r="1544" spans="1:3" ht="15" customHeight="1" x14ac:dyDescent="0.3">
      <c r="A1544" t="s">
        <v>152</v>
      </c>
      <c r="B1544" s="2">
        <v>46204</v>
      </c>
      <c r="C1544">
        <v>8487.2000000000007</v>
      </c>
    </row>
    <row r="1545" spans="1:3" ht="15" hidden="1" customHeight="1" x14ac:dyDescent="0.3">
      <c r="A1545" t="s">
        <v>152</v>
      </c>
      <c r="B1545" s="2">
        <v>46235</v>
      </c>
      <c r="C1545">
        <v>9810.48</v>
      </c>
    </row>
    <row r="1546" spans="1:3" ht="15" hidden="1" customHeight="1" x14ac:dyDescent="0.3">
      <c r="A1546" t="s">
        <v>152</v>
      </c>
      <c r="B1546" s="2">
        <v>46266</v>
      </c>
      <c r="C1546">
        <v>10706.48</v>
      </c>
    </row>
    <row r="1547" spans="1:3" ht="15" hidden="1" customHeight="1" x14ac:dyDescent="0.3">
      <c r="A1547" t="s">
        <v>152</v>
      </c>
      <c r="B1547" s="2">
        <v>46296</v>
      </c>
      <c r="C1547">
        <v>11410.4</v>
      </c>
    </row>
    <row r="1548" spans="1:3" ht="15" hidden="1" customHeight="1" x14ac:dyDescent="0.3">
      <c r="A1548" t="s">
        <v>152</v>
      </c>
      <c r="B1548" s="2">
        <v>46327</v>
      </c>
      <c r="C1548">
        <v>11340.4</v>
      </c>
    </row>
    <row r="1549" spans="1:3" ht="15" hidden="1" customHeight="1" x14ac:dyDescent="0.3">
      <c r="A1549" t="s">
        <v>152</v>
      </c>
      <c r="B1549" s="2">
        <v>46357</v>
      </c>
      <c r="C1549">
        <v>12102.56</v>
      </c>
    </row>
    <row r="1550" spans="1:3" ht="15" hidden="1" customHeight="1" x14ac:dyDescent="0.3">
      <c r="A1550" t="s">
        <v>149</v>
      </c>
      <c r="B1550" s="2">
        <v>45292</v>
      </c>
      <c r="C1550">
        <v>8591.0249999999996</v>
      </c>
    </row>
    <row r="1551" spans="1:3" ht="15" hidden="1" customHeight="1" x14ac:dyDescent="0.3">
      <c r="A1551" t="s">
        <v>149</v>
      </c>
      <c r="B1551" s="2">
        <v>45323</v>
      </c>
      <c r="C1551">
        <v>7466.4750000000004</v>
      </c>
    </row>
    <row r="1552" spans="1:3" ht="15" hidden="1" customHeight="1" x14ac:dyDescent="0.3">
      <c r="A1552" t="s">
        <v>149</v>
      </c>
      <c r="B1552" s="2">
        <v>45352</v>
      </c>
      <c r="C1552">
        <v>7931.85</v>
      </c>
    </row>
    <row r="1553" spans="1:3" ht="15" hidden="1" customHeight="1" x14ac:dyDescent="0.3">
      <c r="A1553" t="s">
        <v>149</v>
      </c>
      <c r="B1553" s="2">
        <v>45383</v>
      </c>
      <c r="C1553">
        <v>6987.15</v>
      </c>
    </row>
    <row r="1554" spans="1:3" ht="15" hidden="1" customHeight="1" x14ac:dyDescent="0.3">
      <c r="A1554" t="s">
        <v>149</v>
      </c>
      <c r="B1554" s="2">
        <v>45413</v>
      </c>
      <c r="C1554">
        <v>6858.5249999999996</v>
      </c>
    </row>
    <row r="1555" spans="1:3" ht="15" hidden="1" customHeight="1" x14ac:dyDescent="0.3">
      <c r="A1555" t="s">
        <v>149</v>
      </c>
      <c r="B1555" s="2">
        <v>45444</v>
      </c>
      <c r="C1555">
        <v>6375.45</v>
      </c>
    </row>
    <row r="1556" spans="1:3" ht="15" hidden="1" customHeight="1" x14ac:dyDescent="0.3">
      <c r="A1556" t="s">
        <v>149</v>
      </c>
      <c r="B1556" s="2">
        <v>45474</v>
      </c>
      <c r="C1556">
        <v>6946.7250000000004</v>
      </c>
    </row>
    <row r="1557" spans="1:3" ht="15" hidden="1" customHeight="1" x14ac:dyDescent="0.3">
      <c r="A1557" t="s">
        <v>149</v>
      </c>
      <c r="B1557" s="2">
        <v>45505</v>
      </c>
      <c r="C1557">
        <v>7852.65</v>
      </c>
    </row>
    <row r="1558" spans="1:3" ht="15" hidden="1" customHeight="1" x14ac:dyDescent="0.3">
      <c r="A1558" t="s">
        <v>149</v>
      </c>
      <c r="B1558" s="2">
        <v>45536</v>
      </c>
      <c r="C1558">
        <v>8347.0499999999993</v>
      </c>
    </row>
    <row r="1559" spans="1:3" ht="15" hidden="1" customHeight="1" x14ac:dyDescent="0.3">
      <c r="A1559" t="s">
        <v>149</v>
      </c>
      <c r="B1559" s="2">
        <v>45566</v>
      </c>
      <c r="C1559">
        <v>8786.625</v>
      </c>
    </row>
    <row r="1560" spans="1:3" ht="15" hidden="1" customHeight="1" x14ac:dyDescent="0.3">
      <c r="A1560" t="s">
        <v>149</v>
      </c>
      <c r="B1560" s="2">
        <v>45597</v>
      </c>
      <c r="C1560">
        <v>8551.7999999999993</v>
      </c>
    </row>
    <row r="1561" spans="1:3" ht="15" hidden="1" customHeight="1" x14ac:dyDescent="0.3">
      <c r="A1561" t="s">
        <v>149</v>
      </c>
      <c r="B1561" s="2">
        <v>45627</v>
      </c>
      <c r="C1561">
        <v>9109.0499999999993</v>
      </c>
    </row>
    <row r="1562" spans="1:3" ht="15" hidden="1" customHeight="1" x14ac:dyDescent="0.3">
      <c r="A1562" t="s">
        <v>149</v>
      </c>
      <c r="B1562" s="2">
        <v>45658</v>
      </c>
      <c r="C1562">
        <v>8591.0249999999996</v>
      </c>
    </row>
    <row r="1563" spans="1:3" ht="15" hidden="1" customHeight="1" x14ac:dyDescent="0.3">
      <c r="A1563" t="s">
        <v>149</v>
      </c>
      <c r="B1563" s="2">
        <v>45689</v>
      </c>
      <c r="C1563">
        <v>7466.4750000000004</v>
      </c>
    </row>
    <row r="1564" spans="1:3" ht="15" hidden="1" customHeight="1" x14ac:dyDescent="0.3">
      <c r="A1564" t="s">
        <v>149</v>
      </c>
      <c r="B1564" s="2">
        <v>45717</v>
      </c>
      <c r="C1564">
        <v>7931.85</v>
      </c>
    </row>
    <row r="1565" spans="1:3" ht="15" hidden="1" customHeight="1" x14ac:dyDescent="0.3">
      <c r="A1565" t="s">
        <v>149</v>
      </c>
      <c r="B1565" s="2">
        <v>45748</v>
      </c>
      <c r="C1565">
        <v>6987.15</v>
      </c>
    </row>
    <row r="1566" spans="1:3" ht="15" hidden="1" customHeight="1" x14ac:dyDescent="0.3">
      <c r="A1566" t="s">
        <v>149</v>
      </c>
      <c r="B1566" s="2">
        <v>45778</v>
      </c>
      <c r="C1566">
        <v>6858.5249999999996</v>
      </c>
    </row>
    <row r="1567" spans="1:3" ht="15" hidden="1" customHeight="1" x14ac:dyDescent="0.3">
      <c r="A1567" t="s">
        <v>149</v>
      </c>
      <c r="B1567" s="2">
        <v>45809</v>
      </c>
      <c r="C1567">
        <v>6375.45</v>
      </c>
    </row>
    <row r="1568" spans="1:3" ht="15" hidden="1" customHeight="1" x14ac:dyDescent="0.3">
      <c r="A1568" t="s">
        <v>149</v>
      </c>
      <c r="B1568" s="2">
        <v>45839</v>
      </c>
      <c r="C1568">
        <v>6946.7250000000004</v>
      </c>
    </row>
    <row r="1569" spans="1:3" ht="15" hidden="1" customHeight="1" x14ac:dyDescent="0.3">
      <c r="A1569" t="s">
        <v>149</v>
      </c>
      <c r="B1569" s="2">
        <v>45870</v>
      </c>
      <c r="C1569">
        <v>7852.65</v>
      </c>
    </row>
    <row r="1570" spans="1:3" ht="15" hidden="1" customHeight="1" x14ac:dyDescent="0.3">
      <c r="A1570" t="s">
        <v>149</v>
      </c>
      <c r="B1570" s="2">
        <v>45901</v>
      </c>
      <c r="C1570">
        <v>8347.0499999999993</v>
      </c>
    </row>
    <row r="1571" spans="1:3" ht="15" hidden="1" customHeight="1" x14ac:dyDescent="0.3">
      <c r="A1571" t="s">
        <v>149</v>
      </c>
      <c r="B1571" s="2">
        <v>45931</v>
      </c>
      <c r="C1571">
        <v>8786.625</v>
      </c>
    </row>
    <row r="1572" spans="1:3" ht="15" hidden="1" customHeight="1" x14ac:dyDescent="0.3">
      <c r="A1572" t="s">
        <v>149</v>
      </c>
      <c r="B1572" s="2">
        <v>45962</v>
      </c>
      <c r="C1572">
        <v>8551.7999999999993</v>
      </c>
    </row>
    <row r="1573" spans="1:3" ht="15" hidden="1" customHeight="1" x14ac:dyDescent="0.3">
      <c r="A1573" t="s">
        <v>149</v>
      </c>
      <c r="B1573" s="2">
        <v>45992</v>
      </c>
      <c r="C1573">
        <v>9109.0499999999993</v>
      </c>
    </row>
    <row r="1574" spans="1:3" ht="15" hidden="1" customHeight="1" x14ac:dyDescent="0.3">
      <c r="A1574" t="s">
        <v>149</v>
      </c>
      <c r="B1574" s="2">
        <v>46023</v>
      </c>
      <c r="C1574">
        <v>8591.0249999999996</v>
      </c>
    </row>
    <row r="1575" spans="1:3" ht="15" hidden="1" customHeight="1" x14ac:dyDescent="0.3">
      <c r="A1575" t="s">
        <v>149</v>
      </c>
      <c r="B1575" s="2">
        <v>46054</v>
      </c>
      <c r="C1575">
        <v>7466.4750000000004</v>
      </c>
    </row>
    <row r="1576" spans="1:3" ht="15" hidden="1" customHeight="1" x14ac:dyDescent="0.3">
      <c r="A1576" t="s">
        <v>149</v>
      </c>
      <c r="B1576" s="2">
        <v>46082</v>
      </c>
      <c r="C1576">
        <v>7931.85</v>
      </c>
    </row>
    <row r="1577" spans="1:3" ht="15" hidden="1" customHeight="1" x14ac:dyDescent="0.3">
      <c r="A1577" t="s">
        <v>149</v>
      </c>
      <c r="B1577" s="2">
        <v>46113</v>
      </c>
      <c r="C1577">
        <v>6987.15</v>
      </c>
    </row>
    <row r="1578" spans="1:3" ht="15" hidden="1" customHeight="1" x14ac:dyDescent="0.3">
      <c r="A1578" t="s">
        <v>149</v>
      </c>
      <c r="B1578" s="2">
        <v>46143</v>
      </c>
      <c r="C1578">
        <v>6858.5249999999996</v>
      </c>
    </row>
    <row r="1579" spans="1:3" ht="15" hidden="1" customHeight="1" x14ac:dyDescent="0.3">
      <c r="A1579" t="s">
        <v>149</v>
      </c>
      <c r="B1579" s="2">
        <v>46174</v>
      </c>
      <c r="C1579">
        <v>6375.45</v>
      </c>
    </row>
    <row r="1580" spans="1:3" ht="15" customHeight="1" x14ac:dyDescent="0.3">
      <c r="A1580" t="s">
        <v>149</v>
      </c>
      <c r="B1580" s="2">
        <v>46204</v>
      </c>
      <c r="C1580">
        <v>6946.7250000000004</v>
      </c>
    </row>
    <row r="1581" spans="1:3" ht="15" hidden="1" customHeight="1" x14ac:dyDescent="0.3">
      <c r="A1581" t="s">
        <v>149</v>
      </c>
      <c r="B1581" s="2">
        <v>46235</v>
      </c>
      <c r="C1581">
        <v>7852.65</v>
      </c>
    </row>
    <row r="1582" spans="1:3" ht="15" hidden="1" customHeight="1" x14ac:dyDescent="0.3">
      <c r="A1582" t="s">
        <v>149</v>
      </c>
      <c r="B1582" s="2">
        <v>46266</v>
      </c>
      <c r="C1582">
        <v>8347.0499999999993</v>
      </c>
    </row>
    <row r="1583" spans="1:3" ht="15" hidden="1" customHeight="1" x14ac:dyDescent="0.3">
      <c r="A1583" t="s">
        <v>149</v>
      </c>
      <c r="B1583" s="2">
        <v>46296</v>
      </c>
      <c r="C1583">
        <v>8786.625</v>
      </c>
    </row>
    <row r="1584" spans="1:3" ht="15" hidden="1" customHeight="1" x14ac:dyDescent="0.3">
      <c r="A1584" t="s">
        <v>149</v>
      </c>
      <c r="B1584" s="2">
        <v>46327</v>
      </c>
      <c r="C1584">
        <v>8551.7999999999993</v>
      </c>
    </row>
    <row r="1585" spans="1:3" ht="15" hidden="1" customHeight="1" x14ac:dyDescent="0.3">
      <c r="A1585" t="s">
        <v>149</v>
      </c>
      <c r="B1585" s="2">
        <v>46357</v>
      </c>
      <c r="C1585">
        <v>9109.0499999999993</v>
      </c>
    </row>
    <row r="1586" spans="1:3" ht="15" hidden="1" customHeight="1" x14ac:dyDescent="0.3">
      <c r="A1586" t="s">
        <v>155</v>
      </c>
      <c r="B1586" s="2">
        <v>45292</v>
      </c>
      <c r="C1586">
        <v>4894.29</v>
      </c>
    </row>
    <row r="1587" spans="1:3" ht="15" hidden="1" customHeight="1" x14ac:dyDescent="0.3">
      <c r="A1587" t="s">
        <v>155</v>
      </c>
      <c r="B1587" s="2">
        <v>45323</v>
      </c>
      <c r="C1587">
        <v>4527.45</v>
      </c>
    </row>
    <row r="1588" spans="1:3" ht="15" hidden="1" customHeight="1" x14ac:dyDescent="0.3">
      <c r="A1588" t="s">
        <v>155</v>
      </c>
      <c r="B1588" s="2">
        <v>45352</v>
      </c>
      <c r="C1588">
        <v>4754.25</v>
      </c>
    </row>
    <row r="1589" spans="1:3" ht="15" hidden="1" customHeight="1" x14ac:dyDescent="0.3">
      <c r="A1589" t="s">
        <v>155</v>
      </c>
      <c r="B1589" s="2">
        <v>45383</v>
      </c>
      <c r="C1589">
        <v>4171.59</v>
      </c>
    </row>
    <row r="1590" spans="1:3" ht="15" hidden="1" customHeight="1" x14ac:dyDescent="0.3">
      <c r="A1590" t="s">
        <v>155</v>
      </c>
      <c r="B1590" s="2">
        <v>45413</v>
      </c>
      <c r="C1590">
        <v>4117.5</v>
      </c>
    </row>
    <row r="1591" spans="1:3" ht="15" hidden="1" customHeight="1" x14ac:dyDescent="0.3">
      <c r="A1591" t="s">
        <v>155</v>
      </c>
      <c r="B1591" s="2">
        <v>45444</v>
      </c>
      <c r="C1591">
        <v>3729.06</v>
      </c>
    </row>
    <row r="1592" spans="1:3" ht="15" hidden="1" customHeight="1" x14ac:dyDescent="0.3">
      <c r="A1592" t="s">
        <v>155</v>
      </c>
      <c r="B1592" s="2">
        <v>45474</v>
      </c>
      <c r="C1592">
        <v>4105.53</v>
      </c>
    </row>
    <row r="1593" spans="1:3" ht="15" hidden="1" customHeight="1" x14ac:dyDescent="0.3">
      <c r="A1593" t="s">
        <v>155</v>
      </c>
      <c r="B1593" s="2">
        <v>45505</v>
      </c>
      <c r="C1593">
        <v>4624.83</v>
      </c>
    </row>
    <row r="1594" spans="1:3" ht="15" hidden="1" customHeight="1" x14ac:dyDescent="0.3">
      <c r="A1594" t="s">
        <v>155</v>
      </c>
      <c r="B1594" s="2">
        <v>45536</v>
      </c>
      <c r="C1594">
        <v>4797</v>
      </c>
    </row>
    <row r="1595" spans="1:3" ht="15" hidden="1" customHeight="1" x14ac:dyDescent="0.3">
      <c r="A1595" t="s">
        <v>155</v>
      </c>
      <c r="B1595" s="2">
        <v>45566</v>
      </c>
      <c r="C1595">
        <v>5068.9799999999996</v>
      </c>
    </row>
    <row r="1596" spans="1:3" ht="15" hidden="1" customHeight="1" x14ac:dyDescent="0.3">
      <c r="A1596" t="s">
        <v>155</v>
      </c>
      <c r="B1596" s="2">
        <v>45597</v>
      </c>
      <c r="C1596">
        <v>4862.88</v>
      </c>
    </row>
    <row r="1597" spans="1:3" ht="15" hidden="1" customHeight="1" x14ac:dyDescent="0.3">
      <c r="A1597" t="s">
        <v>155</v>
      </c>
      <c r="B1597" s="2">
        <v>45627</v>
      </c>
      <c r="C1597">
        <v>5082.3900000000003</v>
      </c>
    </row>
    <row r="1598" spans="1:3" ht="15" hidden="1" customHeight="1" x14ac:dyDescent="0.3">
      <c r="A1598" t="s">
        <v>155</v>
      </c>
      <c r="B1598" s="2">
        <v>45658</v>
      </c>
      <c r="C1598">
        <v>4894.29</v>
      </c>
    </row>
    <row r="1599" spans="1:3" ht="15" hidden="1" customHeight="1" x14ac:dyDescent="0.3">
      <c r="A1599" t="s">
        <v>155</v>
      </c>
      <c r="B1599" s="2">
        <v>45689</v>
      </c>
      <c r="C1599">
        <v>4527.45</v>
      </c>
    </row>
    <row r="1600" spans="1:3" ht="15" hidden="1" customHeight="1" x14ac:dyDescent="0.3">
      <c r="A1600" t="s">
        <v>155</v>
      </c>
      <c r="B1600" s="2">
        <v>45717</v>
      </c>
      <c r="C1600">
        <v>4754.25</v>
      </c>
    </row>
    <row r="1601" spans="1:3" ht="15" hidden="1" customHeight="1" x14ac:dyDescent="0.3">
      <c r="A1601" t="s">
        <v>155</v>
      </c>
      <c r="B1601" s="2">
        <v>45748</v>
      </c>
      <c r="C1601">
        <v>4171.59</v>
      </c>
    </row>
    <row r="1602" spans="1:3" ht="15" hidden="1" customHeight="1" x14ac:dyDescent="0.3">
      <c r="A1602" t="s">
        <v>155</v>
      </c>
      <c r="B1602" s="2">
        <v>45778</v>
      </c>
      <c r="C1602">
        <v>4117.5</v>
      </c>
    </row>
    <row r="1603" spans="1:3" ht="15" hidden="1" customHeight="1" x14ac:dyDescent="0.3">
      <c r="A1603" t="s">
        <v>155</v>
      </c>
      <c r="B1603" s="2">
        <v>45809</v>
      </c>
      <c r="C1603">
        <v>3729.06</v>
      </c>
    </row>
    <row r="1604" spans="1:3" ht="15" hidden="1" customHeight="1" x14ac:dyDescent="0.3">
      <c r="A1604" t="s">
        <v>155</v>
      </c>
      <c r="B1604" s="2">
        <v>45839</v>
      </c>
      <c r="C1604">
        <v>4105.53</v>
      </c>
    </row>
    <row r="1605" spans="1:3" ht="15" hidden="1" customHeight="1" x14ac:dyDescent="0.3">
      <c r="A1605" t="s">
        <v>155</v>
      </c>
      <c r="B1605" s="2">
        <v>45870</v>
      </c>
      <c r="C1605">
        <v>4624.83</v>
      </c>
    </row>
    <row r="1606" spans="1:3" ht="15" hidden="1" customHeight="1" x14ac:dyDescent="0.3">
      <c r="A1606" t="s">
        <v>155</v>
      </c>
      <c r="B1606" s="2">
        <v>45901</v>
      </c>
      <c r="C1606">
        <v>4797</v>
      </c>
    </row>
    <row r="1607" spans="1:3" ht="15" hidden="1" customHeight="1" x14ac:dyDescent="0.3">
      <c r="A1607" t="s">
        <v>155</v>
      </c>
      <c r="B1607" s="2">
        <v>45931</v>
      </c>
      <c r="C1607">
        <v>5068.9799999999996</v>
      </c>
    </row>
    <row r="1608" spans="1:3" ht="15" hidden="1" customHeight="1" x14ac:dyDescent="0.3">
      <c r="A1608" t="s">
        <v>155</v>
      </c>
      <c r="B1608" s="2">
        <v>45962</v>
      </c>
      <c r="C1608">
        <v>4862.88</v>
      </c>
    </row>
    <row r="1609" spans="1:3" ht="15" hidden="1" customHeight="1" x14ac:dyDescent="0.3">
      <c r="A1609" t="s">
        <v>155</v>
      </c>
      <c r="B1609" s="2">
        <v>45992</v>
      </c>
      <c r="C1609">
        <v>5082.3900000000003</v>
      </c>
    </row>
    <row r="1610" spans="1:3" ht="15" hidden="1" customHeight="1" x14ac:dyDescent="0.3">
      <c r="A1610" t="s">
        <v>155</v>
      </c>
      <c r="B1610" s="2">
        <v>46023</v>
      </c>
      <c r="C1610">
        <v>4894.29</v>
      </c>
    </row>
    <row r="1611" spans="1:3" ht="15" hidden="1" customHeight="1" x14ac:dyDescent="0.3">
      <c r="A1611" t="s">
        <v>155</v>
      </c>
      <c r="B1611" s="2">
        <v>46054</v>
      </c>
      <c r="C1611">
        <v>4527.45</v>
      </c>
    </row>
    <row r="1612" spans="1:3" ht="15" hidden="1" customHeight="1" x14ac:dyDescent="0.3">
      <c r="A1612" t="s">
        <v>155</v>
      </c>
      <c r="B1612" s="2">
        <v>46082</v>
      </c>
      <c r="C1612">
        <v>4754.25</v>
      </c>
    </row>
    <row r="1613" spans="1:3" ht="15" hidden="1" customHeight="1" x14ac:dyDescent="0.3">
      <c r="A1613" t="s">
        <v>155</v>
      </c>
      <c r="B1613" s="2">
        <v>46113</v>
      </c>
      <c r="C1613">
        <v>4171.59</v>
      </c>
    </row>
    <row r="1614" spans="1:3" ht="15" hidden="1" customHeight="1" x14ac:dyDescent="0.3">
      <c r="A1614" t="s">
        <v>155</v>
      </c>
      <c r="B1614" s="2">
        <v>46143</v>
      </c>
      <c r="C1614">
        <v>4117.5</v>
      </c>
    </row>
    <row r="1615" spans="1:3" ht="15" hidden="1" customHeight="1" x14ac:dyDescent="0.3">
      <c r="A1615" t="s">
        <v>155</v>
      </c>
      <c r="B1615" s="2">
        <v>46174</v>
      </c>
      <c r="C1615">
        <v>3729.06</v>
      </c>
    </row>
    <row r="1616" spans="1:3" ht="15" customHeight="1" x14ac:dyDescent="0.3">
      <c r="A1616" t="s">
        <v>155</v>
      </c>
      <c r="B1616" s="2">
        <v>46204</v>
      </c>
      <c r="C1616">
        <v>4105.53</v>
      </c>
    </row>
    <row r="1617" spans="1:3" ht="15" hidden="1" customHeight="1" x14ac:dyDescent="0.3">
      <c r="A1617" t="s">
        <v>155</v>
      </c>
      <c r="B1617" s="2">
        <v>46235</v>
      </c>
      <c r="C1617">
        <v>4624.83</v>
      </c>
    </row>
    <row r="1618" spans="1:3" ht="15" hidden="1" customHeight="1" x14ac:dyDescent="0.3">
      <c r="A1618" t="s">
        <v>155</v>
      </c>
      <c r="B1618" s="2">
        <v>46266</v>
      </c>
      <c r="C1618">
        <v>4797</v>
      </c>
    </row>
    <row r="1619" spans="1:3" ht="15" hidden="1" customHeight="1" x14ac:dyDescent="0.3">
      <c r="A1619" t="s">
        <v>155</v>
      </c>
      <c r="B1619" s="2">
        <v>46296</v>
      </c>
      <c r="C1619">
        <v>5068.9799999999996</v>
      </c>
    </row>
    <row r="1620" spans="1:3" ht="15" hidden="1" customHeight="1" x14ac:dyDescent="0.3">
      <c r="A1620" t="s">
        <v>155</v>
      </c>
      <c r="B1620" s="2">
        <v>46327</v>
      </c>
      <c r="C1620">
        <v>4862.88</v>
      </c>
    </row>
    <row r="1621" spans="1:3" ht="15" hidden="1" customHeight="1" x14ac:dyDescent="0.3">
      <c r="A1621" t="s">
        <v>155</v>
      </c>
      <c r="B1621" s="2">
        <v>46357</v>
      </c>
      <c r="C1621">
        <v>5082.3900000000003</v>
      </c>
    </row>
    <row r="1622" spans="1:3" ht="15" hidden="1" customHeight="1" x14ac:dyDescent="0.3">
      <c r="A1622" t="s">
        <v>157</v>
      </c>
      <c r="B1622" s="2">
        <v>45292</v>
      </c>
      <c r="C1622">
        <v>5902.47</v>
      </c>
    </row>
    <row r="1623" spans="1:3" ht="15" hidden="1" customHeight="1" x14ac:dyDescent="0.3">
      <c r="A1623" t="s">
        <v>157</v>
      </c>
      <c r="B1623" s="2">
        <v>45323</v>
      </c>
      <c r="C1623">
        <v>5299.2</v>
      </c>
    </row>
    <row r="1624" spans="1:3" ht="15" hidden="1" customHeight="1" x14ac:dyDescent="0.3">
      <c r="A1624" t="s">
        <v>157</v>
      </c>
      <c r="B1624" s="2">
        <v>45352</v>
      </c>
      <c r="C1624">
        <v>5701.86</v>
      </c>
    </row>
    <row r="1625" spans="1:3" ht="15" hidden="1" customHeight="1" x14ac:dyDescent="0.3">
      <c r="A1625" t="s">
        <v>157</v>
      </c>
      <c r="B1625" s="2">
        <v>45383</v>
      </c>
      <c r="C1625">
        <v>5085.8999999999996</v>
      </c>
    </row>
    <row r="1626" spans="1:3" ht="15" hidden="1" customHeight="1" x14ac:dyDescent="0.3">
      <c r="A1626" t="s">
        <v>157</v>
      </c>
      <c r="B1626" s="2">
        <v>45413</v>
      </c>
      <c r="C1626">
        <v>5204.6099999999997</v>
      </c>
    </row>
    <row r="1627" spans="1:3" ht="15" hidden="1" customHeight="1" x14ac:dyDescent="0.3">
      <c r="A1627" t="s">
        <v>157</v>
      </c>
      <c r="B1627" s="2">
        <v>45444</v>
      </c>
      <c r="C1627">
        <v>4824.3599999999997</v>
      </c>
    </row>
    <row r="1628" spans="1:3" ht="15" hidden="1" customHeight="1" x14ac:dyDescent="0.3">
      <c r="A1628" t="s">
        <v>157</v>
      </c>
      <c r="B1628" s="2">
        <v>45474</v>
      </c>
      <c r="C1628">
        <v>5303.16</v>
      </c>
    </row>
    <row r="1629" spans="1:3" ht="15" hidden="1" customHeight="1" x14ac:dyDescent="0.3">
      <c r="A1629" t="s">
        <v>157</v>
      </c>
      <c r="B1629" s="2">
        <v>45505</v>
      </c>
      <c r="C1629">
        <v>5833.08</v>
      </c>
    </row>
    <row r="1630" spans="1:3" ht="15" hidden="1" customHeight="1" x14ac:dyDescent="0.3">
      <c r="A1630" t="s">
        <v>157</v>
      </c>
      <c r="B1630" s="2">
        <v>45536</v>
      </c>
      <c r="C1630">
        <v>6021.81</v>
      </c>
    </row>
    <row r="1631" spans="1:3" ht="15" hidden="1" customHeight="1" x14ac:dyDescent="0.3">
      <c r="A1631" t="s">
        <v>157</v>
      </c>
      <c r="B1631" s="2">
        <v>45566</v>
      </c>
      <c r="C1631">
        <v>6128.91</v>
      </c>
    </row>
    <row r="1632" spans="1:3" ht="15" hidden="1" customHeight="1" x14ac:dyDescent="0.3">
      <c r="A1632" t="s">
        <v>157</v>
      </c>
      <c r="B1632" s="2">
        <v>45597</v>
      </c>
      <c r="C1632">
        <v>5928.57</v>
      </c>
    </row>
    <row r="1633" spans="1:3" ht="15" hidden="1" customHeight="1" x14ac:dyDescent="0.3">
      <c r="A1633" t="s">
        <v>157</v>
      </c>
      <c r="B1633" s="2">
        <v>45627</v>
      </c>
      <c r="C1633">
        <v>6186.69</v>
      </c>
    </row>
    <row r="1634" spans="1:3" ht="15" hidden="1" customHeight="1" x14ac:dyDescent="0.3">
      <c r="A1634" t="s">
        <v>157</v>
      </c>
      <c r="B1634" s="2">
        <v>45658</v>
      </c>
      <c r="C1634">
        <v>5902.47</v>
      </c>
    </row>
    <row r="1635" spans="1:3" ht="15" hidden="1" customHeight="1" x14ac:dyDescent="0.3">
      <c r="A1635" t="s">
        <v>157</v>
      </c>
      <c r="B1635" s="2">
        <v>45689</v>
      </c>
      <c r="C1635">
        <v>5299.2</v>
      </c>
    </row>
    <row r="1636" spans="1:3" ht="15" hidden="1" customHeight="1" x14ac:dyDescent="0.3">
      <c r="A1636" t="s">
        <v>157</v>
      </c>
      <c r="B1636" s="2">
        <v>45717</v>
      </c>
      <c r="C1636">
        <v>5701.86</v>
      </c>
    </row>
    <row r="1637" spans="1:3" ht="15" hidden="1" customHeight="1" x14ac:dyDescent="0.3">
      <c r="A1637" t="s">
        <v>157</v>
      </c>
      <c r="B1637" s="2">
        <v>45748</v>
      </c>
      <c r="C1637">
        <v>5085.8999999999996</v>
      </c>
    </row>
    <row r="1638" spans="1:3" ht="15" hidden="1" customHeight="1" x14ac:dyDescent="0.3">
      <c r="A1638" t="s">
        <v>157</v>
      </c>
      <c r="B1638" s="2">
        <v>45778</v>
      </c>
      <c r="C1638">
        <v>5204.6099999999997</v>
      </c>
    </row>
    <row r="1639" spans="1:3" ht="15" hidden="1" customHeight="1" x14ac:dyDescent="0.3">
      <c r="A1639" t="s">
        <v>157</v>
      </c>
      <c r="B1639" s="2">
        <v>45809</v>
      </c>
      <c r="C1639">
        <v>4824.3599999999997</v>
      </c>
    </row>
    <row r="1640" spans="1:3" ht="15" hidden="1" customHeight="1" x14ac:dyDescent="0.3">
      <c r="A1640" t="s">
        <v>157</v>
      </c>
      <c r="B1640" s="2">
        <v>45839</v>
      </c>
      <c r="C1640">
        <v>5303.16</v>
      </c>
    </row>
    <row r="1641" spans="1:3" ht="15" hidden="1" customHeight="1" x14ac:dyDescent="0.3">
      <c r="A1641" t="s">
        <v>157</v>
      </c>
      <c r="B1641" s="2">
        <v>45870</v>
      </c>
      <c r="C1641">
        <v>5833.08</v>
      </c>
    </row>
    <row r="1642" spans="1:3" ht="15" hidden="1" customHeight="1" x14ac:dyDescent="0.3">
      <c r="A1642" t="s">
        <v>157</v>
      </c>
      <c r="B1642" s="2">
        <v>45901</v>
      </c>
      <c r="C1642">
        <v>6021.81</v>
      </c>
    </row>
    <row r="1643" spans="1:3" ht="15" hidden="1" customHeight="1" x14ac:dyDescent="0.3">
      <c r="A1643" t="s">
        <v>157</v>
      </c>
      <c r="B1643" s="2">
        <v>45931</v>
      </c>
      <c r="C1643">
        <v>6128.91</v>
      </c>
    </row>
    <row r="1644" spans="1:3" ht="15" hidden="1" customHeight="1" x14ac:dyDescent="0.3">
      <c r="A1644" t="s">
        <v>157</v>
      </c>
      <c r="B1644" s="2">
        <v>45962</v>
      </c>
      <c r="C1644">
        <v>5928.57</v>
      </c>
    </row>
    <row r="1645" spans="1:3" ht="15" hidden="1" customHeight="1" x14ac:dyDescent="0.3">
      <c r="A1645" t="s">
        <v>157</v>
      </c>
      <c r="B1645" s="2">
        <v>45992</v>
      </c>
      <c r="C1645">
        <v>6186.69</v>
      </c>
    </row>
    <row r="1646" spans="1:3" ht="15" hidden="1" customHeight="1" x14ac:dyDescent="0.3">
      <c r="A1646" t="s">
        <v>157</v>
      </c>
      <c r="B1646" s="2">
        <v>46023</v>
      </c>
      <c r="C1646">
        <v>5902.47</v>
      </c>
    </row>
    <row r="1647" spans="1:3" ht="15" hidden="1" customHeight="1" x14ac:dyDescent="0.3">
      <c r="A1647" t="s">
        <v>157</v>
      </c>
      <c r="B1647" s="2">
        <v>46054</v>
      </c>
      <c r="C1647">
        <v>5299.2</v>
      </c>
    </row>
    <row r="1648" spans="1:3" ht="15" hidden="1" customHeight="1" x14ac:dyDescent="0.3">
      <c r="A1648" t="s">
        <v>157</v>
      </c>
      <c r="B1648" s="2">
        <v>46082</v>
      </c>
      <c r="C1648">
        <v>5701.86</v>
      </c>
    </row>
    <row r="1649" spans="1:3" ht="15" hidden="1" customHeight="1" x14ac:dyDescent="0.3">
      <c r="A1649" t="s">
        <v>157</v>
      </c>
      <c r="B1649" s="2">
        <v>46113</v>
      </c>
      <c r="C1649">
        <v>5085.8999999999996</v>
      </c>
    </row>
    <row r="1650" spans="1:3" ht="15" hidden="1" customHeight="1" x14ac:dyDescent="0.3">
      <c r="A1650" t="s">
        <v>157</v>
      </c>
      <c r="B1650" s="2">
        <v>46143</v>
      </c>
      <c r="C1650">
        <v>5204.6099999999997</v>
      </c>
    </row>
    <row r="1651" spans="1:3" ht="15" hidden="1" customHeight="1" x14ac:dyDescent="0.3">
      <c r="A1651" t="s">
        <v>157</v>
      </c>
      <c r="B1651" s="2">
        <v>46174</v>
      </c>
      <c r="C1651">
        <v>4824.3599999999997</v>
      </c>
    </row>
    <row r="1652" spans="1:3" ht="15" customHeight="1" x14ac:dyDescent="0.3">
      <c r="A1652" t="s">
        <v>157</v>
      </c>
      <c r="B1652" s="2">
        <v>46204</v>
      </c>
      <c r="C1652">
        <v>5303.16</v>
      </c>
    </row>
    <row r="1653" spans="1:3" ht="15" hidden="1" customHeight="1" x14ac:dyDescent="0.3">
      <c r="A1653" t="s">
        <v>157</v>
      </c>
      <c r="B1653" s="2">
        <v>46235</v>
      </c>
      <c r="C1653">
        <v>5833.08</v>
      </c>
    </row>
    <row r="1654" spans="1:3" ht="15" hidden="1" customHeight="1" x14ac:dyDescent="0.3">
      <c r="A1654" t="s">
        <v>157</v>
      </c>
      <c r="B1654" s="2">
        <v>46266</v>
      </c>
      <c r="C1654">
        <v>6021.81</v>
      </c>
    </row>
    <row r="1655" spans="1:3" ht="15" hidden="1" customHeight="1" x14ac:dyDescent="0.3">
      <c r="A1655" t="s">
        <v>157</v>
      </c>
      <c r="B1655" s="2">
        <v>46296</v>
      </c>
      <c r="C1655">
        <v>6128.91</v>
      </c>
    </row>
    <row r="1656" spans="1:3" ht="15" hidden="1" customHeight="1" x14ac:dyDescent="0.3">
      <c r="A1656" t="s">
        <v>157</v>
      </c>
      <c r="B1656" s="2">
        <v>46327</v>
      </c>
      <c r="C1656">
        <v>5928.57</v>
      </c>
    </row>
    <row r="1657" spans="1:3" ht="15" hidden="1" customHeight="1" x14ac:dyDescent="0.3">
      <c r="A1657" t="s">
        <v>157</v>
      </c>
      <c r="B1657" s="2">
        <v>46357</v>
      </c>
      <c r="C1657">
        <v>6186.69</v>
      </c>
    </row>
    <row r="1658" spans="1:3" ht="15" hidden="1" customHeight="1" x14ac:dyDescent="0.3">
      <c r="A1658" t="s">
        <v>160</v>
      </c>
      <c r="B1658" s="2">
        <v>45292</v>
      </c>
      <c r="C1658">
        <v>17099.45</v>
      </c>
    </row>
    <row r="1659" spans="1:3" ht="15" hidden="1" customHeight="1" x14ac:dyDescent="0.3">
      <c r="A1659" t="s">
        <v>160</v>
      </c>
      <c r="B1659" s="2">
        <v>45323</v>
      </c>
      <c r="C1659">
        <v>15031.4</v>
      </c>
    </row>
    <row r="1660" spans="1:3" ht="15" hidden="1" customHeight="1" x14ac:dyDescent="0.3">
      <c r="A1660" t="s">
        <v>160</v>
      </c>
      <c r="B1660" s="2">
        <v>45352</v>
      </c>
      <c r="C1660">
        <v>16289.4</v>
      </c>
    </row>
    <row r="1661" spans="1:3" ht="15" hidden="1" customHeight="1" x14ac:dyDescent="0.3">
      <c r="A1661" t="s">
        <v>160</v>
      </c>
      <c r="B1661" s="2">
        <v>45383</v>
      </c>
      <c r="C1661">
        <v>14250.25</v>
      </c>
    </row>
    <row r="1662" spans="1:3" ht="15" hidden="1" customHeight="1" x14ac:dyDescent="0.3">
      <c r="A1662" t="s">
        <v>160</v>
      </c>
      <c r="B1662" s="2">
        <v>45413</v>
      </c>
      <c r="C1662">
        <v>14783.2</v>
      </c>
    </row>
    <row r="1663" spans="1:3" ht="15" hidden="1" customHeight="1" x14ac:dyDescent="0.3">
      <c r="A1663" t="s">
        <v>160</v>
      </c>
      <c r="B1663" s="2">
        <v>45444</v>
      </c>
      <c r="C1663">
        <v>13871.15</v>
      </c>
    </row>
    <row r="1664" spans="1:3" ht="15" hidden="1" customHeight="1" x14ac:dyDescent="0.3">
      <c r="A1664" t="s">
        <v>160</v>
      </c>
      <c r="B1664" s="2">
        <v>45474</v>
      </c>
      <c r="C1664">
        <v>15110.45</v>
      </c>
    </row>
    <row r="1665" spans="1:3" ht="15" hidden="1" customHeight="1" x14ac:dyDescent="0.3">
      <c r="A1665" t="s">
        <v>160</v>
      </c>
      <c r="B1665" s="2">
        <v>45505</v>
      </c>
      <c r="C1665">
        <v>16763.7</v>
      </c>
    </row>
    <row r="1666" spans="1:3" ht="15" hidden="1" customHeight="1" x14ac:dyDescent="0.3">
      <c r="A1666" t="s">
        <v>160</v>
      </c>
      <c r="B1666" s="2">
        <v>45536</v>
      </c>
      <c r="C1666">
        <v>16935.400000000001</v>
      </c>
    </row>
    <row r="1667" spans="1:3" ht="15" hidden="1" customHeight="1" x14ac:dyDescent="0.3">
      <c r="A1667" t="s">
        <v>160</v>
      </c>
      <c r="B1667" s="2">
        <v>45566</v>
      </c>
      <c r="C1667">
        <v>17583.95</v>
      </c>
    </row>
    <row r="1668" spans="1:3" ht="15" hidden="1" customHeight="1" x14ac:dyDescent="0.3">
      <c r="A1668" t="s">
        <v>160</v>
      </c>
      <c r="B1668" s="2">
        <v>45597</v>
      </c>
      <c r="C1668">
        <v>16597.099999999999</v>
      </c>
    </row>
    <row r="1669" spans="1:3" ht="15" hidden="1" customHeight="1" x14ac:dyDescent="0.3">
      <c r="A1669" t="s">
        <v>160</v>
      </c>
      <c r="B1669" s="2">
        <v>45627</v>
      </c>
      <c r="C1669">
        <v>17731</v>
      </c>
    </row>
    <row r="1670" spans="1:3" ht="15" hidden="1" customHeight="1" x14ac:dyDescent="0.3">
      <c r="A1670" t="s">
        <v>160</v>
      </c>
      <c r="B1670" s="2">
        <v>45658</v>
      </c>
      <c r="C1670">
        <v>17099.45</v>
      </c>
    </row>
    <row r="1671" spans="1:3" ht="15" hidden="1" customHeight="1" x14ac:dyDescent="0.3">
      <c r="A1671" t="s">
        <v>160</v>
      </c>
      <c r="B1671" s="2">
        <v>45689</v>
      </c>
      <c r="C1671">
        <v>15031.4</v>
      </c>
    </row>
    <row r="1672" spans="1:3" ht="15" hidden="1" customHeight="1" x14ac:dyDescent="0.3">
      <c r="A1672" t="s">
        <v>160</v>
      </c>
      <c r="B1672" s="2">
        <v>45717</v>
      </c>
      <c r="C1672">
        <v>16289.4</v>
      </c>
    </row>
    <row r="1673" spans="1:3" ht="15" hidden="1" customHeight="1" x14ac:dyDescent="0.3">
      <c r="A1673" t="s">
        <v>160</v>
      </c>
      <c r="B1673" s="2">
        <v>45748</v>
      </c>
      <c r="C1673">
        <v>14250.25</v>
      </c>
    </row>
    <row r="1674" spans="1:3" ht="15" hidden="1" customHeight="1" x14ac:dyDescent="0.3">
      <c r="A1674" t="s">
        <v>160</v>
      </c>
      <c r="B1674" s="2">
        <v>45778</v>
      </c>
      <c r="C1674">
        <v>14783.2</v>
      </c>
    </row>
    <row r="1675" spans="1:3" ht="15" hidden="1" customHeight="1" x14ac:dyDescent="0.3">
      <c r="A1675" t="s">
        <v>160</v>
      </c>
      <c r="B1675" s="2">
        <v>45809</v>
      </c>
      <c r="C1675">
        <v>13871.15</v>
      </c>
    </row>
    <row r="1676" spans="1:3" ht="15" hidden="1" customHeight="1" x14ac:dyDescent="0.3">
      <c r="A1676" t="s">
        <v>160</v>
      </c>
      <c r="B1676" s="2">
        <v>45839</v>
      </c>
      <c r="C1676">
        <v>15110.45</v>
      </c>
    </row>
    <row r="1677" spans="1:3" ht="15" hidden="1" customHeight="1" x14ac:dyDescent="0.3">
      <c r="A1677" t="s">
        <v>160</v>
      </c>
      <c r="B1677" s="2">
        <v>45870</v>
      </c>
      <c r="C1677">
        <v>16763.7</v>
      </c>
    </row>
    <row r="1678" spans="1:3" ht="15" hidden="1" customHeight="1" x14ac:dyDescent="0.3">
      <c r="A1678" t="s">
        <v>160</v>
      </c>
      <c r="B1678" s="2">
        <v>45901</v>
      </c>
      <c r="C1678">
        <v>16935.400000000001</v>
      </c>
    </row>
    <row r="1679" spans="1:3" ht="15" hidden="1" customHeight="1" x14ac:dyDescent="0.3">
      <c r="A1679" t="s">
        <v>160</v>
      </c>
      <c r="B1679" s="2">
        <v>45931</v>
      </c>
      <c r="C1679">
        <v>17583.95</v>
      </c>
    </row>
    <row r="1680" spans="1:3" ht="15" hidden="1" customHeight="1" x14ac:dyDescent="0.3">
      <c r="A1680" t="s">
        <v>160</v>
      </c>
      <c r="B1680" s="2">
        <v>45962</v>
      </c>
      <c r="C1680">
        <v>16597.099999999999</v>
      </c>
    </row>
    <row r="1681" spans="1:3" ht="15" hidden="1" customHeight="1" x14ac:dyDescent="0.3">
      <c r="A1681" t="s">
        <v>160</v>
      </c>
      <c r="B1681" s="2">
        <v>45992</v>
      </c>
      <c r="C1681">
        <v>17731</v>
      </c>
    </row>
    <row r="1682" spans="1:3" ht="15" hidden="1" customHeight="1" x14ac:dyDescent="0.3">
      <c r="A1682" t="s">
        <v>160</v>
      </c>
      <c r="B1682" s="2">
        <v>46023</v>
      </c>
      <c r="C1682">
        <v>17099.45</v>
      </c>
    </row>
    <row r="1683" spans="1:3" ht="15" hidden="1" customHeight="1" x14ac:dyDescent="0.3">
      <c r="A1683" t="s">
        <v>160</v>
      </c>
      <c r="B1683" s="2">
        <v>46054</v>
      </c>
      <c r="C1683">
        <v>15031.4</v>
      </c>
    </row>
    <row r="1684" spans="1:3" ht="15" hidden="1" customHeight="1" x14ac:dyDescent="0.3">
      <c r="A1684" t="s">
        <v>160</v>
      </c>
      <c r="B1684" s="2">
        <v>46082</v>
      </c>
      <c r="C1684">
        <v>16289.4</v>
      </c>
    </row>
    <row r="1685" spans="1:3" ht="15" hidden="1" customHeight="1" x14ac:dyDescent="0.3">
      <c r="A1685" t="s">
        <v>160</v>
      </c>
      <c r="B1685" s="2">
        <v>46113</v>
      </c>
      <c r="C1685">
        <v>14250.25</v>
      </c>
    </row>
    <row r="1686" spans="1:3" ht="15" hidden="1" customHeight="1" x14ac:dyDescent="0.3">
      <c r="A1686" t="s">
        <v>160</v>
      </c>
      <c r="B1686" s="2">
        <v>46143</v>
      </c>
      <c r="C1686">
        <v>14783.2</v>
      </c>
    </row>
    <row r="1687" spans="1:3" ht="15" hidden="1" customHeight="1" x14ac:dyDescent="0.3">
      <c r="A1687" t="s">
        <v>160</v>
      </c>
      <c r="B1687" s="2">
        <v>46174</v>
      </c>
      <c r="C1687">
        <v>13871.15</v>
      </c>
    </row>
    <row r="1688" spans="1:3" ht="15" customHeight="1" x14ac:dyDescent="0.3">
      <c r="A1688" t="s">
        <v>160</v>
      </c>
      <c r="B1688" s="2">
        <v>46204</v>
      </c>
      <c r="C1688">
        <v>15110.45</v>
      </c>
    </row>
    <row r="1689" spans="1:3" ht="15" hidden="1" customHeight="1" x14ac:dyDescent="0.3">
      <c r="A1689" t="s">
        <v>160</v>
      </c>
      <c r="B1689" s="2">
        <v>46235</v>
      </c>
      <c r="C1689">
        <v>16763.7</v>
      </c>
    </row>
    <row r="1690" spans="1:3" ht="15" hidden="1" customHeight="1" x14ac:dyDescent="0.3">
      <c r="A1690" t="s">
        <v>160</v>
      </c>
      <c r="B1690" s="2">
        <v>46266</v>
      </c>
      <c r="C1690">
        <v>16935.400000000001</v>
      </c>
    </row>
    <row r="1691" spans="1:3" ht="15" hidden="1" customHeight="1" x14ac:dyDescent="0.3">
      <c r="A1691" t="s">
        <v>160</v>
      </c>
      <c r="B1691" s="2">
        <v>46296</v>
      </c>
      <c r="C1691">
        <v>17583.95</v>
      </c>
    </row>
    <row r="1692" spans="1:3" ht="15" hidden="1" customHeight="1" x14ac:dyDescent="0.3">
      <c r="A1692" t="s">
        <v>160</v>
      </c>
      <c r="B1692" s="2">
        <v>46327</v>
      </c>
      <c r="C1692">
        <v>16597.099999999999</v>
      </c>
    </row>
    <row r="1693" spans="1:3" ht="15" hidden="1" customHeight="1" x14ac:dyDescent="0.3">
      <c r="A1693" t="s">
        <v>160</v>
      </c>
      <c r="B1693" s="2">
        <v>46357</v>
      </c>
      <c r="C1693">
        <v>17731</v>
      </c>
    </row>
    <row r="1694" spans="1:3" ht="15" hidden="1" customHeight="1" x14ac:dyDescent="0.3">
      <c r="A1694" t="s">
        <v>244</v>
      </c>
      <c r="B1694" s="2">
        <v>45292</v>
      </c>
      <c r="C1694">
        <v>20178</v>
      </c>
    </row>
    <row r="1695" spans="1:3" ht="15" hidden="1" customHeight="1" x14ac:dyDescent="0.3">
      <c r="A1695" t="s">
        <v>244</v>
      </c>
      <c r="B1695" s="2">
        <v>45323</v>
      </c>
      <c r="C1695">
        <v>17954</v>
      </c>
    </row>
    <row r="1696" spans="1:3" ht="15" hidden="1" customHeight="1" x14ac:dyDescent="0.3">
      <c r="A1696" t="s">
        <v>244</v>
      </c>
      <c r="B1696" s="2">
        <v>45352</v>
      </c>
      <c r="C1696">
        <v>19150</v>
      </c>
    </row>
    <row r="1697" spans="1:3" ht="15" hidden="1" customHeight="1" x14ac:dyDescent="0.3">
      <c r="A1697" t="s">
        <v>244</v>
      </c>
      <c r="B1697" s="2">
        <v>45383</v>
      </c>
      <c r="C1697">
        <v>18060</v>
      </c>
    </row>
    <row r="1698" spans="1:3" ht="15" hidden="1" customHeight="1" x14ac:dyDescent="0.3">
      <c r="A1698" t="s">
        <v>244</v>
      </c>
      <c r="B1698" s="2">
        <v>45413</v>
      </c>
      <c r="C1698">
        <v>18124</v>
      </c>
    </row>
    <row r="1699" spans="1:3" ht="15" hidden="1" customHeight="1" x14ac:dyDescent="0.3">
      <c r="A1699" t="s">
        <v>244</v>
      </c>
      <c r="B1699" s="2">
        <v>45444</v>
      </c>
      <c r="C1699">
        <v>15908</v>
      </c>
    </row>
    <row r="1700" spans="1:3" ht="15" hidden="1" customHeight="1" x14ac:dyDescent="0.3">
      <c r="A1700" t="s">
        <v>244</v>
      </c>
      <c r="B1700" s="2">
        <v>45474</v>
      </c>
      <c r="C1700">
        <v>16827</v>
      </c>
    </row>
    <row r="1701" spans="1:3" ht="15" hidden="1" customHeight="1" x14ac:dyDescent="0.3">
      <c r="A1701" t="s">
        <v>244</v>
      </c>
      <c r="B1701" s="2">
        <v>45505</v>
      </c>
      <c r="C1701">
        <v>19405</v>
      </c>
    </row>
    <row r="1702" spans="1:3" ht="15" hidden="1" customHeight="1" x14ac:dyDescent="0.3">
      <c r="A1702" t="s">
        <v>244</v>
      </c>
      <c r="B1702" s="2">
        <v>45536</v>
      </c>
      <c r="C1702">
        <v>19981</v>
      </c>
    </row>
    <row r="1703" spans="1:3" ht="15" hidden="1" customHeight="1" x14ac:dyDescent="0.3">
      <c r="A1703" t="s">
        <v>244</v>
      </c>
      <c r="B1703" s="2">
        <v>45566</v>
      </c>
      <c r="C1703">
        <v>22401</v>
      </c>
    </row>
    <row r="1704" spans="1:3" ht="15" hidden="1" customHeight="1" x14ac:dyDescent="0.3">
      <c r="A1704" t="s">
        <v>244</v>
      </c>
      <c r="B1704" s="2">
        <v>45597</v>
      </c>
      <c r="C1704">
        <v>20125</v>
      </c>
    </row>
    <row r="1705" spans="1:3" ht="15" hidden="1" customHeight="1" x14ac:dyDescent="0.3">
      <c r="A1705" t="s">
        <v>244</v>
      </c>
      <c r="B1705" s="2">
        <v>45627</v>
      </c>
      <c r="C1705">
        <v>20771</v>
      </c>
    </row>
    <row r="1706" spans="1:3" ht="15" hidden="1" customHeight="1" x14ac:dyDescent="0.3">
      <c r="A1706" t="s">
        <v>244</v>
      </c>
      <c r="B1706" s="2">
        <v>45658</v>
      </c>
      <c r="C1706">
        <v>20178</v>
      </c>
    </row>
    <row r="1707" spans="1:3" ht="15" hidden="1" customHeight="1" x14ac:dyDescent="0.3">
      <c r="A1707" t="s">
        <v>244</v>
      </c>
      <c r="B1707" s="2">
        <v>45689</v>
      </c>
      <c r="C1707">
        <v>17954</v>
      </c>
    </row>
    <row r="1708" spans="1:3" ht="15" hidden="1" customHeight="1" x14ac:dyDescent="0.3">
      <c r="A1708" t="s">
        <v>244</v>
      </c>
      <c r="B1708" s="2">
        <v>45717</v>
      </c>
      <c r="C1708">
        <v>19150</v>
      </c>
    </row>
    <row r="1709" spans="1:3" ht="15" hidden="1" customHeight="1" x14ac:dyDescent="0.3">
      <c r="A1709" t="s">
        <v>244</v>
      </c>
      <c r="B1709" s="2">
        <v>45748</v>
      </c>
      <c r="C1709">
        <v>18060</v>
      </c>
    </row>
    <row r="1710" spans="1:3" ht="15" hidden="1" customHeight="1" x14ac:dyDescent="0.3">
      <c r="A1710" t="s">
        <v>244</v>
      </c>
      <c r="B1710" s="2">
        <v>45778</v>
      </c>
      <c r="C1710">
        <v>18124</v>
      </c>
    </row>
    <row r="1711" spans="1:3" ht="15" hidden="1" customHeight="1" x14ac:dyDescent="0.3">
      <c r="A1711" t="s">
        <v>244</v>
      </c>
      <c r="B1711" s="2">
        <v>45809</v>
      </c>
      <c r="C1711">
        <v>15908</v>
      </c>
    </row>
    <row r="1712" spans="1:3" ht="15" hidden="1" customHeight="1" x14ac:dyDescent="0.3">
      <c r="A1712" t="s">
        <v>244</v>
      </c>
      <c r="B1712" s="2">
        <v>45839</v>
      </c>
      <c r="C1712">
        <v>16827</v>
      </c>
    </row>
    <row r="1713" spans="1:3" ht="15" hidden="1" customHeight="1" x14ac:dyDescent="0.3">
      <c r="A1713" t="s">
        <v>244</v>
      </c>
      <c r="B1713" s="2">
        <v>45870</v>
      </c>
      <c r="C1713">
        <v>19405</v>
      </c>
    </row>
    <row r="1714" spans="1:3" ht="15" hidden="1" customHeight="1" x14ac:dyDescent="0.3">
      <c r="A1714" t="s">
        <v>244</v>
      </c>
      <c r="B1714" s="2">
        <v>45901</v>
      </c>
      <c r="C1714">
        <v>19981</v>
      </c>
    </row>
    <row r="1715" spans="1:3" ht="15" hidden="1" customHeight="1" x14ac:dyDescent="0.3">
      <c r="A1715" t="s">
        <v>244</v>
      </c>
      <c r="B1715" s="2">
        <v>45931</v>
      </c>
      <c r="C1715">
        <v>22401</v>
      </c>
    </row>
    <row r="1716" spans="1:3" ht="15" hidden="1" customHeight="1" x14ac:dyDescent="0.3">
      <c r="A1716" t="s">
        <v>244</v>
      </c>
      <c r="B1716" s="2">
        <v>45962</v>
      </c>
      <c r="C1716">
        <v>20125</v>
      </c>
    </row>
    <row r="1717" spans="1:3" ht="15" hidden="1" customHeight="1" x14ac:dyDescent="0.3">
      <c r="A1717" t="s">
        <v>244</v>
      </c>
      <c r="B1717" s="2">
        <v>45992</v>
      </c>
      <c r="C1717">
        <v>20771</v>
      </c>
    </row>
    <row r="1718" spans="1:3" ht="15" hidden="1" customHeight="1" x14ac:dyDescent="0.3">
      <c r="A1718" t="s">
        <v>244</v>
      </c>
      <c r="B1718" s="2">
        <v>46023</v>
      </c>
      <c r="C1718">
        <v>20178</v>
      </c>
    </row>
    <row r="1719" spans="1:3" ht="15" hidden="1" customHeight="1" x14ac:dyDescent="0.3">
      <c r="A1719" t="s">
        <v>244</v>
      </c>
      <c r="B1719" s="2">
        <v>46054</v>
      </c>
      <c r="C1719">
        <v>17954</v>
      </c>
    </row>
    <row r="1720" spans="1:3" ht="15" hidden="1" customHeight="1" x14ac:dyDescent="0.3">
      <c r="A1720" t="s">
        <v>244</v>
      </c>
      <c r="B1720" s="2">
        <v>46082</v>
      </c>
      <c r="C1720">
        <v>19150</v>
      </c>
    </row>
    <row r="1721" spans="1:3" ht="15" hidden="1" customHeight="1" x14ac:dyDescent="0.3">
      <c r="A1721" t="s">
        <v>244</v>
      </c>
      <c r="B1721" s="2">
        <v>46113</v>
      </c>
      <c r="C1721">
        <v>18060</v>
      </c>
    </row>
    <row r="1722" spans="1:3" ht="15" hidden="1" customHeight="1" x14ac:dyDescent="0.3">
      <c r="A1722" t="s">
        <v>244</v>
      </c>
      <c r="B1722" s="2">
        <v>46143</v>
      </c>
      <c r="C1722">
        <v>18124</v>
      </c>
    </row>
    <row r="1723" spans="1:3" ht="15" hidden="1" customHeight="1" x14ac:dyDescent="0.3">
      <c r="A1723" t="s">
        <v>244</v>
      </c>
      <c r="B1723" s="2">
        <v>46174</v>
      </c>
      <c r="C1723">
        <v>15908</v>
      </c>
    </row>
    <row r="1724" spans="1:3" ht="15" customHeight="1" x14ac:dyDescent="0.3">
      <c r="A1724" t="s">
        <v>244</v>
      </c>
      <c r="B1724" s="2">
        <v>46204</v>
      </c>
      <c r="C1724">
        <v>16827</v>
      </c>
    </row>
    <row r="1725" spans="1:3" ht="15" hidden="1" customHeight="1" x14ac:dyDescent="0.3">
      <c r="A1725" t="s">
        <v>244</v>
      </c>
      <c r="B1725" s="2">
        <v>46235</v>
      </c>
      <c r="C1725">
        <v>19405</v>
      </c>
    </row>
    <row r="1726" spans="1:3" ht="15" hidden="1" customHeight="1" x14ac:dyDescent="0.3">
      <c r="A1726" t="s">
        <v>244</v>
      </c>
      <c r="B1726" s="2">
        <v>46266</v>
      </c>
      <c r="C1726">
        <v>19981</v>
      </c>
    </row>
    <row r="1727" spans="1:3" ht="15" hidden="1" customHeight="1" x14ac:dyDescent="0.3">
      <c r="A1727" t="s">
        <v>244</v>
      </c>
      <c r="B1727" s="2">
        <v>46296</v>
      </c>
      <c r="C1727">
        <v>22401</v>
      </c>
    </row>
    <row r="1728" spans="1:3" ht="15" hidden="1" customHeight="1" x14ac:dyDescent="0.3">
      <c r="A1728" t="s">
        <v>244</v>
      </c>
      <c r="B1728" s="2">
        <v>46327</v>
      </c>
      <c r="C1728">
        <v>20125</v>
      </c>
    </row>
    <row r="1729" spans="1:3" ht="15" hidden="1" customHeight="1" x14ac:dyDescent="0.3">
      <c r="A1729" t="s">
        <v>244</v>
      </c>
      <c r="B1729" s="2">
        <v>46357</v>
      </c>
      <c r="C1729">
        <v>20771</v>
      </c>
    </row>
    <row r="1730" spans="1:3" ht="15" hidden="1" customHeight="1" x14ac:dyDescent="0.3">
      <c r="A1730" t="s">
        <v>213</v>
      </c>
      <c r="B1730" s="2">
        <v>45292</v>
      </c>
      <c r="C1730">
        <v>9307.7999999999993</v>
      </c>
    </row>
    <row r="1731" spans="1:3" ht="15" hidden="1" customHeight="1" x14ac:dyDescent="0.3">
      <c r="A1731" t="s">
        <v>213</v>
      </c>
      <c r="B1731" s="2">
        <v>45323</v>
      </c>
      <c r="C1731">
        <v>8001.9</v>
      </c>
    </row>
    <row r="1732" spans="1:3" ht="15" hidden="1" customHeight="1" x14ac:dyDescent="0.3">
      <c r="A1732" t="s">
        <v>213</v>
      </c>
      <c r="B1732" s="2">
        <v>45352</v>
      </c>
      <c r="C1732">
        <v>7803.9</v>
      </c>
    </row>
    <row r="1733" spans="1:3" ht="15" hidden="1" customHeight="1" x14ac:dyDescent="0.3">
      <c r="A1733" t="s">
        <v>213</v>
      </c>
      <c r="B1733" s="2">
        <v>45383</v>
      </c>
      <c r="C1733">
        <v>6785.1</v>
      </c>
    </row>
    <row r="1734" spans="1:3" ht="15" hidden="1" customHeight="1" x14ac:dyDescent="0.3">
      <c r="A1734" t="s">
        <v>213</v>
      </c>
      <c r="B1734" s="2">
        <v>45413</v>
      </c>
      <c r="C1734">
        <v>6244.2</v>
      </c>
    </row>
    <row r="1735" spans="1:3" ht="15" hidden="1" customHeight="1" x14ac:dyDescent="0.3">
      <c r="A1735" t="s">
        <v>213</v>
      </c>
      <c r="B1735" s="2">
        <v>45444</v>
      </c>
      <c r="C1735">
        <v>5524.2</v>
      </c>
    </row>
    <row r="1736" spans="1:3" ht="15" hidden="1" customHeight="1" x14ac:dyDescent="0.3">
      <c r="A1736" t="s">
        <v>213</v>
      </c>
      <c r="B1736" s="2">
        <v>45474</v>
      </c>
      <c r="C1736">
        <v>6086.7</v>
      </c>
    </row>
    <row r="1737" spans="1:3" ht="15" hidden="1" customHeight="1" x14ac:dyDescent="0.3">
      <c r="A1737" t="s">
        <v>213</v>
      </c>
      <c r="B1737" s="2">
        <v>45505</v>
      </c>
      <c r="C1737">
        <v>2298.1935483870998</v>
      </c>
    </row>
    <row r="1738" spans="1:3" ht="15" hidden="1" customHeight="1" x14ac:dyDescent="0.3">
      <c r="A1738" t="s">
        <v>213</v>
      </c>
      <c r="B1738" s="2">
        <v>45536</v>
      </c>
      <c r="C1738">
        <v>7864.2</v>
      </c>
    </row>
    <row r="1739" spans="1:3" ht="15" hidden="1" customHeight="1" x14ac:dyDescent="0.3">
      <c r="A1739" t="s">
        <v>213</v>
      </c>
      <c r="B1739" s="2">
        <v>45566</v>
      </c>
      <c r="C1739">
        <v>9007.2000000000007</v>
      </c>
    </row>
    <row r="1740" spans="1:3" ht="15" hidden="1" customHeight="1" x14ac:dyDescent="0.3">
      <c r="A1740" t="s">
        <v>213</v>
      </c>
      <c r="B1740" s="2">
        <v>45597</v>
      </c>
      <c r="C1740">
        <v>8999.1</v>
      </c>
    </row>
    <row r="1741" spans="1:3" ht="15" hidden="1" customHeight="1" x14ac:dyDescent="0.3">
      <c r="A1741" t="s">
        <v>213</v>
      </c>
      <c r="B1741" s="2">
        <v>45627</v>
      </c>
      <c r="C1741">
        <v>9241.2000000000007</v>
      </c>
    </row>
    <row r="1742" spans="1:3" ht="15" hidden="1" customHeight="1" x14ac:dyDescent="0.3">
      <c r="A1742" t="s">
        <v>213</v>
      </c>
      <c r="B1742" s="2">
        <v>45658</v>
      </c>
      <c r="C1742">
        <v>9307.7999999999993</v>
      </c>
    </row>
    <row r="1743" spans="1:3" ht="15" hidden="1" customHeight="1" x14ac:dyDescent="0.3">
      <c r="A1743" t="s">
        <v>213</v>
      </c>
      <c r="B1743" s="2">
        <v>45689</v>
      </c>
      <c r="C1743">
        <v>8001.9</v>
      </c>
    </row>
    <row r="1744" spans="1:3" ht="15" hidden="1" customHeight="1" x14ac:dyDescent="0.3">
      <c r="A1744" t="s">
        <v>213</v>
      </c>
      <c r="B1744" s="2">
        <v>45717</v>
      </c>
      <c r="C1744">
        <v>7803.9</v>
      </c>
    </row>
    <row r="1745" spans="1:3" ht="15" hidden="1" customHeight="1" x14ac:dyDescent="0.3">
      <c r="A1745" t="s">
        <v>213</v>
      </c>
      <c r="B1745" s="2">
        <v>45748</v>
      </c>
      <c r="C1745">
        <v>6785.1</v>
      </c>
    </row>
    <row r="1746" spans="1:3" ht="15" hidden="1" customHeight="1" x14ac:dyDescent="0.3">
      <c r="A1746" t="s">
        <v>213</v>
      </c>
      <c r="B1746" s="2">
        <v>45778</v>
      </c>
      <c r="C1746">
        <v>6244.2</v>
      </c>
    </row>
    <row r="1747" spans="1:3" ht="15" hidden="1" customHeight="1" x14ac:dyDescent="0.3">
      <c r="A1747" t="s">
        <v>213</v>
      </c>
      <c r="B1747" s="2">
        <v>45809</v>
      </c>
      <c r="C1747">
        <v>5524.2</v>
      </c>
    </row>
    <row r="1748" spans="1:3" ht="15" hidden="1" customHeight="1" x14ac:dyDescent="0.3">
      <c r="A1748" t="s">
        <v>213</v>
      </c>
      <c r="B1748" s="2">
        <v>45839</v>
      </c>
      <c r="C1748">
        <v>6086.7</v>
      </c>
    </row>
    <row r="1749" spans="1:3" ht="15" hidden="1" customHeight="1" x14ac:dyDescent="0.3">
      <c r="A1749" t="s">
        <v>213</v>
      </c>
      <c r="B1749" s="2">
        <v>45870</v>
      </c>
      <c r="C1749">
        <v>2298.1935483870998</v>
      </c>
    </row>
    <row r="1750" spans="1:3" ht="15" hidden="1" customHeight="1" x14ac:dyDescent="0.3">
      <c r="A1750" t="s">
        <v>213</v>
      </c>
      <c r="B1750" s="2">
        <v>45901</v>
      </c>
      <c r="C1750">
        <v>7864.2</v>
      </c>
    </row>
    <row r="1751" spans="1:3" ht="15" hidden="1" customHeight="1" x14ac:dyDescent="0.3">
      <c r="A1751" t="s">
        <v>213</v>
      </c>
      <c r="B1751" s="2">
        <v>45931</v>
      </c>
      <c r="C1751">
        <v>9007.2000000000007</v>
      </c>
    </row>
    <row r="1752" spans="1:3" ht="15" hidden="1" customHeight="1" x14ac:dyDescent="0.3">
      <c r="A1752" t="s">
        <v>213</v>
      </c>
      <c r="B1752" s="2">
        <v>45962</v>
      </c>
      <c r="C1752">
        <v>8999.1</v>
      </c>
    </row>
    <row r="1753" spans="1:3" ht="15" hidden="1" customHeight="1" x14ac:dyDescent="0.3">
      <c r="A1753" t="s">
        <v>213</v>
      </c>
      <c r="B1753" s="2">
        <v>45992</v>
      </c>
      <c r="C1753">
        <v>9241.2000000000007</v>
      </c>
    </row>
    <row r="1754" spans="1:3" ht="15" hidden="1" customHeight="1" x14ac:dyDescent="0.3">
      <c r="A1754" t="s">
        <v>213</v>
      </c>
      <c r="B1754" s="2">
        <v>46023</v>
      </c>
      <c r="C1754">
        <v>9307.7999999999993</v>
      </c>
    </row>
    <row r="1755" spans="1:3" ht="15" hidden="1" customHeight="1" x14ac:dyDescent="0.3">
      <c r="A1755" t="s">
        <v>213</v>
      </c>
      <c r="B1755" s="2">
        <v>46054</v>
      </c>
      <c r="C1755">
        <v>8001.9</v>
      </c>
    </row>
    <row r="1756" spans="1:3" ht="15" hidden="1" customHeight="1" x14ac:dyDescent="0.3">
      <c r="A1756" t="s">
        <v>213</v>
      </c>
      <c r="B1756" s="2">
        <v>46082</v>
      </c>
      <c r="C1756">
        <v>7803.9</v>
      </c>
    </row>
    <row r="1757" spans="1:3" ht="15" hidden="1" customHeight="1" x14ac:dyDescent="0.3">
      <c r="A1757" t="s">
        <v>213</v>
      </c>
      <c r="B1757" s="2">
        <v>46113</v>
      </c>
      <c r="C1757">
        <v>6785.1</v>
      </c>
    </row>
    <row r="1758" spans="1:3" ht="15" hidden="1" customHeight="1" x14ac:dyDescent="0.3">
      <c r="A1758" t="s">
        <v>213</v>
      </c>
      <c r="B1758" s="2">
        <v>46143</v>
      </c>
      <c r="C1758">
        <v>6244.2</v>
      </c>
    </row>
    <row r="1759" spans="1:3" ht="15" hidden="1" customHeight="1" x14ac:dyDescent="0.3">
      <c r="A1759" t="s">
        <v>213</v>
      </c>
      <c r="B1759" s="2">
        <v>46174</v>
      </c>
      <c r="C1759">
        <v>5524.2</v>
      </c>
    </row>
    <row r="1760" spans="1:3" ht="15" customHeight="1" x14ac:dyDescent="0.3">
      <c r="A1760" t="s">
        <v>213</v>
      </c>
      <c r="B1760" s="2">
        <v>46204</v>
      </c>
      <c r="C1760">
        <v>6086.7</v>
      </c>
    </row>
    <row r="1761" spans="1:3" ht="15" hidden="1" customHeight="1" x14ac:dyDescent="0.3">
      <c r="A1761" t="s">
        <v>213</v>
      </c>
      <c r="B1761" s="2">
        <v>46235</v>
      </c>
      <c r="C1761">
        <v>2298.1935483870998</v>
      </c>
    </row>
    <row r="1762" spans="1:3" ht="15" hidden="1" customHeight="1" x14ac:dyDescent="0.3">
      <c r="A1762" t="s">
        <v>213</v>
      </c>
      <c r="B1762" s="2">
        <v>46266</v>
      </c>
      <c r="C1762">
        <v>7864.2</v>
      </c>
    </row>
    <row r="1763" spans="1:3" ht="15" hidden="1" customHeight="1" x14ac:dyDescent="0.3">
      <c r="A1763" t="s">
        <v>213</v>
      </c>
      <c r="B1763" s="2">
        <v>46296</v>
      </c>
      <c r="C1763">
        <v>9007.2000000000007</v>
      </c>
    </row>
    <row r="1764" spans="1:3" ht="15" hidden="1" customHeight="1" x14ac:dyDescent="0.3">
      <c r="A1764" t="s">
        <v>213</v>
      </c>
      <c r="B1764" s="2">
        <v>46327</v>
      </c>
      <c r="C1764">
        <v>8999.1</v>
      </c>
    </row>
    <row r="1765" spans="1:3" ht="15" hidden="1" customHeight="1" x14ac:dyDescent="0.3">
      <c r="A1765" t="s">
        <v>213</v>
      </c>
      <c r="B1765" s="2">
        <v>46357</v>
      </c>
      <c r="C1765">
        <v>9241.2000000000007</v>
      </c>
    </row>
    <row r="1766" spans="1:3" ht="15" hidden="1" customHeight="1" x14ac:dyDescent="0.3">
      <c r="A1766" t="s">
        <v>216</v>
      </c>
      <c r="B1766" s="2">
        <v>45292</v>
      </c>
      <c r="C1766">
        <v>28699.56</v>
      </c>
    </row>
    <row r="1767" spans="1:3" ht="15" hidden="1" customHeight="1" x14ac:dyDescent="0.3">
      <c r="A1767" t="s">
        <v>216</v>
      </c>
      <c r="B1767" s="2">
        <v>45323</v>
      </c>
      <c r="C1767">
        <v>24909.3</v>
      </c>
    </row>
    <row r="1768" spans="1:3" ht="15" hidden="1" customHeight="1" x14ac:dyDescent="0.3">
      <c r="A1768" t="s">
        <v>216</v>
      </c>
      <c r="B1768" s="2">
        <v>45352</v>
      </c>
      <c r="C1768">
        <v>24570</v>
      </c>
    </row>
    <row r="1769" spans="1:3" ht="15" hidden="1" customHeight="1" x14ac:dyDescent="0.3">
      <c r="A1769" t="s">
        <v>216</v>
      </c>
      <c r="B1769" s="2">
        <v>45383</v>
      </c>
      <c r="C1769">
        <v>21388.5</v>
      </c>
    </row>
    <row r="1770" spans="1:3" ht="15" hidden="1" customHeight="1" x14ac:dyDescent="0.3">
      <c r="A1770" t="s">
        <v>216</v>
      </c>
      <c r="B1770" s="2">
        <v>45413</v>
      </c>
      <c r="C1770">
        <v>19723.5</v>
      </c>
    </row>
    <row r="1771" spans="1:3" ht="15" hidden="1" customHeight="1" x14ac:dyDescent="0.3">
      <c r="A1771" t="s">
        <v>216</v>
      </c>
      <c r="B1771" s="2">
        <v>45444</v>
      </c>
      <c r="C1771">
        <v>17431.2</v>
      </c>
    </row>
    <row r="1772" spans="1:3" ht="15" hidden="1" customHeight="1" x14ac:dyDescent="0.3">
      <c r="A1772" t="s">
        <v>216</v>
      </c>
      <c r="B1772" s="2">
        <v>45474</v>
      </c>
      <c r="C1772">
        <v>19181.7</v>
      </c>
    </row>
    <row r="1773" spans="1:3" ht="15" hidden="1" customHeight="1" x14ac:dyDescent="0.3">
      <c r="A1773" t="s">
        <v>216</v>
      </c>
      <c r="B1773" s="2">
        <v>45505</v>
      </c>
      <c r="C1773">
        <v>7231.3548387096798</v>
      </c>
    </row>
    <row r="1774" spans="1:3" ht="15" hidden="1" customHeight="1" x14ac:dyDescent="0.3">
      <c r="A1774" t="s">
        <v>216</v>
      </c>
      <c r="B1774" s="2">
        <v>45536</v>
      </c>
      <c r="C1774">
        <v>24780.6</v>
      </c>
    </row>
    <row r="1775" spans="1:3" ht="15" hidden="1" customHeight="1" x14ac:dyDescent="0.3">
      <c r="A1775" t="s">
        <v>216</v>
      </c>
      <c r="B1775" s="2">
        <v>45566</v>
      </c>
      <c r="C1775">
        <v>28127.7</v>
      </c>
    </row>
    <row r="1776" spans="1:3" ht="15" hidden="1" customHeight="1" x14ac:dyDescent="0.3">
      <c r="A1776" t="s">
        <v>216</v>
      </c>
      <c r="B1776" s="2">
        <v>45597</v>
      </c>
      <c r="C1776">
        <v>28061.1</v>
      </c>
    </row>
    <row r="1777" spans="1:3" ht="15" hidden="1" customHeight="1" x14ac:dyDescent="0.3">
      <c r="A1777" t="s">
        <v>216</v>
      </c>
      <c r="B1777" s="2">
        <v>45627</v>
      </c>
      <c r="C1777">
        <v>28703.7</v>
      </c>
    </row>
    <row r="1778" spans="1:3" ht="15" hidden="1" customHeight="1" x14ac:dyDescent="0.3">
      <c r="A1778" t="s">
        <v>216</v>
      </c>
      <c r="B1778" s="2">
        <v>45658</v>
      </c>
      <c r="C1778">
        <v>28699.56</v>
      </c>
    </row>
    <row r="1779" spans="1:3" ht="15" hidden="1" customHeight="1" x14ac:dyDescent="0.3">
      <c r="A1779" t="s">
        <v>216</v>
      </c>
      <c r="B1779" s="2">
        <v>45689</v>
      </c>
      <c r="C1779">
        <v>24909.3</v>
      </c>
    </row>
    <row r="1780" spans="1:3" ht="15" hidden="1" customHeight="1" x14ac:dyDescent="0.3">
      <c r="A1780" t="s">
        <v>216</v>
      </c>
      <c r="B1780" s="2">
        <v>45717</v>
      </c>
      <c r="C1780">
        <v>24570</v>
      </c>
    </row>
    <row r="1781" spans="1:3" ht="15" hidden="1" customHeight="1" x14ac:dyDescent="0.3">
      <c r="A1781" t="s">
        <v>216</v>
      </c>
      <c r="B1781" s="2">
        <v>45748</v>
      </c>
      <c r="C1781">
        <v>21388.5</v>
      </c>
    </row>
    <row r="1782" spans="1:3" ht="15" hidden="1" customHeight="1" x14ac:dyDescent="0.3">
      <c r="A1782" t="s">
        <v>216</v>
      </c>
      <c r="B1782" s="2">
        <v>45778</v>
      </c>
      <c r="C1782">
        <v>19723.5</v>
      </c>
    </row>
    <row r="1783" spans="1:3" ht="15" hidden="1" customHeight="1" x14ac:dyDescent="0.3">
      <c r="A1783" t="s">
        <v>216</v>
      </c>
      <c r="B1783" s="2">
        <v>45809</v>
      </c>
      <c r="C1783">
        <v>17431.2</v>
      </c>
    </row>
    <row r="1784" spans="1:3" ht="15" hidden="1" customHeight="1" x14ac:dyDescent="0.3">
      <c r="A1784" t="s">
        <v>216</v>
      </c>
      <c r="B1784" s="2">
        <v>45839</v>
      </c>
      <c r="C1784">
        <v>19181.7</v>
      </c>
    </row>
    <row r="1785" spans="1:3" ht="15" hidden="1" customHeight="1" x14ac:dyDescent="0.3">
      <c r="A1785" t="s">
        <v>216</v>
      </c>
      <c r="B1785" s="2">
        <v>45870</v>
      </c>
      <c r="C1785">
        <v>7231.3548387096798</v>
      </c>
    </row>
    <row r="1786" spans="1:3" ht="15" hidden="1" customHeight="1" x14ac:dyDescent="0.3">
      <c r="A1786" t="s">
        <v>216</v>
      </c>
      <c r="B1786" s="2">
        <v>45901</v>
      </c>
      <c r="C1786">
        <v>24780.6</v>
      </c>
    </row>
    <row r="1787" spans="1:3" ht="15" hidden="1" customHeight="1" x14ac:dyDescent="0.3">
      <c r="A1787" t="s">
        <v>216</v>
      </c>
      <c r="B1787" s="2">
        <v>45931</v>
      </c>
      <c r="C1787">
        <v>28127.7</v>
      </c>
    </row>
    <row r="1788" spans="1:3" ht="15" hidden="1" customHeight="1" x14ac:dyDescent="0.3">
      <c r="A1788" t="s">
        <v>216</v>
      </c>
      <c r="B1788" s="2">
        <v>45962</v>
      </c>
      <c r="C1788">
        <v>28061.1</v>
      </c>
    </row>
    <row r="1789" spans="1:3" ht="15" hidden="1" customHeight="1" x14ac:dyDescent="0.3">
      <c r="A1789" t="s">
        <v>216</v>
      </c>
      <c r="B1789" s="2">
        <v>45992</v>
      </c>
      <c r="C1789">
        <v>28703.7</v>
      </c>
    </row>
    <row r="1790" spans="1:3" ht="15" hidden="1" customHeight="1" x14ac:dyDescent="0.3">
      <c r="A1790" t="s">
        <v>216</v>
      </c>
      <c r="B1790" s="2">
        <v>46023</v>
      </c>
      <c r="C1790">
        <v>28699.56</v>
      </c>
    </row>
    <row r="1791" spans="1:3" ht="15" hidden="1" customHeight="1" x14ac:dyDescent="0.3">
      <c r="A1791" t="s">
        <v>216</v>
      </c>
      <c r="B1791" s="2">
        <v>46054</v>
      </c>
      <c r="C1791">
        <v>24909.3</v>
      </c>
    </row>
    <row r="1792" spans="1:3" ht="15" hidden="1" customHeight="1" x14ac:dyDescent="0.3">
      <c r="A1792" t="s">
        <v>216</v>
      </c>
      <c r="B1792" s="2">
        <v>46082</v>
      </c>
      <c r="C1792">
        <v>24570</v>
      </c>
    </row>
    <row r="1793" spans="1:3" ht="15" hidden="1" customHeight="1" x14ac:dyDescent="0.3">
      <c r="A1793" t="s">
        <v>216</v>
      </c>
      <c r="B1793" s="2">
        <v>46113</v>
      </c>
      <c r="C1793">
        <v>21388.5</v>
      </c>
    </row>
    <row r="1794" spans="1:3" ht="15" hidden="1" customHeight="1" x14ac:dyDescent="0.3">
      <c r="A1794" t="s">
        <v>216</v>
      </c>
      <c r="B1794" s="2">
        <v>46143</v>
      </c>
      <c r="C1794">
        <v>19723.5</v>
      </c>
    </row>
    <row r="1795" spans="1:3" ht="15" hidden="1" customHeight="1" x14ac:dyDescent="0.3">
      <c r="A1795" t="s">
        <v>216</v>
      </c>
      <c r="B1795" s="2">
        <v>46174</v>
      </c>
      <c r="C1795">
        <v>17431.2</v>
      </c>
    </row>
    <row r="1796" spans="1:3" ht="15" customHeight="1" x14ac:dyDescent="0.3">
      <c r="A1796" t="s">
        <v>216</v>
      </c>
      <c r="B1796" s="2">
        <v>46204</v>
      </c>
      <c r="C1796">
        <v>19181.7</v>
      </c>
    </row>
    <row r="1797" spans="1:3" ht="15" hidden="1" customHeight="1" x14ac:dyDescent="0.3">
      <c r="A1797" t="s">
        <v>216</v>
      </c>
      <c r="B1797" s="2">
        <v>46235</v>
      </c>
      <c r="C1797">
        <v>7231.3548387096798</v>
      </c>
    </row>
    <row r="1798" spans="1:3" ht="15" hidden="1" customHeight="1" x14ac:dyDescent="0.3">
      <c r="A1798" t="s">
        <v>216</v>
      </c>
      <c r="B1798" s="2">
        <v>46266</v>
      </c>
      <c r="C1798">
        <v>24780.6</v>
      </c>
    </row>
    <row r="1799" spans="1:3" ht="15" hidden="1" customHeight="1" x14ac:dyDescent="0.3">
      <c r="A1799" t="s">
        <v>216</v>
      </c>
      <c r="B1799" s="2">
        <v>46296</v>
      </c>
      <c r="C1799">
        <v>28127.7</v>
      </c>
    </row>
    <row r="1800" spans="1:3" ht="15" hidden="1" customHeight="1" x14ac:dyDescent="0.3">
      <c r="A1800" t="s">
        <v>216</v>
      </c>
      <c r="B1800" s="2">
        <v>46327</v>
      </c>
      <c r="C1800">
        <v>28061.1</v>
      </c>
    </row>
    <row r="1801" spans="1:3" ht="15" hidden="1" customHeight="1" x14ac:dyDescent="0.3">
      <c r="A1801" t="s">
        <v>216</v>
      </c>
      <c r="B1801" s="2">
        <v>46357</v>
      </c>
      <c r="C1801">
        <v>28703.7</v>
      </c>
    </row>
    <row r="1802" spans="1:3" ht="15" hidden="1" customHeight="1" x14ac:dyDescent="0.3">
      <c r="A1802" t="s">
        <v>218</v>
      </c>
      <c r="B1802" s="2">
        <v>45292</v>
      </c>
      <c r="C1802">
        <v>9601.92</v>
      </c>
    </row>
    <row r="1803" spans="1:3" ht="15" hidden="1" customHeight="1" x14ac:dyDescent="0.3">
      <c r="A1803" t="s">
        <v>218</v>
      </c>
      <c r="B1803" s="2">
        <v>45323</v>
      </c>
      <c r="C1803">
        <v>8296.74</v>
      </c>
    </row>
    <row r="1804" spans="1:3" ht="15" hidden="1" customHeight="1" x14ac:dyDescent="0.3">
      <c r="A1804" t="s">
        <v>218</v>
      </c>
      <c r="B1804" s="2">
        <v>45352</v>
      </c>
      <c r="C1804">
        <v>8140.5</v>
      </c>
    </row>
    <row r="1805" spans="1:3" ht="15" hidden="1" customHeight="1" x14ac:dyDescent="0.3">
      <c r="A1805" t="s">
        <v>218</v>
      </c>
      <c r="B1805" s="2">
        <v>45383</v>
      </c>
      <c r="C1805">
        <v>7017.3</v>
      </c>
    </row>
    <row r="1806" spans="1:3" ht="15" hidden="1" customHeight="1" x14ac:dyDescent="0.3">
      <c r="A1806" t="s">
        <v>218</v>
      </c>
      <c r="B1806" s="2">
        <v>45413</v>
      </c>
      <c r="C1806">
        <v>6430.32</v>
      </c>
    </row>
    <row r="1807" spans="1:3" ht="15" hidden="1" customHeight="1" x14ac:dyDescent="0.3">
      <c r="A1807" t="s">
        <v>218</v>
      </c>
      <c r="B1807" s="2">
        <v>45444</v>
      </c>
      <c r="C1807">
        <v>5669.28</v>
      </c>
    </row>
    <row r="1808" spans="1:3" ht="15" hidden="1" customHeight="1" x14ac:dyDescent="0.3">
      <c r="A1808" t="s">
        <v>218</v>
      </c>
      <c r="B1808" s="2">
        <v>45474</v>
      </c>
      <c r="C1808">
        <v>6247.44</v>
      </c>
    </row>
    <row r="1809" spans="1:3" ht="15" hidden="1" customHeight="1" x14ac:dyDescent="0.3">
      <c r="A1809" t="s">
        <v>218</v>
      </c>
      <c r="B1809" s="2">
        <v>45505</v>
      </c>
      <c r="C1809">
        <v>2367.7838709677399</v>
      </c>
    </row>
    <row r="1810" spans="1:3" ht="15" hidden="1" customHeight="1" x14ac:dyDescent="0.3">
      <c r="A1810" t="s">
        <v>218</v>
      </c>
      <c r="B1810" s="2">
        <v>45536</v>
      </c>
      <c r="C1810">
        <v>8154</v>
      </c>
    </row>
    <row r="1811" spans="1:3" ht="15" hidden="1" customHeight="1" x14ac:dyDescent="0.3">
      <c r="A1811" t="s">
        <v>218</v>
      </c>
      <c r="B1811" s="2">
        <v>45566</v>
      </c>
      <c r="C1811">
        <v>9352.7999999999993</v>
      </c>
    </row>
    <row r="1812" spans="1:3" ht="15" hidden="1" customHeight="1" x14ac:dyDescent="0.3">
      <c r="A1812" t="s">
        <v>218</v>
      </c>
      <c r="B1812" s="2">
        <v>45597</v>
      </c>
      <c r="C1812">
        <v>9353.7000000000007</v>
      </c>
    </row>
    <row r="1813" spans="1:3" ht="15" hidden="1" customHeight="1" x14ac:dyDescent="0.3">
      <c r="A1813" t="s">
        <v>218</v>
      </c>
      <c r="B1813" s="2">
        <v>45627</v>
      </c>
      <c r="C1813">
        <v>9582.2999999999993</v>
      </c>
    </row>
    <row r="1814" spans="1:3" ht="15" hidden="1" customHeight="1" x14ac:dyDescent="0.3">
      <c r="A1814" t="s">
        <v>218</v>
      </c>
      <c r="B1814" s="2">
        <v>45658</v>
      </c>
      <c r="C1814">
        <v>9601.92</v>
      </c>
    </row>
    <row r="1815" spans="1:3" ht="15" hidden="1" customHeight="1" x14ac:dyDescent="0.3">
      <c r="A1815" t="s">
        <v>218</v>
      </c>
      <c r="B1815" s="2">
        <v>45689</v>
      </c>
      <c r="C1815">
        <v>8296.74</v>
      </c>
    </row>
    <row r="1816" spans="1:3" ht="15" hidden="1" customHeight="1" x14ac:dyDescent="0.3">
      <c r="A1816" t="s">
        <v>218</v>
      </c>
      <c r="B1816" s="2">
        <v>45717</v>
      </c>
      <c r="C1816">
        <v>8140.5</v>
      </c>
    </row>
    <row r="1817" spans="1:3" ht="15" hidden="1" customHeight="1" x14ac:dyDescent="0.3">
      <c r="A1817" t="s">
        <v>218</v>
      </c>
      <c r="B1817" s="2">
        <v>45748</v>
      </c>
      <c r="C1817">
        <v>7017.3</v>
      </c>
    </row>
    <row r="1818" spans="1:3" ht="15" hidden="1" customHeight="1" x14ac:dyDescent="0.3">
      <c r="A1818" t="s">
        <v>218</v>
      </c>
      <c r="B1818" s="2">
        <v>45778</v>
      </c>
      <c r="C1818">
        <v>6430.32</v>
      </c>
    </row>
    <row r="1819" spans="1:3" ht="15" hidden="1" customHeight="1" x14ac:dyDescent="0.3">
      <c r="A1819" t="s">
        <v>218</v>
      </c>
      <c r="B1819" s="2">
        <v>45809</v>
      </c>
      <c r="C1819">
        <v>5669.28</v>
      </c>
    </row>
    <row r="1820" spans="1:3" ht="15" hidden="1" customHeight="1" x14ac:dyDescent="0.3">
      <c r="A1820" t="s">
        <v>218</v>
      </c>
      <c r="B1820" s="2">
        <v>45839</v>
      </c>
      <c r="C1820">
        <v>6247.44</v>
      </c>
    </row>
    <row r="1821" spans="1:3" ht="15" hidden="1" customHeight="1" x14ac:dyDescent="0.3">
      <c r="A1821" t="s">
        <v>218</v>
      </c>
      <c r="B1821" s="2">
        <v>45870</v>
      </c>
      <c r="C1821">
        <v>2367.7838709677399</v>
      </c>
    </row>
    <row r="1822" spans="1:3" ht="15" hidden="1" customHeight="1" x14ac:dyDescent="0.3">
      <c r="A1822" t="s">
        <v>218</v>
      </c>
      <c r="B1822" s="2">
        <v>45901</v>
      </c>
      <c r="C1822">
        <v>8154</v>
      </c>
    </row>
    <row r="1823" spans="1:3" ht="15" hidden="1" customHeight="1" x14ac:dyDescent="0.3">
      <c r="A1823" t="s">
        <v>218</v>
      </c>
      <c r="B1823" s="2">
        <v>45931</v>
      </c>
      <c r="C1823">
        <v>9352.7999999999993</v>
      </c>
    </row>
    <row r="1824" spans="1:3" ht="15" hidden="1" customHeight="1" x14ac:dyDescent="0.3">
      <c r="A1824" t="s">
        <v>218</v>
      </c>
      <c r="B1824" s="2">
        <v>45962</v>
      </c>
      <c r="C1824">
        <v>9353.7000000000007</v>
      </c>
    </row>
    <row r="1825" spans="1:3" ht="15" hidden="1" customHeight="1" x14ac:dyDescent="0.3">
      <c r="A1825" t="s">
        <v>218</v>
      </c>
      <c r="B1825" s="2">
        <v>45992</v>
      </c>
      <c r="C1825">
        <v>9582.2999999999993</v>
      </c>
    </row>
    <row r="1826" spans="1:3" ht="15" hidden="1" customHeight="1" x14ac:dyDescent="0.3">
      <c r="A1826" t="s">
        <v>218</v>
      </c>
      <c r="B1826" s="2">
        <v>46023</v>
      </c>
      <c r="C1826">
        <v>9601.92</v>
      </c>
    </row>
    <row r="1827" spans="1:3" ht="15" hidden="1" customHeight="1" x14ac:dyDescent="0.3">
      <c r="A1827" t="s">
        <v>218</v>
      </c>
      <c r="B1827" s="2">
        <v>46054</v>
      </c>
      <c r="C1827">
        <v>8296.74</v>
      </c>
    </row>
    <row r="1828" spans="1:3" ht="15" hidden="1" customHeight="1" x14ac:dyDescent="0.3">
      <c r="A1828" t="s">
        <v>218</v>
      </c>
      <c r="B1828" s="2">
        <v>46082</v>
      </c>
      <c r="C1828">
        <v>8140.5</v>
      </c>
    </row>
    <row r="1829" spans="1:3" ht="15" hidden="1" customHeight="1" x14ac:dyDescent="0.3">
      <c r="A1829" t="s">
        <v>218</v>
      </c>
      <c r="B1829" s="2">
        <v>46113</v>
      </c>
      <c r="C1829">
        <v>7017.3</v>
      </c>
    </row>
    <row r="1830" spans="1:3" ht="15" hidden="1" customHeight="1" x14ac:dyDescent="0.3">
      <c r="A1830" t="s">
        <v>218</v>
      </c>
      <c r="B1830" s="2">
        <v>46143</v>
      </c>
      <c r="C1830">
        <v>6430.32</v>
      </c>
    </row>
    <row r="1831" spans="1:3" ht="15" hidden="1" customHeight="1" x14ac:dyDescent="0.3">
      <c r="A1831" t="s">
        <v>218</v>
      </c>
      <c r="B1831" s="2">
        <v>46174</v>
      </c>
      <c r="C1831">
        <v>5669.28</v>
      </c>
    </row>
    <row r="1832" spans="1:3" ht="15" customHeight="1" x14ac:dyDescent="0.3">
      <c r="A1832" t="s">
        <v>218</v>
      </c>
      <c r="B1832" s="2">
        <v>46204</v>
      </c>
      <c r="C1832">
        <v>6247.44</v>
      </c>
    </row>
    <row r="1833" spans="1:3" ht="15" hidden="1" customHeight="1" x14ac:dyDescent="0.3">
      <c r="A1833" t="s">
        <v>218</v>
      </c>
      <c r="B1833" s="2">
        <v>46235</v>
      </c>
      <c r="C1833">
        <v>2367.7838709677399</v>
      </c>
    </row>
    <row r="1834" spans="1:3" ht="15" hidden="1" customHeight="1" x14ac:dyDescent="0.3">
      <c r="A1834" t="s">
        <v>218</v>
      </c>
      <c r="B1834" s="2">
        <v>46266</v>
      </c>
      <c r="C1834">
        <v>8154</v>
      </c>
    </row>
    <row r="1835" spans="1:3" ht="15" hidden="1" customHeight="1" x14ac:dyDescent="0.3">
      <c r="A1835" t="s">
        <v>218</v>
      </c>
      <c r="B1835" s="2">
        <v>46296</v>
      </c>
      <c r="C1835">
        <v>9352.7999999999993</v>
      </c>
    </row>
    <row r="1836" spans="1:3" ht="15" hidden="1" customHeight="1" x14ac:dyDescent="0.3">
      <c r="A1836" t="s">
        <v>218</v>
      </c>
      <c r="B1836" s="2">
        <v>46327</v>
      </c>
      <c r="C1836">
        <v>9353.7000000000007</v>
      </c>
    </row>
    <row r="1837" spans="1:3" ht="15" hidden="1" customHeight="1" x14ac:dyDescent="0.3">
      <c r="A1837" t="s">
        <v>218</v>
      </c>
      <c r="B1837" s="2">
        <v>46357</v>
      </c>
      <c r="C1837">
        <v>9582.2999999999993</v>
      </c>
    </row>
    <row r="1838" spans="1:3" ht="15" hidden="1" customHeight="1" x14ac:dyDescent="0.3">
      <c r="A1838" t="s">
        <v>163</v>
      </c>
      <c r="B1838" s="2">
        <v>45292</v>
      </c>
      <c r="C1838">
        <v>5191.4789549999996</v>
      </c>
    </row>
    <row r="1839" spans="1:3" ht="15" hidden="1" customHeight="1" x14ac:dyDescent="0.3">
      <c r="A1839" t="s">
        <v>163</v>
      </c>
      <c r="B1839" s="2">
        <v>45323</v>
      </c>
      <c r="C1839">
        <v>4656.5572949999996</v>
      </c>
    </row>
    <row r="1840" spans="1:3" ht="15" hidden="1" customHeight="1" x14ac:dyDescent="0.3">
      <c r="A1840" t="s">
        <v>163</v>
      </c>
      <c r="B1840" s="2">
        <v>45352</v>
      </c>
      <c r="C1840">
        <v>5018.2718624999998</v>
      </c>
    </row>
    <row r="1841" spans="1:3" ht="15" hidden="1" customHeight="1" x14ac:dyDescent="0.3">
      <c r="A1841" t="s">
        <v>163</v>
      </c>
      <c r="B1841" s="2">
        <v>45383</v>
      </c>
      <c r="C1841">
        <v>4498.5660525000003</v>
      </c>
    </row>
    <row r="1842" spans="1:3" ht="15" hidden="1" customHeight="1" x14ac:dyDescent="0.3">
      <c r="A1842" t="s">
        <v>163</v>
      </c>
      <c r="B1842" s="2">
        <v>45413</v>
      </c>
      <c r="C1842">
        <v>4604.0626124999999</v>
      </c>
    </row>
    <row r="1843" spans="1:3" ht="15" hidden="1" customHeight="1" x14ac:dyDescent="0.3">
      <c r="A1843" t="s">
        <v>163</v>
      </c>
      <c r="B1843" s="2">
        <v>45444</v>
      </c>
      <c r="C1843">
        <v>4265.4254174999996</v>
      </c>
    </row>
    <row r="1844" spans="1:3" ht="15" hidden="1" customHeight="1" x14ac:dyDescent="0.3">
      <c r="A1844" t="s">
        <v>163</v>
      </c>
      <c r="B1844" s="2">
        <v>45474</v>
      </c>
      <c r="C1844">
        <v>4694.8505175</v>
      </c>
    </row>
    <row r="1845" spans="1:3" ht="15" hidden="1" customHeight="1" x14ac:dyDescent="0.3">
      <c r="A1845" t="s">
        <v>163</v>
      </c>
      <c r="B1845" s="2">
        <v>45505</v>
      </c>
      <c r="C1845">
        <v>5144.2252875000004</v>
      </c>
    </row>
    <row r="1846" spans="1:3" ht="15" hidden="1" customHeight="1" x14ac:dyDescent="0.3">
      <c r="A1846" t="s">
        <v>163</v>
      </c>
      <c r="B1846" s="2">
        <v>45536</v>
      </c>
      <c r="C1846">
        <v>5295.0312674999996</v>
      </c>
    </row>
    <row r="1847" spans="1:3" ht="15" hidden="1" customHeight="1" x14ac:dyDescent="0.3">
      <c r="A1847" t="s">
        <v>163</v>
      </c>
      <c r="B1847" s="2">
        <v>45566</v>
      </c>
      <c r="C1847">
        <v>5391.4828500000003</v>
      </c>
    </row>
    <row r="1848" spans="1:3" ht="15" hidden="1" customHeight="1" x14ac:dyDescent="0.3">
      <c r="A1848" t="s">
        <v>163</v>
      </c>
      <c r="B1848" s="2">
        <v>45597</v>
      </c>
      <c r="C1848">
        <v>5210.6678325000003</v>
      </c>
    </row>
    <row r="1849" spans="1:3" ht="15" hidden="1" customHeight="1" x14ac:dyDescent="0.3">
      <c r="A1849" t="s">
        <v>163</v>
      </c>
      <c r="B1849" s="2">
        <v>45627</v>
      </c>
      <c r="C1849">
        <v>5439.6663749999998</v>
      </c>
    </row>
    <row r="1850" spans="1:3" ht="15" hidden="1" customHeight="1" x14ac:dyDescent="0.3">
      <c r="A1850" t="s">
        <v>163</v>
      </c>
      <c r="B1850" s="2">
        <v>45658</v>
      </c>
      <c r="C1850">
        <v>5191.4789549999996</v>
      </c>
    </row>
    <row r="1851" spans="1:3" ht="15" hidden="1" customHeight="1" x14ac:dyDescent="0.3">
      <c r="A1851" t="s">
        <v>163</v>
      </c>
      <c r="B1851" s="2">
        <v>45689</v>
      </c>
      <c r="C1851">
        <v>4656.5572949999996</v>
      </c>
    </row>
    <row r="1852" spans="1:3" ht="15" hidden="1" customHeight="1" x14ac:dyDescent="0.3">
      <c r="A1852" t="s">
        <v>163</v>
      </c>
      <c r="B1852" s="2">
        <v>45717</v>
      </c>
      <c r="C1852">
        <v>5018.2718624999998</v>
      </c>
    </row>
    <row r="1853" spans="1:3" ht="15" hidden="1" customHeight="1" x14ac:dyDescent="0.3">
      <c r="A1853" t="s">
        <v>163</v>
      </c>
      <c r="B1853" s="2">
        <v>45748</v>
      </c>
      <c r="C1853">
        <v>4498.5660525000003</v>
      </c>
    </row>
    <row r="1854" spans="1:3" ht="15" hidden="1" customHeight="1" x14ac:dyDescent="0.3">
      <c r="A1854" t="s">
        <v>163</v>
      </c>
      <c r="B1854" s="2">
        <v>45778</v>
      </c>
      <c r="C1854">
        <v>4604.0626124999999</v>
      </c>
    </row>
    <row r="1855" spans="1:3" ht="15" hidden="1" customHeight="1" x14ac:dyDescent="0.3">
      <c r="A1855" t="s">
        <v>163</v>
      </c>
      <c r="B1855" s="2">
        <v>45809</v>
      </c>
      <c r="C1855">
        <v>4265.4254174999996</v>
      </c>
    </row>
    <row r="1856" spans="1:3" ht="15" hidden="1" customHeight="1" x14ac:dyDescent="0.3">
      <c r="A1856" t="s">
        <v>163</v>
      </c>
      <c r="B1856" s="2">
        <v>45839</v>
      </c>
      <c r="C1856">
        <v>4694.8505175</v>
      </c>
    </row>
    <row r="1857" spans="1:3" ht="15" hidden="1" customHeight="1" x14ac:dyDescent="0.3">
      <c r="A1857" t="s">
        <v>163</v>
      </c>
      <c r="B1857" s="2">
        <v>45870</v>
      </c>
      <c r="C1857">
        <v>5144.2252875000004</v>
      </c>
    </row>
    <row r="1858" spans="1:3" ht="15" hidden="1" customHeight="1" x14ac:dyDescent="0.3">
      <c r="A1858" t="s">
        <v>163</v>
      </c>
      <c r="B1858" s="2">
        <v>45901</v>
      </c>
      <c r="C1858">
        <v>5295.0312674999996</v>
      </c>
    </row>
    <row r="1859" spans="1:3" ht="15" hidden="1" customHeight="1" x14ac:dyDescent="0.3">
      <c r="A1859" t="s">
        <v>163</v>
      </c>
      <c r="B1859" s="2">
        <v>45931</v>
      </c>
      <c r="C1859">
        <v>5391.4828500000003</v>
      </c>
    </row>
    <row r="1860" spans="1:3" ht="15" hidden="1" customHeight="1" x14ac:dyDescent="0.3">
      <c r="A1860" t="s">
        <v>163</v>
      </c>
      <c r="B1860" s="2">
        <v>45962</v>
      </c>
      <c r="C1860">
        <v>5210.6678325000003</v>
      </c>
    </row>
    <row r="1861" spans="1:3" ht="15" hidden="1" customHeight="1" x14ac:dyDescent="0.3">
      <c r="A1861" t="s">
        <v>163</v>
      </c>
      <c r="B1861" s="2">
        <v>45992</v>
      </c>
      <c r="C1861">
        <v>5439.6663749999998</v>
      </c>
    </row>
    <row r="1862" spans="1:3" ht="15" hidden="1" customHeight="1" x14ac:dyDescent="0.3">
      <c r="A1862" t="s">
        <v>163</v>
      </c>
      <c r="B1862" s="2">
        <v>46023</v>
      </c>
      <c r="C1862">
        <v>5191.4789549999996</v>
      </c>
    </row>
    <row r="1863" spans="1:3" ht="15" hidden="1" customHeight="1" x14ac:dyDescent="0.3">
      <c r="A1863" t="s">
        <v>163</v>
      </c>
      <c r="B1863" s="2">
        <v>46054</v>
      </c>
      <c r="C1863">
        <v>4656.5572949999996</v>
      </c>
    </row>
    <row r="1864" spans="1:3" ht="15" hidden="1" customHeight="1" x14ac:dyDescent="0.3">
      <c r="A1864" t="s">
        <v>163</v>
      </c>
      <c r="B1864" s="2">
        <v>46082</v>
      </c>
      <c r="C1864">
        <v>5018.2718624999998</v>
      </c>
    </row>
    <row r="1865" spans="1:3" ht="15" hidden="1" customHeight="1" x14ac:dyDescent="0.3">
      <c r="A1865" t="s">
        <v>163</v>
      </c>
      <c r="B1865" s="2">
        <v>46113</v>
      </c>
      <c r="C1865">
        <v>4498.5660525000003</v>
      </c>
    </row>
    <row r="1866" spans="1:3" ht="15" hidden="1" customHeight="1" x14ac:dyDescent="0.3">
      <c r="A1866" t="s">
        <v>163</v>
      </c>
      <c r="B1866" s="2">
        <v>46143</v>
      </c>
      <c r="C1866">
        <v>4604.0626124999999</v>
      </c>
    </row>
    <row r="1867" spans="1:3" ht="15" hidden="1" customHeight="1" x14ac:dyDescent="0.3">
      <c r="A1867" t="s">
        <v>163</v>
      </c>
      <c r="B1867" s="2">
        <v>46174</v>
      </c>
      <c r="C1867">
        <v>4265.4254174999996</v>
      </c>
    </row>
    <row r="1868" spans="1:3" ht="15" customHeight="1" x14ac:dyDescent="0.3">
      <c r="A1868" t="s">
        <v>163</v>
      </c>
      <c r="B1868" s="2">
        <v>46204</v>
      </c>
      <c r="C1868">
        <v>4694.8505175</v>
      </c>
    </row>
    <row r="1869" spans="1:3" ht="15" hidden="1" customHeight="1" x14ac:dyDescent="0.3">
      <c r="A1869" t="s">
        <v>163</v>
      </c>
      <c r="B1869" s="2">
        <v>46235</v>
      </c>
      <c r="C1869">
        <v>5144.2252875000004</v>
      </c>
    </row>
    <row r="1870" spans="1:3" ht="15" hidden="1" customHeight="1" x14ac:dyDescent="0.3">
      <c r="A1870" t="s">
        <v>163</v>
      </c>
      <c r="B1870" s="2">
        <v>46266</v>
      </c>
      <c r="C1870">
        <v>5295.0312674999996</v>
      </c>
    </row>
    <row r="1871" spans="1:3" ht="15" hidden="1" customHeight="1" x14ac:dyDescent="0.3">
      <c r="A1871" t="s">
        <v>163</v>
      </c>
      <c r="B1871" s="2">
        <v>46296</v>
      </c>
      <c r="C1871">
        <v>5391.4828500000003</v>
      </c>
    </row>
    <row r="1872" spans="1:3" ht="15" hidden="1" customHeight="1" x14ac:dyDescent="0.3">
      <c r="A1872" t="s">
        <v>163</v>
      </c>
      <c r="B1872" s="2">
        <v>46327</v>
      </c>
      <c r="C1872">
        <v>5210.6678325000003</v>
      </c>
    </row>
    <row r="1873" spans="1:3" ht="15" hidden="1" customHeight="1" x14ac:dyDescent="0.3">
      <c r="A1873" t="s">
        <v>163</v>
      </c>
      <c r="B1873" s="2">
        <v>46357</v>
      </c>
      <c r="C1873">
        <v>5439.6663749999998</v>
      </c>
    </row>
    <row r="1874" spans="1:3" ht="15" hidden="1" customHeight="1" x14ac:dyDescent="0.3">
      <c r="A1874" t="s">
        <v>166</v>
      </c>
      <c r="B1874" s="2">
        <v>45292</v>
      </c>
      <c r="C1874">
        <v>23005.8</v>
      </c>
    </row>
    <row r="1875" spans="1:3" ht="15" hidden="1" customHeight="1" x14ac:dyDescent="0.3">
      <c r="A1875" t="s">
        <v>166</v>
      </c>
      <c r="B1875" s="2">
        <v>45323</v>
      </c>
      <c r="C1875">
        <v>19888.2</v>
      </c>
    </row>
    <row r="1876" spans="1:3" ht="15" hidden="1" customHeight="1" x14ac:dyDescent="0.3">
      <c r="A1876" t="s">
        <v>166</v>
      </c>
      <c r="B1876" s="2">
        <v>45352</v>
      </c>
      <c r="C1876">
        <v>21952.799999999999</v>
      </c>
    </row>
    <row r="1877" spans="1:3" ht="15" hidden="1" customHeight="1" x14ac:dyDescent="0.3">
      <c r="A1877" t="s">
        <v>166</v>
      </c>
      <c r="B1877" s="2">
        <v>45383</v>
      </c>
      <c r="C1877">
        <v>21444.3</v>
      </c>
    </row>
    <row r="1878" spans="1:3" ht="15" hidden="1" customHeight="1" x14ac:dyDescent="0.3">
      <c r="A1878" t="s">
        <v>166</v>
      </c>
      <c r="B1878" s="2">
        <v>45413</v>
      </c>
      <c r="C1878">
        <v>20688.3</v>
      </c>
    </row>
    <row r="1879" spans="1:3" ht="15" hidden="1" customHeight="1" x14ac:dyDescent="0.3">
      <c r="A1879" t="s">
        <v>166</v>
      </c>
      <c r="B1879" s="2">
        <v>45444</v>
      </c>
      <c r="C1879">
        <v>18646.2</v>
      </c>
    </row>
    <row r="1880" spans="1:3" ht="15" hidden="1" customHeight="1" x14ac:dyDescent="0.3">
      <c r="A1880" t="s">
        <v>166</v>
      </c>
      <c r="B1880" s="2">
        <v>45474</v>
      </c>
      <c r="C1880">
        <v>19629.900000000001</v>
      </c>
    </row>
    <row r="1881" spans="1:3" ht="15" hidden="1" customHeight="1" x14ac:dyDescent="0.3">
      <c r="A1881" t="s">
        <v>166</v>
      </c>
      <c r="B1881" s="2">
        <v>45505</v>
      </c>
      <c r="C1881">
        <v>22998.6</v>
      </c>
    </row>
    <row r="1882" spans="1:3" ht="15" hidden="1" customHeight="1" x14ac:dyDescent="0.3">
      <c r="A1882" t="s">
        <v>166</v>
      </c>
      <c r="B1882" s="2">
        <v>45536</v>
      </c>
      <c r="C1882">
        <v>22670.1</v>
      </c>
    </row>
    <row r="1883" spans="1:3" ht="15" hidden="1" customHeight="1" x14ac:dyDescent="0.3">
      <c r="A1883" t="s">
        <v>166</v>
      </c>
      <c r="B1883" s="2">
        <v>45566</v>
      </c>
      <c r="C1883">
        <v>22045.5</v>
      </c>
    </row>
    <row r="1884" spans="1:3" ht="15" hidden="1" customHeight="1" x14ac:dyDescent="0.3">
      <c r="A1884" t="s">
        <v>166</v>
      </c>
      <c r="B1884" s="2">
        <v>45597</v>
      </c>
      <c r="C1884">
        <v>22062.6</v>
      </c>
    </row>
    <row r="1885" spans="1:3" ht="15" hidden="1" customHeight="1" x14ac:dyDescent="0.3">
      <c r="A1885" t="s">
        <v>166</v>
      </c>
      <c r="B1885" s="2">
        <v>45627</v>
      </c>
      <c r="C1885">
        <v>23333.4</v>
      </c>
    </row>
    <row r="1886" spans="1:3" ht="15" hidden="1" customHeight="1" x14ac:dyDescent="0.3">
      <c r="A1886" t="s">
        <v>166</v>
      </c>
      <c r="B1886" s="2">
        <v>45658</v>
      </c>
      <c r="C1886">
        <v>23005.8</v>
      </c>
    </row>
    <row r="1887" spans="1:3" ht="15" hidden="1" customHeight="1" x14ac:dyDescent="0.3">
      <c r="A1887" t="s">
        <v>166</v>
      </c>
      <c r="B1887" s="2">
        <v>45689</v>
      </c>
      <c r="C1887">
        <v>19888.2</v>
      </c>
    </row>
    <row r="1888" spans="1:3" ht="15" hidden="1" customHeight="1" x14ac:dyDescent="0.3">
      <c r="A1888" t="s">
        <v>166</v>
      </c>
      <c r="B1888" s="2">
        <v>45717</v>
      </c>
      <c r="C1888">
        <v>21952.799999999999</v>
      </c>
    </row>
    <row r="1889" spans="1:3" ht="15" hidden="1" customHeight="1" x14ac:dyDescent="0.3">
      <c r="A1889" t="s">
        <v>166</v>
      </c>
      <c r="B1889" s="2">
        <v>45748</v>
      </c>
      <c r="C1889">
        <v>21444.3</v>
      </c>
    </row>
    <row r="1890" spans="1:3" ht="15" hidden="1" customHeight="1" x14ac:dyDescent="0.3">
      <c r="A1890" t="s">
        <v>166</v>
      </c>
      <c r="B1890" s="2">
        <v>45778</v>
      </c>
      <c r="C1890">
        <v>20688.3</v>
      </c>
    </row>
    <row r="1891" spans="1:3" ht="15" hidden="1" customHeight="1" x14ac:dyDescent="0.3">
      <c r="A1891" t="s">
        <v>166</v>
      </c>
      <c r="B1891" s="2">
        <v>45809</v>
      </c>
      <c r="C1891">
        <v>18646.2</v>
      </c>
    </row>
    <row r="1892" spans="1:3" ht="15" hidden="1" customHeight="1" x14ac:dyDescent="0.3">
      <c r="A1892" t="s">
        <v>166</v>
      </c>
      <c r="B1892" s="2">
        <v>45839</v>
      </c>
      <c r="C1892">
        <v>19629.900000000001</v>
      </c>
    </row>
    <row r="1893" spans="1:3" ht="15" hidden="1" customHeight="1" x14ac:dyDescent="0.3">
      <c r="A1893" t="s">
        <v>166</v>
      </c>
      <c r="B1893" s="2">
        <v>45870</v>
      </c>
      <c r="C1893">
        <v>22998.6</v>
      </c>
    </row>
    <row r="1894" spans="1:3" ht="15" hidden="1" customHeight="1" x14ac:dyDescent="0.3">
      <c r="A1894" t="s">
        <v>166</v>
      </c>
      <c r="B1894" s="2">
        <v>45901</v>
      </c>
      <c r="C1894">
        <v>22670.1</v>
      </c>
    </row>
    <row r="1895" spans="1:3" ht="15" hidden="1" customHeight="1" x14ac:dyDescent="0.3">
      <c r="A1895" t="s">
        <v>166</v>
      </c>
      <c r="B1895" s="2">
        <v>45931</v>
      </c>
      <c r="C1895">
        <v>22045.5</v>
      </c>
    </row>
    <row r="1896" spans="1:3" ht="15" hidden="1" customHeight="1" x14ac:dyDescent="0.3">
      <c r="A1896" t="s">
        <v>166</v>
      </c>
      <c r="B1896" s="2">
        <v>45962</v>
      </c>
      <c r="C1896">
        <v>22062.6</v>
      </c>
    </row>
    <row r="1897" spans="1:3" ht="15" hidden="1" customHeight="1" x14ac:dyDescent="0.3">
      <c r="A1897" t="s">
        <v>166</v>
      </c>
      <c r="B1897" s="2">
        <v>45992</v>
      </c>
      <c r="C1897">
        <v>23333.4</v>
      </c>
    </row>
    <row r="1898" spans="1:3" ht="15" hidden="1" customHeight="1" x14ac:dyDescent="0.3">
      <c r="A1898" t="s">
        <v>166</v>
      </c>
      <c r="B1898" s="2">
        <v>46023</v>
      </c>
      <c r="C1898">
        <v>23005.8</v>
      </c>
    </row>
    <row r="1899" spans="1:3" ht="15" hidden="1" customHeight="1" x14ac:dyDescent="0.3">
      <c r="A1899" t="s">
        <v>166</v>
      </c>
      <c r="B1899" s="2">
        <v>46054</v>
      </c>
      <c r="C1899">
        <v>19888.2</v>
      </c>
    </row>
    <row r="1900" spans="1:3" ht="15" hidden="1" customHeight="1" x14ac:dyDescent="0.3">
      <c r="A1900" t="s">
        <v>166</v>
      </c>
      <c r="B1900" s="2">
        <v>46082</v>
      </c>
      <c r="C1900">
        <v>21952.799999999999</v>
      </c>
    </row>
    <row r="1901" spans="1:3" ht="15" hidden="1" customHeight="1" x14ac:dyDescent="0.3">
      <c r="A1901" t="s">
        <v>166</v>
      </c>
      <c r="B1901" s="2">
        <v>46113</v>
      </c>
      <c r="C1901">
        <v>21444.3</v>
      </c>
    </row>
    <row r="1902" spans="1:3" ht="15" hidden="1" customHeight="1" x14ac:dyDescent="0.3">
      <c r="A1902" t="s">
        <v>166</v>
      </c>
      <c r="B1902" s="2">
        <v>46143</v>
      </c>
      <c r="C1902">
        <v>20688.3</v>
      </c>
    </row>
    <row r="1903" spans="1:3" ht="15" hidden="1" customHeight="1" x14ac:dyDescent="0.3">
      <c r="A1903" t="s">
        <v>166</v>
      </c>
      <c r="B1903" s="2">
        <v>46174</v>
      </c>
      <c r="C1903">
        <v>18646.2</v>
      </c>
    </row>
    <row r="1904" spans="1:3" ht="15" customHeight="1" x14ac:dyDescent="0.3">
      <c r="A1904" t="s">
        <v>166</v>
      </c>
      <c r="B1904" s="2">
        <v>46204</v>
      </c>
      <c r="C1904">
        <v>19629.900000000001</v>
      </c>
    </row>
    <row r="1905" spans="1:3" ht="15" hidden="1" customHeight="1" x14ac:dyDescent="0.3">
      <c r="A1905" t="s">
        <v>166</v>
      </c>
      <c r="B1905" s="2">
        <v>46235</v>
      </c>
      <c r="C1905">
        <v>22998.6</v>
      </c>
    </row>
    <row r="1906" spans="1:3" ht="15" hidden="1" customHeight="1" x14ac:dyDescent="0.3">
      <c r="A1906" t="s">
        <v>166</v>
      </c>
      <c r="B1906" s="2">
        <v>46266</v>
      </c>
      <c r="C1906">
        <v>22670.1</v>
      </c>
    </row>
    <row r="1907" spans="1:3" ht="15" hidden="1" customHeight="1" x14ac:dyDescent="0.3">
      <c r="A1907" t="s">
        <v>166</v>
      </c>
      <c r="B1907" s="2">
        <v>46296</v>
      </c>
      <c r="C1907">
        <v>22045.5</v>
      </c>
    </row>
    <row r="1908" spans="1:3" ht="15" hidden="1" customHeight="1" x14ac:dyDescent="0.3">
      <c r="A1908" t="s">
        <v>166</v>
      </c>
      <c r="B1908" s="2">
        <v>46327</v>
      </c>
      <c r="C1908">
        <v>22062.6</v>
      </c>
    </row>
    <row r="1909" spans="1:3" ht="15" hidden="1" customHeight="1" x14ac:dyDescent="0.3">
      <c r="A1909" t="s">
        <v>166</v>
      </c>
      <c r="B1909" s="2">
        <v>46357</v>
      </c>
      <c r="C1909">
        <v>23333.4</v>
      </c>
    </row>
    <row r="1910" spans="1:3" ht="15" hidden="1" customHeight="1" x14ac:dyDescent="0.3">
      <c r="A1910" t="s">
        <v>169</v>
      </c>
      <c r="B1910" s="2">
        <v>45292</v>
      </c>
      <c r="C1910">
        <v>3308.4549999999999</v>
      </c>
    </row>
    <row r="1911" spans="1:3" ht="15" hidden="1" customHeight="1" x14ac:dyDescent="0.3">
      <c r="A1911" t="s">
        <v>169</v>
      </c>
      <c r="B1911" s="2">
        <v>45323</v>
      </c>
      <c r="C1911">
        <v>2856.5949999999998</v>
      </c>
    </row>
    <row r="1912" spans="1:3" ht="15" hidden="1" customHeight="1" x14ac:dyDescent="0.3">
      <c r="A1912" t="s">
        <v>169</v>
      </c>
      <c r="B1912" s="2">
        <v>45352</v>
      </c>
      <c r="C1912">
        <v>3155.625</v>
      </c>
    </row>
    <row r="1913" spans="1:3" ht="15" hidden="1" customHeight="1" x14ac:dyDescent="0.3">
      <c r="A1913" t="s">
        <v>169</v>
      </c>
      <c r="B1913" s="2">
        <v>45383</v>
      </c>
      <c r="C1913">
        <v>3081.8449999999998</v>
      </c>
    </row>
    <row r="1914" spans="1:3" ht="15" hidden="1" customHeight="1" x14ac:dyDescent="0.3">
      <c r="A1914" t="s">
        <v>169</v>
      </c>
      <c r="B1914" s="2">
        <v>45413</v>
      </c>
      <c r="C1914">
        <v>2972.875</v>
      </c>
    </row>
    <row r="1915" spans="1:3" ht="15" hidden="1" customHeight="1" x14ac:dyDescent="0.3">
      <c r="A1915" t="s">
        <v>169</v>
      </c>
      <c r="B1915" s="2">
        <v>45444</v>
      </c>
      <c r="C1915">
        <v>2678.69</v>
      </c>
    </row>
    <row r="1916" spans="1:3" ht="15" hidden="1" customHeight="1" x14ac:dyDescent="0.3">
      <c r="A1916" t="s">
        <v>169</v>
      </c>
      <c r="B1916" s="2">
        <v>45474</v>
      </c>
      <c r="C1916">
        <v>2819.0250000000001</v>
      </c>
    </row>
    <row r="1917" spans="1:3" ht="15" hidden="1" customHeight="1" x14ac:dyDescent="0.3">
      <c r="A1917" t="s">
        <v>169</v>
      </c>
      <c r="B1917" s="2">
        <v>45505</v>
      </c>
      <c r="C1917">
        <v>3304.375</v>
      </c>
    </row>
    <row r="1918" spans="1:3" ht="15" hidden="1" customHeight="1" x14ac:dyDescent="0.3">
      <c r="A1918" t="s">
        <v>169</v>
      </c>
      <c r="B1918" s="2">
        <v>45536</v>
      </c>
      <c r="C1918">
        <v>3255.7550000000001</v>
      </c>
    </row>
    <row r="1919" spans="1:3" ht="15" hidden="1" customHeight="1" x14ac:dyDescent="0.3">
      <c r="A1919" t="s">
        <v>169</v>
      </c>
      <c r="B1919" s="2">
        <v>45566</v>
      </c>
      <c r="C1919">
        <v>3170.2449999999999</v>
      </c>
    </row>
    <row r="1920" spans="1:3" ht="15" hidden="1" customHeight="1" x14ac:dyDescent="0.3">
      <c r="A1920" t="s">
        <v>169</v>
      </c>
      <c r="B1920" s="2">
        <v>45597</v>
      </c>
      <c r="C1920">
        <v>3173.1350000000002</v>
      </c>
    </row>
    <row r="1921" spans="1:3" ht="15" hidden="1" customHeight="1" x14ac:dyDescent="0.3">
      <c r="A1921" t="s">
        <v>169</v>
      </c>
      <c r="B1921" s="2">
        <v>45627</v>
      </c>
      <c r="C1921">
        <v>3354.1849999999999</v>
      </c>
    </row>
    <row r="1922" spans="1:3" ht="15" hidden="1" customHeight="1" x14ac:dyDescent="0.3">
      <c r="A1922" t="s">
        <v>169</v>
      </c>
      <c r="B1922" s="2">
        <v>45658</v>
      </c>
      <c r="C1922">
        <v>3308.4549999999999</v>
      </c>
    </row>
    <row r="1923" spans="1:3" ht="15" hidden="1" customHeight="1" x14ac:dyDescent="0.3">
      <c r="A1923" t="s">
        <v>169</v>
      </c>
      <c r="B1923" s="2">
        <v>45689</v>
      </c>
      <c r="C1923">
        <v>2856.5949999999998</v>
      </c>
    </row>
    <row r="1924" spans="1:3" ht="15" hidden="1" customHeight="1" x14ac:dyDescent="0.3">
      <c r="A1924" t="s">
        <v>169</v>
      </c>
      <c r="B1924" s="2">
        <v>45717</v>
      </c>
      <c r="C1924">
        <v>3155.625</v>
      </c>
    </row>
    <row r="1925" spans="1:3" ht="15" hidden="1" customHeight="1" x14ac:dyDescent="0.3">
      <c r="A1925" t="s">
        <v>169</v>
      </c>
      <c r="B1925" s="2">
        <v>45748</v>
      </c>
      <c r="C1925">
        <v>3081.8449999999998</v>
      </c>
    </row>
    <row r="1926" spans="1:3" ht="15" hidden="1" customHeight="1" x14ac:dyDescent="0.3">
      <c r="A1926" t="s">
        <v>169</v>
      </c>
      <c r="B1926" s="2">
        <v>45778</v>
      </c>
      <c r="C1926">
        <v>2972.875</v>
      </c>
    </row>
    <row r="1927" spans="1:3" ht="15" hidden="1" customHeight="1" x14ac:dyDescent="0.3">
      <c r="A1927" t="s">
        <v>169</v>
      </c>
      <c r="B1927" s="2">
        <v>45809</v>
      </c>
      <c r="C1927">
        <v>2678.69</v>
      </c>
    </row>
    <row r="1928" spans="1:3" ht="15" hidden="1" customHeight="1" x14ac:dyDescent="0.3">
      <c r="A1928" t="s">
        <v>169</v>
      </c>
      <c r="B1928" s="2">
        <v>45839</v>
      </c>
      <c r="C1928">
        <v>2819.0250000000001</v>
      </c>
    </row>
    <row r="1929" spans="1:3" ht="15" hidden="1" customHeight="1" x14ac:dyDescent="0.3">
      <c r="A1929" t="s">
        <v>169</v>
      </c>
      <c r="B1929" s="2">
        <v>45870</v>
      </c>
      <c r="C1929">
        <v>3304.375</v>
      </c>
    </row>
    <row r="1930" spans="1:3" ht="15" hidden="1" customHeight="1" x14ac:dyDescent="0.3">
      <c r="A1930" t="s">
        <v>169</v>
      </c>
      <c r="B1930" s="2">
        <v>45901</v>
      </c>
      <c r="C1930">
        <v>3255.7550000000001</v>
      </c>
    </row>
    <row r="1931" spans="1:3" ht="15" hidden="1" customHeight="1" x14ac:dyDescent="0.3">
      <c r="A1931" t="s">
        <v>169</v>
      </c>
      <c r="B1931" s="2">
        <v>45931</v>
      </c>
      <c r="C1931">
        <v>3170.2449999999999</v>
      </c>
    </row>
    <row r="1932" spans="1:3" ht="15" hidden="1" customHeight="1" x14ac:dyDescent="0.3">
      <c r="A1932" t="s">
        <v>169</v>
      </c>
      <c r="B1932" s="2">
        <v>45962</v>
      </c>
      <c r="C1932">
        <v>3173.1350000000002</v>
      </c>
    </row>
    <row r="1933" spans="1:3" ht="15" hidden="1" customHeight="1" x14ac:dyDescent="0.3">
      <c r="A1933" t="s">
        <v>169</v>
      </c>
      <c r="B1933" s="2">
        <v>45992</v>
      </c>
      <c r="C1933">
        <v>3354.1849999999999</v>
      </c>
    </row>
    <row r="1934" spans="1:3" ht="15" hidden="1" customHeight="1" x14ac:dyDescent="0.3">
      <c r="A1934" t="s">
        <v>169</v>
      </c>
      <c r="B1934" s="2">
        <v>46023</v>
      </c>
      <c r="C1934">
        <v>3308.4549999999999</v>
      </c>
    </row>
    <row r="1935" spans="1:3" ht="15" hidden="1" customHeight="1" x14ac:dyDescent="0.3">
      <c r="A1935" t="s">
        <v>169</v>
      </c>
      <c r="B1935" s="2">
        <v>46054</v>
      </c>
      <c r="C1935">
        <v>2856.5949999999998</v>
      </c>
    </row>
    <row r="1936" spans="1:3" ht="15" hidden="1" customHeight="1" x14ac:dyDescent="0.3">
      <c r="A1936" t="s">
        <v>169</v>
      </c>
      <c r="B1936" s="2">
        <v>46082</v>
      </c>
      <c r="C1936">
        <v>3155.625</v>
      </c>
    </row>
    <row r="1937" spans="1:3" ht="15" hidden="1" customHeight="1" x14ac:dyDescent="0.3">
      <c r="A1937" t="s">
        <v>169</v>
      </c>
      <c r="B1937" s="2">
        <v>46113</v>
      </c>
      <c r="C1937">
        <v>3081.8449999999998</v>
      </c>
    </row>
    <row r="1938" spans="1:3" ht="15" hidden="1" customHeight="1" x14ac:dyDescent="0.3">
      <c r="A1938" t="s">
        <v>169</v>
      </c>
      <c r="B1938" s="2">
        <v>46143</v>
      </c>
      <c r="C1938">
        <v>2972.875</v>
      </c>
    </row>
    <row r="1939" spans="1:3" ht="15" hidden="1" customHeight="1" x14ac:dyDescent="0.3">
      <c r="A1939" t="s">
        <v>169</v>
      </c>
      <c r="B1939" s="2">
        <v>46174</v>
      </c>
      <c r="C1939">
        <v>2678.69</v>
      </c>
    </row>
    <row r="1940" spans="1:3" ht="15" customHeight="1" x14ac:dyDescent="0.3">
      <c r="A1940" t="s">
        <v>169</v>
      </c>
      <c r="B1940" s="2">
        <v>46204</v>
      </c>
      <c r="C1940">
        <v>2819.0250000000001</v>
      </c>
    </row>
    <row r="1941" spans="1:3" ht="15" hidden="1" customHeight="1" x14ac:dyDescent="0.3">
      <c r="A1941" t="s">
        <v>169</v>
      </c>
      <c r="B1941" s="2">
        <v>46235</v>
      </c>
      <c r="C1941">
        <v>3304.375</v>
      </c>
    </row>
    <row r="1942" spans="1:3" ht="15" hidden="1" customHeight="1" x14ac:dyDescent="0.3">
      <c r="A1942" t="s">
        <v>169</v>
      </c>
      <c r="B1942" s="2">
        <v>46266</v>
      </c>
      <c r="C1942">
        <v>3255.7550000000001</v>
      </c>
    </row>
    <row r="1943" spans="1:3" ht="15" hidden="1" customHeight="1" x14ac:dyDescent="0.3">
      <c r="A1943" t="s">
        <v>169</v>
      </c>
      <c r="B1943" s="2">
        <v>46296</v>
      </c>
      <c r="C1943">
        <v>3170.2449999999999</v>
      </c>
    </row>
    <row r="1944" spans="1:3" ht="15" hidden="1" customHeight="1" x14ac:dyDescent="0.3">
      <c r="A1944" t="s">
        <v>169</v>
      </c>
      <c r="B1944" s="2">
        <v>46327</v>
      </c>
      <c r="C1944">
        <v>3173.1350000000002</v>
      </c>
    </row>
    <row r="1945" spans="1:3" ht="15" hidden="1" customHeight="1" x14ac:dyDescent="0.3">
      <c r="A1945" t="s">
        <v>169</v>
      </c>
      <c r="B1945" s="2">
        <v>46357</v>
      </c>
      <c r="C1945">
        <v>3354.1849999999999</v>
      </c>
    </row>
    <row r="1946" spans="1:3" ht="15" hidden="1" customHeight="1" x14ac:dyDescent="0.3">
      <c r="A1946" t="s">
        <v>171</v>
      </c>
      <c r="B1946" s="2">
        <v>45292</v>
      </c>
      <c r="C1946">
        <v>12489.555</v>
      </c>
    </row>
    <row r="1947" spans="1:3" ht="15" hidden="1" customHeight="1" x14ac:dyDescent="0.3">
      <c r="A1947" t="s">
        <v>171</v>
      </c>
      <c r="B1947" s="2">
        <v>45323</v>
      </c>
      <c r="C1947">
        <v>10877.69</v>
      </c>
    </row>
    <row r="1948" spans="1:3" ht="15" hidden="1" customHeight="1" x14ac:dyDescent="0.3">
      <c r="A1948" t="s">
        <v>171</v>
      </c>
      <c r="B1948" s="2">
        <v>45352</v>
      </c>
      <c r="C1948">
        <v>10897.355</v>
      </c>
    </row>
    <row r="1949" spans="1:3" ht="15" hidden="1" customHeight="1" x14ac:dyDescent="0.3">
      <c r="A1949" t="s">
        <v>171</v>
      </c>
      <c r="B1949" s="2">
        <v>45383</v>
      </c>
      <c r="C1949">
        <v>8757.9549999999999</v>
      </c>
    </row>
    <row r="1950" spans="1:3" ht="15" hidden="1" customHeight="1" x14ac:dyDescent="0.3">
      <c r="A1950" t="s">
        <v>171</v>
      </c>
      <c r="B1950" s="2">
        <v>45413</v>
      </c>
      <c r="C1950">
        <v>7449.4250000000002</v>
      </c>
    </row>
    <row r="1951" spans="1:3" ht="15" hidden="1" customHeight="1" x14ac:dyDescent="0.3">
      <c r="A1951" t="s">
        <v>171</v>
      </c>
      <c r="B1951" s="2">
        <v>45444</v>
      </c>
      <c r="C1951">
        <v>6752.6949999999997</v>
      </c>
    </row>
    <row r="1952" spans="1:3" ht="15" hidden="1" customHeight="1" x14ac:dyDescent="0.3">
      <c r="A1952" t="s">
        <v>171</v>
      </c>
      <c r="B1952" s="2">
        <v>45474</v>
      </c>
      <c r="C1952">
        <v>7274.2449999999999</v>
      </c>
    </row>
    <row r="1953" spans="1:3" ht="15" hidden="1" customHeight="1" x14ac:dyDescent="0.3">
      <c r="A1953" t="s">
        <v>171</v>
      </c>
      <c r="B1953" s="2">
        <v>45505</v>
      </c>
      <c r="C1953">
        <v>8568.7150000000001</v>
      </c>
    </row>
    <row r="1954" spans="1:3" ht="15" hidden="1" customHeight="1" x14ac:dyDescent="0.3">
      <c r="A1954" t="s">
        <v>171</v>
      </c>
      <c r="B1954" s="2">
        <v>45536</v>
      </c>
      <c r="C1954">
        <v>9196</v>
      </c>
    </row>
    <row r="1955" spans="1:3" ht="15" hidden="1" customHeight="1" x14ac:dyDescent="0.3">
      <c r="A1955" t="s">
        <v>171</v>
      </c>
      <c r="B1955" s="2">
        <v>45566</v>
      </c>
      <c r="C1955">
        <v>10753.525</v>
      </c>
    </row>
    <row r="1956" spans="1:3" ht="15" hidden="1" customHeight="1" x14ac:dyDescent="0.3">
      <c r="A1956" t="s">
        <v>171</v>
      </c>
      <c r="B1956" s="2">
        <v>45597</v>
      </c>
      <c r="C1956">
        <v>11159.27</v>
      </c>
    </row>
    <row r="1957" spans="1:3" ht="15" hidden="1" customHeight="1" x14ac:dyDescent="0.3">
      <c r="A1957" t="s">
        <v>171</v>
      </c>
      <c r="B1957" s="2">
        <v>45627</v>
      </c>
      <c r="C1957">
        <v>12687.82</v>
      </c>
    </row>
    <row r="1958" spans="1:3" ht="15" hidden="1" customHeight="1" x14ac:dyDescent="0.3">
      <c r="A1958" t="s">
        <v>171</v>
      </c>
      <c r="B1958" s="2">
        <v>45658</v>
      </c>
      <c r="C1958">
        <v>12489.555</v>
      </c>
    </row>
    <row r="1959" spans="1:3" ht="15" hidden="1" customHeight="1" x14ac:dyDescent="0.3">
      <c r="A1959" t="s">
        <v>171</v>
      </c>
      <c r="B1959" s="2">
        <v>45689</v>
      </c>
      <c r="C1959">
        <v>10877.69</v>
      </c>
    </row>
    <row r="1960" spans="1:3" ht="15" hidden="1" customHeight="1" x14ac:dyDescent="0.3">
      <c r="A1960" t="s">
        <v>171</v>
      </c>
      <c r="B1960" s="2">
        <v>45717</v>
      </c>
      <c r="C1960">
        <v>10897.355</v>
      </c>
    </row>
    <row r="1961" spans="1:3" ht="15" hidden="1" customHeight="1" x14ac:dyDescent="0.3">
      <c r="A1961" t="s">
        <v>171</v>
      </c>
      <c r="B1961" s="2">
        <v>45748</v>
      </c>
      <c r="C1961">
        <v>8757.9549999999999</v>
      </c>
    </row>
    <row r="1962" spans="1:3" ht="15" hidden="1" customHeight="1" x14ac:dyDescent="0.3">
      <c r="A1962" t="s">
        <v>171</v>
      </c>
      <c r="B1962" s="2">
        <v>45778</v>
      </c>
      <c r="C1962">
        <v>7449.4250000000002</v>
      </c>
    </row>
    <row r="1963" spans="1:3" ht="15" hidden="1" customHeight="1" x14ac:dyDescent="0.3">
      <c r="A1963" t="s">
        <v>171</v>
      </c>
      <c r="B1963" s="2">
        <v>45809</v>
      </c>
      <c r="C1963">
        <v>6752.6949999999997</v>
      </c>
    </row>
    <row r="1964" spans="1:3" ht="15" hidden="1" customHeight="1" x14ac:dyDescent="0.3">
      <c r="A1964" t="s">
        <v>171</v>
      </c>
      <c r="B1964" s="2">
        <v>45839</v>
      </c>
      <c r="C1964">
        <v>7274.2449999999999</v>
      </c>
    </row>
    <row r="1965" spans="1:3" ht="15" hidden="1" customHeight="1" x14ac:dyDescent="0.3">
      <c r="A1965" t="s">
        <v>171</v>
      </c>
      <c r="B1965" s="2">
        <v>45870</v>
      </c>
      <c r="C1965">
        <v>8568.7150000000001</v>
      </c>
    </row>
    <row r="1966" spans="1:3" ht="15" hidden="1" customHeight="1" x14ac:dyDescent="0.3">
      <c r="A1966" t="s">
        <v>171</v>
      </c>
      <c r="B1966" s="2">
        <v>45901</v>
      </c>
      <c r="C1966">
        <v>9196</v>
      </c>
    </row>
    <row r="1967" spans="1:3" ht="15" hidden="1" customHeight="1" x14ac:dyDescent="0.3">
      <c r="A1967" t="s">
        <v>171</v>
      </c>
      <c r="B1967" s="2">
        <v>45931</v>
      </c>
      <c r="C1967">
        <v>10753.525</v>
      </c>
    </row>
    <row r="1968" spans="1:3" ht="15" hidden="1" customHeight="1" x14ac:dyDescent="0.3">
      <c r="A1968" t="s">
        <v>171</v>
      </c>
      <c r="B1968" s="2">
        <v>45962</v>
      </c>
      <c r="C1968">
        <v>11159.27</v>
      </c>
    </row>
    <row r="1969" spans="1:3" ht="15" hidden="1" customHeight="1" x14ac:dyDescent="0.3">
      <c r="A1969" t="s">
        <v>171</v>
      </c>
      <c r="B1969" s="2">
        <v>45992</v>
      </c>
      <c r="C1969">
        <v>12687.82</v>
      </c>
    </row>
    <row r="1970" spans="1:3" ht="15" hidden="1" customHeight="1" x14ac:dyDescent="0.3">
      <c r="A1970" t="s">
        <v>171</v>
      </c>
      <c r="B1970" s="2">
        <v>46023</v>
      </c>
      <c r="C1970">
        <v>12489.555</v>
      </c>
    </row>
    <row r="1971" spans="1:3" ht="15" hidden="1" customHeight="1" x14ac:dyDescent="0.3">
      <c r="A1971" t="s">
        <v>171</v>
      </c>
      <c r="B1971" s="2">
        <v>46054</v>
      </c>
      <c r="C1971">
        <v>10877.69</v>
      </c>
    </row>
    <row r="1972" spans="1:3" ht="15" hidden="1" customHeight="1" x14ac:dyDescent="0.3">
      <c r="A1972" t="s">
        <v>171</v>
      </c>
      <c r="B1972" s="2">
        <v>46082</v>
      </c>
      <c r="C1972">
        <v>10897.355</v>
      </c>
    </row>
    <row r="1973" spans="1:3" ht="15" hidden="1" customHeight="1" x14ac:dyDescent="0.3">
      <c r="A1973" t="s">
        <v>171</v>
      </c>
      <c r="B1973" s="2">
        <v>46113</v>
      </c>
      <c r="C1973">
        <v>8757.9549999999999</v>
      </c>
    </row>
    <row r="1974" spans="1:3" ht="15" hidden="1" customHeight="1" x14ac:dyDescent="0.3">
      <c r="A1974" t="s">
        <v>171</v>
      </c>
      <c r="B1974" s="2">
        <v>46143</v>
      </c>
      <c r="C1974">
        <v>7449.4250000000002</v>
      </c>
    </row>
    <row r="1975" spans="1:3" ht="15" hidden="1" customHeight="1" x14ac:dyDescent="0.3">
      <c r="A1975" t="s">
        <v>171</v>
      </c>
      <c r="B1975" s="2">
        <v>46174</v>
      </c>
      <c r="C1975">
        <v>6752.6949999999997</v>
      </c>
    </row>
    <row r="1976" spans="1:3" ht="15" customHeight="1" x14ac:dyDescent="0.3">
      <c r="A1976" t="s">
        <v>171</v>
      </c>
      <c r="B1976" s="2">
        <v>46204</v>
      </c>
      <c r="C1976">
        <v>7274.2449999999999</v>
      </c>
    </row>
    <row r="1977" spans="1:3" ht="15" hidden="1" customHeight="1" x14ac:dyDescent="0.3">
      <c r="A1977" t="s">
        <v>171</v>
      </c>
      <c r="B1977" s="2">
        <v>46235</v>
      </c>
      <c r="C1977">
        <v>8568.7150000000001</v>
      </c>
    </row>
    <row r="1978" spans="1:3" ht="15" hidden="1" customHeight="1" x14ac:dyDescent="0.3">
      <c r="A1978" t="s">
        <v>171</v>
      </c>
      <c r="B1978" s="2">
        <v>46266</v>
      </c>
      <c r="C1978">
        <v>9196</v>
      </c>
    </row>
    <row r="1979" spans="1:3" ht="15" hidden="1" customHeight="1" x14ac:dyDescent="0.3">
      <c r="A1979" t="s">
        <v>171</v>
      </c>
      <c r="B1979" s="2">
        <v>46296</v>
      </c>
      <c r="C1979">
        <v>10753.525</v>
      </c>
    </row>
    <row r="1980" spans="1:3" ht="15" hidden="1" customHeight="1" x14ac:dyDescent="0.3">
      <c r="A1980" t="s">
        <v>171</v>
      </c>
      <c r="B1980" s="2">
        <v>46327</v>
      </c>
      <c r="C1980">
        <v>11159.27</v>
      </c>
    </row>
    <row r="1981" spans="1:3" ht="15" hidden="1" customHeight="1" x14ac:dyDescent="0.3">
      <c r="A1981" t="s">
        <v>171</v>
      </c>
      <c r="B1981" s="2">
        <v>46357</v>
      </c>
      <c r="C1981">
        <v>12687.82</v>
      </c>
    </row>
    <row r="1982" spans="1:3" ht="15" hidden="1" customHeight="1" x14ac:dyDescent="0.3">
      <c r="A1982" t="s">
        <v>172</v>
      </c>
      <c r="B1982" s="2">
        <v>45292</v>
      </c>
      <c r="C1982">
        <v>13218.014999999999</v>
      </c>
    </row>
    <row r="1983" spans="1:3" ht="15" hidden="1" customHeight="1" x14ac:dyDescent="0.3">
      <c r="A1983" t="s">
        <v>172</v>
      </c>
      <c r="B1983" s="2">
        <v>45323</v>
      </c>
      <c r="C1983">
        <v>10966.135</v>
      </c>
    </row>
    <row r="1984" spans="1:3" ht="15" hidden="1" customHeight="1" x14ac:dyDescent="0.3">
      <c r="A1984" t="s">
        <v>172</v>
      </c>
      <c r="B1984" s="2">
        <v>45352</v>
      </c>
      <c r="C1984">
        <v>11441.135</v>
      </c>
    </row>
    <row r="1985" spans="1:3" ht="15" hidden="1" customHeight="1" x14ac:dyDescent="0.3">
      <c r="A1985" t="s">
        <v>172</v>
      </c>
      <c r="B1985" s="2">
        <v>45383</v>
      </c>
      <c r="C1985">
        <v>10004.07</v>
      </c>
    </row>
    <row r="1986" spans="1:3" ht="15" hidden="1" customHeight="1" x14ac:dyDescent="0.3">
      <c r="A1986" t="s">
        <v>172</v>
      </c>
      <c r="B1986" s="2">
        <v>45413</v>
      </c>
      <c r="C1986">
        <v>8979.59</v>
      </c>
    </row>
    <row r="1987" spans="1:3" ht="15" hidden="1" customHeight="1" x14ac:dyDescent="0.3">
      <c r="A1987" t="s">
        <v>172</v>
      </c>
      <c r="B1987" s="2">
        <v>45444</v>
      </c>
      <c r="C1987">
        <v>7800.26</v>
      </c>
    </row>
    <row r="1988" spans="1:3" ht="15" hidden="1" customHeight="1" x14ac:dyDescent="0.3">
      <c r="A1988" t="s">
        <v>172</v>
      </c>
      <c r="B1988" s="2">
        <v>45474</v>
      </c>
      <c r="C1988">
        <v>8635.69</v>
      </c>
    </row>
    <row r="1989" spans="1:3" ht="15" hidden="1" customHeight="1" x14ac:dyDescent="0.3">
      <c r="A1989" t="s">
        <v>172</v>
      </c>
      <c r="B1989" s="2">
        <v>45505</v>
      </c>
      <c r="C1989">
        <v>9829.9349999999995</v>
      </c>
    </row>
    <row r="1990" spans="1:3" ht="15" hidden="1" customHeight="1" x14ac:dyDescent="0.3">
      <c r="A1990" t="s">
        <v>172</v>
      </c>
      <c r="B1990" s="2">
        <v>45536</v>
      </c>
      <c r="C1990">
        <v>10568.94</v>
      </c>
    </row>
    <row r="1991" spans="1:3" ht="15" hidden="1" customHeight="1" x14ac:dyDescent="0.3">
      <c r="A1991" t="s">
        <v>172</v>
      </c>
      <c r="B1991" s="2">
        <v>45566</v>
      </c>
      <c r="C1991">
        <v>11606.34</v>
      </c>
    </row>
    <row r="1992" spans="1:3" ht="15" hidden="1" customHeight="1" x14ac:dyDescent="0.3">
      <c r="A1992" t="s">
        <v>172</v>
      </c>
      <c r="B1992" s="2">
        <v>45597</v>
      </c>
      <c r="C1992">
        <v>12483.285</v>
      </c>
    </row>
    <row r="1993" spans="1:3" ht="15" hidden="1" customHeight="1" x14ac:dyDescent="0.3">
      <c r="A1993" t="s">
        <v>172</v>
      </c>
      <c r="B1993" s="2">
        <v>45627</v>
      </c>
      <c r="C1993">
        <v>13393.575000000001</v>
      </c>
    </row>
    <row r="1994" spans="1:3" ht="15" hidden="1" customHeight="1" x14ac:dyDescent="0.3">
      <c r="A1994" t="s">
        <v>172</v>
      </c>
      <c r="B1994" s="2">
        <v>45658</v>
      </c>
      <c r="C1994">
        <v>13218.014999999999</v>
      </c>
    </row>
    <row r="1995" spans="1:3" ht="15" hidden="1" customHeight="1" x14ac:dyDescent="0.3">
      <c r="A1995" t="s">
        <v>172</v>
      </c>
      <c r="B1995" s="2">
        <v>45689</v>
      </c>
      <c r="C1995">
        <v>10966.135</v>
      </c>
    </row>
    <row r="1996" spans="1:3" ht="15" hidden="1" customHeight="1" x14ac:dyDescent="0.3">
      <c r="A1996" t="s">
        <v>172</v>
      </c>
      <c r="B1996" s="2">
        <v>45717</v>
      </c>
      <c r="C1996">
        <v>11441.135</v>
      </c>
    </row>
    <row r="1997" spans="1:3" ht="15" hidden="1" customHeight="1" x14ac:dyDescent="0.3">
      <c r="A1997" t="s">
        <v>172</v>
      </c>
      <c r="B1997" s="2">
        <v>45748</v>
      </c>
      <c r="C1997">
        <v>10004.07</v>
      </c>
    </row>
    <row r="1998" spans="1:3" ht="15" hidden="1" customHeight="1" x14ac:dyDescent="0.3">
      <c r="A1998" t="s">
        <v>172</v>
      </c>
      <c r="B1998" s="2">
        <v>45778</v>
      </c>
      <c r="C1998">
        <v>8979.59</v>
      </c>
    </row>
    <row r="1999" spans="1:3" ht="15" hidden="1" customHeight="1" x14ac:dyDescent="0.3">
      <c r="A1999" t="s">
        <v>172</v>
      </c>
      <c r="B1999" s="2">
        <v>45809</v>
      </c>
      <c r="C1999">
        <v>7800.26</v>
      </c>
    </row>
    <row r="2000" spans="1:3" ht="15" hidden="1" customHeight="1" x14ac:dyDescent="0.3">
      <c r="A2000" t="s">
        <v>172</v>
      </c>
      <c r="B2000" s="2">
        <v>45839</v>
      </c>
      <c r="C2000">
        <v>8635.69</v>
      </c>
    </row>
    <row r="2001" spans="1:3" ht="15" hidden="1" customHeight="1" x14ac:dyDescent="0.3">
      <c r="A2001" t="s">
        <v>172</v>
      </c>
      <c r="B2001" s="2">
        <v>45870</v>
      </c>
      <c r="C2001">
        <v>9829.9349999999995</v>
      </c>
    </row>
    <row r="2002" spans="1:3" ht="15" hidden="1" customHeight="1" x14ac:dyDescent="0.3">
      <c r="A2002" t="s">
        <v>172</v>
      </c>
      <c r="B2002" s="2">
        <v>45901</v>
      </c>
      <c r="C2002">
        <v>10568.94</v>
      </c>
    </row>
    <row r="2003" spans="1:3" ht="15" hidden="1" customHeight="1" x14ac:dyDescent="0.3">
      <c r="A2003" t="s">
        <v>172</v>
      </c>
      <c r="B2003" s="2">
        <v>45931</v>
      </c>
      <c r="C2003">
        <v>11606.34</v>
      </c>
    </row>
    <row r="2004" spans="1:3" ht="15" hidden="1" customHeight="1" x14ac:dyDescent="0.3">
      <c r="A2004" t="s">
        <v>172</v>
      </c>
      <c r="B2004" s="2">
        <v>45962</v>
      </c>
      <c r="C2004">
        <v>12483.285</v>
      </c>
    </row>
    <row r="2005" spans="1:3" ht="15" hidden="1" customHeight="1" x14ac:dyDescent="0.3">
      <c r="A2005" t="s">
        <v>172</v>
      </c>
      <c r="B2005" s="2">
        <v>45992</v>
      </c>
      <c r="C2005">
        <v>13393.575000000001</v>
      </c>
    </row>
    <row r="2006" spans="1:3" ht="15" hidden="1" customHeight="1" x14ac:dyDescent="0.3">
      <c r="A2006" t="s">
        <v>172</v>
      </c>
      <c r="B2006" s="2">
        <v>46023</v>
      </c>
      <c r="C2006">
        <v>13218.014999999999</v>
      </c>
    </row>
    <row r="2007" spans="1:3" ht="15" hidden="1" customHeight="1" x14ac:dyDescent="0.3">
      <c r="A2007" t="s">
        <v>172</v>
      </c>
      <c r="B2007" s="2">
        <v>46054</v>
      </c>
      <c r="C2007">
        <v>10966.135</v>
      </c>
    </row>
    <row r="2008" spans="1:3" ht="15" hidden="1" customHeight="1" x14ac:dyDescent="0.3">
      <c r="A2008" t="s">
        <v>172</v>
      </c>
      <c r="B2008" s="2">
        <v>46082</v>
      </c>
      <c r="C2008">
        <v>11441.135</v>
      </c>
    </row>
    <row r="2009" spans="1:3" ht="15" hidden="1" customHeight="1" x14ac:dyDescent="0.3">
      <c r="A2009" t="s">
        <v>172</v>
      </c>
      <c r="B2009" s="2">
        <v>46113</v>
      </c>
      <c r="C2009">
        <v>10004.07</v>
      </c>
    </row>
    <row r="2010" spans="1:3" ht="15" hidden="1" customHeight="1" x14ac:dyDescent="0.3">
      <c r="A2010" t="s">
        <v>172</v>
      </c>
      <c r="B2010" s="2">
        <v>46143</v>
      </c>
      <c r="C2010">
        <v>8979.59</v>
      </c>
    </row>
    <row r="2011" spans="1:3" ht="15" hidden="1" customHeight="1" x14ac:dyDescent="0.3">
      <c r="A2011" t="s">
        <v>172</v>
      </c>
      <c r="B2011" s="2">
        <v>46174</v>
      </c>
      <c r="C2011">
        <v>7800.26</v>
      </c>
    </row>
    <row r="2012" spans="1:3" ht="15" customHeight="1" x14ac:dyDescent="0.3">
      <c r="A2012" t="s">
        <v>172</v>
      </c>
      <c r="B2012" s="2">
        <v>46204</v>
      </c>
      <c r="C2012">
        <v>8635.69</v>
      </c>
    </row>
    <row r="2013" spans="1:3" ht="15" hidden="1" customHeight="1" x14ac:dyDescent="0.3">
      <c r="A2013" t="s">
        <v>172</v>
      </c>
      <c r="B2013" s="2">
        <v>46235</v>
      </c>
      <c r="C2013">
        <v>9829.9349999999995</v>
      </c>
    </row>
    <row r="2014" spans="1:3" ht="15" hidden="1" customHeight="1" x14ac:dyDescent="0.3">
      <c r="A2014" t="s">
        <v>172</v>
      </c>
      <c r="B2014" s="2">
        <v>46266</v>
      </c>
      <c r="C2014">
        <v>10568.94</v>
      </c>
    </row>
    <row r="2015" spans="1:3" ht="15" hidden="1" customHeight="1" x14ac:dyDescent="0.3">
      <c r="A2015" t="s">
        <v>172</v>
      </c>
      <c r="B2015" s="2">
        <v>46296</v>
      </c>
      <c r="C2015">
        <v>11606.34</v>
      </c>
    </row>
    <row r="2016" spans="1:3" ht="15" hidden="1" customHeight="1" x14ac:dyDescent="0.3">
      <c r="A2016" t="s">
        <v>172</v>
      </c>
      <c r="B2016" s="2">
        <v>46327</v>
      </c>
      <c r="C2016">
        <v>12483.285</v>
      </c>
    </row>
    <row r="2017" spans="1:3" ht="15" hidden="1" customHeight="1" x14ac:dyDescent="0.3">
      <c r="A2017" t="s">
        <v>172</v>
      </c>
      <c r="B2017" s="2">
        <v>46357</v>
      </c>
      <c r="C2017">
        <v>13393.575000000001</v>
      </c>
    </row>
    <row r="2018" spans="1:3" ht="15" hidden="1" customHeight="1" x14ac:dyDescent="0.3">
      <c r="A2018" t="s">
        <v>177</v>
      </c>
      <c r="B2018" s="2">
        <v>45292</v>
      </c>
      <c r="C2018">
        <v>4359.6000000000004</v>
      </c>
    </row>
    <row r="2019" spans="1:3" ht="15" hidden="1" customHeight="1" x14ac:dyDescent="0.3">
      <c r="A2019" t="s">
        <v>177</v>
      </c>
      <c r="B2019" s="2">
        <v>45323</v>
      </c>
      <c r="C2019">
        <v>3825.9</v>
      </c>
    </row>
    <row r="2020" spans="1:3" ht="15" hidden="1" customHeight="1" x14ac:dyDescent="0.3">
      <c r="A2020" t="s">
        <v>177</v>
      </c>
      <c r="B2020" s="2">
        <v>45352</v>
      </c>
      <c r="C2020">
        <v>4077</v>
      </c>
    </row>
    <row r="2021" spans="1:3" ht="15" hidden="1" customHeight="1" x14ac:dyDescent="0.3">
      <c r="A2021" t="s">
        <v>177</v>
      </c>
      <c r="B2021" s="2">
        <v>45383</v>
      </c>
      <c r="C2021">
        <v>3573.9</v>
      </c>
    </row>
    <row r="2022" spans="1:3" ht="15" hidden="1" customHeight="1" x14ac:dyDescent="0.3">
      <c r="A2022" t="s">
        <v>177</v>
      </c>
      <c r="B2022" s="2">
        <v>45413</v>
      </c>
      <c r="C2022">
        <v>3623.4</v>
      </c>
    </row>
    <row r="2023" spans="1:3" ht="15" hidden="1" customHeight="1" x14ac:dyDescent="0.3">
      <c r="A2023" t="s">
        <v>177</v>
      </c>
      <c r="B2023" s="2">
        <v>45444</v>
      </c>
      <c r="C2023">
        <v>3360.6</v>
      </c>
    </row>
    <row r="2024" spans="1:3" ht="15" hidden="1" customHeight="1" x14ac:dyDescent="0.3">
      <c r="A2024" t="s">
        <v>177</v>
      </c>
      <c r="B2024" s="2">
        <v>45474</v>
      </c>
      <c r="C2024">
        <v>3665.7</v>
      </c>
    </row>
    <row r="2025" spans="1:3" ht="15" hidden="1" customHeight="1" x14ac:dyDescent="0.3">
      <c r="A2025" t="s">
        <v>177</v>
      </c>
      <c r="B2025" s="2">
        <v>45505</v>
      </c>
      <c r="C2025">
        <v>4104</v>
      </c>
    </row>
    <row r="2026" spans="1:3" ht="15" hidden="1" customHeight="1" x14ac:dyDescent="0.3">
      <c r="A2026" t="s">
        <v>177</v>
      </c>
      <c r="B2026" s="2">
        <v>45536</v>
      </c>
      <c r="C2026">
        <v>4274.1000000000004</v>
      </c>
    </row>
    <row r="2027" spans="1:3" ht="15" hidden="1" customHeight="1" x14ac:dyDescent="0.3">
      <c r="A2027" t="s">
        <v>177</v>
      </c>
      <c r="B2027" s="2">
        <v>45566</v>
      </c>
      <c r="C2027">
        <v>4289.3999999999996</v>
      </c>
    </row>
    <row r="2028" spans="1:3" ht="15" hidden="1" customHeight="1" x14ac:dyDescent="0.3">
      <c r="A2028" t="s">
        <v>177</v>
      </c>
      <c r="B2028" s="2">
        <v>45597</v>
      </c>
      <c r="C2028">
        <v>4249.8</v>
      </c>
    </row>
    <row r="2029" spans="1:3" ht="15" hidden="1" customHeight="1" x14ac:dyDescent="0.3">
      <c r="A2029" t="s">
        <v>177</v>
      </c>
      <c r="B2029" s="2">
        <v>45627</v>
      </c>
      <c r="C2029">
        <v>4446</v>
      </c>
    </row>
    <row r="2030" spans="1:3" ht="15" hidden="1" customHeight="1" x14ac:dyDescent="0.3">
      <c r="A2030" t="s">
        <v>177</v>
      </c>
      <c r="B2030" s="2">
        <v>45658</v>
      </c>
      <c r="C2030">
        <v>4359.6000000000004</v>
      </c>
    </row>
    <row r="2031" spans="1:3" ht="15" hidden="1" customHeight="1" x14ac:dyDescent="0.3">
      <c r="A2031" t="s">
        <v>177</v>
      </c>
      <c r="B2031" s="2">
        <v>45689</v>
      </c>
      <c r="C2031">
        <v>3825.9</v>
      </c>
    </row>
    <row r="2032" spans="1:3" ht="15" hidden="1" customHeight="1" x14ac:dyDescent="0.3">
      <c r="A2032" t="s">
        <v>177</v>
      </c>
      <c r="B2032" s="2">
        <v>45717</v>
      </c>
      <c r="C2032">
        <v>4077</v>
      </c>
    </row>
    <row r="2033" spans="1:3" ht="15" hidden="1" customHeight="1" x14ac:dyDescent="0.3">
      <c r="A2033" t="s">
        <v>177</v>
      </c>
      <c r="B2033" s="2">
        <v>45748</v>
      </c>
      <c r="C2033">
        <v>3573.9</v>
      </c>
    </row>
    <row r="2034" spans="1:3" ht="15" hidden="1" customHeight="1" x14ac:dyDescent="0.3">
      <c r="A2034" t="s">
        <v>177</v>
      </c>
      <c r="B2034" s="2">
        <v>45778</v>
      </c>
      <c r="C2034">
        <v>3623.4</v>
      </c>
    </row>
    <row r="2035" spans="1:3" ht="15" hidden="1" customHeight="1" x14ac:dyDescent="0.3">
      <c r="A2035" t="s">
        <v>177</v>
      </c>
      <c r="B2035" s="2">
        <v>45809</v>
      </c>
      <c r="C2035">
        <v>3360.6</v>
      </c>
    </row>
    <row r="2036" spans="1:3" ht="15" hidden="1" customHeight="1" x14ac:dyDescent="0.3">
      <c r="A2036" t="s">
        <v>177</v>
      </c>
      <c r="B2036" s="2">
        <v>45839</v>
      </c>
      <c r="C2036">
        <v>3665.7</v>
      </c>
    </row>
    <row r="2037" spans="1:3" ht="15" hidden="1" customHeight="1" x14ac:dyDescent="0.3">
      <c r="A2037" t="s">
        <v>177</v>
      </c>
      <c r="B2037" s="2">
        <v>45870</v>
      </c>
      <c r="C2037">
        <v>4104</v>
      </c>
    </row>
    <row r="2038" spans="1:3" ht="15" hidden="1" customHeight="1" x14ac:dyDescent="0.3">
      <c r="A2038" t="s">
        <v>177</v>
      </c>
      <c r="B2038" s="2">
        <v>45901</v>
      </c>
      <c r="C2038">
        <v>4274.1000000000004</v>
      </c>
    </row>
    <row r="2039" spans="1:3" ht="15" hidden="1" customHeight="1" x14ac:dyDescent="0.3">
      <c r="A2039" t="s">
        <v>177</v>
      </c>
      <c r="B2039" s="2">
        <v>45931</v>
      </c>
      <c r="C2039">
        <v>4289.3999999999996</v>
      </c>
    </row>
    <row r="2040" spans="1:3" ht="15" hidden="1" customHeight="1" x14ac:dyDescent="0.3">
      <c r="A2040" t="s">
        <v>177</v>
      </c>
      <c r="B2040" s="2">
        <v>45962</v>
      </c>
      <c r="C2040">
        <v>4249.8</v>
      </c>
    </row>
    <row r="2041" spans="1:3" ht="15" hidden="1" customHeight="1" x14ac:dyDescent="0.3">
      <c r="A2041" t="s">
        <v>177</v>
      </c>
      <c r="B2041" s="2">
        <v>45992</v>
      </c>
      <c r="C2041">
        <v>4446</v>
      </c>
    </row>
    <row r="2042" spans="1:3" ht="15" hidden="1" customHeight="1" x14ac:dyDescent="0.3">
      <c r="A2042" t="s">
        <v>177</v>
      </c>
      <c r="B2042" s="2">
        <v>46023</v>
      </c>
      <c r="C2042">
        <v>4359.6000000000004</v>
      </c>
    </row>
    <row r="2043" spans="1:3" ht="15" hidden="1" customHeight="1" x14ac:dyDescent="0.3">
      <c r="A2043" t="s">
        <v>177</v>
      </c>
      <c r="B2043" s="2">
        <v>46054</v>
      </c>
      <c r="C2043">
        <v>3825.9</v>
      </c>
    </row>
    <row r="2044" spans="1:3" ht="15" hidden="1" customHeight="1" x14ac:dyDescent="0.3">
      <c r="A2044" t="s">
        <v>177</v>
      </c>
      <c r="B2044" s="2">
        <v>46082</v>
      </c>
      <c r="C2044">
        <v>4077</v>
      </c>
    </row>
    <row r="2045" spans="1:3" ht="15" hidden="1" customHeight="1" x14ac:dyDescent="0.3">
      <c r="A2045" t="s">
        <v>177</v>
      </c>
      <c r="B2045" s="2">
        <v>46113</v>
      </c>
      <c r="C2045">
        <v>3573.9</v>
      </c>
    </row>
    <row r="2046" spans="1:3" ht="15" hidden="1" customHeight="1" x14ac:dyDescent="0.3">
      <c r="A2046" t="s">
        <v>177</v>
      </c>
      <c r="B2046" s="2">
        <v>46143</v>
      </c>
      <c r="C2046">
        <v>3623.4</v>
      </c>
    </row>
    <row r="2047" spans="1:3" ht="15" hidden="1" customHeight="1" x14ac:dyDescent="0.3">
      <c r="A2047" t="s">
        <v>177</v>
      </c>
      <c r="B2047" s="2">
        <v>46174</v>
      </c>
      <c r="C2047">
        <v>3360.6</v>
      </c>
    </row>
    <row r="2048" spans="1:3" ht="15" customHeight="1" x14ac:dyDescent="0.3">
      <c r="A2048" t="s">
        <v>177</v>
      </c>
      <c r="B2048" s="2">
        <v>46204</v>
      </c>
      <c r="C2048">
        <v>3665.7</v>
      </c>
    </row>
    <row r="2049" spans="1:3" ht="15" hidden="1" customHeight="1" x14ac:dyDescent="0.3">
      <c r="A2049" t="s">
        <v>177</v>
      </c>
      <c r="B2049" s="2">
        <v>46235</v>
      </c>
      <c r="C2049">
        <v>4104</v>
      </c>
    </row>
    <row r="2050" spans="1:3" ht="15" hidden="1" customHeight="1" x14ac:dyDescent="0.3">
      <c r="A2050" t="s">
        <v>177</v>
      </c>
      <c r="B2050" s="2">
        <v>46266</v>
      </c>
      <c r="C2050">
        <v>4274.1000000000004</v>
      </c>
    </row>
    <row r="2051" spans="1:3" ht="15" hidden="1" customHeight="1" x14ac:dyDescent="0.3">
      <c r="A2051" t="s">
        <v>177</v>
      </c>
      <c r="B2051" s="2">
        <v>46296</v>
      </c>
      <c r="C2051">
        <v>4289.3999999999996</v>
      </c>
    </row>
    <row r="2052" spans="1:3" ht="15" hidden="1" customHeight="1" x14ac:dyDescent="0.3">
      <c r="A2052" t="s">
        <v>177</v>
      </c>
      <c r="B2052" s="2">
        <v>46327</v>
      </c>
      <c r="C2052">
        <v>4249.8</v>
      </c>
    </row>
    <row r="2053" spans="1:3" ht="15" hidden="1" customHeight="1" x14ac:dyDescent="0.3">
      <c r="A2053" t="s">
        <v>177</v>
      </c>
      <c r="B2053" s="2">
        <v>46357</v>
      </c>
      <c r="C2053">
        <v>4446</v>
      </c>
    </row>
    <row r="2054" spans="1:3" ht="15" hidden="1" customHeight="1" x14ac:dyDescent="0.3">
      <c r="A2054" t="s">
        <v>265</v>
      </c>
      <c r="B2054" s="2">
        <v>45292</v>
      </c>
      <c r="C2054">
        <v>23065.02</v>
      </c>
    </row>
    <row r="2055" spans="1:3" ht="15" hidden="1" customHeight="1" x14ac:dyDescent="0.3">
      <c r="A2055" t="s">
        <v>265</v>
      </c>
      <c r="B2055" s="2">
        <v>45323</v>
      </c>
      <c r="C2055">
        <v>20354.849999999999</v>
      </c>
    </row>
    <row r="2056" spans="1:3" ht="15" hidden="1" customHeight="1" x14ac:dyDescent="0.3">
      <c r="A2056" t="s">
        <v>265</v>
      </c>
      <c r="B2056" s="2">
        <v>45352</v>
      </c>
      <c r="C2056">
        <v>21716.37</v>
      </c>
    </row>
    <row r="2057" spans="1:3" ht="15" hidden="1" customHeight="1" x14ac:dyDescent="0.3">
      <c r="A2057" t="s">
        <v>265</v>
      </c>
      <c r="B2057" s="2">
        <v>45383</v>
      </c>
      <c r="C2057">
        <v>18847.89</v>
      </c>
    </row>
    <row r="2058" spans="1:3" ht="15" hidden="1" customHeight="1" x14ac:dyDescent="0.3">
      <c r="A2058" t="s">
        <v>265</v>
      </c>
      <c r="B2058" s="2">
        <v>45413</v>
      </c>
      <c r="C2058">
        <v>18700.919999999998</v>
      </c>
    </row>
    <row r="2059" spans="1:3" ht="15" hidden="1" customHeight="1" x14ac:dyDescent="0.3">
      <c r="A2059" t="s">
        <v>265</v>
      </c>
      <c r="B2059" s="2">
        <v>45444</v>
      </c>
      <c r="C2059">
        <v>17164.439999999999</v>
      </c>
    </row>
    <row r="2060" spans="1:3" ht="15" hidden="1" customHeight="1" x14ac:dyDescent="0.3">
      <c r="A2060" t="s">
        <v>265</v>
      </c>
      <c r="B2060" s="2">
        <v>45474</v>
      </c>
      <c r="C2060">
        <v>18821.97</v>
      </c>
    </row>
    <row r="2061" spans="1:3" ht="15" hidden="1" customHeight="1" x14ac:dyDescent="0.3">
      <c r="A2061" t="s">
        <v>265</v>
      </c>
      <c r="B2061" s="2">
        <v>45505</v>
      </c>
      <c r="C2061">
        <v>21497.67</v>
      </c>
    </row>
    <row r="2062" spans="1:3" ht="15" hidden="1" customHeight="1" x14ac:dyDescent="0.3">
      <c r="A2062" t="s">
        <v>265</v>
      </c>
      <c r="B2062" s="2">
        <v>45536</v>
      </c>
      <c r="C2062">
        <v>22688.37</v>
      </c>
    </row>
    <row r="2063" spans="1:3" ht="15" hidden="1" customHeight="1" x14ac:dyDescent="0.3">
      <c r="A2063" t="s">
        <v>265</v>
      </c>
      <c r="B2063" s="2">
        <v>45566</v>
      </c>
      <c r="C2063">
        <v>22841.55</v>
      </c>
    </row>
    <row r="2064" spans="1:3" ht="15" hidden="1" customHeight="1" x14ac:dyDescent="0.3">
      <c r="A2064" t="s">
        <v>265</v>
      </c>
      <c r="B2064" s="2">
        <v>45597</v>
      </c>
      <c r="C2064">
        <v>22507.919999999998</v>
      </c>
    </row>
    <row r="2065" spans="1:3" ht="15" hidden="1" customHeight="1" x14ac:dyDescent="0.3">
      <c r="A2065" t="s">
        <v>265</v>
      </c>
      <c r="B2065" s="2">
        <v>45627</v>
      </c>
      <c r="C2065">
        <v>23494.59</v>
      </c>
    </row>
    <row r="2066" spans="1:3" ht="15" hidden="1" customHeight="1" x14ac:dyDescent="0.3">
      <c r="A2066" t="s">
        <v>265</v>
      </c>
      <c r="B2066" s="2">
        <v>45658</v>
      </c>
      <c r="C2066">
        <v>23065.02</v>
      </c>
    </row>
    <row r="2067" spans="1:3" ht="15" hidden="1" customHeight="1" x14ac:dyDescent="0.3">
      <c r="A2067" t="s">
        <v>265</v>
      </c>
      <c r="B2067" s="2">
        <v>45689</v>
      </c>
      <c r="C2067">
        <v>20354.849999999999</v>
      </c>
    </row>
    <row r="2068" spans="1:3" ht="15" hidden="1" customHeight="1" x14ac:dyDescent="0.3">
      <c r="A2068" t="s">
        <v>265</v>
      </c>
      <c r="B2068" s="2">
        <v>45717</v>
      </c>
      <c r="C2068">
        <v>21716.37</v>
      </c>
    </row>
    <row r="2069" spans="1:3" ht="15" hidden="1" customHeight="1" x14ac:dyDescent="0.3">
      <c r="A2069" t="s">
        <v>265</v>
      </c>
      <c r="B2069" s="2">
        <v>45748</v>
      </c>
      <c r="C2069">
        <v>18847.89</v>
      </c>
    </row>
    <row r="2070" spans="1:3" ht="15" hidden="1" customHeight="1" x14ac:dyDescent="0.3">
      <c r="A2070" t="s">
        <v>265</v>
      </c>
      <c r="B2070" s="2">
        <v>45778</v>
      </c>
      <c r="C2070">
        <v>18700.919999999998</v>
      </c>
    </row>
    <row r="2071" spans="1:3" ht="15" hidden="1" customHeight="1" x14ac:dyDescent="0.3">
      <c r="A2071" t="s">
        <v>265</v>
      </c>
      <c r="B2071" s="2">
        <v>45809</v>
      </c>
      <c r="C2071">
        <v>17164.439999999999</v>
      </c>
    </row>
    <row r="2072" spans="1:3" ht="15" hidden="1" customHeight="1" x14ac:dyDescent="0.3">
      <c r="A2072" t="s">
        <v>265</v>
      </c>
      <c r="B2072" s="2">
        <v>45839</v>
      </c>
      <c r="C2072">
        <v>18821.97</v>
      </c>
    </row>
    <row r="2073" spans="1:3" ht="15" hidden="1" customHeight="1" x14ac:dyDescent="0.3">
      <c r="A2073" t="s">
        <v>265</v>
      </c>
      <c r="B2073" s="2">
        <v>45870</v>
      </c>
      <c r="C2073">
        <v>21497.67</v>
      </c>
    </row>
    <row r="2074" spans="1:3" ht="15" hidden="1" customHeight="1" x14ac:dyDescent="0.3">
      <c r="A2074" t="s">
        <v>265</v>
      </c>
      <c r="B2074" s="2">
        <v>45901</v>
      </c>
      <c r="C2074">
        <v>22688.37</v>
      </c>
    </row>
    <row r="2075" spans="1:3" ht="15" hidden="1" customHeight="1" x14ac:dyDescent="0.3">
      <c r="A2075" t="s">
        <v>265</v>
      </c>
      <c r="B2075" s="2">
        <v>45931</v>
      </c>
      <c r="C2075">
        <v>22841.55</v>
      </c>
    </row>
    <row r="2076" spans="1:3" ht="15" hidden="1" customHeight="1" x14ac:dyDescent="0.3">
      <c r="A2076" t="s">
        <v>265</v>
      </c>
      <c r="B2076" s="2">
        <v>45962</v>
      </c>
      <c r="C2076">
        <v>22507.919999999998</v>
      </c>
    </row>
    <row r="2077" spans="1:3" ht="15" hidden="1" customHeight="1" x14ac:dyDescent="0.3">
      <c r="A2077" t="s">
        <v>265</v>
      </c>
      <c r="B2077" s="2">
        <v>45992</v>
      </c>
      <c r="C2077">
        <v>23494.59</v>
      </c>
    </row>
    <row r="2078" spans="1:3" ht="15" hidden="1" customHeight="1" x14ac:dyDescent="0.3">
      <c r="A2078" t="s">
        <v>265</v>
      </c>
      <c r="B2078" s="2">
        <v>46023</v>
      </c>
      <c r="C2078">
        <v>23065.02</v>
      </c>
    </row>
    <row r="2079" spans="1:3" ht="15" hidden="1" customHeight="1" x14ac:dyDescent="0.3">
      <c r="A2079" t="s">
        <v>265</v>
      </c>
      <c r="B2079" s="2">
        <v>46054</v>
      </c>
      <c r="C2079">
        <v>20354.849999999999</v>
      </c>
    </row>
    <row r="2080" spans="1:3" ht="15" hidden="1" customHeight="1" x14ac:dyDescent="0.3">
      <c r="A2080" t="s">
        <v>265</v>
      </c>
      <c r="B2080" s="2">
        <v>46082</v>
      </c>
      <c r="C2080">
        <v>21716.37</v>
      </c>
    </row>
    <row r="2081" spans="1:3" ht="15" hidden="1" customHeight="1" x14ac:dyDescent="0.3">
      <c r="A2081" t="s">
        <v>265</v>
      </c>
      <c r="B2081" s="2">
        <v>46113</v>
      </c>
      <c r="C2081">
        <v>18847.89</v>
      </c>
    </row>
    <row r="2082" spans="1:3" ht="15" hidden="1" customHeight="1" x14ac:dyDescent="0.3">
      <c r="A2082" t="s">
        <v>265</v>
      </c>
      <c r="B2082" s="2">
        <v>46143</v>
      </c>
      <c r="C2082">
        <v>18700.919999999998</v>
      </c>
    </row>
    <row r="2083" spans="1:3" ht="15" hidden="1" customHeight="1" x14ac:dyDescent="0.3">
      <c r="A2083" t="s">
        <v>265</v>
      </c>
      <c r="B2083" s="2">
        <v>46174</v>
      </c>
      <c r="C2083">
        <v>17164.439999999999</v>
      </c>
    </row>
    <row r="2084" spans="1:3" ht="15" customHeight="1" x14ac:dyDescent="0.3">
      <c r="A2084" t="s">
        <v>265</v>
      </c>
      <c r="B2084" s="2">
        <v>46204</v>
      </c>
      <c r="C2084">
        <v>18821.97</v>
      </c>
    </row>
    <row r="2085" spans="1:3" ht="15" hidden="1" customHeight="1" x14ac:dyDescent="0.3">
      <c r="A2085" t="s">
        <v>265</v>
      </c>
      <c r="B2085" s="2">
        <v>46235</v>
      </c>
      <c r="C2085">
        <v>21497.67</v>
      </c>
    </row>
    <row r="2086" spans="1:3" ht="15" hidden="1" customHeight="1" x14ac:dyDescent="0.3">
      <c r="A2086" t="s">
        <v>265</v>
      </c>
      <c r="B2086" s="2">
        <v>46266</v>
      </c>
      <c r="C2086">
        <v>22688.37</v>
      </c>
    </row>
    <row r="2087" spans="1:3" ht="15" hidden="1" customHeight="1" x14ac:dyDescent="0.3">
      <c r="A2087" t="s">
        <v>265</v>
      </c>
      <c r="B2087" s="2">
        <v>46296</v>
      </c>
      <c r="C2087">
        <v>22841.55</v>
      </c>
    </row>
    <row r="2088" spans="1:3" ht="15" hidden="1" customHeight="1" x14ac:dyDescent="0.3">
      <c r="A2088" t="s">
        <v>265</v>
      </c>
      <c r="B2088" s="2">
        <v>46327</v>
      </c>
      <c r="C2088">
        <v>22507.919999999998</v>
      </c>
    </row>
    <row r="2089" spans="1:3" ht="15" hidden="1" customHeight="1" x14ac:dyDescent="0.3">
      <c r="A2089" t="s">
        <v>265</v>
      </c>
      <c r="B2089" s="2">
        <v>46357</v>
      </c>
      <c r="C2089">
        <v>23494.59</v>
      </c>
    </row>
    <row r="2090" spans="1:3" ht="15" hidden="1" customHeight="1" x14ac:dyDescent="0.3">
      <c r="A2090" t="s">
        <v>180</v>
      </c>
      <c r="B2090" s="2">
        <v>45292</v>
      </c>
      <c r="C2090">
        <v>23724</v>
      </c>
    </row>
    <row r="2091" spans="1:3" ht="15" hidden="1" customHeight="1" x14ac:dyDescent="0.3">
      <c r="A2091" t="s">
        <v>180</v>
      </c>
      <c r="B2091" s="2">
        <v>45323</v>
      </c>
      <c r="C2091">
        <v>20448</v>
      </c>
    </row>
    <row r="2092" spans="1:3" ht="15" hidden="1" customHeight="1" x14ac:dyDescent="0.3">
      <c r="A2092" t="s">
        <v>180</v>
      </c>
      <c r="B2092" s="2">
        <v>45352</v>
      </c>
      <c r="C2092">
        <v>19986.3</v>
      </c>
    </row>
    <row r="2093" spans="1:3" ht="15" hidden="1" customHeight="1" x14ac:dyDescent="0.3">
      <c r="A2093" t="s">
        <v>180</v>
      </c>
      <c r="B2093" s="2">
        <v>45383</v>
      </c>
      <c r="C2093">
        <v>17181.900000000001</v>
      </c>
    </row>
    <row r="2094" spans="1:3" ht="15" hidden="1" customHeight="1" x14ac:dyDescent="0.3">
      <c r="A2094" t="s">
        <v>180</v>
      </c>
      <c r="B2094" s="2">
        <v>45413</v>
      </c>
      <c r="C2094">
        <v>15369.3</v>
      </c>
    </row>
    <row r="2095" spans="1:3" ht="15" hidden="1" customHeight="1" x14ac:dyDescent="0.3">
      <c r="A2095" t="s">
        <v>180</v>
      </c>
      <c r="B2095" s="2">
        <v>45444</v>
      </c>
      <c r="C2095">
        <v>13381.2</v>
      </c>
    </row>
    <row r="2096" spans="1:3" ht="15" hidden="1" customHeight="1" x14ac:dyDescent="0.3">
      <c r="A2096" t="s">
        <v>180</v>
      </c>
      <c r="B2096" s="2">
        <v>45474</v>
      </c>
      <c r="C2096">
        <v>15023.7</v>
      </c>
    </row>
    <row r="2097" spans="1:3" ht="15" hidden="1" customHeight="1" x14ac:dyDescent="0.3">
      <c r="A2097" t="s">
        <v>180</v>
      </c>
      <c r="B2097" s="2">
        <v>45505</v>
      </c>
      <c r="C2097">
        <v>18071.099999999999</v>
      </c>
    </row>
    <row r="2098" spans="1:3" ht="15" hidden="1" customHeight="1" x14ac:dyDescent="0.3">
      <c r="A2098" t="s">
        <v>180</v>
      </c>
      <c r="B2098" s="2">
        <v>45536</v>
      </c>
      <c r="C2098">
        <v>20545.2</v>
      </c>
    </row>
    <row r="2099" spans="1:3" ht="15" hidden="1" customHeight="1" x14ac:dyDescent="0.3">
      <c r="A2099" t="s">
        <v>180</v>
      </c>
      <c r="B2099" s="2">
        <v>45566</v>
      </c>
      <c r="C2099">
        <v>23411.7</v>
      </c>
    </row>
    <row r="2100" spans="1:3" ht="15" hidden="1" customHeight="1" x14ac:dyDescent="0.3">
      <c r="A2100" t="s">
        <v>180</v>
      </c>
      <c r="B2100" s="2">
        <v>45597</v>
      </c>
      <c r="C2100">
        <v>23583.599999999999</v>
      </c>
    </row>
    <row r="2101" spans="1:3" ht="15" hidden="1" customHeight="1" x14ac:dyDescent="0.3">
      <c r="A2101" t="s">
        <v>180</v>
      </c>
      <c r="B2101" s="2">
        <v>45627</v>
      </c>
      <c r="C2101">
        <v>24027.3</v>
      </c>
    </row>
    <row r="2102" spans="1:3" ht="15" hidden="1" customHeight="1" x14ac:dyDescent="0.3">
      <c r="A2102" t="s">
        <v>180</v>
      </c>
      <c r="B2102" s="2">
        <v>45658</v>
      </c>
      <c r="C2102">
        <v>23724</v>
      </c>
    </row>
    <row r="2103" spans="1:3" ht="15" hidden="1" customHeight="1" x14ac:dyDescent="0.3">
      <c r="A2103" t="s">
        <v>180</v>
      </c>
      <c r="B2103" s="2">
        <v>45689</v>
      </c>
      <c r="C2103">
        <v>20448</v>
      </c>
    </row>
    <row r="2104" spans="1:3" ht="15" hidden="1" customHeight="1" x14ac:dyDescent="0.3">
      <c r="A2104" t="s">
        <v>180</v>
      </c>
      <c r="B2104" s="2">
        <v>45717</v>
      </c>
      <c r="C2104">
        <v>19986.3</v>
      </c>
    </row>
    <row r="2105" spans="1:3" ht="15" hidden="1" customHeight="1" x14ac:dyDescent="0.3">
      <c r="A2105" t="s">
        <v>180</v>
      </c>
      <c r="B2105" s="2">
        <v>45748</v>
      </c>
      <c r="C2105">
        <v>17181.900000000001</v>
      </c>
    </row>
    <row r="2106" spans="1:3" ht="15" hidden="1" customHeight="1" x14ac:dyDescent="0.3">
      <c r="A2106" t="s">
        <v>180</v>
      </c>
      <c r="B2106" s="2">
        <v>45778</v>
      </c>
      <c r="C2106">
        <v>15369.3</v>
      </c>
    </row>
    <row r="2107" spans="1:3" ht="15" hidden="1" customHeight="1" x14ac:dyDescent="0.3">
      <c r="A2107" t="s">
        <v>180</v>
      </c>
      <c r="B2107" s="2">
        <v>45809</v>
      </c>
      <c r="C2107">
        <v>13381.2</v>
      </c>
    </row>
    <row r="2108" spans="1:3" ht="15" hidden="1" customHeight="1" x14ac:dyDescent="0.3">
      <c r="A2108" t="s">
        <v>180</v>
      </c>
      <c r="B2108" s="2">
        <v>45839</v>
      </c>
      <c r="C2108">
        <v>15023.7</v>
      </c>
    </row>
    <row r="2109" spans="1:3" ht="15" hidden="1" customHeight="1" x14ac:dyDescent="0.3">
      <c r="A2109" t="s">
        <v>180</v>
      </c>
      <c r="B2109" s="2">
        <v>45870</v>
      </c>
      <c r="C2109">
        <v>18071.099999999999</v>
      </c>
    </row>
    <row r="2110" spans="1:3" ht="15" hidden="1" customHeight="1" x14ac:dyDescent="0.3">
      <c r="A2110" t="s">
        <v>180</v>
      </c>
      <c r="B2110" s="2">
        <v>45901</v>
      </c>
      <c r="C2110">
        <v>20545.2</v>
      </c>
    </row>
    <row r="2111" spans="1:3" ht="15" hidden="1" customHeight="1" x14ac:dyDescent="0.3">
      <c r="A2111" t="s">
        <v>180</v>
      </c>
      <c r="B2111" s="2">
        <v>45931</v>
      </c>
      <c r="C2111">
        <v>23411.7</v>
      </c>
    </row>
    <row r="2112" spans="1:3" ht="15" hidden="1" customHeight="1" x14ac:dyDescent="0.3">
      <c r="A2112" t="s">
        <v>180</v>
      </c>
      <c r="B2112" s="2">
        <v>45962</v>
      </c>
      <c r="C2112">
        <v>23583.599999999999</v>
      </c>
    </row>
    <row r="2113" spans="1:3" ht="15" hidden="1" customHeight="1" x14ac:dyDescent="0.3">
      <c r="A2113" t="s">
        <v>180</v>
      </c>
      <c r="B2113" s="2">
        <v>45992</v>
      </c>
      <c r="C2113">
        <v>24027.3</v>
      </c>
    </row>
    <row r="2114" spans="1:3" ht="15" hidden="1" customHeight="1" x14ac:dyDescent="0.3">
      <c r="A2114" t="s">
        <v>180</v>
      </c>
      <c r="B2114" s="2">
        <v>46023</v>
      </c>
      <c r="C2114">
        <v>23724</v>
      </c>
    </row>
    <row r="2115" spans="1:3" ht="15" hidden="1" customHeight="1" x14ac:dyDescent="0.3">
      <c r="A2115" t="s">
        <v>180</v>
      </c>
      <c r="B2115" s="2">
        <v>46054</v>
      </c>
      <c r="C2115">
        <v>20448</v>
      </c>
    </row>
    <row r="2116" spans="1:3" ht="15" hidden="1" customHeight="1" x14ac:dyDescent="0.3">
      <c r="A2116" t="s">
        <v>180</v>
      </c>
      <c r="B2116" s="2">
        <v>46082</v>
      </c>
      <c r="C2116">
        <v>19986.3</v>
      </c>
    </row>
    <row r="2117" spans="1:3" ht="15" hidden="1" customHeight="1" x14ac:dyDescent="0.3">
      <c r="A2117" t="s">
        <v>180</v>
      </c>
      <c r="B2117" s="2">
        <v>46113</v>
      </c>
      <c r="C2117">
        <v>17181.900000000001</v>
      </c>
    </row>
    <row r="2118" spans="1:3" ht="15" hidden="1" customHeight="1" x14ac:dyDescent="0.3">
      <c r="A2118" t="s">
        <v>180</v>
      </c>
      <c r="B2118" s="2">
        <v>46143</v>
      </c>
      <c r="C2118">
        <v>15369.3</v>
      </c>
    </row>
    <row r="2119" spans="1:3" ht="15" hidden="1" customHeight="1" x14ac:dyDescent="0.3">
      <c r="A2119" t="s">
        <v>180</v>
      </c>
      <c r="B2119" s="2">
        <v>46174</v>
      </c>
      <c r="C2119">
        <v>13381.2</v>
      </c>
    </row>
    <row r="2120" spans="1:3" ht="15" customHeight="1" x14ac:dyDescent="0.3">
      <c r="A2120" t="s">
        <v>180</v>
      </c>
      <c r="B2120" s="2">
        <v>46204</v>
      </c>
      <c r="C2120">
        <v>15023.7</v>
      </c>
    </row>
    <row r="2121" spans="1:3" ht="15" hidden="1" customHeight="1" x14ac:dyDescent="0.3">
      <c r="A2121" t="s">
        <v>180</v>
      </c>
      <c r="B2121" s="2">
        <v>46235</v>
      </c>
      <c r="C2121">
        <v>18071.099999999999</v>
      </c>
    </row>
    <row r="2122" spans="1:3" ht="15" hidden="1" customHeight="1" x14ac:dyDescent="0.3">
      <c r="A2122" t="s">
        <v>180</v>
      </c>
      <c r="B2122" s="2">
        <v>46266</v>
      </c>
      <c r="C2122">
        <v>20545.2</v>
      </c>
    </row>
    <row r="2123" spans="1:3" ht="15" hidden="1" customHeight="1" x14ac:dyDescent="0.3">
      <c r="A2123" t="s">
        <v>180</v>
      </c>
      <c r="B2123" s="2">
        <v>46296</v>
      </c>
      <c r="C2123">
        <v>23411.7</v>
      </c>
    </row>
    <row r="2124" spans="1:3" ht="15" hidden="1" customHeight="1" x14ac:dyDescent="0.3">
      <c r="A2124" t="s">
        <v>180</v>
      </c>
      <c r="B2124" s="2">
        <v>46327</v>
      </c>
      <c r="C2124">
        <v>23583.599999999999</v>
      </c>
    </row>
    <row r="2125" spans="1:3" ht="15" hidden="1" customHeight="1" x14ac:dyDescent="0.3">
      <c r="A2125" t="s">
        <v>180</v>
      </c>
      <c r="B2125" s="2">
        <v>46357</v>
      </c>
      <c r="C2125">
        <v>24027.3</v>
      </c>
    </row>
    <row r="2126" spans="1:3" ht="15" hidden="1" customHeight="1" x14ac:dyDescent="0.3">
      <c r="A2126" t="s">
        <v>241</v>
      </c>
      <c r="B2126" s="2">
        <v>45292</v>
      </c>
      <c r="C2126">
        <v>28380.6</v>
      </c>
    </row>
    <row r="2127" spans="1:3" ht="15" hidden="1" customHeight="1" x14ac:dyDescent="0.3">
      <c r="A2127" t="s">
        <v>241</v>
      </c>
      <c r="B2127" s="2">
        <v>45323</v>
      </c>
      <c r="C2127">
        <v>24379.200000000001</v>
      </c>
    </row>
    <row r="2128" spans="1:3" ht="15" hidden="1" customHeight="1" x14ac:dyDescent="0.3">
      <c r="A2128" t="s">
        <v>241</v>
      </c>
      <c r="B2128" s="2">
        <v>45352</v>
      </c>
      <c r="C2128">
        <v>23351.4</v>
      </c>
    </row>
    <row r="2129" spans="1:3" ht="15" hidden="1" customHeight="1" x14ac:dyDescent="0.3">
      <c r="A2129" t="s">
        <v>241</v>
      </c>
      <c r="B2129" s="2">
        <v>45383</v>
      </c>
      <c r="C2129">
        <v>19887.3</v>
      </c>
    </row>
    <row r="2130" spans="1:3" ht="15" hidden="1" customHeight="1" x14ac:dyDescent="0.3">
      <c r="A2130" t="s">
        <v>241</v>
      </c>
      <c r="B2130" s="2">
        <v>45413</v>
      </c>
      <c r="C2130">
        <v>17745.3</v>
      </c>
    </row>
    <row r="2131" spans="1:3" ht="15" hidden="1" customHeight="1" x14ac:dyDescent="0.3">
      <c r="A2131" t="s">
        <v>241</v>
      </c>
      <c r="B2131" s="2">
        <v>45444</v>
      </c>
      <c r="C2131">
        <v>15502.5</v>
      </c>
    </row>
    <row r="2132" spans="1:3" ht="15" hidden="1" customHeight="1" x14ac:dyDescent="0.3">
      <c r="A2132" t="s">
        <v>241</v>
      </c>
      <c r="B2132" s="2">
        <v>45474</v>
      </c>
      <c r="C2132">
        <v>17358.3</v>
      </c>
    </row>
    <row r="2133" spans="1:3" ht="15" hidden="1" customHeight="1" x14ac:dyDescent="0.3">
      <c r="A2133" t="s">
        <v>241</v>
      </c>
      <c r="B2133" s="2">
        <v>45505</v>
      </c>
      <c r="C2133">
        <v>20842.2</v>
      </c>
    </row>
    <row r="2134" spans="1:3" ht="15" hidden="1" customHeight="1" x14ac:dyDescent="0.3">
      <c r="A2134" t="s">
        <v>241</v>
      </c>
      <c r="B2134" s="2">
        <v>45536</v>
      </c>
      <c r="C2134">
        <v>23841</v>
      </c>
    </row>
    <row r="2135" spans="1:3" ht="15" hidden="1" customHeight="1" x14ac:dyDescent="0.3">
      <c r="A2135" t="s">
        <v>241</v>
      </c>
      <c r="B2135" s="2">
        <v>45566</v>
      </c>
      <c r="C2135">
        <v>27285.3</v>
      </c>
    </row>
    <row r="2136" spans="1:3" ht="15" hidden="1" customHeight="1" x14ac:dyDescent="0.3">
      <c r="A2136" t="s">
        <v>241</v>
      </c>
      <c r="B2136" s="2">
        <v>45597</v>
      </c>
      <c r="C2136">
        <v>27841.5</v>
      </c>
    </row>
    <row r="2137" spans="1:3" ht="15" hidden="1" customHeight="1" x14ac:dyDescent="0.3">
      <c r="A2137" t="s">
        <v>241</v>
      </c>
      <c r="B2137" s="2">
        <v>45627</v>
      </c>
      <c r="C2137">
        <v>28779.3</v>
      </c>
    </row>
    <row r="2138" spans="1:3" ht="15" hidden="1" customHeight="1" x14ac:dyDescent="0.3">
      <c r="A2138" t="s">
        <v>241</v>
      </c>
      <c r="B2138" s="2">
        <v>45658</v>
      </c>
      <c r="C2138">
        <v>28380.6</v>
      </c>
    </row>
    <row r="2139" spans="1:3" ht="15" hidden="1" customHeight="1" x14ac:dyDescent="0.3">
      <c r="A2139" t="s">
        <v>241</v>
      </c>
      <c r="B2139" s="2">
        <v>45689</v>
      </c>
      <c r="C2139">
        <v>24379.200000000001</v>
      </c>
    </row>
    <row r="2140" spans="1:3" ht="15" hidden="1" customHeight="1" x14ac:dyDescent="0.3">
      <c r="A2140" t="s">
        <v>241</v>
      </c>
      <c r="B2140" s="2">
        <v>45717</v>
      </c>
      <c r="C2140">
        <v>23351.4</v>
      </c>
    </row>
    <row r="2141" spans="1:3" ht="15" hidden="1" customHeight="1" x14ac:dyDescent="0.3">
      <c r="A2141" t="s">
        <v>241</v>
      </c>
      <c r="B2141" s="2">
        <v>45748</v>
      </c>
      <c r="C2141">
        <v>19887.3</v>
      </c>
    </row>
    <row r="2142" spans="1:3" ht="15" hidden="1" customHeight="1" x14ac:dyDescent="0.3">
      <c r="A2142" t="s">
        <v>241</v>
      </c>
      <c r="B2142" s="2">
        <v>45778</v>
      </c>
      <c r="C2142">
        <v>17745.3</v>
      </c>
    </row>
    <row r="2143" spans="1:3" ht="15" hidden="1" customHeight="1" x14ac:dyDescent="0.3">
      <c r="A2143" t="s">
        <v>241</v>
      </c>
      <c r="B2143" s="2">
        <v>45809</v>
      </c>
      <c r="C2143">
        <v>15502.5</v>
      </c>
    </row>
    <row r="2144" spans="1:3" ht="15" hidden="1" customHeight="1" x14ac:dyDescent="0.3">
      <c r="A2144" t="s">
        <v>241</v>
      </c>
      <c r="B2144" s="2">
        <v>45839</v>
      </c>
      <c r="C2144">
        <v>17358.3</v>
      </c>
    </row>
    <row r="2145" spans="1:3" ht="15" hidden="1" customHeight="1" x14ac:dyDescent="0.3">
      <c r="A2145" t="s">
        <v>241</v>
      </c>
      <c r="B2145" s="2">
        <v>45870</v>
      </c>
      <c r="C2145">
        <v>20842.2</v>
      </c>
    </row>
    <row r="2146" spans="1:3" ht="15" hidden="1" customHeight="1" x14ac:dyDescent="0.3">
      <c r="A2146" t="s">
        <v>241</v>
      </c>
      <c r="B2146" s="2">
        <v>45901</v>
      </c>
      <c r="C2146">
        <v>23841</v>
      </c>
    </row>
    <row r="2147" spans="1:3" ht="15" hidden="1" customHeight="1" x14ac:dyDescent="0.3">
      <c r="A2147" t="s">
        <v>241</v>
      </c>
      <c r="B2147" s="2">
        <v>45931</v>
      </c>
      <c r="C2147">
        <v>27285.3</v>
      </c>
    </row>
    <row r="2148" spans="1:3" ht="15" hidden="1" customHeight="1" x14ac:dyDescent="0.3">
      <c r="A2148" t="s">
        <v>241</v>
      </c>
      <c r="B2148" s="2">
        <v>45962</v>
      </c>
      <c r="C2148">
        <v>27841.5</v>
      </c>
    </row>
    <row r="2149" spans="1:3" ht="15" hidden="1" customHeight="1" x14ac:dyDescent="0.3">
      <c r="A2149" t="s">
        <v>241</v>
      </c>
      <c r="B2149" s="2">
        <v>45992</v>
      </c>
      <c r="C2149">
        <v>28779.3</v>
      </c>
    </row>
    <row r="2150" spans="1:3" ht="15" hidden="1" customHeight="1" x14ac:dyDescent="0.3">
      <c r="A2150" t="s">
        <v>241</v>
      </c>
      <c r="B2150" s="2">
        <v>46023</v>
      </c>
      <c r="C2150">
        <v>28380.6</v>
      </c>
    </row>
    <row r="2151" spans="1:3" ht="15" hidden="1" customHeight="1" x14ac:dyDescent="0.3">
      <c r="A2151" t="s">
        <v>241</v>
      </c>
      <c r="B2151" s="2">
        <v>46054</v>
      </c>
      <c r="C2151">
        <v>24379.200000000001</v>
      </c>
    </row>
    <row r="2152" spans="1:3" ht="15" hidden="1" customHeight="1" x14ac:dyDescent="0.3">
      <c r="A2152" t="s">
        <v>241</v>
      </c>
      <c r="B2152" s="2">
        <v>46082</v>
      </c>
      <c r="C2152">
        <v>23351.4</v>
      </c>
    </row>
    <row r="2153" spans="1:3" ht="15" hidden="1" customHeight="1" x14ac:dyDescent="0.3">
      <c r="A2153" t="s">
        <v>241</v>
      </c>
      <c r="B2153" s="2">
        <v>46113</v>
      </c>
      <c r="C2153">
        <v>19887.3</v>
      </c>
    </row>
    <row r="2154" spans="1:3" ht="15" hidden="1" customHeight="1" x14ac:dyDescent="0.3">
      <c r="A2154" t="s">
        <v>241</v>
      </c>
      <c r="B2154" s="2">
        <v>46143</v>
      </c>
      <c r="C2154">
        <v>17745.3</v>
      </c>
    </row>
    <row r="2155" spans="1:3" ht="15" hidden="1" customHeight="1" x14ac:dyDescent="0.3">
      <c r="A2155" t="s">
        <v>241</v>
      </c>
      <c r="B2155" s="2">
        <v>46174</v>
      </c>
      <c r="C2155">
        <v>15502.5</v>
      </c>
    </row>
    <row r="2156" spans="1:3" ht="15" customHeight="1" x14ac:dyDescent="0.3">
      <c r="A2156" t="s">
        <v>241</v>
      </c>
      <c r="B2156" s="2">
        <v>46204</v>
      </c>
      <c r="C2156">
        <v>17358.3</v>
      </c>
    </row>
    <row r="2157" spans="1:3" ht="15" hidden="1" customHeight="1" x14ac:dyDescent="0.3">
      <c r="A2157" t="s">
        <v>241</v>
      </c>
      <c r="B2157" s="2">
        <v>46235</v>
      </c>
      <c r="C2157">
        <v>20842.2</v>
      </c>
    </row>
    <row r="2158" spans="1:3" ht="15" hidden="1" customHeight="1" x14ac:dyDescent="0.3">
      <c r="A2158" t="s">
        <v>241</v>
      </c>
      <c r="B2158" s="2">
        <v>46266</v>
      </c>
      <c r="C2158">
        <v>23841</v>
      </c>
    </row>
    <row r="2159" spans="1:3" ht="15" hidden="1" customHeight="1" x14ac:dyDescent="0.3">
      <c r="A2159" t="s">
        <v>241</v>
      </c>
      <c r="B2159" s="2">
        <v>46296</v>
      </c>
      <c r="C2159">
        <v>27285.3</v>
      </c>
    </row>
    <row r="2160" spans="1:3" ht="15" hidden="1" customHeight="1" x14ac:dyDescent="0.3">
      <c r="A2160" t="s">
        <v>241</v>
      </c>
      <c r="B2160" s="2">
        <v>46327</v>
      </c>
      <c r="C2160">
        <v>27841.5</v>
      </c>
    </row>
    <row r="2161" spans="1:3" ht="15" hidden="1" customHeight="1" x14ac:dyDescent="0.3">
      <c r="A2161" t="s">
        <v>241</v>
      </c>
      <c r="B2161" s="2">
        <v>46357</v>
      </c>
      <c r="C2161">
        <v>28779.3</v>
      </c>
    </row>
    <row r="2162" spans="1:3" ht="15" hidden="1" customHeight="1" x14ac:dyDescent="0.3">
      <c r="A2162" t="s">
        <v>182</v>
      </c>
      <c r="B2162" s="2">
        <v>45292</v>
      </c>
      <c r="C2162">
        <v>20564.650000000001</v>
      </c>
    </row>
    <row r="2163" spans="1:3" ht="15" hidden="1" customHeight="1" x14ac:dyDescent="0.3">
      <c r="A2163" t="s">
        <v>182</v>
      </c>
      <c r="B2163" s="2">
        <v>45323</v>
      </c>
      <c r="C2163">
        <v>17491.400000000001</v>
      </c>
    </row>
    <row r="2164" spans="1:3" ht="15" hidden="1" customHeight="1" x14ac:dyDescent="0.3">
      <c r="A2164" t="s">
        <v>182</v>
      </c>
      <c r="B2164" s="2">
        <v>45352</v>
      </c>
      <c r="C2164">
        <v>18246.650000000001</v>
      </c>
    </row>
    <row r="2165" spans="1:3" ht="15" hidden="1" customHeight="1" x14ac:dyDescent="0.3">
      <c r="A2165" t="s">
        <v>182</v>
      </c>
      <c r="B2165" s="2">
        <v>45383</v>
      </c>
      <c r="C2165">
        <v>15297.85</v>
      </c>
    </row>
    <row r="2166" spans="1:3" ht="15" hidden="1" customHeight="1" x14ac:dyDescent="0.3">
      <c r="A2166" t="s">
        <v>182</v>
      </c>
      <c r="B2166" s="2">
        <v>45413</v>
      </c>
      <c r="C2166">
        <v>14953</v>
      </c>
    </row>
    <row r="2167" spans="1:3" ht="15" hidden="1" customHeight="1" x14ac:dyDescent="0.3">
      <c r="A2167" t="s">
        <v>182</v>
      </c>
      <c r="B2167" s="2">
        <v>45444</v>
      </c>
      <c r="C2167">
        <v>13275.3</v>
      </c>
    </row>
    <row r="2168" spans="1:3" ht="15" hidden="1" customHeight="1" x14ac:dyDescent="0.3">
      <c r="A2168" t="s">
        <v>182</v>
      </c>
      <c r="B2168" s="2">
        <v>45474</v>
      </c>
      <c r="C2168">
        <v>14678.45</v>
      </c>
    </row>
    <row r="2169" spans="1:3" ht="15" hidden="1" customHeight="1" x14ac:dyDescent="0.3">
      <c r="A2169" t="s">
        <v>182</v>
      </c>
      <c r="B2169" s="2">
        <v>45505</v>
      </c>
      <c r="C2169">
        <v>17062.95</v>
      </c>
    </row>
    <row r="2170" spans="1:3" ht="15" hidden="1" customHeight="1" x14ac:dyDescent="0.3">
      <c r="A2170" t="s">
        <v>182</v>
      </c>
      <c r="B2170" s="2">
        <v>45536</v>
      </c>
      <c r="C2170">
        <v>18937.3</v>
      </c>
    </row>
    <row r="2171" spans="1:3" ht="15" hidden="1" customHeight="1" x14ac:dyDescent="0.3">
      <c r="A2171" t="s">
        <v>182</v>
      </c>
      <c r="B2171" s="2">
        <v>45566</v>
      </c>
      <c r="C2171">
        <v>20481.05</v>
      </c>
    </row>
    <row r="2172" spans="1:3" ht="15" hidden="1" customHeight="1" x14ac:dyDescent="0.3">
      <c r="A2172" t="s">
        <v>182</v>
      </c>
      <c r="B2172" s="2">
        <v>45597</v>
      </c>
      <c r="C2172">
        <v>20366.099999999999</v>
      </c>
    </row>
    <row r="2173" spans="1:3" ht="15" hidden="1" customHeight="1" x14ac:dyDescent="0.3">
      <c r="A2173" t="s">
        <v>182</v>
      </c>
      <c r="B2173" s="2">
        <v>45627</v>
      </c>
      <c r="C2173">
        <v>21890.85</v>
      </c>
    </row>
    <row r="2174" spans="1:3" ht="15" hidden="1" customHeight="1" x14ac:dyDescent="0.3">
      <c r="A2174" t="s">
        <v>182</v>
      </c>
      <c r="B2174" s="2">
        <v>45658</v>
      </c>
      <c r="C2174">
        <v>20564.650000000001</v>
      </c>
    </row>
    <row r="2175" spans="1:3" ht="15" hidden="1" customHeight="1" x14ac:dyDescent="0.3">
      <c r="A2175" t="s">
        <v>182</v>
      </c>
      <c r="B2175" s="2">
        <v>45689</v>
      </c>
      <c r="C2175">
        <v>17491.400000000001</v>
      </c>
    </row>
    <row r="2176" spans="1:3" ht="15" hidden="1" customHeight="1" x14ac:dyDescent="0.3">
      <c r="A2176" t="s">
        <v>182</v>
      </c>
      <c r="B2176" s="2">
        <v>45717</v>
      </c>
      <c r="C2176">
        <v>18246.650000000001</v>
      </c>
    </row>
    <row r="2177" spans="1:3" ht="15" hidden="1" customHeight="1" x14ac:dyDescent="0.3">
      <c r="A2177" t="s">
        <v>182</v>
      </c>
      <c r="B2177" s="2">
        <v>45748</v>
      </c>
      <c r="C2177">
        <v>15297.85</v>
      </c>
    </row>
    <row r="2178" spans="1:3" ht="15" hidden="1" customHeight="1" x14ac:dyDescent="0.3">
      <c r="A2178" t="s">
        <v>182</v>
      </c>
      <c r="B2178" s="2">
        <v>45778</v>
      </c>
      <c r="C2178">
        <v>14953</v>
      </c>
    </row>
    <row r="2179" spans="1:3" ht="15" hidden="1" customHeight="1" x14ac:dyDescent="0.3">
      <c r="A2179" t="s">
        <v>182</v>
      </c>
      <c r="B2179" s="2">
        <v>45809</v>
      </c>
      <c r="C2179">
        <v>13275.3</v>
      </c>
    </row>
    <row r="2180" spans="1:3" ht="15" hidden="1" customHeight="1" x14ac:dyDescent="0.3">
      <c r="A2180" t="s">
        <v>182</v>
      </c>
      <c r="B2180" s="2">
        <v>45839</v>
      </c>
      <c r="C2180">
        <v>14678.45</v>
      </c>
    </row>
    <row r="2181" spans="1:3" ht="15" hidden="1" customHeight="1" x14ac:dyDescent="0.3">
      <c r="A2181" t="s">
        <v>182</v>
      </c>
      <c r="B2181" s="2">
        <v>45870</v>
      </c>
      <c r="C2181">
        <v>17062.95</v>
      </c>
    </row>
    <row r="2182" spans="1:3" ht="15" hidden="1" customHeight="1" x14ac:dyDescent="0.3">
      <c r="A2182" t="s">
        <v>182</v>
      </c>
      <c r="B2182" s="2">
        <v>45901</v>
      </c>
      <c r="C2182">
        <v>18937.3</v>
      </c>
    </row>
    <row r="2183" spans="1:3" ht="15" hidden="1" customHeight="1" x14ac:dyDescent="0.3">
      <c r="A2183" t="s">
        <v>182</v>
      </c>
      <c r="B2183" s="2">
        <v>45931</v>
      </c>
      <c r="C2183">
        <v>20481.05</v>
      </c>
    </row>
    <row r="2184" spans="1:3" ht="15" hidden="1" customHeight="1" x14ac:dyDescent="0.3">
      <c r="A2184" t="s">
        <v>182</v>
      </c>
      <c r="B2184" s="2">
        <v>45962</v>
      </c>
      <c r="C2184">
        <v>20366.099999999999</v>
      </c>
    </row>
    <row r="2185" spans="1:3" ht="15" hidden="1" customHeight="1" x14ac:dyDescent="0.3">
      <c r="A2185" t="s">
        <v>182</v>
      </c>
      <c r="B2185" s="2">
        <v>45992</v>
      </c>
      <c r="C2185">
        <v>21890.85</v>
      </c>
    </row>
    <row r="2186" spans="1:3" ht="15" hidden="1" customHeight="1" x14ac:dyDescent="0.3">
      <c r="A2186" t="s">
        <v>182</v>
      </c>
      <c r="B2186" s="2">
        <v>46023</v>
      </c>
      <c r="C2186">
        <v>20564.650000000001</v>
      </c>
    </row>
    <row r="2187" spans="1:3" ht="15" hidden="1" customHeight="1" x14ac:dyDescent="0.3">
      <c r="A2187" t="s">
        <v>182</v>
      </c>
      <c r="B2187" s="2">
        <v>46054</v>
      </c>
      <c r="C2187">
        <v>17491.400000000001</v>
      </c>
    </row>
    <row r="2188" spans="1:3" ht="15" hidden="1" customHeight="1" x14ac:dyDescent="0.3">
      <c r="A2188" t="s">
        <v>182</v>
      </c>
      <c r="B2188" s="2">
        <v>46082</v>
      </c>
      <c r="C2188">
        <v>18246.650000000001</v>
      </c>
    </row>
    <row r="2189" spans="1:3" ht="15" hidden="1" customHeight="1" x14ac:dyDescent="0.3">
      <c r="A2189" t="s">
        <v>182</v>
      </c>
      <c r="B2189" s="2">
        <v>46113</v>
      </c>
      <c r="C2189">
        <v>15297.85</v>
      </c>
    </row>
    <row r="2190" spans="1:3" ht="15" hidden="1" customHeight="1" x14ac:dyDescent="0.3">
      <c r="A2190" t="s">
        <v>182</v>
      </c>
      <c r="B2190" s="2">
        <v>46143</v>
      </c>
      <c r="C2190">
        <v>14953</v>
      </c>
    </row>
    <row r="2191" spans="1:3" ht="15" hidden="1" customHeight="1" x14ac:dyDescent="0.3">
      <c r="A2191" t="s">
        <v>182</v>
      </c>
      <c r="B2191" s="2">
        <v>46174</v>
      </c>
      <c r="C2191">
        <v>13275.3</v>
      </c>
    </row>
    <row r="2192" spans="1:3" ht="15" customHeight="1" x14ac:dyDescent="0.3">
      <c r="A2192" t="s">
        <v>182</v>
      </c>
      <c r="B2192" s="2">
        <v>46204</v>
      </c>
      <c r="C2192">
        <v>14678.45</v>
      </c>
    </row>
    <row r="2193" spans="1:3" ht="15" hidden="1" customHeight="1" x14ac:dyDescent="0.3">
      <c r="A2193" t="s">
        <v>182</v>
      </c>
      <c r="B2193" s="2">
        <v>46235</v>
      </c>
      <c r="C2193">
        <v>17062.95</v>
      </c>
    </row>
    <row r="2194" spans="1:3" ht="15" hidden="1" customHeight="1" x14ac:dyDescent="0.3">
      <c r="A2194" t="s">
        <v>182</v>
      </c>
      <c r="B2194" s="2">
        <v>46266</v>
      </c>
      <c r="C2194">
        <v>18937.3</v>
      </c>
    </row>
    <row r="2195" spans="1:3" ht="15" hidden="1" customHeight="1" x14ac:dyDescent="0.3">
      <c r="A2195" t="s">
        <v>182</v>
      </c>
      <c r="B2195" s="2">
        <v>46296</v>
      </c>
      <c r="C2195">
        <v>20481.05</v>
      </c>
    </row>
    <row r="2196" spans="1:3" ht="15" hidden="1" customHeight="1" x14ac:dyDescent="0.3">
      <c r="A2196" t="s">
        <v>182</v>
      </c>
      <c r="B2196" s="2">
        <v>46327</v>
      </c>
      <c r="C2196">
        <v>20366.099999999999</v>
      </c>
    </row>
    <row r="2197" spans="1:3" ht="15" hidden="1" customHeight="1" x14ac:dyDescent="0.3">
      <c r="A2197" t="s">
        <v>182</v>
      </c>
      <c r="B2197" s="2">
        <v>46357</v>
      </c>
      <c r="C2197">
        <v>21890.85</v>
      </c>
    </row>
    <row r="2198" spans="1:3" ht="15" hidden="1" customHeight="1" x14ac:dyDescent="0.3">
      <c r="A2198" t="s">
        <v>184</v>
      </c>
      <c r="B2198" s="2">
        <v>45292</v>
      </c>
      <c r="C2198">
        <v>37513.599999999999</v>
      </c>
    </row>
    <row r="2199" spans="1:3" ht="15" hidden="1" customHeight="1" x14ac:dyDescent="0.3">
      <c r="A2199" t="s">
        <v>184</v>
      </c>
      <c r="B2199" s="2">
        <v>45323</v>
      </c>
      <c r="C2199">
        <v>31212.25</v>
      </c>
    </row>
    <row r="2200" spans="1:3" ht="15" hidden="1" customHeight="1" x14ac:dyDescent="0.3">
      <c r="A2200" t="s">
        <v>184</v>
      </c>
      <c r="B2200" s="2">
        <v>45352</v>
      </c>
      <c r="C2200">
        <v>29700.134999999998</v>
      </c>
    </row>
    <row r="2201" spans="1:3" ht="15" hidden="1" customHeight="1" x14ac:dyDescent="0.3">
      <c r="A2201" t="s">
        <v>184</v>
      </c>
      <c r="B2201" s="2">
        <v>45383</v>
      </c>
      <c r="C2201">
        <v>24898.55</v>
      </c>
    </row>
    <row r="2202" spans="1:3" ht="15" hidden="1" customHeight="1" x14ac:dyDescent="0.3">
      <c r="A2202" t="s">
        <v>184</v>
      </c>
      <c r="B2202" s="2">
        <v>45413</v>
      </c>
      <c r="C2202">
        <v>21981.1</v>
      </c>
    </row>
    <row r="2203" spans="1:3" ht="15" hidden="1" customHeight="1" x14ac:dyDescent="0.3">
      <c r="A2203" t="s">
        <v>184</v>
      </c>
      <c r="B2203" s="2">
        <v>45444</v>
      </c>
      <c r="C2203">
        <v>18982.900000000001</v>
      </c>
    </row>
    <row r="2204" spans="1:3" ht="15" hidden="1" customHeight="1" x14ac:dyDescent="0.3">
      <c r="A2204" t="s">
        <v>184</v>
      </c>
      <c r="B2204" s="2">
        <v>45474</v>
      </c>
      <c r="C2204">
        <v>21551.7</v>
      </c>
    </row>
    <row r="2205" spans="1:3" ht="15" hidden="1" customHeight="1" x14ac:dyDescent="0.3">
      <c r="A2205" t="s">
        <v>184</v>
      </c>
      <c r="B2205" s="2">
        <v>45505</v>
      </c>
      <c r="C2205">
        <v>26041.4</v>
      </c>
    </row>
    <row r="2206" spans="1:3" ht="15" hidden="1" customHeight="1" x14ac:dyDescent="0.3">
      <c r="A2206" t="s">
        <v>184</v>
      </c>
      <c r="B2206" s="2">
        <v>45536</v>
      </c>
      <c r="C2206">
        <v>29888.9</v>
      </c>
    </row>
    <row r="2207" spans="1:3" ht="15" hidden="1" customHeight="1" x14ac:dyDescent="0.3">
      <c r="A2207" t="s">
        <v>184</v>
      </c>
      <c r="B2207" s="2">
        <v>45566</v>
      </c>
      <c r="C2207">
        <v>34705.4</v>
      </c>
    </row>
    <row r="2208" spans="1:3" ht="15" hidden="1" customHeight="1" x14ac:dyDescent="0.3">
      <c r="A2208" t="s">
        <v>184</v>
      </c>
      <c r="B2208" s="2">
        <v>45597</v>
      </c>
      <c r="C2208">
        <v>36881.85</v>
      </c>
    </row>
    <row r="2209" spans="1:3" ht="15" hidden="1" customHeight="1" x14ac:dyDescent="0.3">
      <c r="A2209" t="s">
        <v>184</v>
      </c>
      <c r="B2209" s="2">
        <v>45627</v>
      </c>
      <c r="C2209">
        <v>40110.9</v>
      </c>
    </row>
    <row r="2210" spans="1:3" ht="15" hidden="1" customHeight="1" x14ac:dyDescent="0.3">
      <c r="A2210" t="s">
        <v>184</v>
      </c>
      <c r="B2210" s="2">
        <v>45658</v>
      </c>
      <c r="C2210">
        <v>37513.599999999999</v>
      </c>
    </row>
    <row r="2211" spans="1:3" ht="15" hidden="1" customHeight="1" x14ac:dyDescent="0.3">
      <c r="A2211" t="s">
        <v>184</v>
      </c>
      <c r="B2211" s="2">
        <v>45689</v>
      </c>
      <c r="C2211">
        <v>31212.25</v>
      </c>
    </row>
    <row r="2212" spans="1:3" ht="15" hidden="1" customHeight="1" x14ac:dyDescent="0.3">
      <c r="A2212" t="s">
        <v>184</v>
      </c>
      <c r="B2212" s="2">
        <v>45717</v>
      </c>
      <c r="C2212">
        <v>29700.134999999998</v>
      </c>
    </row>
    <row r="2213" spans="1:3" ht="15" hidden="1" customHeight="1" x14ac:dyDescent="0.3">
      <c r="A2213" t="s">
        <v>184</v>
      </c>
      <c r="B2213" s="2">
        <v>45748</v>
      </c>
      <c r="C2213">
        <v>24898.55</v>
      </c>
    </row>
    <row r="2214" spans="1:3" ht="15" hidden="1" customHeight="1" x14ac:dyDescent="0.3">
      <c r="A2214" t="s">
        <v>184</v>
      </c>
      <c r="B2214" s="2">
        <v>45778</v>
      </c>
      <c r="C2214">
        <v>21981.1</v>
      </c>
    </row>
    <row r="2215" spans="1:3" ht="15" hidden="1" customHeight="1" x14ac:dyDescent="0.3">
      <c r="A2215" t="s">
        <v>184</v>
      </c>
      <c r="B2215" s="2">
        <v>45809</v>
      </c>
      <c r="C2215">
        <v>18982.900000000001</v>
      </c>
    </row>
    <row r="2216" spans="1:3" ht="15" hidden="1" customHeight="1" x14ac:dyDescent="0.3">
      <c r="A2216" t="s">
        <v>184</v>
      </c>
      <c r="B2216" s="2">
        <v>45839</v>
      </c>
      <c r="C2216">
        <v>21551.7</v>
      </c>
    </row>
    <row r="2217" spans="1:3" ht="15" hidden="1" customHeight="1" x14ac:dyDescent="0.3">
      <c r="A2217" t="s">
        <v>184</v>
      </c>
      <c r="B2217" s="2">
        <v>45870</v>
      </c>
      <c r="C2217">
        <v>26041.4</v>
      </c>
    </row>
    <row r="2218" spans="1:3" ht="15" hidden="1" customHeight="1" x14ac:dyDescent="0.3">
      <c r="A2218" t="s">
        <v>184</v>
      </c>
      <c r="B2218" s="2">
        <v>45901</v>
      </c>
      <c r="C2218">
        <v>29888.9</v>
      </c>
    </row>
    <row r="2219" spans="1:3" ht="15" hidden="1" customHeight="1" x14ac:dyDescent="0.3">
      <c r="A2219" t="s">
        <v>184</v>
      </c>
      <c r="B2219" s="2">
        <v>45931</v>
      </c>
      <c r="C2219">
        <v>34705.4</v>
      </c>
    </row>
    <row r="2220" spans="1:3" ht="15" hidden="1" customHeight="1" x14ac:dyDescent="0.3">
      <c r="A2220" t="s">
        <v>184</v>
      </c>
      <c r="B2220" s="2">
        <v>45962</v>
      </c>
      <c r="C2220">
        <v>36881.85</v>
      </c>
    </row>
    <row r="2221" spans="1:3" ht="15" hidden="1" customHeight="1" x14ac:dyDescent="0.3">
      <c r="A2221" t="s">
        <v>184</v>
      </c>
      <c r="B2221" s="2">
        <v>45992</v>
      </c>
      <c r="C2221">
        <v>40110.9</v>
      </c>
    </row>
    <row r="2222" spans="1:3" ht="15" hidden="1" customHeight="1" x14ac:dyDescent="0.3">
      <c r="A2222" t="s">
        <v>184</v>
      </c>
      <c r="B2222" s="2">
        <v>46023</v>
      </c>
      <c r="C2222">
        <v>37513.599999999999</v>
      </c>
    </row>
    <row r="2223" spans="1:3" ht="15" hidden="1" customHeight="1" x14ac:dyDescent="0.3">
      <c r="A2223" t="s">
        <v>184</v>
      </c>
      <c r="B2223" s="2">
        <v>46054</v>
      </c>
      <c r="C2223">
        <v>31212.25</v>
      </c>
    </row>
    <row r="2224" spans="1:3" ht="15" hidden="1" customHeight="1" x14ac:dyDescent="0.3">
      <c r="A2224" t="s">
        <v>184</v>
      </c>
      <c r="B2224" s="2">
        <v>46082</v>
      </c>
      <c r="C2224">
        <v>29700.134999999998</v>
      </c>
    </row>
    <row r="2225" spans="1:3" ht="15" hidden="1" customHeight="1" x14ac:dyDescent="0.3">
      <c r="A2225" t="s">
        <v>184</v>
      </c>
      <c r="B2225" s="2">
        <v>46113</v>
      </c>
      <c r="C2225">
        <v>24898.55</v>
      </c>
    </row>
    <row r="2226" spans="1:3" ht="15" hidden="1" customHeight="1" x14ac:dyDescent="0.3">
      <c r="A2226" t="s">
        <v>184</v>
      </c>
      <c r="B2226" s="2">
        <v>46143</v>
      </c>
      <c r="C2226">
        <v>21981.1</v>
      </c>
    </row>
    <row r="2227" spans="1:3" ht="15" hidden="1" customHeight="1" x14ac:dyDescent="0.3">
      <c r="A2227" t="s">
        <v>184</v>
      </c>
      <c r="B2227" s="2">
        <v>46174</v>
      </c>
      <c r="C2227">
        <v>18982.900000000001</v>
      </c>
    </row>
    <row r="2228" spans="1:3" ht="15" customHeight="1" x14ac:dyDescent="0.3">
      <c r="A2228" t="s">
        <v>184</v>
      </c>
      <c r="B2228" s="2">
        <v>46204</v>
      </c>
      <c r="C2228">
        <v>21551.7</v>
      </c>
    </row>
    <row r="2229" spans="1:3" ht="15" hidden="1" customHeight="1" x14ac:dyDescent="0.3">
      <c r="A2229" t="s">
        <v>184</v>
      </c>
      <c r="B2229" s="2">
        <v>46235</v>
      </c>
      <c r="C2229">
        <v>26041.4</v>
      </c>
    </row>
    <row r="2230" spans="1:3" ht="15" hidden="1" customHeight="1" x14ac:dyDescent="0.3">
      <c r="A2230" t="s">
        <v>184</v>
      </c>
      <c r="B2230" s="2">
        <v>46266</v>
      </c>
      <c r="C2230">
        <v>29888.9</v>
      </c>
    </row>
    <row r="2231" spans="1:3" ht="15" hidden="1" customHeight="1" x14ac:dyDescent="0.3">
      <c r="A2231" t="s">
        <v>184</v>
      </c>
      <c r="B2231" s="2">
        <v>46296</v>
      </c>
      <c r="C2231">
        <v>34705.4</v>
      </c>
    </row>
    <row r="2232" spans="1:3" ht="15" hidden="1" customHeight="1" x14ac:dyDescent="0.3">
      <c r="A2232" t="s">
        <v>184</v>
      </c>
      <c r="B2232" s="2">
        <v>46327</v>
      </c>
      <c r="C2232">
        <v>36881.85</v>
      </c>
    </row>
    <row r="2233" spans="1:3" ht="15" hidden="1" customHeight="1" x14ac:dyDescent="0.3">
      <c r="A2233" t="s">
        <v>184</v>
      </c>
      <c r="B2233" s="2">
        <v>46357</v>
      </c>
      <c r="C2233">
        <v>40110.9</v>
      </c>
    </row>
    <row r="2234" spans="1:3" ht="15" hidden="1" customHeight="1" x14ac:dyDescent="0.3">
      <c r="A2234" t="s">
        <v>186</v>
      </c>
      <c r="B2234" s="2">
        <v>45292</v>
      </c>
      <c r="C2234">
        <v>34074.9</v>
      </c>
    </row>
    <row r="2235" spans="1:3" ht="15" hidden="1" customHeight="1" x14ac:dyDescent="0.3">
      <c r="A2235" t="s">
        <v>186</v>
      </c>
      <c r="B2235" s="2">
        <v>45323</v>
      </c>
      <c r="C2235">
        <v>28396.799999999999</v>
      </c>
    </row>
    <row r="2236" spans="1:3" ht="15" hidden="1" customHeight="1" x14ac:dyDescent="0.3">
      <c r="A2236" t="s">
        <v>186</v>
      </c>
      <c r="B2236" s="2">
        <v>45352</v>
      </c>
      <c r="C2236">
        <v>28665.9</v>
      </c>
    </row>
    <row r="2237" spans="1:3" ht="15" hidden="1" customHeight="1" x14ac:dyDescent="0.3">
      <c r="A2237" t="s">
        <v>186</v>
      </c>
      <c r="B2237" s="2">
        <v>45383</v>
      </c>
      <c r="C2237">
        <v>24411.599999999999</v>
      </c>
    </row>
    <row r="2238" spans="1:3" ht="15" hidden="1" customHeight="1" x14ac:dyDescent="0.3">
      <c r="A2238" t="s">
        <v>186</v>
      </c>
      <c r="B2238" s="2">
        <v>45413</v>
      </c>
      <c r="C2238">
        <v>22266.9</v>
      </c>
    </row>
    <row r="2239" spans="1:3" ht="15" hidden="1" customHeight="1" x14ac:dyDescent="0.3">
      <c r="A2239" t="s">
        <v>186</v>
      </c>
      <c r="B2239" s="2">
        <v>45444</v>
      </c>
      <c r="C2239">
        <v>19791.900000000001</v>
      </c>
    </row>
    <row r="2240" spans="1:3" ht="15" hidden="1" customHeight="1" x14ac:dyDescent="0.3">
      <c r="A2240" t="s">
        <v>186</v>
      </c>
      <c r="B2240" s="2">
        <v>45474</v>
      </c>
      <c r="C2240">
        <v>21774.6</v>
      </c>
    </row>
    <row r="2241" spans="1:3" ht="15" hidden="1" customHeight="1" x14ac:dyDescent="0.3">
      <c r="A2241" t="s">
        <v>186</v>
      </c>
      <c r="B2241" s="2">
        <v>45505</v>
      </c>
      <c r="C2241">
        <v>25973.1</v>
      </c>
    </row>
    <row r="2242" spans="1:3" ht="15" hidden="1" customHeight="1" x14ac:dyDescent="0.3">
      <c r="A2242" t="s">
        <v>186</v>
      </c>
      <c r="B2242" s="2">
        <v>45536</v>
      </c>
      <c r="C2242">
        <v>28984.5</v>
      </c>
    </row>
    <row r="2243" spans="1:3" ht="15" hidden="1" customHeight="1" x14ac:dyDescent="0.3">
      <c r="A2243" t="s">
        <v>186</v>
      </c>
      <c r="B2243" s="2">
        <v>45566</v>
      </c>
      <c r="C2243">
        <v>33058.800000000003</v>
      </c>
    </row>
    <row r="2244" spans="1:3" ht="15" hidden="1" customHeight="1" x14ac:dyDescent="0.3">
      <c r="A2244" t="s">
        <v>186</v>
      </c>
      <c r="B2244" s="2">
        <v>45597</v>
      </c>
      <c r="C2244">
        <v>34366.5</v>
      </c>
    </row>
    <row r="2245" spans="1:3" ht="15" hidden="1" customHeight="1" x14ac:dyDescent="0.3">
      <c r="A2245" t="s">
        <v>186</v>
      </c>
      <c r="B2245" s="2">
        <v>45627</v>
      </c>
      <c r="C2245">
        <v>36320.400000000001</v>
      </c>
    </row>
    <row r="2246" spans="1:3" ht="15" hidden="1" customHeight="1" x14ac:dyDescent="0.3">
      <c r="A2246" t="s">
        <v>186</v>
      </c>
      <c r="B2246" s="2">
        <v>45658</v>
      </c>
      <c r="C2246">
        <v>34074.9</v>
      </c>
    </row>
    <row r="2247" spans="1:3" ht="15" hidden="1" customHeight="1" x14ac:dyDescent="0.3">
      <c r="A2247" t="s">
        <v>186</v>
      </c>
      <c r="B2247" s="2">
        <v>45689</v>
      </c>
      <c r="C2247">
        <v>28396.799999999999</v>
      </c>
    </row>
    <row r="2248" spans="1:3" ht="15" hidden="1" customHeight="1" x14ac:dyDescent="0.3">
      <c r="A2248" t="s">
        <v>186</v>
      </c>
      <c r="B2248" s="2">
        <v>45717</v>
      </c>
      <c r="C2248">
        <v>28665.9</v>
      </c>
    </row>
    <row r="2249" spans="1:3" ht="15" hidden="1" customHeight="1" x14ac:dyDescent="0.3">
      <c r="A2249" t="s">
        <v>186</v>
      </c>
      <c r="B2249" s="2">
        <v>45748</v>
      </c>
      <c r="C2249">
        <v>24411.599999999999</v>
      </c>
    </row>
    <row r="2250" spans="1:3" ht="15" hidden="1" customHeight="1" x14ac:dyDescent="0.3">
      <c r="A2250" t="s">
        <v>186</v>
      </c>
      <c r="B2250" s="2">
        <v>45778</v>
      </c>
      <c r="C2250">
        <v>22266.9</v>
      </c>
    </row>
    <row r="2251" spans="1:3" ht="15" hidden="1" customHeight="1" x14ac:dyDescent="0.3">
      <c r="A2251" t="s">
        <v>186</v>
      </c>
      <c r="B2251" s="2">
        <v>45809</v>
      </c>
      <c r="C2251">
        <v>19791.900000000001</v>
      </c>
    </row>
    <row r="2252" spans="1:3" ht="15" hidden="1" customHeight="1" x14ac:dyDescent="0.3">
      <c r="A2252" t="s">
        <v>186</v>
      </c>
      <c r="B2252" s="2">
        <v>45839</v>
      </c>
      <c r="C2252">
        <v>21774.6</v>
      </c>
    </row>
    <row r="2253" spans="1:3" ht="15" hidden="1" customHeight="1" x14ac:dyDescent="0.3">
      <c r="A2253" t="s">
        <v>186</v>
      </c>
      <c r="B2253" s="2">
        <v>45870</v>
      </c>
      <c r="C2253">
        <v>25973.1</v>
      </c>
    </row>
    <row r="2254" spans="1:3" ht="15" hidden="1" customHeight="1" x14ac:dyDescent="0.3">
      <c r="A2254" t="s">
        <v>186</v>
      </c>
      <c r="B2254" s="2">
        <v>45901</v>
      </c>
      <c r="C2254">
        <v>28984.5</v>
      </c>
    </row>
    <row r="2255" spans="1:3" ht="15" hidden="1" customHeight="1" x14ac:dyDescent="0.3">
      <c r="A2255" t="s">
        <v>186</v>
      </c>
      <c r="B2255" s="2">
        <v>45931</v>
      </c>
      <c r="C2255">
        <v>33058.800000000003</v>
      </c>
    </row>
    <row r="2256" spans="1:3" ht="15" hidden="1" customHeight="1" x14ac:dyDescent="0.3">
      <c r="A2256" t="s">
        <v>186</v>
      </c>
      <c r="B2256" s="2">
        <v>45962</v>
      </c>
      <c r="C2256">
        <v>34366.5</v>
      </c>
    </row>
    <row r="2257" spans="1:3" ht="15" hidden="1" customHeight="1" x14ac:dyDescent="0.3">
      <c r="A2257" t="s">
        <v>186</v>
      </c>
      <c r="B2257" s="2">
        <v>45992</v>
      </c>
      <c r="C2257">
        <v>36320.400000000001</v>
      </c>
    </row>
    <row r="2258" spans="1:3" ht="15" hidden="1" customHeight="1" x14ac:dyDescent="0.3">
      <c r="A2258" t="s">
        <v>186</v>
      </c>
      <c r="B2258" s="2">
        <v>46023</v>
      </c>
      <c r="C2258">
        <v>34074.9</v>
      </c>
    </row>
    <row r="2259" spans="1:3" ht="15" hidden="1" customHeight="1" x14ac:dyDescent="0.3">
      <c r="A2259" t="s">
        <v>186</v>
      </c>
      <c r="B2259" s="2">
        <v>46054</v>
      </c>
      <c r="C2259">
        <v>28396.799999999999</v>
      </c>
    </row>
    <row r="2260" spans="1:3" ht="15" hidden="1" customHeight="1" x14ac:dyDescent="0.3">
      <c r="A2260" t="s">
        <v>186</v>
      </c>
      <c r="B2260" s="2">
        <v>46082</v>
      </c>
      <c r="C2260">
        <v>28665.9</v>
      </c>
    </row>
    <row r="2261" spans="1:3" ht="15" hidden="1" customHeight="1" x14ac:dyDescent="0.3">
      <c r="A2261" t="s">
        <v>186</v>
      </c>
      <c r="B2261" s="2">
        <v>46113</v>
      </c>
      <c r="C2261">
        <v>24411.599999999999</v>
      </c>
    </row>
    <row r="2262" spans="1:3" ht="15" hidden="1" customHeight="1" x14ac:dyDescent="0.3">
      <c r="A2262" t="s">
        <v>186</v>
      </c>
      <c r="B2262" s="2">
        <v>46143</v>
      </c>
      <c r="C2262">
        <v>22266.9</v>
      </c>
    </row>
    <row r="2263" spans="1:3" ht="15" hidden="1" customHeight="1" x14ac:dyDescent="0.3">
      <c r="A2263" t="s">
        <v>186</v>
      </c>
      <c r="B2263" s="2">
        <v>46174</v>
      </c>
      <c r="C2263">
        <v>19791.900000000001</v>
      </c>
    </row>
    <row r="2264" spans="1:3" ht="15" customHeight="1" x14ac:dyDescent="0.3">
      <c r="A2264" t="s">
        <v>186</v>
      </c>
      <c r="B2264" s="2">
        <v>46204</v>
      </c>
      <c r="C2264">
        <v>21774.6</v>
      </c>
    </row>
    <row r="2265" spans="1:3" ht="15" hidden="1" customHeight="1" x14ac:dyDescent="0.3">
      <c r="A2265" t="s">
        <v>186</v>
      </c>
      <c r="B2265" s="2">
        <v>46235</v>
      </c>
      <c r="C2265">
        <v>25973.1</v>
      </c>
    </row>
    <row r="2266" spans="1:3" ht="15" hidden="1" customHeight="1" x14ac:dyDescent="0.3">
      <c r="A2266" t="s">
        <v>186</v>
      </c>
      <c r="B2266" s="2">
        <v>46266</v>
      </c>
      <c r="C2266">
        <v>28984.5</v>
      </c>
    </row>
    <row r="2267" spans="1:3" ht="15" hidden="1" customHeight="1" x14ac:dyDescent="0.3">
      <c r="A2267" t="s">
        <v>186</v>
      </c>
      <c r="B2267" s="2">
        <v>46296</v>
      </c>
      <c r="C2267">
        <v>33058.800000000003</v>
      </c>
    </row>
    <row r="2268" spans="1:3" ht="15" hidden="1" customHeight="1" x14ac:dyDescent="0.3">
      <c r="A2268" t="s">
        <v>186</v>
      </c>
      <c r="B2268" s="2">
        <v>46327</v>
      </c>
      <c r="C2268">
        <v>34366.5</v>
      </c>
    </row>
    <row r="2269" spans="1:3" ht="15" hidden="1" customHeight="1" x14ac:dyDescent="0.3">
      <c r="A2269" t="s">
        <v>186</v>
      </c>
      <c r="B2269" s="2">
        <v>46357</v>
      </c>
      <c r="C2269">
        <v>36320.400000000001</v>
      </c>
    </row>
    <row r="2270" spans="1:3" ht="15" hidden="1" customHeight="1" x14ac:dyDescent="0.3">
      <c r="A2270" t="s">
        <v>188</v>
      </c>
      <c r="B2270" s="2">
        <v>45292</v>
      </c>
      <c r="C2270">
        <v>20588.400000000001</v>
      </c>
    </row>
    <row r="2271" spans="1:3" ht="15" hidden="1" customHeight="1" x14ac:dyDescent="0.3">
      <c r="A2271" t="s">
        <v>188</v>
      </c>
      <c r="B2271" s="2">
        <v>45323</v>
      </c>
      <c r="C2271">
        <v>17538.3</v>
      </c>
    </row>
    <row r="2272" spans="1:3" ht="15" hidden="1" customHeight="1" x14ac:dyDescent="0.3">
      <c r="A2272" t="s">
        <v>188</v>
      </c>
      <c r="B2272" s="2">
        <v>45352</v>
      </c>
      <c r="C2272">
        <v>17897.400000000001</v>
      </c>
    </row>
    <row r="2273" spans="1:3" ht="15" hidden="1" customHeight="1" x14ac:dyDescent="0.3">
      <c r="A2273" t="s">
        <v>188</v>
      </c>
      <c r="B2273" s="2">
        <v>45383</v>
      </c>
      <c r="C2273">
        <v>14674.5</v>
      </c>
    </row>
    <row r="2274" spans="1:3" ht="15" hidden="1" customHeight="1" x14ac:dyDescent="0.3">
      <c r="A2274" t="s">
        <v>188</v>
      </c>
      <c r="B2274" s="2">
        <v>45413</v>
      </c>
      <c r="C2274">
        <v>13272.3</v>
      </c>
    </row>
    <row r="2275" spans="1:3" ht="15" hidden="1" customHeight="1" x14ac:dyDescent="0.3">
      <c r="A2275" t="s">
        <v>188</v>
      </c>
      <c r="B2275" s="2">
        <v>45444</v>
      </c>
      <c r="C2275">
        <v>11571.3</v>
      </c>
    </row>
    <row r="2276" spans="1:3" ht="15" hidden="1" customHeight="1" x14ac:dyDescent="0.3">
      <c r="A2276" t="s">
        <v>188</v>
      </c>
      <c r="B2276" s="2">
        <v>45474</v>
      </c>
      <c r="C2276">
        <v>12990.6</v>
      </c>
    </row>
    <row r="2277" spans="1:3" ht="15" hidden="1" customHeight="1" x14ac:dyDescent="0.3">
      <c r="A2277" t="s">
        <v>188</v>
      </c>
      <c r="B2277" s="2">
        <v>45505</v>
      </c>
      <c r="C2277">
        <v>15871.5</v>
      </c>
    </row>
    <row r="2278" spans="1:3" ht="15" hidden="1" customHeight="1" x14ac:dyDescent="0.3">
      <c r="A2278" t="s">
        <v>188</v>
      </c>
      <c r="B2278" s="2">
        <v>45536</v>
      </c>
      <c r="C2278">
        <v>18317.7</v>
      </c>
    </row>
    <row r="2279" spans="1:3" ht="15" hidden="1" customHeight="1" x14ac:dyDescent="0.3">
      <c r="A2279" t="s">
        <v>188</v>
      </c>
      <c r="B2279" s="2">
        <v>45566</v>
      </c>
      <c r="C2279">
        <v>20121.3</v>
      </c>
    </row>
    <row r="2280" spans="1:3" ht="15" hidden="1" customHeight="1" x14ac:dyDescent="0.3">
      <c r="A2280" t="s">
        <v>188</v>
      </c>
      <c r="B2280" s="2">
        <v>45597</v>
      </c>
      <c r="C2280">
        <v>20573.099999999999</v>
      </c>
    </row>
    <row r="2281" spans="1:3" ht="15" hidden="1" customHeight="1" x14ac:dyDescent="0.3">
      <c r="A2281" t="s">
        <v>188</v>
      </c>
      <c r="B2281" s="2">
        <v>45627</v>
      </c>
      <c r="C2281">
        <v>21930.3</v>
      </c>
    </row>
    <row r="2282" spans="1:3" ht="15" hidden="1" customHeight="1" x14ac:dyDescent="0.3">
      <c r="A2282" t="s">
        <v>188</v>
      </c>
      <c r="B2282" s="2">
        <v>45658</v>
      </c>
      <c r="C2282">
        <v>20588.400000000001</v>
      </c>
    </row>
    <row r="2283" spans="1:3" ht="15" hidden="1" customHeight="1" x14ac:dyDescent="0.3">
      <c r="A2283" t="s">
        <v>188</v>
      </c>
      <c r="B2283" s="2">
        <v>45689</v>
      </c>
      <c r="C2283">
        <v>17538.3</v>
      </c>
    </row>
    <row r="2284" spans="1:3" ht="15" hidden="1" customHeight="1" x14ac:dyDescent="0.3">
      <c r="A2284" t="s">
        <v>188</v>
      </c>
      <c r="B2284" s="2">
        <v>45717</v>
      </c>
      <c r="C2284">
        <v>17897.400000000001</v>
      </c>
    </row>
    <row r="2285" spans="1:3" ht="15" hidden="1" customHeight="1" x14ac:dyDescent="0.3">
      <c r="A2285" t="s">
        <v>188</v>
      </c>
      <c r="B2285" s="2">
        <v>45748</v>
      </c>
      <c r="C2285">
        <v>14674.5</v>
      </c>
    </row>
    <row r="2286" spans="1:3" ht="15" hidden="1" customHeight="1" x14ac:dyDescent="0.3">
      <c r="A2286" t="s">
        <v>188</v>
      </c>
      <c r="B2286" s="2">
        <v>45778</v>
      </c>
      <c r="C2286">
        <v>13272.3</v>
      </c>
    </row>
    <row r="2287" spans="1:3" ht="15" hidden="1" customHeight="1" x14ac:dyDescent="0.3">
      <c r="A2287" t="s">
        <v>188</v>
      </c>
      <c r="B2287" s="2">
        <v>45809</v>
      </c>
      <c r="C2287">
        <v>11571.3</v>
      </c>
    </row>
    <row r="2288" spans="1:3" ht="15" hidden="1" customHeight="1" x14ac:dyDescent="0.3">
      <c r="A2288" t="s">
        <v>188</v>
      </c>
      <c r="B2288" s="2">
        <v>45839</v>
      </c>
      <c r="C2288">
        <v>12990.6</v>
      </c>
    </row>
    <row r="2289" spans="1:3" ht="15" hidden="1" customHeight="1" x14ac:dyDescent="0.3">
      <c r="A2289" t="s">
        <v>188</v>
      </c>
      <c r="B2289" s="2">
        <v>45870</v>
      </c>
      <c r="C2289">
        <v>15871.5</v>
      </c>
    </row>
    <row r="2290" spans="1:3" ht="15" hidden="1" customHeight="1" x14ac:dyDescent="0.3">
      <c r="A2290" t="s">
        <v>188</v>
      </c>
      <c r="B2290" s="2">
        <v>45901</v>
      </c>
      <c r="C2290">
        <v>18317.7</v>
      </c>
    </row>
    <row r="2291" spans="1:3" ht="15" hidden="1" customHeight="1" x14ac:dyDescent="0.3">
      <c r="A2291" t="s">
        <v>188</v>
      </c>
      <c r="B2291" s="2">
        <v>45931</v>
      </c>
      <c r="C2291">
        <v>20121.3</v>
      </c>
    </row>
    <row r="2292" spans="1:3" ht="15" hidden="1" customHeight="1" x14ac:dyDescent="0.3">
      <c r="A2292" t="s">
        <v>188</v>
      </c>
      <c r="B2292" s="2">
        <v>45962</v>
      </c>
      <c r="C2292">
        <v>20573.099999999999</v>
      </c>
    </row>
    <row r="2293" spans="1:3" ht="15" hidden="1" customHeight="1" x14ac:dyDescent="0.3">
      <c r="A2293" t="s">
        <v>188</v>
      </c>
      <c r="B2293" s="2">
        <v>45992</v>
      </c>
      <c r="C2293">
        <v>21930.3</v>
      </c>
    </row>
    <row r="2294" spans="1:3" ht="15" hidden="1" customHeight="1" x14ac:dyDescent="0.3">
      <c r="A2294" t="s">
        <v>188</v>
      </c>
      <c r="B2294" s="2">
        <v>46023</v>
      </c>
      <c r="C2294">
        <v>20588.400000000001</v>
      </c>
    </row>
    <row r="2295" spans="1:3" ht="15" hidden="1" customHeight="1" x14ac:dyDescent="0.3">
      <c r="A2295" t="s">
        <v>188</v>
      </c>
      <c r="B2295" s="2">
        <v>46054</v>
      </c>
      <c r="C2295">
        <v>17538.3</v>
      </c>
    </row>
    <row r="2296" spans="1:3" ht="15" hidden="1" customHeight="1" x14ac:dyDescent="0.3">
      <c r="A2296" t="s">
        <v>188</v>
      </c>
      <c r="B2296" s="2">
        <v>46082</v>
      </c>
      <c r="C2296">
        <v>17897.400000000001</v>
      </c>
    </row>
    <row r="2297" spans="1:3" ht="15" hidden="1" customHeight="1" x14ac:dyDescent="0.3">
      <c r="A2297" t="s">
        <v>188</v>
      </c>
      <c r="B2297" s="2">
        <v>46113</v>
      </c>
      <c r="C2297">
        <v>14674.5</v>
      </c>
    </row>
    <row r="2298" spans="1:3" ht="15" hidden="1" customHeight="1" x14ac:dyDescent="0.3">
      <c r="A2298" t="s">
        <v>188</v>
      </c>
      <c r="B2298" s="2">
        <v>46143</v>
      </c>
      <c r="C2298">
        <v>13272.3</v>
      </c>
    </row>
    <row r="2299" spans="1:3" ht="15" hidden="1" customHeight="1" x14ac:dyDescent="0.3">
      <c r="A2299" t="s">
        <v>188</v>
      </c>
      <c r="B2299" s="2">
        <v>46174</v>
      </c>
      <c r="C2299">
        <v>11571.3</v>
      </c>
    </row>
    <row r="2300" spans="1:3" ht="15" customHeight="1" x14ac:dyDescent="0.3">
      <c r="A2300" t="s">
        <v>188</v>
      </c>
      <c r="B2300" s="2">
        <v>46204</v>
      </c>
      <c r="C2300">
        <v>12990.6</v>
      </c>
    </row>
    <row r="2301" spans="1:3" ht="15" hidden="1" customHeight="1" x14ac:dyDescent="0.3">
      <c r="A2301" t="s">
        <v>188</v>
      </c>
      <c r="B2301" s="2">
        <v>46235</v>
      </c>
      <c r="C2301">
        <v>15871.5</v>
      </c>
    </row>
    <row r="2302" spans="1:3" ht="15" hidden="1" customHeight="1" x14ac:dyDescent="0.3">
      <c r="A2302" t="s">
        <v>188</v>
      </c>
      <c r="B2302" s="2">
        <v>46266</v>
      </c>
      <c r="C2302">
        <v>18317.7</v>
      </c>
    </row>
    <row r="2303" spans="1:3" ht="15" hidden="1" customHeight="1" x14ac:dyDescent="0.3">
      <c r="A2303" t="s">
        <v>188</v>
      </c>
      <c r="B2303" s="2">
        <v>46296</v>
      </c>
      <c r="C2303">
        <v>20121.3</v>
      </c>
    </row>
    <row r="2304" spans="1:3" ht="15" hidden="1" customHeight="1" x14ac:dyDescent="0.3">
      <c r="A2304" t="s">
        <v>188</v>
      </c>
      <c r="B2304" s="2">
        <v>46327</v>
      </c>
      <c r="C2304">
        <v>20573.099999999999</v>
      </c>
    </row>
    <row r="2305" spans="1:3" ht="15" hidden="1" customHeight="1" x14ac:dyDescent="0.3">
      <c r="A2305" t="s">
        <v>188</v>
      </c>
      <c r="B2305" s="2">
        <v>46357</v>
      </c>
      <c r="C2305">
        <v>21930.3</v>
      </c>
    </row>
    <row r="2306" spans="1:3" ht="15" hidden="1" customHeight="1" x14ac:dyDescent="0.3">
      <c r="A2306" t="s">
        <v>226</v>
      </c>
      <c r="B2306" s="2">
        <v>45292</v>
      </c>
      <c r="C2306">
        <v>30721.5</v>
      </c>
    </row>
    <row r="2307" spans="1:3" ht="15" hidden="1" customHeight="1" x14ac:dyDescent="0.3">
      <c r="A2307" t="s">
        <v>226</v>
      </c>
      <c r="B2307" s="2">
        <v>45323</v>
      </c>
      <c r="C2307">
        <v>24282.9</v>
      </c>
    </row>
    <row r="2308" spans="1:3" ht="15" hidden="1" customHeight="1" x14ac:dyDescent="0.3">
      <c r="A2308" t="s">
        <v>226</v>
      </c>
      <c r="B2308" s="2">
        <v>45352</v>
      </c>
      <c r="C2308">
        <v>24146.1</v>
      </c>
    </row>
    <row r="2309" spans="1:3" ht="15" hidden="1" customHeight="1" x14ac:dyDescent="0.3">
      <c r="A2309" t="s">
        <v>226</v>
      </c>
      <c r="B2309" s="2">
        <v>45383</v>
      </c>
      <c r="C2309">
        <v>18389.7</v>
      </c>
    </row>
    <row r="2310" spans="1:3" ht="15" hidden="1" customHeight="1" x14ac:dyDescent="0.3">
      <c r="A2310" t="s">
        <v>226</v>
      </c>
      <c r="B2310" s="2">
        <v>45413</v>
      </c>
      <c r="C2310">
        <v>18961.2</v>
      </c>
    </row>
    <row r="2311" spans="1:3" ht="15" hidden="1" customHeight="1" x14ac:dyDescent="0.3">
      <c r="A2311" t="s">
        <v>226</v>
      </c>
      <c r="B2311" s="2">
        <v>45444</v>
      </c>
      <c r="C2311">
        <v>15280.2</v>
      </c>
    </row>
    <row r="2312" spans="1:3" ht="15" hidden="1" customHeight="1" x14ac:dyDescent="0.3">
      <c r="A2312" t="s">
        <v>226</v>
      </c>
      <c r="B2312" s="2">
        <v>45474</v>
      </c>
      <c r="C2312">
        <v>17361.900000000001</v>
      </c>
    </row>
    <row r="2313" spans="1:3" ht="15" hidden="1" customHeight="1" x14ac:dyDescent="0.3">
      <c r="A2313" t="s">
        <v>226</v>
      </c>
      <c r="B2313" s="2">
        <v>45505</v>
      </c>
      <c r="C2313">
        <v>19303.2</v>
      </c>
    </row>
    <row r="2314" spans="1:3" ht="15" hidden="1" customHeight="1" x14ac:dyDescent="0.3">
      <c r="A2314" t="s">
        <v>226</v>
      </c>
      <c r="B2314" s="2">
        <v>45536</v>
      </c>
      <c r="C2314">
        <v>18141.3</v>
      </c>
    </row>
    <row r="2315" spans="1:3" ht="15" hidden="1" customHeight="1" x14ac:dyDescent="0.3">
      <c r="A2315" t="s">
        <v>226</v>
      </c>
      <c r="B2315" s="2">
        <v>45566</v>
      </c>
      <c r="C2315">
        <v>22548.6</v>
      </c>
    </row>
    <row r="2316" spans="1:3" ht="15" hidden="1" customHeight="1" x14ac:dyDescent="0.3">
      <c r="A2316" t="s">
        <v>226</v>
      </c>
      <c r="B2316" s="2">
        <v>45597</v>
      </c>
      <c r="C2316">
        <v>22923.9</v>
      </c>
    </row>
    <row r="2317" spans="1:3" ht="15" hidden="1" customHeight="1" x14ac:dyDescent="0.3">
      <c r="A2317" t="s">
        <v>226</v>
      </c>
      <c r="B2317" s="2">
        <v>45627</v>
      </c>
      <c r="C2317">
        <v>28392.3</v>
      </c>
    </row>
    <row r="2318" spans="1:3" ht="15" hidden="1" customHeight="1" x14ac:dyDescent="0.3">
      <c r="A2318" t="s">
        <v>226</v>
      </c>
      <c r="B2318" s="2">
        <v>45658</v>
      </c>
      <c r="C2318">
        <v>30721.5</v>
      </c>
    </row>
    <row r="2319" spans="1:3" ht="15" hidden="1" customHeight="1" x14ac:dyDescent="0.3">
      <c r="A2319" t="s">
        <v>226</v>
      </c>
      <c r="B2319" s="2">
        <v>45689</v>
      </c>
      <c r="C2319">
        <v>24282.9</v>
      </c>
    </row>
    <row r="2320" spans="1:3" ht="15" hidden="1" customHeight="1" x14ac:dyDescent="0.3">
      <c r="A2320" t="s">
        <v>226</v>
      </c>
      <c r="B2320" s="2">
        <v>45717</v>
      </c>
      <c r="C2320">
        <v>24146.1</v>
      </c>
    </row>
    <row r="2321" spans="1:3" ht="15" hidden="1" customHeight="1" x14ac:dyDescent="0.3">
      <c r="A2321" t="s">
        <v>226</v>
      </c>
      <c r="B2321" s="2">
        <v>45748</v>
      </c>
      <c r="C2321">
        <v>18389.7</v>
      </c>
    </row>
    <row r="2322" spans="1:3" ht="15" hidden="1" customHeight="1" x14ac:dyDescent="0.3">
      <c r="A2322" t="s">
        <v>226</v>
      </c>
      <c r="B2322" s="2">
        <v>45778</v>
      </c>
      <c r="C2322">
        <v>18961.2</v>
      </c>
    </row>
    <row r="2323" spans="1:3" ht="15" hidden="1" customHeight="1" x14ac:dyDescent="0.3">
      <c r="A2323" t="s">
        <v>226</v>
      </c>
      <c r="B2323" s="2">
        <v>45809</v>
      </c>
      <c r="C2323">
        <v>15280.2</v>
      </c>
    </row>
    <row r="2324" spans="1:3" ht="15" hidden="1" customHeight="1" x14ac:dyDescent="0.3">
      <c r="A2324" t="s">
        <v>226</v>
      </c>
      <c r="B2324" s="2">
        <v>45839</v>
      </c>
      <c r="C2324">
        <v>17361.900000000001</v>
      </c>
    </row>
    <row r="2325" spans="1:3" ht="15" hidden="1" customHeight="1" x14ac:dyDescent="0.3">
      <c r="A2325" t="s">
        <v>226</v>
      </c>
      <c r="B2325" s="2">
        <v>45870</v>
      </c>
      <c r="C2325">
        <v>19303.2</v>
      </c>
    </row>
    <row r="2326" spans="1:3" ht="15" hidden="1" customHeight="1" x14ac:dyDescent="0.3">
      <c r="A2326" t="s">
        <v>226</v>
      </c>
      <c r="B2326" s="2">
        <v>45901</v>
      </c>
      <c r="C2326">
        <v>18141.3</v>
      </c>
    </row>
    <row r="2327" spans="1:3" ht="15" hidden="1" customHeight="1" x14ac:dyDescent="0.3">
      <c r="A2327" t="s">
        <v>226</v>
      </c>
      <c r="B2327" s="2">
        <v>45931</v>
      </c>
      <c r="C2327">
        <v>22548.6</v>
      </c>
    </row>
    <row r="2328" spans="1:3" ht="15" hidden="1" customHeight="1" x14ac:dyDescent="0.3">
      <c r="A2328" t="s">
        <v>226</v>
      </c>
      <c r="B2328" s="2">
        <v>45962</v>
      </c>
      <c r="C2328">
        <v>22923.9</v>
      </c>
    </row>
    <row r="2329" spans="1:3" ht="15" hidden="1" customHeight="1" x14ac:dyDescent="0.3">
      <c r="A2329" t="s">
        <v>226</v>
      </c>
      <c r="B2329" s="2">
        <v>45992</v>
      </c>
      <c r="C2329">
        <v>28392.3</v>
      </c>
    </row>
    <row r="2330" spans="1:3" ht="15" hidden="1" customHeight="1" x14ac:dyDescent="0.3">
      <c r="A2330" t="s">
        <v>226</v>
      </c>
      <c r="B2330" s="2">
        <v>46023</v>
      </c>
      <c r="C2330">
        <v>30721.5</v>
      </c>
    </row>
    <row r="2331" spans="1:3" ht="15" hidden="1" customHeight="1" x14ac:dyDescent="0.3">
      <c r="A2331" t="s">
        <v>226</v>
      </c>
      <c r="B2331" s="2">
        <v>46054</v>
      </c>
      <c r="C2331">
        <v>24282.9</v>
      </c>
    </row>
    <row r="2332" spans="1:3" ht="15" hidden="1" customHeight="1" x14ac:dyDescent="0.3">
      <c r="A2332" t="s">
        <v>226</v>
      </c>
      <c r="B2332" s="2">
        <v>46082</v>
      </c>
      <c r="C2332">
        <v>24146.1</v>
      </c>
    </row>
    <row r="2333" spans="1:3" ht="15" hidden="1" customHeight="1" x14ac:dyDescent="0.3">
      <c r="A2333" t="s">
        <v>226</v>
      </c>
      <c r="B2333" s="2">
        <v>46113</v>
      </c>
      <c r="C2333">
        <v>18389.7</v>
      </c>
    </row>
    <row r="2334" spans="1:3" ht="15" hidden="1" customHeight="1" x14ac:dyDescent="0.3">
      <c r="A2334" t="s">
        <v>226</v>
      </c>
      <c r="B2334" s="2">
        <v>46143</v>
      </c>
      <c r="C2334">
        <v>18961.2</v>
      </c>
    </row>
    <row r="2335" spans="1:3" ht="15" hidden="1" customHeight="1" x14ac:dyDescent="0.3">
      <c r="A2335" t="s">
        <v>226</v>
      </c>
      <c r="B2335" s="2">
        <v>46174</v>
      </c>
      <c r="C2335">
        <v>15280.2</v>
      </c>
    </row>
    <row r="2336" spans="1:3" ht="15" customHeight="1" x14ac:dyDescent="0.3">
      <c r="A2336" t="s">
        <v>226</v>
      </c>
      <c r="B2336" s="2">
        <v>46204</v>
      </c>
      <c r="C2336">
        <v>17361.900000000001</v>
      </c>
    </row>
    <row r="2337" spans="1:3" ht="15" hidden="1" customHeight="1" x14ac:dyDescent="0.3">
      <c r="A2337" t="s">
        <v>226</v>
      </c>
      <c r="B2337" s="2">
        <v>46235</v>
      </c>
      <c r="C2337">
        <v>19303.2</v>
      </c>
    </row>
    <row r="2338" spans="1:3" ht="15" hidden="1" customHeight="1" x14ac:dyDescent="0.3">
      <c r="A2338" t="s">
        <v>226</v>
      </c>
      <c r="B2338" s="2">
        <v>46266</v>
      </c>
      <c r="C2338">
        <v>18141.3</v>
      </c>
    </row>
    <row r="2339" spans="1:3" ht="15" hidden="1" customHeight="1" x14ac:dyDescent="0.3">
      <c r="A2339" t="s">
        <v>226</v>
      </c>
      <c r="B2339" s="2">
        <v>46296</v>
      </c>
      <c r="C2339">
        <v>22548.6</v>
      </c>
    </row>
    <row r="2340" spans="1:3" ht="15" hidden="1" customHeight="1" x14ac:dyDescent="0.3">
      <c r="A2340" t="s">
        <v>226</v>
      </c>
      <c r="B2340" s="2">
        <v>46327</v>
      </c>
      <c r="C2340">
        <v>22923.9</v>
      </c>
    </row>
    <row r="2341" spans="1:3" ht="15" hidden="1" customHeight="1" x14ac:dyDescent="0.3">
      <c r="A2341" t="s">
        <v>226</v>
      </c>
      <c r="B2341" s="2">
        <v>46357</v>
      </c>
      <c r="C2341">
        <v>28392.3</v>
      </c>
    </row>
    <row r="2342" spans="1:3" ht="15" hidden="1" customHeight="1" x14ac:dyDescent="0.3">
      <c r="A2342" t="s">
        <v>208</v>
      </c>
      <c r="B2342" s="2">
        <v>45292</v>
      </c>
      <c r="C2342">
        <v>18584.099999999999</v>
      </c>
    </row>
    <row r="2343" spans="1:3" ht="15" hidden="1" customHeight="1" x14ac:dyDescent="0.3">
      <c r="A2343" t="s">
        <v>208</v>
      </c>
      <c r="B2343" s="2">
        <v>45323</v>
      </c>
      <c r="C2343">
        <v>16101.9</v>
      </c>
    </row>
    <row r="2344" spans="1:3" ht="15" hidden="1" customHeight="1" x14ac:dyDescent="0.3">
      <c r="A2344" t="s">
        <v>208</v>
      </c>
      <c r="B2344" s="2">
        <v>45352</v>
      </c>
      <c r="C2344">
        <v>15901.2</v>
      </c>
    </row>
    <row r="2345" spans="1:3" ht="15" hidden="1" customHeight="1" x14ac:dyDescent="0.3">
      <c r="A2345" t="s">
        <v>208</v>
      </c>
      <c r="B2345" s="2">
        <v>45383</v>
      </c>
      <c r="C2345">
        <v>13660.2</v>
      </c>
    </row>
    <row r="2346" spans="1:3" ht="15" hidden="1" customHeight="1" x14ac:dyDescent="0.3">
      <c r="A2346" t="s">
        <v>208</v>
      </c>
      <c r="B2346" s="2">
        <v>45413</v>
      </c>
      <c r="C2346">
        <v>12620.7</v>
      </c>
    </row>
    <row r="2347" spans="1:3" ht="15" hidden="1" customHeight="1" x14ac:dyDescent="0.3">
      <c r="A2347" t="s">
        <v>208</v>
      </c>
      <c r="B2347" s="2">
        <v>45444</v>
      </c>
      <c r="C2347">
        <v>11094.3</v>
      </c>
    </row>
    <row r="2348" spans="1:3" ht="15" hidden="1" customHeight="1" x14ac:dyDescent="0.3">
      <c r="A2348" t="s">
        <v>208</v>
      </c>
      <c r="B2348" s="2">
        <v>45474</v>
      </c>
      <c r="C2348">
        <v>12367.8</v>
      </c>
    </row>
    <row r="2349" spans="1:3" ht="15" hidden="1" customHeight="1" x14ac:dyDescent="0.3">
      <c r="A2349" t="s">
        <v>208</v>
      </c>
      <c r="B2349" s="2">
        <v>45505</v>
      </c>
      <c r="C2349">
        <v>14484.6</v>
      </c>
    </row>
    <row r="2350" spans="1:3" ht="15" hidden="1" customHeight="1" x14ac:dyDescent="0.3">
      <c r="A2350" t="s">
        <v>208</v>
      </c>
      <c r="B2350" s="2">
        <v>45536</v>
      </c>
      <c r="C2350">
        <v>16189.2</v>
      </c>
    </row>
    <row r="2351" spans="1:3" ht="15" hidden="1" customHeight="1" x14ac:dyDescent="0.3">
      <c r="A2351" t="s">
        <v>208</v>
      </c>
      <c r="B2351" s="2">
        <v>45566</v>
      </c>
      <c r="C2351">
        <v>18663.3</v>
      </c>
    </row>
    <row r="2352" spans="1:3" ht="15" hidden="1" customHeight="1" x14ac:dyDescent="0.3">
      <c r="A2352" t="s">
        <v>208</v>
      </c>
      <c r="B2352" s="2">
        <v>45597</v>
      </c>
      <c r="C2352">
        <v>18589.5</v>
      </c>
    </row>
    <row r="2353" spans="1:3" ht="15" hidden="1" customHeight="1" x14ac:dyDescent="0.3">
      <c r="A2353" t="s">
        <v>208</v>
      </c>
      <c r="B2353" s="2">
        <v>45627</v>
      </c>
      <c r="C2353">
        <v>19022.400000000001</v>
      </c>
    </row>
    <row r="2354" spans="1:3" ht="15" hidden="1" customHeight="1" x14ac:dyDescent="0.3">
      <c r="A2354" t="s">
        <v>208</v>
      </c>
      <c r="B2354" s="2">
        <v>45658</v>
      </c>
      <c r="C2354">
        <v>18584.099999999999</v>
      </c>
    </row>
    <row r="2355" spans="1:3" ht="15" hidden="1" customHeight="1" x14ac:dyDescent="0.3">
      <c r="A2355" t="s">
        <v>208</v>
      </c>
      <c r="B2355" s="2">
        <v>45689</v>
      </c>
      <c r="C2355">
        <v>16101.9</v>
      </c>
    </row>
    <row r="2356" spans="1:3" ht="15" hidden="1" customHeight="1" x14ac:dyDescent="0.3">
      <c r="A2356" t="s">
        <v>208</v>
      </c>
      <c r="B2356" s="2">
        <v>45717</v>
      </c>
      <c r="C2356">
        <v>15901.2</v>
      </c>
    </row>
    <row r="2357" spans="1:3" ht="15" hidden="1" customHeight="1" x14ac:dyDescent="0.3">
      <c r="A2357" t="s">
        <v>208</v>
      </c>
      <c r="B2357" s="2">
        <v>45748</v>
      </c>
      <c r="C2357">
        <v>13660.2</v>
      </c>
    </row>
    <row r="2358" spans="1:3" ht="15" hidden="1" customHeight="1" x14ac:dyDescent="0.3">
      <c r="A2358" t="s">
        <v>208</v>
      </c>
      <c r="B2358" s="2">
        <v>45778</v>
      </c>
      <c r="C2358">
        <v>12620.7</v>
      </c>
    </row>
    <row r="2359" spans="1:3" ht="15" hidden="1" customHeight="1" x14ac:dyDescent="0.3">
      <c r="A2359" t="s">
        <v>208</v>
      </c>
      <c r="B2359" s="2">
        <v>45809</v>
      </c>
      <c r="C2359">
        <v>11094.3</v>
      </c>
    </row>
    <row r="2360" spans="1:3" ht="15" hidden="1" customHeight="1" x14ac:dyDescent="0.3">
      <c r="A2360" t="s">
        <v>208</v>
      </c>
      <c r="B2360" s="2">
        <v>45839</v>
      </c>
      <c r="C2360">
        <v>12367.8</v>
      </c>
    </row>
    <row r="2361" spans="1:3" ht="15" hidden="1" customHeight="1" x14ac:dyDescent="0.3">
      <c r="A2361" t="s">
        <v>208</v>
      </c>
      <c r="B2361" s="2">
        <v>45870</v>
      </c>
      <c r="C2361">
        <v>14484.6</v>
      </c>
    </row>
    <row r="2362" spans="1:3" ht="15" hidden="1" customHeight="1" x14ac:dyDescent="0.3">
      <c r="A2362" t="s">
        <v>208</v>
      </c>
      <c r="B2362" s="2">
        <v>45901</v>
      </c>
      <c r="C2362">
        <v>16189.2</v>
      </c>
    </row>
    <row r="2363" spans="1:3" ht="15" hidden="1" customHeight="1" x14ac:dyDescent="0.3">
      <c r="A2363" t="s">
        <v>208</v>
      </c>
      <c r="B2363" s="2">
        <v>45931</v>
      </c>
      <c r="C2363">
        <v>18663.3</v>
      </c>
    </row>
    <row r="2364" spans="1:3" ht="15" hidden="1" customHeight="1" x14ac:dyDescent="0.3">
      <c r="A2364" t="s">
        <v>208</v>
      </c>
      <c r="B2364" s="2">
        <v>45962</v>
      </c>
      <c r="C2364">
        <v>18589.5</v>
      </c>
    </row>
    <row r="2365" spans="1:3" ht="15" hidden="1" customHeight="1" x14ac:dyDescent="0.3">
      <c r="A2365" t="s">
        <v>208</v>
      </c>
      <c r="B2365" s="2">
        <v>45992</v>
      </c>
      <c r="C2365">
        <v>19022.400000000001</v>
      </c>
    </row>
    <row r="2366" spans="1:3" ht="15" hidden="1" customHeight="1" x14ac:dyDescent="0.3">
      <c r="A2366" t="s">
        <v>208</v>
      </c>
      <c r="B2366" s="2">
        <v>46023</v>
      </c>
      <c r="C2366">
        <v>18584.099999999999</v>
      </c>
    </row>
    <row r="2367" spans="1:3" ht="15" hidden="1" customHeight="1" x14ac:dyDescent="0.3">
      <c r="A2367" t="s">
        <v>208</v>
      </c>
      <c r="B2367" s="2">
        <v>46054</v>
      </c>
      <c r="C2367">
        <v>16101.9</v>
      </c>
    </row>
    <row r="2368" spans="1:3" ht="15" hidden="1" customHeight="1" x14ac:dyDescent="0.3">
      <c r="A2368" t="s">
        <v>208</v>
      </c>
      <c r="B2368" s="2">
        <v>46082</v>
      </c>
      <c r="C2368">
        <v>15901.2</v>
      </c>
    </row>
    <row r="2369" spans="1:3" ht="15" hidden="1" customHeight="1" x14ac:dyDescent="0.3">
      <c r="A2369" t="s">
        <v>208</v>
      </c>
      <c r="B2369" s="2">
        <v>46113</v>
      </c>
      <c r="C2369">
        <v>13660.2</v>
      </c>
    </row>
    <row r="2370" spans="1:3" ht="15" hidden="1" customHeight="1" x14ac:dyDescent="0.3">
      <c r="A2370" t="s">
        <v>208</v>
      </c>
      <c r="B2370" s="2">
        <v>46143</v>
      </c>
      <c r="C2370">
        <v>12620.7</v>
      </c>
    </row>
    <row r="2371" spans="1:3" ht="15" hidden="1" customHeight="1" x14ac:dyDescent="0.3">
      <c r="A2371" t="s">
        <v>208</v>
      </c>
      <c r="B2371" s="2">
        <v>46174</v>
      </c>
      <c r="C2371">
        <v>11094.3</v>
      </c>
    </row>
    <row r="2372" spans="1:3" ht="15" customHeight="1" x14ac:dyDescent="0.3">
      <c r="A2372" t="s">
        <v>208</v>
      </c>
      <c r="B2372" s="2">
        <v>46204</v>
      </c>
      <c r="C2372">
        <v>12367.8</v>
      </c>
    </row>
    <row r="2373" spans="1:3" ht="15" hidden="1" customHeight="1" x14ac:dyDescent="0.3">
      <c r="A2373" t="s">
        <v>208</v>
      </c>
      <c r="B2373" s="2">
        <v>46235</v>
      </c>
      <c r="C2373">
        <v>14484.6</v>
      </c>
    </row>
    <row r="2374" spans="1:3" ht="15" hidden="1" customHeight="1" x14ac:dyDescent="0.3">
      <c r="A2374" t="s">
        <v>208</v>
      </c>
      <c r="B2374" s="2">
        <v>46266</v>
      </c>
      <c r="C2374">
        <v>16189.2</v>
      </c>
    </row>
    <row r="2375" spans="1:3" ht="15" hidden="1" customHeight="1" x14ac:dyDescent="0.3">
      <c r="A2375" t="s">
        <v>208</v>
      </c>
      <c r="B2375" s="2">
        <v>46296</v>
      </c>
      <c r="C2375">
        <v>18663.3</v>
      </c>
    </row>
    <row r="2376" spans="1:3" ht="15" hidden="1" customHeight="1" x14ac:dyDescent="0.3">
      <c r="A2376" t="s">
        <v>208</v>
      </c>
      <c r="B2376" s="2">
        <v>46327</v>
      </c>
      <c r="C2376">
        <v>18589.5</v>
      </c>
    </row>
    <row r="2377" spans="1:3" ht="15" hidden="1" customHeight="1" x14ac:dyDescent="0.3">
      <c r="A2377" t="s">
        <v>208</v>
      </c>
      <c r="B2377" s="2">
        <v>46357</v>
      </c>
      <c r="C2377">
        <v>19022.400000000001</v>
      </c>
    </row>
    <row r="2378" spans="1:3" ht="15" hidden="1" customHeight="1" x14ac:dyDescent="0.3">
      <c r="A2378" t="s">
        <v>190</v>
      </c>
      <c r="B2378" s="2">
        <v>45292</v>
      </c>
      <c r="C2378">
        <v>16638.665000000001</v>
      </c>
    </row>
    <row r="2379" spans="1:3" ht="15" hidden="1" customHeight="1" x14ac:dyDescent="0.3">
      <c r="A2379" t="s">
        <v>190</v>
      </c>
      <c r="B2379" s="2">
        <v>45323</v>
      </c>
      <c r="C2379">
        <v>14215.06</v>
      </c>
    </row>
    <row r="2380" spans="1:3" ht="15" hidden="1" customHeight="1" x14ac:dyDescent="0.3">
      <c r="A2380" t="s">
        <v>190</v>
      </c>
      <c r="B2380" s="2">
        <v>45352</v>
      </c>
      <c r="C2380">
        <v>15137.31</v>
      </c>
    </row>
    <row r="2381" spans="1:3" ht="15" hidden="1" customHeight="1" x14ac:dyDescent="0.3">
      <c r="A2381" t="s">
        <v>190</v>
      </c>
      <c r="B2381" s="2">
        <v>45383</v>
      </c>
      <c r="C2381">
        <v>13176.87</v>
      </c>
    </row>
    <row r="2382" spans="1:3" ht="15" hidden="1" customHeight="1" x14ac:dyDescent="0.3">
      <c r="A2382" t="s">
        <v>190</v>
      </c>
      <c r="B2382" s="2">
        <v>45413</v>
      </c>
      <c r="C2382">
        <v>12813.75</v>
      </c>
    </row>
    <row r="2383" spans="1:3" ht="15" hidden="1" customHeight="1" x14ac:dyDescent="0.3">
      <c r="A2383" t="s">
        <v>190</v>
      </c>
      <c r="B2383" s="2">
        <v>45444</v>
      </c>
      <c r="C2383">
        <v>11578.87</v>
      </c>
    </row>
    <row r="2384" spans="1:3" ht="15" hidden="1" customHeight="1" x14ac:dyDescent="0.3">
      <c r="A2384" t="s">
        <v>190</v>
      </c>
      <c r="B2384" s="2">
        <v>45474</v>
      </c>
      <c r="C2384">
        <v>12892.545</v>
      </c>
    </row>
    <row r="2385" spans="1:3" ht="15" hidden="1" customHeight="1" x14ac:dyDescent="0.3">
      <c r="A2385" t="s">
        <v>190</v>
      </c>
      <c r="B2385" s="2">
        <v>45505</v>
      </c>
      <c r="C2385">
        <v>14836.92</v>
      </c>
    </row>
    <row r="2386" spans="1:3" ht="15" hidden="1" customHeight="1" x14ac:dyDescent="0.3">
      <c r="A2386" t="s">
        <v>190</v>
      </c>
      <c r="B2386" s="2">
        <v>45536</v>
      </c>
      <c r="C2386">
        <v>15996.15</v>
      </c>
    </row>
    <row r="2387" spans="1:3" ht="15" hidden="1" customHeight="1" x14ac:dyDescent="0.3">
      <c r="A2387" t="s">
        <v>190</v>
      </c>
      <c r="B2387" s="2">
        <v>45566</v>
      </c>
      <c r="C2387">
        <v>16796.169999999998</v>
      </c>
    </row>
    <row r="2388" spans="1:3" ht="15" hidden="1" customHeight="1" x14ac:dyDescent="0.3">
      <c r="A2388" t="s">
        <v>190</v>
      </c>
      <c r="B2388" s="2">
        <v>45597</v>
      </c>
      <c r="C2388">
        <v>16463.224999999999</v>
      </c>
    </row>
    <row r="2389" spans="1:3" ht="15" hidden="1" customHeight="1" x14ac:dyDescent="0.3">
      <c r="A2389" t="s">
        <v>190</v>
      </c>
      <c r="B2389" s="2">
        <v>45627</v>
      </c>
      <c r="C2389">
        <v>17398.904999999999</v>
      </c>
    </row>
    <row r="2390" spans="1:3" ht="15" hidden="1" customHeight="1" x14ac:dyDescent="0.3">
      <c r="A2390" t="s">
        <v>190</v>
      </c>
      <c r="B2390" s="2">
        <v>45658</v>
      </c>
      <c r="C2390">
        <v>16638.665000000001</v>
      </c>
    </row>
    <row r="2391" spans="1:3" ht="15" hidden="1" customHeight="1" x14ac:dyDescent="0.3">
      <c r="A2391" t="s">
        <v>190</v>
      </c>
      <c r="B2391" s="2">
        <v>45689</v>
      </c>
      <c r="C2391">
        <v>14215.06</v>
      </c>
    </row>
    <row r="2392" spans="1:3" ht="15" hidden="1" customHeight="1" x14ac:dyDescent="0.3">
      <c r="A2392" t="s">
        <v>190</v>
      </c>
      <c r="B2392" s="2">
        <v>45717</v>
      </c>
      <c r="C2392">
        <v>15137.31</v>
      </c>
    </row>
    <row r="2393" spans="1:3" ht="15" hidden="1" customHeight="1" x14ac:dyDescent="0.3">
      <c r="A2393" t="s">
        <v>190</v>
      </c>
      <c r="B2393" s="2">
        <v>45748</v>
      </c>
      <c r="C2393">
        <v>13176.87</v>
      </c>
    </row>
    <row r="2394" spans="1:3" ht="15" hidden="1" customHeight="1" x14ac:dyDescent="0.3">
      <c r="A2394" t="s">
        <v>190</v>
      </c>
      <c r="B2394" s="2">
        <v>45778</v>
      </c>
      <c r="C2394">
        <v>12813.75</v>
      </c>
    </row>
    <row r="2395" spans="1:3" ht="15" hidden="1" customHeight="1" x14ac:dyDescent="0.3">
      <c r="A2395" t="s">
        <v>190</v>
      </c>
      <c r="B2395" s="2">
        <v>45809</v>
      </c>
      <c r="C2395">
        <v>11578.87</v>
      </c>
    </row>
    <row r="2396" spans="1:3" ht="15" hidden="1" customHeight="1" x14ac:dyDescent="0.3">
      <c r="A2396" t="s">
        <v>190</v>
      </c>
      <c r="B2396" s="2">
        <v>45839</v>
      </c>
      <c r="C2396">
        <v>12892.545</v>
      </c>
    </row>
    <row r="2397" spans="1:3" ht="15" hidden="1" customHeight="1" x14ac:dyDescent="0.3">
      <c r="A2397" t="s">
        <v>190</v>
      </c>
      <c r="B2397" s="2">
        <v>45870</v>
      </c>
      <c r="C2397">
        <v>14836.92</v>
      </c>
    </row>
    <row r="2398" spans="1:3" ht="15" hidden="1" customHeight="1" x14ac:dyDescent="0.3">
      <c r="A2398" t="s">
        <v>190</v>
      </c>
      <c r="B2398" s="2">
        <v>45901</v>
      </c>
      <c r="C2398">
        <v>15996.15</v>
      </c>
    </row>
    <row r="2399" spans="1:3" ht="15" hidden="1" customHeight="1" x14ac:dyDescent="0.3">
      <c r="A2399" t="s">
        <v>190</v>
      </c>
      <c r="B2399" s="2">
        <v>45931</v>
      </c>
      <c r="C2399">
        <v>16796.169999999998</v>
      </c>
    </row>
    <row r="2400" spans="1:3" ht="15" hidden="1" customHeight="1" x14ac:dyDescent="0.3">
      <c r="A2400" t="s">
        <v>190</v>
      </c>
      <c r="B2400" s="2">
        <v>45962</v>
      </c>
      <c r="C2400">
        <v>16463.224999999999</v>
      </c>
    </row>
    <row r="2401" spans="1:3" ht="15" hidden="1" customHeight="1" x14ac:dyDescent="0.3">
      <c r="A2401" t="s">
        <v>190</v>
      </c>
      <c r="B2401" s="2">
        <v>45992</v>
      </c>
      <c r="C2401">
        <v>17398.904999999999</v>
      </c>
    </row>
    <row r="2402" spans="1:3" ht="15" hidden="1" customHeight="1" x14ac:dyDescent="0.3">
      <c r="A2402" t="s">
        <v>190</v>
      </c>
      <c r="B2402" s="2">
        <v>46023</v>
      </c>
      <c r="C2402">
        <v>16638.665000000001</v>
      </c>
    </row>
    <row r="2403" spans="1:3" ht="15" hidden="1" customHeight="1" x14ac:dyDescent="0.3">
      <c r="A2403" t="s">
        <v>190</v>
      </c>
      <c r="B2403" s="2">
        <v>46054</v>
      </c>
      <c r="C2403">
        <v>14215.06</v>
      </c>
    </row>
    <row r="2404" spans="1:3" ht="15" hidden="1" customHeight="1" x14ac:dyDescent="0.3">
      <c r="A2404" t="s">
        <v>190</v>
      </c>
      <c r="B2404" s="2">
        <v>46082</v>
      </c>
      <c r="C2404">
        <v>15137.31</v>
      </c>
    </row>
    <row r="2405" spans="1:3" ht="15" hidden="1" customHeight="1" x14ac:dyDescent="0.3">
      <c r="A2405" t="s">
        <v>190</v>
      </c>
      <c r="B2405" s="2">
        <v>46113</v>
      </c>
      <c r="C2405">
        <v>13176.87</v>
      </c>
    </row>
    <row r="2406" spans="1:3" ht="15" hidden="1" customHeight="1" x14ac:dyDescent="0.3">
      <c r="A2406" t="s">
        <v>190</v>
      </c>
      <c r="B2406" s="2">
        <v>46143</v>
      </c>
      <c r="C2406">
        <v>12813.75</v>
      </c>
    </row>
    <row r="2407" spans="1:3" ht="15" hidden="1" customHeight="1" x14ac:dyDescent="0.3">
      <c r="A2407" t="s">
        <v>190</v>
      </c>
      <c r="B2407" s="2">
        <v>46174</v>
      </c>
      <c r="C2407">
        <v>11578.87</v>
      </c>
    </row>
    <row r="2408" spans="1:3" ht="15" customHeight="1" x14ac:dyDescent="0.3">
      <c r="A2408" t="s">
        <v>190</v>
      </c>
      <c r="B2408" s="2">
        <v>46204</v>
      </c>
      <c r="C2408">
        <v>12892.545</v>
      </c>
    </row>
    <row r="2409" spans="1:3" ht="15" hidden="1" customHeight="1" x14ac:dyDescent="0.3">
      <c r="A2409" t="s">
        <v>190</v>
      </c>
      <c r="B2409" s="2">
        <v>46235</v>
      </c>
      <c r="C2409">
        <v>14836.92</v>
      </c>
    </row>
    <row r="2410" spans="1:3" ht="15" hidden="1" customHeight="1" x14ac:dyDescent="0.3">
      <c r="A2410" t="s">
        <v>190</v>
      </c>
      <c r="B2410" s="2">
        <v>46266</v>
      </c>
      <c r="C2410">
        <v>15996.15</v>
      </c>
    </row>
    <row r="2411" spans="1:3" ht="15" hidden="1" customHeight="1" x14ac:dyDescent="0.3">
      <c r="A2411" t="s">
        <v>190</v>
      </c>
      <c r="B2411" s="2">
        <v>46296</v>
      </c>
      <c r="C2411">
        <v>16796.169999999998</v>
      </c>
    </row>
    <row r="2412" spans="1:3" ht="15" hidden="1" customHeight="1" x14ac:dyDescent="0.3">
      <c r="A2412" t="s">
        <v>190</v>
      </c>
      <c r="B2412" s="2">
        <v>46327</v>
      </c>
      <c r="C2412">
        <v>16463.224999999999</v>
      </c>
    </row>
    <row r="2413" spans="1:3" ht="15" hidden="1" customHeight="1" x14ac:dyDescent="0.3">
      <c r="A2413" t="s">
        <v>190</v>
      </c>
      <c r="B2413" s="2">
        <v>46357</v>
      </c>
      <c r="C2413">
        <v>17398.904999999999</v>
      </c>
    </row>
    <row r="2414" spans="1:3" ht="15" hidden="1" customHeight="1" x14ac:dyDescent="0.3">
      <c r="A2414" t="s">
        <v>199</v>
      </c>
      <c r="B2414" s="2">
        <v>45292</v>
      </c>
      <c r="C2414">
        <v>3784.4250000000002</v>
      </c>
    </row>
    <row r="2415" spans="1:3" ht="15" hidden="1" customHeight="1" x14ac:dyDescent="0.3">
      <c r="A2415" t="s">
        <v>199</v>
      </c>
      <c r="B2415" s="2">
        <v>45323</v>
      </c>
      <c r="C2415">
        <v>3270.15</v>
      </c>
    </row>
    <row r="2416" spans="1:3" ht="15" hidden="1" customHeight="1" x14ac:dyDescent="0.3">
      <c r="A2416" t="s">
        <v>199</v>
      </c>
      <c r="B2416" s="2">
        <v>45352</v>
      </c>
      <c r="C2416">
        <v>3533.3249999999998</v>
      </c>
    </row>
    <row r="2417" spans="1:3" ht="15" hidden="1" customHeight="1" x14ac:dyDescent="0.3">
      <c r="A2417" t="s">
        <v>199</v>
      </c>
      <c r="B2417" s="2">
        <v>45383</v>
      </c>
      <c r="C2417">
        <v>3063.0749999999998</v>
      </c>
    </row>
    <row r="2418" spans="1:3" ht="15" hidden="1" customHeight="1" x14ac:dyDescent="0.3">
      <c r="A2418" t="s">
        <v>199</v>
      </c>
      <c r="B2418" s="2">
        <v>45413</v>
      </c>
      <c r="C2418">
        <v>3093.8249999999998</v>
      </c>
    </row>
    <row r="2419" spans="1:3" ht="15" hidden="1" customHeight="1" x14ac:dyDescent="0.3">
      <c r="A2419" t="s">
        <v>199</v>
      </c>
      <c r="B2419" s="2">
        <v>45444</v>
      </c>
      <c r="C2419">
        <v>2834.0250000000001</v>
      </c>
    </row>
    <row r="2420" spans="1:3" ht="15" hidden="1" customHeight="1" x14ac:dyDescent="0.3">
      <c r="A2420" t="s">
        <v>199</v>
      </c>
      <c r="B2420" s="2">
        <v>45474</v>
      </c>
      <c r="C2420">
        <v>3103.35</v>
      </c>
    </row>
    <row r="2421" spans="1:3" ht="15" hidden="1" customHeight="1" x14ac:dyDescent="0.3">
      <c r="A2421" t="s">
        <v>199</v>
      </c>
      <c r="B2421" s="2">
        <v>45505</v>
      </c>
      <c r="C2421">
        <v>3491.55</v>
      </c>
    </row>
    <row r="2422" spans="1:3" ht="15" hidden="1" customHeight="1" x14ac:dyDescent="0.3">
      <c r="A2422" t="s">
        <v>199</v>
      </c>
      <c r="B2422" s="2">
        <v>45536</v>
      </c>
      <c r="C2422">
        <v>3723.45</v>
      </c>
    </row>
    <row r="2423" spans="1:3" ht="15" hidden="1" customHeight="1" x14ac:dyDescent="0.3">
      <c r="A2423" t="s">
        <v>199</v>
      </c>
      <c r="B2423" s="2">
        <v>45566</v>
      </c>
      <c r="C2423">
        <v>3899.4</v>
      </c>
    </row>
    <row r="2424" spans="1:3" ht="15" hidden="1" customHeight="1" x14ac:dyDescent="0.3">
      <c r="A2424" t="s">
        <v>199</v>
      </c>
      <c r="B2424" s="2">
        <v>45597</v>
      </c>
      <c r="C2424">
        <v>3732.75</v>
      </c>
    </row>
    <row r="2425" spans="1:3" ht="15" hidden="1" customHeight="1" x14ac:dyDescent="0.3">
      <c r="A2425" t="s">
        <v>199</v>
      </c>
      <c r="B2425" s="2">
        <v>45627</v>
      </c>
      <c r="C2425">
        <v>4016.1750000000002</v>
      </c>
    </row>
    <row r="2426" spans="1:3" ht="15" hidden="1" customHeight="1" x14ac:dyDescent="0.3">
      <c r="A2426" t="s">
        <v>199</v>
      </c>
      <c r="B2426" s="2">
        <v>45658</v>
      </c>
      <c r="C2426">
        <v>3784.4250000000002</v>
      </c>
    </row>
    <row r="2427" spans="1:3" ht="15" hidden="1" customHeight="1" x14ac:dyDescent="0.3">
      <c r="A2427" t="s">
        <v>199</v>
      </c>
      <c r="B2427" s="2">
        <v>45689</v>
      </c>
      <c r="C2427">
        <v>3270.15</v>
      </c>
    </row>
    <row r="2428" spans="1:3" ht="15" hidden="1" customHeight="1" x14ac:dyDescent="0.3">
      <c r="A2428" t="s">
        <v>199</v>
      </c>
      <c r="B2428" s="2">
        <v>45717</v>
      </c>
      <c r="C2428">
        <v>3533.3249999999998</v>
      </c>
    </row>
    <row r="2429" spans="1:3" ht="15" hidden="1" customHeight="1" x14ac:dyDescent="0.3">
      <c r="A2429" t="s">
        <v>199</v>
      </c>
      <c r="B2429" s="2">
        <v>45748</v>
      </c>
      <c r="C2429">
        <v>3063.0749999999998</v>
      </c>
    </row>
    <row r="2430" spans="1:3" ht="15" hidden="1" customHeight="1" x14ac:dyDescent="0.3">
      <c r="A2430" t="s">
        <v>199</v>
      </c>
      <c r="B2430" s="2">
        <v>45778</v>
      </c>
      <c r="C2430">
        <v>3093.8249999999998</v>
      </c>
    </row>
    <row r="2431" spans="1:3" ht="15" hidden="1" customHeight="1" x14ac:dyDescent="0.3">
      <c r="A2431" t="s">
        <v>199</v>
      </c>
      <c r="B2431" s="2">
        <v>45809</v>
      </c>
      <c r="C2431">
        <v>2834.0250000000001</v>
      </c>
    </row>
    <row r="2432" spans="1:3" ht="15" hidden="1" customHeight="1" x14ac:dyDescent="0.3">
      <c r="A2432" t="s">
        <v>199</v>
      </c>
      <c r="B2432" s="2">
        <v>45839</v>
      </c>
      <c r="C2432">
        <v>3103.35</v>
      </c>
    </row>
    <row r="2433" spans="1:3" ht="15" hidden="1" customHeight="1" x14ac:dyDescent="0.3">
      <c r="A2433" t="s">
        <v>199</v>
      </c>
      <c r="B2433" s="2">
        <v>45870</v>
      </c>
      <c r="C2433">
        <v>3491.55</v>
      </c>
    </row>
    <row r="2434" spans="1:3" ht="15" hidden="1" customHeight="1" x14ac:dyDescent="0.3">
      <c r="A2434" t="s">
        <v>199</v>
      </c>
      <c r="B2434" s="2">
        <v>45901</v>
      </c>
      <c r="C2434">
        <v>3723.45</v>
      </c>
    </row>
    <row r="2435" spans="1:3" ht="15" hidden="1" customHeight="1" x14ac:dyDescent="0.3">
      <c r="A2435" t="s">
        <v>199</v>
      </c>
      <c r="B2435" s="2">
        <v>45931</v>
      </c>
      <c r="C2435">
        <v>3899.4</v>
      </c>
    </row>
    <row r="2436" spans="1:3" ht="15" hidden="1" customHeight="1" x14ac:dyDescent="0.3">
      <c r="A2436" t="s">
        <v>199</v>
      </c>
      <c r="B2436" s="2">
        <v>45962</v>
      </c>
      <c r="C2436">
        <v>3732.75</v>
      </c>
    </row>
    <row r="2437" spans="1:3" ht="15" hidden="1" customHeight="1" x14ac:dyDescent="0.3">
      <c r="A2437" t="s">
        <v>199</v>
      </c>
      <c r="B2437" s="2">
        <v>45992</v>
      </c>
      <c r="C2437">
        <v>4016.1750000000002</v>
      </c>
    </row>
    <row r="2438" spans="1:3" ht="15" hidden="1" customHeight="1" x14ac:dyDescent="0.3">
      <c r="A2438" t="s">
        <v>199</v>
      </c>
      <c r="B2438" s="2">
        <v>46023</v>
      </c>
      <c r="C2438">
        <v>3784.4250000000002</v>
      </c>
    </row>
    <row r="2439" spans="1:3" ht="15" hidden="1" customHeight="1" x14ac:dyDescent="0.3">
      <c r="A2439" t="s">
        <v>199</v>
      </c>
      <c r="B2439" s="2">
        <v>46054</v>
      </c>
      <c r="C2439">
        <v>3270.15</v>
      </c>
    </row>
    <row r="2440" spans="1:3" ht="15" hidden="1" customHeight="1" x14ac:dyDescent="0.3">
      <c r="A2440" t="s">
        <v>199</v>
      </c>
      <c r="B2440" s="2">
        <v>46082</v>
      </c>
      <c r="C2440">
        <v>3533.3249999999998</v>
      </c>
    </row>
    <row r="2441" spans="1:3" ht="15" hidden="1" customHeight="1" x14ac:dyDescent="0.3">
      <c r="A2441" t="s">
        <v>199</v>
      </c>
      <c r="B2441" s="2">
        <v>46113</v>
      </c>
      <c r="C2441">
        <v>3063.0749999999998</v>
      </c>
    </row>
    <row r="2442" spans="1:3" ht="15" hidden="1" customHeight="1" x14ac:dyDescent="0.3">
      <c r="A2442" t="s">
        <v>199</v>
      </c>
      <c r="B2442" s="2">
        <v>46143</v>
      </c>
      <c r="C2442">
        <v>3093.8249999999998</v>
      </c>
    </row>
    <row r="2443" spans="1:3" ht="15" hidden="1" customHeight="1" x14ac:dyDescent="0.3">
      <c r="A2443" t="s">
        <v>199</v>
      </c>
      <c r="B2443" s="2">
        <v>46174</v>
      </c>
      <c r="C2443">
        <v>2834.0250000000001</v>
      </c>
    </row>
    <row r="2444" spans="1:3" ht="15" customHeight="1" x14ac:dyDescent="0.3">
      <c r="A2444" t="s">
        <v>199</v>
      </c>
      <c r="B2444" s="2">
        <v>46204</v>
      </c>
      <c r="C2444">
        <v>3103.35</v>
      </c>
    </row>
    <row r="2445" spans="1:3" ht="15" hidden="1" customHeight="1" x14ac:dyDescent="0.3">
      <c r="A2445" t="s">
        <v>199</v>
      </c>
      <c r="B2445" s="2">
        <v>46235</v>
      </c>
      <c r="C2445">
        <v>3491.55</v>
      </c>
    </row>
    <row r="2446" spans="1:3" ht="15" hidden="1" customHeight="1" x14ac:dyDescent="0.3">
      <c r="A2446" t="s">
        <v>199</v>
      </c>
      <c r="B2446" s="2">
        <v>46266</v>
      </c>
      <c r="C2446">
        <v>3723.45</v>
      </c>
    </row>
    <row r="2447" spans="1:3" ht="15" hidden="1" customHeight="1" x14ac:dyDescent="0.3">
      <c r="A2447" t="s">
        <v>199</v>
      </c>
      <c r="B2447" s="2">
        <v>46296</v>
      </c>
      <c r="C2447">
        <v>3899.4</v>
      </c>
    </row>
    <row r="2448" spans="1:3" ht="15" hidden="1" customHeight="1" x14ac:dyDescent="0.3">
      <c r="A2448" t="s">
        <v>199</v>
      </c>
      <c r="B2448" s="2">
        <v>46327</v>
      </c>
      <c r="C2448">
        <v>3732.75</v>
      </c>
    </row>
    <row r="2449" spans="1:3" ht="15" hidden="1" customHeight="1" x14ac:dyDescent="0.3">
      <c r="A2449" t="s">
        <v>199</v>
      </c>
      <c r="B2449" s="2">
        <v>46357</v>
      </c>
      <c r="C2449">
        <v>4016.1750000000002</v>
      </c>
    </row>
    <row r="2450" spans="1:3" ht="15" hidden="1" customHeight="1" x14ac:dyDescent="0.3">
      <c r="A2450" t="s">
        <v>192</v>
      </c>
      <c r="B2450" s="2">
        <v>45292</v>
      </c>
      <c r="C2450">
        <v>0</v>
      </c>
    </row>
    <row r="2451" spans="1:3" ht="15" hidden="1" customHeight="1" x14ac:dyDescent="0.3">
      <c r="A2451" t="s">
        <v>192</v>
      </c>
      <c r="B2451" s="2">
        <v>45323</v>
      </c>
      <c r="C2451">
        <v>0</v>
      </c>
    </row>
    <row r="2452" spans="1:3" ht="15" hidden="1" customHeight="1" x14ac:dyDescent="0.3">
      <c r="A2452" t="s">
        <v>192</v>
      </c>
      <c r="B2452" s="2">
        <v>45352</v>
      </c>
      <c r="C2452">
        <v>0</v>
      </c>
    </row>
    <row r="2453" spans="1:3" ht="15" hidden="1" customHeight="1" x14ac:dyDescent="0.3">
      <c r="A2453" t="s">
        <v>192</v>
      </c>
      <c r="B2453" s="2">
        <v>45383</v>
      </c>
      <c r="C2453">
        <v>0</v>
      </c>
    </row>
    <row r="2454" spans="1:3" ht="15" hidden="1" customHeight="1" x14ac:dyDescent="0.3">
      <c r="A2454" t="s">
        <v>192</v>
      </c>
      <c r="B2454" s="2">
        <v>45413</v>
      </c>
      <c r="C2454">
        <v>0</v>
      </c>
    </row>
    <row r="2455" spans="1:3" ht="15" hidden="1" customHeight="1" x14ac:dyDescent="0.3">
      <c r="A2455" t="s">
        <v>192</v>
      </c>
      <c r="B2455" s="2">
        <v>45444</v>
      </c>
      <c r="C2455">
        <v>0</v>
      </c>
    </row>
    <row r="2456" spans="1:3" ht="15" hidden="1" customHeight="1" x14ac:dyDescent="0.3">
      <c r="A2456" t="s">
        <v>192</v>
      </c>
      <c r="B2456" s="2">
        <v>45474</v>
      </c>
      <c r="C2456">
        <v>0</v>
      </c>
    </row>
    <row r="2457" spans="1:3" ht="15" hidden="1" customHeight="1" x14ac:dyDescent="0.3">
      <c r="A2457" t="s">
        <v>192</v>
      </c>
      <c r="B2457" s="2">
        <v>45505</v>
      </c>
      <c r="C2457">
        <v>0</v>
      </c>
    </row>
    <row r="2458" spans="1:3" ht="15" hidden="1" customHeight="1" x14ac:dyDescent="0.3">
      <c r="A2458" t="s">
        <v>192</v>
      </c>
      <c r="B2458" s="2">
        <v>45536</v>
      </c>
      <c r="C2458">
        <v>0</v>
      </c>
    </row>
    <row r="2459" spans="1:3" ht="15" hidden="1" customHeight="1" x14ac:dyDescent="0.3">
      <c r="A2459" t="s">
        <v>192</v>
      </c>
      <c r="B2459" s="2">
        <v>45566</v>
      </c>
      <c r="C2459">
        <v>0</v>
      </c>
    </row>
    <row r="2460" spans="1:3" ht="15" hidden="1" customHeight="1" x14ac:dyDescent="0.3">
      <c r="A2460" t="s">
        <v>192</v>
      </c>
      <c r="B2460" s="2">
        <v>45597</v>
      </c>
      <c r="C2460">
        <v>0</v>
      </c>
    </row>
    <row r="2461" spans="1:3" ht="15" hidden="1" customHeight="1" x14ac:dyDescent="0.3">
      <c r="A2461" t="s">
        <v>192</v>
      </c>
      <c r="B2461" s="2">
        <v>45627</v>
      </c>
      <c r="C2461">
        <v>0</v>
      </c>
    </row>
    <row r="2462" spans="1:3" ht="15" hidden="1" customHeight="1" x14ac:dyDescent="0.3">
      <c r="A2462" t="s">
        <v>192</v>
      </c>
      <c r="B2462" s="2">
        <v>45658</v>
      </c>
      <c r="C2462">
        <v>0</v>
      </c>
    </row>
    <row r="2463" spans="1:3" ht="15" hidden="1" customHeight="1" x14ac:dyDescent="0.3">
      <c r="A2463" t="s">
        <v>192</v>
      </c>
      <c r="B2463" s="2">
        <v>45689</v>
      </c>
      <c r="C2463">
        <v>0</v>
      </c>
    </row>
    <row r="2464" spans="1:3" ht="15" hidden="1" customHeight="1" x14ac:dyDescent="0.3">
      <c r="A2464" t="s">
        <v>192</v>
      </c>
      <c r="B2464" s="2">
        <v>45717</v>
      </c>
      <c r="C2464">
        <v>0</v>
      </c>
    </row>
    <row r="2465" spans="1:3" ht="15" hidden="1" customHeight="1" x14ac:dyDescent="0.3">
      <c r="A2465" t="s">
        <v>192</v>
      </c>
      <c r="B2465" s="2">
        <v>45748</v>
      </c>
      <c r="C2465">
        <v>0</v>
      </c>
    </row>
    <row r="2466" spans="1:3" ht="15" hidden="1" customHeight="1" x14ac:dyDescent="0.3">
      <c r="A2466" t="s">
        <v>192</v>
      </c>
      <c r="B2466" s="2">
        <v>45778</v>
      </c>
      <c r="C2466">
        <v>0</v>
      </c>
    </row>
    <row r="2467" spans="1:3" ht="15" hidden="1" customHeight="1" x14ac:dyDescent="0.3">
      <c r="A2467" t="s">
        <v>192</v>
      </c>
      <c r="B2467" s="2">
        <v>45809</v>
      </c>
      <c r="C2467">
        <v>0</v>
      </c>
    </row>
    <row r="2468" spans="1:3" ht="15" hidden="1" customHeight="1" x14ac:dyDescent="0.3">
      <c r="A2468" t="s">
        <v>192</v>
      </c>
      <c r="B2468" s="2">
        <v>45839</v>
      </c>
      <c r="C2468">
        <v>0</v>
      </c>
    </row>
    <row r="2469" spans="1:3" ht="15" hidden="1" customHeight="1" x14ac:dyDescent="0.3">
      <c r="A2469" t="s">
        <v>192</v>
      </c>
      <c r="B2469" s="2">
        <v>45870</v>
      </c>
      <c r="C2469">
        <v>0</v>
      </c>
    </row>
    <row r="2470" spans="1:3" ht="15" hidden="1" customHeight="1" x14ac:dyDescent="0.3">
      <c r="A2470" t="s">
        <v>192</v>
      </c>
      <c r="B2470" s="2">
        <v>45901</v>
      </c>
      <c r="C2470">
        <v>0</v>
      </c>
    </row>
    <row r="2471" spans="1:3" ht="15" hidden="1" customHeight="1" x14ac:dyDescent="0.3">
      <c r="A2471" t="s">
        <v>192</v>
      </c>
      <c r="B2471" s="2">
        <v>45931</v>
      </c>
      <c r="C2471">
        <v>0</v>
      </c>
    </row>
    <row r="2472" spans="1:3" ht="15" hidden="1" customHeight="1" x14ac:dyDescent="0.3">
      <c r="A2472" t="s">
        <v>192</v>
      </c>
      <c r="B2472" s="2">
        <v>45962</v>
      </c>
      <c r="C2472">
        <v>0</v>
      </c>
    </row>
    <row r="2473" spans="1:3" ht="15" hidden="1" customHeight="1" x14ac:dyDescent="0.3">
      <c r="A2473" t="s">
        <v>192</v>
      </c>
      <c r="B2473" s="2">
        <v>45992</v>
      </c>
      <c r="C2473">
        <v>0</v>
      </c>
    </row>
    <row r="2474" spans="1:3" ht="15" hidden="1" customHeight="1" x14ac:dyDescent="0.3">
      <c r="A2474" t="s">
        <v>192</v>
      </c>
      <c r="B2474" s="2">
        <v>46023</v>
      </c>
      <c r="C2474">
        <v>0</v>
      </c>
    </row>
    <row r="2475" spans="1:3" ht="15" hidden="1" customHeight="1" x14ac:dyDescent="0.3">
      <c r="A2475" t="s">
        <v>192</v>
      </c>
      <c r="B2475" s="2">
        <v>46054</v>
      </c>
      <c r="C2475">
        <v>0</v>
      </c>
    </row>
    <row r="2476" spans="1:3" ht="15" hidden="1" customHeight="1" x14ac:dyDescent="0.3">
      <c r="A2476" t="s">
        <v>192</v>
      </c>
      <c r="B2476" s="2">
        <v>46082</v>
      </c>
      <c r="C2476">
        <v>0</v>
      </c>
    </row>
    <row r="2477" spans="1:3" ht="15" hidden="1" customHeight="1" x14ac:dyDescent="0.3">
      <c r="A2477" t="s">
        <v>192</v>
      </c>
      <c r="B2477" s="2">
        <v>46113</v>
      </c>
      <c r="C2477">
        <v>0</v>
      </c>
    </row>
    <row r="2478" spans="1:3" ht="15" hidden="1" customHeight="1" x14ac:dyDescent="0.3">
      <c r="A2478" t="s">
        <v>192</v>
      </c>
      <c r="B2478" s="2">
        <v>46143</v>
      </c>
      <c r="C2478">
        <v>0</v>
      </c>
    </row>
    <row r="2479" spans="1:3" ht="15" hidden="1" customHeight="1" x14ac:dyDescent="0.3">
      <c r="A2479" t="s">
        <v>192</v>
      </c>
      <c r="B2479" s="2">
        <v>46174</v>
      </c>
      <c r="C2479">
        <v>0</v>
      </c>
    </row>
    <row r="2480" spans="1:3" ht="15" customHeight="1" x14ac:dyDescent="0.3">
      <c r="A2480" t="s">
        <v>192</v>
      </c>
      <c r="B2480" s="2">
        <v>46204</v>
      </c>
      <c r="C2480">
        <v>0</v>
      </c>
    </row>
    <row r="2481" spans="1:3" ht="15" hidden="1" customHeight="1" x14ac:dyDescent="0.3">
      <c r="A2481" t="s">
        <v>192</v>
      </c>
      <c r="B2481" s="2">
        <v>46235</v>
      </c>
      <c r="C2481">
        <v>0</v>
      </c>
    </row>
    <row r="2482" spans="1:3" ht="15" hidden="1" customHeight="1" x14ac:dyDescent="0.3">
      <c r="A2482" t="s">
        <v>192</v>
      </c>
      <c r="B2482" s="2">
        <v>46266</v>
      </c>
      <c r="C2482">
        <v>0</v>
      </c>
    </row>
    <row r="2483" spans="1:3" ht="15" hidden="1" customHeight="1" x14ac:dyDescent="0.3">
      <c r="A2483" t="s">
        <v>192</v>
      </c>
      <c r="B2483" s="2">
        <v>46296</v>
      </c>
      <c r="C2483">
        <v>0</v>
      </c>
    </row>
    <row r="2484" spans="1:3" ht="15" hidden="1" customHeight="1" x14ac:dyDescent="0.3">
      <c r="A2484" t="s">
        <v>192</v>
      </c>
      <c r="B2484" s="2">
        <v>46327</v>
      </c>
      <c r="C2484">
        <v>0</v>
      </c>
    </row>
    <row r="2485" spans="1:3" ht="15" hidden="1" customHeight="1" x14ac:dyDescent="0.3">
      <c r="A2485" t="s">
        <v>192</v>
      </c>
      <c r="B2485" s="2">
        <v>46357</v>
      </c>
      <c r="C2485">
        <v>0</v>
      </c>
    </row>
    <row r="2486" spans="1:3" ht="15" hidden="1" customHeight="1" x14ac:dyDescent="0.3">
      <c r="A2486" t="s">
        <v>194</v>
      </c>
      <c r="B2486" s="2">
        <v>45292</v>
      </c>
      <c r="C2486">
        <v>7399.8</v>
      </c>
    </row>
    <row r="2487" spans="1:3" ht="15" hidden="1" customHeight="1" x14ac:dyDescent="0.3">
      <c r="A2487" t="s">
        <v>194</v>
      </c>
      <c r="B2487" s="2">
        <v>45323</v>
      </c>
      <c r="C2487">
        <v>6298.2</v>
      </c>
    </row>
    <row r="2488" spans="1:3" ht="15" hidden="1" customHeight="1" x14ac:dyDescent="0.3">
      <c r="A2488" t="s">
        <v>194</v>
      </c>
      <c r="B2488" s="2">
        <v>45352</v>
      </c>
      <c r="C2488">
        <v>6353.1</v>
      </c>
    </row>
    <row r="2489" spans="1:3" ht="15" hidden="1" customHeight="1" x14ac:dyDescent="0.3">
      <c r="A2489" t="s">
        <v>194</v>
      </c>
      <c r="B2489" s="2">
        <v>45383</v>
      </c>
      <c r="C2489">
        <v>5016.6000000000004</v>
      </c>
    </row>
    <row r="2490" spans="1:3" ht="15" hidden="1" customHeight="1" x14ac:dyDescent="0.3">
      <c r="A2490" t="s">
        <v>194</v>
      </c>
      <c r="B2490" s="2">
        <v>45413</v>
      </c>
      <c r="C2490">
        <v>4753.8</v>
      </c>
    </row>
    <row r="2491" spans="1:3" ht="15" hidden="1" customHeight="1" x14ac:dyDescent="0.3">
      <c r="A2491" t="s">
        <v>194</v>
      </c>
      <c r="B2491" s="2">
        <v>45444</v>
      </c>
      <c r="C2491">
        <v>4257</v>
      </c>
    </row>
    <row r="2492" spans="1:3" ht="15" hidden="1" customHeight="1" x14ac:dyDescent="0.3">
      <c r="A2492" t="s">
        <v>194</v>
      </c>
      <c r="B2492" s="2">
        <v>45474</v>
      </c>
      <c r="C2492">
        <v>4730.3999999999996</v>
      </c>
    </row>
    <row r="2493" spans="1:3" ht="15" hidden="1" customHeight="1" x14ac:dyDescent="0.3">
      <c r="A2493" t="s">
        <v>194</v>
      </c>
      <c r="B2493" s="2">
        <v>45505</v>
      </c>
      <c r="C2493">
        <v>5440.5</v>
      </c>
    </row>
    <row r="2494" spans="1:3" ht="15" hidden="1" customHeight="1" x14ac:dyDescent="0.3">
      <c r="A2494" t="s">
        <v>194</v>
      </c>
      <c r="B2494" s="2">
        <v>45536</v>
      </c>
      <c r="C2494">
        <v>6345.9</v>
      </c>
    </row>
    <row r="2495" spans="1:3" ht="15" hidden="1" customHeight="1" x14ac:dyDescent="0.3">
      <c r="A2495" t="s">
        <v>194</v>
      </c>
      <c r="B2495" s="2">
        <v>45566</v>
      </c>
      <c r="C2495">
        <v>7250.4</v>
      </c>
    </row>
    <row r="2496" spans="1:3" ht="15" hidden="1" customHeight="1" x14ac:dyDescent="0.3">
      <c r="A2496" t="s">
        <v>194</v>
      </c>
      <c r="B2496" s="2">
        <v>45597</v>
      </c>
      <c r="C2496">
        <v>7330.5</v>
      </c>
    </row>
    <row r="2497" spans="1:3" ht="15" hidden="1" customHeight="1" x14ac:dyDescent="0.3">
      <c r="A2497" t="s">
        <v>194</v>
      </c>
      <c r="B2497" s="2">
        <v>45627</v>
      </c>
      <c r="C2497">
        <v>7866</v>
      </c>
    </row>
    <row r="2498" spans="1:3" ht="15" hidden="1" customHeight="1" x14ac:dyDescent="0.3">
      <c r="A2498" t="s">
        <v>194</v>
      </c>
      <c r="B2498" s="2">
        <v>45658</v>
      </c>
      <c r="C2498">
        <v>7399.8</v>
      </c>
    </row>
    <row r="2499" spans="1:3" ht="15" hidden="1" customHeight="1" x14ac:dyDescent="0.3">
      <c r="A2499" t="s">
        <v>194</v>
      </c>
      <c r="B2499" s="2">
        <v>45689</v>
      </c>
      <c r="C2499">
        <v>6298.2</v>
      </c>
    </row>
    <row r="2500" spans="1:3" ht="15" hidden="1" customHeight="1" x14ac:dyDescent="0.3">
      <c r="A2500" t="s">
        <v>194</v>
      </c>
      <c r="B2500" s="2">
        <v>45717</v>
      </c>
      <c r="C2500">
        <v>6353.1</v>
      </c>
    </row>
    <row r="2501" spans="1:3" ht="15" hidden="1" customHeight="1" x14ac:dyDescent="0.3">
      <c r="A2501" t="s">
        <v>194</v>
      </c>
      <c r="B2501" s="2">
        <v>45748</v>
      </c>
      <c r="C2501">
        <v>5016.6000000000004</v>
      </c>
    </row>
    <row r="2502" spans="1:3" ht="15" hidden="1" customHeight="1" x14ac:dyDescent="0.3">
      <c r="A2502" t="s">
        <v>194</v>
      </c>
      <c r="B2502" s="2">
        <v>45778</v>
      </c>
      <c r="C2502">
        <v>4753.8</v>
      </c>
    </row>
    <row r="2503" spans="1:3" ht="15" hidden="1" customHeight="1" x14ac:dyDescent="0.3">
      <c r="A2503" t="s">
        <v>194</v>
      </c>
      <c r="B2503" s="2">
        <v>45809</v>
      </c>
      <c r="C2503">
        <v>4257</v>
      </c>
    </row>
    <row r="2504" spans="1:3" ht="15" hidden="1" customHeight="1" x14ac:dyDescent="0.3">
      <c r="A2504" t="s">
        <v>194</v>
      </c>
      <c r="B2504" s="2">
        <v>45839</v>
      </c>
      <c r="C2504">
        <v>4730.3999999999996</v>
      </c>
    </row>
    <row r="2505" spans="1:3" ht="15" hidden="1" customHeight="1" x14ac:dyDescent="0.3">
      <c r="A2505" t="s">
        <v>194</v>
      </c>
      <c r="B2505" s="2">
        <v>45870</v>
      </c>
      <c r="C2505">
        <v>5440.5</v>
      </c>
    </row>
    <row r="2506" spans="1:3" ht="15" hidden="1" customHeight="1" x14ac:dyDescent="0.3">
      <c r="A2506" t="s">
        <v>194</v>
      </c>
      <c r="B2506" s="2">
        <v>45901</v>
      </c>
      <c r="C2506">
        <v>6345.9</v>
      </c>
    </row>
    <row r="2507" spans="1:3" ht="15" hidden="1" customHeight="1" x14ac:dyDescent="0.3">
      <c r="A2507" t="s">
        <v>194</v>
      </c>
      <c r="B2507" s="2">
        <v>45931</v>
      </c>
      <c r="C2507">
        <v>7250.4</v>
      </c>
    </row>
    <row r="2508" spans="1:3" ht="15" hidden="1" customHeight="1" x14ac:dyDescent="0.3">
      <c r="A2508" t="s">
        <v>194</v>
      </c>
      <c r="B2508" s="2">
        <v>45962</v>
      </c>
      <c r="C2508">
        <v>7330.5</v>
      </c>
    </row>
    <row r="2509" spans="1:3" ht="15" hidden="1" customHeight="1" x14ac:dyDescent="0.3">
      <c r="A2509" t="s">
        <v>194</v>
      </c>
      <c r="B2509" s="2">
        <v>45992</v>
      </c>
      <c r="C2509">
        <v>7866</v>
      </c>
    </row>
    <row r="2510" spans="1:3" ht="15" hidden="1" customHeight="1" x14ac:dyDescent="0.3">
      <c r="A2510" t="s">
        <v>194</v>
      </c>
      <c r="B2510" s="2">
        <v>46023</v>
      </c>
      <c r="C2510">
        <v>7399.8</v>
      </c>
    </row>
    <row r="2511" spans="1:3" ht="15" hidden="1" customHeight="1" x14ac:dyDescent="0.3">
      <c r="A2511" t="s">
        <v>194</v>
      </c>
      <c r="B2511" s="2">
        <v>46054</v>
      </c>
      <c r="C2511">
        <v>6298.2</v>
      </c>
    </row>
    <row r="2512" spans="1:3" ht="15" hidden="1" customHeight="1" x14ac:dyDescent="0.3">
      <c r="A2512" t="s">
        <v>194</v>
      </c>
      <c r="B2512" s="2">
        <v>46082</v>
      </c>
      <c r="C2512">
        <v>6353.1</v>
      </c>
    </row>
    <row r="2513" spans="1:3" ht="15" hidden="1" customHeight="1" x14ac:dyDescent="0.3">
      <c r="A2513" t="s">
        <v>194</v>
      </c>
      <c r="B2513" s="2">
        <v>46113</v>
      </c>
      <c r="C2513">
        <v>5016.6000000000004</v>
      </c>
    </row>
    <row r="2514" spans="1:3" ht="15" hidden="1" customHeight="1" x14ac:dyDescent="0.3">
      <c r="A2514" t="s">
        <v>194</v>
      </c>
      <c r="B2514" s="2">
        <v>46143</v>
      </c>
      <c r="C2514">
        <v>4753.8</v>
      </c>
    </row>
    <row r="2515" spans="1:3" ht="15" hidden="1" customHeight="1" x14ac:dyDescent="0.3">
      <c r="A2515" t="s">
        <v>194</v>
      </c>
      <c r="B2515" s="2">
        <v>46174</v>
      </c>
      <c r="C2515">
        <v>4257</v>
      </c>
    </row>
    <row r="2516" spans="1:3" ht="15" customHeight="1" x14ac:dyDescent="0.3">
      <c r="A2516" t="s">
        <v>194</v>
      </c>
      <c r="B2516" s="2">
        <v>46204</v>
      </c>
      <c r="C2516">
        <v>4730.3999999999996</v>
      </c>
    </row>
    <row r="2517" spans="1:3" ht="15" hidden="1" customHeight="1" x14ac:dyDescent="0.3">
      <c r="A2517" t="s">
        <v>194</v>
      </c>
      <c r="B2517" s="2">
        <v>46235</v>
      </c>
      <c r="C2517">
        <v>5440.5</v>
      </c>
    </row>
    <row r="2518" spans="1:3" ht="15" hidden="1" customHeight="1" x14ac:dyDescent="0.3">
      <c r="A2518" t="s">
        <v>194</v>
      </c>
      <c r="B2518" s="2">
        <v>46266</v>
      </c>
      <c r="C2518">
        <v>6345.9</v>
      </c>
    </row>
    <row r="2519" spans="1:3" ht="15" hidden="1" customHeight="1" x14ac:dyDescent="0.3">
      <c r="A2519" t="s">
        <v>194</v>
      </c>
      <c r="B2519" s="2">
        <v>46296</v>
      </c>
      <c r="C2519">
        <v>7250.4</v>
      </c>
    </row>
    <row r="2520" spans="1:3" ht="15" hidden="1" customHeight="1" x14ac:dyDescent="0.3">
      <c r="A2520" t="s">
        <v>194</v>
      </c>
      <c r="B2520" s="2">
        <v>46327</v>
      </c>
      <c r="C2520">
        <v>7330.5</v>
      </c>
    </row>
    <row r="2521" spans="1:3" ht="15" hidden="1" customHeight="1" x14ac:dyDescent="0.3">
      <c r="A2521" t="s">
        <v>194</v>
      </c>
      <c r="B2521" s="2">
        <v>46357</v>
      </c>
      <c r="C2521">
        <v>7866</v>
      </c>
    </row>
    <row r="2522" spans="1:3" ht="15" hidden="1" customHeight="1" x14ac:dyDescent="0.3">
      <c r="A2522" t="s">
        <v>196</v>
      </c>
      <c r="B2522" s="2">
        <v>45292</v>
      </c>
      <c r="C2522">
        <v>4274.1000000000004</v>
      </c>
    </row>
    <row r="2523" spans="1:3" ht="15" hidden="1" customHeight="1" x14ac:dyDescent="0.3">
      <c r="A2523" t="s">
        <v>196</v>
      </c>
      <c r="B2523" s="2">
        <v>45323</v>
      </c>
      <c r="C2523">
        <v>3810.6</v>
      </c>
    </row>
    <row r="2524" spans="1:3" ht="15" hidden="1" customHeight="1" x14ac:dyDescent="0.3">
      <c r="A2524" t="s">
        <v>196</v>
      </c>
      <c r="B2524" s="2">
        <v>45352</v>
      </c>
      <c r="C2524">
        <v>3907.2750000000001</v>
      </c>
    </row>
    <row r="2525" spans="1:3" ht="15" hidden="1" customHeight="1" x14ac:dyDescent="0.3">
      <c r="A2525" t="s">
        <v>196</v>
      </c>
      <c r="B2525" s="2">
        <v>45383</v>
      </c>
      <c r="C2525">
        <v>3268.125</v>
      </c>
    </row>
    <row r="2526" spans="1:3" ht="15" hidden="1" customHeight="1" x14ac:dyDescent="0.3">
      <c r="A2526" t="s">
        <v>196</v>
      </c>
      <c r="B2526" s="2">
        <v>45413</v>
      </c>
      <c r="C2526">
        <v>2929.95</v>
      </c>
    </row>
    <row r="2527" spans="1:3" ht="15" hidden="1" customHeight="1" x14ac:dyDescent="0.3">
      <c r="A2527" t="s">
        <v>196</v>
      </c>
      <c r="B2527" s="2">
        <v>45444</v>
      </c>
      <c r="C2527">
        <v>2664.75</v>
      </c>
    </row>
    <row r="2528" spans="1:3" ht="15" hidden="1" customHeight="1" x14ac:dyDescent="0.3">
      <c r="A2528" t="s">
        <v>196</v>
      </c>
      <c r="B2528" s="2">
        <v>45474</v>
      </c>
      <c r="C2528">
        <v>2851.125</v>
      </c>
    </row>
    <row r="2529" spans="1:3" ht="15" hidden="1" customHeight="1" x14ac:dyDescent="0.3">
      <c r="A2529" t="s">
        <v>196</v>
      </c>
      <c r="B2529" s="2">
        <v>45505</v>
      </c>
      <c r="C2529">
        <v>3237</v>
      </c>
    </row>
    <row r="2530" spans="1:3" ht="15" hidden="1" customHeight="1" x14ac:dyDescent="0.3">
      <c r="A2530" t="s">
        <v>196</v>
      </c>
      <c r="B2530" s="2">
        <v>45536</v>
      </c>
      <c r="C2530">
        <v>3327.75</v>
      </c>
    </row>
    <row r="2531" spans="1:3" ht="15" hidden="1" customHeight="1" x14ac:dyDescent="0.3">
      <c r="A2531" t="s">
        <v>196</v>
      </c>
      <c r="B2531" s="2">
        <v>45566</v>
      </c>
      <c r="C2531">
        <v>3775.7249999999999</v>
      </c>
    </row>
    <row r="2532" spans="1:3" ht="15" hidden="1" customHeight="1" x14ac:dyDescent="0.3">
      <c r="A2532" t="s">
        <v>196</v>
      </c>
      <c r="B2532" s="2">
        <v>45597</v>
      </c>
      <c r="C2532">
        <v>3829.5749999999998</v>
      </c>
    </row>
    <row r="2533" spans="1:3" ht="15" hidden="1" customHeight="1" x14ac:dyDescent="0.3">
      <c r="A2533" t="s">
        <v>196</v>
      </c>
      <c r="B2533" s="2">
        <v>45627</v>
      </c>
      <c r="C2533">
        <v>4315.6499999999996</v>
      </c>
    </row>
    <row r="2534" spans="1:3" ht="15" hidden="1" customHeight="1" x14ac:dyDescent="0.3">
      <c r="A2534" t="s">
        <v>196</v>
      </c>
      <c r="B2534" s="2">
        <v>45658</v>
      </c>
      <c r="C2534">
        <v>4274.1000000000004</v>
      </c>
    </row>
    <row r="2535" spans="1:3" ht="15" hidden="1" customHeight="1" x14ac:dyDescent="0.3">
      <c r="A2535" t="s">
        <v>196</v>
      </c>
      <c r="B2535" s="2">
        <v>45689</v>
      </c>
      <c r="C2535">
        <v>3810.6</v>
      </c>
    </row>
    <row r="2536" spans="1:3" ht="15" hidden="1" customHeight="1" x14ac:dyDescent="0.3">
      <c r="A2536" t="s">
        <v>196</v>
      </c>
      <c r="B2536" s="2">
        <v>45717</v>
      </c>
      <c r="C2536">
        <v>3907.2750000000001</v>
      </c>
    </row>
    <row r="2537" spans="1:3" ht="15" hidden="1" customHeight="1" x14ac:dyDescent="0.3">
      <c r="A2537" t="s">
        <v>196</v>
      </c>
      <c r="B2537" s="2">
        <v>45748</v>
      </c>
      <c r="C2537">
        <v>3268.125</v>
      </c>
    </row>
    <row r="2538" spans="1:3" ht="15" hidden="1" customHeight="1" x14ac:dyDescent="0.3">
      <c r="A2538" t="s">
        <v>196</v>
      </c>
      <c r="B2538" s="2">
        <v>45778</v>
      </c>
      <c r="C2538">
        <v>2929.95</v>
      </c>
    </row>
    <row r="2539" spans="1:3" ht="15" hidden="1" customHeight="1" x14ac:dyDescent="0.3">
      <c r="A2539" t="s">
        <v>196</v>
      </c>
      <c r="B2539" s="2">
        <v>45809</v>
      </c>
      <c r="C2539">
        <v>2664.75</v>
      </c>
    </row>
    <row r="2540" spans="1:3" ht="15" hidden="1" customHeight="1" x14ac:dyDescent="0.3">
      <c r="A2540" t="s">
        <v>196</v>
      </c>
      <c r="B2540" s="2">
        <v>45839</v>
      </c>
      <c r="C2540">
        <v>2851.125</v>
      </c>
    </row>
    <row r="2541" spans="1:3" ht="15" hidden="1" customHeight="1" x14ac:dyDescent="0.3">
      <c r="A2541" t="s">
        <v>196</v>
      </c>
      <c r="B2541" s="2">
        <v>45870</v>
      </c>
      <c r="C2541">
        <v>3237</v>
      </c>
    </row>
    <row r="2542" spans="1:3" ht="15" hidden="1" customHeight="1" x14ac:dyDescent="0.3">
      <c r="A2542" t="s">
        <v>196</v>
      </c>
      <c r="B2542" s="2">
        <v>45901</v>
      </c>
      <c r="C2542">
        <v>3327.75</v>
      </c>
    </row>
    <row r="2543" spans="1:3" ht="15" hidden="1" customHeight="1" x14ac:dyDescent="0.3">
      <c r="A2543" t="s">
        <v>196</v>
      </c>
      <c r="B2543" s="2">
        <v>45931</v>
      </c>
      <c r="C2543">
        <v>3775.7249999999999</v>
      </c>
    </row>
    <row r="2544" spans="1:3" ht="15" hidden="1" customHeight="1" x14ac:dyDescent="0.3">
      <c r="A2544" t="s">
        <v>196</v>
      </c>
      <c r="B2544" s="2">
        <v>45962</v>
      </c>
      <c r="C2544">
        <v>3829.5749999999998</v>
      </c>
    </row>
    <row r="2545" spans="1:3" ht="15" hidden="1" customHeight="1" x14ac:dyDescent="0.3">
      <c r="A2545" t="s">
        <v>196</v>
      </c>
      <c r="B2545" s="2">
        <v>45992</v>
      </c>
      <c r="C2545">
        <v>4315.6499999999996</v>
      </c>
    </row>
    <row r="2546" spans="1:3" ht="15" hidden="1" customHeight="1" x14ac:dyDescent="0.3">
      <c r="A2546" t="s">
        <v>196</v>
      </c>
      <c r="B2546" s="2">
        <v>46023</v>
      </c>
      <c r="C2546">
        <v>4274.1000000000004</v>
      </c>
    </row>
    <row r="2547" spans="1:3" ht="15" hidden="1" customHeight="1" x14ac:dyDescent="0.3">
      <c r="A2547" t="s">
        <v>196</v>
      </c>
      <c r="B2547" s="2">
        <v>46054</v>
      </c>
      <c r="C2547">
        <v>3810.6</v>
      </c>
    </row>
    <row r="2548" spans="1:3" ht="15" hidden="1" customHeight="1" x14ac:dyDescent="0.3">
      <c r="A2548" t="s">
        <v>196</v>
      </c>
      <c r="B2548" s="2">
        <v>46082</v>
      </c>
      <c r="C2548">
        <v>3907.2750000000001</v>
      </c>
    </row>
    <row r="2549" spans="1:3" ht="15" hidden="1" customHeight="1" x14ac:dyDescent="0.3">
      <c r="A2549" t="s">
        <v>196</v>
      </c>
      <c r="B2549" s="2">
        <v>46113</v>
      </c>
      <c r="C2549">
        <v>3268.125</v>
      </c>
    </row>
    <row r="2550" spans="1:3" ht="15" hidden="1" customHeight="1" x14ac:dyDescent="0.3">
      <c r="A2550" t="s">
        <v>196</v>
      </c>
      <c r="B2550" s="2">
        <v>46143</v>
      </c>
      <c r="C2550">
        <v>2929.95</v>
      </c>
    </row>
    <row r="2551" spans="1:3" ht="15" hidden="1" customHeight="1" x14ac:dyDescent="0.3">
      <c r="A2551" t="s">
        <v>196</v>
      </c>
      <c r="B2551" s="2">
        <v>46174</v>
      </c>
      <c r="C2551">
        <v>2664.75</v>
      </c>
    </row>
    <row r="2552" spans="1:3" ht="15" customHeight="1" x14ac:dyDescent="0.3">
      <c r="A2552" t="s">
        <v>196</v>
      </c>
      <c r="B2552" s="2">
        <v>46204</v>
      </c>
      <c r="C2552">
        <v>2851.125</v>
      </c>
    </row>
    <row r="2553" spans="1:3" ht="15" hidden="1" customHeight="1" x14ac:dyDescent="0.3">
      <c r="A2553" t="s">
        <v>196</v>
      </c>
      <c r="B2553" s="2">
        <v>46235</v>
      </c>
      <c r="C2553">
        <v>3237</v>
      </c>
    </row>
    <row r="2554" spans="1:3" ht="15" hidden="1" customHeight="1" x14ac:dyDescent="0.3">
      <c r="A2554" t="s">
        <v>196</v>
      </c>
      <c r="B2554" s="2">
        <v>46266</v>
      </c>
      <c r="C2554">
        <v>3327.75</v>
      </c>
    </row>
    <row r="2555" spans="1:3" ht="15" hidden="1" customHeight="1" x14ac:dyDescent="0.3">
      <c r="A2555" t="s">
        <v>196</v>
      </c>
      <c r="B2555" s="2">
        <v>46296</v>
      </c>
      <c r="C2555">
        <v>3775.7249999999999</v>
      </c>
    </row>
    <row r="2556" spans="1:3" ht="15" hidden="1" customHeight="1" x14ac:dyDescent="0.3">
      <c r="A2556" t="s">
        <v>196</v>
      </c>
      <c r="B2556" s="2">
        <v>46327</v>
      </c>
      <c r="C2556">
        <v>3829.5749999999998</v>
      </c>
    </row>
    <row r="2557" spans="1:3" ht="15" hidden="1" customHeight="1" x14ac:dyDescent="0.3">
      <c r="A2557" t="s">
        <v>196</v>
      </c>
      <c r="B2557" s="2">
        <v>46357</v>
      </c>
      <c r="C2557">
        <v>4315.6499999999996</v>
      </c>
    </row>
    <row r="2558" spans="1:3" ht="15" hidden="1" customHeight="1" x14ac:dyDescent="0.3">
      <c r="A2558" t="s">
        <v>201</v>
      </c>
      <c r="B2558" s="2">
        <v>45292</v>
      </c>
      <c r="C2558">
        <v>13441.985000000001</v>
      </c>
    </row>
    <row r="2559" spans="1:3" ht="15" hidden="1" customHeight="1" x14ac:dyDescent="0.3">
      <c r="A2559" t="s">
        <v>201</v>
      </c>
      <c r="B2559" s="2">
        <v>45323</v>
      </c>
      <c r="C2559">
        <v>12055.125</v>
      </c>
    </row>
    <row r="2560" spans="1:3" ht="15" hidden="1" customHeight="1" x14ac:dyDescent="0.3">
      <c r="A2560" t="s">
        <v>201</v>
      </c>
      <c r="B2560" s="2">
        <v>45352</v>
      </c>
      <c r="C2560">
        <v>12858.46</v>
      </c>
    </row>
    <row r="2561" spans="1:3" ht="15" hidden="1" customHeight="1" x14ac:dyDescent="0.3">
      <c r="A2561" t="s">
        <v>201</v>
      </c>
      <c r="B2561" s="2">
        <v>45383</v>
      </c>
      <c r="C2561">
        <v>11531.27</v>
      </c>
    </row>
    <row r="2562" spans="1:3" ht="15" hidden="1" customHeight="1" x14ac:dyDescent="0.3">
      <c r="A2562" t="s">
        <v>201</v>
      </c>
      <c r="B2562" s="2">
        <v>45413</v>
      </c>
      <c r="C2562">
        <v>11785.93</v>
      </c>
    </row>
    <row r="2563" spans="1:3" ht="15" hidden="1" customHeight="1" x14ac:dyDescent="0.3">
      <c r="A2563" t="s">
        <v>201</v>
      </c>
      <c r="B2563" s="2">
        <v>45444</v>
      </c>
      <c r="C2563">
        <v>11018.635</v>
      </c>
    </row>
    <row r="2564" spans="1:3" ht="15" hidden="1" customHeight="1" x14ac:dyDescent="0.3">
      <c r="A2564" t="s">
        <v>201</v>
      </c>
      <c r="B2564" s="2">
        <v>45474</v>
      </c>
      <c r="C2564">
        <v>12024.27</v>
      </c>
    </row>
    <row r="2565" spans="1:3" ht="15" hidden="1" customHeight="1" x14ac:dyDescent="0.3">
      <c r="A2565" t="s">
        <v>201</v>
      </c>
      <c r="B2565" s="2">
        <v>45505</v>
      </c>
      <c r="C2565">
        <v>13262.635</v>
      </c>
    </row>
    <row r="2566" spans="1:3" ht="15" hidden="1" customHeight="1" x14ac:dyDescent="0.3">
      <c r="A2566" t="s">
        <v>201</v>
      </c>
      <c r="B2566" s="2">
        <v>45536</v>
      </c>
      <c r="C2566">
        <v>13540.33</v>
      </c>
    </row>
    <row r="2567" spans="1:3" ht="15" hidden="1" customHeight="1" x14ac:dyDescent="0.3">
      <c r="A2567" t="s">
        <v>201</v>
      </c>
      <c r="B2567" s="2">
        <v>45566</v>
      </c>
      <c r="C2567">
        <v>13925.295</v>
      </c>
    </row>
    <row r="2568" spans="1:3" ht="15" hidden="1" customHeight="1" x14ac:dyDescent="0.3">
      <c r="A2568" t="s">
        <v>201</v>
      </c>
      <c r="B2568" s="2">
        <v>45597</v>
      </c>
      <c r="C2568">
        <v>13508.37</v>
      </c>
    </row>
    <row r="2569" spans="1:3" ht="15" hidden="1" customHeight="1" x14ac:dyDescent="0.3">
      <c r="A2569" t="s">
        <v>201</v>
      </c>
      <c r="B2569" s="2">
        <v>45627</v>
      </c>
      <c r="C2569">
        <v>14234.525</v>
      </c>
    </row>
    <row r="2570" spans="1:3" ht="15" hidden="1" customHeight="1" x14ac:dyDescent="0.3">
      <c r="A2570" t="s">
        <v>201</v>
      </c>
      <c r="B2570" s="2">
        <v>45658</v>
      </c>
      <c r="C2570">
        <v>13441.985000000001</v>
      </c>
    </row>
    <row r="2571" spans="1:3" ht="15" hidden="1" customHeight="1" x14ac:dyDescent="0.3">
      <c r="A2571" t="s">
        <v>201</v>
      </c>
      <c r="B2571" s="2">
        <v>45689</v>
      </c>
      <c r="C2571">
        <v>12055.125</v>
      </c>
    </row>
    <row r="2572" spans="1:3" ht="15" hidden="1" customHeight="1" x14ac:dyDescent="0.3">
      <c r="A2572" t="s">
        <v>201</v>
      </c>
      <c r="B2572" s="2">
        <v>45717</v>
      </c>
      <c r="C2572">
        <v>12858.46</v>
      </c>
    </row>
    <row r="2573" spans="1:3" ht="15" hidden="1" customHeight="1" x14ac:dyDescent="0.3">
      <c r="A2573" t="s">
        <v>201</v>
      </c>
      <c r="B2573" s="2">
        <v>45748</v>
      </c>
      <c r="C2573">
        <v>11531.27</v>
      </c>
    </row>
    <row r="2574" spans="1:3" ht="15" hidden="1" customHeight="1" x14ac:dyDescent="0.3">
      <c r="A2574" t="s">
        <v>201</v>
      </c>
      <c r="B2574" s="2">
        <v>45778</v>
      </c>
      <c r="C2574">
        <v>11785.93</v>
      </c>
    </row>
    <row r="2575" spans="1:3" ht="15" hidden="1" customHeight="1" x14ac:dyDescent="0.3">
      <c r="A2575" t="s">
        <v>201</v>
      </c>
      <c r="B2575" s="2">
        <v>45809</v>
      </c>
      <c r="C2575">
        <v>11018.635</v>
      </c>
    </row>
    <row r="2576" spans="1:3" ht="15" hidden="1" customHeight="1" x14ac:dyDescent="0.3">
      <c r="A2576" t="s">
        <v>201</v>
      </c>
      <c r="B2576" s="2">
        <v>45839</v>
      </c>
      <c r="C2576">
        <v>12024.27</v>
      </c>
    </row>
    <row r="2577" spans="1:3" ht="15" hidden="1" customHeight="1" x14ac:dyDescent="0.3">
      <c r="A2577" t="s">
        <v>201</v>
      </c>
      <c r="B2577" s="2">
        <v>45870</v>
      </c>
      <c r="C2577">
        <v>13262.635</v>
      </c>
    </row>
    <row r="2578" spans="1:3" ht="15" hidden="1" customHeight="1" x14ac:dyDescent="0.3">
      <c r="A2578" t="s">
        <v>201</v>
      </c>
      <c r="B2578" s="2">
        <v>45901</v>
      </c>
      <c r="C2578">
        <v>13540.33</v>
      </c>
    </row>
    <row r="2579" spans="1:3" ht="15" hidden="1" customHeight="1" x14ac:dyDescent="0.3">
      <c r="A2579" t="s">
        <v>201</v>
      </c>
      <c r="B2579" s="2">
        <v>45931</v>
      </c>
      <c r="C2579">
        <v>13925.295</v>
      </c>
    </row>
    <row r="2580" spans="1:3" ht="15" hidden="1" customHeight="1" x14ac:dyDescent="0.3">
      <c r="A2580" t="s">
        <v>201</v>
      </c>
      <c r="B2580" s="2">
        <v>45962</v>
      </c>
      <c r="C2580">
        <v>13508.37</v>
      </c>
    </row>
    <row r="2581" spans="1:3" ht="15" hidden="1" customHeight="1" x14ac:dyDescent="0.3">
      <c r="A2581" t="s">
        <v>201</v>
      </c>
      <c r="B2581" s="2">
        <v>45992</v>
      </c>
      <c r="C2581">
        <v>14234.525</v>
      </c>
    </row>
    <row r="2582" spans="1:3" ht="15" hidden="1" customHeight="1" x14ac:dyDescent="0.3">
      <c r="A2582" t="s">
        <v>201</v>
      </c>
      <c r="B2582" s="2">
        <v>46023</v>
      </c>
      <c r="C2582">
        <v>13441.985000000001</v>
      </c>
    </row>
    <row r="2583" spans="1:3" ht="15" hidden="1" customHeight="1" x14ac:dyDescent="0.3">
      <c r="A2583" t="s">
        <v>201</v>
      </c>
      <c r="B2583" s="2">
        <v>46054</v>
      </c>
      <c r="C2583">
        <v>12055.125</v>
      </c>
    </row>
    <row r="2584" spans="1:3" ht="15" hidden="1" customHeight="1" x14ac:dyDescent="0.3">
      <c r="A2584" t="s">
        <v>201</v>
      </c>
      <c r="B2584" s="2">
        <v>46082</v>
      </c>
      <c r="C2584">
        <v>12858.46</v>
      </c>
    </row>
    <row r="2585" spans="1:3" ht="15" hidden="1" customHeight="1" x14ac:dyDescent="0.3">
      <c r="A2585" t="s">
        <v>201</v>
      </c>
      <c r="B2585" s="2">
        <v>46113</v>
      </c>
      <c r="C2585">
        <v>11531.27</v>
      </c>
    </row>
    <row r="2586" spans="1:3" ht="15" hidden="1" customHeight="1" x14ac:dyDescent="0.3">
      <c r="A2586" t="s">
        <v>201</v>
      </c>
      <c r="B2586" s="2">
        <v>46143</v>
      </c>
      <c r="C2586">
        <v>11785.93</v>
      </c>
    </row>
    <row r="2587" spans="1:3" ht="15" hidden="1" customHeight="1" x14ac:dyDescent="0.3">
      <c r="A2587" t="s">
        <v>201</v>
      </c>
      <c r="B2587" s="2">
        <v>46174</v>
      </c>
      <c r="C2587">
        <v>11018.635</v>
      </c>
    </row>
    <row r="2588" spans="1:3" ht="15" customHeight="1" x14ac:dyDescent="0.3">
      <c r="A2588" t="s">
        <v>201</v>
      </c>
      <c r="B2588" s="2">
        <v>46204</v>
      </c>
      <c r="C2588">
        <v>12024.27</v>
      </c>
    </row>
    <row r="2589" spans="1:3" ht="15" hidden="1" customHeight="1" x14ac:dyDescent="0.3">
      <c r="A2589" t="s">
        <v>201</v>
      </c>
      <c r="B2589" s="2">
        <v>46235</v>
      </c>
      <c r="C2589">
        <v>13262.635</v>
      </c>
    </row>
    <row r="2590" spans="1:3" ht="15" hidden="1" customHeight="1" x14ac:dyDescent="0.3">
      <c r="A2590" t="s">
        <v>201</v>
      </c>
      <c r="B2590" s="2">
        <v>46266</v>
      </c>
      <c r="C2590">
        <v>13540.33</v>
      </c>
    </row>
    <row r="2591" spans="1:3" ht="15" hidden="1" customHeight="1" x14ac:dyDescent="0.3">
      <c r="A2591" t="s">
        <v>201</v>
      </c>
      <c r="B2591" s="2">
        <v>46296</v>
      </c>
      <c r="C2591">
        <v>13925.295</v>
      </c>
    </row>
    <row r="2592" spans="1:3" ht="15" hidden="1" customHeight="1" x14ac:dyDescent="0.3">
      <c r="A2592" t="s">
        <v>201</v>
      </c>
      <c r="B2592" s="2">
        <v>46327</v>
      </c>
      <c r="C2592">
        <v>13508.37</v>
      </c>
    </row>
    <row r="2593" spans="1:3" ht="15" hidden="1" customHeight="1" x14ac:dyDescent="0.3">
      <c r="A2593" t="s">
        <v>201</v>
      </c>
      <c r="B2593" s="2">
        <v>46357</v>
      </c>
      <c r="C2593">
        <v>14234.525</v>
      </c>
    </row>
    <row r="2594" spans="1:3" ht="15" hidden="1" customHeight="1" x14ac:dyDescent="0.3">
      <c r="A2594" t="s">
        <v>211</v>
      </c>
      <c r="B2594" s="2">
        <v>45292</v>
      </c>
      <c r="C2594">
        <v>7299.9</v>
      </c>
    </row>
    <row r="2595" spans="1:3" ht="15" hidden="1" customHeight="1" x14ac:dyDescent="0.3">
      <c r="A2595" t="s">
        <v>211</v>
      </c>
      <c r="B2595" s="2">
        <v>45323</v>
      </c>
      <c r="C2595">
        <v>6223.5</v>
      </c>
    </row>
    <row r="2596" spans="1:3" ht="15" hidden="1" customHeight="1" x14ac:dyDescent="0.3">
      <c r="A2596" t="s">
        <v>211</v>
      </c>
      <c r="B2596" s="2">
        <v>45352</v>
      </c>
      <c r="C2596">
        <v>6048.9</v>
      </c>
    </row>
    <row r="2597" spans="1:3" ht="15" hidden="1" customHeight="1" x14ac:dyDescent="0.3">
      <c r="A2597" t="s">
        <v>211</v>
      </c>
      <c r="B2597" s="2">
        <v>45383</v>
      </c>
      <c r="C2597">
        <v>5130.8999999999996</v>
      </c>
    </row>
    <row r="2598" spans="1:3" ht="15" hidden="1" customHeight="1" x14ac:dyDescent="0.3">
      <c r="A2598" t="s">
        <v>211</v>
      </c>
      <c r="B2598" s="2">
        <v>45413</v>
      </c>
      <c r="C2598">
        <v>4621.5</v>
      </c>
    </row>
    <row r="2599" spans="1:3" ht="15" hidden="1" customHeight="1" x14ac:dyDescent="0.3">
      <c r="A2599" t="s">
        <v>211</v>
      </c>
      <c r="B2599" s="2">
        <v>45444</v>
      </c>
      <c r="C2599">
        <v>3931.2</v>
      </c>
    </row>
    <row r="2600" spans="1:3" ht="15" hidden="1" customHeight="1" x14ac:dyDescent="0.3">
      <c r="A2600" t="s">
        <v>211</v>
      </c>
      <c r="B2600" s="2">
        <v>45474</v>
      </c>
      <c r="C2600">
        <v>4065.3</v>
      </c>
    </row>
    <row r="2601" spans="1:3" ht="15" hidden="1" customHeight="1" x14ac:dyDescent="0.3">
      <c r="A2601" t="s">
        <v>211</v>
      </c>
      <c r="B2601" s="2">
        <v>45505</v>
      </c>
      <c r="C2601">
        <v>4723.2</v>
      </c>
    </row>
    <row r="2602" spans="1:3" ht="15" hidden="1" customHeight="1" x14ac:dyDescent="0.3">
      <c r="A2602" t="s">
        <v>211</v>
      </c>
      <c r="B2602" s="2">
        <v>45536</v>
      </c>
      <c r="C2602">
        <v>5251.5</v>
      </c>
    </row>
    <row r="2603" spans="1:3" ht="15" hidden="1" customHeight="1" x14ac:dyDescent="0.3">
      <c r="A2603" t="s">
        <v>211</v>
      </c>
      <c r="B2603" s="2">
        <v>45566</v>
      </c>
      <c r="C2603">
        <v>6489.9</v>
      </c>
    </row>
    <row r="2604" spans="1:3" ht="15" hidden="1" customHeight="1" x14ac:dyDescent="0.3">
      <c r="A2604" t="s">
        <v>211</v>
      </c>
      <c r="B2604" s="2">
        <v>45597</v>
      </c>
      <c r="C2604">
        <v>6813.9</v>
      </c>
    </row>
    <row r="2605" spans="1:3" ht="15" hidden="1" customHeight="1" x14ac:dyDescent="0.3">
      <c r="A2605" t="s">
        <v>211</v>
      </c>
      <c r="B2605" s="2">
        <v>45627</v>
      </c>
      <c r="C2605">
        <v>7296.3</v>
      </c>
    </row>
    <row r="2606" spans="1:3" ht="15" hidden="1" customHeight="1" x14ac:dyDescent="0.3">
      <c r="A2606" t="s">
        <v>211</v>
      </c>
      <c r="B2606" s="2">
        <v>45658</v>
      </c>
      <c r="C2606">
        <v>7299.9</v>
      </c>
    </row>
    <row r="2607" spans="1:3" ht="15" hidden="1" customHeight="1" x14ac:dyDescent="0.3">
      <c r="A2607" t="s">
        <v>211</v>
      </c>
      <c r="B2607" s="2">
        <v>45689</v>
      </c>
      <c r="C2607">
        <v>6223.5</v>
      </c>
    </row>
    <row r="2608" spans="1:3" ht="15" hidden="1" customHeight="1" x14ac:dyDescent="0.3">
      <c r="A2608" t="s">
        <v>211</v>
      </c>
      <c r="B2608" s="2">
        <v>45717</v>
      </c>
      <c r="C2608">
        <v>6048.9</v>
      </c>
    </row>
    <row r="2609" spans="1:3" ht="15" hidden="1" customHeight="1" x14ac:dyDescent="0.3">
      <c r="A2609" t="s">
        <v>211</v>
      </c>
      <c r="B2609" s="2">
        <v>45748</v>
      </c>
      <c r="C2609">
        <v>5130.8999999999996</v>
      </c>
    </row>
    <row r="2610" spans="1:3" ht="15" hidden="1" customHeight="1" x14ac:dyDescent="0.3">
      <c r="A2610" t="s">
        <v>211</v>
      </c>
      <c r="B2610" s="2">
        <v>45778</v>
      </c>
      <c r="C2610">
        <v>4621.5</v>
      </c>
    </row>
    <row r="2611" spans="1:3" ht="15" hidden="1" customHeight="1" x14ac:dyDescent="0.3">
      <c r="A2611" t="s">
        <v>211</v>
      </c>
      <c r="B2611" s="2">
        <v>45809</v>
      </c>
      <c r="C2611">
        <v>3931.2</v>
      </c>
    </row>
    <row r="2612" spans="1:3" ht="15" hidden="1" customHeight="1" x14ac:dyDescent="0.3">
      <c r="A2612" t="s">
        <v>211</v>
      </c>
      <c r="B2612" s="2">
        <v>45839</v>
      </c>
      <c r="C2612">
        <v>4065.3</v>
      </c>
    </row>
    <row r="2613" spans="1:3" ht="15" hidden="1" customHeight="1" x14ac:dyDescent="0.3">
      <c r="A2613" t="s">
        <v>211</v>
      </c>
      <c r="B2613" s="2">
        <v>45870</v>
      </c>
      <c r="C2613">
        <v>4723.2</v>
      </c>
    </row>
    <row r="2614" spans="1:3" ht="15" hidden="1" customHeight="1" x14ac:dyDescent="0.3">
      <c r="A2614" t="s">
        <v>211</v>
      </c>
      <c r="B2614" s="2">
        <v>45901</v>
      </c>
      <c r="C2614">
        <v>5251.5</v>
      </c>
    </row>
    <row r="2615" spans="1:3" ht="15" hidden="1" customHeight="1" x14ac:dyDescent="0.3">
      <c r="A2615" t="s">
        <v>211</v>
      </c>
      <c r="B2615" s="2">
        <v>45931</v>
      </c>
      <c r="C2615">
        <v>6489.9</v>
      </c>
    </row>
    <row r="2616" spans="1:3" ht="15" hidden="1" customHeight="1" x14ac:dyDescent="0.3">
      <c r="A2616" t="s">
        <v>211</v>
      </c>
      <c r="B2616" s="2">
        <v>45962</v>
      </c>
      <c r="C2616">
        <v>6813.9</v>
      </c>
    </row>
    <row r="2617" spans="1:3" ht="15" hidden="1" customHeight="1" x14ac:dyDescent="0.3">
      <c r="A2617" t="s">
        <v>211</v>
      </c>
      <c r="B2617" s="2">
        <v>45992</v>
      </c>
      <c r="C2617">
        <v>7296.3</v>
      </c>
    </row>
    <row r="2618" spans="1:3" ht="15" hidden="1" customHeight="1" x14ac:dyDescent="0.3">
      <c r="A2618" t="s">
        <v>211</v>
      </c>
      <c r="B2618" s="2">
        <v>46023</v>
      </c>
      <c r="C2618">
        <v>7299.9</v>
      </c>
    </row>
    <row r="2619" spans="1:3" ht="15" hidden="1" customHeight="1" x14ac:dyDescent="0.3">
      <c r="A2619" t="s">
        <v>211</v>
      </c>
      <c r="B2619" s="2">
        <v>46054</v>
      </c>
      <c r="C2619">
        <v>6223.5</v>
      </c>
    </row>
    <row r="2620" spans="1:3" ht="15" hidden="1" customHeight="1" x14ac:dyDescent="0.3">
      <c r="A2620" t="s">
        <v>211</v>
      </c>
      <c r="B2620" s="2">
        <v>46082</v>
      </c>
      <c r="C2620">
        <v>6048.9</v>
      </c>
    </row>
    <row r="2621" spans="1:3" ht="15" hidden="1" customHeight="1" x14ac:dyDescent="0.3">
      <c r="A2621" t="s">
        <v>211</v>
      </c>
      <c r="B2621" s="2">
        <v>46113</v>
      </c>
      <c r="C2621">
        <v>5130.8999999999996</v>
      </c>
    </row>
    <row r="2622" spans="1:3" ht="15" hidden="1" customHeight="1" x14ac:dyDescent="0.3">
      <c r="A2622" t="s">
        <v>211</v>
      </c>
      <c r="B2622" s="2">
        <v>46143</v>
      </c>
      <c r="C2622">
        <v>4621.5</v>
      </c>
    </row>
    <row r="2623" spans="1:3" ht="15" hidden="1" customHeight="1" x14ac:dyDescent="0.3">
      <c r="A2623" t="s">
        <v>211</v>
      </c>
      <c r="B2623" s="2">
        <v>46174</v>
      </c>
      <c r="C2623">
        <v>3931.2</v>
      </c>
    </row>
    <row r="2624" spans="1:3" ht="15" customHeight="1" x14ac:dyDescent="0.3">
      <c r="A2624" t="s">
        <v>211</v>
      </c>
      <c r="B2624" s="2">
        <v>46204</v>
      </c>
      <c r="C2624">
        <v>4065.3</v>
      </c>
    </row>
    <row r="2625" spans="1:3" ht="15" hidden="1" customHeight="1" x14ac:dyDescent="0.3">
      <c r="A2625" t="s">
        <v>211</v>
      </c>
      <c r="B2625" s="2">
        <v>46235</v>
      </c>
      <c r="C2625">
        <v>4723.2</v>
      </c>
    </row>
    <row r="2626" spans="1:3" ht="15" hidden="1" customHeight="1" x14ac:dyDescent="0.3">
      <c r="A2626" t="s">
        <v>211</v>
      </c>
      <c r="B2626" s="2">
        <v>46266</v>
      </c>
      <c r="C2626">
        <v>5251.5</v>
      </c>
    </row>
    <row r="2627" spans="1:3" ht="15" hidden="1" customHeight="1" x14ac:dyDescent="0.3">
      <c r="A2627" t="s">
        <v>211</v>
      </c>
      <c r="B2627" s="2">
        <v>46296</v>
      </c>
      <c r="C2627">
        <v>6489.9</v>
      </c>
    </row>
    <row r="2628" spans="1:3" ht="15" hidden="1" customHeight="1" x14ac:dyDescent="0.3">
      <c r="A2628" t="s">
        <v>211</v>
      </c>
      <c r="B2628" s="2">
        <v>46327</v>
      </c>
      <c r="C2628">
        <v>6813.9</v>
      </c>
    </row>
    <row r="2629" spans="1:3" ht="15" hidden="1" customHeight="1" x14ac:dyDescent="0.3">
      <c r="A2629" t="s">
        <v>211</v>
      </c>
      <c r="B2629" s="2">
        <v>46357</v>
      </c>
      <c r="C2629">
        <v>7296.3</v>
      </c>
    </row>
    <row r="2630" spans="1:3" ht="15" hidden="1" customHeight="1" x14ac:dyDescent="0.3">
      <c r="A2630" t="s">
        <v>202</v>
      </c>
      <c r="B2630" s="2">
        <v>45292</v>
      </c>
      <c r="C2630">
        <v>28027.8</v>
      </c>
    </row>
    <row r="2631" spans="1:3" ht="15" hidden="1" customHeight="1" x14ac:dyDescent="0.3">
      <c r="A2631" t="s">
        <v>202</v>
      </c>
      <c r="B2631" s="2">
        <v>45323</v>
      </c>
      <c r="C2631">
        <v>23853.599999999999</v>
      </c>
    </row>
    <row r="2632" spans="1:3" ht="15" hidden="1" customHeight="1" x14ac:dyDescent="0.3">
      <c r="A2632" t="s">
        <v>202</v>
      </c>
      <c r="B2632" s="2">
        <v>45352</v>
      </c>
      <c r="C2632">
        <v>24144.3</v>
      </c>
    </row>
    <row r="2633" spans="1:3" ht="15" hidden="1" customHeight="1" x14ac:dyDescent="0.3">
      <c r="A2633" t="s">
        <v>202</v>
      </c>
      <c r="B2633" s="2">
        <v>45383</v>
      </c>
      <c r="C2633">
        <v>20043</v>
      </c>
    </row>
    <row r="2634" spans="1:3" ht="15" hidden="1" customHeight="1" x14ac:dyDescent="0.3">
      <c r="A2634" t="s">
        <v>202</v>
      </c>
      <c r="B2634" s="2">
        <v>45413</v>
      </c>
      <c r="C2634">
        <v>19021.5</v>
      </c>
    </row>
    <row r="2635" spans="1:3" ht="15" hidden="1" customHeight="1" x14ac:dyDescent="0.3">
      <c r="A2635" t="s">
        <v>202</v>
      </c>
      <c r="B2635" s="2">
        <v>45444</v>
      </c>
      <c r="C2635">
        <v>17054.099999999999</v>
      </c>
    </row>
    <row r="2636" spans="1:3" ht="15" hidden="1" customHeight="1" x14ac:dyDescent="0.3">
      <c r="A2636" t="s">
        <v>202</v>
      </c>
      <c r="B2636" s="2">
        <v>45474</v>
      </c>
      <c r="C2636">
        <v>18900</v>
      </c>
    </row>
    <row r="2637" spans="1:3" ht="15" hidden="1" customHeight="1" x14ac:dyDescent="0.3">
      <c r="A2637" t="s">
        <v>202</v>
      </c>
      <c r="B2637" s="2">
        <v>45505</v>
      </c>
      <c r="C2637">
        <v>22066.2</v>
      </c>
    </row>
    <row r="2638" spans="1:3" ht="15" hidden="1" customHeight="1" x14ac:dyDescent="0.3">
      <c r="A2638" t="s">
        <v>202</v>
      </c>
      <c r="B2638" s="2">
        <v>45536</v>
      </c>
      <c r="C2638">
        <v>24526.799999999999</v>
      </c>
    </row>
    <row r="2639" spans="1:3" ht="15" hidden="1" customHeight="1" x14ac:dyDescent="0.3">
      <c r="A2639" t="s">
        <v>202</v>
      </c>
      <c r="B2639" s="2">
        <v>45566</v>
      </c>
      <c r="C2639">
        <v>27256.5</v>
      </c>
    </row>
    <row r="2640" spans="1:3" ht="15" hidden="1" customHeight="1" x14ac:dyDescent="0.3">
      <c r="A2640" t="s">
        <v>202</v>
      </c>
      <c r="B2640" s="2">
        <v>45597</v>
      </c>
      <c r="C2640">
        <v>26973.9</v>
      </c>
    </row>
    <row r="2641" spans="1:3" ht="15" hidden="1" customHeight="1" x14ac:dyDescent="0.3">
      <c r="A2641" t="s">
        <v>202</v>
      </c>
      <c r="B2641" s="2">
        <v>45627</v>
      </c>
      <c r="C2641">
        <v>29028.6</v>
      </c>
    </row>
    <row r="2642" spans="1:3" ht="15" hidden="1" customHeight="1" x14ac:dyDescent="0.3">
      <c r="A2642" t="s">
        <v>202</v>
      </c>
      <c r="B2642" s="2">
        <v>45658</v>
      </c>
      <c r="C2642">
        <v>28027.8</v>
      </c>
    </row>
    <row r="2643" spans="1:3" ht="15" hidden="1" customHeight="1" x14ac:dyDescent="0.3">
      <c r="A2643" t="s">
        <v>202</v>
      </c>
      <c r="B2643" s="2">
        <v>45689</v>
      </c>
      <c r="C2643">
        <v>23853.599999999999</v>
      </c>
    </row>
    <row r="2644" spans="1:3" ht="15" hidden="1" customHeight="1" x14ac:dyDescent="0.3">
      <c r="A2644" t="s">
        <v>202</v>
      </c>
      <c r="B2644" s="2">
        <v>45717</v>
      </c>
      <c r="C2644">
        <v>24144.3</v>
      </c>
    </row>
    <row r="2645" spans="1:3" ht="15" hidden="1" customHeight="1" x14ac:dyDescent="0.3">
      <c r="A2645" t="s">
        <v>202</v>
      </c>
      <c r="B2645" s="2">
        <v>45748</v>
      </c>
      <c r="C2645">
        <v>20043</v>
      </c>
    </row>
    <row r="2646" spans="1:3" ht="15" hidden="1" customHeight="1" x14ac:dyDescent="0.3">
      <c r="A2646" t="s">
        <v>202</v>
      </c>
      <c r="B2646" s="2">
        <v>45778</v>
      </c>
      <c r="C2646">
        <v>19021.5</v>
      </c>
    </row>
    <row r="2647" spans="1:3" ht="15" hidden="1" customHeight="1" x14ac:dyDescent="0.3">
      <c r="A2647" t="s">
        <v>202</v>
      </c>
      <c r="B2647" s="2">
        <v>45809</v>
      </c>
      <c r="C2647">
        <v>17054.099999999999</v>
      </c>
    </row>
    <row r="2648" spans="1:3" ht="15" hidden="1" customHeight="1" x14ac:dyDescent="0.3">
      <c r="A2648" t="s">
        <v>202</v>
      </c>
      <c r="B2648" s="2">
        <v>45839</v>
      </c>
      <c r="C2648">
        <v>18900</v>
      </c>
    </row>
    <row r="2649" spans="1:3" ht="15" hidden="1" customHeight="1" x14ac:dyDescent="0.3">
      <c r="A2649" t="s">
        <v>202</v>
      </c>
      <c r="B2649" s="2">
        <v>45870</v>
      </c>
      <c r="C2649">
        <v>22066.2</v>
      </c>
    </row>
    <row r="2650" spans="1:3" ht="15" hidden="1" customHeight="1" x14ac:dyDescent="0.3">
      <c r="A2650" t="s">
        <v>202</v>
      </c>
      <c r="B2650" s="2">
        <v>45901</v>
      </c>
      <c r="C2650">
        <v>24526.799999999999</v>
      </c>
    </row>
    <row r="2651" spans="1:3" ht="15" hidden="1" customHeight="1" x14ac:dyDescent="0.3">
      <c r="A2651" t="s">
        <v>202</v>
      </c>
      <c r="B2651" s="2">
        <v>45931</v>
      </c>
      <c r="C2651">
        <v>27256.5</v>
      </c>
    </row>
    <row r="2652" spans="1:3" ht="15" hidden="1" customHeight="1" x14ac:dyDescent="0.3">
      <c r="A2652" t="s">
        <v>202</v>
      </c>
      <c r="B2652" s="2">
        <v>45962</v>
      </c>
      <c r="C2652">
        <v>26973.9</v>
      </c>
    </row>
    <row r="2653" spans="1:3" ht="15" hidden="1" customHeight="1" x14ac:dyDescent="0.3">
      <c r="A2653" t="s">
        <v>202</v>
      </c>
      <c r="B2653" s="2">
        <v>45992</v>
      </c>
      <c r="C2653">
        <v>29028.6</v>
      </c>
    </row>
    <row r="2654" spans="1:3" ht="15" hidden="1" customHeight="1" x14ac:dyDescent="0.3">
      <c r="A2654" t="s">
        <v>202</v>
      </c>
      <c r="B2654" s="2">
        <v>46023</v>
      </c>
      <c r="C2654">
        <v>28027.8</v>
      </c>
    </row>
    <row r="2655" spans="1:3" ht="15" hidden="1" customHeight="1" x14ac:dyDescent="0.3">
      <c r="A2655" t="s">
        <v>202</v>
      </c>
      <c r="B2655" s="2">
        <v>46054</v>
      </c>
      <c r="C2655">
        <v>23853.599999999999</v>
      </c>
    </row>
    <row r="2656" spans="1:3" ht="15" hidden="1" customHeight="1" x14ac:dyDescent="0.3">
      <c r="A2656" t="s">
        <v>202</v>
      </c>
      <c r="B2656" s="2">
        <v>46082</v>
      </c>
      <c r="C2656">
        <v>24144.3</v>
      </c>
    </row>
    <row r="2657" spans="1:3" ht="15" hidden="1" customHeight="1" x14ac:dyDescent="0.3">
      <c r="A2657" t="s">
        <v>202</v>
      </c>
      <c r="B2657" s="2">
        <v>46113</v>
      </c>
      <c r="C2657">
        <v>20043</v>
      </c>
    </row>
    <row r="2658" spans="1:3" ht="15" hidden="1" customHeight="1" x14ac:dyDescent="0.3">
      <c r="A2658" t="s">
        <v>202</v>
      </c>
      <c r="B2658" s="2">
        <v>46143</v>
      </c>
      <c r="C2658">
        <v>19021.5</v>
      </c>
    </row>
    <row r="2659" spans="1:3" ht="15" hidden="1" customHeight="1" x14ac:dyDescent="0.3">
      <c r="A2659" t="s">
        <v>202</v>
      </c>
      <c r="B2659" s="2">
        <v>46174</v>
      </c>
      <c r="C2659">
        <v>17054.099999999999</v>
      </c>
    </row>
    <row r="2660" spans="1:3" ht="15" customHeight="1" x14ac:dyDescent="0.3">
      <c r="A2660" t="s">
        <v>202</v>
      </c>
      <c r="B2660" s="2">
        <v>46204</v>
      </c>
      <c r="C2660">
        <v>18900</v>
      </c>
    </row>
    <row r="2661" spans="1:3" ht="15" hidden="1" customHeight="1" x14ac:dyDescent="0.3">
      <c r="A2661" t="s">
        <v>202</v>
      </c>
      <c r="B2661" s="2">
        <v>46235</v>
      </c>
      <c r="C2661">
        <v>22066.2</v>
      </c>
    </row>
    <row r="2662" spans="1:3" ht="15" hidden="1" customHeight="1" x14ac:dyDescent="0.3">
      <c r="A2662" t="s">
        <v>202</v>
      </c>
      <c r="B2662" s="2">
        <v>46266</v>
      </c>
      <c r="C2662">
        <v>24526.799999999999</v>
      </c>
    </row>
    <row r="2663" spans="1:3" ht="15" hidden="1" customHeight="1" x14ac:dyDescent="0.3">
      <c r="A2663" t="s">
        <v>202</v>
      </c>
      <c r="B2663" s="2">
        <v>46296</v>
      </c>
      <c r="C2663">
        <v>27256.5</v>
      </c>
    </row>
    <row r="2664" spans="1:3" ht="15" hidden="1" customHeight="1" x14ac:dyDescent="0.3">
      <c r="A2664" t="s">
        <v>202</v>
      </c>
      <c r="B2664" s="2">
        <v>46327</v>
      </c>
      <c r="C2664">
        <v>26973.9</v>
      </c>
    </row>
    <row r="2665" spans="1:3" ht="15" hidden="1" customHeight="1" x14ac:dyDescent="0.3">
      <c r="A2665" t="s">
        <v>202</v>
      </c>
      <c r="B2665" s="2">
        <v>46357</v>
      </c>
      <c r="C2665">
        <v>29028.6</v>
      </c>
    </row>
    <row r="2666" spans="1:3" ht="15" hidden="1" customHeight="1" x14ac:dyDescent="0.3">
      <c r="A2666" t="s">
        <v>206</v>
      </c>
      <c r="B2666" s="2">
        <v>45292</v>
      </c>
    </row>
    <row r="2667" spans="1:3" ht="15" hidden="1" customHeight="1" x14ac:dyDescent="0.3">
      <c r="A2667" t="s">
        <v>206</v>
      </c>
      <c r="B2667" s="2">
        <v>45323</v>
      </c>
    </row>
    <row r="2668" spans="1:3" ht="15" hidden="1" customHeight="1" x14ac:dyDescent="0.3">
      <c r="A2668" t="s">
        <v>206</v>
      </c>
      <c r="B2668" s="2">
        <v>45352</v>
      </c>
    </row>
    <row r="2669" spans="1:3" ht="15" hidden="1" customHeight="1" x14ac:dyDescent="0.3">
      <c r="A2669" t="s">
        <v>206</v>
      </c>
      <c r="B2669" s="2">
        <v>45383</v>
      </c>
    </row>
    <row r="2670" spans="1:3" ht="15" hidden="1" customHeight="1" x14ac:dyDescent="0.3">
      <c r="A2670" t="s">
        <v>206</v>
      </c>
      <c r="B2670" s="2">
        <v>45413</v>
      </c>
    </row>
    <row r="2671" spans="1:3" ht="15" hidden="1" customHeight="1" x14ac:dyDescent="0.3">
      <c r="A2671" t="s">
        <v>206</v>
      </c>
      <c r="B2671" s="2">
        <v>45444</v>
      </c>
    </row>
    <row r="2672" spans="1:3" ht="15" hidden="1" customHeight="1" x14ac:dyDescent="0.3">
      <c r="A2672" t="s">
        <v>206</v>
      </c>
      <c r="B2672" s="2">
        <v>45474</v>
      </c>
    </row>
    <row r="2673" spans="1:2" ht="15" hidden="1" customHeight="1" x14ac:dyDescent="0.3">
      <c r="A2673" t="s">
        <v>206</v>
      </c>
      <c r="B2673" s="2">
        <v>45505</v>
      </c>
    </row>
    <row r="2674" spans="1:2" ht="15" hidden="1" customHeight="1" x14ac:dyDescent="0.3">
      <c r="A2674" t="s">
        <v>206</v>
      </c>
      <c r="B2674" s="2">
        <v>45536</v>
      </c>
    </row>
    <row r="2675" spans="1:2" ht="15" hidden="1" customHeight="1" x14ac:dyDescent="0.3">
      <c r="A2675" t="s">
        <v>206</v>
      </c>
      <c r="B2675" s="2">
        <v>45566</v>
      </c>
    </row>
    <row r="2676" spans="1:2" ht="15" hidden="1" customHeight="1" x14ac:dyDescent="0.3">
      <c r="A2676" t="s">
        <v>206</v>
      </c>
      <c r="B2676" s="2">
        <v>45597</v>
      </c>
    </row>
    <row r="2677" spans="1:2" ht="15" hidden="1" customHeight="1" x14ac:dyDescent="0.3">
      <c r="A2677" t="s">
        <v>206</v>
      </c>
      <c r="B2677" s="2">
        <v>45627</v>
      </c>
    </row>
    <row r="2678" spans="1:2" ht="15" hidden="1" customHeight="1" x14ac:dyDescent="0.3">
      <c r="A2678" t="s">
        <v>206</v>
      </c>
      <c r="B2678" s="2">
        <v>45658</v>
      </c>
    </row>
    <row r="2679" spans="1:2" ht="15" hidden="1" customHeight="1" x14ac:dyDescent="0.3">
      <c r="A2679" t="s">
        <v>206</v>
      </c>
      <c r="B2679" s="2">
        <v>45689</v>
      </c>
    </row>
    <row r="2680" spans="1:2" ht="15" hidden="1" customHeight="1" x14ac:dyDescent="0.3">
      <c r="A2680" t="s">
        <v>206</v>
      </c>
      <c r="B2680" s="2">
        <v>45717</v>
      </c>
    </row>
    <row r="2681" spans="1:2" ht="15" hidden="1" customHeight="1" x14ac:dyDescent="0.3">
      <c r="A2681" t="s">
        <v>206</v>
      </c>
      <c r="B2681" s="2">
        <v>45748</v>
      </c>
    </row>
    <row r="2682" spans="1:2" ht="15" hidden="1" customHeight="1" x14ac:dyDescent="0.3">
      <c r="A2682" t="s">
        <v>206</v>
      </c>
      <c r="B2682" s="2">
        <v>45778</v>
      </c>
    </row>
    <row r="2683" spans="1:2" ht="15" hidden="1" customHeight="1" x14ac:dyDescent="0.3">
      <c r="A2683" t="s">
        <v>206</v>
      </c>
      <c r="B2683" s="2">
        <v>45809</v>
      </c>
    </row>
    <row r="2684" spans="1:2" ht="15" hidden="1" customHeight="1" x14ac:dyDescent="0.3">
      <c r="A2684" t="s">
        <v>206</v>
      </c>
      <c r="B2684" s="2">
        <v>45839</v>
      </c>
    </row>
    <row r="2685" spans="1:2" ht="15" hidden="1" customHeight="1" x14ac:dyDescent="0.3">
      <c r="A2685" t="s">
        <v>206</v>
      </c>
      <c r="B2685" s="2">
        <v>45870</v>
      </c>
    </row>
    <row r="2686" spans="1:2" ht="15" hidden="1" customHeight="1" x14ac:dyDescent="0.3">
      <c r="A2686" t="s">
        <v>206</v>
      </c>
      <c r="B2686" s="2">
        <v>45901</v>
      </c>
    </row>
    <row r="2687" spans="1:2" ht="15" hidden="1" customHeight="1" x14ac:dyDescent="0.3">
      <c r="A2687" t="s">
        <v>206</v>
      </c>
      <c r="B2687" s="2">
        <v>45931</v>
      </c>
    </row>
    <row r="2688" spans="1:2" ht="15" hidden="1" customHeight="1" x14ac:dyDescent="0.3">
      <c r="A2688" t="s">
        <v>206</v>
      </c>
      <c r="B2688" s="2">
        <v>45962</v>
      </c>
    </row>
    <row r="2689" spans="1:3" ht="15" hidden="1" customHeight="1" x14ac:dyDescent="0.3">
      <c r="A2689" t="s">
        <v>206</v>
      </c>
      <c r="B2689" s="2">
        <v>45992</v>
      </c>
    </row>
    <row r="2690" spans="1:3" ht="15" hidden="1" customHeight="1" x14ac:dyDescent="0.3">
      <c r="A2690" t="s">
        <v>206</v>
      </c>
      <c r="B2690" s="2">
        <v>46023</v>
      </c>
    </row>
    <row r="2691" spans="1:3" ht="15" hidden="1" customHeight="1" x14ac:dyDescent="0.3">
      <c r="A2691" t="s">
        <v>206</v>
      </c>
      <c r="B2691" s="2">
        <v>46054</v>
      </c>
    </row>
    <row r="2692" spans="1:3" ht="15" hidden="1" customHeight="1" x14ac:dyDescent="0.3">
      <c r="A2692" t="s">
        <v>206</v>
      </c>
      <c r="B2692" s="2">
        <v>46082</v>
      </c>
    </row>
    <row r="2693" spans="1:3" ht="15" hidden="1" customHeight="1" x14ac:dyDescent="0.3">
      <c r="A2693" t="s">
        <v>206</v>
      </c>
      <c r="B2693" s="2">
        <v>46113</v>
      </c>
    </row>
    <row r="2694" spans="1:3" ht="15" hidden="1" customHeight="1" x14ac:dyDescent="0.3">
      <c r="A2694" t="s">
        <v>206</v>
      </c>
      <c r="B2694" s="2">
        <v>46143</v>
      </c>
    </row>
    <row r="2695" spans="1:3" ht="15" hidden="1" customHeight="1" x14ac:dyDescent="0.3">
      <c r="A2695" t="s">
        <v>206</v>
      </c>
      <c r="B2695" s="2">
        <v>46174</v>
      </c>
    </row>
    <row r="2696" spans="1:3" ht="15" customHeight="1" x14ac:dyDescent="0.3">
      <c r="A2696" t="s">
        <v>206</v>
      </c>
      <c r="B2696" s="2">
        <v>46204</v>
      </c>
    </row>
    <row r="2697" spans="1:3" ht="15" hidden="1" customHeight="1" x14ac:dyDescent="0.3">
      <c r="A2697" t="s">
        <v>206</v>
      </c>
      <c r="B2697" s="2">
        <v>46235</v>
      </c>
    </row>
    <row r="2698" spans="1:3" ht="15" hidden="1" customHeight="1" x14ac:dyDescent="0.3">
      <c r="A2698" t="s">
        <v>206</v>
      </c>
      <c r="B2698" s="2">
        <v>46266</v>
      </c>
    </row>
    <row r="2699" spans="1:3" ht="15" hidden="1" customHeight="1" x14ac:dyDescent="0.3">
      <c r="A2699" t="s">
        <v>206</v>
      </c>
      <c r="B2699" s="2">
        <v>46296</v>
      </c>
    </row>
    <row r="2700" spans="1:3" ht="15" hidden="1" customHeight="1" x14ac:dyDescent="0.3">
      <c r="A2700" t="s">
        <v>206</v>
      </c>
      <c r="B2700" s="2">
        <v>46327</v>
      </c>
    </row>
    <row r="2701" spans="1:3" ht="15" hidden="1" customHeight="1" x14ac:dyDescent="0.3">
      <c r="A2701" t="s">
        <v>206</v>
      </c>
      <c r="B2701" s="2">
        <v>46357</v>
      </c>
    </row>
    <row r="2702" spans="1:3" hidden="1" x14ac:dyDescent="0.3">
      <c r="A2702" t="s">
        <v>271</v>
      </c>
      <c r="B2702" s="2">
        <v>45292</v>
      </c>
      <c r="C2702" cm="1">
        <f t="array" ref="C2702">IFERROR(INDEX('Expected Production'!$C$2:$N$200,MATCH(A2702,'Expected Production'!$A$2:$A$200,0),MONTH(B2702)),"")</f>
        <v>17370.900000000001</v>
      </c>
    </row>
    <row r="2703" spans="1:3" hidden="1" x14ac:dyDescent="0.3">
      <c r="A2703" t="s">
        <v>271</v>
      </c>
      <c r="B2703" s="2">
        <v>45323</v>
      </c>
      <c r="C2703" cm="1">
        <f t="array" ref="C2703">IFERROR(INDEX('Expected Production'!$C$2:$N$200,MATCH(A2703,'Expected Production'!$A$2:$A$200,0),MONTH(B2703)),"")</f>
        <v>15077.7</v>
      </c>
    </row>
    <row r="2704" spans="1:3" hidden="1" x14ac:dyDescent="0.3">
      <c r="A2704" t="s">
        <v>271</v>
      </c>
      <c r="B2704" s="2">
        <v>45352</v>
      </c>
      <c r="C2704" cm="1">
        <f t="array" ref="C2704">IFERROR(INDEX('Expected Production'!$C$2:$N$200,MATCH(A2704,'Expected Production'!$A$2:$A$200,0),MONTH(B2704)),"")</f>
        <v>14634</v>
      </c>
    </row>
    <row r="2705" spans="1:3" hidden="1" x14ac:dyDescent="0.3">
      <c r="A2705" t="s">
        <v>271</v>
      </c>
      <c r="B2705" s="2">
        <v>45383</v>
      </c>
      <c r="C2705" cm="1">
        <f t="array" ref="C2705">IFERROR(INDEX('Expected Production'!$C$2:$N$200,MATCH(A2705,'Expected Production'!$A$2:$A$200,0),MONTH(B2705)),"")</f>
        <v>12420</v>
      </c>
    </row>
    <row r="2706" spans="1:3" hidden="1" x14ac:dyDescent="0.3">
      <c r="A2706" t="s">
        <v>271</v>
      </c>
      <c r="B2706" s="2">
        <v>45413</v>
      </c>
      <c r="C2706" cm="1">
        <f t="array" ref="C2706">IFERROR(INDEX('Expected Production'!$C$2:$N$200,MATCH(A2706,'Expected Production'!$A$2:$A$200,0),MONTH(B2706)),"")</f>
        <v>11402.1</v>
      </c>
    </row>
    <row r="2707" spans="1:3" hidden="1" x14ac:dyDescent="0.3">
      <c r="A2707" t="s">
        <v>271</v>
      </c>
      <c r="B2707" s="2">
        <v>45444</v>
      </c>
      <c r="C2707" cm="1">
        <f t="array" ref="C2707">IFERROR(INDEX('Expected Production'!$C$2:$N$200,MATCH(A2707,'Expected Production'!$A$2:$A$200,0),MONTH(B2707)),"")</f>
        <v>9989.1</v>
      </c>
    </row>
    <row r="2708" spans="1:3" hidden="1" x14ac:dyDescent="0.3">
      <c r="A2708" t="s">
        <v>271</v>
      </c>
      <c r="B2708" s="2">
        <v>45474</v>
      </c>
      <c r="C2708" cm="1">
        <f t="array" ref="C2708">IFERROR(INDEX('Expected Production'!$C$2:$N$200,MATCH(A2708,'Expected Production'!$A$2:$A$200,0),MONTH(B2708)),"")</f>
        <v>10986.300000000001</v>
      </c>
    </row>
    <row r="2709" spans="1:3" hidden="1" x14ac:dyDescent="0.3">
      <c r="A2709" t="s">
        <v>271</v>
      </c>
      <c r="B2709" s="2">
        <v>45505</v>
      </c>
      <c r="C2709" cm="1">
        <f t="array" ref="C2709">IFERROR(INDEX('Expected Production'!$C$2:$N$200,MATCH(A2709,'Expected Production'!$A$2:$A$200,0),MONTH(B2709)),"")</f>
        <v>13108.77</v>
      </c>
    </row>
    <row r="2710" spans="1:3" hidden="1" x14ac:dyDescent="0.3">
      <c r="A2710" t="s">
        <v>271</v>
      </c>
      <c r="B2710" s="2">
        <v>45536</v>
      </c>
      <c r="C2710" cm="1">
        <f t="array" ref="C2710">IFERROR(INDEX('Expected Production'!$C$2:$N$200,MATCH(A2710,'Expected Production'!$A$2:$A$200,0),MONTH(B2710)),"")</f>
        <v>14833.17</v>
      </c>
    </row>
    <row r="2711" spans="1:3" hidden="1" x14ac:dyDescent="0.3">
      <c r="A2711" t="s">
        <v>271</v>
      </c>
      <c r="B2711" s="2">
        <v>45566</v>
      </c>
      <c r="C2711" cm="1">
        <f t="array" ref="C2711">IFERROR(INDEX('Expected Production'!$C$2:$N$200,MATCH(A2711,'Expected Production'!$A$2:$A$200,0),MONTH(B2711)),"")</f>
        <v>17053.2</v>
      </c>
    </row>
    <row r="2712" spans="1:3" hidden="1" x14ac:dyDescent="0.3">
      <c r="A2712" t="s">
        <v>271</v>
      </c>
      <c r="B2712" s="2">
        <v>45597</v>
      </c>
      <c r="C2712" cm="1">
        <f t="array" ref="C2712">IFERROR(INDEX('Expected Production'!$C$2:$N$200,MATCH(A2712,'Expected Production'!$A$2:$A$200,0),MONTH(B2712)),"")</f>
        <v>17239.5</v>
      </c>
    </row>
    <row r="2713" spans="1:3" hidden="1" x14ac:dyDescent="0.3">
      <c r="A2713" t="s">
        <v>271</v>
      </c>
      <c r="B2713" s="2">
        <v>45627</v>
      </c>
      <c r="C2713" cm="1">
        <f t="array" ref="C2713">IFERROR(INDEX('Expected Production'!$C$2:$N$200,MATCH(A2713,'Expected Production'!$A$2:$A$200,0),MONTH(B2713)),"")</f>
        <v>17465.400000000001</v>
      </c>
    </row>
    <row r="2714" spans="1:3" hidden="1" x14ac:dyDescent="0.3">
      <c r="A2714" t="s">
        <v>271</v>
      </c>
      <c r="B2714" s="2">
        <v>45658</v>
      </c>
      <c r="C2714" cm="1">
        <f t="array" ref="C2714">IFERROR(INDEX('Expected Production'!$C$2:$N$200,MATCH(A2714,'Expected Production'!$A$2:$A$200,0),MONTH(B2714)),"")</f>
        <v>17370.900000000001</v>
      </c>
    </row>
    <row r="2715" spans="1:3" hidden="1" x14ac:dyDescent="0.3">
      <c r="A2715" t="s">
        <v>271</v>
      </c>
      <c r="B2715" s="2">
        <v>45689</v>
      </c>
      <c r="C2715" cm="1">
        <f t="array" ref="C2715">IFERROR(INDEX('Expected Production'!$C$2:$N$200,MATCH(A2715,'Expected Production'!$A$2:$A$200,0),MONTH(B2715)),"")</f>
        <v>15077.7</v>
      </c>
    </row>
    <row r="2716" spans="1:3" hidden="1" x14ac:dyDescent="0.3">
      <c r="A2716" t="s">
        <v>271</v>
      </c>
      <c r="B2716" s="2">
        <v>45717</v>
      </c>
      <c r="C2716" cm="1">
        <f t="array" ref="C2716">IFERROR(INDEX('Expected Production'!$C$2:$N$200,MATCH(A2716,'Expected Production'!$A$2:$A$200,0),MONTH(B2716)),"")</f>
        <v>14634</v>
      </c>
    </row>
    <row r="2717" spans="1:3" hidden="1" x14ac:dyDescent="0.3">
      <c r="A2717" t="s">
        <v>271</v>
      </c>
      <c r="B2717" s="2">
        <v>45748</v>
      </c>
      <c r="C2717" cm="1">
        <f t="array" ref="C2717">IFERROR(INDEX('Expected Production'!$C$2:$N$200,MATCH(A2717,'Expected Production'!$A$2:$A$200,0),MONTH(B2717)),"")</f>
        <v>12420</v>
      </c>
    </row>
    <row r="2718" spans="1:3" hidden="1" x14ac:dyDescent="0.3">
      <c r="A2718" t="s">
        <v>271</v>
      </c>
      <c r="B2718" s="2">
        <v>45778</v>
      </c>
      <c r="C2718" cm="1">
        <f t="array" ref="C2718">IFERROR(INDEX('Expected Production'!$C$2:$N$200,MATCH(A2718,'Expected Production'!$A$2:$A$200,0),MONTH(B2718)),"")</f>
        <v>11402.1</v>
      </c>
    </row>
    <row r="2719" spans="1:3" hidden="1" x14ac:dyDescent="0.3">
      <c r="A2719" t="s">
        <v>271</v>
      </c>
      <c r="B2719" s="2">
        <v>45809</v>
      </c>
      <c r="C2719" cm="1">
        <f t="array" ref="C2719">IFERROR(INDEX('Expected Production'!$C$2:$N$200,MATCH(A2719,'Expected Production'!$A$2:$A$200,0),MONTH(B2719)),"")</f>
        <v>9989.1</v>
      </c>
    </row>
    <row r="2720" spans="1:3" hidden="1" x14ac:dyDescent="0.3">
      <c r="A2720" t="s">
        <v>271</v>
      </c>
      <c r="B2720" s="2">
        <v>45839</v>
      </c>
      <c r="C2720" cm="1">
        <f t="array" ref="C2720">IFERROR(INDEX('Expected Production'!$C$2:$N$200,MATCH(A2720,'Expected Production'!$A$2:$A$200,0),MONTH(B2720)),"")</f>
        <v>10986.300000000001</v>
      </c>
    </row>
    <row r="2721" spans="1:3" hidden="1" x14ac:dyDescent="0.3">
      <c r="A2721" t="s">
        <v>271</v>
      </c>
      <c r="B2721" s="2">
        <v>45870</v>
      </c>
      <c r="C2721" cm="1">
        <f t="array" ref="C2721">IFERROR(INDEX('Expected Production'!$C$2:$N$200,MATCH(A2721,'Expected Production'!$A$2:$A$200,0),MONTH(B2721)),"")</f>
        <v>13108.77</v>
      </c>
    </row>
    <row r="2722" spans="1:3" hidden="1" x14ac:dyDescent="0.3">
      <c r="A2722" t="s">
        <v>271</v>
      </c>
      <c r="B2722" s="2">
        <v>45901</v>
      </c>
      <c r="C2722" cm="1">
        <f t="array" ref="C2722">IFERROR(INDEX('Expected Production'!$C$2:$N$200,MATCH(A2722,'Expected Production'!$A$2:$A$200,0),MONTH(B2722)),"")</f>
        <v>14833.17</v>
      </c>
    </row>
    <row r="2723" spans="1:3" hidden="1" x14ac:dyDescent="0.3">
      <c r="A2723" t="s">
        <v>271</v>
      </c>
      <c r="B2723" s="2">
        <v>45931</v>
      </c>
      <c r="C2723" cm="1">
        <f t="array" ref="C2723">IFERROR(INDEX('Expected Production'!$C$2:$N$200,MATCH(A2723,'Expected Production'!$A$2:$A$200,0),MONTH(B2723)),"")</f>
        <v>17053.2</v>
      </c>
    </row>
    <row r="2724" spans="1:3" hidden="1" x14ac:dyDescent="0.3">
      <c r="A2724" t="s">
        <v>271</v>
      </c>
      <c r="B2724" s="2">
        <v>45962</v>
      </c>
      <c r="C2724" cm="1">
        <f t="array" ref="C2724">IFERROR(INDEX('Expected Production'!$C$2:$N$200,MATCH(A2724,'Expected Production'!$A$2:$A$200,0),MONTH(B2724)),"")</f>
        <v>17239.5</v>
      </c>
    </row>
    <row r="2725" spans="1:3" hidden="1" x14ac:dyDescent="0.3">
      <c r="A2725" t="s">
        <v>271</v>
      </c>
      <c r="B2725" s="2">
        <v>45992</v>
      </c>
      <c r="C2725" cm="1">
        <f t="array" ref="C2725">IFERROR(INDEX('Expected Production'!$C$2:$N$200,MATCH(A2725,'Expected Production'!$A$2:$A$200,0),MONTH(B2725)),"")</f>
        <v>17465.400000000001</v>
      </c>
    </row>
    <row r="2726" spans="1:3" hidden="1" x14ac:dyDescent="0.3">
      <c r="A2726" t="s">
        <v>271</v>
      </c>
      <c r="B2726" s="2">
        <v>46023</v>
      </c>
      <c r="C2726" cm="1">
        <f t="array" ref="C2726">IFERROR(INDEX('Expected Production'!$C$2:$N$200,MATCH(A2726,'Expected Production'!$A$2:$A$200,0),MONTH(B2726)),"")</f>
        <v>17370.900000000001</v>
      </c>
    </row>
    <row r="2727" spans="1:3" hidden="1" x14ac:dyDescent="0.3">
      <c r="A2727" t="s">
        <v>271</v>
      </c>
      <c r="B2727" s="2">
        <v>46054</v>
      </c>
      <c r="C2727" cm="1">
        <f t="array" ref="C2727">IFERROR(INDEX('Expected Production'!$C$2:$N$200,MATCH(A2727,'Expected Production'!$A$2:$A$200,0),MONTH(B2727)),"")</f>
        <v>15077.7</v>
      </c>
    </row>
    <row r="2728" spans="1:3" hidden="1" x14ac:dyDescent="0.3">
      <c r="A2728" t="s">
        <v>271</v>
      </c>
      <c r="B2728" s="2">
        <v>46082</v>
      </c>
      <c r="C2728" cm="1">
        <f t="array" ref="C2728">IFERROR(INDEX('Expected Production'!$C$2:$N$200,MATCH(A2728,'Expected Production'!$A$2:$A$200,0),MONTH(B2728)),"")</f>
        <v>14634</v>
      </c>
    </row>
    <row r="2729" spans="1:3" hidden="1" x14ac:dyDescent="0.3">
      <c r="A2729" t="s">
        <v>271</v>
      </c>
      <c r="B2729" s="2">
        <v>46113</v>
      </c>
      <c r="C2729" cm="1">
        <f t="array" ref="C2729">IFERROR(INDEX('Expected Production'!$C$2:$N$200,MATCH(A2729,'Expected Production'!$A$2:$A$200,0),MONTH(B2729)),"")</f>
        <v>12420</v>
      </c>
    </row>
    <row r="2730" spans="1:3" hidden="1" x14ac:dyDescent="0.3">
      <c r="A2730" t="s">
        <v>271</v>
      </c>
      <c r="B2730" s="2">
        <v>46143</v>
      </c>
      <c r="C2730" cm="1">
        <f t="array" ref="C2730">IFERROR(INDEX('Expected Production'!$C$2:$N$200,MATCH(A2730,'Expected Production'!$A$2:$A$200,0),MONTH(B2730)),"")</f>
        <v>11402.1</v>
      </c>
    </row>
    <row r="2731" spans="1:3" hidden="1" x14ac:dyDescent="0.3">
      <c r="A2731" t="s">
        <v>271</v>
      </c>
      <c r="B2731" s="2">
        <v>46174</v>
      </c>
      <c r="C2731" cm="1">
        <f t="array" ref="C2731">IFERROR(INDEX('Expected Production'!$C$2:$N$200,MATCH(A2731,'Expected Production'!$A$2:$A$200,0),MONTH(B2731)),"")</f>
        <v>9989.1</v>
      </c>
    </row>
    <row r="2732" spans="1:3" x14ac:dyDescent="0.3">
      <c r="A2732" t="s">
        <v>271</v>
      </c>
      <c r="B2732" s="2">
        <v>46204</v>
      </c>
      <c r="C2732" cm="1">
        <f t="array" ref="C2732">IFERROR(INDEX('Expected Production'!$C$2:$N$200,MATCH(A2732,'Expected Production'!$A$2:$A$200,0),MONTH(B2732)),"")</f>
        <v>10986.300000000001</v>
      </c>
    </row>
    <row r="2733" spans="1:3" hidden="1" x14ac:dyDescent="0.3">
      <c r="A2733" t="s">
        <v>271</v>
      </c>
      <c r="B2733" s="2">
        <v>46235</v>
      </c>
      <c r="C2733" cm="1">
        <f t="array" ref="C2733">IFERROR(INDEX('Expected Production'!$C$2:$N$200,MATCH(A2733,'Expected Production'!$A$2:$A$200,0),MONTH(B2733)),"")</f>
        <v>13108.77</v>
      </c>
    </row>
    <row r="2734" spans="1:3" hidden="1" x14ac:dyDescent="0.3">
      <c r="A2734" t="s">
        <v>271</v>
      </c>
      <c r="B2734" s="2">
        <v>46266</v>
      </c>
      <c r="C2734" cm="1">
        <f t="array" ref="C2734">IFERROR(INDEX('Expected Production'!$C$2:$N$200,MATCH(A2734,'Expected Production'!$A$2:$A$200,0),MONTH(B2734)),"")</f>
        <v>14833.17</v>
      </c>
    </row>
    <row r="2735" spans="1:3" hidden="1" x14ac:dyDescent="0.3">
      <c r="A2735" t="s">
        <v>271</v>
      </c>
      <c r="B2735" s="2">
        <v>46296</v>
      </c>
      <c r="C2735" cm="1">
        <f t="array" ref="C2735">IFERROR(INDEX('Expected Production'!$C$2:$N$200,MATCH(A2735,'Expected Production'!$A$2:$A$200,0),MONTH(B2735)),"")</f>
        <v>17053.2</v>
      </c>
    </row>
    <row r="2736" spans="1:3" hidden="1" x14ac:dyDescent="0.3">
      <c r="A2736" t="s">
        <v>271</v>
      </c>
      <c r="B2736" s="2">
        <v>46327</v>
      </c>
      <c r="C2736" cm="1">
        <f t="array" ref="C2736">IFERROR(INDEX('Expected Production'!$C$2:$N$200,MATCH(A2736,'Expected Production'!$A$2:$A$200,0),MONTH(B2736)),"")</f>
        <v>17239.5</v>
      </c>
    </row>
    <row r="2737" spans="1:3" hidden="1" x14ac:dyDescent="0.3">
      <c r="A2737" t="s">
        <v>271</v>
      </c>
      <c r="B2737" s="2">
        <v>46357</v>
      </c>
      <c r="C2737" cm="1">
        <f t="array" ref="C2737">IFERROR(INDEX('Expected Production'!$C$2:$N$200,MATCH(A2737,'Expected Production'!$A$2:$A$200,0),MONTH(B2737)),"")</f>
        <v>17465.400000000001</v>
      </c>
    </row>
    <row r="2738" spans="1:3" hidden="1" x14ac:dyDescent="0.3">
      <c r="A2738" t="s">
        <v>251</v>
      </c>
      <c r="B2738" s="2">
        <v>45292</v>
      </c>
      <c r="C2738" cm="1">
        <f t="array" ref="C2738">IFERROR(INDEX('Expected Production'!$C$2:$N$200,MATCH(A2738,'Expected Production'!$A$2:$A$200,0),MONTH(B2738)),"")</f>
        <v>26451</v>
      </c>
    </row>
    <row r="2739" spans="1:3" hidden="1" x14ac:dyDescent="0.3">
      <c r="A2739" t="s">
        <v>251</v>
      </c>
      <c r="B2739" s="2">
        <v>45323</v>
      </c>
      <c r="C2739" cm="1">
        <f t="array" ref="C2739">IFERROR(INDEX('Expected Production'!$C$2:$N$200,MATCH(A2739,'Expected Production'!$A$2:$A$200,0),MONTH(B2739)),"")</f>
        <v>23215.5</v>
      </c>
    </row>
    <row r="2740" spans="1:3" hidden="1" x14ac:dyDescent="0.3">
      <c r="A2740" t="s">
        <v>251</v>
      </c>
      <c r="B2740" s="2">
        <v>45352</v>
      </c>
      <c r="C2740" cm="1">
        <f t="array" ref="C2740">IFERROR(INDEX('Expected Production'!$C$2:$N$200,MATCH(A2740,'Expected Production'!$A$2:$A$200,0),MONTH(B2740)),"")</f>
        <v>23034.600000000002</v>
      </c>
    </row>
    <row r="2741" spans="1:3" hidden="1" x14ac:dyDescent="0.3">
      <c r="A2741" t="s">
        <v>251</v>
      </c>
      <c r="B2741" s="2">
        <v>45383</v>
      </c>
      <c r="C2741" cm="1">
        <f t="array" ref="C2741">IFERROR(INDEX('Expected Production'!$C$2:$N$200,MATCH(A2741,'Expected Production'!$A$2:$A$200,0),MONTH(B2741)),"")</f>
        <v>19930.5</v>
      </c>
    </row>
    <row r="2742" spans="1:3" hidden="1" x14ac:dyDescent="0.3">
      <c r="A2742" t="s">
        <v>251</v>
      </c>
      <c r="B2742" s="2">
        <v>45413</v>
      </c>
      <c r="C2742" cm="1">
        <f t="array" ref="C2742">IFERROR(INDEX('Expected Production'!$C$2:$N$200,MATCH(A2742,'Expected Production'!$A$2:$A$200,0),MONTH(B2742)),"")</f>
        <v>18754.2</v>
      </c>
    </row>
    <row r="2743" spans="1:3" hidden="1" x14ac:dyDescent="0.3">
      <c r="A2743" t="s">
        <v>251</v>
      </c>
      <c r="B2743" s="2">
        <v>45444</v>
      </c>
      <c r="C2743" cm="1">
        <f t="array" ref="C2743">IFERROR(INDEX('Expected Production'!$C$2:$N$200,MATCH(A2743,'Expected Production'!$A$2:$A$200,0),MONTH(B2743)),"")</f>
        <v>16767.900000000001</v>
      </c>
    </row>
    <row r="2744" spans="1:3" hidden="1" x14ac:dyDescent="0.3">
      <c r="A2744" t="s">
        <v>251</v>
      </c>
      <c r="B2744" s="2">
        <v>45474</v>
      </c>
      <c r="C2744" cm="1">
        <f t="array" ref="C2744">IFERROR(INDEX('Expected Production'!$C$2:$N$200,MATCH(A2744,'Expected Production'!$A$2:$A$200,0),MONTH(B2744)),"")</f>
        <v>18261</v>
      </c>
    </row>
    <row r="2745" spans="1:3" hidden="1" x14ac:dyDescent="0.3">
      <c r="A2745" t="s">
        <v>251</v>
      </c>
      <c r="B2745" s="2">
        <v>45505</v>
      </c>
      <c r="C2745" cm="1">
        <f t="array" ref="C2745">IFERROR(INDEX('Expected Production'!$C$2:$N$200,MATCH(A2745,'Expected Production'!$A$2:$A$200,0),MONTH(B2745)),"")</f>
        <v>21311.100000000002</v>
      </c>
    </row>
    <row r="2746" spans="1:3" hidden="1" x14ac:dyDescent="0.3">
      <c r="A2746" t="s">
        <v>251</v>
      </c>
      <c r="B2746" s="2">
        <v>45536</v>
      </c>
      <c r="C2746" cm="1">
        <f t="array" ref="C2746">IFERROR(INDEX('Expected Production'!$C$2:$N$200,MATCH(A2746,'Expected Production'!$A$2:$A$200,0),MONTH(B2746)),"")</f>
        <v>23659.200000000001</v>
      </c>
    </row>
    <row r="2747" spans="1:3" hidden="1" x14ac:dyDescent="0.3">
      <c r="A2747" t="s">
        <v>251</v>
      </c>
      <c r="B2747" s="2">
        <v>45566</v>
      </c>
      <c r="C2747" cm="1">
        <f t="array" ref="C2747">IFERROR(INDEX('Expected Production'!$C$2:$N$200,MATCH(A2747,'Expected Production'!$A$2:$A$200,0),MONTH(B2747)),"")</f>
        <v>26865.9</v>
      </c>
    </row>
    <row r="2748" spans="1:3" hidden="1" x14ac:dyDescent="0.3">
      <c r="A2748" t="s">
        <v>251</v>
      </c>
      <c r="B2748" s="2">
        <v>45597</v>
      </c>
      <c r="C2748" cm="1">
        <f t="array" ref="C2748">IFERROR(INDEX('Expected Production'!$C$2:$N$200,MATCH(A2748,'Expected Production'!$A$2:$A$200,0),MONTH(B2748)),"")</f>
        <v>27153.9</v>
      </c>
    </row>
    <row r="2749" spans="1:3" hidden="1" x14ac:dyDescent="0.3">
      <c r="A2749" t="s">
        <v>251</v>
      </c>
      <c r="B2749" s="2">
        <v>45627</v>
      </c>
      <c r="C2749" cm="1">
        <f t="array" ref="C2749">IFERROR(INDEX('Expected Production'!$C$2:$N$200,MATCH(A2749,'Expected Production'!$A$2:$A$200,0),MONTH(B2749)),"")</f>
        <v>27402.3</v>
      </c>
    </row>
    <row r="2750" spans="1:3" hidden="1" x14ac:dyDescent="0.3">
      <c r="A2750" t="s">
        <v>251</v>
      </c>
      <c r="B2750" s="2">
        <v>45658</v>
      </c>
      <c r="C2750" cm="1">
        <f t="array" ref="C2750">IFERROR(INDEX('Expected Production'!$C$2:$N$200,MATCH(A2750,'Expected Production'!$A$2:$A$200,0),MONTH(B2750)),"")</f>
        <v>26451</v>
      </c>
    </row>
    <row r="2751" spans="1:3" hidden="1" x14ac:dyDescent="0.3">
      <c r="A2751" t="s">
        <v>251</v>
      </c>
      <c r="B2751" s="2">
        <v>45689</v>
      </c>
      <c r="C2751" cm="1">
        <f t="array" ref="C2751">IFERROR(INDEX('Expected Production'!$C$2:$N$200,MATCH(A2751,'Expected Production'!$A$2:$A$200,0),MONTH(B2751)),"")</f>
        <v>23215.5</v>
      </c>
    </row>
    <row r="2752" spans="1:3" hidden="1" x14ac:dyDescent="0.3">
      <c r="A2752" t="s">
        <v>251</v>
      </c>
      <c r="B2752" s="2">
        <v>45717</v>
      </c>
      <c r="C2752" cm="1">
        <f t="array" ref="C2752">IFERROR(INDEX('Expected Production'!$C$2:$N$200,MATCH(A2752,'Expected Production'!$A$2:$A$200,0),MONTH(B2752)),"")</f>
        <v>23034.600000000002</v>
      </c>
    </row>
    <row r="2753" spans="1:3" hidden="1" x14ac:dyDescent="0.3">
      <c r="A2753" t="s">
        <v>251</v>
      </c>
      <c r="B2753" s="2">
        <v>45748</v>
      </c>
      <c r="C2753" cm="1">
        <f t="array" ref="C2753">IFERROR(INDEX('Expected Production'!$C$2:$N$200,MATCH(A2753,'Expected Production'!$A$2:$A$200,0),MONTH(B2753)),"")</f>
        <v>19930.5</v>
      </c>
    </row>
    <row r="2754" spans="1:3" hidden="1" x14ac:dyDescent="0.3">
      <c r="A2754" t="s">
        <v>251</v>
      </c>
      <c r="B2754" s="2">
        <v>45778</v>
      </c>
      <c r="C2754" cm="1">
        <f t="array" ref="C2754">IFERROR(INDEX('Expected Production'!$C$2:$N$200,MATCH(A2754,'Expected Production'!$A$2:$A$200,0),MONTH(B2754)),"")</f>
        <v>18754.2</v>
      </c>
    </row>
    <row r="2755" spans="1:3" hidden="1" x14ac:dyDescent="0.3">
      <c r="A2755" t="s">
        <v>251</v>
      </c>
      <c r="B2755" s="2">
        <v>45809</v>
      </c>
      <c r="C2755" cm="1">
        <f t="array" ref="C2755">IFERROR(INDEX('Expected Production'!$C$2:$N$200,MATCH(A2755,'Expected Production'!$A$2:$A$200,0),MONTH(B2755)),"")</f>
        <v>16767.900000000001</v>
      </c>
    </row>
    <row r="2756" spans="1:3" hidden="1" x14ac:dyDescent="0.3">
      <c r="A2756" t="s">
        <v>251</v>
      </c>
      <c r="B2756" s="2">
        <v>45839</v>
      </c>
      <c r="C2756" cm="1">
        <f t="array" ref="C2756">IFERROR(INDEX('Expected Production'!$C$2:$N$200,MATCH(A2756,'Expected Production'!$A$2:$A$200,0),MONTH(B2756)),"")</f>
        <v>18261</v>
      </c>
    </row>
    <row r="2757" spans="1:3" hidden="1" x14ac:dyDescent="0.3">
      <c r="A2757" t="s">
        <v>251</v>
      </c>
      <c r="B2757" s="2">
        <v>45870</v>
      </c>
      <c r="C2757" cm="1">
        <f t="array" ref="C2757">IFERROR(INDEX('Expected Production'!$C$2:$N$200,MATCH(A2757,'Expected Production'!$A$2:$A$200,0),MONTH(B2757)),"")</f>
        <v>21311.100000000002</v>
      </c>
    </row>
    <row r="2758" spans="1:3" hidden="1" x14ac:dyDescent="0.3">
      <c r="A2758" t="s">
        <v>251</v>
      </c>
      <c r="B2758" s="2">
        <v>45901</v>
      </c>
      <c r="C2758" cm="1">
        <f t="array" ref="C2758">IFERROR(INDEX('Expected Production'!$C$2:$N$200,MATCH(A2758,'Expected Production'!$A$2:$A$200,0),MONTH(B2758)),"")</f>
        <v>23659.200000000001</v>
      </c>
    </row>
    <row r="2759" spans="1:3" hidden="1" x14ac:dyDescent="0.3">
      <c r="A2759" t="s">
        <v>251</v>
      </c>
      <c r="B2759" s="2">
        <v>45931</v>
      </c>
      <c r="C2759" cm="1">
        <f t="array" ref="C2759">IFERROR(INDEX('Expected Production'!$C$2:$N$200,MATCH(A2759,'Expected Production'!$A$2:$A$200,0),MONTH(B2759)),"")</f>
        <v>26865.9</v>
      </c>
    </row>
    <row r="2760" spans="1:3" hidden="1" x14ac:dyDescent="0.3">
      <c r="A2760" t="s">
        <v>251</v>
      </c>
      <c r="B2760" s="2">
        <v>45962</v>
      </c>
      <c r="C2760" cm="1">
        <f t="array" ref="C2760">IFERROR(INDEX('Expected Production'!$C$2:$N$200,MATCH(A2760,'Expected Production'!$A$2:$A$200,0),MONTH(B2760)),"")</f>
        <v>27153.9</v>
      </c>
    </row>
    <row r="2761" spans="1:3" hidden="1" x14ac:dyDescent="0.3">
      <c r="A2761" t="s">
        <v>251</v>
      </c>
      <c r="B2761" s="2">
        <v>45992</v>
      </c>
      <c r="C2761" cm="1">
        <f t="array" ref="C2761">IFERROR(INDEX('Expected Production'!$C$2:$N$200,MATCH(A2761,'Expected Production'!$A$2:$A$200,0),MONTH(B2761)),"")</f>
        <v>27402.3</v>
      </c>
    </row>
    <row r="2762" spans="1:3" hidden="1" x14ac:dyDescent="0.3">
      <c r="A2762" t="s">
        <v>251</v>
      </c>
      <c r="B2762" s="2">
        <v>46023</v>
      </c>
      <c r="C2762" cm="1">
        <f t="array" ref="C2762">IFERROR(INDEX('Expected Production'!$C$2:$N$200,MATCH(A2762,'Expected Production'!$A$2:$A$200,0),MONTH(B2762)),"")</f>
        <v>26451</v>
      </c>
    </row>
    <row r="2763" spans="1:3" hidden="1" x14ac:dyDescent="0.3">
      <c r="A2763" t="s">
        <v>251</v>
      </c>
      <c r="B2763" s="2">
        <v>46054</v>
      </c>
      <c r="C2763" cm="1">
        <f t="array" ref="C2763">IFERROR(INDEX('Expected Production'!$C$2:$N$200,MATCH(A2763,'Expected Production'!$A$2:$A$200,0),MONTH(B2763)),"")</f>
        <v>23215.5</v>
      </c>
    </row>
    <row r="2764" spans="1:3" hidden="1" x14ac:dyDescent="0.3">
      <c r="A2764" t="s">
        <v>251</v>
      </c>
      <c r="B2764" s="2">
        <v>46082</v>
      </c>
      <c r="C2764" cm="1">
        <f t="array" ref="C2764">IFERROR(INDEX('Expected Production'!$C$2:$N$200,MATCH(A2764,'Expected Production'!$A$2:$A$200,0),MONTH(B2764)),"")</f>
        <v>23034.600000000002</v>
      </c>
    </row>
    <row r="2765" spans="1:3" hidden="1" x14ac:dyDescent="0.3">
      <c r="A2765" t="s">
        <v>251</v>
      </c>
      <c r="B2765" s="2">
        <v>46113</v>
      </c>
      <c r="C2765" cm="1">
        <f t="array" ref="C2765">IFERROR(INDEX('Expected Production'!$C$2:$N$200,MATCH(A2765,'Expected Production'!$A$2:$A$200,0),MONTH(B2765)),"")</f>
        <v>19930.5</v>
      </c>
    </row>
    <row r="2766" spans="1:3" hidden="1" x14ac:dyDescent="0.3">
      <c r="A2766" t="s">
        <v>251</v>
      </c>
      <c r="B2766" s="2">
        <v>46143</v>
      </c>
      <c r="C2766" cm="1">
        <f t="array" ref="C2766">IFERROR(INDEX('Expected Production'!$C$2:$N$200,MATCH(A2766,'Expected Production'!$A$2:$A$200,0),MONTH(B2766)),"")</f>
        <v>18754.2</v>
      </c>
    </row>
    <row r="2767" spans="1:3" hidden="1" x14ac:dyDescent="0.3">
      <c r="A2767" t="s">
        <v>251</v>
      </c>
      <c r="B2767" s="2">
        <v>46174</v>
      </c>
      <c r="C2767" cm="1">
        <f t="array" ref="C2767">IFERROR(INDEX('Expected Production'!$C$2:$N$200,MATCH(A2767,'Expected Production'!$A$2:$A$200,0),MONTH(B2767)),"")</f>
        <v>16767.900000000001</v>
      </c>
    </row>
    <row r="2768" spans="1:3" x14ac:dyDescent="0.3">
      <c r="A2768" t="s">
        <v>251</v>
      </c>
      <c r="B2768" s="2">
        <v>46204</v>
      </c>
      <c r="C2768" cm="1">
        <f t="array" ref="C2768">IFERROR(INDEX('Expected Production'!$C$2:$N$200,MATCH(A2768,'Expected Production'!$A$2:$A$200,0),MONTH(B2768)),"")</f>
        <v>18261</v>
      </c>
    </row>
    <row r="2769" spans="1:3" hidden="1" x14ac:dyDescent="0.3">
      <c r="A2769" t="s">
        <v>251</v>
      </c>
      <c r="B2769" s="2">
        <v>46235</v>
      </c>
      <c r="C2769" cm="1">
        <f t="array" ref="C2769">IFERROR(INDEX('Expected Production'!$C$2:$N$200,MATCH(A2769,'Expected Production'!$A$2:$A$200,0),MONTH(B2769)),"")</f>
        <v>21311.100000000002</v>
      </c>
    </row>
    <row r="2770" spans="1:3" hidden="1" x14ac:dyDescent="0.3">
      <c r="A2770" t="s">
        <v>251</v>
      </c>
      <c r="B2770" s="2">
        <v>46266</v>
      </c>
      <c r="C2770" cm="1">
        <f t="array" ref="C2770">IFERROR(INDEX('Expected Production'!$C$2:$N$200,MATCH(A2770,'Expected Production'!$A$2:$A$200,0),MONTH(B2770)),"")</f>
        <v>23659.200000000001</v>
      </c>
    </row>
    <row r="2771" spans="1:3" hidden="1" x14ac:dyDescent="0.3">
      <c r="A2771" t="s">
        <v>251</v>
      </c>
      <c r="B2771" s="2">
        <v>46296</v>
      </c>
      <c r="C2771" cm="1">
        <f t="array" ref="C2771">IFERROR(INDEX('Expected Production'!$C$2:$N$200,MATCH(A2771,'Expected Production'!$A$2:$A$200,0),MONTH(B2771)),"")</f>
        <v>26865.9</v>
      </c>
    </row>
    <row r="2772" spans="1:3" hidden="1" x14ac:dyDescent="0.3">
      <c r="A2772" t="s">
        <v>251</v>
      </c>
      <c r="B2772" s="2">
        <v>46327</v>
      </c>
      <c r="C2772" cm="1">
        <f t="array" ref="C2772">IFERROR(INDEX('Expected Production'!$C$2:$N$200,MATCH(A2772,'Expected Production'!$A$2:$A$200,0),MONTH(B2772)),"")</f>
        <v>27153.9</v>
      </c>
    </row>
    <row r="2773" spans="1:3" hidden="1" x14ac:dyDescent="0.3">
      <c r="A2773" t="s">
        <v>251</v>
      </c>
      <c r="B2773" s="2">
        <v>46357</v>
      </c>
      <c r="C2773" cm="1">
        <f t="array" ref="C2773">IFERROR(INDEX('Expected Production'!$C$2:$N$200,MATCH(A2773,'Expected Production'!$A$2:$A$200,0),MONTH(B2773)),"")</f>
        <v>27402.3</v>
      </c>
    </row>
    <row r="2774" spans="1:3" hidden="1" x14ac:dyDescent="0.3">
      <c r="A2774" t="s">
        <v>250</v>
      </c>
      <c r="B2774" s="2">
        <v>45292</v>
      </c>
      <c r="C2774" cm="1">
        <f t="array" ref="C2774">IFERROR(INDEX('Expected Production'!$C$2:$N$200,MATCH(A2774,'Expected Production'!$A$2:$A$200,0),MONTH(B2774)),"")</f>
        <v>28877.4</v>
      </c>
    </row>
    <row r="2775" spans="1:3" hidden="1" x14ac:dyDescent="0.3">
      <c r="A2775" t="s">
        <v>250</v>
      </c>
      <c r="B2775" s="2">
        <v>45323</v>
      </c>
      <c r="C2775" cm="1">
        <f t="array" ref="C2775">IFERROR(INDEX('Expected Production'!$C$2:$N$200,MATCH(A2775,'Expected Production'!$A$2:$A$200,0),MONTH(B2775)),"")</f>
        <v>25884.9</v>
      </c>
    </row>
    <row r="2776" spans="1:3" hidden="1" x14ac:dyDescent="0.3">
      <c r="A2776" t="s">
        <v>250</v>
      </c>
      <c r="B2776" s="2">
        <v>45352</v>
      </c>
      <c r="C2776" cm="1">
        <f t="array" ref="C2776">IFERROR(INDEX('Expected Production'!$C$2:$N$200,MATCH(A2776,'Expected Production'!$A$2:$A$200,0),MONTH(B2776)),"")</f>
        <v>27341.100000000002</v>
      </c>
    </row>
    <row r="2777" spans="1:3" hidden="1" x14ac:dyDescent="0.3">
      <c r="A2777" t="s">
        <v>250</v>
      </c>
      <c r="B2777" s="2">
        <v>45383</v>
      </c>
      <c r="C2777" cm="1">
        <f t="array" ref="C2777">IFERROR(INDEX('Expected Production'!$C$2:$N$200,MATCH(A2777,'Expected Production'!$A$2:$A$200,0),MONTH(B2777)),"")</f>
        <v>27823.5</v>
      </c>
    </row>
    <row r="2778" spans="1:3" hidden="1" x14ac:dyDescent="0.3">
      <c r="A2778" t="s">
        <v>250</v>
      </c>
      <c r="B2778" s="2">
        <v>45413</v>
      </c>
      <c r="C2778" cm="1">
        <f t="array" ref="C2778">IFERROR(INDEX('Expected Production'!$C$2:$N$200,MATCH(A2778,'Expected Production'!$A$2:$A$200,0),MONTH(B2778)),"")</f>
        <v>29920.5</v>
      </c>
    </row>
    <row r="2779" spans="1:3" hidden="1" x14ac:dyDescent="0.3">
      <c r="A2779" t="s">
        <v>250</v>
      </c>
      <c r="B2779" s="2">
        <v>45444</v>
      </c>
      <c r="C2779" cm="1">
        <f t="array" ref="C2779">IFERROR(INDEX('Expected Production'!$C$2:$N$200,MATCH(A2779,'Expected Production'!$A$2:$A$200,0),MONTH(B2779)),"")</f>
        <v>28644.3</v>
      </c>
    </row>
    <row r="2780" spans="1:3" hidden="1" x14ac:dyDescent="0.3">
      <c r="A2780" t="s">
        <v>250</v>
      </c>
      <c r="B2780" s="2">
        <v>45474</v>
      </c>
      <c r="C2780" cm="1">
        <f t="array" ref="C2780">IFERROR(INDEX('Expected Production'!$C$2:$N$200,MATCH(A2780,'Expected Production'!$A$2:$A$200,0),MONTH(B2780)),"")</f>
        <v>28051.200000000001</v>
      </c>
    </row>
    <row r="2781" spans="1:3" hidden="1" x14ac:dyDescent="0.3">
      <c r="A2781" t="s">
        <v>250</v>
      </c>
      <c r="B2781" s="2">
        <v>45505</v>
      </c>
      <c r="C2781" cm="1">
        <f t="array" ref="C2781">IFERROR(INDEX('Expected Production'!$C$2:$N$200,MATCH(A2781,'Expected Production'!$A$2:$A$200,0),MONTH(B2781)),"")</f>
        <v>31649.4</v>
      </c>
    </row>
    <row r="2782" spans="1:3" hidden="1" x14ac:dyDescent="0.3">
      <c r="A2782" t="s">
        <v>250</v>
      </c>
      <c r="B2782" s="2">
        <v>45536</v>
      </c>
      <c r="C2782" cm="1">
        <f t="array" ref="C2782">IFERROR(INDEX('Expected Production'!$C$2:$N$200,MATCH(A2782,'Expected Production'!$A$2:$A$200,0),MONTH(B2782)),"")</f>
        <v>28250.100000000002</v>
      </c>
    </row>
    <row r="2783" spans="1:3" hidden="1" x14ac:dyDescent="0.3">
      <c r="A2783" t="s">
        <v>250</v>
      </c>
      <c r="B2783" s="2">
        <v>45566</v>
      </c>
      <c r="C2783" cm="1">
        <f t="array" ref="C2783">IFERROR(INDEX('Expected Production'!$C$2:$N$200,MATCH(A2783,'Expected Production'!$A$2:$A$200,0),MONTH(B2783)),"")</f>
        <v>28466.100000000002</v>
      </c>
    </row>
    <row r="2784" spans="1:3" hidden="1" x14ac:dyDescent="0.3">
      <c r="A2784" t="s">
        <v>250</v>
      </c>
      <c r="B2784" s="2">
        <v>45597</v>
      </c>
      <c r="C2784" cm="1">
        <f t="array" ref="C2784">IFERROR(INDEX('Expected Production'!$C$2:$N$200,MATCH(A2784,'Expected Production'!$A$2:$A$200,0),MONTH(B2784)),"")</f>
        <v>28991.7</v>
      </c>
    </row>
    <row r="2785" spans="1:3" hidden="1" x14ac:dyDescent="0.3">
      <c r="A2785" t="s">
        <v>250</v>
      </c>
      <c r="B2785" s="2">
        <v>45627</v>
      </c>
      <c r="C2785" cm="1">
        <f t="array" ref="C2785">IFERROR(INDEX('Expected Production'!$C$2:$N$200,MATCH(A2785,'Expected Production'!$A$2:$A$200,0),MONTH(B2785)),"")</f>
        <v>28903.5</v>
      </c>
    </row>
    <row r="2786" spans="1:3" hidden="1" x14ac:dyDescent="0.3">
      <c r="A2786" t="s">
        <v>250</v>
      </c>
      <c r="B2786" s="2">
        <v>45658</v>
      </c>
      <c r="C2786" cm="1">
        <f t="array" ref="C2786">IFERROR(INDEX('Expected Production'!$C$2:$N$200,MATCH(A2786,'Expected Production'!$A$2:$A$200,0),MONTH(B2786)),"")</f>
        <v>28877.4</v>
      </c>
    </row>
    <row r="2787" spans="1:3" hidden="1" x14ac:dyDescent="0.3">
      <c r="A2787" t="s">
        <v>250</v>
      </c>
      <c r="B2787" s="2">
        <v>45689</v>
      </c>
      <c r="C2787" cm="1">
        <f t="array" ref="C2787">IFERROR(INDEX('Expected Production'!$C$2:$N$200,MATCH(A2787,'Expected Production'!$A$2:$A$200,0),MONTH(B2787)),"")</f>
        <v>25884.9</v>
      </c>
    </row>
    <row r="2788" spans="1:3" hidden="1" x14ac:dyDescent="0.3">
      <c r="A2788" t="s">
        <v>250</v>
      </c>
      <c r="B2788" s="2">
        <v>45717</v>
      </c>
      <c r="C2788" cm="1">
        <f t="array" ref="C2788">IFERROR(INDEX('Expected Production'!$C$2:$N$200,MATCH(A2788,'Expected Production'!$A$2:$A$200,0),MONTH(B2788)),"")</f>
        <v>27341.100000000002</v>
      </c>
    </row>
    <row r="2789" spans="1:3" hidden="1" x14ac:dyDescent="0.3">
      <c r="A2789" t="s">
        <v>250</v>
      </c>
      <c r="B2789" s="2">
        <v>45748</v>
      </c>
      <c r="C2789" cm="1">
        <f t="array" ref="C2789">IFERROR(INDEX('Expected Production'!$C$2:$N$200,MATCH(A2789,'Expected Production'!$A$2:$A$200,0),MONTH(B2789)),"")</f>
        <v>27823.5</v>
      </c>
    </row>
    <row r="2790" spans="1:3" hidden="1" x14ac:dyDescent="0.3">
      <c r="A2790" t="s">
        <v>250</v>
      </c>
      <c r="B2790" s="2">
        <v>45778</v>
      </c>
      <c r="C2790" cm="1">
        <f t="array" ref="C2790">IFERROR(INDEX('Expected Production'!$C$2:$N$200,MATCH(A2790,'Expected Production'!$A$2:$A$200,0),MONTH(B2790)),"")</f>
        <v>29920.5</v>
      </c>
    </row>
    <row r="2791" spans="1:3" hidden="1" x14ac:dyDescent="0.3">
      <c r="A2791" t="s">
        <v>250</v>
      </c>
      <c r="B2791" s="2">
        <v>45809</v>
      </c>
      <c r="C2791" cm="1">
        <f t="array" ref="C2791">IFERROR(INDEX('Expected Production'!$C$2:$N$200,MATCH(A2791,'Expected Production'!$A$2:$A$200,0),MONTH(B2791)),"")</f>
        <v>28644.3</v>
      </c>
    </row>
    <row r="2792" spans="1:3" hidden="1" x14ac:dyDescent="0.3">
      <c r="A2792" t="s">
        <v>250</v>
      </c>
      <c r="B2792" s="2">
        <v>45839</v>
      </c>
      <c r="C2792" cm="1">
        <f t="array" ref="C2792">IFERROR(INDEX('Expected Production'!$C$2:$N$200,MATCH(A2792,'Expected Production'!$A$2:$A$200,0),MONTH(B2792)),"")</f>
        <v>28051.200000000001</v>
      </c>
    </row>
    <row r="2793" spans="1:3" hidden="1" x14ac:dyDescent="0.3">
      <c r="A2793" t="s">
        <v>250</v>
      </c>
      <c r="B2793" s="2">
        <v>45870</v>
      </c>
      <c r="C2793" cm="1">
        <f t="array" ref="C2793">IFERROR(INDEX('Expected Production'!$C$2:$N$200,MATCH(A2793,'Expected Production'!$A$2:$A$200,0),MONTH(B2793)),"")</f>
        <v>31649.4</v>
      </c>
    </row>
    <row r="2794" spans="1:3" hidden="1" x14ac:dyDescent="0.3">
      <c r="A2794" t="s">
        <v>250</v>
      </c>
      <c r="B2794" s="2">
        <v>45901</v>
      </c>
      <c r="C2794" cm="1">
        <f t="array" ref="C2794">IFERROR(INDEX('Expected Production'!$C$2:$N$200,MATCH(A2794,'Expected Production'!$A$2:$A$200,0),MONTH(B2794)),"")</f>
        <v>28250.100000000002</v>
      </c>
    </row>
    <row r="2795" spans="1:3" hidden="1" x14ac:dyDescent="0.3">
      <c r="A2795" t="s">
        <v>250</v>
      </c>
      <c r="B2795" s="2">
        <v>45931</v>
      </c>
      <c r="C2795" cm="1">
        <f t="array" ref="C2795">IFERROR(INDEX('Expected Production'!$C$2:$N$200,MATCH(A2795,'Expected Production'!$A$2:$A$200,0),MONTH(B2795)),"")</f>
        <v>28466.100000000002</v>
      </c>
    </row>
    <row r="2796" spans="1:3" hidden="1" x14ac:dyDescent="0.3">
      <c r="A2796" t="s">
        <v>250</v>
      </c>
      <c r="B2796" s="2">
        <v>45962</v>
      </c>
      <c r="C2796" cm="1">
        <f t="array" ref="C2796">IFERROR(INDEX('Expected Production'!$C$2:$N$200,MATCH(A2796,'Expected Production'!$A$2:$A$200,0),MONTH(B2796)),"")</f>
        <v>28991.7</v>
      </c>
    </row>
    <row r="2797" spans="1:3" hidden="1" x14ac:dyDescent="0.3">
      <c r="A2797" t="s">
        <v>250</v>
      </c>
      <c r="B2797" s="2">
        <v>45992</v>
      </c>
      <c r="C2797" cm="1">
        <f t="array" ref="C2797">IFERROR(INDEX('Expected Production'!$C$2:$N$200,MATCH(A2797,'Expected Production'!$A$2:$A$200,0),MONTH(B2797)),"")</f>
        <v>28903.5</v>
      </c>
    </row>
    <row r="2798" spans="1:3" hidden="1" x14ac:dyDescent="0.3">
      <c r="A2798" t="s">
        <v>250</v>
      </c>
      <c r="B2798" s="2">
        <v>46023</v>
      </c>
      <c r="C2798" cm="1">
        <f t="array" ref="C2798">IFERROR(INDEX('Expected Production'!$C$2:$N$200,MATCH(A2798,'Expected Production'!$A$2:$A$200,0),MONTH(B2798)),"")</f>
        <v>28877.4</v>
      </c>
    </row>
    <row r="2799" spans="1:3" hidden="1" x14ac:dyDescent="0.3">
      <c r="A2799" t="s">
        <v>250</v>
      </c>
      <c r="B2799" s="2">
        <v>46054</v>
      </c>
      <c r="C2799" cm="1">
        <f t="array" ref="C2799">IFERROR(INDEX('Expected Production'!$C$2:$N$200,MATCH(A2799,'Expected Production'!$A$2:$A$200,0),MONTH(B2799)),"")</f>
        <v>25884.9</v>
      </c>
    </row>
    <row r="2800" spans="1:3" hidden="1" x14ac:dyDescent="0.3">
      <c r="A2800" t="s">
        <v>250</v>
      </c>
      <c r="B2800" s="2">
        <v>46082</v>
      </c>
      <c r="C2800" cm="1">
        <f t="array" ref="C2800">IFERROR(INDEX('Expected Production'!$C$2:$N$200,MATCH(A2800,'Expected Production'!$A$2:$A$200,0),MONTH(B2800)),"")</f>
        <v>27341.100000000002</v>
      </c>
    </row>
    <row r="2801" spans="1:3" hidden="1" x14ac:dyDescent="0.3">
      <c r="A2801" t="s">
        <v>250</v>
      </c>
      <c r="B2801" s="2">
        <v>46113</v>
      </c>
      <c r="C2801" cm="1">
        <f t="array" ref="C2801">IFERROR(INDEX('Expected Production'!$C$2:$N$200,MATCH(A2801,'Expected Production'!$A$2:$A$200,0),MONTH(B2801)),"")</f>
        <v>27823.5</v>
      </c>
    </row>
    <row r="2802" spans="1:3" hidden="1" x14ac:dyDescent="0.3">
      <c r="A2802" t="s">
        <v>250</v>
      </c>
      <c r="B2802" s="2">
        <v>46143</v>
      </c>
      <c r="C2802" cm="1">
        <f t="array" ref="C2802">IFERROR(INDEX('Expected Production'!$C$2:$N$200,MATCH(A2802,'Expected Production'!$A$2:$A$200,0),MONTH(B2802)),"")</f>
        <v>29920.5</v>
      </c>
    </row>
    <row r="2803" spans="1:3" hidden="1" x14ac:dyDescent="0.3">
      <c r="A2803" t="s">
        <v>250</v>
      </c>
      <c r="B2803" s="2">
        <v>46174</v>
      </c>
      <c r="C2803" cm="1">
        <f t="array" ref="C2803">IFERROR(INDEX('Expected Production'!$C$2:$N$200,MATCH(A2803,'Expected Production'!$A$2:$A$200,0),MONTH(B2803)),"")</f>
        <v>28644.3</v>
      </c>
    </row>
    <row r="2804" spans="1:3" x14ac:dyDescent="0.3">
      <c r="A2804" t="s">
        <v>250</v>
      </c>
      <c r="B2804" s="2">
        <v>46204</v>
      </c>
      <c r="C2804" cm="1">
        <f t="array" ref="C2804">IFERROR(INDEX('Expected Production'!$C$2:$N$200,MATCH(A2804,'Expected Production'!$A$2:$A$200,0),MONTH(B2804)),"")</f>
        <v>28051.200000000001</v>
      </c>
    </row>
    <row r="2805" spans="1:3" hidden="1" x14ac:dyDescent="0.3">
      <c r="A2805" t="s">
        <v>250</v>
      </c>
      <c r="B2805" s="2">
        <v>46235</v>
      </c>
      <c r="C2805" cm="1">
        <f t="array" ref="C2805">IFERROR(INDEX('Expected Production'!$C$2:$N$200,MATCH(A2805,'Expected Production'!$A$2:$A$200,0),MONTH(B2805)),"")</f>
        <v>31649.4</v>
      </c>
    </row>
    <row r="2806" spans="1:3" hidden="1" x14ac:dyDescent="0.3">
      <c r="A2806" t="s">
        <v>250</v>
      </c>
      <c r="B2806" s="2">
        <v>46266</v>
      </c>
      <c r="C2806" cm="1">
        <f t="array" ref="C2806">IFERROR(INDEX('Expected Production'!$C$2:$N$200,MATCH(A2806,'Expected Production'!$A$2:$A$200,0),MONTH(B2806)),"")</f>
        <v>28250.100000000002</v>
      </c>
    </row>
    <row r="2807" spans="1:3" hidden="1" x14ac:dyDescent="0.3">
      <c r="A2807" t="s">
        <v>250</v>
      </c>
      <c r="B2807" s="2">
        <v>46296</v>
      </c>
      <c r="C2807" cm="1">
        <f t="array" ref="C2807">IFERROR(INDEX('Expected Production'!$C$2:$N$200,MATCH(A2807,'Expected Production'!$A$2:$A$200,0),MONTH(B2807)),"")</f>
        <v>28466.100000000002</v>
      </c>
    </row>
    <row r="2808" spans="1:3" hidden="1" x14ac:dyDescent="0.3">
      <c r="A2808" t="s">
        <v>250</v>
      </c>
      <c r="B2808" s="2">
        <v>46327</v>
      </c>
      <c r="C2808" cm="1">
        <f t="array" ref="C2808">IFERROR(INDEX('Expected Production'!$C$2:$N$200,MATCH(A2808,'Expected Production'!$A$2:$A$200,0),MONTH(B2808)),"")</f>
        <v>28991.7</v>
      </c>
    </row>
    <row r="2809" spans="1:3" hidden="1" x14ac:dyDescent="0.3">
      <c r="A2809" t="s">
        <v>250</v>
      </c>
      <c r="B2809" s="2">
        <v>46357</v>
      </c>
      <c r="C2809" cm="1">
        <f t="array" ref="C2809">IFERROR(INDEX('Expected Production'!$C$2:$N$200,MATCH(A2809,'Expected Production'!$A$2:$A$200,0),MONTH(B2809)),"")</f>
        <v>28903.5</v>
      </c>
    </row>
    <row r="2810" spans="1:3" x14ac:dyDescent="0.3">
      <c r="A2810" t="s">
        <v>1004</v>
      </c>
      <c r="B2810" s="2">
        <v>46204</v>
      </c>
      <c r="C2810" cm="1">
        <f t="array" ref="C2810">IFERROR(INDEX('Expected Production'!$C$2:$N$200,MATCH(A2810,'Expected Production'!$A$2:$A$200,0),MONTH(B2810)),"")</f>
        <v>4644.9000000000005</v>
      </c>
    </row>
    <row r="2811" spans="1:3" x14ac:dyDescent="0.3">
      <c r="A2811" t="s">
        <v>1004</v>
      </c>
      <c r="B2811" s="2">
        <v>46235</v>
      </c>
      <c r="C2811" cm="1">
        <f t="array" ref="C2811">IFERROR(INDEX('Expected Production'!$C$2:$N$200,MATCH(A2811,'Expected Production'!$A$2:$A$200,0),MONTH(B2811)),"")</f>
        <v>5254.2</v>
      </c>
    </row>
    <row r="2812" spans="1:3" x14ac:dyDescent="0.3">
      <c r="A2812" t="s">
        <v>1004</v>
      </c>
      <c r="B2812" s="2">
        <v>46266</v>
      </c>
      <c r="C2812" cm="1">
        <f t="array" ref="C2812">IFERROR(INDEX('Expected Production'!$C$2:$N$200,MATCH(A2812,'Expected Production'!$A$2:$A$200,0),MONTH(B2812)),"")</f>
        <v>5567.4000000000005</v>
      </c>
    </row>
    <row r="2813" spans="1:3" x14ac:dyDescent="0.3">
      <c r="A2813" t="s">
        <v>1004</v>
      </c>
      <c r="B2813" s="2">
        <v>46296</v>
      </c>
      <c r="C2813" cm="1">
        <f t="array" ref="C2813">IFERROR(INDEX('Expected Production'!$C$2:$N$200,MATCH(A2813,'Expected Production'!$A$2:$A$200,0),MONTH(B2813)),"")</f>
        <v>6030.9000000000005</v>
      </c>
    </row>
    <row r="2814" spans="1:3" x14ac:dyDescent="0.3">
      <c r="A2814" t="s">
        <v>1004</v>
      </c>
      <c r="B2814" s="2">
        <v>46327</v>
      </c>
      <c r="C2814" cm="1">
        <f t="array" ref="C2814">IFERROR(INDEX('Expected Production'!$C$2:$N$200,MATCH(A2814,'Expected Production'!$A$2:$A$200,0),MONTH(B2814)),"")</f>
        <v>5897.7</v>
      </c>
    </row>
    <row r="2815" spans="1:3" x14ac:dyDescent="0.3">
      <c r="A2815" t="s">
        <v>1004</v>
      </c>
      <c r="B2815" s="2">
        <v>46357</v>
      </c>
      <c r="C2815" cm="1">
        <f t="array" ref="C2815">IFERROR(INDEX('Expected Production'!$C$2:$N$200,MATCH(A2815,'Expected Production'!$A$2:$A$200,0),MONTH(B2815)),"")</f>
        <v>5989.5</v>
      </c>
    </row>
  </sheetData>
  <pageMargins left="0.75" right="0.75" top="1" bottom="1" header="0.511811023622047" footer="0.511811023622047"/>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810"/>
  <sheetViews>
    <sheetView tabSelected="1" zoomScaleNormal="100" workbookViewId="0">
      <pane ySplit="23" topLeftCell="A216" activePane="bottomLeft" state="frozen"/>
      <selection pane="bottomLeft" activeCell="F528" sqref="F528"/>
    </sheetView>
  </sheetViews>
  <sheetFormatPr defaultRowHeight="14.4" x14ac:dyDescent="0.3"/>
  <cols>
    <col min="1" max="1" width="24.109375" bestFit="1" customWidth="1"/>
    <col min="2" max="2" width="12" customWidth="1"/>
    <col min="3" max="3" width="37.109375" customWidth="1"/>
    <col min="4" max="4" width="19.109375" bestFit="1" customWidth="1"/>
    <col min="5" max="5" width="31.33203125" customWidth="1"/>
    <col min="6" max="6" width="28.109375" customWidth="1"/>
    <col min="7" max="7" width="73.44140625" bestFit="1" customWidth="1"/>
    <col min="8" max="8" width="29.5546875" bestFit="1" customWidth="1"/>
    <col min="39" max="39" width="10.6640625" customWidth="1"/>
  </cols>
  <sheetData>
    <row r="1" spans="1:8" x14ac:dyDescent="0.3">
      <c r="A1" t="s">
        <v>268</v>
      </c>
      <c r="B1" t="s">
        <v>266</v>
      </c>
      <c r="C1" t="s">
        <v>886</v>
      </c>
      <c r="D1" t="s">
        <v>887</v>
      </c>
      <c r="E1" t="s">
        <v>888</v>
      </c>
      <c r="F1" t="s">
        <v>889</v>
      </c>
      <c r="G1" t="s">
        <v>890</v>
      </c>
      <c r="H1" t="s">
        <v>891</v>
      </c>
    </row>
    <row r="2" spans="1:8" x14ac:dyDescent="0.3">
      <c r="A2" t="s">
        <v>31</v>
      </c>
      <c r="B2" s="2">
        <v>45536</v>
      </c>
      <c r="C2" s="10"/>
    </row>
    <row r="3" spans="1:8" x14ac:dyDescent="0.3">
      <c r="A3" t="s">
        <v>31</v>
      </c>
      <c r="B3" s="2">
        <v>45566</v>
      </c>
      <c r="C3" s="10"/>
    </row>
    <row r="4" spans="1:8" x14ac:dyDescent="0.3">
      <c r="A4" t="s">
        <v>31</v>
      </c>
      <c r="B4" s="2">
        <v>45597</v>
      </c>
      <c r="C4" s="10"/>
    </row>
    <row r="5" spans="1:8" x14ac:dyDescent="0.3">
      <c r="A5" t="s">
        <v>31</v>
      </c>
      <c r="B5" s="2">
        <v>45627</v>
      </c>
      <c r="C5" s="10"/>
    </row>
    <row r="6" spans="1:8" x14ac:dyDescent="0.3">
      <c r="A6" t="s">
        <v>31</v>
      </c>
      <c r="B6" s="2">
        <v>45658</v>
      </c>
      <c r="C6" s="10"/>
    </row>
    <row r="7" spans="1:8" ht="72" customHeight="1" x14ac:dyDescent="0.3">
      <c r="A7" t="s">
        <v>31</v>
      </c>
      <c r="B7" s="2">
        <v>45689</v>
      </c>
      <c r="C7" s="10" t="s">
        <v>276</v>
      </c>
    </row>
    <row r="8" spans="1:8" ht="72" customHeight="1" x14ac:dyDescent="0.3">
      <c r="A8" t="s">
        <v>31</v>
      </c>
      <c r="B8" s="2">
        <v>45717</v>
      </c>
      <c r="C8" s="10" t="s">
        <v>277</v>
      </c>
    </row>
    <row r="9" spans="1:8" ht="57.6" customHeight="1" x14ac:dyDescent="0.3">
      <c r="A9" t="s">
        <v>31</v>
      </c>
      <c r="B9" s="2">
        <v>45748</v>
      </c>
      <c r="C9" s="10" t="s">
        <v>278</v>
      </c>
    </row>
    <row r="10" spans="1:8" ht="57.6" customHeight="1" x14ac:dyDescent="0.3">
      <c r="A10" t="s">
        <v>31</v>
      </c>
      <c r="B10" s="2">
        <v>45778</v>
      </c>
      <c r="C10" s="10" t="s">
        <v>279</v>
      </c>
    </row>
    <row r="11" spans="1:8" ht="57.6" customHeight="1" x14ac:dyDescent="0.3">
      <c r="A11" t="s">
        <v>31</v>
      </c>
      <c r="B11" s="2">
        <v>45809</v>
      </c>
      <c r="C11" s="10" t="s">
        <v>280</v>
      </c>
    </row>
    <row r="12" spans="1:8" ht="57.6" customHeight="1" x14ac:dyDescent="0.3">
      <c r="A12" t="s">
        <v>31</v>
      </c>
      <c r="B12" s="2">
        <v>45839</v>
      </c>
      <c r="C12" s="10" t="s">
        <v>281</v>
      </c>
    </row>
    <row r="13" spans="1:8" ht="57.6" customHeight="1" x14ac:dyDescent="0.3">
      <c r="A13" t="s">
        <v>31</v>
      </c>
      <c r="B13" s="2">
        <v>45870</v>
      </c>
      <c r="C13" s="10" t="s">
        <v>282</v>
      </c>
    </row>
    <row r="14" spans="1:8" ht="57.6" customHeight="1" x14ac:dyDescent="0.3">
      <c r="A14" t="s">
        <v>31</v>
      </c>
      <c r="B14" s="2">
        <v>45901</v>
      </c>
      <c r="C14" s="10" t="s">
        <v>283</v>
      </c>
    </row>
    <row r="15" spans="1:8" ht="57.6" customHeight="1" x14ac:dyDescent="0.3">
      <c r="A15" t="s">
        <v>31</v>
      </c>
      <c r="B15" s="2">
        <v>45931</v>
      </c>
      <c r="C15" s="10" t="s">
        <v>284</v>
      </c>
    </row>
    <row r="16" spans="1:8" ht="57.6" customHeight="1" x14ac:dyDescent="0.3">
      <c r="A16" t="s">
        <v>31</v>
      </c>
      <c r="B16" s="2">
        <v>45962</v>
      </c>
      <c r="C16" s="10" t="s">
        <v>285</v>
      </c>
    </row>
    <row r="17" spans="1:8" ht="28.8" x14ac:dyDescent="0.3">
      <c r="A17" t="s">
        <v>31</v>
      </c>
      <c r="B17" s="2">
        <v>45992</v>
      </c>
      <c r="C17" s="10" t="s">
        <v>286</v>
      </c>
    </row>
    <row r="18" spans="1:8" ht="28.8" x14ac:dyDescent="0.3">
      <c r="A18" t="s">
        <v>31</v>
      </c>
      <c r="B18" s="2">
        <v>46023</v>
      </c>
      <c r="C18" s="10" t="s">
        <v>286</v>
      </c>
    </row>
    <row r="19" spans="1:8" ht="28.8" x14ac:dyDescent="0.3">
      <c r="A19" t="s">
        <v>31</v>
      </c>
      <c r="B19" s="2">
        <v>46054</v>
      </c>
      <c r="C19" s="10" t="s">
        <v>286</v>
      </c>
    </row>
    <row r="20" spans="1:8" ht="28.8" x14ac:dyDescent="0.3">
      <c r="A20" t="s">
        <v>31</v>
      </c>
      <c r="B20" s="2">
        <v>46082</v>
      </c>
      <c r="C20" s="10" t="s">
        <v>286</v>
      </c>
    </row>
    <row r="21" spans="1:8" ht="28.95" customHeight="1" x14ac:dyDescent="0.3">
      <c r="A21" t="s">
        <v>31</v>
      </c>
      <c r="B21" s="2">
        <v>46113</v>
      </c>
      <c r="C21" s="10" t="s">
        <v>287</v>
      </c>
    </row>
    <row r="22" spans="1:8" x14ac:dyDescent="0.3">
      <c r="A22" t="s">
        <v>31</v>
      </c>
      <c r="B22" s="2">
        <v>46143</v>
      </c>
      <c r="C22" s="10" t="s">
        <v>852</v>
      </c>
    </row>
    <row r="23" spans="1:8" x14ac:dyDescent="0.3">
      <c r="A23" t="s">
        <v>31</v>
      </c>
      <c r="B23" s="2">
        <v>46174</v>
      </c>
      <c r="C23" s="10"/>
    </row>
    <row r="24" spans="1:8" x14ac:dyDescent="0.3">
      <c r="A24" t="s">
        <v>31</v>
      </c>
      <c r="B24" s="2">
        <v>46204</v>
      </c>
      <c r="C24" s="10">
        <v>31</v>
      </c>
      <c r="D24">
        <v>0</v>
      </c>
      <c r="E24" t="s">
        <v>33</v>
      </c>
      <c r="F24" t="s">
        <v>33</v>
      </c>
      <c r="G24" t="s">
        <v>1014</v>
      </c>
      <c r="H24" t="s">
        <v>36</v>
      </c>
    </row>
    <row r="25" spans="1:8" x14ac:dyDescent="0.3">
      <c r="A25" t="s">
        <v>31</v>
      </c>
      <c r="B25" s="2">
        <v>46235</v>
      </c>
      <c r="C25" s="10"/>
    </row>
    <row r="26" spans="1:8" x14ac:dyDescent="0.3">
      <c r="A26" t="s">
        <v>43</v>
      </c>
      <c r="B26" s="2">
        <v>45536</v>
      </c>
      <c r="C26" s="10"/>
    </row>
    <row r="27" spans="1:8" x14ac:dyDescent="0.3">
      <c r="A27" t="s">
        <v>43</v>
      </c>
      <c r="B27" s="2">
        <v>45566</v>
      </c>
      <c r="C27" s="10"/>
    </row>
    <row r="28" spans="1:8" x14ac:dyDescent="0.3">
      <c r="A28" t="s">
        <v>43</v>
      </c>
      <c r="B28" s="2">
        <v>45597</v>
      </c>
      <c r="C28" s="10"/>
    </row>
    <row r="29" spans="1:8" x14ac:dyDescent="0.3">
      <c r="A29" t="s">
        <v>43</v>
      </c>
      <c r="B29" s="2">
        <v>45627</v>
      </c>
      <c r="C29" s="10"/>
    </row>
    <row r="30" spans="1:8" x14ac:dyDescent="0.3">
      <c r="A30" t="s">
        <v>43</v>
      </c>
      <c r="B30" s="2">
        <v>45658</v>
      </c>
      <c r="C30" s="10"/>
    </row>
    <row r="31" spans="1:8" ht="43.2" customHeight="1" x14ac:dyDescent="0.3">
      <c r="A31" t="s">
        <v>43</v>
      </c>
      <c r="B31" s="2">
        <v>45689</v>
      </c>
      <c r="C31" s="10" t="s">
        <v>288</v>
      </c>
    </row>
    <row r="32" spans="1:8" x14ac:dyDescent="0.3">
      <c r="A32" t="s">
        <v>43</v>
      </c>
      <c r="B32" s="2">
        <v>45717</v>
      </c>
      <c r="C32" s="10" t="s">
        <v>289</v>
      </c>
    </row>
    <row r="33" spans="1:8" x14ac:dyDescent="0.3">
      <c r="A33" t="s">
        <v>43</v>
      </c>
      <c r="B33" s="2">
        <v>45748</v>
      </c>
      <c r="C33" s="10" t="s">
        <v>289</v>
      </c>
    </row>
    <row r="34" spans="1:8" ht="72" customHeight="1" x14ac:dyDescent="0.3">
      <c r="A34" t="s">
        <v>43</v>
      </c>
      <c r="B34" s="2">
        <v>45778</v>
      </c>
      <c r="C34" s="10" t="s">
        <v>290</v>
      </c>
    </row>
    <row r="35" spans="1:8" ht="72" customHeight="1" x14ac:dyDescent="0.3">
      <c r="A35" t="s">
        <v>43</v>
      </c>
      <c r="B35" s="2">
        <v>45809</v>
      </c>
      <c r="C35" s="10" t="s">
        <v>291</v>
      </c>
    </row>
    <row r="36" spans="1:8" ht="72" customHeight="1" x14ac:dyDescent="0.3">
      <c r="A36" t="s">
        <v>43</v>
      </c>
      <c r="B36" s="2">
        <v>45839</v>
      </c>
      <c r="C36" s="10" t="s">
        <v>292</v>
      </c>
    </row>
    <row r="37" spans="1:8" ht="57.6" customHeight="1" x14ac:dyDescent="0.3">
      <c r="A37" t="s">
        <v>43</v>
      </c>
      <c r="B37" s="2">
        <v>45870</v>
      </c>
      <c r="C37" s="10" t="s">
        <v>293</v>
      </c>
    </row>
    <row r="38" spans="1:8" ht="57.6" customHeight="1" x14ac:dyDescent="0.3">
      <c r="A38" t="s">
        <v>43</v>
      </c>
      <c r="B38" s="2">
        <v>45901</v>
      </c>
      <c r="C38" s="10" t="s">
        <v>294</v>
      </c>
    </row>
    <row r="39" spans="1:8" ht="72" customHeight="1" x14ac:dyDescent="0.3">
      <c r="A39" t="s">
        <v>43</v>
      </c>
      <c r="B39" s="2">
        <v>45931</v>
      </c>
      <c r="C39" s="10" t="s">
        <v>295</v>
      </c>
    </row>
    <row r="40" spans="1:8" ht="57.6" customHeight="1" x14ac:dyDescent="0.3">
      <c r="A40" t="s">
        <v>43</v>
      </c>
      <c r="B40" s="2">
        <v>45962</v>
      </c>
      <c r="C40" s="10" t="s">
        <v>296</v>
      </c>
    </row>
    <row r="41" spans="1:8" ht="28.8" x14ac:dyDescent="0.3">
      <c r="A41" t="s">
        <v>43</v>
      </c>
      <c r="B41" s="2">
        <v>45992</v>
      </c>
      <c r="C41" s="10" t="s">
        <v>297</v>
      </c>
    </row>
    <row r="42" spans="1:8" ht="28.8" x14ac:dyDescent="0.3">
      <c r="A42" t="s">
        <v>43</v>
      </c>
      <c r="B42" s="2">
        <v>46023</v>
      </c>
      <c r="C42" s="10" t="s">
        <v>298</v>
      </c>
    </row>
    <row r="43" spans="1:8" ht="28.8" x14ac:dyDescent="0.3">
      <c r="A43" t="s">
        <v>43</v>
      </c>
      <c r="B43" s="2">
        <v>46054</v>
      </c>
      <c r="C43" s="10" t="s">
        <v>299</v>
      </c>
    </row>
    <row r="44" spans="1:8" x14ac:dyDescent="0.3">
      <c r="A44" t="s">
        <v>43</v>
      </c>
      <c r="B44" s="2">
        <v>46082</v>
      </c>
      <c r="C44" s="10" t="s">
        <v>300</v>
      </c>
    </row>
    <row r="45" spans="1:8" x14ac:dyDescent="0.3">
      <c r="A45" t="s">
        <v>43</v>
      </c>
      <c r="B45" s="2">
        <v>46113</v>
      </c>
      <c r="C45" s="10" t="s">
        <v>300</v>
      </c>
    </row>
    <row r="46" spans="1:8" ht="28.8" x14ac:dyDescent="0.3">
      <c r="A46" t="s">
        <v>43</v>
      </c>
      <c r="B46" s="2">
        <v>46143</v>
      </c>
      <c r="C46" s="10" t="s">
        <v>867</v>
      </c>
    </row>
    <row r="47" spans="1:8" x14ac:dyDescent="0.3">
      <c r="A47" t="s">
        <v>43</v>
      </c>
      <c r="B47" s="2">
        <v>46174</v>
      </c>
      <c r="C47" s="10" t="s">
        <v>892</v>
      </c>
      <c r="D47">
        <v>0</v>
      </c>
      <c r="E47" t="s">
        <v>33</v>
      </c>
    </row>
    <row r="48" spans="1:8" x14ac:dyDescent="0.3">
      <c r="A48" t="s">
        <v>43</v>
      </c>
      <c r="B48" s="2">
        <v>46204</v>
      </c>
      <c r="C48" s="10">
        <v>31</v>
      </c>
      <c r="D48">
        <v>0</v>
      </c>
      <c r="E48" t="s">
        <v>33</v>
      </c>
      <c r="F48" t="s">
        <v>33</v>
      </c>
      <c r="G48" s="10" t="s">
        <v>932</v>
      </c>
      <c r="H48" t="s">
        <v>36</v>
      </c>
    </row>
    <row r="49" spans="1:7" x14ac:dyDescent="0.3">
      <c r="A49" t="s">
        <v>43</v>
      </c>
      <c r="B49" s="2">
        <v>46235</v>
      </c>
      <c r="C49" s="10"/>
    </row>
    <row r="50" spans="1:7" x14ac:dyDescent="0.3">
      <c r="A50" t="s">
        <v>49</v>
      </c>
      <c r="B50" s="2">
        <v>45536</v>
      </c>
      <c r="C50" s="10"/>
    </row>
    <row r="51" spans="1:7" x14ac:dyDescent="0.3">
      <c r="A51" t="s">
        <v>49</v>
      </c>
      <c r="B51" s="2">
        <v>45566</v>
      </c>
      <c r="C51" s="10"/>
    </row>
    <row r="52" spans="1:7" x14ac:dyDescent="0.3">
      <c r="A52" t="s">
        <v>49</v>
      </c>
      <c r="B52" s="2">
        <v>45597</v>
      </c>
      <c r="C52" s="10"/>
    </row>
    <row r="53" spans="1:7" x14ac:dyDescent="0.3">
      <c r="A53" t="s">
        <v>49</v>
      </c>
      <c r="B53" s="2">
        <v>45627</v>
      </c>
      <c r="C53" s="10"/>
    </row>
    <row r="54" spans="1:7" x14ac:dyDescent="0.3">
      <c r="A54" t="s">
        <v>49</v>
      </c>
      <c r="B54" s="2">
        <v>45658</v>
      </c>
      <c r="C54" s="10" t="s">
        <v>892</v>
      </c>
      <c r="D54" t="s">
        <v>33</v>
      </c>
      <c r="E54" t="s">
        <v>33</v>
      </c>
      <c r="F54" t="s">
        <v>893</v>
      </c>
      <c r="G54" s="10" t="s">
        <v>932</v>
      </c>
    </row>
    <row r="55" spans="1:7" x14ac:dyDescent="0.3">
      <c r="A55" t="s">
        <v>49</v>
      </c>
      <c r="B55" s="2">
        <v>45689</v>
      </c>
      <c r="C55" s="10" t="s">
        <v>895</v>
      </c>
      <c r="D55" t="s">
        <v>33</v>
      </c>
      <c r="E55" t="s">
        <v>33</v>
      </c>
      <c r="F55" t="s">
        <v>893</v>
      </c>
      <c r="G55" s="10" t="s">
        <v>932</v>
      </c>
    </row>
    <row r="56" spans="1:7" x14ac:dyDescent="0.3">
      <c r="A56" t="s">
        <v>49</v>
      </c>
      <c r="B56" s="2">
        <v>45717</v>
      </c>
      <c r="C56" s="10" t="s">
        <v>892</v>
      </c>
      <c r="D56" t="s">
        <v>33</v>
      </c>
      <c r="E56" t="s">
        <v>33</v>
      </c>
      <c r="F56" t="s">
        <v>893</v>
      </c>
      <c r="G56" s="10" t="s">
        <v>932</v>
      </c>
    </row>
    <row r="57" spans="1:7" x14ac:dyDescent="0.3">
      <c r="A57" t="s">
        <v>49</v>
      </c>
      <c r="B57" s="2">
        <v>45748</v>
      </c>
      <c r="C57" s="10" t="s">
        <v>896</v>
      </c>
      <c r="F57" t="s">
        <v>893</v>
      </c>
      <c r="G57" s="10" t="s">
        <v>932</v>
      </c>
    </row>
    <row r="58" spans="1:7" x14ac:dyDescent="0.3">
      <c r="A58" t="s">
        <v>49</v>
      </c>
      <c r="B58" s="2">
        <v>45778</v>
      </c>
      <c r="C58" s="10">
        <v>0</v>
      </c>
      <c r="D58">
        <v>30</v>
      </c>
      <c r="F58" t="s">
        <v>893</v>
      </c>
      <c r="G58" s="10" t="s">
        <v>932</v>
      </c>
    </row>
    <row r="59" spans="1:7" x14ac:dyDescent="0.3">
      <c r="A59" t="s">
        <v>49</v>
      </c>
      <c r="B59" s="2">
        <v>45809</v>
      </c>
      <c r="C59" s="10" t="s">
        <v>898</v>
      </c>
      <c r="D59">
        <v>4</v>
      </c>
      <c r="E59" t="s">
        <v>897</v>
      </c>
      <c r="F59" t="s">
        <v>893</v>
      </c>
      <c r="G59" s="10" t="s">
        <v>932</v>
      </c>
    </row>
    <row r="60" spans="1:7" x14ac:dyDescent="0.3">
      <c r="A60" t="s">
        <v>49</v>
      </c>
      <c r="B60" s="2">
        <v>45839</v>
      </c>
      <c r="C60" s="10" t="s">
        <v>899</v>
      </c>
      <c r="D60" s="10" t="s">
        <v>892</v>
      </c>
      <c r="E60" t="s">
        <v>913</v>
      </c>
      <c r="F60" t="s">
        <v>982</v>
      </c>
      <c r="G60" t="s">
        <v>992</v>
      </c>
    </row>
    <row r="61" spans="1:7" x14ac:dyDescent="0.3">
      <c r="A61" t="s">
        <v>49</v>
      </c>
      <c r="B61" s="2">
        <v>45870</v>
      </c>
      <c r="C61" s="10" t="s">
        <v>892</v>
      </c>
      <c r="D61">
        <v>0</v>
      </c>
      <c r="F61" t="s">
        <v>33</v>
      </c>
      <c r="G61" s="10" t="s">
        <v>932</v>
      </c>
    </row>
    <row r="62" spans="1:7" x14ac:dyDescent="0.3">
      <c r="A62" t="s">
        <v>49</v>
      </c>
      <c r="B62" s="2">
        <v>45901</v>
      </c>
      <c r="C62" s="10" t="s">
        <v>892</v>
      </c>
      <c r="D62">
        <v>0</v>
      </c>
      <c r="F62" t="s">
        <v>912</v>
      </c>
      <c r="G62" t="s">
        <v>914</v>
      </c>
    </row>
    <row r="63" spans="1:7" x14ac:dyDescent="0.3">
      <c r="A63" t="s">
        <v>49</v>
      </c>
      <c r="B63" s="2">
        <v>45931</v>
      </c>
      <c r="C63" s="10" t="s">
        <v>901</v>
      </c>
      <c r="D63" t="s">
        <v>900</v>
      </c>
      <c r="E63" t="s">
        <v>908</v>
      </c>
      <c r="F63" t="s">
        <v>915</v>
      </c>
      <c r="G63" s="10" t="s">
        <v>990</v>
      </c>
    </row>
    <row r="64" spans="1:7" x14ac:dyDescent="0.3">
      <c r="A64" t="s">
        <v>49</v>
      </c>
      <c r="B64" s="2">
        <v>45962</v>
      </c>
      <c r="C64" s="10" t="s">
        <v>896</v>
      </c>
      <c r="D64">
        <v>0</v>
      </c>
      <c r="F64" t="s">
        <v>33</v>
      </c>
      <c r="G64" s="10" t="s">
        <v>932</v>
      </c>
    </row>
    <row r="65" spans="1:8" x14ac:dyDescent="0.3">
      <c r="A65" t="s">
        <v>49</v>
      </c>
      <c r="B65" s="2">
        <v>45992</v>
      </c>
      <c r="C65" s="10" t="s">
        <v>911</v>
      </c>
      <c r="D65">
        <v>0</v>
      </c>
      <c r="E65" t="s">
        <v>33</v>
      </c>
      <c r="F65" t="s">
        <v>893</v>
      </c>
      <c r="G65" s="10" t="s">
        <v>932</v>
      </c>
    </row>
    <row r="66" spans="1:8" x14ac:dyDescent="0.3">
      <c r="A66" t="s">
        <v>49</v>
      </c>
      <c r="B66" s="2">
        <v>46023</v>
      </c>
      <c r="C66" s="10" t="s">
        <v>892</v>
      </c>
      <c r="D66">
        <v>0</v>
      </c>
      <c r="F66" t="s">
        <v>33</v>
      </c>
      <c r="G66" t="s">
        <v>894</v>
      </c>
    </row>
    <row r="67" spans="1:8" x14ac:dyDescent="0.3">
      <c r="A67" t="s">
        <v>49</v>
      </c>
      <c r="B67" s="2">
        <v>46054</v>
      </c>
      <c r="C67" s="10" t="s">
        <v>903</v>
      </c>
      <c r="D67">
        <v>0</v>
      </c>
      <c r="F67" t="s">
        <v>912</v>
      </c>
      <c r="G67" s="10" t="s">
        <v>932</v>
      </c>
    </row>
    <row r="68" spans="1:8" x14ac:dyDescent="0.3">
      <c r="A68" t="s">
        <v>49</v>
      </c>
      <c r="B68" s="2">
        <v>46082</v>
      </c>
      <c r="C68" s="10" t="s">
        <v>905</v>
      </c>
      <c r="D68" t="s">
        <v>904</v>
      </c>
      <c r="E68" t="s">
        <v>908</v>
      </c>
      <c r="F68" t="s">
        <v>910</v>
      </c>
      <c r="G68" s="10" t="s">
        <v>990</v>
      </c>
    </row>
    <row r="69" spans="1:8" x14ac:dyDescent="0.3">
      <c r="A69" t="s">
        <v>49</v>
      </c>
      <c r="B69" s="2">
        <v>46113</v>
      </c>
      <c r="C69" s="10" t="s">
        <v>896</v>
      </c>
      <c r="D69" t="s">
        <v>907</v>
      </c>
      <c r="E69" t="s">
        <v>908</v>
      </c>
      <c r="F69" t="s">
        <v>910</v>
      </c>
      <c r="G69" s="10" t="s">
        <v>991</v>
      </c>
    </row>
    <row r="70" spans="1:8" x14ac:dyDescent="0.3">
      <c r="A70" t="s">
        <v>49</v>
      </c>
      <c r="B70" s="2">
        <v>46143</v>
      </c>
      <c r="C70" s="10" t="s">
        <v>892</v>
      </c>
      <c r="D70" t="s">
        <v>906</v>
      </c>
      <c r="E70" t="s">
        <v>909</v>
      </c>
      <c r="F70" t="s">
        <v>910</v>
      </c>
      <c r="G70" s="10" t="s">
        <v>990</v>
      </c>
    </row>
    <row r="71" spans="1:8" x14ac:dyDescent="0.3">
      <c r="A71" t="s">
        <v>49</v>
      </c>
      <c r="B71" s="2">
        <v>46174</v>
      </c>
      <c r="C71" s="10" t="s">
        <v>896</v>
      </c>
      <c r="D71">
        <v>0</v>
      </c>
      <c r="E71" t="s">
        <v>33</v>
      </c>
      <c r="F71" t="s">
        <v>912</v>
      </c>
      <c r="G71" s="10" t="s">
        <v>1016</v>
      </c>
      <c r="H71" t="s">
        <v>36</v>
      </c>
    </row>
    <row r="72" spans="1:8" x14ac:dyDescent="0.3">
      <c r="A72" t="s">
        <v>49</v>
      </c>
      <c r="B72" s="2">
        <v>46204</v>
      </c>
      <c r="C72" s="10">
        <v>30</v>
      </c>
      <c r="D72" t="s">
        <v>1019</v>
      </c>
      <c r="E72" t="s">
        <v>927</v>
      </c>
      <c r="F72" t="s">
        <v>33</v>
      </c>
      <c r="G72" s="10" t="s">
        <v>1015</v>
      </c>
      <c r="H72" t="s">
        <v>36</v>
      </c>
    </row>
    <row r="73" spans="1:8" x14ac:dyDescent="0.3">
      <c r="A73" t="s">
        <v>49</v>
      </c>
      <c r="B73" s="2">
        <v>46235</v>
      </c>
      <c r="C73" s="10"/>
    </row>
    <row r="74" spans="1:8" x14ac:dyDescent="0.3">
      <c r="A74" t="s">
        <v>64</v>
      </c>
      <c r="B74" s="2">
        <v>45536</v>
      </c>
      <c r="C74" s="10"/>
    </row>
    <row r="75" spans="1:8" x14ac:dyDescent="0.3">
      <c r="A75" t="s">
        <v>64</v>
      </c>
      <c r="B75" s="2">
        <v>45566</v>
      </c>
      <c r="C75" s="10"/>
    </row>
    <row r="76" spans="1:8" x14ac:dyDescent="0.3">
      <c r="A76" t="s">
        <v>64</v>
      </c>
      <c r="B76" s="2">
        <v>45597</v>
      </c>
      <c r="C76" s="10"/>
    </row>
    <row r="77" spans="1:8" x14ac:dyDescent="0.3">
      <c r="A77" t="s">
        <v>64</v>
      </c>
      <c r="B77" s="2">
        <v>45627</v>
      </c>
      <c r="C77" s="10"/>
    </row>
    <row r="78" spans="1:8" x14ac:dyDescent="0.3">
      <c r="A78" t="s">
        <v>64</v>
      </c>
      <c r="B78" s="2">
        <v>45658</v>
      </c>
      <c r="C78" s="10"/>
    </row>
    <row r="79" spans="1:8" ht="28.95" customHeight="1" x14ac:dyDescent="0.3">
      <c r="A79" t="s">
        <v>64</v>
      </c>
      <c r="B79" s="2">
        <v>45689</v>
      </c>
      <c r="C79" s="10" t="s">
        <v>303</v>
      </c>
    </row>
    <row r="80" spans="1:8" ht="28.95" customHeight="1" x14ac:dyDescent="0.3">
      <c r="A80" t="s">
        <v>64</v>
      </c>
      <c r="B80" s="2">
        <v>45717</v>
      </c>
      <c r="C80" s="10" t="s">
        <v>304</v>
      </c>
    </row>
    <row r="81" spans="1:8" x14ac:dyDescent="0.3">
      <c r="A81" t="s">
        <v>64</v>
      </c>
      <c r="B81" s="2">
        <v>45748</v>
      </c>
      <c r="C81" s="10" t="s">
        <v>305</v>
      </c>
    </row>
    <row r="82" spans="1:8" ht="43.2" customHeight="1" x14ac:dyDescent="0.3">
      <c r="A82" t="s">
        <v>64</v>
      </c>
      <c r="B82" s="2">
        <v>45778</v>
      </c>
      <c r="C82" s="10" t="s">
        <v>306</v>
      </c>
    </row>
    <row r="83" spans="1:8" ht="57.6" customHeight="1" x14ac:dyDescent="0.3">
      <c r="A83" t="s">
        <v>64</v>
      </c>
      <c r="B83" s="2">
        <v>45809</v>
      </c>
      <c r="C83" s="10" t="s">
        <v>307</v>
      </c>
    </row>
    <row r="84" spans="1:8" ht="43.2" customHeight="1" x14ac:dyDescent="0.3">
      <c r="A84" t="s">
        <v>64</v>
      </c>
      <c r="B84" s="2">
        <v>45839</v>
      </c>
      <c r="C84" s="10" t="s">
        <v>308</v>
      </c>
    </row>
    <row r="85" spans="1:8" ht="72" customHeight="1" x14ac:dyDescent="0.3">
      <c r="A85" t="s">
        <v>64</v>
      </c>
      <c r="B85" s="2">
        <v>45870</v>
      </c>
      <c r="C85" s="10" t="s">
        <v>309</v>
      </c>
    </row>
    <row r="86" spans="1:8" ht="43.2" customHeight="1" x14ac:dyDescent="0.3">
      <c r="A86" t="s">
        <v>64</v>
      </c>
      <c r="B86" s="2">
        <v>45901</v>
      </c>
      <c r="C86" s="10" t="s">
        <v>310</v>
      </c>
    </row>
    <row r="87" spans="1:8" ht="43.2" customHeight="1" x14ac:dyDescent="0.3">
      <c r="A87" t="s">
        <v>64</v>
      </c>
      <c r="B87" s="2">
        <v>45931</v>
      </c>
      <c r="C87" s="10" t="s">
        <v>311</v>
      </c>
    </row>
    <row r="88" spans="1:8" ht="43.2" customHeight="1" x14ac:dyDescent="0.3">
      <c r="A88" t="s">
        <v>64</v>
      </c>
      <c r="B88" s="2">
        <v>45962</v>
      </c>
      <c r="C88" s="10" t="s">
        <v>312</v>
      </c>
    </row>
    <row r="89" spans="1:8" ht="28.8" x14ac:dyDescent="0.3">
      <c r="A89" t="s">
        <v>64</v>
      </c>
      <c r="B89" s="2">
        <v>45992</v>
      </c>
      <c r="C89" s="10" t="s">
        <v>313</v>
      </c>
    </row>
    <row r="90" spans="1:8" ht="28.8" x14ac:dyDescent="0.3">
      <c r="A90" t="s">
        <v>64</v>
      </c>
      <c r="B90" s="2">
        <v>46023</v>
      </c>
      <c r="C90" s="10" t="s">
        <v>313</v>
      </c>
    </row>
    <row r="91" spans="1:8" ht="43.2" x14ac:dyDescent="0.3">
      <c r="A91" t="s">
        <v>64</v>
      </c>
      <c r="B91" s="2">
        <v>46054</v>
      </c>
      <c r="C91" s="10" t="s">
        <v>314</v>
      </c>
    </row>
    <row r="92" spans="1:8" x14ac:dyDescent="0.3">
      <c r="A92" t="s">
        <v>64</v>
      </c>
      <c r="B92" s="2">
        <v>46082</v>
      </c>
      <c r="C92" s="10" t="s">
        <v>300</v>
      </c>
    </row>
    <row r="93" spans="1:8" x14ac:dyDescent="0.3">
      <c r="A93" t="s">
        <v>64</v>
      </c>
      <c r="B93" s="2">
        <v>46113</v>
      </c>
      <c r="C93" s="10" t="s">
        <v>300</v>
      </c>
    </row>
    <row r="94" spans="1:8" x14ac:dyDescent="0.3">
      <c r="A94" t="s">
        <v>64</v>
      </c>
      <c r="B94" s="2">
        <v>46143</v>
      </c>
      <c r="C94" s="10" t="s">
        <v>852</v>
      </c>
    </row>
    <row r="95" spans="1:8" x14ac:dyDescent="0.3">
      <c r="A95" t="s">
        <v>250</v>
      </c>
      <c r="B95" s="2">
        <v>46204</v>
      </c>
      <c r="C95">
        <v>31</v>
      </c>
      <c r="D95">
        <v>0</v>
      </c>
      <c r="E95" t="s">
        <v>33</v>
      </c>
      <c r="F95" t="s">
        <v>33</v>
      </c>
      <c r="G95" t="s">
        <v>959</v>
      </c>
      <c r="H95" t="s">
        <v>36</v>
      </c>
    </row>
    <row r="96" spans="1:8" x14ac:dyDescent="0.3">
      <c r="A96" t="s">
        <v>250</v>
      </c>
      <c r="B96" s="2">
        <v>46174</v>
      </c>
      <c r="C96" t="s">
        <v>919</v>
      </c>
      <c r="D96">
        <v>0</v>
      </c>
      <c r="E96" t="s">
        <v>33</v>
      </c>
      <c r="F96" t="s">
        <v>33</v>
      </c>
      <c r="G96" s="10" t="s">
        <v>996</v>
      </c>
      <c r="H96" t="s">
        <v>36</v>
      </c>
    </row>
    <row r="97" spans="1:3" x14ac:dyDescent="0.3">
      <c r="A97" t="s">
        <v>64</v>
      </c>
      <c r="B97" s="2">
        <v>46235</v>
      </c>
      <c r="C97" s="10"/>
    </row>
    <row r="98" spans="1:3" ht="28.8" x14ac:dyDescent="0.3">
      <c r="A98" t="s">
        <v>55</v>
      </c>
      <c r="B98" s="2">
        <v>45536</v>
      </c>
      <c r="C98" s="10" t="s">
        <v>315</v>
      </c>
    </row>
    <row r="99" spans="1:3" x14ac:dyDescent="0.3">
      <c r="A99" t="s">
        <v>55</v>
      </c>
      <c r="B99" s="2">
        <v>45566</v>
      </c>
      <c r="C99" s="10"/>
    </row>
    <row r="100" spans="1:3" x14ac:dyDescent="0.3">
      <c r="A100" t="s">
        <v>55</v>
      </c>
      <c r="B100" s="2">
        <v>45597</v>
      </c>
      <c r="C100" s="10"/>
    </row>
    <row r="101" spans="1:3" x14ac:dyDescent="0.3">
      <c r="A101" t="s">
        <v>55</v>
      </c>
      <c r="B101" s="2">
        <v>45627</v>
      </c>
      <c r="C101" s="10"/>
    </row>
    <row r="102" spans="1:3" x14ac:dyDescent="0.3">
      <c r="A102" t="s">
        <v>55</v>
      </c>
      <c r="B102" s="2">
        <v>45658</v>
      </c>
      <c r="C102" s="10"/>
    </row>
    <row r="103" spans="1:3" ht="72" customHeight="1" x14ac:dyDescent="0.3">
      <c r="A103" t="s">
        <v>55</v>
      </c>
      <c r="B103" s="2">
        <v>45689</v>
      </c>
      <c r="C103" s="10" t="s">
        <v>316</v>
      </c>
    </row>
    <row r="104" spans="1:3" ht="86.4" customHeight="1" x14ac:dyDescent="0.3">
      <c r="A104" t="s">
        <v>55</v>
      </c>
      <c r="B104" s="2">
        <v>45717</v>
      </c>
      <c r="C104" s="10" t="s">
        <v>317</v>
      </c>
    </row>
    <row r="105" spans="1:3" ht="72" customHeight="1" x14ac:dyDescent="0.3">
      <c r="A105" t="s">
        <v>55</v>
      </c>
      <c r="B105" s="2">
        <v>45748</v>
      </c>
      <c r="C105" s="10" t="s">
        <v>318</v>
      </c>
    </row>
    <row r="106" spans="1:3" ht="72" customHeight="1" x14ac:dyDescent="0.3">
      <c r="A106" t="s">
        <v>55</v>
      </c>
      <c r="B106" s="2">
        <v>45778</v>
      </c>
      <c r="C106" s="10" t="s">
        <v>319</v>
      </c>
    </row>
    <row r="107" spans="1:3" ht="57.6" customHeight="1" x14ac:dyDescent="0.3">
      <c r="A107" t="s">
        <v>55</v>
      </c>
      <c r="B107" s="2">
        <v>45809</v>
      </c>
      <c r="C107" s="10" t="s">
        <v>320</v>
      </c>
    </row>
    <row r="108" spans="1:3" ht="72" customHeight="1" x14ac:dyDescent="0.3">
      <c r="A108" t="s">
        <v>55</v>
      </c>
      <c r="B108" s="2">
        <v>45839</v>
      </c>
      <c r="C108" s="10" t="s">
        <v>321</v>
      </c>
    </row>
    <row r="109" spans="1:3" ht="57.6" customHeight="1" x14ac:dyDescent="0.3">
      <c r="A109" t="s">
        <v>55</v>
      </c>
      <c r="B109" s="2">
        <v>45870</v>
      </c>
      <c r="C109" s="10" t="s">
        <v>322</v>
      </c>
    </row>
    <row r="110" spans="1:3" ht="72" customHeight="1" x14ac:dyDescent="0.3">
      <c r="A110" t="s">
        <v>55</v>
      </c>
      <c r="B110" s="2">
        <v>45901</v>
      </c>
      <c r="C110" s="10" t="s">
        <v>323</v>
      </c>
    </row>
    <row r="111" spans="1:3" ht="86.4" customHeight="1" x14ac:dyDescent="0.3">
      <c r="A111" t="s">
        <v>55</v>
      </c>
      <c r="B111" s="2">
        <v>45931</v>
      </c>
      <c r="C111" s="10" t="s">
        <v>324</v>
      </c>
    </row>
    <row r="112" spans="1:3" ht="57.6" customHeight="1" x14ac:dyDescent="0.3">
      <c r="A112" t="s">
        <v>55</v>
      </c>
      <c r="B112" s="2">
        <v>45962</v>
      </c>
      <c r="C112" s="10" t="s">
        <v>325</v>
      </c>
    </row>
    <row r="113" spans="1:8" x14ac:dyDescent="0.3">
      <c r="A113" t="s">
        <v>55</v>
      </c>
      <c r="B113" s="2">
        <v>45992</v>
      </c>
      <c r="C113" s="10" t="s">
        <v>326</v>
      </c>
    </row>
    <row r="114" spans="1:8" ht="28.8" x14ac:dyDescent="0.3">
      <c r="A114" t="s">
        <v>55</v>
      </c>
      <c r="B114" s="2">
        <v>46023</v>
      </c>
      <c r="C114" s="10" t="s">
        <v>327</v>
      </c>
    </row>
    <row r="115" spans="1:8" ht="43.2" x14ac:dyDescent="0.3">
      <c r="A115" t="s">
        <v>55</v>
      </c>
      <c r="B115" s="2">
        <v>46054</v>
      </c>
      <c r="C115" s="10" t="s">
        <v>314</v>
      </c>
    </row>
    <row r="116" spans="1:8" x14ac:dyDescent="0.3">
      <c r="A116" t="s">
        <v>55</v>
      </c>
      <c r="B116" s="2">
        <v>46082</v>
      </c>
      <c r="C116" s="10" t="s">
        <v>300</v>
      </c>
    </row>
    <row r="117" spans="1:8" x14ac:dyDescent="0.3">
      <c r="A117" t="s">
        <v>55</v>
      </c>
      <c r="B117" s="2">
        <v>46113</v>
      </c>
      <c r="C117" s="10" t="s">
        <v>300</v>
      </c>
    </row>
    <row r="118" spans="1:8" x14ac:dyDescent="0.3">
      <c r="A118" t="s">
        <v>55</v>
      </c>
      <c r="B118" s="2">
        <v>46143</v>
      </c>
      <c r="C118" s="10" t="s">
        <v>852</v>
      </c>
    </row>
    <row r="119" spans="1:8" x14ac:dyDescent="0.3">
      <c r="A119" t="s">
        <v>55</v>
      </c>
      <c r="B119" s="2">
        <v>46174</v>
      </c>
      <c r="C119" s="10"/>
    </row>
    <row r="120" spans="1:8" x14ac:dyDescent="0.3">
      <c r="A120" t="s">
        <v>55</v>
      </c>
      <c r="B120" s="2">
        <v>46204</v>
      </c>
      <c r="C120" s="10">
        <v>31</v>
      </c>
      <c r="D120">
        <v>0</v>
      </c>
      <c r="E120" t="s">
        <v>33</v>
      </c>
      <c r="F120" t="s">
        <v>33</v>
      </c>
      <c r="G120" s="10" t="s">
        <v>932</v>
      </c>
      <c r="H120" t="s">
        <v>36</v>
      </c>
    </row>
    <row r="121" spans="1:8" x14ac:dyDescent="0.3">
      <c r="A121" t="s">
        <v>55</v>
      </c>
      <c r="B121" s="2">
        <v>46235</v>
      </c>
      <c r="C121" s="10"/>
    </row>
    <row r="122" spans="1:8" x14ac:dyDescent="0.3">
      <c r="A122" t="s">
        <v>60</v>
      </c>
      <c r="B122" s="2">
        <v>45536</v>
      </c>
      <c r="C122" s="10"/>
    </row>
    <row r="123" spans="1:8" x14ac:dyDescent="0.3">
      <c r="A123" t="s">
        <v>60</v>
      </c>
      <c r="B123" s="2">
        <v>45566</v>
      </c>
      <c r="C123" s="10"/>
    </row>
    <row r="124" spans="1:8" x14ac:dyDescent="0.3">
      <c r="A124" t="s">
        <v>60</v>
      </c>
      <c r="B124" s="2">
        <v>45597</v>
      </c>
      <c r="C124" s="10"/>
    </row>
    <row r="125" spans="1:8" x14ac:dyDescent="0.3">
      <c r="A125" t="s">
        <v>60</v>
      </c>
      <c r="B125" s="2">
        <v>45627</v>
      </c>
      <c r="C125" s="10"/>
    </row>
    <row r="126" spans="1:8" x14ac:dyDescent="0.3">
      <c r="A126" t="s">
        <v>60</v>
      </c>
      <c r="B126" s="2">
        <v>45658</v>
      </c>
      <c r="C126" s="10"/>
    </row>
    <row r="127" spans="1:8" ht="28.95" customHeight="1" x14ac:dyDescent="0.3">
      <c r="A127" t="s">
        <v>60</v>
      </c>
      <c r="B127" s="2">
        <v>45689</v>
      </c>
      <c r="C127" s="10" t="s">
        <v>328</v>
      </c>
    </row>
    <row r="128" spans="1:8" ht="57.6" customHeight="1" x14ac:dyDescent="0.3">
      <c r="A128" t="s">
        <v>60</v>
      </c>
      <c r="B128" s="2">
        <v>45717</v>
      </c>
      <c r="C128" s="10" t="s">
        <v>329</v>
      </c>
    </row>
    <row r="129" spans="1:8" ht="86.4" customHeight="1" x14ac:dyDescent="0.3">
      <c r="A129" t="s">
        <v>60</v>
      </c>
      <c r="B129" s="2">
        <v>45748</v>
      </c>
      <c r="C129" s="10" t="s">
        <v>330</v>
      </c>
    </row>
    <row r="130" spans="1:8" ht="72" customHeight="1" x14ac:dyDescent="0.3">
      <c r="A130" t="s">
        <v>60</v>
      </c>
      <c r="B130" s="2">
        <v>45778</v>
      </c>
      <c r="C130" s="10" t="s">
        <v>331</v>
      </c>
    </row>
    <row r="131" spans="1:8" ht="72" customHeight="1" x14ac:dyDescent="0.3">
      <c r="A131" t="s">
        <v>60</v>
      </c>
      <c r="B131" s="2">
        <v>45809</v>
      </c>
      <c r="C131" s="10" t="s">
        <v>332</v>
      </c>
    </row>
    <row r="132" spans="1:8" ht="72" customHeight="1" x14ac:dyDescent="0.3">
      <c r="A132" t="s">
        <v>60</v>
      </c>
      <c r="B132" s="2">
        <v>45839</v>
      </c>
      <c r="C132" s="10" t="s">
        <v>333</v>
      </c>
    </row>
    <row r="133" spans="1:8" ht="72" customHeight="1" x14ac:dyDescent="0.3">
      <c r="A133" t="s">
        <v>60</v>
      </c>
      <c r="B133" s="2">
        <v>45870</v>
      </c>
      <c r="C133" s="10" t="s">
        <v>334</v>
      </c>
    </row>
    <row r="134" spans="1:8" ht="57.6" customHeight="1" x14ac:dyDescent="0.3">
      <c r="A134" t="s">
        <v>60</v>
      </c>
      <c r="B134" s="2">
        <v>45901</v>
      </c>
      <c r="C134" s="10" t="s">
        <v>335</v>
      </c>
    </row>
    <row r="135" spans="1:8" ht="57.6" customHeight="1" x14ac:dyDescent="0.3">
      <c r="A135" t="s">
        <v>60</v>
      </c>
      <c r="B135" s="2">
        <v>45931</v>
      </c>
      <c r="C135" s="10" t="s">
        <v>336</v>
      </c>
    </row>
    <row r="136" spans="1:8" ht="57.6" customHeight="1" x14ac:dyDescent="0.3">
      <c r="A136" t="s">
        <v>60</v>
      </c>
      <c r="B136" s="2">
        <v>45962</v>
      </c>
      <c r="C136" s="10" t="s">
        <v>337</v>
      </c>
    </row>
    <row r="137" spans="1:8" x14ac:dyDescent="0.3">
      <c r="A137" t="s">
        <v>60</v>
      </c>
      <c r="B137" s="2">
        <v>45992</v>
      </c>
      <c r="C137" s="10" t="s">
        <v>326</v>
      </c>
    </row>
    <row r="138" spans="1:8" x14ac:dyDescent="0.3">
      <c r="A138" t="s">
        <v>60</v>
      </c>
      <c r="B138" s="2">
        <v>46023</v>
      </c>
      <c r="C138" s="10" t="s">
        <v>338</v>
      </c>
    </row>
    <row r="139" spans="1:8" x14ac:dyDescent="0.3">
      <c r="A139" t="s">
        <v>60</v>
      </c>
      <c r="B139" s="2">
        <v>46054</v>
      </c>
      <c r="C139" s="10" t="s">
        <v>326</v>
      </c>
    </row>
    <row r="140" spans="1:8" x14ac:dyDescent="0.3">
      <c r="A140" t="s">
        <v>60</v>
      </c>
      <c r="B140" s="2">
        <v>46082</v>
      </c>
      <c r="C140" s="10" t="s">
        <v>339</v>
      </c>
    </row>
    <row r="141" spans="1:8" x14ac:dyDescent="0.3">
      <c r="A141" t="s">
        <v>60</v>
      </c>
      <c r="B141" s="2">
        <v>46113</v>
      </c>
      <c r="C141" s="10" t="s">
        <v>339</v>
      </c>
    </row>
    <row r="142" spans="1:8" x14ac:dyDescent="0.3">
      <c r="A142" t="s">
        <v>60</v>
      </c>
      <c r="B142" s="2">
        <v>46143</v>
      </c>
      <c r="C142" s="10" t="s">
        <v>868</v>
      </c>
    </row>
    <row r="143" spans="1:8" x14ac:dyDescent="0.3">
      <c r="A143" t="s">
        <v>60</v>
      </c>
      <c r="B143" s="2">
        <v>46174</v>
      </c>
      <c r="C143" s="10"/>
    </row>
    <row r="144" spans="1:8" x14ac:dyDescent="0.3">
      <c r="A144" t="s">
        <v>60</v>
      </c>
      <c r="B144" s="2">
        <v>46204</v>
      </c>
      <c r="C144" s="10">
        <v>31</v>
      </c>
      <c r="D144">
        <v>0</v>
      </c>
      <c r="E144" t="s">
        <v>33</v>
      </c>
      <c r="F144" t="s">
        <v>33</v>
      </c>
      <c r="G144" t="s">
        <v>1014</v>
      </c>
      <c r="H144" t="s">
        <v>36</v>
      </c>
    </row>
    <row r="145" spans="1:3" x14ac:dyDescent="0.3">
      <c r="A145" t="s">
        <v>60</v>
      </c>
      <c r="B145" s="2">
        <v>46235</v>
      </c>
      <c r="C145" s="10"/>
    </row>
    <row r="146" spans="1:3" x14ac:dyDescent="0.3">
      <c r="A146" t="s">
        <v>61</v>
      </c>
      <c r="B146" s="2">
        <v>45536</v>
      </c>
      <c r="C146" s="10"/>
    </row>
    <row r="147" spans="1:3" x14ac:dyDescent="0.3">
      <c r="A147" t="s">
        <v>61</v>
      </c>
      <c r="B147" s="2">
        <v>45566</v>
      </c>
      <c r="C147" s="10"/>
    </row>
    <row r="148" spans="1:3" x14ac:dyDescent="0.3">
      <c r="A148" t="s">
        <v>61</v>
      </c>
      <c r="B148" s="2">
        <v>45597</v>
      </c>
      <c r="C148" s="10"/>
    </row>
    <row r="149" spans="1:3" x14ac:dyDescent="0.3">
      <c r="A149" t="s">
        <v>61</v>
      </c>
      <c r="B149" s="2">
        <v>45627</v>
      </c>
      <c r="C149" s="10"/>
    </row>
    <row r="150" spans="1:3" x14ac:dyDescent="0.3">
      <c r="A150" t="s">
        <v>61</v>
      </c>
      <c r="B150" s="2">
        <v>45658</v>
      </c>
      <c r="C150" s="10"/>
    </row>
    <row r="151" spans="1:3" ht="43.2" customHeight="1" x14ac:dyDescent="0.3">
      <c r="A151" t="s">
        <v>61</v>
      </c>
      <c r="B151" s="2">
        <v>45689</v>
      </c>
      <c r="C151" s="10" t="s">
        <v>340</v>
      </c>
    </row>
    <row r="152" spans="1:3" ht="57.6" customHeight="1" x14ac:dyDescent="0.3">
      <c r="A152" t="s">
        <v>61</v>
      </c>
      <c r="B152" s="2">
        <v>45717</v>
      </c>
      <c r="C152" s="10" t="s">
        <v>341</v>
      </c>
    </row>
    <row r="153" spans="1:3" ht="28.95" customHeight="1" x14ac:dyDescent="0.3">
      <c r="A153" t="s">
        <v>61</v>
      </c>
      <c r="B153" s="2">
        <v>45748</v>
      </c>
      <c r="C153" s="10" t="s">
        <v>342</v>
      </c>
    </row>
    <row r="154" spans="1:3" ht="57.6" customHeight="1" x14ac:dyDescent="0.3">
      <c r="A154" t="s">
        <v>61</v>
      </c>
      <c r="B154" s="2">
        <v>45778</v>
      </c>
      <c r="C154" s="10" t="s">
        <v>343</v>
      </c>
    </row>
    <row r="155" spans="1:3" ht="72" customHeight="1" x14ac:dyDescent="0.3">
      <c r="A155" t="s">
        <v>61</v>
      </c>
      <c r="B155" s="2">
        <v>45809</v>
      </c>
      <c r="C155" s="10" t="s">
        <v>344</v>
      </c>
    </row>
    <row r="156" spans="1:3" ht="57.6" customHeight="1" x14ac:dyDescent="0.3">
      <c r="A156" t="s">
        <v>61</v>
      </c>
      <c r="B156" s="2">
        <v>45839</v>
      </c>
      <c r="C156" s="10" t="s">
        <v>345</v>
      </c>
    </row>
    <row r="157" spans="1:3" ht="72" customHeight="1" x14ac:dyDescent="0.3">
      <c r="A157" t="s">
        <v>61</v>
      </c>
      <c r="B157" s="2">
        <v>45870</v>
      </c>
      <c r="C157" s="10" t="s">
        <v>346</v>
      </c>
    </row>
    <row r="158" spans="1:3" ht="57.6" customHeight="1" x14ac:dyDescent="0.3">
      <c r="A158" t="s">
        <v>61</v>
      </c>
      <c r="B158" s="2">
        <v>45901</v>
      </c>
      <c r="C158" s="10" t="s">
        <v>347</v>
      </c>
    </row>
    <row r="159" spans="1:3" ht="57.6" customHeight="1" x14ac:dyDescent="0.3">
      <c r="A159" t="s">
        <v>61</v>
      </c>
      <c r="B159" s="2">
        <v>45931</v>
      </c>
      <c r="C159" s="10" t="s">
        <v>348</v>
      </c>
    </row>
    <row r="160" spans="1:3" ht="57.6" customHeight="1" x14ac:dyDescent="0.3">
      <c r="A160" t="s">
        <v>61</v>
      </c>
      <c r="B160" s="2">
        <v>45962</v>
      </c>
      <c r="C160" s="10" t="s">
        <v>349</v>
      </c>
    </row>
    <row r="161" spans="1:8" x14ac:dyDescent="0.3">
      <c r="A161" t="s">
        <v>61</v>
      </c>
      <c r="B161" s="2">
        <v>45992</v>
      </c>
      <c r="C161" s="10" t="s">
        <v>326</v>
      </c>
    </row>
    <row r="162" spans="1:8" x14ac:dyDescent="0.3">
      <c r="A162" t="s">
        <v>61</v>
      </c>
      <c r="B162" s="2">
        <v>46023</v>
      </c>
      <c r="C162" s="10" t="s">
        <v>338</v>
      </c>
    </row>
    <row r="163" spans="1:8" ht="43.2" x14ac:dyDescent="0.3">
      <c r="A163" t="s">
        <v>61</v>
      </c>
      <c r="B163" s="2">
        <v>46054</v>
      </c>
      <c r="C163" s="10" t="s">
        <v>314</v>
      </c>
    </row>
    <row r="164" spans="1:8" x14ac:dyDescent="0.3">
      <c r="A164" t="s">
        <v>61</v>
      </c>
      <c r="B164" s="2">
        <v>46082</v>
      </c>
      <c r="C164" s="10" t="s">
        <v>338</v>
      </c>
    </row>
    <row r="165" spans="1:8" x14ac:dyDescent="0.3">
      <c r="A165" t="s">
        <v>61</v>
      </c>
      <c r="B165" s="2">
        <v>46113</v>
      </c>
      <c r="C165" s="10" t="s">
        <v>302</v>
      </c>
    </row>
    <row r="166" spans="1:8" x14ac:dyDescent="0.3">
      <c r="A166" t="s">
        <v>61</v>
      </c>
      <c r="B166" s="2">
        <v>46143</v>
      </c>
      <c r="C166" s="10" t="s">
        <v>302</v>
      </c>
    </row>
    <row r="167" spans="1:8" x14ac:dyDescent="0.3">
      <c r="A167" t="s">
        <v>61</v>
      </c>
      <c r="B167" s="2">
        <v>46174</v>
      </c>
      <c r="C167" s="10"/>
    </row>
    <row r="168" spans="1:8" x14ac:dyDescent="0.3">
      <c r="A168" t="s">
        <v>61</v>
      </c>
      <c r="B168" s="2">
        <v>46204</v>
      </c>
      <c r="C168" s="10">
        <v>31</v>
      </c>
      <c r="D168">
        <v>0</v>
      </c>
      <c r="E168" t="s">
        <v>33</v>
      </c>
      <c r="F168" t="s">
        <v>33</v>
      </c>
      <c r="G168" t="s">
        <v>1014</v>
      </c>
      <c r="H168" t="s">
        <v>36</v>
      </c>
    </row>
    <row r="169" spans="1:8" x14ac:dyDescent="0.3">
      <c r="A169" t="s">
        <v>61</v>
      </c>
      <c r="B169" s="2">
        <v>46235</v>
      </c>
      <c r="C169" s="10"/>
    </row>
    <row r="170" spans="1:8" x14ac:dyDescent="0.3">
      <c r="A170" t="s">
        <v>66</v>
      </c>
      <c r="B170" s="2">
        <v>45536</v>
      </c>
      <c r="C170" s="10"/>
    </row>
    <row r="171" spans="1:8" x14ac:dyDescent="0.3">
      <c r="A171" t="s">
        <v>66</v>
      </c>
      <c r="B171" s="2">
        <v>45566</v>
      </c>
      <c r="C171" s="10"/>
    </row>
    <row r="172" spans="1:8" x14ac:dyDescent="0.3">
      <c r="A172" t="s">
        <v>66</v>
      </c>
      <c r="B172" s="2">
        <v>45597</v>
      </c>
      <c r="C172" s="10"/>
    </row>
    <row r="173" spans="1:8" x14ac:dyDescent="0.3">
      <c r="A173" t="s">
        <v>66</v>
      </c>
      <c r="B173" s="2">
        <v>45627</v>
      </c>
      <c r="C173" s="10"/>
    </row>
    <row r="174" spans="1:8" x14ac:dyDescent="0.3">
      <c r="A174" t="s">
        <v>66</v>
      </c>
      <c r="B174" s="2">
        <v>45658</v>
      </c>
      <c r="C174" s="10"/>
    </row>
    <row r="175" spans="1:8" ht="28.95" customHeight="1" x14ac:dyDescent="0.3">
      <c r="A175" t="s">
        <v>66</v>
      </c>
      <c r="B175" s="2">
        <v>45689</v>
      </c>
      <c r="C175" s="10" t="s">
        <v>350</v>
      </c>
    </row>
    <row r="176" spans="1:8" ht="28.95" customHeight="1" x14ac:dyDescent="0.3">
      <c r="A176" t="s">
        <v>66</v>
      </c>
      <c r="B176" s="2">
        <v>45717</v>
      </c>
      <c r="C176" s="10" t="s">
        <v>350</v>
      </c>
    </row>
    <row r="177" spans="1:8" ht="28.95" customHeight="1" x14ac:dyDescent="0.3">
      <c r="A177" t="s">
        <v>66</v>
      </c>
      <c r="B177" s="2">
        <v>45748</v>
      </c>
      <c r="C177" s="10" t="s">
        <v>350</v>
      </c>
    </row>
    <row r="178" spans="1:8" ht="28.95" customHeight="1" x14ac:dyDescent="0.3">
      <c r="A178" t="s">
        <v>66</v>
      </c>
      <c r="B178" s="2">
        <v>45778</v>
      </c>
      <c r="C178" s="10" t="s">
        <v>350</v>
      </c>
    </row>
    <row r="179" spans="1:8" ht="28.95" customHeight="1" x14ac:dyDescent="0.3">
      <c r="A179" t="s">
        <v>66</v>
      </c>
      <c r="B179" s="2">
        <v>45809</v>
      </c>
      <c r="C179" s="10" t="s">
        <v>350</v>
      </c>
    </row>
    <row r="180" spans="1:8" ht="28.95" customHeight="1" x14ac:dyDescent="0.3">
      <c r="A180" t="s">
        <v>66</v>
      </c>
      <c r="B180" s="2">
        <v>45839</v>
      </c>
      <c r="C180" s="10" t="s">
        <v>350</v>
      </c>
    </row>
    <row r="181" spans="1:8" ht="28.95" customHeight="1" x14ac:dyDescent="0.3">
      <c r="A181" t="s">
        <v>66</v>
      </c>
      <c r="B181" s="2">
        <v>45870</v>
      </c>
      <c r="C181" s="10" t="s">
        <v>350</v>
      </c>
    </row>
    <row r="182" spans="1:8" ht="28.95" customHeight="1" x14ac:dyDescent="0.3">
      <c r="A182" t="s">
        <v>66</v>
      </c>
      <c r="B182" s="2">
        <v>45901</v>
      </c>
      <c r="C182" s="10" t="s">
        <v>351</v>
      </c>
    </row>
    <row r="183" spans="1:8" ht="43.2" customHeight="1" x14ac:dyDescent="0.3">
      <c r="A183" t="s">
        <v>66</v>
      </c>
      <c r="B183" s="2">
        <v>45931</v>
      </c>
      <c r="C183" s="10" t="s">
        <v>352</v>
      </c>
    </row>
    <row r="184" spans="1:8" x14ac:dyDescent="0.3">
      <c r="A184" t="s">
        <v>66</v>
      </c>
      <c r="B184" s="2">
        <v>45962</v>
      </c>
      <c r="C184" s="10" t="s">
        <v>353</v>
      </c>
    </row>
    <row r="185" spans="1:8" x14ac:dyDescent="0.3">
      <c r="A185" t="s">
        <v>66</v>
      </c>
      <c r="B185" s="2">
        <v>45992</v>
      </c>
      <c r="C185" s="10" t="s">
        <v>353</v>
      </c>
    </row>
    <row r="186" spans="1:8" x14ac:dyDescent="0.3">
      <c r="A186" t="s">
        <v>66</v>
      </c>
      <c r="B186" s="2">
        <v>46023</v>
      </c>
      <c r="C186" s="10" t="s">
        <v>353</v>
      </c>
    </row>
    <row r="187" spans="1:8" x14ac:dyDescent="0.3">
      <c r="A187" t="s">
        <v>66</v>
      </c>
      <c r="B187" s="2">
        <v>46054</v>
      </c>
      <c r="C187" s="10" t="s">
        <v>353</v>
      </c>
    </row>
    <row r="188" spans="1:8" x14ac:dyDescent="0.3">
      <c r="A188" t="s">
        <v>66</v>
      </c>
      <c r="B188" s="2">
        <v>46082</v>
      </c>
      <c r="C188" s="10" t="s">
        <v>353</v>
      </c>
    </row>
    <row r="189" spans="1:8" x14ac:dyDescent="0.3">
      <c r="A189" t="s">
        <v>66</v>
      </c>
      <c r="B189" s="2">
        <v>46113</v>
      </c>
      <c r="C189" s="10" t="s">
        <v>353</v>
      </c>
    </row>
    <row r="190" spans="1:8" x14ac:dyDescent="0.3">
      <c r="A190" t="s">
        <v>66</v>
      </c>
      <c r="B190" s="2">
        <v>46143</v>
      </c>
      <c r="C190" s="10" t="s">
        <v>853</v>
      </c>
    </row>
    <row r="191" spans="1:8" x14ac:dyDescent="0.3">
      <c r="A191" t="s">
        <v>64</v>
      </c>
      <c r="B191" s="2">
        <v>46174</v>
      </c>
      <c r="C191" s="10"/>
    </row>
    <row r="192" spans="1:8" ht="27.6" customHeight="1" x14ac:dyDescent="0.3">
      <c r="A192" t="s">
        <v>64</v>
      </c>
      <c r="B192" s="2">
        <v>46204</v>
      </c>
      <c r="C192" s="10">
        <v>31</v>
      </c>
      <c r="D192">
        <v>0</v>
      </c>
      <c r="E192" t="s">
        <v>33</v>
      </c>
      <c r="F192" t="s">
        <v>33</v>
      </c>
      <c r="G192" s="10" t="s">
        <v>932</v>
      </c>
      <c r="H192" t="s">
        <v>36</v>
      </c>
    </row>
    <row r="193" spans="1:3" x14ac:dyDescent="0.3">
      <c r="A193" t="s">
        <v>66</v>
      </c>
      <c r="B193" s="2">
        <v>46235</v>
      </c>
      <c r="C193" s="10"/>
    </row>
    <row r="194" spans="1:3" x14ac:dyDescent="0.3">
      <c r="A194" t="s">
        <v>71</v>
      </c>
      <c r="B194" s="2">
        <v>45536</v>
      </c>
      <c r="C194" s="10"/>
    </row>
    <row r="195" spans="1:3" x14ac:dyDescent="0.3">
      <c r="A195" t="s">
        <v>71</v>
      </c>
      <c r="B195" s="2">
        <v>45566</v>
      </c>
      <c r="C195" s="10"/>
    </row>
    <row r="196" spans="1:3" x14ac:dyDescent="0.3">
      <c r="A196" t="s">
        <v>71</v>
      </c>
      <c r="B196" s="2">
        <v>45597</v>
      </c>
      <c r="C196" s="10"/>
    </row>
    <row r="197" spans="1:3" x14ac:dyDescent="0.3">
      <c r="A197" t="s">
        <v>71</v>
      </c>
      <c r="B197" s="2">
        <v>45627</v>
      </c>
      <c r="C197" s="10"/>
    </row>
    <row r="198" spans="1:3" x14ac:dyDescent="0.3">
      <c r="A198" t="s">
        <v>71</v>
      </c>
      <c r="B198" s="2">
        <v>45658</v>
      </c>
      <c r="C198" s="10"/>
    </row>
    <row r="199" spans="1:3" ht="28.95" customHeight="1" x14ac:dyDescent="0.3">
      <c r="A199" t="s">
        <v>71</v>
      </c>
      <c r="B199" s="2">
        <v>45689</v>
      </c>
      <c r="C199" s="10" t="s">
        <v>354</v>
      </c>
    </row>
    <row r="200" spans="1:3" ht="28.95" customHeight="1" x14ac:dyDescent="0.3">
      <c r="A200" t="s">
        <v>71</v>
      </c>
      <c r="B200" s="2">
        <v>45717</v>
      </c>
      <c r="C200" s="10" t="s">
        <v>355</v>
      </c>
    </row>
    <row r="201" spans="1:3" ht="28.95" customHeight="1" x14ac:dyDescent="0.3">
      <c r="A201" t="s">
        <v>71</v>
      </c>
      <c r="B201" s="2">
        <v>45748</v>
      </c>
      <c r="C201" s="10" t="s">
        <v>356</v>
      </c>
    </row>
    <row r="202" spans="1:3" ht="43.2" customHeight="1" x14ac:dyDescent="0.3">
      <c r="A202" t="s">
        <v>71</v>
      </c>
      <c r="B202" s="2">
        <v>45778</v>
      </c>
      <c r="C202" s="10" t="s">
        <v>357</v>
      </c>
    </row>
    <row r="203" spans="1:3" ht="72" customHeight="1" x14ac:dyDescent="0.3">
      <c r="A203" t="s">
        <v>71</v>
      </c>
      <c r="B203" s="2">
        <v>45809</v>
      </c>
      <c r="C203" s="10" t="s">
        <v>358</v>
      </c>
    </row>
    <row r="204" spans="1:3" ht="72" customHeight="1" x14ac:dyDescent="0.3">
      <c r="A204" t="s">
        <v>71</v>
      </c>
      <c r="B204" s="2">
        <v>45839</v>
      </c>
      <c r="C204" s="10" t="s">
        <v>359</v>
      </c>
    </row>
    <row r="205" spans="1:3" ht="72" customHeight="1" x14ac:dyDescent="0.3">
      <c r="A205" t="s">
        <v>71</v>
      </c>
      <c r="B205" s="2">
        <v>45870</v>
      </c>
      <c r="C205" s="10" t="s">
        <v>360</v>
      </c>
    </row>
    <row r="206" spans="1:3" ht="57.6" customHeight="1" x14ac:dyDescent="0.3">
      <c r="A206" t="s">
        <v>71</v>
      </c>
      <c r="B206" s="2">
        <v>45901</v>
      </c>
      <c r="C206" s="10" t="s">
        <v>361</v>
      </c>
    </row>
    <row r="207" spans="1:3" ht="57.6" customHeight="1" x14ac:dyDescent="0.3">
      <c r="A207" t="s">
        <v>71</v>
      </c>
      <c r="B207" s="2">
        <v>45931</v>
      </c>
      <c r="C207" s="10" t="s">
        <v>362</v>
      </c>
    </row>
    <row r="208" spans="1:3" ht="57.6" customHeight="1" x14ac:dyDescent="0.3">
      <c r="A208" t="s">
        <v>71</v>
      </c>
      <c r="B208" s="2">
        <v>45962</v>
      </c>
      <c r="C208" s="10" t="s">
        <v>363</v>
      </c>
    </row>
    <row r="209" spans="1:8" ht="28.8" x14ac:dyDescent="0.3">
      <c r="A209" t="s">
        <v>71</v>
      </c>
      <c r="B209" s="2">
        <v>45992</v>
      </c>
      <c r="C209" s="10" t="s">
        <v>364</v>
      </c>
    </row>
    <row r="210" spans="1:8" x14ac:dyDescent="0.3">
      <c r="A210" t="s">
        <v>71</v>
      </c>
      <c r="B210" s="2">
        <v>46023</v>
      </c>
      <c r="C210" s="10" t="s">
        <v>338</v>
      </c>
    </row>
    <row r="211" spans="1:8" x14ac:dyDescent="0.3">
      <c r="A211" t="s">
        <v>71</v>
      </c>
      <c r="B211" s="2">
        <v>46054</v>
      </c>
      <c r="C211" s="10" t="s">
        <v>326</v>
      </c>
    </row>
    <row r="212" spans="1:8" x14ac:dyDescent="0.3">
      <c r="A212" t="s">
        <v>71</v>
      </c>
      <c r="B212" s="2">
        <v>46082</v>
      </c>
      <c r="C212" s="10" t="s">
        <v>326</v>
      </c>
    </row>
    <row r="213" spans="1:8" x14ac:dyDescent="0.3">
      <c r="A213" t="s">
        <v>71</v>
      </c>
      <c r="B213" s="2">
        <v>46113</v>
      </c>
      <c r="C213" s="10" t="s">
        <v>302</v>
      </c>
    </row>
    <row r="214" spans="1:8" x14ac:dyDescent="0.3">
      <c r="A214" t="s">
        <v>71</v>
      </c>
      <c r="B214" s="2">
        <v>46143</v>
      </c>
      <c r="C214" s="10" t="s">
        <v>302</v>
      </c>
    </row>
    <row r="215" spans="1:8" x14ac:dyDescent="0.3">
      <c r="A215" t="s">
        <v>66</v>
      </c>
      <c r="B215" s="2">
        <v>46174</v>
      </c>
      <c r="C215" s="10"/>
    </row>
    <row r="216" spans="1:8" x14ac:dyDescent="0.3">
      <c r="A216" t="s">
        <v>66</v>
      </c>
      <c r="B216" s="2">
        <v>46204</v>
      </c>
      <c r="C216" s="10">
        <v>31</v>
      </c>
      <c r="D216">
        <v>0</v>
      </c>
      <c r="E216" t="s">
        <v>33</v>
      </c>
      <c r="F216" t="s">
        <v>33</v>
      </c>
      <c r="G216" s="10" t="s">
        <v>932</v>
      </c>
      <c r="H216" t="s">
        <v>36</v>
      </c>
    </row>
    <row r="217" spans="1:8" x14ac:dyDescent="0.3">
      <c r="A217" t="s">
        <v>71</v>
      </c>
      <c r="B217" s="2">
        <v>46235</v>
      </c>
      <c r="C217" s="10"/>
    </row>
    <row r="218" spans="1:8" x14ac:dyDescent="0.3">
      <c r="A218" t="s">
        <v>77</v>
      </c>
      <c r="B218" s="2">
        <v>45536</v>
      </c>
      <c r="C218" s="10"/>
    </row>
    <row r="219" spans="1:8" x14ac:dyDescent="0.3">
      <c r="A219" t="s">
        <v>77</v>
      </c>
      <c r="B219" s="2">
        <v>45566</v>
      </c>
      <c r="C219" s="10"/>
    </row>
    <row r="220" spans="1:8" x14ac:dyDescent="0.3">
      <c r="A220" t="s">
        <v>77</v>
      </c>
      <c r="B220" s="2">
        <v>45597</v>
      </c>
      <c r="C220" s="10"/>
    </row>
    <row r="221" spans="1:8" x14ac:dyDescent="0.3">
      <c r="A221" t="s">
        <v>77</v>
      </c>
      <c r="B221" s="2">
        <v>45627</v>
      </c>
      <c r="C221" s="10"/>
    </row>
    <row r="222" spans="1:8" x14ac:dyDescent="0.3">
      <c r="A222" t="s">
        <v>77</v>
      </c>
      <c r="B222" s="2">
        <v>45658</v>
      </c>
      <c r="C222" s="10"/>
    </row>
    <row r="223" spans="1:8" x14ac:dyDescent="0.3">
      <c r="A223" t="s">
        <v>77</v>
      </c>
      <c r="B223" s="2">
        <v>45689</v>
      </c>
      <c r="C223" s="10" t="s">
        <v>365</v>
      </c>
    </row>
    <row r="224" spans="1:8" ht="28.95" customHeight="1" x14ac:dyDescent="0.3">
      <c r="A224" t="s">
        <v>77</v>
      </c>
      <c r="B224" s="2">
        <v>45717</v>
      </c>
      <c r="C224" s="10" t="s">
        <v>366</v>
      </c>
    </row>
    <row r="225" spans="1:8" ht="43.2" customHeight="1" x14ac:dyDescent="0.3">
      <c r="A225" t="s">
        <v>77</v>
      </c>
      <c r="B225" s="2">
        <v>45748</v>
      </c>
      <c r="C225" s="10" t="s">
        <v>367</v>
      </c>
    </row>
    <row r="226" spans="1:8" ht="57.6" customHeight="1" x14ac:dyDescent="0.3">
      <c r="A226" t="s">
        <v>77</v>
      </c>
      <c r="B226" s="2">
        <v>45778</v>
      </c>
      <c r="C226" s="10" t="s">
        <v>368</v>
      </c>
    </row>
    <row r="227" spans="1:8" ht="57.6" customHeight="1" x14ac:dyDescent="0.3">
      <c r="A227" t="s">
        <v>77</v>
      </c>
      <c r="B227" s="2">
        <v>45809</v>
      </c>
      <c r="C227" s="10" t="s">
        <v>369</v>
      </c>
    </row>
    <row r="228" spans="1:8" ht="43.2" customHeight="1" x14ac:dyDescent="0.3">
      <c r="A228" t="s">
        <v>77</v>
      </c>
      <c r="B228" s="2">
        <v>45839</v>
      </c>
      <c r="C228" s="10" t="s">
        <v>370</v>
      </c>
    </row>
    <row r="229" spans="1:8" ht="43.2" customHeight="1" x14ac:dyDescent="0.3">
      <c r="A229" t="s">
        <v>77</v>
      </c>
      <c r="B229" s="2">
        <v>45870</v>
      </c>
      <c r="C229" s="10" t="s">
        <v>371</v>
      </c>
    </row>
    <row r="230" spans="1:8" ht="43.2" customHeight="1" x14ac:dyDescent="0.3">
      <c r="A230" t="s">
        <v>77</v>
      </c>
      <c r="B230" s="2">
        <v>45901</v>
      </c>
      <c r="C230" s="10" t="s">
        <v>372</v>
      </c>
    </row>
    <row r="231" spans="1:8" ht="43.2" customHeight="1" x14ac:dyDescent="0.3">
      <c r="A231" t="s">
        <v>77</v>
      </c>
      <c r="B231" s="2">
        <v>45931</v>
      </c>
      <c r="C231" s="10" t="s">
        <v>373</v>
      </c>
    </row>
    <row r="232" spans="1:8" ht="43.2" customHeight="1" x14ac:dyDescent="0.3">
      <c r="A232" t="s">
        <v>77</v>
      </c>
      <c r="B232" s="2">
        <v>45962</v>
      </c>
      <c r="C232" s="10" t="s">
        <v>374</v>
      </c>
    </row>
    <row r="233" spans="1:8" x14ac:dyDescent="0.3">
      <c r="A233" t="s">
        <v>77</v>
      </c>
      <c r="B233" s="2">
        <v>45992</v>
      </c>
      <c r="C233" s="10" t="s">
        <v>326</v>
      </c>
    </row>
    <row r="234" spans="1:8" x14ac:dyDescent="0.3">
      <c r="A234" t="s">
        <v>77</v>
      </c>
      <c r="B234" s="2">
        <v>46023</v>
      </c>
      <c r="C234" s="10" t="s">
        <v>375</v>
      </c>
    </row>
    <row r="235" spans="1:8" x14ac:dyDescent="0.3">
      <c r="A235" t="s">
        <v>77</v>
      </c>
      <c r="B235" s="2">
        <v>46054</v>
      </c>
      <c r="C235" s="10" t="s">
        <v>326</v>
      </c>
    </row>
    <row r="236" spans="1:8" x14ac:dyDescent="0.3">
      <c r="A236" t="s">
        <v>77</v>
      </c>
      <c r="B236" s="2">
        <v>46082</v>
      </c>
      <c r="C236" s="10" t="s">
        <v>326</v>
      </c>
    </row>
    <row r="237" spans="1:8" x14ac:dyDescent="0.3">
      <c r="A237" t="s">
        <v>77</v>
      </c>
      <c r="B237" s="2">
        <v>46113</v>
      </c>
      <c r="C237" s="10" t="s">
        <v>302</v>
      </c>
    </row>
    <row r="238" spans="1:8" x14ac:dyDescent="0.3">
      <c r="A238" t="s">
        <v>77</v>
      </c>
      <c r="B238" s="2">
        <v>46143</v>
      </c>
      <c r="C238" s="10" t="s">
        <v>302</v>
      </c>
    </row>
    <row r="239" spans="1:8" x14ac:dyDescent="0.3">
      <c r="A239" t="s">
        <v>71</v>
      </c>
      <c r="B239" s="2">
        <v>46174</v>
      </c>
      <c r="C239" s="10"/>
    </row>
    <row r="240" spans="1:8" ht="28.8" x14ac:dyDescent="0.3">
      <c r="A240" t="s">
        <v>71</v>
      </c>
      <c r="B240" s="2">
        <v>46204</v>
      </c>
      <c r="C240" s="10">
        <v>24</v>
      </c>
      <c r="D240" t="s">
        <v>1023</v>
      </c>
      <c r="E240" s="33" t="s">
        <v>1017</v>
      </c>
      <c r="F240" s="33" t="s">
        <v>1018</v>
      </c>
      <c r="G240" s="10" t="s">
        <v>1020</v>
      </c>
      <c r="H240" t="s">
        <v>36</v>
      </c>
    </row>
    <row r="241" spans="1:3" x14ac:dyDescent="0.3">
      <c r="A241" t="s">
        <v>77</v>
      </c>
      <c r="B241" s="2">
        <v>46235</v>
      </c>
      <c r="C241" s="10"/>
    </row>
    <row r="242" spans="1:3" x14ac:dyDescent="0.3">
      <c r="A242" t="s">
        <v>80</v>
      </c>
      <c r="B242" s="2">
        <v>45536</v>
      </c>
      <c r="C242" s="10"/>
    </row>
    <row r="243" spans="1:3" x14ac:dyDescent="0.3">
      <c r="A243" t="s">
        <v>80</v>
      </c>
      <c r="B243" s="2">
        <v>45566</v>
      </c>
      <c r="C243" s="10"/>
    </row>
    <row r="244" spans="1:3" x14ac:dyDescent="0.3">
      <c r="A244" t="s">
        <v>80</v>
      </c>
      <c r="B244" s="2">
        <v>45597</v>
      </c>
      <c r="C244" s="10"/>
    </row>
    <row r="245" spans="1:3" x14ac:dyDescent="0.3">
      <c r="A245" t="s">
        <v>80</v>
      </c>
      <c r="B245" s="2">
        <v>45627</v>
      </c>
      <c r="C245" s="10"/>
    </row>
    <row r="246" spans="1:3" x14ac:dyDescent="0.3">
      <c r="A246" t="s">
        <v>80</v>
      </c>
      <c r="B246" s="2">
        <v>45658</v>
      </c>
      <c r="C246" s="10"/>
    </row>
    <row r="247" spans="1:3" x14ac:dyDescent="0.3">
      <c r="A247" t="s">
        <v>80</v>
      </c>
      <c r="B247" s="2">
        <v>45689</v>
      </c>
      <c r="C247" s="10" t="s">
        <v>365</v>
      </c>
    </row>
    <row r="248" spans="1:3" ht="28.95" customHeight="1" x14ac:dyDescent="0.3">
      <c r="A248" t="s">
        <v>80</v>
      </c>
      <c r="B248" s="2">
        <v>45717</v>
      </c>
      <c r="C248" s="10" t="s">
        <v>376</v>
      </c>
    </row>
    <row r="249" spans="1:3" ht="43.2" customHeight="1" x14ac:dyDescent="0.3">
      <c r="A249" t="s">
        <v>80</v>
      </c>
      <c r="B249" s="2">
        <v>45748</v>
      </c>
      <c r="C249" s="10" t="s">
        <v>377</v>
      </c>
    </row>
    <row r="250" spans="1:3" ht="57.6" customHeight="1" x14ac:dyDescent="0.3">
      <c r="A250" t="s">
        <v>80</v>
      </c>
      <c r="B250" s="2">
        <v>45778</v>
      </c>
      <c r="C250" s="10" t="s">
        <v>378</v>
      </c>
    </row>
    <row r="251" spans="1:3" ht="57.6" customHeight="1" x14ac:dyDescent="0.3">
      <c r="A251" t="s">
        <v>80</v>
      </c>
      <c r="B251" s="2">
        <v>45809</v>
      </c>
      <c r="C251" s="10" t="s">
        <v>379</v>
      </c>
    </row>
    <row r="252" spans="1:3" ht="43.2" customHeight="1" x14ac:dyDescent="0.3">
      <c r="A252" t="s">
        <v>80</v>
      </c>
      <c r="B252" s="2">
        <v>45839</v>
      </c>
      <c r="C252" s="10" t="s">
        <v>380</v>
      </c>
    </row>
    <row r="253" spans="1:3" ht="43.2" customHeight="1" x14ac:dyDescent="0.3">
      <c r="A253" t="s">
        <v>80</v>
      </c>
      <c r="B253" s="2">
        <v>45870</v>
      </c>
      <c r="C253" s="10" t="s">
        <v>381</v>
      </c>
    </row>
    <row r="254" spans="1:3" ht="43.2" customHeight="1" x14ac:dyDescent="0.3">
      <c r="A254" t="s">
        <v>80</v>
      </c>
      <c r="B254" s="2">
        <v>45901</v>
      </c>
      <c r="C254" s="10" t="s">
        <v>382</v>
      </c>
    </row>
    <row r="255" spans="1:3" ht="43.2" customHeight="1" x14ac:dyDescent="0.3">
      <c r="A255" t="s">
        <v>80</v>
      </c>
      <c r="B255" s="2">
        <v>45931</v>
      </c>
      <c r="C255" s="10" t="s">
        <v>383</v>
      </c>
    </row>
    <row r="256" spans="1:3" ht="57.6" customHeight="1" x14ac:dyDescent="0.3">
      <c r="A256" t="s">
        <v>80</v>
      </c>
      <c r="B256" s="2">
        <v>45962</v>
      </c>
      <c r="C256" s="10" t="s">
        <v>384</v>
      </c>
    </row>
    <row r="257" spans="1:8" x14ac:dyDescent="0.3">
      <c r="A257" t="s">
        <v>80</v>
      </c>
      <c r="B257" s="2">
        <v>45992</v>
      </c>
      <c r="C257" s="10" t="s">
        <v>385</v>
      </c>
    </row>
    <row r="258" spans="1:8" x14ac:dyDescent="0.3">
      <c r="A258" t="s">
        <v>80</v>
      </c>
      <c r="B258" s="2">
        <v>46023</v>
      </c>
      <c r="C258" s="10" t="s">
        <v>375</v>
      </c>
    </row>
    <row r="259" spans="1:8" x14ac:dyDescent="0.3">
      <c r="A259" t="s">
        <v>80</v>
      </c>
      <c r="B259" s="2">
        <v>46054</v>
      </c>
      <c r="C259" s="10" t="s">
        <v>326</v>
      </c>
    </row>
    <row r="260" spans="1:8" ht="28.8" x14ac:dyDescent="0.3">
      <c r="A260" t="s">
        <v>80</v>
      </c>
      <c r="B260" s="2">
        <v>46082</v>
      </c>
      <c r="C260" s="10" t="s">
        <v>386</v>
      </c>
    </row>
    <row r="261" spans="1:8" x14ac:dyDescent="0.3">
      <c r="A261" t="s">
        <v>80</v>
      </c>
      <c r="B261" s="2">
        <v>46113</v>
      </c>
      <c r="C261" s="10" t="s">
        <v>302</v>
      </c>
    </row>
    <row r="262" spans="1:8" x14ac:dyDescent="0.3">
      <c r="A262" t="s">
        <v>80</v>
      </c>
      <c r="B262" s="2">
        <v>46143</v>
      </c>
      <c r="C262" s="10" t="s">
        <v>302</v>
      </c>
    </row>
    <row r="263" spans="1:8" ht="10.199999999999999" customHeight="1" x14ac:dyDescent="0.3">
      <c r="A263" t="s">
        <v>251</v>
      </c>
      <c r="B263" s="2">
        <v>46204</v>
      </c>
      <c r="C263">
        <v>31</v>
      </c>
      <c r="D263">
        <v>0</v>
      </c>
      <c r="E263" t="s">
        <v>33</v>
      </c>
      <c r="F263" t="s">
        <v>33</v>
      </c>
      <c r="G263" t="s">
        <v>338</v>
      </c>
      <c r="H263" t="s">
        <v>36</v>
      </c>
    </row>
    <row r="264" spans="1:8" x14ac:dyDescent="0.3">
      <c r="A264" t="s">
        <v>251</v>
      </c>
      <c r="B264" s="2">
        <v>46174</v>
      </c>
    </row>
    <row r="265" spans="1:8" x14ac:dyDescent="0.3">
      <c r="A265" t="s">
        <v>80</v>
      </c>
      <c r="B265" s="2">
        <v>46235</v>
      </c>
      <c r="C265" s="10"/>
    </row>
    <row r="266" spans="1:8" x14ac:dyDescent="0.3">
      <c r="A266" t="s">
        <v>81</v>
      </c>
      <c r="B266" s="2">
        <v>45536</v>
      </c>
      <c r="C266" s="10"/>
    </row>
    <row r="267" spans="1:8" x14ac:dyDescent="0.3">
      <c r="A267" t="s">
        <v>81</v>
      </c>
      <c r="B267" s="2">
        <v>45566</v>
      </c>
      <c r="C267" s="10"/>
    </row>
    <row r="268" spans="1:8" x14ac:dyDescent="0.3">
      <c r="A268" t="s">
        <v>81</v>
      </c>
      <c r="B268" s="2">
        <v>45597</v>
      </c>
      <c r="C268" s="10"/>
    </row>
    <row r="269" spans="1:8" x14ac:dyDescent="0.3">
      <c r="A269" t="s">
        <v>81</v>
      </c>
      <c r="B269" s="2">
        <v>45627</v>
      </c>
      <c r="C269" s="10"/>
    </row>
    <row r="270" spans="1:8" x14ac:dyDescent="0.3">
      <c r="A270" t="s">
        <v>81</v>
      </c>
      <c r="B270" s="2">
        <v>45658</v>
      </c>
      <c r="C270" s="10"/>
    </row>
    <row r="271" spans="1:8" ht="28.95" customHeight="1" x14ac:dyDescent="0.3">
      <c r="A271" t="s">
        <v>81</v>
      </c>
      <c r="B271" s="2">
        <v>45689</v>
      </c>
      <c r="C271" s="10" t="s">
        <v>387</v>
      </c>
    </row>
    <row r="272" spans="1:8" ht="28.95" customHeight="1" x14ac:dyDescent="0.3">
      <c r="A272" t="s">
        <v>81</v>
      </c>
      <c r="B272" s="2">
        <v>45717</v>
      </c>
      <c r="C272" s="10" t="s">
        <v>388</v>
      </c>
    </row>
    <row r="273" spans="1:8" ht="28.95" customHeight="1" x14ac:dyDescent="0.3">
      <c r="A273" t="s">
        <v>81</v>
      </c>
      <c r="B273" s="2">
        <v>45748</v>
      </c>
      <c r="C273" s="10" t="s">
        <v>388</v>
      </c>
    </row>
    <row r="274" spans="1:8" ht="72" customHeight="1" x14ac:dyDescent="0.3">
      <c r="A274" t="s">
        <v>81</v>
      </c>
      <c r="B274" s="2">
        <v>45778</v>
      </c>
      <c r="C274" s="10" t="s">
        <v>389</v>
      </c>
    </row>
    <row r="275" spans="1:8" ht="43.2" customHeight="1" x14ac:dyDescent="0.3">
      <c r="A275" t="s">
        <v>81</v>
      </c>
      <c r="B275" s="2">
        <v>45809</v>
      </c>
      <c r="C275" s="10" t="s">
        <v>390</v>
      </c>
    </row>
    <row r="276" spans="1:8" x14ac:dyDescent="0.3">
      <c r="A276" t="s">
        <v>81</v>
      </c>
      <c r="B276" s="2">
        <v>45839</v>
      </c>
      <c r="C276" t="s">
        <v>911</v>
      </c>
      <c r="G276" s="10" t="s">
        <v>971</v>
      </c>
      <c r="H276" t="s">
        <v>36</v>
      </c>
    </row>
    <row r="277" spans="1:8" x14ac:dyDescent="0.3">
      <c r="A277" t="s">
        <v>81</v>
      </c>
      <c r="B277" s="2">
        <v>45870</v>
      </c>
      <c r="C277" t="s">
        <v>911</v>
      </c>
      <c r="D277">
        <v>0</v>
      </c>
      <c r="E277" t="s">
        <v>33</v>
      </c>
      <c r="F277" t="s">
        <v>33</v>
      </c>
      <c r="G277" s="10" t="s">
        <v>971</v>
      </c>
      <c r="H277" t="s">
        <v>36</v>
      </c>
    </row>
    <row r="278" spans="1:8" x14ac:dyDescent="0.3">
      <c r="A278" t="s">
        <v>81</v>
      </c>
      <c r="B278" s="2">
        <v>45901</v>
      </c>
      <c r="C278" t="s">
        <v>919</v>
      </c>
      <c r="D278">
        <v>0</v>
      </c>
      <c r="E278" t="s">
        <v>33</v>
      </c>
      <c r="F278" t="s">
        <v>33</v>
      </c>
      <c r="G278" s="21" t="s">
        <v>932</v>
      </c>
      <c r="H278" t="s">
        <v>36</v>
      </c>
    </row>
    <row r="279" spans="1:8" x14ac:dyDescent="0.3">
      <c r="A279" t="s">
        <v>81</v>
      </c>
      <c r="B279" s="2">
        <v>45931</v>
      </c>
      <c r="C279" t="s">
        <v>911</v>
      </c>
      <c r="D279">
        <v>0</v>
      </c>
      <c r="E279" t="s">
        <v>33</v>
      </c>
      <c r="F279" t="s">
        <v>33</v>
      </c>
      <c r="G279" s="21" t="s">
        <v>932</v>
      </c>
      <c r="H279" t="s">
        <v>36</v>
      </c>
    </row>
    <row r="280" spans="1:8" ht="57.6" customHeight="1" x14ac:dyDescent="0.3">
      <c r="A280" t="s">
        <v>81</v>
      </c>
      <c r="B280" s="2">
        <v>45962</v>
      </c>
      <c r="C280" t="s">
        <v>919</v>
      </c>
      <c r="D280">
        <v>0</v>
      </c>
      <c r="E280" t="s">
        <v>33</v>
      </c>
      <c r="F280" t="s">
        <v>33</v>
      </c>
      <c r="G280" s="21" t="s">
        <v>932</v>
      </c>
      <c r="H280" t="s">
        <v>36</v>
      </c>
    </row>
    <row r="281" spans="1:8" x14ac:dyDescent="0.3">
      <c r="A281" t="s">
        <v>81</v>
      </c>
      <c r="B281" s="2">
        <v>45992</v>
      </c>
      <c r="C281" t="s">
        <v>911</v>
      </c>
      <c r="D281">
        <v>0</v>
      </c>
      <c r="E281" t="s">
        <v>33</v>
      </c>
      <c r="F281" t="s">
        <v>33</v>
      </c>
      <c r="G281" s="10" t="s">
        <v>971</v>
      </c>
      <c r="H281" t="s">
        <v>36</v>
      </c>
    </row>
    <row r="282" spans="1:8" x14ac:dyDescent="0.3">
      <c r="A282" t="s">
        <v>81</v>
      </c>
      <c r="B282" s="2">
        <v>46023</v>
      </c>
      <c r="C282" t="s">
        <v>911</v>
      </c>
      <c r="D282">
        <v>0</v>
      </c>
      <c r="E282" t="s">
        <v>33</v>
      </c>
      <c r="F282" t="s">
        <v>33</v>
      </c>
      <c r="G282" s="21" t="s">
        <v>932</v>
      </c>
      <c r="H282" t="s">
        <v>36</v>
      </c>
    </row>
    <row r="283" spans="1:8" ht="28.8" x14ac:dyDescent="0.3">
      <c r="A283" t="s">
        <v>81</v>
      </c>
      <c r="B283" s="2">
        <v>46054</v>
      </c>
      <c r="C283" t="s">
        <v>895</v>
      </c>
      <c r="D283">
        <v>0</v>
      </c>
      <c r="E283" t="s">
        <v>33</v>
      </c>
      <c r="F283" t="s">
        <v>978</v>
      </c>
      <c r="G283" s="10" t="s">
        <v>979</v>
      </c>
      <c r="H283" t="s">
        <v>36</v>
      </c>
    </row>
    <row r="284" spans="1:8" ht="28.8" x14ac:dyDescent="0.3">
      <c r="A284" t="s">
        <v>81</v>
      </c>
      <c r="B284" s="2">
        <v>46082</v>
      </c>
      <c r="C284" t="s">
        <v>911</v>
      </c>
      <c r="D284">
        <v>0</v>
      </c>
      <c r="E284" t="s">
        <v>33</v>
      </c>
      <c r="F284" t="s">
        <v>978</v>
      </c>
      <c r="G284" s="10" t="s">
        <v>979</v>
      </c>
      <c r="H284" t="s">
        <v>36</v>
      </c>
    </row>
    <row r="285" spans="1:8" x14ac:dyDescent="0.3">
      <c r="A285" t="s">
        <v>81</v>
      </c>
      <c r="B285" s="2">
        <v>46113</v>
      </c>
      <c r="C285" t="s">
        <v>919</v>
      </c>
      <c r="D285">
        <v>0</v>
      </c>
      <c r="E285" t="s">
        <v>33</v>
      </c>
      <c r="F285" t="s">
        <v>33</v>
      </c>
      <c r="G285" s="10" t="s">
        <v>971</v>
      </c>
      <c r="H285" t="s">
        <v>36</v>
      </c>
    </row>
    <row r="286" spans="1:8" x14ac:dyDescent="0.3">
      <c r="A286" t="s">
        <v>81</v>
      </c>
      <c r="B286" s="2">
        <v>46143</v>
      </c>
      <c r="C286" t="s">
        <v>911</v>
      </c>
      <c r="D286">
        <v>0</v>
      </c>
      <c r="E286" t="s">
        <v>33</v>
      </c>
      <c r="F286" t="s">
        <v>33</v>
      </c>
      <c r="G286" s="10" t="s">
        <v>971</v>
      </c>
      <c r="H286" t="s">
        <v>36</v>
      </c>
    </row>
    <row r="287" spans="1:8" x14ac:dyDescent="0.3">
      <c r="A287" t="s">
        <v>77</v>
      </c>
      <c r="B287" s="2">
        <v>46174</v>
      </c>
      <c r="C287" s="10"/>
    </row>
    <row r="288" spans="1:8" x14ac:dyDescent="0.3">
      <c r="A288" t="s">
        <v>77</v>
      </c>
      <c r="B288" s="2">
        <v>46204</v>
      </c>
      <c r="C288" s="10">
        <v>31</v>
      </c>
      <c r="D288">
        <v>0</v>
      </c>
      <c r="E288" t="s">
        <v>33</v>
      </c>
      <c r="F288" t="s">
        <v>33</v>
      </c>
      <c r="G288" t="s">
        <v>1014</v>
      </c>
      <c r="H288" t="s">
        <v>36</v>
      </c>
    </row>
    <row r="289" spans="1:3" x14ac:dyDescent="0.3">
      <c r="A289" t="s">
        <v>81</v>
      </c>
      <c r="B289" s="2">
        <v>46235</v>
      </c>
      <c r="C289" s="10"/>
    </row>
    <row r="290" spans="1:3" x14ac:dyDescent="0.3">
      <c r="A290" t="s">
        <v>85</v>
      </c>
      <c r="B290" s="2">
        <v>45536</v>
      </c>
      <c r="C290" s="10"/>
    </row>
    <row r="291" spans="1:3" x14ac:dyDescent="0.3">
      <c r="A291" t="s">
        <v>85</v>
      </c>
      <c r="B291" s="2">
        <v>45566</v>
      </c>
      <c r="C291" s="10"/>
    </row>
    <row r="292" spans="1:3" x14ac:dyDescent="0.3">
      <c r="A292" t="s">
        <v>85</v>
      </c>
      <c r="B292" s="2">
        <v>45597</v>
      </c>
      <c r="C292" s="10"/>
    </row>
    <row r="293" spans="1:3" x14ac:dyDescent="0.3">
      <c r="A293" t="s">
        <v>85</v>
      </c>
      <c r="B293" s="2">
        <v>45627</v>
      </c>
      <c r="C293" s="10"/>
    </row>
    <row r="294" spans="1:3" x14ac:dyDescent="0.3">
      <c r="A294" t="s">
        <v>85</v>
      </c>
      <c r="B294" s="2">
        <v>45658</v>
      </c>
      <c r="C294" s="10"/>
    </row>
    <row r="295" spans="1:3" ht="43.2" customHeight="1" x14ac:dyDescent="0.3">
      <c r="A295" t="s">
        <v>85</v>
      </c>
      <c r="B295" s="2">
        <v>45689</v>
      </c>
      <c r="C295" s="10" t="s">
        <v>391</v>
      </c>
    </row>
    <row r="296" spans="1:3" ht="86.4" customHeight="1" x14ac:dyDescent="0.3">
      <c r="A296" t="s">
        <v>85</v>
      </c>
      <c r="B296" s="2">
        <v>45717</v>
      </c>
      <c r="C296" s="10" t="s">
        <v>392</v>
      </c>
    </row>
    <row r="297" spans="1:3" ht="57.6" customHeight="1" x14ac:dyDescent="0.3">
      <c r="A297" t="s">
        <v>85</v>
      </c>
      <c r="B297" s="2">
        <v>45748</v>
      </c>
      <c r="C297" s="10" t="s">
        <v>393</v>
      </c>
    </row>
    <row r="298" spans="1:3" ht="57.6" customHeight="1" x14ac:dyDescent="0.3">
      <c r="A298" t="s">
        <v>85</v>
      </c>
      <c r="B298" s="2">
        <v>45778</v>
      </c>
      <c r="C298" s="10" t="s">
        <v>394</v>
      </c>
    </row>
    <row r="299" spans="1:3" ht="57.6" customHeight="1" x14ac:dyDescent="0.3">
      <c r="A299" t="s">
        <v>85</v>
      </c>
      <c r="B299" s="2">
        <v>45809</v>
      </c>
      <c r="C299" s="10" t="s">
        <v>395</v>
      </c>
    </row>
    <row r="300" spans="1:3" ht="57.6" customHeight="1" x14ac:dyDescent="0.3">
      <c r="A300" t="s">
        <v>85</v>
      </c>
      <c r="B300" s="2">
        <v>45839</v>
      </c>
      <c r="C300" s="10" t="s">
        <v>396</v>
      </c>
    </row>
    <row r="301" spans="1:3" ht="72" customHeight="1" x14ac:dyDescent="0.3">
      <c r="A301" t="s">
        <v>85</v>
      </c>
      <c r="B301" s="2">
        <v>45870</v>
      </c>
      <c r="C301" s="10" t="s">
        <v>397</v>
      </c>
    </row>
    <row r="302" spans="1:3" ht="57.6" customHeight="1" x14ac:dyDescent="0.3">
      <c r="A302" t="s">
        <v>85</v>
      </c>
      <c r="B302" s="2">
        <v>45901</v>
      </c>
      <c r="C302" s="10" t="s">
        <v>398</v>
      </c>
    </row>
    <row r="303" spans="1:3" ht="57.6" customHeight="1" x14ac:dyDescent="0.3">
      <c r="A303" t="s">
        <v>85</v>
      </c>
      <c r="B303" s="2">
        <v>45931</v>
      </c>
      <c r="C303" s="10" t="s">
        <v>399</v>
      </c>
    </row>
    <row r="304" spans="1:3" ht="72" customHeight="1" x14ac:dyDescent="0.3">
      <c r="A304" t="s">
        <v>85</v>
      </c>
      <c r="B304" s="2">
        <v>45962</v>
      </c>
      <c r="C304" s="10" t="s">
        <v>400</v>
      </c>
    </row>
    <row r="305" spans="1:8" ht="28.8" x14ac:dyDescent="0.3">
      <c r="A305" t="s">
        <v>85</v>
      </c>
      <c r="B305" s="2">
        <v>45992</v>
      </c>
      <c r="C305" s="10" t="s">
        <v>401</v>
      </c>
    </row>
    <row r="306" spans="1:8" ht="28.8" x14ac:dyDescent="0.3">
      <c r="A306" t="s">
        <v>85</v>
      </c>
      <c r="B306" s="2">
        <v>46023</v>
      </c>
      <c r="C306" s="10" t="s">
        <v>401</v>
      </c>
    </row>
    <row r="307" spans="1:8" ht="28.8" x14ac:dyDescent="0.3">
      <c r="A307" t="s">
        <v>85</v>
      </c>
      <c r="B307" s="2">
        <v>46054</v>
      </c>
      <c r="C307" s="10" t="s">
        <v>401</v>
      </c>
    </row>
    <row r="308" spans="1:8" ht="28.8" x14ac:dyDescent="0.3">
      <c r="A308" t="s">
        <v>85</v>
      </c>
      <c r="B308" s="2">
        <v>46082</v>
      </c>
      <c r="C308" s="10" t="s">
        <v>402</v>
      </c>
    </row>
    <row r="309" spans="1:8" ht="28.95" customHeight="1" x14ac:dyDescent="0.3">
      <c r="A309" t="s">
        <v>85</v>
      </c>
      <c r="B309" s="2">
        <v>46113</v>
      </c>
      <c r="C309" s="10" t="s">
        <v>403</v>
      </c>
    </row>
    <row r="310" spans="1:8" x14ac:dyDescent="0.3">
      <c r="A310" t="s">
        <v>85</v>
      </c>
      <c r="B310" s="2">
        <v>46143</v>
      </c>
      <c r="C310" s="10" t="s">
        <v>852</v>
      </c>
    </row>
    <row r="311" spans="1:8" x14ac:dyDescent="0.3">
      <c r="A311" t="s">
        <v>80</v>
      </c>
      <c r="B311" s="2">
        <v>46174</v>
      </c>
      <c r="C311" s="10"/>
    </row>
    <row r="312" spans="1:8" x14ac:dyDescent="0.3">
      <c r="A312" t="s">
        <v>80</v>
      </c>
      <c r="B312" s="2">
        <v>46204</v>
      </c>
      <c r="C312" s="10">
        <v>31</v>
      </c>
      <c r="D312">
        <v>0</v>
      </c>
      <c r="E312" t="s">
        <v>33</v>
      </c>
      <c r="F312" t="s">
        <v>33</v>
      </c>
      <c r="G312" t="s">
        <v>1014</v>
      </c>
      <c r="H312" t="s">
        <v>36</v>
      </c>
    </row>
    <row r="313" spans="1:8" x14ac:dyDescent="0.3">
      <c r="A313" t="s">
        <v>85</v>
      </c>
      <c r="B313" s="2">
        <v>46235</v>
      </c>
      <c r="C313" s="10"/>
    </row>
    <row r="314" spans="1:8" x14ac:dyDescent="0.3">
      <c r="A314" t="s">
        <v>90</v>
      </c>
      <c r="B314" s="2">
        <v>45536</v>
      </c>
      <c r="C314" s="10"/>
    </row>
    <row r="315" spans="1:8" x14ac:dyDescent="0.3">
      <c r="A315" t="s">
        <v>90</v>
      </c>
      <c r="B315" s="2">
        <v>45566</v>
      </c>
      <c r="C315" s="10"/>
    </row>
    <row r="316" spans="1:8" x14ac:dyDescent="0.3">
      <c r="A316" t="s">
        <v>90</v>
      </c>
      <c r="B316" s="2">
        <v>45597</v>
      </c>
      <c r="C316" s="10"/>
    </row>
    <row r="317" spans="1:8" x14ac:dyDescent="0.3">
      <c r="A317" t="s">
        <v>90</v>
      </c>
      <c r="B317" s="2">
        <v>45627</v>
      </c>
      <c r="C317" s="10"/>
    </row>
    <row r="318" spans="1:8" x14ac:dyDescent="0.3">
      <c r="A318" t="s">
        <v>90</v>
      </c>
      <c r="B318" s="2">
        <v>45658</v>
      </c>
      <c r="C318" s="10"/>
    </row>
    <row r="319" spans="1:8" ht="72" customHeight="1" x14ac:dyDescent="0.3">
      <c r="A319" t="s">
        <v>90</v>
      </c>
      <c r="B319" s="2">
        <v>45689</v>
      </c>
      <c r="C319" s="10" t="s">
        <v>404</v>
      </c>
    </row>
    <row r="320" spans="1:8" ht="86.4" customHeight="1" x14ac:dyDescent="0.3">
      <c r="A320" t="s">
        <v>90</v>
      </c>
      <c r="B320" s="2">
        <v>45717</v>
      </c>
      <c r="C320" s="10" t="s">
        <v>405</v>
      </c>
    </row>
    <row r="321" spans="1:8" ht="57.6" customHeight="1" x14ac:dyDescent="0.3">
      <c r="A321" t="s">
        <v>90</v>
      </c>
      <c r="B321" s="2">
        <v>45748</v>
      </c>
      <c r="C321" s="10" t="s">
        <v>406</v>
      </c>
    </row>
    <row r="322" spans="1:8" ht="57.6" customHeight="1" x14ac:dyDescent="0.3">
      <c r="A322" t="s">
        <v>90</v>
      </c>
      <c r="B322" s="2">
        <v>45778</v>
      </c>
      <c r="C322" s="10" t="s">
        <v>407</v>
      </c>
    </row>
    <row r="323" spans="1:8" ht="57.6" customHeight="1" x14ac:dyDescent="0.3">
      <c r="A323" t="s">
        <v>90</v>
      </c>
      <c r="B323" s="2">
        <v>45809</v>
      </c>
      <c r="C323" s="10" t="s">
        <v>408</v>
      </c>
    </row>
    <row r="324" spans="1:8" ht="57.6" customHeight="1" x14ac:dyDescent="0.3">
      <c r="A324" t="s">
        <v>90</v>
      </c>
      <c r="B324" s="2">
        <v>45839</v>
      </c>
      <c r="C324" s="10" t="s">
        <v>409</v>
      </c>
    </row>
    <row r="325" spans="1:8" ht="57.6" customHeight="1" x14ac:dyDescent="0.3">
      <c r="A325" t="s">
        <v>90</v>
      </c>
      <c r="B325" s="2">
        <v>45870</v>
      </c>
      <c r="C325" s="10" t="s">
        <v>410</v>
      </c>
    </row>
    <row r="326" spans="1:8" ht="57.6" customHeight="1" x14ac:dyDescent="0.3">
      <c r="A326" t="s">
        <v>90</v>
      </c>
      <c r="B326" s="2">
        <v>45901</v>
      </c>
      <c r="C326" s="10" t="s">
        <v>411</v>
      </c>
    </row>
    <row r="327" spans="1:8" ht="57.6" customHeight="1" x14ac:dyDescent="0.3">
      <c r="A327" t="s">
        <v>90</v>
      </c>
      <c r="B327" s="2">
        <v>45931</v>
      </c>
      <c r="C327" s="10" t="s">
        <v>412</v>
      </c>
    </row>
    <row r="328" spans="1:8" ht="57.6" customHeight="1" x14ac:dyDescent="0.3">
      <c r="A328" t="s">
        <v>90</v>
      </c>
      <c r="B328" s="2">
        <v>45962</v>
      </c>
      <c r="C328" s="10" t="s">
        <v>413</v>
      </c>
    </row>
    <row r="329" spans="1:8" x14ac:dyDescent="0.3">
      <c r="A329" t="s">
        <v>90</v>
      </c>
      <c r="B329" s="2">
        <v>45992</v>
      </c>
      <c r="C329" s="10" t="s">
        <v>326</v>
      </c>
    </row>
    <row r="330" spans="1:8" x14ac:dyDescent="0.3">
      <c r="A330" t="s">
        <v>90</v>
      </c>
      <c r="B330" s="2">
        <v>46023</v>
      </c>
      <c r="C330" s="10" t="s">
        <v>338</v>
      </c>
    </row>
    <row r="331" spans="1:8" x14ac:dyDescent="0.3">
      <c r="A331" t="s">
        <v>90</v>
      </c>
      <c r="B331" s="2">
        <v>46054</v>
      </c>
      <c r="C331" s="10" t="s">
        <v>326</v>
      </c>
    </row>
    <row r="332" spans="1:8" x14ac:dyDescent="0.3">
      <c r="A332" t="s">
        <v>90</v>
      </c>
      <c r="B332" s="2">
        <v>46082</v>
      </c>
      <c r="C332" s="10" t="s">
        <v>326</v>
      </c>
    </row>
    <row r="333" spans="1:8" x14ac:dyDescent="0.3">
      <c r="A333" t="s">
        <v>90</v>
      </c>
      <c r="B333" s="2">
        <v>46113</v>
      </c>
      <c r="C333" s="10" t="s">
        <v>302</v>
      </c>
    </row>
    <row r="334" spans="1:8" x14ac:dyDescent="0.3">
      <c r="A334" t="s">
        <v>90</v>
      </c>
      <c r="B334" s="2">
        <v>46143</v>
      </c>
      <c r="C334" s="10" t="s">
        <v>302</v>
      </c>
    </row>
    <row r="335" spans="1:8" x14ac:dyDescent="0.3">
      <c r="A335" t="s">
        <v>81</v>
      </c>
      <c r="B335" s="2">
        <v>46174</v>
      </c>
      <c r="C335" t="s">
        <v>919</v>
      </c>
      <c r="D335">
        <v>0</v>
      </c>
      <c r="E335" t="s">
        <v>33</v>
      </c>
      <c r="F335" t="s">
        <v>33</v>
      </c>
      <c r="G335" s="10" t="s">
        <v>971</v>
      </c>
      <c r="H335" t="s">
        <v>36</v>
      </c>
    </row>
    <row r="336" spans="1:8" x14ac:dyDescent="0.3">
      <c r="A336" t="s">
        <v>81</v>
      </c>
      <c r="B336" s="2">
        <v>46204</v>
      </c>
      <c r="C336" s="10">
        <v>31</v>
      </c>
      <c r="D336">
        <v>0</v>
      </c>
      <c r="E336" t="s">
        <v>33</v>
      </c>
      <c r="F336" t="s">
        <v>33</v>
      </c>
      <c r="G336" t="s">
        <v>338</v>
      </c>
      <c r="H336" t="s">
        <v>36</v>
      </c>
    </row>
    <row r="337" spans="1:3" x14ac:dyDescent="0.3">
      <c r="A337" t="s">
        <v>90</v>
      </c>
      <c r="B337" s="2">
        <v>46235</v>
      </c>
      <c r="C337" s="10"/>
    </row>
    <row r="338" spans="1:3" x14ac:dyDescent="0.3">
      <c r="A338" t="s">
        <v>93</v>
      </c>
      <c r="B338" s="2">
        <v>45536</v>
      </c>
      <c r="C338" s="10"/>
    </row>
    <row r="339" spans="1:3" x14ac:dyDescent="0.3">
      <c r="A339" t="s">
        <v>93</v>
      </c>
      <c r="B339" s="2">
        <v>45566</v>
      </c>
      <c r="C339" s="10"/>
    </row>
    <row r="340" spans="1:3" x14ac:dyDescent="0.3">
      <c r="A340" t="s">
        <v>93</v>
      </c>
      <c r="B340" s="2">
        <v>45597</v>
      </c>
      <c r="C340" s="10"/>
    </row>
    <row r="341" spans="1:3" x14ac:dyDescent="0.3">
      <c r="A341" t="s">
        <v>93</v>
      </c>
      <c r="B341" s="2">
        <v>45627</v>
      </c>
      <c r="C341" s="10"/>
    </row>
    <row r="342" spans="1:3" x14ac:dyDescent="0.3">
      <c r="A342" t="s">
        <v>93</v>
      </c>
      <c r="B342" s="2">
        <v>45658</v>
      </c>
      <c r="C342" s="10"/>
    </row>
    <row r="343" spans="1:3" x14ac:dyDescent="0.3">
      <c r="A343" t="s">
        <v>93</v>
      </c>
      <c r="B343" s="2">
        <v>45689</v>
      </c>
      <c r="C343" s="10"/>
    </row>
    <row r="344" spans="1:3" x14ac:dyDescent="0.3">
      <c r="A344" t="s">
        <v>93</v>
      </c>
      <c r="B344" s="2">
        <v>45717</v>
      </c>
      <c r="C344" s="10"/>
    </row>
    <row r="345" spans="1:3" x14ac:dyDescent="0.3">
      <c r="A345" t="s">
        <v>93</v>
      </c>
      <c r="B345" s="2">
        <v>45748</v>
      </c>
      <c r="C345" s="10"/>
    </row>
    <row r="346" spans="1:3" x14ac:dyDescent="0.3">
      <c r="A346" t="s">
        <v>93</v>
      </c>
      <c r="B346" s="2">
        <v>45778</v>
      </c>
      <c r="C346" s="10"/>
    </row>
    <row r="347" spans="1:3" x14ac:dyDescent="0.3">
      <c r="A347" t="s">
        <v>93</v>
      </c>
      <c r="B347" s="2">
        <v>45809</v>
      </c>
      <c r="C347" s="10"/>
    </row>
    <row r="348" spans="1:3" x14ac:dyDescent="0.3">
      <c r="A348" t="s">
        <v>93</v>
      </c>
      <c r="B348" s="2">
        <v>45839</v>
      </c>
      <c r="C348" s="10"/>
    </row>
    <row r="349" spans="1:3" x14ac:dyDescent="0.3">
      <c r="A349" t="s">
        <v>93</v>
      </c>
      <c r="B349" s="2">
        <v>45870</v>
      </c>
      <c r="C349" s="10"/>
    </row>
    <row r="350" spans="1:3" x14ac:dyDescent="0.3">
      <c r="A350" t="s">
        <v>93</v>
      </c>
      <c r="B350" s="2">
        <v>45901</v>
      </c>
      <c r="C350" s="10"/>
    </row>
    <row r="351" spans="1:3" x14ac:dyDescent="0.3">
      <c r="A351" t="s">
        <v>93</v>
      </c>
      <c r="B351" s="2">
        <v>45931</v>
      </c>
      <c r="C351" s="10"/>
    </row>
    <row r="352" spans="1:3" ht="43.2" customHeight="1" x14ac:dyDescent="0.3">
      <c r="A352" t="s">
        <v>93</v>
      </c>
      <c r="B352" s="2">
        <v>45962</v>
      </c>
      <c r="C352" s="10" t="s">
        <v>414</v>
      </c>
    </row>
    <row r="353" spans="1:8" x14ac:dyDescent="0.3">
      <c r="A353" t="s">
        <v>93</v>
      </c>
      <c r="B353" s="2">
        <v>45992</v>
      </c>
      <c r="C353" s="10" t="s">
        <v>415</v>
      </c>
    </row>
    <row r="354" spans="1:8" x14ac:dyDescent="0.3">
      <c r="A354" t="s">
        <v>93</v>
      </c>
      <c r="B354" s="2">
        <v>46023</v>
      </c>
      <c r="C354" s="10" t="s">
        <v>338</v>
      </c>
    </row>
    <row r="355" spans="1:8" x14ac:dyDescent="0.3">
      <c r="A355" t="s">
        <v>93</v>
      </c>
      <c r="B355" s="2">
        <v>46054</v>
      </c>
      <c r="C355" s="10" t="s">
        <v>326</v>
      </c>
    </row>
    <row r="356" spans="1:8" x14ac:dyDescent="0.3">
      <c r="A356" t="s">
        <v>93</v>
      </c>
      <c r="B356" s="2">
        <v>46082</v>
      </c>
      <c r="C356" s="10" t="s">
        <v>326</v>
      </c>
    </row>
    <row r="357" spans="1:8" x14ac:dyDescent="0.3">
      <c r="A357" t="s">
        <v>93</v>
      </c>
      <c r="B357" s="2">
        <v>46113</v>
      </c>
      <c r="C357" s="10" t="s">
        <v>416</v>
      </c>
    </row>
    <row r="358" spans="1:8" x14ac:dyDescent="0.3">
      <c r="A358" t="s">
        <v>93</v>
      </c>
      <c r="B358" s="2">
        <v>46143</v>
      </c>
      <c r="C358" s="10" t="s">
        <v>854</v>
      </c>
    </row>
    <row r="359" spans="1:8" x14ac:dyDescent="0.3">
      <c r="A359" t="s">
        <v>85</v>
      </c>
      <c r="B359" s="2">
        <v>46174</v>
      </c>
      <c r="C359" s="10"/>
    </row>
    <row r="360" spans="1:8" x14ac:dyDescent="0.3">
      <c r="A360" t="s">
        <v>85</v>
      </c>
      <c r="B360" s="2">
        <v>46204</v>
      </c>
      <c r="C360" s="10">
        <v>31</v>
      </c>
      <c r="D360">
        <v>0</v>
      </c>
      <c r="E360" t="s">
        <v>33</v>
      </c>
      <c r="F360" t="s">
        <v>33</v>
      </c>
      <c r="G360" t="s">
        <v>338</v>
      </c>
      <c r="H360" t="s">
        <v>36</v>
      </c>
    </row>
    <row r="361" spans="1:8" x14ac:dyDescent="0.3">
      <c r="A361" t="s">
        <v>93</v>
      </c>
      <c r="B361" s="2">
        <v>46235</v>
      </c>
      <c r="C361" s="10"/>
    </row>
    <row r="362" spans="1:8" ht="28.8" x14ac:dyDescent="0.3">
      <c r="A362" t="s">
        <v>95</v>
      </c>
      <c r="B362" s="2">
        <v>45536</v>
      </c>
      <c r="C362" s="10" t="s">
        <v>417</v>
      </c>
    </row>
    <row r="363" spans="1:8" ht="28.95" customHeight="1" x14ac:dyDescent="0.3">
      <c r="A363" t="s">
        <v>95</v>
      </c>
      <c r="B363" s="2">
        <v>45566</v>
      </c>
      <c r="C363" s="10" t="s">
        <v>418</v>
      </c>
    </row>
    <row r="364" spans="1:8" x14ac:dyDescent="0.3">
      <c r="A364" t="s">
        <v>95</v>
      </c>
      <c r="B364" s="2">
        <v>45597</v>
      </c>
      <c r="C364" s="10"/>
    </row>
    <row r="365" spans="1:8" x14ac:dyDescent="0.3">
      <c r="A365" t="s">
        <v>95</v>
      </c>
      <c r="B365" s="2">
        <v>45627</v>
      </c>
      <c r="C365" s="10"/>
    </row>
    <row r="366" spans="1:8" x14ac:dyDescent="0.3">
      <c r="A366" t="s">
        <v>95</v>
      </c>
      <c r="B366" s="2">
        <v>45658</v>
      </c>
      <c r="C366" s="10"/>
    </row>
    <row r="367" spans="1:8" ht="57.6" customHeight="1" x14ac:dyDescent="0.3">
      <c r="A367" t="s">
        <v>95</v>
      </c>
      <c r="B367" s="2">
        <v>45689</v>
      </c>
      <c r="C367" s="10" t="s">
        <v>419</v>
      </c>
    </row>
    <row r="368" spans="1:8" ht="43.2" customHeight="1" x14ac:dyDescent="0.3">
      <c r="A368" t="s">
        <v>95</v>
      </c>
      <c r="B368" s="2">
        <v>45717</v>
      </c>
      <c r="C368" s="10" t="s">
        <v>420</v>
      </c>
    </row>
    <row r="369" spans="1:8" ht="43.2" customHeight="1" x14ac:dyDescent="0.3">
      <c r="A369" t="s">
        <v>95</v>
      </c>
      <c r="B369" s="2">
        <v>45748</v>
      </c>
      <c r="C369" s="10" t="s">
        <v>420</v>
      </c>
    </row>
    <row r="370" spans="1:8" ht="57.6" customHeight="1" x14ac:dyDescent="0.3">
      <c r="A370" t="s">
        <v>95</v>
      </c>
      <c r="B370" s="2">
        <v>45778</v>
      </c>
      <c r="C370" s="10" t="s">
        <v>421</v>
      </c>
    </row>
    <row r="371" spans="1:8" ht="57.6" customHeight="1" x14ac:dyDescent="0.3">
      <c r="A371" t="s">
        <v>95</v>
      </c>
      <c r="B371" s="2">
        <v>45809</v>
      </c>
      <c r="C371" s="10" t="s">
        <v>422</v>
      </c>
    </row>
    <row r="372" spans="1:8" x14ac:dyDescent="0.3">
      <c r="A372" t="s">
        <v>95</v>
      </c>
      <c r="B372" s="2">
        <v>45839</v>
      </c>
      <c r="C372" s="10" t="s">
        <v>911</v>
      </c>
      <c r="D372">
        <v>0</v>
      </c>
      <c r="E372" t="s">
        <v>33</v>
      </c>
      <c r="F372" t="s">
        <v>33</v>
      </c>
      <c r="G372" s="10" t="s">
        <v>932</v>
      </c>
      <c r="H372" t="s">
        <v>36</v>
      </c>
    </row>
    <row r="373" spans="1:8" x14ac:dyDescent="0.3">
      <c r="A373" t="s">
        <v>95</v>
      </c>
      <c r="B373" s="2">
        <v>45870</v>
      </c>
      <c r="C373" s="10" t="s">
        <v>911</v>
      </c>
      <c r="D373">
        <v>0</v>
      </c>
      <c r="E373" t="s">
        <v>33</v>
      </c>
      <c r="F373" t="s">
        <v>33</v>
      </c>
      <c r="G373" s="10" t="s">
        <v>932</v>
      </c>
      <c r="H373" t="s">
        <v>36</v>
      </c>
    </row>
    <row r="374" spans="1:8" x14ac:dyDescent="0.3">
      <c r="A374" t="s">
        <v>95</v>
      </c>
      <c r="B374" s="2">
        <v>45901</v>
      </c>
      <c r="C374" s="10" t="s">
        <v>931</v>
      </c>
      <c r="D374">
        <v>0</v>
      </c>
      <c r="E374" t="s">
        <v>33</v>
      </c>
      <c r="F374" t="s">
        <v>33</v>
      </c>
      <c r="G374" s="10" t="s">
        <v>932</v>
      </c>
      <c r="H374" t="s">
        <v>36</v>
      </c>
    </row>
    <row r="375" spans="1:8" x14ac:dyDescent="0.3">
      <c r="A375" t="s">
        <v>95</v>
      </c>
      <c r="B375" s="2">
        <v>45931</v>
      </c>
      <c r="C375" s="10" t="s">
        <v>911</v>
      </c>
      <c r="D375">
        <v>0</v>
      </c>
      <c r="E375" t="s">
        <v>33</v>
      </c>
      <c r="F375" t="s">
        <v>33</v>
      </c>
      <c r="G375" s="10" t="s">
        <v>932</v>
      </c>
      <c r="H375" t="s">
        <v>36</v>
      </c>
    </row>
    <row r="376" spans="1:8" x14ac:dyDescent="0.3">
      <c r="A376" t="s">
        <v>95</v>
      </c>
      <c r="B376" s="2">
        <v>45962</v>
      </c>
      <c r="C376" s="10" t="s">
        <v>931</v>
      </c>
      <c r="D376">
        <v>0</v>
      </c>
      <c r="E376" t="s">
        <v>33</v>
      </c>
      <c r="F376" t="s">
        <v>33</v>
      </c>
      <c r="G376" s="10" t="s">
        <v>933</v>
      </c>
      <c r="H376" t="s">
        <v>36</v>
      </c>
    </row>
    <row r="377" spans="1:8" x14ac:dyDescent="0.3">
      <c r="A377" t="s">
        <v>95</v>
      </c>
      <c r="B377" s="2">
        <v>45992</v>
      </c>
      <c r="C377" s="10" t="s">
        <v>935</v>
      </c>
      <c r="D377" t="s">
        <v>934</v>
      </c>
      <c r="E377" t="s">
        <v>936</v>
      </c>
      <c r="F377" t="s">
        <v>33</v>
      </c>
      <c r="G377" s="10" t="s">
        <v>938</v>
      </c>
      <c r="H377" t="s">
        <v>36</v>
      </c>
    </row>
    <row r="378" spans="1:8" x14ac:dyDescent="0.3">
      <c r="A378" t="s">
        <v>95</v>
      </c>
      <c r="B378" s="2">
        <v>46023</v>
      </c>
      <c r="C378" s="10" t="s">
        <v>930</v>
      </c>
      <c r="D378" t="s">
        <v>904</v>
      </c>
      <c r="E378" t="s">
        <v>937</v>
      </c>
      <c r="F378" t="s">
        <v>939</v>
      </c>
      <c r="G378" s="10" t="s">
        <v>938</v>
      </c>
      <c r="H378" t="s">
        <v>36</v>
      </c>
    </row>
    <row r="379" spans="1:8" ht="28.8" x14ac:dyDescent="0.3">
      <c r="A379" t="s">
        <v>95</v>
      </c>
      <c r="B379" s="2">
        <v>46054</v>
      </c>
      <c r="C379" s="10" t="s">
        <v>940</v>
      </c>
      <c r="D379" t="s">
        <v>941</v>
      </c>
      <c r="E379" t="s">
        <v>937</v>
      </c>
      <c r="F379" t="s">
        <v>939</v>
      </c>
      <c r="G379" s="10" t="s">
        <v>424</v>
      </c>
      <c r="H379" t="s">
        <v>36</v>
      </c>
    </row>
    <row r="380" spans="1:8" x14ac:dyDescent="0.3">
      <c r="A380" t="s">
        <v>95</v>
      </c>
      <c r="B380" s="2">
        <v>46082</v>
      </c>
      <c r="C380" s="10" t="s">
        <v>911</v>
      </c>
      <c r="D380">
        <v>0</v>
      </c>
      <c r="E380" t="s">
        <v>33</v>
      </c>
      <c r="F380" t="s">
        <v>33</v>
      </c>
      <c r="G380" s="10" t="s">
        <v>932</v>
      </c>
      <c r="H380" t="s">
        <v>36</v>
      </c>
    </row>
    <row r="381" spans="1:8" x14ac:dyDescent="0.3">
      <c r="A381" t="s">
        <v>95</v>
      </c>
      <c r="B381" s="2">
        <v>46113</v>
      </c>
      <c r="C381" s="10" t="s">
        <v>919</v>
      </c>
      <c r="D381">
        <v>0</v>
      </c>
      <c r="E381" t="s">
        <v>33</v>
      </c>
      <c r="F381" t="s">
        <v>33</v>
      </c>
      <c r="G381" s="10" t="s">
        <v>932</v>
      </c>
      <c r="H381" t="s">
        <v>36</v>
      </c>
    </row>
    <row r="382" spans="1:8" x14ac:dyDescent="0.3">
      <c r="A382" t="s">
        <v>95</v>
      </c>
      <c r="B382" s="2">
        <v>46143</v>
      </c>
      <c r="C382" s="10" t="s">
        <v>911</v>
      </c>
      <c r="D382">
        <v>0</v>
      </c>
      <c r="E382" t="s">
        <v>33</v>
      </c>
      <c r="F382" t="s">
        <v>33</v>
      </c>
      <c r="G382" s="10" t="s">
        <v>932</v>
      </c>
      <c r="H382" t="s">
        <v>36</v>
      </c>
    </row>
    <row r="383" spans="1:8" x14ac:dyDescent="0.3">
      <c r="A383" t="s">
        <v>90</v>
      </c>
      <c r="B383" s="2">
        <v>46174</v>
      </c>
      <c r="C383" s="10"/>
    </row>
    <row r="384" spans="1:8" x14ac:dyDescent="0.3">
      <c r="A384" t="s">
        <v>90</v>
      </c>
      <c r="B384" s="2">
        <v>46204</v>
      </c>
      <c r="C384" s="10">
        <v>31</v>
      </c>
      <c r="D384">
        <v>0</v>
      </c>
      <c r="E384" t="s">
        <v>33</v>
      </c>
      <c r="F384" t="s">
        <v>33</v>
      </c>
      <c r="G384" t="s">
        <v>338</v>
      </c>
      <c r="H384" t="s">
        <v>36</v>
      </c>
    </row>
    <row r="385" spans="1:8" x14ac:dyDescent="0.3">
      <c r="A385" t="s">
        <v>95</v>
      </c>
      <c r="B385" s="2">
        <v>46235</v>
      </c>
      <c r="C385" s="10"/>
    </row>
    <row r="386" spans="1:8" x14ac:dyDescent="0.3">
      <c r="A386" t="s">
        <v>239</v>
      </c>
      <c r="B386" s="2">
        <v>45536</v>
      </c>
      <c r="C386" s="10"/>
    </row>
    <row r="387" spans="1:8" x14ac:dyDescent="0.3">
      <c r="A387" t="s">
        <v>239</v>
      </c>
      <c r="B387" s="2">
        <v>45566</v>
      </c>
      <c r="C387" s="10"/>
    </row>
    <row r="388" spans="1:8" x14ac:dyDescent="0.3">
      <c r="A388" t="s">
        <v>239</v>
      </c>
      <c r="B388" s="2">
        <v>45597</v>
      </c>
      <c r="C388" s="10"/>
    </row>
    <row r="389" spans="1:8" x14ac:dyDescent="0.3">
      <c r="A389" t="s">
        <v>239</v>
      </c>
      <c r="B389" s="2">
        <v>45627</v>
      </c>
      <c r="C389" s="10"/>
    </row>
    <row r="390" spans="1:8" x14ac:dyDescent="0.3">
      <c r="A390" t="s">
        <v>239</v>
      </c>
      <c r="B390" s="2">
        <v>45658</v>
      </c>
      <c r="C390" s="10"/>
    </row>
    <row r="391" spans="1:8" x14ac:dyDescent="0.3">
      <c r="A391" t="s">
        <v>239</v>
      </c>
      <c r="B391" s="2">
        <v>45689</v>
      </c>
      <c r="C391" s="10"/>
    </row>
    <row r="392" spans="1:8" x14ac:dyDescent="0.3">
      <c r="A392" t="s">
        <v>239</v>
      </c>
      <c r="B392" s="2">
        <v>45717</v>
      </c>
      <c r="C392" s="10"/>
    </row>
    <row r="393" spans="1:8" x14ac:dyDescent="0.3">
      <c r="A393" t="s">
        <v>239</v>
      </c>
      <c r="B393" s="2">
        <v>45748</v>
      </c>
      <c r="C393" s="10"/>
    </row>
    <row r="394" spans="1:8" x14ac:dyDescent="0.3">
      <c r="A394" t="s">
        <v>239</v>
      </c>
      <c r="B394" s="2">
        <v>45778</v>
      </c>
      <c r="C394" s="10"/>
    </row>
    <row r="395" spans="1:8" x14ac:dyDescent="0.3">
      <c r="A395" t="s">
        <v>239</v>
      </c>
      <c r="B395" s="2">
        <v>45809</v>
      </c>
      <c r="C395" s="10"/>
    </row>
    <row r="396" spans="1:8" x14ac:dyDescent="0.3">
      <c r="A396" t="s">
        <v>239</v>
      </c>
      <c r="B396" s="2">
        <v>45839</v>
      </c>
      <c r="C396" t="s">
        <v>911</v>
      </c>
      <c r="D396" t="s">
        <v>36</v>
      </c>
      <c r="E396" t="s">
        <v>36</v>
      </c>
      <c r="F396" t="s">
        <v>36</v>
      </c>
      <c r="G396" t="s">
        <v>36</v>
      </c>
      <c r="H396" t="s">
        <v>967</v>
      </c>
    </row>
    <row r="397" spans="1:8" x14ac:dyDescent="0.3">
      <c r="A397" t="s">
        <v>239</v>
      </c>
      <c r="B397" s="2">
        <v>45870</v>
      </c>
      <c r="C397" t="s">
        <v>911</v>
      </c>
      <c r="D397" t="s">
        <v>36</v>
      </c>
      <c r="E397" t="s">
        <v>36</v>
      </c>
      <c r="F397" t="s">
        <v>36</v>
      </c>
      <c r="G397" t="s">
        <v>36</v>
      </c>
      <c r="H397" t="s">
        <v>967</v>
      </c>
    </row>
    <row r="398" spans="1:8" x14ac:dyDescent="0.3">
      <c r="A398" t="s">
        <v>239</v>
      </c>
      <c r="B398" s="2">
        <v>45901</v>
      </c>
      <c r="C398" t="s">
        <v>919</v>
      </c>
      <c r="D398" t="s">
        <v>36</v>
      </c>
      <c r="E398" t="s">
        <v>36</v>
      </c>
      <c r="F398" t="s">
        <v>36</v>
      </c>
      <c r="G398" t="s">
        <v>36</v>
      </c>
      <c r="H398" t="s">
        <v>967</v>
      </c>
    </row>
    <row r="399" spans="1:8" x14ac:dyDescent="0.3">
      <c r="A399" t="s">
        <v>239</v>
      </c>
      <c r="B399" s="2">
        <v>45931</v>
      </c>
      <c r="C399" t="s">
        <v>911</v>
      </c>
      <c r="D399" t="s">
        <v>36</v>
      </c>
      <c r="E399" t="s">
        <v>36</v>
      </c>
      <c r="F399" t="s">
        <v>36</v>
      </c>
      <c r="G399" t="s">
        <v>36</v>
      </c>
      <c r="H399" t="s">
        <v>967</v>
      </c>
    </row>
    <row r="400" spans="1:8" x14ac:dyDescent="0.3">
      <c r="A400" t="s">
        <v>239</v>
      </c>
      <c r="B400" s="2">
        <v>45962</v>
      </c>
      <c r="C400" t="s">
        <v>919</v>
      </c>
      <c r="D400">
        <v>0</v>
      </c>
      <c r="E400" t="s">
        <v>33</v>
      </c>
      <c r="F400" t="s">
        <v>33</v>
      </c>
      <c r="G400" s="10" t="s">
        <v>338</v>
      </c>
      <c r="H400" t="s">
        <v>36</v>
      </c>
    </row>
    <row r="401" spans="1:8" x14ac:dyDescent="0.3">
      <c r="A401" t="s">
        <v>239</v>
      </c>
      <c r="B401" s="2">
        <v>45992</v>
      </c>
      <c r="C401" t="s">
        <v>911</v>
      </c>
      <c r="D401">
        <v>0</v>
      </c>
      <c r="E401" t="s">
        <v>33</v>
      </c>
      <c r="F401" t="s">
        <v>33</v>
      </c>
      <c r="G401" s="10" t="s">
        <v>338</v>
      </c>
      <c r="H401" t="s">
        <v>36</v>
      </c>
    </row>
    <row r="402" spans="1:8" x14ac:dyDescent="0.3">
      <c r="A402" t="s">
        <v>239</v>
      </c>
      <c r="B402" s="2">
        <v>46023</v>
      </c>
      <c r="C402" t="s">
        <v>911</v>
      </c>
      <c r="D402">
        <v>0</v>
      </c>
      <c r="E402" t="s">
        <v>33</v>
      </c>
      <c r="F402" t="s">
        <v>33</v>
      </c>
      <c r="G402" s="10" t="s">
        <v>338</v>
      </c>
      <c r="H402" t="s">
        <v>36</v>
      </c>
    </row>
    <row r="403" spans="1:8" x14ac:dyDescent="0.3">
      <c r="A403" t="s">
        <v>239</v>
      </c>
      <c r="B403" s="2">
        <v>46054</v>
      </c>
      <c r="C403" t="s">
        <v>895</v>
      </c>
      <c r="D403">
        <v>0</v>
      </c>
      <c r="E403" t="s">
        <v>33</v>
      </c>
      <c r="F403" t="s">
        <v>33</v>
      </c>
      <c r="G403" s="10" t="s">
        <v>338</v>
      </c>
      <c r="H403" t="s">
        <v>36</v>
      </c>
    </row>
    <row r="404" spans="1:8" x14ac:dyDescent="0.3">
      <c r="A404" t="s">
        <v>239</v>
      </c>
      <c r="B404" s="2">
        <v>46082</v>
      </c>
      <c r="C404" t="s">
        <v>911</v>
      </c>
      <c r="D404">
        <v>0</v>
      </c>
      <c r="E404" t="s">
        <v>33</v>
      </c>
      <c r="F404" t="s">
        <v>33</v>
      </c>
      <c r="G404" s="10" t="s">
        <v>338</v>
      </c>
      <c r="H404" t="s">
        <v>36</v>
      </c>
    </row>
    <row r="405" spans="1:8" x14ac:dyDescent="0.3">
      <c r="A405" t="s">
        <v>239</v>
      </c>
      <c r="B405" s="2">
        <v>46113</v>
      </c>
      <c r="C405" t="s">
        <v>919</v>
      </c>
      <c r="D405">
        <v>0</v>
      </c>
      <c r="E405" t="s">
        <v>33</v>
      </c>
      <c r="F405" t="s">
        <v>33</v>
      </c>
      <c r="G405" s="10" t="s">
        <v>302</v>
      </c>
      <c r="H405" t="s">
        <v>36</v>
      </c>
    </row>
    <row r="406" spans="1:8" x14ac:dyDescent="0.3">
      <c r="A406" t="s">
        <v>239</v>
      </c>
      <c r="B406" s="2">
        <v>46143</v>
      </c>
      <c r="C406" t="s">
        <v>911</v>
      </c>
      <c r="D406">
        <v>0</v>
      </c>
      <c r="E406" t="s">
        <v>33</v>
      </c>
      <c r="F406" t="s">
        <v>33</v>
      </c>
      <c r="G406" s="10" t="s">
        <v>302</v>
      </c>
      <c r="H406" t="s">
        <v>36</v>
      </c>
    </row>
    <row r="407" spans="1:8" x14ac:dyDescent="0.3">
      <c r="A407" t="s">
        <v>93</v>
      </c>
      <c r="B407" s="2">
        <v>46174</v>
      </c>
      <c r="C407" s="10"/>
    </row>
    <row r="408" spans="1:8" x14ac:dyDescent="0.3">
      <c r="A408" t="s">
        <v>93</v>
      </c>
      <c r="B408" s="2">
        <v>46204</v>
      </c>
      <c r="C408" s="10">
        <v>31</v>
      </c>
      <c r="D408">
        <v>0</v>
      </c>
      <c r="E408" t="s">
        <v>33</v>
      </c>
      <c r="F408" t="s">
        <v>1064</v>
      </c>
      <c r="G408" s="10" t="s">
        <v>36</v>
      </c>
      <c r="H408" s="10" t="s">
        <v>36</v>
      </c>
    </row>
    <row r="409" spans="1:8" x14ac:dyDescent="0.3">
      <c r="A409" t="s">
        <v>239</v>
      </c>
      <c r="B409" s="2">
        <v>46235</v>
      </c>
      <c r="C409" s="10"/>
    </row>
    <row r="410" spans="1:8" x14ac:dyDescent="0.3">
      <c r="A410" t="s">
        <v>98</v>
      </c>
      <c r="B410" s="2">
        <v>45536</v>
      </c>
      <c r="C410" s="10"/>
    </row>
    <row r="411" spans="1:8" x14ac:dyDescent="0.3">
      <c r="A411" t="s">
        <v>98</v>
      </c>
      <c r="B411" s="2">
        <v>45566</v>
      </c>
      <c r="C411" s="10"/>
    </row>
    <row r="412" spans="1:8" x14ac:dyDescent="0.3">
      <c r="A412" t="s">
        <v>98</v>
      </c>
      <c r="B412" s="2">
        <v>45597</v>
      </c>
      <c r="C412" s="10"/>
    </row>
    <row r="413" spans="1:8" x14ac:dyDescent="0.3">
      <c r="A413" t="s">
        <v>98</v>
      </c>
      <c r="B413" s="2">
        <v>45627</v>
      </c>
      <c r="C413" s="10"/>
    </row>
    <row r="414" spans="1:8" x14ac:dyDescent="0.3">
      <c r="A414" t="s">
        <v>98</v>
      </c>
      <c r="B414" s="2">
        <v>45658</v>
      </c>
      <c r="C414" s="10"/>
    </row>
    <row r="415" spans="1:8" ht="28.95" customHeight="1" x14ac:dyDescent="0.3">
      <c r="A415" t="s">
        <v>98</v>
      </c>
      <c r="B415" s="2">
        <v>45689</v>
      </c>
      <c r="C415" s="10" t="s">
        <v>425</v>
      </c>
    </row>
    <row r="416" spans="1:8" ht="28.95" customHeight="1" x14ac:dyDescent="0.3">
      <c r="A416" t="s">
        <v>98</v>
      </c>
      <c r="B416" s="2">
        <v>45717</v>
      </c>
      <c r="C416" s="10" t="s">
        <v>426</v>
      </c>
    </row>
    <row r="417" spans="1:8" ht="43.2" customHeight="1" x14ac:dyDescent="0.3">
      <c r="A417" t="s">
        <v>98</v>
      </c>
      <c r="B417" s="2">
        <v>45748</v>
      </c>
      <c r="C417" s="10" t="s">
        <v>427</v>
      </c>
    </row>
    <row r="418" spans="1:8" ht="72" customHeight="1" x14ac:dyDescent="0.3">
      <c r="A418" t="s">
        <v>98</v>
      </c>
      <c r="B418" s="2">
        <v>45778</v>
      </c>
      <c r="C418" s="10" t="s">
        <v>428</v>
      </c>
    </row>
    <row r="419" spans="1:8" ht="72" customHeight="1" x14ac:dyDescent="0.3">
      <c r="A419" t="s">
        <v>98</v>
      </c>
      <c r="B419" s="2">
        <v>45809</v>
      </c>
      <c r="C419" s="10" t="s">
        <v>429</v>
      </c>
    </row>
    <row r="420" spans="1:8" ht="72" customHeight="1" x14ac:dyDescent="0.3">
      <c r="A420" t="s">
        <v>98</v>
      </c>
      <c r="B420" s="2">
        <v>45839</v>
      </c>
      <c r="C420" s="10" t="s">
        <v>430</v>
      </c>
    </row>
    <row r="421" spans="1:8" ht="57.6" customHeight="1" x14ac:dyDescent="0.3">
      <c r="A421" t="s">
        <v>98</v>
      </c>
      <c r="B421" s="2">
        <v>45870</v>
      </c>
      <c r="C421" s="10" t="s">
        <v>431</v>
      </c>
    </row>
    <row r="422" spans="1:8" ht="57.6" customHeight="1" x14ac:dyDescent="0.3">
      <c r="A422" t="s">
        <v>98</v>
      </c>
      <c r="B422" s="2">
        <v>45901</v>
      </c>
      <c r="C422" s="10" t="s">
        <v>432</v>
      </c>
    </row>
    <row r="423" spans="1:8" ht="57.6" customHeight="1" x14ac:dyDescent="0.3">
      <c r="A423" t="s">
        <v>98</v>
      </c>
      <c r="B423" s="2">
        <v>45931</v>
      </c>
      <c r="C423" s="10" t="s">
        <v>433</v>
      </c>
    </row>
    <row r="424" spans="1:8" ht="57.6" customHeight="1" x14ac:dyDescent="0.3">
      <c r="A424" t="s">
        <v>98</v>
      </c>
      <c r="B424" s="2">
        <v>45962</v>
      </c>
      <c r="C424" s="10" t="s">
        <v>434</v>
      </c>
    </row>
    <row r="425" spans="1:8" ht="28.8" x14ac:dyDescent="0.3">
      <c r="A425" t="s">
        <v>98</v>
      </c>
      <c r="B425" s="2">
        <v>45992</v>
      </c>
      <c r="C425" s="10" t="s">
        <v>435</v>
      </c>
    </row>
    <row r="426" spans="1:8" ht="28.8" x14ac:dyDescent="0.3">
      <c r="A426" t="s">
        <v>98</v>
      </c>
      <c r="B426" s="2">
        <v>46023</v>
      </c>
      <c r="C426" s="10" t="s">
        <v>436</v>
      </c>
    </row>
    <row r="427" spans="1:8" ht="43.2" x14ac:dyDescent="0.3">
      <c r="A427" t="s">
        <v>98</v>
      </c>
      <c r="B427" s="2">
        <v>46054</v>
      </c>
      <c r="C427" s="10" t="s">
        <v>437</v>
      </c>
    </row>
    <row r="428" spans="1:8" ht="28.8" x14ac:dyDescent="0.3">
      <c r="A428" t="s">
        <v>98</v>
      </c>
      <c r="B428" s="2">
        <v>46082</v>
      </c>
      <c r="C428" s="10" t="s">
        <v>438</v>
      </c>
    </row>
    <row r="429" spans="1:8" ht="28.8" x14ac:dyDescent="0.3">
      <c r="A429" t="s">
        <v>98</v>
      </c>
      <c r="B429" s="2">
        <v>46113</v>
      </c>
      <c r="C429" s="10" t="s">
        <v>438</v>
      </c>
    </row>
    <row r="430" spans="1:8" ht="28.8" x14ac:dyDescent="0.3">
      <c r="A430" t="s">
        <v>98</v>
      </c>
      <c r="B430" s="2">
        <v>46143</v>
      </c>
      <c r="C430" s="10" t="s">
        <v>855</v>
      </c>
    </row>
    <row r="431" spans="1:8" x14ac:dyDescent="0.3">
      <c r="A431" t="s">
        <v>95</v>
      </c>
      <c r="B431" s="2">
        <v>46174</v>
      </c>
      <c r="C431" s="10" t="s">
        <v>919</v>
      </c>
      <c r="D431">
        <v>0</v>
      </c>
      <c r="E431" t="s">
        <v>33</v>
      </c>
      <c r="F431" t="s">
        <v>33</v>
      </c>
      <c r="G431" s="10" t="s">
        <v>932</v>
      </c>
      <c r="H431" t="s">
        <v>36</v>
      </c>
    </row>
    <row r="432" spans="1:8" x14ac:dyDescent="0.3">
      <c r="A432" t="s">
        <v>95</v>
      </c>
      <c r="B432" s="2">
        <v>46204</v>
      </c>
      <c r="C432" s="10">
        <v>31</v>
      </c>
      <c r="D432">
        <v>0</v>
      </c>
      <c r="E432" t="s">
        <v>33</v>
      </c>
      <c r="F432" t="s">
        <v>33</v>
      </c>
      <c r="G432" s="10" t="s">
        <v>932</v>
      </c>
      <c r="H432" t="s">
        <v>36</v>
      </c>
    </row>
    <row r="433" spans="1:3" x14ac:dyDescent="0.3">
      <c r="A433" t="s">
        <v>98</v>
      </c>
      <c r="B433" s="2">
        <v>46235</v>
      </c>
      <c r="C433" s="10"/>
    </row>
    <row r="434" spans="1:3" x14ac:dyDescent="0.3">
      <c r="A434" t="s">
        <v>102</v>
      </c>
      <c r="B434" s="2">
        <v>45536</v>
      </c>
      <c r="C434" s="10"/>
    </row>
    <row r="435" spans="1:3" x14ac:dyDescent="0.3">
      <c r="A435" t="s">
        <v>102</v>
      </c>
      <c r="B435" s="2">
        <v>45566</v>
      </c>
      <c r="C435" s="10"/>
    </row>
    <row r="436" spans="1:3" x14ac:dyDescent="0.3">
      <c r="A436" t="s">
        <v>102</v>
      </c>
      <c r="B436" s="2">
        <v>45597</v>
      </c>
      <c r="C436" s="10"/>
    </row>
    <row r="437" spans="1:3" x14ac:dyDescent="0.3">
      <c r="A437" t="s">
        <v>102</v>
      </c>
      <c r="B437" s="2">
        <v>45627</v>
      </c>
      <c r="C437" s="10"/>
    </row>
    <row r="438" spans="1:3" x14ac:dyDescent="0.3">
      <c r="A438" t="s">
        <v>102</v>
      </c>
      <c r="B438" s="2">
        <v>45658</v>
      </c>
      <c r="C438" s="10"/>
    </row>
    <row r="439" spans="1:3" ht="57.6" customHeight="1" x14ac:dyDescent="0.3">
      <c r="A439" t="s">
        <v>102</v>
      </c>
      <c r="B439" s="2">
        <v>45689</v>
      </c>
      <c r="C439" s="10" t="s">
        <v>439</v>
      </c>
    </row>
    <row r="440" spans="1:3" ht="43.2" customHeight="1" x14ac:dyDescent="0.3">
      <c r="A440" t="s">
        <v>102</v>
      </c>
      <c r="B440" s="2">
        <v>45717</v>
      </c>
      <c r="C440" s="10" t="s">
        <v>440</v>
      </c>
    </row>
    <row r="441" spans="1:3" ht="43.2" customHeight="1" x14ac:dyDescent="0.3">
      <c r="A441" t="s">
        <v>102</v>
      </c>
      <c r="B441" s="2">
        <v>45748</v>
      </c>
      <c r="C441" s="10" t="s">
        <v>441</v>
      </c>
    </row>
    <row r="442" spans="1:3" ht="57.6" customHeight="1" x14ac:dyDescent="0.3">
      <c r="A442" t="s">
        <v>102</v>
      </c>
      <c r="B442" s="2">
        <v>45778</v>
      </c>
      <c r="C442" s="10" t="s">
        <v>442</v>
      </c>
    </row>
    <row r="443" spans="1:3" ht="72" customHeight="1" x14ac:dyDescent="0.3">
      <c r="A443" t="s">
        <v>102</v>
      </c>
      <c r="B443" s="2">
        <v>45809</v>
      </c>
      <c r="C443" s="10" t="s">
        <v>443</v>
      </c>
    </row>
    <row r="444" spans="1:3" ht="57.6" customHeight="1" x14ac:dyDescent="0.3">
      <c r="A444" t="s">
        <v>102</v>
      </c>
      <c r="B444" s="2">
        <v>45839</v>
      </c>
      <c r="C444" s="10" t="s">
        <v>444</v>
      </c>
    </row>
    <row r="445" spans="1:3" ht="86.4" customHeight="1" x14ac:dyDescent="0.3">
      <c r="A445" t="s">
        <v>102</v>
      </c>
      <c r="B445" s="2">
        <v>45870</v>
      </c>
      <c r="C445" s="10" t="s">
        <v>445</v>
      </c>
    </row>
    <row r="446" spans="1:3" ht="57.6" customHeight="1" x14ac:dyDescent="0.3">
      <c r="A446" t="s">
        <v>102</v>
      </c>
      <c r="B446" s="2">
        <v>45901</v>
      </c>
      <c r="C446" s="10" t="s">
        <v>446</v>
      </c>
    </row>
    <row r="447" spans="1:3" ht="57.6" customHeight="1" x14ac:dyDescent="0.3">
      <c r="A447" t="s">
        <v>102</v>
      </c>
      <c r="B447" s="2">
        <v>45931</v>
      </c>
      <c r="C447" s="10" t="s">
        <v>447</v>
      </c>
    </row>
    <row r="448" spans="1:3" ht="57.6" customHeight="1" x14ac:dyDescent="0.3">
      <c r="A448" t="s">
        <v>102</v>
      </c>
      <c r="B448" s="2">
        <v>45962</v>
      </c>
      <c r="C448" s="10" t="s">
        <v>448</v>
      </c>
    </row>
    <row r="449" spans="1:8" ht="28.8" x14ac:dyDescent="0.3">
      <c r="A449" t="s">
        <v>102</v>
      </c>
      <c r="B449" s="2">
        <v>45992</v>
      </c>
      <c r="C449" s="10" t="s">
        <v>435</v>
      </c>
    </row>
    <row r="450" spans="1:8" x14ac:dyDescent="0.3">
      <c r="A450" t="s">
        <v>102</v>
      </c>
      <c r="B450" s="2">
        <v>46023</v>
      </c>
      <c r="C450" s="10" t="s">
        <v>423</v>
      </c>
    </row>
    <row r="451" spans="1:8" x14ac:dyDescent="0.3">
      <c r="A451" t="s">
        <v>102</v>
      </c>
      <c r="B451" s="2">
        <v>46054</v>
      </c>
      <c r="C451" s="10" t="s">
        <v>423</v>
      </c>
    </row>
    <row r="452" spans="1:8" x14ac:dyDescent="0.3">
      <c r="A452" t="s">
        <v>102</v>
      </c>
      <c r="B452" s="2">
        <v>46082</v>
      </c>
      <c r="C452" s="10" t="s">
        <v>423</v>
      </c>
    </row>
    <row r="453" spans="1:8" x14ac:dyDescent="0.3">
      <c r="A453" t="s">
        <v>102</v>
      </c>
      <c r="B453" s="2">
        <v>46113</v>
      </c>
      <c r="C453" s="10" t="s">
        <v>423</v>
      </c>
    </row>
    <row r="454" spans="1:8" x14ac:dyDescent="0.3">
      <c r="A454" t="s">
        <v>102</v>
      </c>
      <c r="B454" s="2">
        <v>46143</v>
      </c>
      <c r="C454" s="10" t="s">
        <v>852</v>
      </c>
    </row>
    <row r="455" spans="1:8" x14ac:dyDescent="0.3">
      <c r="A455" t="s">
        <v>271</v>
      </c>
      <c r="B455" s="2">
        <v>46174</v>
      </c>
      <c r="C455" t="s">
        <v>919</v>
      </c>
      <c r="D455">
        <v>0</v>
      </c>
      <c r="E455" t="s">
        <v>36</v>
      </c>
      <c r="F455" t="s">
        <v>912</v>
      </c>
      <c r="G455" t="s">
        <v>33</v>
      </c>
      <c r="H455" t="s">
        <v>36</v>
      </c>
    </row>
    <row r="456" spans="1:8" x14ac:dyDescent="0.3">
      <c r="A456" t="s">
        <v>271</v>
      </c>
      <c r="B456" s="2">
        <v>46204</v>
      </c>
      <c r="C456">
        <v>18</v>
      </c>
      <c r="D456" s="42" t="s">
        <v>1022</v>
      </c>
      <c r="E456" t="s">
        <v>1024</v>
      </c>
      <c r="F456" t="s">
        <v>1008</v>
      </c>
      <c r="G456" s="33" t="s">
        <v>1025</v>
      </c>
      <c r="H456" t="s">
        <v>36</v>
      </c>
    </row>
    <row r="457" spans="1:8" x14ac:dyDescent="0.3">
      <c r="A457" t="s">
        <v>102</v>
      </c>
      <c r="B457" s="2">
        <v>46235</v>
      </c>
      <c r="C457" s="10"/>
    </row>
    <row r="458" spans="1:8" x14ac:dyDescent="0.3">
      <c r="A458" t="s">
        <v>104</v>
      </c>
      <c r="B458" s="2">
        <v>45536</v>
      </c>
      <c r="C458" s="10" t="s">
        <v>449</v>
      </c>
    </row>
    <row r="459" spans="1:8" x14ac:dyDescent="0.3">
      <c r="A459" t="s">
        <v>104</v>
      </c>
      <c r="B459" s="2">
        <v>45566</v>
      </c>
      <c r="C459" s="10" t="s">
        <v>449</v>
      </c>
    </row>
    <row r="460" spans="1:8" x14ac:dyDescent="0.3">
      <c r="A460" t="s">
        <v>104</v>
      </c>
      <c r="B460" s="2">
        <v>45597</v>
      </c>
      <c r="C460" s="10"/>
    </row>
    <row r="461" spans="1:8" x14ac:dyDescent="0.3">
      <c r="A461" t="s">
        <v>104</v>
      </c>
      <c r="B461" s="2">
        <v>45627</v>
      </c>
      <c r="C461" s="10"/>
    </row>
    <row r="462" spans="1:8" x14ac:dyDescent="0.3">
      <c r="A462" t="s">
        <v>104</v>
      </c>
      <c r="B462" s="2">
        <v>45658</v>
      </c>
      <c r="C462" s="10"/>
    </row>
    <row r="463" spans="1:8" ht="57.6" customHeight="1" x14ac:dyDescent="0.3">
      <c r="A463" t="s">
        <v>104</v>
      </c>
      <c r="B463" s="2">
        <v>45689</v>
      </c>
      <c r="C463" s="10" t="s">
        <v>450</v>
      </c>
    </row>
    <row r="464" spans="1:8" ht="57.6" customHeight="1" x14ac:dyDescent="0.3">
      <c r="A464" t="s">
        <v>104</v>
      </c>
      <c r="B464" s="2">
        <v>45717</v>
      </c>
      <c r="C464" s="10" t="s">
        <v>451</v>
      </c>
    </row>
    <row r="465" spans="1:8" ht="57.6" customHeight="1" x14ac:dyDescent="0.3">
      <c r="A465" t="s">
        <v>104</v>
      </c>
      <c r="B465" s="2">
        <v>45748</v>
      </c>
      <c r="C465" s="10" t="s">
        <v>452</v>
      </c>
    </row>
    <row r="466" spans="1:8" ht="72" customHeight="1" x14ac:dyDescent="0.3">
      <c r="A466" t="s">
        <v>104</v>
      </c>
      <c r="B466" s="2">
        <v>45778</v>
      </c>
      <c r="C466" s="10" t="s">
        <v>453</v>
      </c>
    </row>
    <row r="467" spans="1:8" ht="57.6" customHeight="1" x14ac:dyDescent="0.3">
      <c r="A467" t="s">
        <v>104</v>
      </c>
      <c r="B467" s="2">
        <v>45809</v>
      </c>
      <c r="C467" s="10" t="s">
        <v>454</v>
      </c>
    </row>
    <row r="468" spans="1:8" x14ac:dyDescent="0.3">
      <c r="A468" t="s">
        <v>104</v>
      </c>
      <c r="B468" s="2">
        <v>45839</v>
      </c>
      <c r="C468" t="s">
        <v>949</v>
      </c>
      <c r="D468" t="s">
        <v>948</v>
      </c>
      <c r="E468" t="s">
        <v>950</v>
      </c>
      <c r="F468" t="s">
        <v>951</v>
      </c>
      <c r="G468" s="10" t="s">
        <v>932</v>
      </c>
      <c r="H468" t="s">
        <v>36</v>
      </c>
    </row>
    <row r="469" spans="1:8" x14ac:dyDescent="0.3">
      <c r="A469" t="s">
        <v>104</v>
      </c>
      <c r="B469" s="2">
        <v>45870</v>
      </c>
      <c r="C469" t="s">
        <v>898</v>
      </c>
      <c r="D469" t="s">
        <v>952</v>
      </c>
      <c r="E469" t="s">
        <v>950</v>
      </c>
      <c r="F469" t="s">
        <v>951</v>
      </c>
      <c r="G469" s="10" t="s">
        <v>932</v>
      </c>
      <c r="H469" t="s">
        <v>36</v>
      </c>
    </row>
    <row r="470" spans="1:8" x14ac:dyDescent="0.3">
      <c r="A470" t="s">
        <v>104</v>
      </c>
      <c r="B470" s="2">
        <v>45901</v>
      </c>
      <c r="C470" t="s">
        <v>919</v>
      </c>
      <c r="D470" t="s">
        <v>33</v>
      </c>
      <c r="E470" t="s">
        <v>33</v>
      </c>
      <c r="F470" t="s">
        <v>33</v>
      </c>
      <c r="G470" s="10" t="s">
        <v>932</v>
      </c>
      <c r="H470" t="s">
        <v>36</v>
      </c>
    </row>
    <row r="471" spans="1:8" x14ac:dyDescent="0.3">
      <c r="A471" t="s">
        <v>104</v>
      </c>
      <c r="B471" s="2">
        <v>45931</v>
      </c>
      <c r="C471" t="s">
        <v>954</v>
      </c>
      <c r="D471" t="s">
        <v>953</v>
      </c>
      <c r="E471" t="s">
        <v>950</v>
      </c>
      <c r="F471" t="s">
        <v>951</v>
      </c>
      <c r="G471" s="10" t="s">
        <v>932</v>
      </c>
      <c r="H471" t="s">
        <v>36</v>
      </c>
    </row>
    <row r="472" spans="1:8" x14ac:dyDescent="0.3">
      <c r="A472" t="s">
        <v>104</v>
      </c>
      <c r="B472" s="2">
        <v>45962</v>
      </c>
      <c r="C472" t="s">
        <v>919</v>
      </c>
      <c r="D472">
        <v>0</v>
      </c>
      <c r="E472" t="s">
        <v>33</v>
      </c>
      <c r="F472" t="s">
        <v>33</v>
      </c>
      <c r="G472" s="10" t="s">
        <v>932</v>
      </c>
      <c r="H472" t="s">
        <v>36</v>
      </c>
    </row>
    <row r="473" spans="1:8" x14ac:dyDescent="0.3">
      <c r="A473" t="s">
        <v>104</v>
      </c>
      <c r="B473" s="2">
        <v>45992</v>
      </c>
      <c r="C473" t="s">
        <v>919</v>
      </c>
      <c r="D473" t="s">
        <v>955</v>
      </c>
      <c r="E473" t="s">
        <v>936</v>
      </c>
      <c r="F473" t="s">
        <v>33</v>
      </c>
      <c r="G473" s="10" t="s">
        <v>932</v>
      </c>
      <c r="H473" t="s">
        <v>36</v>
      </c>
    </row>
    <row r="474" spans="1:8" x14ac:dyDescent="0.3">
      <c r="A474" t="s">
        <v>104</v>
      </c>
      <c r="B474" s="2">
        <v>46023</v>
      </c>
      <c r="C474" t="s">
        <v>911</v>
      </c>
      <c r="D474">
        <v>0</v>
      </c>
      <c r="E474" t="s">
        <v>33</v>
      </c>
      <c r="F474" t="s">
        <v>33</v>
      </c>
      <c r="G474" s="10" t="s">
        <v>932</v>
      </c>
      <c r="H474" t="s">
        <v>36</v>
      </c>
    </row>
    <row r="475" spans="1:8" x14ac:dyDescent="0.3">
      <c r="A475" t="s">
        <v>104</v>
      </c>
      <c r="B475" s="2">
        <v>46054</v>
      </c>
      <c r="C475" t="s">
        <v>895</v>
      </c>
      <c r="D475">
        <v>0</v>
      </c>
      <c r="E475" t="s">
        <v>33</v>
      </c>
      <c r="F475" t="s">
        <v>33</v>
      </c>
      <c r="G475" s="10" t="s">
        <v>932</v>
      </c>
      <c r="H475" t="s">
        <v>36</v>
      </c>
    </row>
    <row r="476" spans="1:8" x14ac:dyDescent="0.3">
      <c r="A476" t="s">
        <v>104</v>
      </c>
      <c r="B476" s="2">
        <v>46082</v>
      </c>
      <c r="C476" t="s">
        <v>917</v>
      </c>
      <c r="D476" t="s">
        <v>956</v>
      </c>
      <c r="E476" t="s">
        <v>950</v>
      </c>
      <c r="F476" t="s">
        <v>951</v>
      </c>
      <c r="G476" s="10" t="s">
        <v>932</v>
      </c>
      <c r="H476" t="s">
        <v>36</v>
      </c>
    </row>
    <row r="477" spans="1:8" x14ac:dyDescent="0.3">
      <c r="A477" t="s">
        <v>104</v>
      </c>
      <c r="B477" s="2">
        <v>46113</v>
      </c>
      <c r="C477" t="s">
        <v>919</v>
      </c>
      <c r="D477">
        <v>0</v>
      </c>
      <c r="E477" t="s">
        <v>33</v>
      </c>
      <c r="F477" t="s">
        <v>33</v>
      </c>
      <c r="G477" s="10" t="s">
        <v>932</v>
      </c>
    </row>
    <row r="478" spans="1:8" x14ac:dyDescent="0.3">
      <c r="A478" t="s">
        <v>104</v>
      </c>
      <c r="B478" s="2">
        <v>46143</v>
      </c>
      <c r="C478" t="s">
        <v>957</v>
      </c>
      <c r="D478" t="s">
        <v>958</v>
      </c>
      <c r="E478" t="s">
        <v>950</v>
      </c>
      <c r="F478" t="s">
        <v>951</v>
      </c>
      <c r="G478" s="10" t="s">
        <v>856</v>
      </c>
    </row>
    <row r="479" spans="1:8" x14ac:dyDescent="0.3">
      <c r="A479" t="s">
        <v>239</v>
      </c>
      <c r="B479" s="2">
        <v>46174</v>
      </c>
      <c r="C479" t="s">
        <v>919</v>
      </c>
      <c r="D479">
        <v>0</v>
      </c>
      <c r="E479" t="s">
        <v>33</v>
      </c>
      <c r="F479" t="s">
        <v>33</v>
      </c>
      <c r="G479" t="s">
        <v>959</v>
      </c>
      <c r="H479" t="s">
        <v>36</v>
      </c>
    </row>
    <row r="480" spans="1:8" x14ac:dyDescent="0.3">
      <c r="A480" t="s">
        <v>239</v>
      </c>
      <c r="B480" s="2">
        <v>46204</v>
      </c>
      <c r="C480" s="10">
        <v>31</v>
      </c>
      <c r="D480">
        <v>0</v>
      </c>
      <c r="E480" t="s">
        <v>33</v>
      </c>
      <c r="F480" t="s">
        <v>1026</v>
      </c>
      <c r="G480" t="s">
        <v>338</v>
      </c>
      <c r="H480" t="s">
        <v>36</v>
      </c>
    </row>
    <row r="481" spans="1:8" x14ac:dyDescent="0.3">
      <c r="A481" t="s">
        <v>104</v>
      </c>
      <c r="B481" s="2">
        <v>46235</v>
      </c>
      <c r="C481" s="10"/>
    </row>
    <row r="482" spans="1:8" x14ac:dyDescent="0.3">
      <c r="A482" t="s">
        <v>107</v>
      </c>
      <c r="B482" s="2">
        <v>45536</v>
      </c>
      <c r="C482" s="10"/>
    </row>
    <row r="483" spans="1:8" x14ac:dyDescent="0.3">
      <c r="A483" t="s">
        <v>107</v>
      </c>
      <c r="B483" s="2">
        <v>45566</v>
      </c>
      <c r="C483" s="10"/>
    </row>
    <row r="484" spans="1:8" x14ac:dyDescent="0.3">
      <c r="A484" t="s">
        <v>107</v>
      </c>
      <c r="B484" s="2">
        <v>45597</v>
      </c>
      <c r="C484" s="10"/>
    </row>
    <row r="485" spans="1:8" x14ac:dyDescent="0.3">
      <c r="A485" t="s">
        <v>107</v>
      </c>
      <c r="B485" s="2">
        <v>45627</v>
      </c>
      <c r="C485" s="10"/>
    </row>
    <row r="486" spans="1:8" x14ac:dyDescent="0.3">
      <c r="A486" t="s">
        <v>107</v>
      </c>
      <c r="B486" s="2">
        <v>45658</v>
      </c>
      <c r="C486" s="10"/>
    </row>
    <row r="487" spans="1:8" ht="57.6" customHeight="1" x14ac:dyDescent="0.3">
      <c r="A487" t="s">
        <v>107</v>
      </c>
      <c r="B487" s="2">
        <v>45689</v>
      </c>
      <c r="C487" s="10" t="s">
        <v>450</v>
      </c>
    </row>
    <row r="488" spans="1:8" x14ac:dyDescent="0.3">
      <c r="A488" t="s">
        <v>107</v>
      </c>
      <c r="B488" s="2">
        <v>45717</v>
      </c>
      <c r="C488" s="10" t="s">
        <v>455</v>
      </c>
    </row>
    <row r="489" spans="1:8" x14ac:dyDescent="0.3">
      <c r="A489" t="s">
        <v>107</v>
      </c>
      <c r="B489" s="2">
        <v>45748</v>
      </c>
      <c r="C489" s="10" t="s">
        <v>455</v>
      </c>
    </row>
    <row r="490" spans="1:8" ht="57.6" customHeight="1" x14ac:dyDescent="0.3">
      <c r="A490" t="s">
        <v>107</v>
      </c>
      <c r="B490" s="2">
        <v>45778</v>
      </c>
      <c r="C490" s="10" t="s">
        <v>456</v>
      </c>
    </row>
    <row r="491" spans="1:8" ht="57.6" customHeight="1" x14ac:dyDescent="0.3">
      <c r="A491" t="s">
        <v>107</v>
      </c>
      <c r="B491" s="2">
        <v>45809</v>
      </c>
      <c r="C491" s="10" t="s">
        <v>457</v>
      </c>
    </row>
    <row r="492" spans="1:8" x14ac:dyDescent="0.3">
      <c r="A492" t="s">
        <v>107</v>
      </c>
      <c r="B492" s="2">
        <v>45839</v>
      </c>
      <c r="C492" t="s">
        <v>911</v>
      </c>
      <c r="D492">
        <v>0</v>
      </c>
      <c r="E492" t="s">
        <v>33</v>
      </c>
      <c r="F492" t="s">
        <v>33</v>
      </c>
      <c r="G492" s="10" t="s">
        <v>959</v>
      </c>
      <c r="H492" t="s">
        <v>36</v>
      </c>
    </row>
    <row r="493" spans="1:8" x14ac:dyDescent="0.3">
      <c r="A493" t="s">
        <v>107</v>
      </c>
      <c r="B493" s="2">
        <v>45870</v>
      </c>
      <c r="C493" t="s">
        <v>898</v>
      </c>
      <c r="D493" t="s">
        <v>960</v>
      </c>
      <c r="E493" t="s">
        <v>469</v>
      </c>
      <c r="F493" t="s">
        <v>951</v>
      </c>
      <c r="G493" s="10" t="s">
        <v>961</v>
      </c>
      <c r="H493" t="s">
        <v>36</v>
      </c>
    </row>
    <row r="494" spans="1:8" x14ac:dyDescent="0.3">
      <c r="A494" t="s">
        <v>107</v>
      </c>
      <c r="B494" s="2">
        <v>45901</v>
      </c>
      <c r="C494" t="s">
        <v>919</v>
      </c>
      <c r="D494">
        <v>0</v>
      </c>
      <c r="E494" t="s">
        <v>33</v>
      </c>
      <c r="F494" t="s">
        <v>33</v>
      </c>
      <c r="G494" s="10" t="s">
        <v>959</v>
      </c>
      <c r="H494" t="s">
        <v>36</v>
      </c>
    </row>
    <row r="495" spans="1:8" x14ac:dyDescent="0.3">
      <c r="A495" t="s">
        <v>107</v>
      </c>
      <c r="B495" s="2">
        <v>45931</v>
      </c>
      <c r="C495" t="s">
        <v>911</v>
      </c>
      <c r="D495">
        <v>0</v>
      </c>
      <c r="E495" t="s">
        <v>33</v>
      </c>
      <c r="F495" t="s">
        <v>33</v>
      </c>
      <c r="G495" s="10" t="s">
        <v>959</v>
      </c>
      <c r="H495" t="s">
        <v>36</v>
      </c>
    </row>
    <row r="496" spans="1:8" x14ac:dyDescent="0.3">
      <c r="A496" t="s">
        <v>107</v>
      </c>
      <c r="B496" s="2">
        <v>45962</v>
      </c>
      <c r="C496" t="s">
        <v>919</v>
      </c>
      <c r="D496">
        <v>0</v>
      </c>
      <c r="E496" t="s">
        <v>33</v>
      </c>
      <c r="F496" t="s">
        <v>33</v>
      </c>
      <c r="G496" s="10" t="s">
        <v>959</v>
      </c>
      <c r="H496" t="s">
        <v>36</v>
      </c>
    </row>
    <row r="497" spans="1:8" x14ac:dyDescent="0.3">
      <c r="A497" t="s">
        <v>107</v>
      </c>
      <c r="B497" s="2">
        <v>45992</v>
      </c>
      <c r="C497" t="s">
        <v>911</v>
      </c>
      <c r="D497">
        <v>0</v>
      </c>
      <c r="E497" t="s">
        <v>33</v>
      </c>
      <c r="F497" t="s">
        <v>33</v>
      </c>
      <c r="G497" s="10" t="s">
        <v>959</v>
      </c>
      <c r="H497" t="s">
        <v>36</v>
      </c>
    </row>
    <row r="498" spans="1:8" ht="28.8" x14ac:dyDescent="0.3">
      <c r="A498" t="s">
        <v>107</v>
      </c>
      <c r="B498" s="2">
        <v>46023</v>
      </c>
      <c r="C498" t="s">
        <v>911</v>
      </c>
      <c r="D498">
        <v>0</v>
      </c>
      <c r="E498" t="s">
        <v>33</v>
      </c>
      <c r="F498" t="s">
        <v>33</v>
      </c>
      <c r="G498" s="10" t="s">
        <v>959</v>
      </c>
      <c r="H498" s="10" t="s">
        <v>458</v>
      </c>
    </row>
    <row r="499" spans="1:8" x14ac:dyDescent="0.3">
      <c r="A499" t="s">
        <v>107</v>
      </c>
      <c r="B499" s="2">
        <v>46054</v>
      </c>
      <c r="C499" t="s">
        <v>895</v>
      </c>
      <c r="D499">
        <v>0</v>
      </c>
      <c r="E499" t="s">
        <v>33</v>
      </c>
      <c r="F499" t="s">
        <v>33</v>
      </c>
      <c r="G499" s="10" t="s">
        <v>959</v>
      </c>
      <c r="H499" t="s">
        <v>36</v>
      </c>
    </row>
    <row r="500" spans="1:8" x14ac:dyDescent="0.3">
      <c r="A500" t="s">
        <v>107</v>
      </c>
      <c r="B500" s="2">
        <v>46082</v>
      </c>
      <c r="C500" t="s">
        <v>911</v>
      </c>
      <c r="D500">
        <v>0</v>
      </c>
      <c r="E500" t="s">
        <v>33</v>
      </c>
      <c r="F500" t="s">
        <v>33</v>
      </c>
      <c r="G500" s="10" t="s">
        <v>932</v>
      </c>
      <c r="H500" t="s">
        <v>36</v>
      </c>
    </row>
    <row r="501" spans="1:8" x14ac:dyDescent="0.3">
      <c r="A501" t="s">
        <v>107</v>
      </c>
      <c r="B501" s="2">
        <v>46113</v>
      </c>
      <c r="C501" t="s">
        <v>919</v>
      </c>
      <c r="D501">
        <v>0</v>
      </c>
      <c r="E501" t="s">
        <v>33</v>
      </c>
      <c r="F501" t="s">
        <v>33</v>
      </c>
      <c r="G501" s="10" t="s">
        <v>932</v>
      </c>
      <c r="H501" t="s">
        <v>36</v>
      </c>
    </row>
    <row r="502" spans="1:8" x14ac:dyDescent="0.3">
      <c r="A502" t="s">
        <v>107</v>
      </c>
      <c r="B502" s="2">
        <v>46143</v>
      </c>
      <c r="C502" t="s">
        <v>911</v>
      </c>
      <c r="D502">
        <v>0</v>
      </c>
      <c r="E502" t="s">
        <v>33</v>
      </c>
      <c r="F502" t="s">
        <v>33</v>
      </c>
      <c r="G502" s="10" t="s">
        <v>959</v>
      </c>
      <c r="H502" t="s">
        <v>36</v>
      </c>
    </row>
    <row r="503" spans="1:8" x14ac:dyDescent="0.3">
      <c r="A503" t="s">
        <v>98</v>
      </c>
      <c r="B503" s="2">
        <v>46174</v>
      </c>
      <c r="C503" s="10"/>
    </row>
    <row r="504" spans="1:8" x14ac:dyDescent="0.3">
      <c r="A504" t="s">
        <v>98</v>
      </c>
      <c r="B504" s="2">
        <v>46204</v>
      </c>
      <c r="C504" s="10">
        <v>31</v>
      </c>
      <c r="D504">
        <v>0</v>
      </c>
      <c r="E504" t="s">
        <v>33</v>
      </c>
      <c r="F504" t="s">
        <v>1026</v>
      </c>
      <c r="G504" s="10" t="s">
        <v>932</v>
      </c>
      <c r="H504" t="s">
        <v>36</v>
      </c>
    </row>
    <row r="505" spans="1:8" x14ac:dyDescent="0.3">
      <c r="A505" t="s">
        <v>107</v>
      </c>
      <c r="B505" s="2">
        <v>46235</v>
      </c>
      <c r="C505" s="10"/>
    </row>
    <row r="506" spans="1:8" x14ac:dyDescent="0.3">
      <c r="A506" t="s">
        <v>228</v>
      </c>
      <c r="B506" s="2">
        <v>45536</v>
      </c>
      <c r="C506" s="10"/>
    </row>
    <row r="507" spans="1:8" x14ac:dyDescent="0.3">
      <c r="A507" t="s">
        <v>228</v>
      </c>
      <c r="B507" s="2">
        <v>45566</v>
      </c>
      <c r="C507" s="10"/>
    </row>
    <row r="508" spans="1:8" x14ac:dyDescent="0.3">
      <c r="A508" t="s">
        <v>228</v>
      </c>
      <c r="B508" s="2">
        <v>45597</v>
      </c>
      <c r="C508" s="10"/>
    </row>
    <row r="509" spans="1:8" x14ac:dyDescent="0.3">
      <c r="A509" t="s">
        <v>228</v>
      </c>
      <c r="B509" s="2">
        <v>45627</v>
      </c>
      <c r="C509" s="10"/>
    </row>
    <row r="510" spans="1:8" x14ac:dyDescent="0.3">
      <c r="A510" t="s">
        <v>228</v>
      </c>
      <c r="B510" s="2">
        <v>45658</v>
      </c>
      <c r="C510" s="10"/>
    </row>
    <row r="511" spans="1:8" x14ac:dyDescent="0.3">
      <c r="A511" t="s">
        <v>228</v>
      </c>
      <c r="B511" s="2">
        <v>45689</v>
      </c>
      <c r="C511" s="10"/>
    </row>
    <row r="512" spans="1:8" x14ac:dyDescent="0.3">
      <c r="A512" t="s">
        <v>228</v>
      </c>
      <c r="B512" s="2">
        <v>45717</v>
      </c>
      <c r="C512" s="10"/>
    </row>
    <row r="513" spans="1:8" x14ac:dyDescent="0.3">
      <c r="A513" t="s">
        <v>228</v>
      </c>
      <c r="B513" s="2">
        <v>45748</v>
      </c>
      <c r="C513" s="10"/>
    </row>
    <row r="514" spans="1:8" x14ac:dyDescent="0.3">
      <c r="A514" t="s">
        <v>228</v>
      </c>
      <c r="B514" s="2">
        <v>45778</v>
      </c>
      <c r="C514" s="10"/>
    </row>
    <row r="515" spans="1:8" x14ac:dyDescent="0.3">
      <c r="A515" t="s">
        <v>228</v>
      </c>
      <c r="B515" s="2">
        <v>45809</v>
      </c>
      <c r="C515" s="10"/>
    </row>
    <row r="516" spans="1:8" x14ac:dyDescent="0.3">
      <c r="A516" t="s">
        <v>228</v>
      </c>
      <c r="B516" s="2">
        <v>45839</v>
      </c>
      <c r="C516" s="10"/>
    </row>
    <row r="517" spans="1:8" x14ac:dyDescent="0.3">
      <c r="A517" t="s">
        <v>228</v>
      </c>
      <c r="B517" s="2">
        <v>45870</v>
      </c>
      <c r="C517" s="10"/>
    </row>
    <row r="518" spans="1:8" x14ac:dyDescent="0.3">
      <c r="A518" t="s">
        <v>228</v>
      </c>
      <c r="B518" s="2">
        <v>45901</v>
      </c>
      <c r="C518" s="10"/>
    </row>
    <row r="519" spans="1:8" x14ac:dyDescent="0.3">
      <c r="A519" t="s">
        <v>228</v>
      </c>
      <c r="B519" s="2">
        <v>45931</v>
      </c>
      <c r="C519" s="10"/>
    </row>
    <row r="520" spans="1:8" x14ac:dyDescent="0.3">
      <c r="A520" t="s">
        <v>228</v>
      </c>
      <c r="B520" s="2">
        <v>45962</v>
      </c>
      <c r="C520" s="10"/>
    </row>
    <row r="521" spans="1:8" x14ac:dyDescent="0.3">
      <c r="A521" t="s">
        <v>228</v>
      </c>
      <c r="B521" s="2">
        <v>45992</v>
      </c>
      <c r="C521" s="10"/>
    </row>
    <row r="522" spans="1:8" x14ac:dyDescent="0.3">
      <c r="A522" t="s">
        <v>228</v>
      </c>
      <c r="B522" s="2">
        <v>46023</v>
      </c>
      <c r="C522" s="10"/>
    </row>
    <row r="523" spans="1:8" x14ac:dyDescent="0.3">
      <c r="A523" t="s">
        <v>228</v>
      </c>
      <c r="B523" s="2">
        <v>46054</v>
      </c>
      <c r="C523" s="10"/>
    </row>
    <row r="524" spans="1:8" x14ac:dyDescent="0.3">
      <c r="A524" t="s">
        <v>228</v>
      </c>
      <c r="B524" s="2">
        <v>46082</v>
      </c>
      <c r="C524" s="10" t="s">
        <v>459</v>
      </c>
    </row>
    <row r="525" spans="1:8" x14ac:dyDescent="0.3">
      <c r="A525" t="s">
        <v>228</v>
      </c>
      <c r="B525" s="2">
        <v>46113</v>
      </c>
      <c r="C525" s="10" t="s">
        <v>460</v>
      </c>
    </row>
    <row r="526" spans="1:8" x14ac:dyDescent="0.3">
      <c r="A526" t="s">
        <v>228</v>
      </c>
      <c r="B526" s="2">
        <v>46143</v>
      </c>
      <c r="C526" s="10" t="s">
        <v>852</v>
      </c>
    </row>
    <row r="527" spans="1:8" x14ac:dyDescent="0.3">
      <c r="A527" t="s">
        <v>102</v>
      </c>
      <c r="B527" s="2">
        <v>46174</v>
      </c>
      <c r="C527" s="10"/>
    </row>
    <row r="528" spans="1:8" x14ac:dyDescent="0.3">
      <c r="A528" t="s">
        <v>102</v>
      </c>
      <c r="B528" s="2">
        <v>46204</v>
      </c>
      <c r="C528" s="10">
        <v>31</v>
      </c>
      <c r="D528">
        <v>0</v>
      </c>
      <c r="E528" t="s">
        <v>33</v>
      </c>
      <c r="F528" t="s">
        <v>1026</v>
      </c>
      <c r="G528" s="10" t="s">
        <v>932</v>
      </c>
      <c r="H528" t="s">
        <v>36</v>
      </c>
    </row>
    <row r="529" spans="1:3" x14ac:dyDescent="0.3">
      <c r="A529" t="s">
        <v>228</v>
      </c>
      <c r="B529" s="2">
        <v>46235</v>
      </c>
      <c r="C529" s="10"/>
    </row>
    <row r="530" spans="1:3" x14ac:dyDescent="0.3">
      <c r="A530" t="s">
        <v>109</v>
      </c>
      <c r="B530" s="2">
        <v>45536</v>
      </c>
      <c r="C530" s="10"/>
    </row>
    <row r="531" spans="1:3" x14ac:dyDescent="0.3">
      <c r="A531" t="s">
        <v>109</v>
      </c>
      <c r="B531" s="2">
        <v>45566</v>
      </c>
      <c r="C531" s="10"/>
    </row>
    <row r="532" spans="1:3" x14ac:dyDescent="0.3">
      <c r="A532" t="s">
        <v>109</v>
      </c>
      <c r="B532" s="2">
        <v>45597</v>
      </c>
      <c r="C532" s="10"/>
    </row>
    <row r="533" spans="1:3" x14ac:dyDescent="0.3">
      <c r="A533" t="s">
        <v>109</v>
      </c>
      <c r="B533" s="2">
        <v>45627</v>
      </c>
      <c r="C533" s="10"/>
    </row>
    <row r="534" spans="1:3" x14ac:dyDescent="0.3">
      <c r="A534" t="s">
        <v>109</v>
      </c>
      <c r="B534" s="2">
        <v>45658</v>
      </c>
      <c r="C534" s="10"/>
    </row>
    <row r="535" spans="1:3" ht="28.95" customHeight="1" x14ac:dyDescent="0.3">
      <c r="A535" t="s">
        <v>109</v>
      </c>
      <c r="B535" s="2">
        <v>45689</v>
      </c>
      <c r="C535" s="10" t="s">
        <v>461</v>
      </c>
    </row>
    <row r="536" spans="1:3" x14ac:dyDescent="0.3">
      <c r="A536" t="s">
        <v>109</v>
      </c>
      <c r="B536" s="2">
        <v>45717</v>
      </c>
      <c r="C536" s="10"/>
    </row>
    <row r="537" spans="1:3" x14ac:dyDescent="0.3">
      <c r="A537" t="s">
        <v>109</v>
      </c>
      <c r="B537" s="2">
        <v>45748</v>
      </c>
      <c r="C537" s="10"/>
    </row>
    <row r="538" spans="1:3" ht="43.2" customHeight="1" x14ac:dyDescent="0.3">
      <c r="A538" t="s">
        <v>109</v>
      </c>
      <c r="B538" s="2">
        <v>45778</v>
      </c>
      <c r="C538" s="10" t="s">
        <v>462</v>
      </c>
    </row>
    <row r="539" spans="1:3" ht="57.6" customHeight="1" x14ac:dyDescent="0.3">
      <c r="A539" t="s">
        <v>109</v>
      </c>
      <c r="B539" s="2">
        <v>45809</v>
      </c>
      <c r="C539" s="10" t="s">
        <v>463</v>
      </c>
    </row>
    <row r="540" spans="1:3" ht="57.6" customHeight="1" x14ac:dyDescent="0.3">
      <c r="A540" t="s">
        <v>109</v>
      </c>
      <c r="B540" s="2">
        <v>45839</v>
      </c>
      <c r="C540" s="10" t="s">
        <v>464</v>
      </c>
    </row>
    <row r="541" spans="1:3" ht="57.6" customHeight="1" x14ac:dyDescent="0.3">
      <c r="A541" t="s">
        <v>109</v>
      </c>
      <c r="B541" s="2">
        <v>45870</v>
      </c>
      <c r="C541" s="10" t="s">
        <v>465</v>
      </c>
    </row>
    <row r="542" spans="1:3" ht="57.6" customHeight="1" x14ac:dyDescent="0.3">
      <c r="A542" t="s">
        <v>109</v>
      </c>
      <c r="B542" s="2">
        <v>45901</v>
      </c>
      <c r="C542" s="10" t="s">
        <v>466</v>
      </c>
    </row>
    <row r="543" spans="1:3" ht="57.6" customHeight="1" x14ac:dyDescent="0.3">
      <c r="A543" t="s">
        <v>109</v>
      </c>
      <c r="B543" s="2">
        <v>45931</v>
      </c>
      <c r="C543" s="10" t="s">
        <v>467</v>
      </c>
    </row>
    <row r="544" spans="1:3" ht="57.6" customHeight="1" x14ac:dyDescent="0.3">
      <c r="A544" t="s">
        <v>109</v>
      </c>
      <c r="B544" s="2">
        <v>45962</v>
      </c>
      <c r="C544" s="10" t="s">
        <v>468</v>
      </c>
    </row>
    <row r="545" spans="1:8" x14ac:dyDescent="0.3">
      <c r="A545" t="s">
        <v>109</v>
      </c>
      <c r="B545" s="2">
        <v>45992</v>
      </c>
      <c r="C545" s="10" t="s">
        <v>469</v>
      </c>
    </row>
    <row r="546" spans="1:8" x14ac:dyDescent="0.3">
      <c r="A546" t="s">
        <v>109</v>
      </c>
      <c r="B546" s="2">
        <v>46023</v>
      </c>
      <c r="C546" s="10" t="s">
        <v>469</v>
      </c>
    </row>
    <row r="547" spans="1:8" x14ac:dyDescent="0.3">
      <c r="A547" t="s">
        <v>109</v>
      </c>
      <c r="B547" s="2">
        <v>46054</v>
      </c>
      <c r="C547" s="10" t="s">
        <v>326</v>
      </c>
    </row>
    <row r="548" spans="1:8" ht="28.8" x14ac:dyDescent="0.3">
      <c r="A548" t="s">
        <v>109</v>
      </c>
      <c r="B548" s="2">
        <v>46082</v>
      </c>
      <c r="C548" s="10" t="s">
        <v>470</v>
      </c>
    </row>
    <row r="549" spans="1:8" ht="28.8" x14ac:dyDescent="0.3">
      <c r="A549" t="s">
        <v>109</v>
      </c>
      <c r="B549" s="2">
        <v>46113</v>
      </c>
      <c r="C549" s="10" t="s">
        <v>470</v>
      </c>
    </row>
    <row r="550" spans="1:8" x14ac:dyDescent="0.3">
      <c r="A550" t="s">
        <v>109</v>
      </c>
      <c r="B550" s="2">
        <v>46143</v>
      </c>
      <c r="C550" s="10" t="s">
        <v>857</v>
      </c>
    </row>
    <row r="551" spans="1:8" x14ac:dyDescent="0.3">
      <c r="A551" t="s">
        <v>104</v>
      </c>
      <c r="B551" s="2">
        <v>46174</v>
      </c>
      <c r="C551" t="s">
        <v>919</v>
      </c>
      <c r="D551">
        <v>0</v>
      </c>
      <c r="E551" t="s">
        <v>33</v>
      </c>
      <c r="F551" t="s">
        <v>998</v>
      </c>
      <c r="G551" s="10" t="s">
        <v>996</v>
      </c>
      <c r="H551" t="s">
        <v>36</v>
      </c>
    </row>
    <row r="552" spans="1:8" x14ac:dyDescent="0.3">
      <c r="A552" t="s">
        <v>104</v>
      </c>
      <c r="B552" s="2">
        <v>46204</v>
      </c>
      <c r="C552" s="10">
        <v>31</v>
      </c>
      <c r="D552">
        <v>0</v>
      </c>
      <c r="E552" t="s">
        <v>33</v>
      </c>
      <c r="F552" t="s">
        <v>912</v>
      </c>
      <c r="G552" s="10" t="s">
        <v>932</v>
      </c>
      <c r="H552" t="s">
        <v>1027</v>
      </c>
    </row>
    <row r="553" spans="1:8" x14ac:dyDescent="0.3">
      <c r="A553" t="s">
        <v>109</v>
      </c>
      <c r="B553" s="2">
        <v>46235</v>
      </c>
      <c r="C553" s="10"/>
    </row>
    <row r="554" spans="1:8" x14ac:dyDescent="0.3">
      <c r="A554" t="s">
        <v>113</v>
      </c>
      <c r="B554" s="2">
        <v>45536</v>
      </c>
      <c r="C554" s="10"/>
    </row>
    <row r="555" spans="1:8" x14ac:dyDescent="0.3">
      <c r="A555" t="s">
        <v>113</v>
      </c>
      <c r="B555" s="2">
        <v>45566</v>
      </c>
      <c r="C555" s="10"/>
    </row>
    <row r="556" spans="1:8" x14ac:dyDescent="0.3">
      <c r="A556" t="s">
        <v>113</v>
      </c>
      <c r="B556" s="2">
        <v>45597</v>
      </c>
      <c r="C556" s="10"/>
    </row>
    <row r="557" spans="1:8" x14ac:dyDescent="0.3">
      <c r="A557" t="s">
        <v>113</v>
      </c>
      <c r="B557" s="2">
        <v>45627</v>
      </c>
      <c r="C557" s="10"/>
    </row>
    <row r="558" spans="1:8" x14ac:dyDescent="0.3">
      <c r="A558" t="s">
        <v>113</v>
      </c>
      <c r="B558" s="2">
        <v>45658</v>
      </c>
      <c r="C558" s="10"/>
    </row>
    <row r="559" spans="1:8" ht="43.2" customHeight="1" x14ac:dyDescent="0.3">
      <c r="A559" t="s">
        <v>113</v>
      </c>
      <c r="B559" s="2">
        <v>45689</v>
      </c>
      <c r="C559" s="10" t="s">
        <v>471</v>
      </c>
    </row>
    <row r="560" spans="1:8" ht="28.95" customHeight="1" x14ac:dyDescent="0.3">
      <c r="A560" t="s">
        <v>113</v>
      </c>
      <c r="B560" s="2">
        <v>45717</v>
      </c>
      <c r="C560" s="10" t="s">
        <v>472</v>
      </c>
    </row>
    <row r="561" spans="1:8" ht="28.95" customHeight="1" x14ac:dyDescent="0.3">
      <c r="A561" t="s">
        <v>113</v>
      </c>
      <c r="B561" s="2">
        <v>45748</v>
      </c>
      <c r="C561" s="10" t="s">
        <v>473</v>
      </c>
    </row>
    <row r="562" spans="1:8" ht="72" customHeight="1" x14ac:dyDescent="0.3">
      <c r="A562" t="s">
        <v>113</v>
      </c>
      <c r="B562" s="2">
        <v>45778</v>
      </c>
      <c r="C562" s="10" t="s">
        <v>474</v>
      </c>
    </row>
    <row r="563" spans="1:8" ht="57.6" customHeight="1" x14ac:dyDescent="0.3">
      <c r="A563" t="s">
        <v>113</v>
      </c>
      <c r="B563" s="2">
        <v>45809</v>
      </c>
      <c r="C563" s="10" t="s">
        <v>475</v>
      </c>
    </row>
    <row r="564" spans="1:8" ht="57.6" customHeight="1" x14ac:dyDescent="0.3">
      <c r="A564" t="s">
        <v>113</v>
      </c>
      <c r="B564" s="2">
        <v>45839</v>
      </c>
      <c r="C564" s="10" t="s">
        <v>476</v>
      </c>
    </row>
    <row r="565" spans="1:8" ht="57.6" customHeight="1" x14ac:dyDescent="0.3">
      <c r="A565" t="s">
        <v>113</v>
      </c>
      <c r="B565" s="2">
        <v>45870</v>
      </c>
      <c r="C565" s="10" t="s">
        <v>477</v>
      </c>
    </row>
    <row r="566" spans="1:8" ht="57.6" customHeight="1" x14ac:dyDescent="0.3">
      <c r="A566" t="s">
        <v>113</v>
      </c>
      <c r="B566" s="2">
        <v>45901</v>
      </c>
      <c r="C566" s="10" t="s">
        <v>478</v>
      </c>
    </row>
    <row r="567" spans="1:8" ht="57.6" customHeight="1" x14ac:dyDescent="0.3">
      <c r="A567" t="s">
        <v>113</v>
      </c>
      <c r="B567" s="2">
        <v>45931</v>
      </c>
      <c r="C567" s="10" t="s">
        <v>479</v>
      </c>
    </row>
    <row r="568" spans="1:8" ht="57.6" customHeight="1" x14ac:dyDescent="0.3">
      <c r="A568" t="s">
        <v>113</v>
      </c>
      <c r="B568" s="2">
        <v>45962</v>
      </c>
      <c r="C568" s="10" t="s">
        <v>480</v>
      </c>
    </row>
    <row r="569" spans="1:8" x14ac:dyDescent="0.3">
      <c r="A569" t="s">
        <v>113</v>
      </c>
      <c r="B569" s="2">
        <v>45992</v>
      </c>
      <c r="C569" s="10" t="s">
        <v>326</v>
      </c>
    </row>
    <row r="570" spans="1:8" x14ac:dyDescent="0.3">
      <c r="A570" t="s">
        <v>113</v>
      </c>
      <c r="B570" s="2">
        <v>46023</v>
      </c>
      <c r="C570" s="10" t="s">
        <v>338</v>
      </c>
    </row>
    <row r="571" spans="1:8" x14ac:dyDescent="0.3">
      <c r="A571" t="s">
        <v>113</v>
      </c>
      <c r="B571" s="2">
        <v>46054</v>
      </c>
      <c r="C571" s="10" t="s">
        <v>326</v>
      </c>
    </row>
    <row r="572" spans="1:8" x14ac:dyDescent="0.3">
      <c r="A572" t="s">
        <v>113</v>
      </c>
      <c r="B572" s="2">
        <v>46082</v>
      </c>
      <c r="C572" s="10" t="s">
        <v>326</v>
      </c>
    </row>
    <row r="573" spans="1:8" x14ac:dyDescent="0.3">
      <c r="A573" t="s">
        <v>113</v>
      </c>
      <c r="B573" s="2">
        <v>46113</v>
      </c>
      <c r="C573" s="10" t="s">
        <v>481</v>
      </c>
    </row>
    <row r="574" spans="1:8" ht="28.8" x14ac:dyDescent="0.3">
      <c r="A574" t="s">
        <v>113</v>
      </c>
      <c r="B574" s="2">
        <v>46143</v>
      </c>
      <c r="C574" s="10" t="s">
        <v>867</v>
      </c>
    </row>
    <row r="575" spans="1:8" ht="28.8" x14ac:dyDescent="0.3">
      <c r="A575" t="s">
        <v>107</v>
      </c>
      <c r="B575" s="2">
        <v>46204</v>
      </c>
      <c r="C575" s="10">
        <v>17</v>
      </c>
      <c r="D575" t="s">
        <v>1028</v>
      </c>
      <c r="E575" t="s">
        <v>1029</v>
      </c>
      <c r="F575" t="s">
        <v>33</v>
      </c>
      <c r="G575" s="10" t="s">
        <v>1030</v>
      </c>
      <c r="H575" s="33" t="s">
        <v>1031</v>
      </c>
    </row>
    <row r="576" spans="1:8" x14ac:dyDescent="0.3">
      <c r="A576" t="s">
        <v>107</v>
      </c>
      <c r="B576" s="2">
        <v>46174</v>
      </c>
      <c r="C576" t="s">
        <v>919</v>
      </c>
      <c r="D576">
        <v>0</v>
      </c>
      <c r="E576" t="s">
        <v>33</v>
      </c>
      <c r="F576" t="s">
        <v>33</v>
      </c>
      <c r="G576" s="10" t="s">
        <v>338</v>
      </c>
      <c r="H576" t="s">
        <v>36</v>
      </c>
    </row>
    <row r="577" spans="1:8" x14ac:dyDescent="0.3">
      <c r="A577" t="s">
        <v>113</v>
      </c>
      <c r="B577" s="2">
        <v>46235</v>
      </c>
      <c r="C577" s="10"/>
    </row>
    <row r="578" spans="1:8" x14ac:dyDescent="0.3">
      <c r="A578" t="s">
        <v>114</v>
      </c>
      <c r="B578" s="2">
        <v>45536</v>
      </c>
      <c r="C578" s="10"/>
    </row>
    <row r="579" spans="1:8" x14ac:dyDescent="0.3">
      <c r="A579" t="s">
        <v>114</v>
      </c>
      <c r="B579" s="2">
        <v>45566</v>
      </c>
      <c r="C579" s="10"/>
    </row>
    <row r="580" spans="1:8" x14ac:dyDescent="0.3">
      <c r="A580" t="s">
        <v>114</v>
      </c>
      <c r="B580" s="2">
        <v>45597</v>
      </c>
      <c r="C580" s="10"/>
    </row>
    <row r="581" spans="1:8" x14ac:dyDescent="0.3">
      <c r="A581" t="s">
        <v>114</v>
      </c>
      <c r="B581" s="2">
        <v>45627</v>
      </c>
      <c r="C581" s="10"/>
    </row>
    <row r="582" spans="1:8" x14ac:dyDescent="0.3">
      <c r="A582" t="s">
        <v>114</v>
      </c>
      <c r="B582" s="2">
        <v>45658</v>
      </c>
      <c r="C582" s="10"/>
    </row>
    <row r="583" spans="1:8" ht="43.2" customHeight="1" x14ac:dyDescent="0.3">
      <c r="A583" t="s">
        <v>114</v>
      </c>
      <c r="B583" s="2">
        <v>45689</v>
      </c>
      <c r="C583" s="10" t="s">
        <v>482</v>
      </c>
    </row>
    <row r="584" spans="1:8" ht="43.2" customHeight="1" x14ac:dyDescent="0.3">
      <c r="A584" t="s">
        <v>114</v>
      </c>
      <c r="B584" s="2">
        <v>45717</v>
      </c>
      <c r="C584" s="10" t="s">
        <v>483</v>
      </c>
    </row>
    <row r="585" spans="1:8" ht="57.6" customHeight="1" x14ac:dyDescent="0.3">
      <c r="A585" t="s">
        <v>114</v>
      </c>
      <c r="B585" s="2">
        <v>45748</v>
      </c>
      <c r="C585" s="10" t="s">
        <v>484</v>
      </c>
    </row>
    <row r="586" spans="1:8" ht="57.6" customHeight="1" x14ac:dyDescent="0.3">
      <c r="A586" t="s">
        <v>114</v>
      </c>
      <c r="B586" s="2">
        <v>45778</v>
      </c>
      <c r="C586" s="10" t="s">
        <v>485</v>
      </c>
    </row>
    <row r="587" spans="1:8" ht="57.6" customHeight="1" x14ac:dyDescent="0.3">
      <c r="A587" t="s">
        <v>114</v>
      </c>
      <c r="B587" s="2">
        <v>45809</v>
      </c>
      <c r="C587" s="10" t="s">
        <v>486</v>
      </c>
    </row>
    <row r="588" spans="1:8" x14ac:dyDescent="0.3">
      <c r="A588" t="s">
        <v>114</v>
      </c>
      <c r="B588" s="2">
        <v>45839</v>
      </c>
      <c r="C588" t="s">
        <v>911</v>
      </c>
      <c r="D588">
        <v>0</v>
      </c>
      <c r="E588" t="s">
        <v>33</v>
      </c>
      <c r="F588" t="s">
        <v>33</v>
      </c>
      <c r="G588" s="10" t="s">
        <v>959</v>
      </c>
      <c r="H588" t="s">
        <v>36</v>
      </c>
    </row>
    <row r="589" spans="1:8" x14ac:dyDescent="0.3">
      <c r="A589" t="s">
        <v>114</v>
      </c>
      <c r="B589" s="2">
        <v>45870</v>
      </c>
      <c r="C589" t="s">
        <v>911</v>
      </c>
      <c r="D589">
        <v>0</v>
      </c>
      <c r="E589" t="s">
        <v>33</v>
      </c>
      <c r="F589" t="s">
        <v>33</v>
      </c>
      <c r="G589" s="10" t="s">
        <v>959</v>
      </c>
      <c r="H589" t="s">
        <v>36</v>
      </c>
    </row>
    <row r="590" spans="1:8" x14ac:dyDescent="0.3">
      <c r="A590" t="s">
        <v>114</v>
      </c>
      <c r="B590" s="2">
        <v>45901</v>
      </c>
      <c r="C590" t="s">
        <v>919</v>
      </c>
      <c r="D590">
        <v>0</v>
      </c>
      <c r="E590" t="s">
        <v>33</v>
      </c>
      <c r="F590" t="s">
        <v>33</v>
      </c>
      <c r="G590" s="10" t="s">
        <v>959</v>
      </c>
      <c r="H590" t="s">
        <v>36</v>
      </c>
    </row>
    <row r="591" spans="1:8" x14ac:dyDescent="0.3">
      <c r="A591" t="s">
        <v>114</v>
      </c>
      <c r="B591" s="2">
        <v>45931</v>
      </c>
      <c r="C591" t="s">
        <v>911</v>
      </c>
      <c r="D591">
        <v>0</v>
      </c>
      <c r="E591" t="s">
        <v>33</v>
      </c>
      <c r="F591" t="s">
        <v>33</v>
      </c>
      <c r="G591" s="10" t="s">
        <v>959</v>
      </c>
      <c r="H591" t="s">
        <v>36</v>
      </c>
    </row>
    <row r="592" spans="1:8" x14ac:dyDescent="0.3">
      <c r="A592" t="s">
        <v>114</v>
      </c>
      <c r="B592" s="2">
        <v>45962</v>
      </c>
      <c r="C592" t="s">
        <v>919</v>
      </c>
      <c r="D592">
        <v>0</v>
      </c>
      <c r="E592" t="s">
        <v>33</v>
      </c>
      <c r="F592" t="s">
        <v>33</v>
      </c>
      <c r="G592" s="10" t="s">
        <v>959</v>
      </c>
      <c r="H592" t="s">
        <v>36</v>
      </c>
    </row>
    <row r="593" spans="1:8" x14ac:dyDescent="0.3">
      <c r="A593" t="s">
        <v>114</v>
      </c>
      <c r="B593" s="2">
        <v>45992</v>
      </c>
      <c r="C593" t="s">
        <v>965</v>
      </c>
      <c r="D593" t="s">
        <v>964</v>
      </c>
      <c r="E593" t="s">
        <v>976</v>
      </c>
      <c r="F593" t="s">
        <v>33</v>
      </c>
      <c r="G593" s="10" t="s">
        <v>977</v>
      </c>
      <c r="H593" t="s">
        <v>36</v>
      </c>
    </row>
    <row r="594" spans="1:8" x14ac:dyDescent="0.3">
      <c r="A594" t="s">
        <v>114</v>
      </c>
      <c r="B594" s="2">
        <v>46023</v>
      </c>
      <c r="C594" t="s">
        <v>902</v>
      </c>
      <c r="D594" t="s">
        <v>966</v>
      </c>
      <c r="E594" t="s">
        <v>976</v>
      </c>
      <c r="F594" t="s">
        <v>33</v>
      </c>
      <c r="G594" s="10" t="s">
        <v>487</v>
      </c>
      <c r="H594" t="s">
        <v>36</v>
      </c>
    </row>
    <row r="595" spans="1:8" x14ac:dyDescent="0.3">
      <c r="A595" t="s">
        <v>114</v>
      </c>
      <c r="B595" s="2">
        <v>46054</v>
      </c>
      <c r="C595" t="s">
        <v>895</v>
      </c>
      <c r="D595">
        <v>0</v>
      </c>
      <c r="E595" t="s">
        <v>33</v>
      </c>
      <c r="F595" t="s">
        <v>33</v>
      </c>
      <c r="G595" s="10" t="s">
        <v>959</v>
      </c>
      <c r="H595" t="s">
        <v>36</v>
      </c>
    </row>
    <row r="596" spans="1:8" x14ac:dyDescent="0.3">
      <c r="A596" t="s">
        <v>114</v>
      </c>
      <c r="B596" s="2">
        <v>46082</v>
      </c>
      <c r="C596" t="s">
        <v>911</v>
      </c>
      <c r="D596">
        <v>0</v>
      </c>
      <c r="E596" t="s">
        <v>33</v>
      </c>
      <c r="F596" t="s">
        <v>33</v>
      </c>
      <c r="G596" s="10" t="s">
        <v>959</v>
      </c>
      <c r="H596" t="s">
        <v>36</v>
      </c>
    </row>
    <row r="597" spans="1:8" x14ac:dyDescent="0.3">
      <c r="A597" t="s">
        <v>114</v>
      </c>
      <c r="B597" s="2">
        <v>46113</v>
      </c>
      <c r="C597" t="s">
        <v>919</v>
      </c>
      <c r="D597">
        <v>0</v>
      </c>
      <c r="E597" t="s">
        <v>33</v>
      </c>
      <c r="F597" t="s">
        <v>33</v>
      </c>
      <c r="G597" s="10" t="s">
        <v>487</v>
      </c>
      <c r="H597" t="s">
        <v>36</v>
      </c>
    </row>
    <row r="598" spans="1:8" x14ac:dyDescent="0.3">
      <c r="A598" t="s">
        <v>114</v>
      </c>
      <c r="B598" s="2">
        <v>46143</v>
      </c>
      <c r="C598" t="s">
        <v>911</v>
      </c>
      <c r="D598">
        <v>0</v>
      </c>
      <c r="E598" t="s">
        <v>33</v>
      </c>
      <c r="F598" t="s">
        <v>33</v>
      </c>
      <c r="G598" s="10" t="s">
        <v>959</v>
      </c>
      <c r="H598" t="s">
        <v>36</v>
      </c>
    </row>
    <row r="599" spans="1:8" x14ac:dyDescent="0.3">
      <c r="A599" t="s">
        <v>228</v>
      </c>
      <c r="B599" s="2">
        <v>46174</v>
      </c>
      <c r="C599" s="10"/>
    </row>
    <row r="600" spans="1:8" x14ac:dyDescent="0.3">
      <c r="A600" t="s">
        <v>228</v>
      </c>
      <c r="B600" s="2">
        <v>46204</v>
      </c>
      <c r="C600">
        <v>31</v>
      </c>
      <c r="D600">
        <v>0</v>
      </c>
      <c r="E600" t="s">
        <v>33</v>
      </c>
      <c r="F600" t="s">
        <v>33</v>
      </c>
      <c r="G600" s="10" t="s">
        <v>932</v>
      </c>
      <c r="H600" t="s">
        <v>36</v>
      </c>
    </row>
    <row r="601" spans="1:8" x14ac:dyDescent="0.3">
      <c r="A601" t="s">
        <v>114</v>
      </c>
      <c r="B601" s="2">
        <v>46235</v>
      </c>
      <c r="C601" s="10"/>
    </row>
    <row r="602" spans="1:8" x14ac:dyDescent="0.3">
      <c r="A602" t="s">
        <v>117</v>
      </c>
      <c r="B602" s="2">
        <v>45536</v>
      </c>
      <c r="C602" s="10"/>
    </row>
    <row r="603" spans="1:8" x14ac:dyDescent="0.3">
      <c r="A603" t="s">
        <v>117</v>
      </c>
      <c r="B603" s="2">
        <v>45566</v>
      </c>
      <c r="C603" s="10"/>
    </row>
    <row r="604" spans="1:8" x14ac:dyDescent="0.3">
      <c r="A604" t="s">
        <v>117</v>
      </c>
      <c r="B604" s="2">
        <v>45597</v>
      </c>
      <c r="C604" s="10"/>
    </row>
    <row r="605" spans="1:8" x14ac:dyDescent="0.3">
      <c r="A605" t="s">
        <v>117</v>
      </c>
      <c r="B605" s="2">
        <v>45627</v>
      </c>
      <c r="C605" s="10"/>
    </row>
    <row r="606" spans="1:8" x14ac:dyDescent="0.3">
      <c r="A606" t="s">
        <v>117</v>
      </c>
      <c r="B606" s="2">
        <v>45658</v>
      </c>
      <c r="C606" s="10"/>
    </row>
    <row r="607" spans="1:8" ht="43.2" customHeight="1" x14ac:dyDescent="0.3">
      <c r="A607" t="s">
        <v>117</v>
      </c>
      <c r="B607" s="2">
        <v>45689</v>
      </c>
      <c r="C607" s="10" t="s">
        <v>488</v>
      </c>
    </row>
    <row r="608" spans="1:8" ht="28.95" customHeight="1" x14ac:dyDescent="0.3">
      <c r="A608" t="s">
        <v>117</v>
      </c>
      <c r="B608" s="2">
        <v>45717</v>
      </c>
      <c r="C608" s="10" t="s">
        <v>489</v>
      </c>
    </row>
    <row r="609" spans="1:8" x14ac:dyDescent="0.3">
      <c r="A609" t="s">
        <v>117</v>
      </c>
      <c r="B609" s="2">
        <v>45748</v>
      </c>
      <c r="C609" s="10" t="s">
        <v>490</v>
      </c>
    </row>
    <row r="610" spans="1:8" ht="43.2" customHeight="1" x14ac:dyDescent="0.3">
      <c r="A610" t="s">
        <v>117</v>
      </c>
      <c r="B610" s="2">
        <v>45778</v>
      </c>
      <c r="C610" s="10" t="s">
        <v>491</v>
      </c>
    </row>
    <row r="611" spans="1:8" ht="43.2" customHeight="1" x14ac:dyDescent="0.3">
      <c r="A611" t="s">
        <v>117</v>
      </c>
      <c r="B611" s="2">
        <v>45809</v>
      </c>
      <c r="C611" s="10" t="s">
        <v>492</v>
      </c>
    </row>
    <row r="612" spans="1:8" ht="48" customHeight="1" x14ac:dyDescent="0.3">
      <c r="A612" t="s">
        <v>117</v>
      </c>
      <c r="B612" s="2">
        <v>45839</v>
      </c>
      <c r="C612" s="10" t="s">
        <v>965</v>
      </c>
      <c r="D612">
        <v>15</v>
      </c>
      <c r="E612" t="s">
        <v>985</v>
      </c>
      <c r="F612" t="s">
        <v>986</v>
      </c>
      <c r="G612" s="33" t="s">
        <v>987</v>
      </c>
      <c r="H612" s="10" t="s">
        <v>36</v>
      </c>
    </row>
    <row r="613" spans="1:8" ht="57.6" customHeight="1" x14ac:dyDescent="0.3">
      <c r="A613" t="s">
        <v>994</v>
      </c>
      <c r="B613" s="2">
        <v>45870</v>
      </c>
      <c r="C613" s="10" t="s">
        <v>911</v>
      </c>
      <c r="D613">
        <v>0</v>
      </c>
      <c r="E613" t="s">
        <v>33</v>
      </c>
      <c r="F613" t="s">
        <v>33</v>
      </c>
      <c r="G613" t="s">
        <v>995</v>
      </c>
      <c r="H613" s="10" t="s">
        <v>36</v>
      </c>
    </row>
    <row r="614" spans="1:8" ht="57.6" customHeight="1" x14ac:dyDescent="0.3">
      <c r="A614" t="s">
        <v>117</v>
      </c>
      <c r="B614" s="2">
        <v>45901</v>
      </c>
      <c r="C614" s="10" t="s">
        <v>919</v>
      </c>
      <c r="D614">
        <v>0</v>
      </c>
      <c r="E614" t="s">
        <v>33</v>
      </c>
      <c r="F614" t="s">
        <v>33</v>
      </c>
      <c r="G614" t="s">
        <v>995</v>
      </c>
      <c r="H614" s="10" t="s">
        <v>36</v>
      </c>
    </row>
    <row r="615" spans="1:8" ht="57.6" customHeight="1" x14ac:dyDescent="0.3">
      <c r="A615" t="s">
        <v>117</v>
      </c>
      <c r="B615" s="2">
        <v>45931</v>
      </c>
      <c r="C615" s="10" t="s">
        <v>911</v>
      </c>
      <c r="D615">
        <v>0</v>
      </c>
      <c r="E615" t="s">
        <v>33</v>
      </c>
      <c r="F615" t="s">
        <v>33</v>
      </c>
      <c r="G615" t="s">
        <v>995</v>
      </c>
      <c r="H615" s="10" t="s">
        <v>36</v>
      </c>
    </row>
    <row r="616" spans="1:8" ht="57.6" customHeight="1" x14ac:dyDescent="0.3">
      <c r="A616" t="s">
        <v>117</v>
      </c>
      <c r="B616" s="2">
        <v>45962</v>
      </c>
      <c r="C616" s="10" t="s">
        <v>919</v>
      </c>
      <c r="D616">
        <v>0</v>
      </c>
      <c r="E616" t="s">
        <v>33</v>
      </c>
      <c r="F616" t="s">
        <v>33</v>
      </c>
      <c r="G616" s="10" t="s">
        <v>997</v>
      </c>
      <c r="H616" s="10" t="s">
        <v>36</v>
      </c>
    </row>
    <row r="617" spans="1:8" x14ac:dyDescent="0.3">
      <c r="A617" t="s">
        <v>117</v>
      </c>
      <c r="B617" s="2">
        <v>45992</v>
      </c>
      <c r="C617" s="10" t="s">
        <v>911</v>
      </c>
      <c r="D617">
        <v>0</v>
      </c>
      <c r="E617" t="s">
        <v>33</v>
      </c>
      <c r="F617" t="s">
        <v>33</v>
      </c>
      <c r="G617" t="s">
        <v>995</v>
      </c>
      <c r="H617" s="10" t="s">
        <v>36</v>
      </c>
    </row>
    <row r="618" spans="1:8" x14ac:dyDescent="0.3">
      <c r="A618" t="s">
        <v>117</v>
      </c>
      <c r="B618" s="2">
        <v>46023</v>
      </c>
      <c r="C618" s="10" t="s">
        <v>911</v>
      </c>
      <c r="D618">
        <v>0</v>
      </c>
      <c r="E618" t="s">
        <v>33</v>
      </c>
      <c r="F618" t="s">
        <v>33</v>
      </c>
      <c r="G618" s="10" t="s">
        <v>996</v>
      </c>
      <c r="H618" s="10" t="s">
        <v>36</v>
      </c>
    </row>
    <row r="619" spans="1:8" x14ac:dyDescent="0.3">
      <c r="A619" t="s">
        <v>117</v>
      </c>
      <c r="B619" s="2">
        <v>46054</v>
      </c>
      <c r="C619" s="10" t="s">
        <v>895</v>
      </c>
      <c r="D619">
        <v>0</v>
      </c>
      <c r="E619" t="s">
        <v>33</v>
      </c>
      <c r="F619" t="s">
        <v>33</v>
      </c>
      <c r="G619" t="s">
        <v>995</v>
      </c>
      <c r="H619" s="10" t="s">
        <v>36</v>
      </c>
    </row>
    <row r="620" spans="1:8" x14ac:dyDescent="0.3">
      <c r="A620" t="s">
        <v>117</v>
      </c>
      <c r="B620" s="2">
        <v>46082</v>
      </c>
      <c r="C620" s="10" t="s">
        <v>911</v>
      </c>
      <c r="D620">
        <v>0</v>
      </c>
      <c r="E620" t="s">
        <v>33</v>
      </c>
      <c r="F620" t="s">
        <v>33</v>
      </c>
      <c r="G620" s="10" t="s">
        <v>996</v>
      </c>
      <c r="H620" s="10" t="s">
        <v>36</v>
      </c>
    </row>
    <row r="621" spans="1:8" x14ac:dyDescent="0.3">
      <c r="A621" t="s">
        <v>117</v>
      </c>
      <c r="B621" s="2">
        <v>46113</v>
      </c>
      <c r="C621" s="10" t="s">
        <v>919</v>
      </c>
      <c r="D621">
        <v>0</v>
      </c>
      <c r="E621" t="s">
        <v>33</v>
      </c>
      <c r="F621" t="s">
        <v>33</v>
      </c>
      <c r="G621" s="10" t="s">
        <v>993</v>
      </c>
      <c r="H621" s="10" t="s">
        <v>36</v>
      </c>
    </row>
    <row r="622" spans="1:8" x14ac:dyDescent="0.3">
      <c r="A622" t="s">
        <v>117</v>
      </c>
      <c r="B622" s="2">
        <v>46143</v>
      </c>
      <c r="C622" s="10" t="s">
        <v>911</v>
      </c>
      <c r="D622">
        <v>0</v>
      </c>
      <c r="E622" t="s">
        <v>33</v>
      </c>
      <c r="F622" t="s">
        <v>33</v>
      </c>
      <c r="G622" t="s">
        <v>995</v>
      </c>
      <c r="H622" s="10" t="s">
        <v>36</v>
      </c>
    </row>
    <row r="623" spans="1:8" x14ac:dyDescent="0.3">
      <c r="A623" t="s">
        <v>109</v>
      </c>
      <c r="B623" s="2">
        <v>46174</v>
      </c>
      <c r="C623" s="10"/>
    </row>
    <row r="624" spans="1:8" x14ac:dyDescent="0.3">
      <c r="A624" t="s">
        <v>109</v>
      </c>
      <c r="B624" s="2">
        <v>46204</v>
      </c>
      <c r="C624" s="10">
        <v>31</v>
      </c>
      <c r="D624">
        <v>0</v>
      </c>
      <c r="E624" t="s">
        <v>33</v>
      </c>
      <c r="F624" t="s">
        <v>33</v>
      </c>
      <c r="G624" s="10" t="s">
        <v>932</v>
      </c>
      <c r="H624" t="s">
        <v>36</v>
      </c>
    </row>
    <row r="625" spans="1:8" x14ac:dyDescent="0.3">
      <c r="A625" t="s">
        <v>117</v>
      </c>
      <c r="B625" s="2">
        <v>46235</v>
      </c>
      <c r="C625" s="10" t="s">
        <v>892</v>
      </c>
    </row>
    <row r="626" spans="1:8" x14ac:dyDescent="0.3">
      <c r="A626" t="s">
        <v>225</v>
      </c>
      <c r="B626" s="2">
        <v>45536</v>
      </c>
      <c r="C626" s="10"/>
    </row>
    <row r="627" spans="1:8" x14ac:dyDescent="0.3">
      <c r="A627" t="s">
        <v>225</v>
      </c>
      <c r="B627" s="2">
        <v>45566</v>
      </c>
      <c r="C627" s="10"/>
    </row>
    <row r="628" spans="1:8" x14ac:dyDescent="0.3">
      <c r="A628" t="s">
        <v>225</v>
      </c>
      <c r="B628" s="2">
        <v>45597</v>
      </c>
      <c r="C628" s="10"/>
    </row>
    <row r="629" spans="1:8" x14ac:dyDescent="0.3">
      <c r="A629" t="s">
        <v>225</v>
      </c>
      <c r="B629" s="2">
        <v>45627</v>
      </c>
      <c r="C629" s="10"/>
    </row>
    <row r="630" spans="1:8" x14ac:dyDescent="0.3">
      <c r="A630" t="s">
        <v>225</v>
      </c>
      <c r="B630" s="2">
        <v>45658</v>
      </c>
      <c r="C630" s="10"/>
    </row>
    <row r="631" spans="1:8" x14ac:dyDescent="0.3">
      <c r="A631" t="s">
        <v>225</v>
      </c>
      <c r="B631" s="2">
        <v>45689</v>
      </c>
      <c r="C631" s="10"/>
    </row>
    <row r="632" spans="1:8" x14ac:dyDescent="0.3">
      <c r="A632" t="s">
        <v>225</v>
      </c>
      <c r="B632" s="2">
        <v>45717</v>
      </c>
      <c r="C632" s="10"/>
    </row>
    <row r="633" spans="1:8" x14ac:dyDescent="0.3">
      <c r="A633" t="s">
        <v>225</v>
      </c>
      <c r="B633" s="2">
        <v>45748</v>
      </c>
      <c r="C633" s="10"/>
    </row>
    <row r="634" spans="1:8" x14ac:dyDescent="0.3">
      <c r="A634" t="s">
        <v>225</v>
      </c>
      <c r="B634" s="2">
        <v>45778</v>
      </c>
      <c r="C634" s="10"/>
    </row>
    <row r="635" spans="1:8" x14ac:dyDescent="0.3">
      <c r="A635" t="s">
        <v>225</v>
      </c>
      <c r="B635" s="2">
        <v>45809</v>
      </c>
      <c r="C635" s="10"/>
    </row>
    <row r="636" spans="1:8" x14ac:dyDescent="0.3">
      <c r="A636" t="s">
        <v>225</v>
      </c>
      <c r="B636" s="2">
        <v>45839</v>
      </c>
      <c r="C636" s="10" t="s">
        <v>36</v>
      </c>
      <c r="D636" s="10" t="s">
        <v>36</v>
      </c>
      <c r="E636" s="10" t="s">
        <v>36</v>
      </c>
      <c r="F636" s="10" t="s">
        <v>36</v>
      </c>
      <c r="G636" s="10" t="s">
        <v>36</v>
      </c>
      <c r="H636" s="10" t="s">
        <v>920</v>
      </c>
    </row>
    <row r="637" spans="1:8" x14ac:dyDescent="0.3">
      <c r="A637" t="s">
        <v>225</v>
      </c>
      <c r="B637" s="2">
        <v>45870</v>
      </c>
      <c r="C637" s="10" t="s">
        <v>36</v>
      </c>
      <c r="D637" s="10" t="s">
        <v>36</v>
      </c>
      <c r="E637" s="10" t="s">
        <v>36</v>
      </c>
      <c r="F637" s="10" t="s">
        <v>36</v>
      </c>
      <c r="G637" s="10" t="s">
        <v>36</v>
      </c>
      <c r="H637" s="10" t="s">
        <v>920</v>
      </c>
    </row>
    <row r="638" spans="1:8" x14ac:dyDescent="0.3">
      <c r="A638" t="s">
        <v>225</v>
      </c>
      <c r="B638" s="2">
        <v>45901</v>
      </c>
      <c r="C638" s="10" t="s">
        <v>36</v>
      </c>
      <c r="D638" s="10" t="s">
        <v>36</v>
      </c>
      <c r="E638" s="10" t="s">
        <v>36</v>
      </c>
      <c r="F638" s="10" t="s">
        <v>36</v>
      </c>
      <c r="G638" s="10" t="s">
        <v>36</v>
      </c>
      <c r="H638" s="10" t="s">
        <v>920</v>
      </c>
    </row>
    <row r="639" spans="1:8" x14ac:dyDescent="0.3">
      <c r="A639" t="s">
        <v>225</v>
      </c>
      <c r="B639" s="2">
        <v>45931</v>
      </c>
      <c r="C639" s="10" t="s">
        <v>895</v>
      </c>
      <c r="D639" s="10" t="s">
        <v>975</v>
      </c>
      <c r="E639" s="10" t="s">
        <v>920</v>
      </c>
      <c r="F639" s="10" t="s">
        <v>33</v>
      </c>
      <c r="G639" s="10" t="s">
        <v>33</v>
      </c>
      <c r="H639" s="10" t="s">
        <v>920</v>
      </c>
    </row>
    <row r="640" spans="1:8" x14ac:dyDescent="0.3">
      <c r="A640" t="s">
        <v>225</v>
      </c>
      <c r="B640" s="2">
        <v>45962</v>
      </c>
      <c r="C640" s="10" t="s">
        <v>919</v>
      </c>
      <c r="D640" s="10">
        <v>0</v>
      </c>
      <c r="E640" s="10" t="s">
        <v>33</v>
      </c>
      <c r="F640" s="10" t="s">
        <v>33</v>
      </c>
      <c r="G640" s="10" t="s">
        <v>33</v>
      </c>
      <c r="H640" s="10" t="s">
        <v>36</v>
      </c>
    </row>
    <row r="641" spans="1:8" x14ac:dyDescent="0.3">
      <c r="A641" t="s">
        <v>225</v>
      </c>
      <c r="B641" s="2">
        <v>45992</v>
      </c>
      <c r="C641" s="10" t="s">
        <v>911</v>
      </c>
      <c r="D641" s="10">
        <v>0</v>
      </c>
      <c r="E641" s="10" t="s">
        <v>33</v>
      </c>
      <c r="F641" s="10" t="s">
        <v>33</v>
      </c>
      <c r="G641" s="10" t="s">
        <v>460</v>
      </c>
      <c r="H641" s="10" t="s">
        <v>36</v>
      </c>
    </row>
    <row r="642" spans="1:8" x14ac:dyDescent="0.3">
      <c r="A642" t="s">
        <v>225</v>
      </c>
      <c r="B642" s="2">
        <v>46023</v>
      </c>
      <c r="C642" s="10" t="s">
        <v>892</v>
      </c>
      <c r="D642" s="10">
        <v>0</v>
      </c>
      <c r="E642" s="10" t="s">
        <v>33</v>
      </c>
      <c r="F642" s="10" t="s">
        <v>33</v>
      </c>
      <c r="G642" s="10" t="s">
        <v>460</v>
      </c>
      <c r="H642" s="10" t="s">
        <v>36</v>
      </c>
    </row>
    <row r="643" spans="1:8" x14ac:dyDescent="0.3">
      <c r="A643" t="s">
        <v>225</v>
      </c>
      <c r="B643" s="2">
        <v>46054</v>
      </c>
      <c r="C643" s="10" t="s">
        <v>895</v>
      </c>
      <c r="D643" s="10">
        <v>0</v>
      </c>
      <c r="E643" s="10" t="s">
        <v>33</v>
      </c>
      <c r="F643" s="10" t="s">
        <v>33</v>
      </c>
      <c r="G643" s="10" t="s">
        <v>460</v>
      </c>
      <c r="H643" s="10" t="s">
        <v>36</v>
      </c>
    </row>
    <row r="644" spans="1:8" x14ac:dyDescent="0.3">
      <c r="A644" t="s">
        <v>225</v>
      </c>
      <c r="B644" s="2">
        <v>46082</v>
      </c>
      <c r="C644" s="10" t="s">
        <v>892</v>
      </c>
      <c r="D644" s="10">
        <v>0</v>
      </c>
      <c r="E644" s="10" t="s">
        <v>33</v>
      </c>
      <c r="F644" s="10" t="s">
        <v>33</v>
      </c>
      <c r="G644" s="10" t="s">
        <v>460</v>
      </c>
      <c r="H644" s="10" t="s">
        <v>36</v>
      </c>
    </row>
    <row r="645" spans="1:8" x14ac:dyDescent="0.3">
      <c r="A645" t="s">
        <v>225</v>
      </c>
      <c r="B645" s="2">
        <v>46113</v>
      </c>
      <c r="C645" s="10" t="s">
        <v>896</v>
      </c>
      <c r="D645" s="10">
        <v>0</v>
      </c>
      <c r="E645" s="10" t="s">
        <v>33</v>
      </c>
      <c r="F645" s="10" t="s">
        <v>33</v>
      </c>
      <c r="G645" s="10" t="s">
        <v>460</v>
      </c>
      <c r="H645" s="10" t="s">
        <v>36</v>
      </c>
    </row>
    <row r="646" spans="1:8" x14ac:dyDescent="0.3">
      <c r="A646" t="s">
        <v>225</v>
      </c>
      <c r="B646" s="2">
        <v>46143</v>
      </c>
      <c r="C646" s="10" t="s">
        <v>892</v>
      </c>
      <c r="D646" s="10">
        <v>0</v>
      </c>
      <c r="E646" s="10" t="s">
        <v>33</v>
      </c>
      <c r="F646" s="10" t="s">
        <v>33</v>
      </c>
      <c r="G646" s="10" t="s">
        <v>460</v>
      </c>
      <c r="H646" s="10" t="s">
        <v>36</v>
      </c>
    </row>
    <row r="647" spans="1:8" x14ac:dyDescent="0.3">
      <c r="A647" t="s">
        <v>113</v>
      </c>
      <c r="B647" s="2">
        <v>46174</v>
      </c>
      <c r="C647" s="10"/>
    </row>
    <row r="648" spans="1:8" x14ac:dyDescent="0.3">
      <c r="A648" t="s">
        <v>113</v>
      </c>
      <c r="B648" s="2">
        <v>46204</v>
      </c>
      <c r="C648" s="10">
        <v>31</v>
      </c>
      <c r="D648">
        <v>0</v>
      </c>
      <c r="E648" t="s">
        <v>33</v>
      </c>
      <c r="F648" t="s">
        <v>33</v>
      </c>
      <c r="G648" s="10" t="s">
        <v>932</v>
      </c>
      <c r="H648" t="s">
        <v>36</v>
      </c>
    </row>
    <row r="649" spans="1:8" x14ac:dyDescent="0.3">
      <c r="A649" t="s">
        <v>225</v>
      </c>
      <c r="B649" s="2">
        <v>46235</v>
      </c>
      <c r="C649" s="10"/>
    </row>
    <row r="650" spans="1:8" x14ac:dyDescent="0.3">
      <c r="A650" t="s">
        <v>223</v>
      </c>
      <c r="B650" s="2">
        <v>45536</v>
      </c>
      <c r="C650" s="10"/>
    </row>
    <row r="651" spans="1:8" x14ac:dyDescent="0.3">
      <c r="A651" t="s">
        <v>223</v>
      </c>
      <c r="B651" s="2">
        <v>45566</v>
      </c>
      <c r="C651" s="10"/>
    </row>
    <row r="652" spans="1:8" x14ac:dyDescent="0.3">
      <c r="A652" t="s">
        <v>223</v>
      </c>
      <c r="B652" s="2">
        <v>45597</v>
      </c>
      <c r="C652" s="10"/>
    </row>
    <row r="653" spans="1:8" x14ac:dyDescent="0.3">
      <c r="A653" t="s">
        <v>223</v>
      </c>
      <c r="B653" s="2">
        <v>45627</v>
      </c>
      <c r="C653" s="10"/>
    </row>
    <row r="654" spans="1:8" x14ac:dyDescent="0.3">
      <c r="A654" t="s">
        <v>223</v>
      </c>
      <c r="B654" s="2">
        <v>45658</v>
      </c>
      <c r="C654" s="10"/>
    </row>
    <row r="655" spans="1:8" x14ac:dyDescent="0.3">
      <c r="A655" t="s">
        <v>223</v>
      </c>
      <c r="B655" s="2">
        <v>45689</v>
      </c>
      <c r="C655" s="10"/>
    </row>
    <row r="656" spans="1:8" x14ac:dyDescent="0.3">
      <c r="A656" t="s">
        <v>223</v>
      </c>
      <c r="B656" s="2">
        <v>45717</v>
      </c>
      <c r="C656" s="10"/>
    </row>
    <row r="657" spans="1:8" x14ac:dyDescent="0.3">
      <c r="A657" t="s">
        <v>223</v>
      </c>
      <c r="B657" s="2">
        <v>45748</v>
      </c>
      <c r="C657" s="10"/>
    </row>
    <row r="658" spans="1:8" x14ac:dyDescent="0.3">
      <c r="A658" t="s">
        <v>223</v>
      </c>
      <c r="B658" s="2">
        <v>45778</v>
      </c>
      <c r="C658" s="10"/>
    </row>
    <row r="659" spans="1:8" x14ac:dyDescent="0.3">
      <c r="A659" t="s">
        <v>223</v>
      </c>
      <c r="B659" s="2">
        <v>45809</v>
      </c>
      <c r="C659" s="10"/>
    </row>
    <row r="660" spans="1:8" x14ac:dyDescent="0.3">
      <c r="A660" t="s">
        <v>223</v>
      </c>
      <c r="B660" s="2">
        <v>45839</v>
      </c>
      <c r="C660" s="10" t="s">
        <v>36</v>
      </c>
      <c r="D660" s="10" t="s">
        <v>36</v>
      </c>
      <c r="E660" s="10" t="s">
        <v>36</v>
      </c>
      <c r="F660" s="10" t="s">
        <v>36</v>
      </c>
      <c r="G660" s="10" t="s">
        <v>36</v>
      </c>
      <c r="H660" s="10" t="s">
        <v>920</v>
      </c>
    </row>
    <row r="661" spans="1:8" x14ac:dyDescent="0.3">
      <c r="A661" t="s">
        <v>223</v>
      </c>
      <c r="B661" s="2">
        <v>45870</v>
      </c>
      <c r="C661" s="10" t="s">
        <v>36</v>
      </c>
      <c r="D661" s="10" t="s">
        <v>36</v>
      </c>
      <c r="E661" s="10" t="s">
        <v>36</v>
      </c>
      <c r="F661" s="10" t="s">
        <v>36</v>
      </c>
      <c r="G661" s="10" t="s">
        <v>36</v>
      </c>
      <c r="H661" s="10" t="s">
        <v>920</v>
      </c>
    </row>
    <row r="662" spans="1:8" x14ac:dyDescent="0.3">
      <c r="A662" t="s">
        <v>223</v>
      </c>
      <c r="B662" s="2">
        <v>45901</v>
      </c>
      <c r="C662" s="10" t="s">
        <v>36</v>
      </c>
      <c r="D662" s="10" t="s">
        <v>36</v>
      </c>
      <c r="E662" s="10" t="s">
        <v>36</v>
      </c>
      <c r="F662" s="10" t="s">
        <v>36</v>
      </c>
      <c r="G662" s="10" t="s">
        <v>36</v>
      </c>
      <c r="H662" s="10" t="s">
        <v>920</v>
      </c>
    </row>
    <row r="663" spans="1:8" x14ac:dyDescent="0.3">
      <c r="A663" t="s">
        <v>223</v>
      </c>
      <c r="B663" s="2">
        <v>45931</v>
      </c>
      <c r="C663" s="10" t="s">
        <v>895</v>
      </c>
      <c r="D663" s="10" t="s">
        <v>942</v>
      </c>
      <c r="E663" s="10" t="s">
        <v>920</v>
      </c>
      <c r="F663" s="10" t="s">
        <v>33</v>
      </c>
      <c r="G663" s="10" t="s">
        <v>33</v>
      </c>
      <c r="H663" s="10" t="s">
        <v>920</v>
      </c>
    </row>
    <row r="664" spans="1:8" x14ac:dyDescent="0.3">
      <c r="A664" t="s">
        <v>223</v>
      </c>
      <c r="B664" s="2">
        <v>45962</v>
      </c>
      <c r="C664" s="10" t="s">
        <v>919</v>
      </c>
      <c r="D664" s="10">
        <v>0</v>
      </c>
      <c r="E664" s="10" t="s">
        <v>33</v>
      </c>
      <c r="F664" s="10" t="s">
        <v>33</v>
      </c>
      <c r="H664" s="10" t="s">
        <v>36</v>
      </c>
    </row>
    <row r="665" spans="1:8" x14ac:dyDescent="0.3">
      <c r="A665" t="s">
        <v>223</v>
      </c>
      <c r="B665" s="2">
        <v>45992</v>
      </c>
      <c r="C665" s="10" t="s">
        <v>911</v>
      </c>
      <c r="D665" s="10">
        <v>0</v>
      </c>
      <c r="E665" s="10" t="s">
        <v>33</v>
      </c>
      <c r="F665" s="10" t="s">
        <v>33</v>
      </c>
      <c r="G665" s="10" t="s">
        <v>493</v>
      </c>
      <c r="H665" s="10" t="s">
        <v>36</v>
      </c>
    </row>
    <row r="666" spans="1:8" x14ac:dyDescent="0.3">
      <c r="A666" t="s">
        <v>223</v>
      </c>
      <c r="B666" s="2">
        <v>46023</v>
      </c>
      <c r="C666" s="10" t="s">
        <v>892</v>
      </c>
      <c r="D666" s="10">
        <v>0</v>
      </c>
      <c r="E666" s="10" t="s">
        <v>33</v>
      </c>
      <c r="F666" s="10" t="s">
        <v>33</v>
      </c>
      <c r="G666" s="10" t="s">
        <v>932</v>
      </c>
      <c r="H666" s="10" t="s">
        <v>36</v>
      </c>
    </row>
    <row r="667" spans="1:8" x14ac:dyDescent="0.3">
      <c r="A667" t="s">
        <v>223</v>
      </c>
      <c r="B667" s="2">
        <v>46054</v>
      </c>
      <c r="C667" s="10" t="s">
        <v>895</v>
      </c>
      <c r="D667" s="10">
        <v>0</v>
      </c>
      <c r="E667" s="10" t="s">
        <v>33</v>
      </c>
      <c r="F667" s="10" t="s">
        <v>33</v>
      </c>
      <c r="G667" s="10" t="s">
        <v>932</v>
      </c>
      <c r="H667" s="10" t="s">
        <v>36</v>
      </c>
    </row>
    <row r="668" spans="1:8" x14ac:dyDescent="0.3">
      <c r="A668" t="s">
        <v>223</v>
      </c>
      <c r="B668" s="2">
        <v>46082</v>
      </c>
      <c r="C668" s="10" t="s">
        <v>892</v>
      </c>
      <c r="D668" s="10">
        <v>0</v>
      </c>
      <c r="E668" s="10" t="s">
        <v>33</v>
      </c>
      <c r="F668" s="10" t="s">
        <v>33</v>
      </c>
      <c r="G668" s="10" t="s">
        <v>932</v>
      </c>
      <c r="H668" s="10" t="s">
        <v>36</v>
      </c>
    </row>
    <row r="669" spans="1:8" x14ac:dyDescent="0.3">
      <c r="A669" t="s">
        <v>223</v>
      </c>
      <c r="B669" s="2">
        <v>46113</v>
      </c>
      <c r="C669" s="10" t="s">
        <v>896</v>
      </c>
      <c r="D669" s="10">
        <v>0</v>
      </c>
      <c r="E669" s="10" t="s">
        <v>33</v>
      </c>
      <c r="F669" s="10" t="s">
        <v>33</v>
      </c>
      <c r="G669" s="10" t="s">
        <v>932</v>
      </c>
      <c r="H669" s="10" t="s">
        <v>36</v>
      </c>
    </row>
    <row r="670" spans="1:8" x14ac:dyDescent="0.3">
      <c r="A670" t="s">
        <v>223</v>
      </c>
      <c r="B670" s="2">
        <v>46143</v>
      </c>
      <c r="C670" s="10" t="s">
        <v>892</v>
      </c>
      <c r="D670" s="10">
        <v>0</v>
      </c>
      <c r="E670" s="10" t="s">
        <v>33</v>
      </c>
      <c r="F670" s="10" t="s">
        <v>33</v>
      </c>
      <c r="G670" s="10" t="s">
        <v>932</v>
      </c>
      <c r="H670" s="10" t="s">
        <v>36</v>
      </c>
    </row>
    <row r="671" spans="1:8" x14ac:dyDescent="0.3">
      <c r="A671" t="s">
        <v>114</v>
      </c>
      <c r="B671" s="2">
        <v>46174</v>
      </c>
      <c r="C671" t="s">
        <v>919</v>
      </c>
      <c r="D671">
        <v>0</v>
      </c>
      <c r="E671" t="s">
        <v>33</v>
      </c>
      <c r="F671" t="s">
        <v>33</v>
      </c>
      <c r="G671" s="10" t="s">
        <v>996</v>
      </c>
      <c r="H671" t="s">
        <v>36</v>
      </c>
    </row>
    <row r="672" spans="1:8" x14ac:dyDescent="0.3">
      <c r="A672" t="s">
        <v>114</v>
      </c>
      <c r="B672" s="2">
        <v>46204</v>
      </c>
      <c r="C672" s="10">
        <v>31</v>
      </c>
      <c r="D672">
        <v>0</v>
      </c>
      <c r="E672" t="s">
        <v>33</v>
      </c>
      <c r="F672" t="s">
        <v>33</v>
      </c>
      <c r="G672" t="s">
        <v>1014</v>
      </c>
      <c r="H672" t="s">
        <v>36</v>
      </c>
    </row>
    <row r="673" spans="1:3" x14ac:dyDescent="0.3">
      <c r="A673" t="s">
        <v>223</v>
      </c>
      <c r="B673" s="2">
        <v>46235</v>
      </c>
      <c r="C673" s="10"/>
    </row>
    <row r="674" spans="1:3" x14ac:dyDescent="0.3">
      <c r="A674" t="s">
        <v>120</v>
      </c>
      <c r="B674" s="2">
        <v>45536</v>
      </c>
      <c r="C674" s="10"/>
    </row>
    <row r="675" spans="1:3" x14ac:dyDescent="0.3">
      <c r="A675" t="s">
        <v>120</v>
      </c>
      <c r="B675" s="2">
        <v>45566</v>
      </c>
      <c r="C675" s="10"/>
    </row>
    <row r="676" spans="1:3" x14ac:dyDescent="0.3">
      <c r="A676" t="s">
        <v>120</v>
      </c>
      <c r="B676" s="2">
        <v>45597</v>
      </c>
      <c r="C676" s="10"/>
    </row>
    <row r="677" spans="1:3" x14ac:dyDescent="0.3">
      <c r="A677" t="s">
        <v>120</v>
      </c>
      <c r="B677" s="2">
        <v>45627</v>
      </c>
      <c r="C677" s="10"/>
    </row>
    <row r="678" spans="1:3" x14ac:dyDescent="0.3">
      <c r="A678" t="s">
        <v>120</v>
      </c>
      <c r="B678" s="2">
        <v>45658</v>
      </c>
      <c r="C678" s="10"/>
    </row>
    <row r="679" spans="1:3" ht="28.95" customHeight="1" x14ac:dyDescent="0.3">
      <c r="A679" t="s">
        <v>120</v>
      </c>
      <c r="B679" s="2">
        <v>45689</v>
      </c>
      <c r="C679" s="10" t="s">
        <v>495</v>
      </c>
    </row>
    <row r="680" spans="1:3" ht="72" customHeight="1" x14ac:dyDescent="0.3">
      <c r="A680" t="s">
        <v>120</v>
      </c>
      <c r="B680" s="2">
        <v>45717</v>
      </c>
      <c r="C680" s="10" t="s">
        <v>496</v>
      </c>
    </row>
    <row r="681" spans="1:3" ht="72" customHeight="1" x14ac:dyDescent="0.3">
      <c r="A681" t="s">
        <v>120</v>
      </c>
      <c r="B681" s="2">
        <v>45748</v>
      </c>
      <c r="C681" s="10" t="s">
        <v>497</v>
      </c>
    </row>
    <row r="682" spans="1:3" ht="57.6" customHeight="1" x14ac:dyDescent="0.3">
      <c r="A682" t="s">
        <v>120</v>
      </c>
      <c r="B682" s="2">
        <v>45778</v>
      </c>
      <c r="C682" s="10" t="s">
        <v>498</v>
      </c>
    </row>
    <row r="683" spans="1:3" ht="57.6" customHeight="1" x14ac:dyDescent="0.3">
      <c r="A683" t="s">
        <v>120</v>
      </c>
      <c r="B683" s="2">
        <v>45809</v>
      </c>
      <c r="C683" s="10" t="s">
        <v>499</v>
      </c>
    </row>
    <row r="684" spans="1:3" ht="57.6" customHeight="1" x14ac:dyDescent="0.3">
      <c r="A684" t="s">
        <v>120</v>
      </c>
      <c r="B684" s="2">
        <v>45839</v>
      </c>
      <c r="C684" s="10" t="s">
        <v>500</v>
      </c>
    </row>
    <row r="685" spans="1:3" ht="57.6" customHeight="1" x14ac:dyDescent="0.3">
      <c r="A685" t="s">
        <v>120</v>
      </c>
      <c r="B685" s="2">
        <v>45870</v>
      </c>
      <c r="C685" s="10" t="s">
        <v>501</v>
      </c>
    </row>
    <row r="686" spans="1:3" ht="57.6" customHeight="1" x14ac:dyDescent="0.3">
      <c r="A686" t="s">
        <v>120</v>
      </c>
      <c r="B686" s="2">
        <v>45901</v>
      </c>
      <c r="C686" s="10" t="s">
        <v>502</v>
      </c>
    </row>
    <row r="687" spans="1:3" ht="57.6" customHeight="1" x14ac:dyDescent="0.3">
      <c r="A687" t="s">
        <v>120</v>
      </c>
      <c r="B687" s="2">
        <v>45931</v>
      </c>
      <c r="C687" s="10" t="s">
        <v>503</v>
      </c>
    </row>
    <row r="688" spans="1:3" ht="57.6" customHeight="1" x14ac:dyDescent="0.3">
      <c r="A688" t="s">
        <v>120</v>
      </c>
      <c r="B688" s="2">
        <v>45962</v>
      </c>
      <c r="C688" s="10" t="s">
        <v>504</v>
      </c>
    </row>
    <row r="689" spans="1:8" x14ac:dyDescent="0.3">
      <c r="A689" t="s">
        <v>120</v>
      </c>
      <c r="B689" s="2">
        <v>45992</v>
      </c>
      <c r="C689" s="10" t="s">
        <v>455</v>
      </c>
    </row>
    <row r="690" spans="1:8" x14ac:dyDescent="0.3">
      <c r="A690" t="s">
        <v>120</v>
      </c>
      <c r="B690" s="2">
        <v>46023</v>
      </c>
      <c r="C690" s="10" t="s">
        <v>338</v>
      </c>
    </row>
    <row r="691" spans="1:8" ht="43.2" x14ac:dyDescent="0.3">
      <c r="A691" t="s">
        <v>120</v>
      </c>
      <c r="B691" s="2">
        <v>46054</v>
      </c>
      <c r="C691" s="10" t="s">
        <v>314</v>
      </c>
    </row>
    <row r="692" spans="1:8" ht="43.2" x14ac:dyDescent="0.3">
      <c r="A692" t="s">
        <v>120</v>
      </c>
      <c r="B692" s="2">
        <v>46082</v>
      </c>
      <c r="C692" s="10" t="s">
        <v>314</v>
      </c>
    </row>
    <row r="693" spans="1:8" ht="28.8" x14ac:dyDescent="0.3">
      <c r="A693" t="s">
        <v>120</v>
      </c>
      <c r="B693" s="2">
        <v>46113</v>
      </c>
      <c r="C693" s="10" t="s">
        <v>494</v>
      </c>
    </row>
    <row r="694" spans="1:8" x14ac:dyDescent="0.3">
      <c r="A694" t="s">
        <v>120</v>
      </c>
      <c r="B694" s="2">
        <v>46143</v>
      </c>
      <c r="C694" s="10" t="s">
        <v>852</v>
      </c>
    </row>
    <row r="695" spans="1:8" x14ac:dyDescent="0.3">
      <c r="A695" t="s">
        <v>117</v>
      </c>
      <c r="B695" s="2">
        <v>46174</v>
      </c>
      <c r="C695" s="10" t="s">
        <v>919</v>
      </c>
      <c r="D695">
        <v>0</v>
      </c>
      <c r="E695" t="s">
        <v>33</v>
      </c>
      <c r="F695" t="s">
        <v>33</v>
      </c>
      <c r="G695" s="10" t="s">
        <v>996</v>
      </c>
      <c r="H695" s="10" t="s">
        <v>36</v>
      </c>
    </row>
    <row r="696" spans="1:8" x14ac:dyDescent="0.3">
      <c r="A696" t="s">
        <v>117</v>
      </c>
      <c r="B696" s="2">
        <v>46204</v>
      </c>
      <c r="C696" s="10">
        <v>31</v>
      </c>
      <c r="D696">
        <v>0</v>
      </c>
      <c r="E696" t="s">
        <v>33</v>
      </c>
      <c r="F696" t="s">
        <v>33</v>
      </c>
      <c r="G696" t="s">
        <v>1014</v>
      </c>
      <c r="H696" t="s">
        <v>36</v>
      </c>
    </row>
    <row r="697" spans="1:8" x14ac:dyDescent="0.3">
      <c r="A697" t="s">
        <v>120</v>
      </c>
      <c r="B697" s="2">
        <v>46235</v>
      </c>
      <c r="C697" s="10"/>
    </row>
    <row r="698" spans="1:8" x14ac:dyDescent="0.3">
      <c r="A698" t="s">
        <v>122</v>
      </c>
      <c r="B698" s="2">
        <v>45536</v>
      </c>
      <c r="C698" s="10"/>
    </row>
    <row r="699" spans="1:8" x14ac:dyDescent="0.3">
      <c r="A699" t="s">
        <v>122</v>
      </c>
      <c r="B699" s="2">
        <v>45566</v>
      </c>
      <c r="C699" s="10"/>
    </row>
    <row r="700" spans="1:8" x14ac:dyDescent="0.3">
      <c r="A700" t="s">
        <v>122</v>
      </c>
      <c r="B700" s="2">
        <v>45597</v>
      </c>
      <c r="C700" s="10"/>
    </row>
    <row r="701" spans="1:8" x14ac:dyDescent="0.3">
      <c r="A701" t="s">
        <v>122</v>
      </c>
      <c r="B701" s="2">
        <v>45627</v>
      </c>
      <c r="C701" s="10"/>
    </row>
    <row r="702" spans="1:8" x14ac:dyDescent="0.3">
      <c r="A702" t="s">
        <v>122</v>
      </c>
      <c r="B702" s="2">
        <v>45658</v>
      </c>
      <c r="C702" s="10"/>
    </row>
    <row r="703" spans="1:8" ht="43.2" customHeight="1" x14ac:dyDescent="0.3">
      <c r="A703" t="s">
        <v>122</v>
      </c>
      <c r="B703" s="2">
        <v>45689</v>
      </c>
      <c r="C703" s="10" t="s">
        <v>505</v>
      </c>
    </row>
    <row r="704" spans="1:8" ht="43.2" customHeight="1" x14ac:dyDescent="0.3">
      <c r="A704" t="s">
        <v>122</v>
      </c>
      <c r="B704" s="2">
        <v>45717</v>
      </c>
      <c r="C704" s="10" t="s">
        <v>506</v>
      </c>
    </row>
    <row r="705" spans="1:8" ht="57.6" customHeight="1" x14ac:dyDescent="0.3">
      <c r="A705" t="s">
        <v>122</v>
      </c>
      <c r="B705" s="2">
        <v>45748</v>
      </c>
      <c r="C705" s="10" t="s">
        <v>507</v>
      </c>
    </row>
    <row r="706" spans="1:8" ht="57.6" customHeight="1" x14ac:dyDescent="0.3">
      <c r="A706" t="s">
        <v>122</v>
      </c>
      <c r="B706" s="2">
        <v>45778</v>
      </c>
      <c r="C706" s="10" t="s">
        <v>508</v>
      </c>
    </row>
    <row r="707" spans="1:8" ht="57.6" customHeight="1" x14ac:dyDescent="0.3">
      <c r="A707" t="s">
        <v>122</v>
      </c>
      <c r="B707" s="2">
        <v>45809</v>
      </c>
      <c r="C707" s="10" t="s">
        <v>508</v>
      </c>
    </row>
    <row r="708" spans="1:8" ht="57.6" customHeight="1" x14ac:dyDescent="0.3">
      <c r="A708" t="s">
        <v>122</v>
      </c>
      <c r="B708" s="2">
        <v>45839</v>
      </c>
      <c r="C708" s="10" t="s">
        <v>509</v>
      </c>
    </row>
    <row r="709" spans="1:8" ht="57.6" customHeight="1" x14ac:dyDescent="0.3">
      <c r="A709" t="s">
        <v>122</v>
      </c>
      <c r="B709" s="2">
        <v>45870</v>
      </c>
      <c r="C709" s="10" t="s">
        <v>510</v>
      </c>
    </row>
    <row r="710" spans="1:8" ht="72" customHeight="1" x14ac:dyDescent="0.3">
      <c r="A710" t="s">
        <v>122</v>
      </c>
      <c r="B710" s="2">
        <v>45901</v>
      </c>
      <c r="C710" s="10" t="s">
        <v>511</v>
      </c>
    </row>
    <row r="711" spans="1:8" ht="57.6" customHeight="1" x14ac:dyDescent="0.3">
      <c r="A711" t="s">
        <v>122</v>
      </c>
      <c r="B711" s="2">
        <v>45931</v>
      </c>
      <c r="C711" s="10" t="s">
        <v>512</v>
      </c>
    </row>
    <row r="712" spans="1:8" ht="57.6" customHeight="1" x14ac:dyDescent="0.3">
      <c r="A712" t="s">
        <v>122</v>
      </c>
      <c r="B712" s="2">
        <v>45962</v>
      </c>
      <c r="C712" s="10" t="s">
        <v>513</v>
      </c>
    </row>
    <row r="713" spans="1:8" x14ac:dyDescent="0.3">
      <c r="A713" t="s">
        <v>122</v>
      </c>
      <c r="B713" s="2">
        <v>45992</v>
      </c>
      <c r="C713" s="10" t="s">
        <v>326</v>
      </c>
    </row>
    <row r="714" spans="1:8" x14ac:dyDescent="0.3">
      <c r="A714" t="s">
        <v>122</v>
      </c>
      <c r="B714" s="2">
        <v>46023</v>
      </c>
      <c r="C714" s="10" t="s">
        <v>338</v>
      </c>
    </row>
    <row r="715" spans="1:8" x14ac:dyDescent="0.3">
      <c r="A715" t="s">
        <v>122</v>
      </c>
      <c r="B715" s="2">
        <v>46054</v>
      </c>
      <c r="C715" s="10" t="s">
        <v>326</v>
      </c>
    </row>
    <row r="716" spans="1:8" x14ac:dyDescent="0.3">
      <c r="A716" t="s">
        <v>122</v>
      </c>
      <c r="B716" s="2">
        <v>46082</v>
      </c>
      <c r="C716" s="10" t="s">
        <v>338</v>
      </c>
    </row>
    <row r="717" spans="1:8" x14ac:dyDescent="0.3">
      <c r="A717" t="s">
        <v>122</v>
      </c>
      <c r="B717" s="2">
        <v>46113</v>
      </c>
      <c r="C717" s="10" t="s">
        <v>302</v>
      </c>
    </row>
    <row r="718" spans="1:8" x14ac:dyDescent="0.3">
      <c r="A718" t="s">
        <v>122</v>
      </c>
      <c r="B718" s="2">
        <v>46143</v>
      </c>
      <c r="C718" s="10" t="s">
        <v>302</v>
      </c>
    </row>
    <row r="719" spans="1:8" x14ac:dyDescent="0.3">
      <c r="A719" t="s">
        <v>225</v>
      </c>
      <c r="B719" s="2">
        <v>46174</v>
      </c>
      <c r="C719" s="10" t="s">
        <v>896</v>
      </c>
      <c r="D719" s="10">
        <v>0</v>
      </c>
      <c r="E719" s="10" t="s">
        <v>33</v>
      </c>
      <c r="F719" s="10" t="s">
        <v>33</v>
      </c>
      <c r="G719" s="10" t="s">
        <v>338</v>
      </c>
      <c r="H719" s="10" t="s">
        <v>36</v>
      </c>
    </row>
    <row r="720" spans="1:8" x14ac:dyDescent="0.3">
      <c r="A720" t="s">
        <v>225</v>
      </c>
      <c r="B720" s="2">
        <v>46204</v>
      </c>
      <c r="C720" s="10">
        <v>31</v>
      </c>
      <c r="D720">
        <v>0</v>
      </c>
      <c r="E720" t="s">
        <v>33</v>
      </c>
      <c r="F720" t="s">
        <v>33</v>
      </c>
      <c r="G720" t="s">
        <v>1014</v>
      </c>
      <c r="H720" t="s">
        <v>36</v>
      </c>
    </row>
    <row r="721" spans="1:3" x14ac:dyDescent="0.3">
      <c r="A721" t="s">
        <v>122</v>
      </c>
      <c r="B721" s="2">
        <v>46235</v>
      </c>
      <c r="C721" s="10"/>
    </row>
    <row r="722" spans="1:3" ht="28.8" x14ac:dyDescent="0.3">
      <c r="A722" t="s">
        <v>124</v>
      </c>
      <c r="B722" s="2">
        <v>45536</v>
      </c>
      <c r="C722" s="10" t="s">
        <v>514</v>
      </c>
    </row>
    <row r="723" spans="1:3" x14ac:dyDescent="0.3">
      <c r="A723" t="s">
        <v>124</v>
      </c>
      <c r="B723" s="2">
        <v>45566</v>
      </c>
      <c r="C723" s="10"/>
    </row>
    <row r="724" spans="1:3" x14ac:dyDescent="0.3">
      <c r="A724" t="s">
        <v>124</v>
      </c>
      <c r="B724" s="2">
        <v>45597</v>
      </c>
      <c r="C724" s="10"/>
    </row>
    <row r="725" spans="1:3" x14ac:dyDescent="0.3">
      <c r="A725" t="s">
        <v>124</v>
      </c>
      <c r="B725" s="2">
        <v>45627</v>
      </c>
      <c r="C725" s="10"/>
    </row>
    <row r="726" spans="1:3" x14ac:dyDescent="0.3">
      <c r="A726" t="s">
        <v>124</v>
      </c>
      <c r="B726" s="2">
        <v>45658</v>
      </c>
      <c r="C726" s="10"/>
    </row>
    <row r="727" spans="1:3" ht="43.2" customHeight="1" x14ac:dyDescent="0.3">
      <c r="A727" t="s">
        <v>124</v>
      </c>
      <c r="B727" s="2">
        <v>45689</v>
      </c>
      <c r="C727" s="10" t="s">
        <v>515</v>
      </c>
    </row>
    <row r="728" spans="1:3" ht="57.6" customHeight="1" x14ac:dyDescent="0.3">
      <c r="A728" t="s">
        <v>124</v>
      </c>
      <c r="B728" s="2">
        <v>45717</v>
      </c>
      <c r="C728" s="10" t="s">
        <v>516</v>
      </c>
    </row>
    <row r="729" spans="1:3" ht="57.6" customHeight="1" x14ac:dyDescent="0.3">
      <c r="A729" t="s">
        <v>124</v>
      </c>
      <c r="B729" s="2">
        <v>45748</v>
      </c>
      <c r="C729" s="10" t="s">
        <v>517</v>
      </c>
    </row>
    <row r="730" spans="1:3" ht="57.6" customHeight="1" x14ac:dyDescent="0.3">
      <c r="A730" t="s">
        <v>124</v>
      </c>
      <c r="B730" s="2">
        <v>45778</v>
      </c>
      <c r="C730" s="10" t="s">
        <v>518</v>
      </c>
    </row>
    <row r="731" spans="1:3" ht="57.6" customHeight="1" x14ac:dyDescent="0.3">
      <c r="A731" t="s">
        <v>124</v>
      </c>
      <c r="B731" s="2">
        <v>45809</v>
      </c>
      <c r="C731" s="10" t="s">
        <v>519</v>
      </c>
    </row>
    <row r="732" spans="1:3" ht="57.6" customHeight="1" x14ac:dyDescent="0.3">
      <c r="A732" t="s">
        <v>124</v>
      </c>
      <c r="B732" s="2">
        <v>45839</v>
      </c>
      <c r="C732" s="10" t="s">
        <v>520</v>
      </c>
    </row>
    <row r="733" spans="1:3" ht="57.6" customHeight="1" x14ac:dyDescent="0.3">
      <c r="A733" t="s">
        <v>124</v>
      </c>
      <c r="B733" s="2">
        <v>45870</v>
      </c>
      <c r="C733" s="10" t="s">
        <v>521</v>
      </c>
    </row>
    <row r="734" spans="1:3" ht="57.6" customHeight="1" x14ac:dyDescent="0.3">
      <c r="A734" t="s">
        <v>124</v>
      </c>
      <c r="B734" s="2">
        <v>45901</v>
      </c>
      <c r="C734" s="10" t="s">
        <v>522</v>
      </c>
    </row>
    <row r="735" spans="1:3" ht="57.6" customHeight="1" x14ac:dyDescent="0.3">
      <c r="A735" t="s">
        <v>124</v>
      </c>
      <c r="B735" s="2">
        <v>45931</v>
      </c>
      <c r="C735" s="10" t="s">
        <v>523</v>
      </c>
    </row>
    <row r="736" spans="1:3" ht="57.6" customHeight="1" x14ac:dyDescent="0.3">
      <c r="A736" t="s">
        <v>124</v>
      </c>
      <c r="B736" s="2">
        <v>45962</v>
      </c>
      <c r="C736" s="10" t="s">
        <v>524</v>
      </c>
    </row>
    <row r="737" spans="1:8" ht="28.8" x14ac:dyDescent="0.3">
      <c r="A737" t="s">
        <v>124</v>
      </c>
      <c r="B737" s="2">
        <v>45992</v>
      </c>
      <c r="C737" s="10" t="s">
        <v>525</v>
      </c>
    </row>
    <row r="738" spans="1:8" ht="28.8" x14ac:dyDescent="0.3">
      <c r="A738" t="s">
        <v>124</v>
      </c>
      <c r="B738" s="2">
        <v>46023</v>
      </c>
      <c r="C738" s="10" t="s">
        <v>526</v>
      </c>
    </row>
    <row r="739" spans="1:8" x14ac:dyDescent="0.3">
      <c r="A739" t="s">
        <v>124</v>
      </c>
      <c r="B739" s="2">
        <v>46054</v>
      </c>
      <c r="C739" s="10" t="s">
        <v>326</v>
      </c>
    </row>
    <row r="740" spans="1:8" x14ac:dyDescent="0.3">
      <c r="A740" t="s">
        <v>124</v>
      </c>
      <c r="B740" s="2">
        <v>46082</v>
      </c>
      <c r="C740" s="10" t="s">
        <v>326</v>
      </c>
    </row>
    <row r="741" spans="1:8" ht="28.8" x14ac:dyDescent="0.3">
      <c r="A741" t="s">
        <v>124</v>
      </c>
      <c r="B741" s="2">
        <v>46113</v>
      </c>
      <c r="C741" s="10" t="s">
        <v>527</v>
      </c>
    </row>
    <row r="742" spans="1:8" x14ac:dyDescent="0.3">
      <c r="A742" t="s">
        <v>124</v>
      </c>
      <c r="B742" s="2">
        <v>46143</v>
      </c>
      <c r="C742" s="10" t="s">
        <v>302</v>
      </c>
    </row>
    <row r="743" spans="1:8" x14ac:dyDescent="0.3">
      <c r="A743" t="s">
        <v>223</v>
      </c>
      <c r="B743" s="2">
        <v>46204</v>
      </c>
      <c r="C743" s="10">
        <v>31</v>
      </c>
      <c r="D743">
        <v>0</v>
      </c>
      <c r="E743" t="s">
        <v>33</v>
      </c>
      <c r="F743" t="s">
        <v>33</v>
      </c>
      <c r="G743" s="10" t="s">
        <v>932</v>
      </c>
      <c r="H743" t="s">
        <v>36</v>
      </c>
    </row>
    <row r="744" spans="1:8" ht="40.799999999999997" customHeight="1" x14ac:dyDescent="0.3">
      <c r="A744" t="s">
        <v>223</v>
      </c>
      <c r="B744" s="2">
        <v>46174</v>
      </c>
      <c r="C744" s="10" t="s">
        <v>896</v>
      </c>
      <c r="D744" s="10">
        <v>0</v>
      </c>
      <c r="E744" s="10" t="s">
        <v>33</v>
      </c>
      <c r="F744" s="10" t="s">
        <v>33</v>
      </c>
      <c r="G744" s="10" t="s">
        <v>996</v>
      </c>
      <c r="H744" s="10" t="s">
        <v>36</v>
      </c>
    </row>
    <row r="745" spans="1:8" x14ac:dyDescent="0.3">
      <c r="A745" t="s">
        <v>124</v>
      </c>
      <c r="B745" s="2">
        <v>46235</v>
      </c>
      <c r="C745" s="10"/>
    </row>
    <row r="746" spans="1:8" x14ac:dyDescent="0.3">
      <c r="A746" t="s">
        <v>127</v>
      </c>
      <c r="B746" s="2">
        <v>45536</v>
      </c>
      <c r="C746" s="10"/>
    </row>
    <row r="747" spans="1:8" x14ac:dyDescent="0.3">
      <c r="A747" t="s">
        <v>127</v>
      </c>
      <c r="B747" s="2">
        <v>45566</v>
      </c>
      <c r="C747" s="10"/>
    </row>
    <row r="748" spans="1:8" x14ac:dyDescent="0.3">
      <c r="A748" t="s">
        <v>127</v>
      </c>
      <c r="B748" s="2">
        <v>45597</v>
      </c>
      <c r="C748" s="10"/>
    </row>
    <row r="749" spans="1:8" x14ac:dyDescent="0.3">
      <c r="A749" t="s">
        <v>127</v>
      </c>
      <c r="B749" s="2">
        <v>45627</v>
      </c>
      <c r="C749" s="10"/>
    </row>
    <row r="750" spans="1:8" x14ac:dyDescent="0.3">
      <c r="A750" t="s">
        <v>127</v>
      </c>
      <c r="B750" s="2">
        <v>45658</v>
      </c>
      <c r="C750" s="10"/>
    </row>
    <row r="751" spans="1:8" ht="57.6" customHeight="1" x14ac:dyDescent="0.3">
      <c r="A751" t="s">
        <v>127</v>
      </c>
      <c r="B751" s="2">
        <v>45689</v>
      </c>
      <c r="C751" s="10" t="s">
        <v>528</v>
      </c>
    </row>
    <row r="752" spans="1:8" x14ac:dyDescent="0.3">
      <c r="A752" t="s">
        <v>127</v>
      </c>
      <c r="B752" s="2">
        <v>45717</v>
      </c>
      <c r="C752" s="10" t="s">
        <v>529</v>
      </c>
    </row>
    <row r="753" spans="1:8" ht="28.8" x14ac:dyDescent="0.3">
      <c r="A753" t="s">
        <v>127</v>
      </c>
      <c r="B753" s="2">
        <v>45748</v>
      </c>
      <c r="C753" s="10" t="s">
        <v>530</v>
      </c>
    </row>
    <row r="754" spans="1:8" x14ac:dyDescent="0.3">
      <c r="A754" t="s">
        <v>127</v>
      </c>
      <c r="B754" s="2">
        <v>45778</v>
      </c>
      <c r="C754" s="10" t="s">
        <v>531</v>
      </c>
    </row>
    <row r="755" spans="1:8" x14ac:dyDescent="0.3">
      <c r="A755" t="s">
        <v>127</v>
      </c>
      <c r="B755" s="2">
        <v>45809</v>
      </c>
      <c r="C755" s="10" t="s">
        <v>531</v>
      </c>
    </row>
    <row r="756" spans="1:8" ht="28.8" x14ac:dyDescent="0.3">
      <c r="A756" t="s">
        <v>127</v>
      </c>
      <c r="B756" s="2">
        <v>45839</v>
      </c>
      <c r="C756" t="s">
        <v>911</v>
      </c>
      <c r="D756">
        <v>0</v>
      </c>
      <c r="E756" t="s">
        <v>33</v>
      </c>
      <c r="F756" t="s">
        <v>974</v>
      </c>
      <c r="G756" s="10" t="s">
        <v>932</v>
      </c>
      <c r="H756" s="10" t="s">
        <v>531</v>
      </c>
    </row>
    <row r="757" spans="1:8" ht="28.8" x14ac:dyDescent="0.3">
      <c r="A757" t="s">
        <v>127</v>
      </c>
      <c r="B757" s="2">
        <v>45870</v>
      </c>
      <c r="C757" t="s">
        <v>911</v>
      </c>
      <c r="D757">
        <v>0</v>
      </c>
      <c r="E757" t="s">
        <v>33</v>
      </c>
      <c r="F757" t="s">
        <v>974</v>
      </c>
      <c r="G757" s="10" t="s">
        <v>973</v>
      </c>
      <c r="H757" s="10" t="s">
        <v>531</v>
      </c>
    </row>
    <row r="758" spans="1:8" ht="28.8" x14ac:dyDescent="0.3">
      <c r="A758" t="s">
        <v>127</v>
      </c>
      <c r="B758" s="2">
        <v>45901</v>
      </c>
      <c r="C758" t="s">
        <v>919</v>
      </c>
      <c r="D758">
        <v>0</v>
      </c>
      <c r="E758" t="s">
        <v>33</v>
      </c>
      <c r="F758" t="s">
        <v>974</v>
      </c>
      <c r="G758" s="10" t="s">
        <v>932</v>
      </c>
      <c r="H758" s="10" t="s">
        <v>531</v>
      </c>
    </row>
    <row r="759" spans="1:8" x14ac:dyDescent="0.3">
      <c r="A759" t="s">
        <v>127</v>
      </c>
      <c r="B759" s="2">
        <v>45931</v>
      </c>
      <c r="C759" t="s">
        <v>911</v>
      </c>
      <c r="D759">
        <v>0</v>
      </c>
      <c r="E759" t="s">
        <v>33</v>
      </c>
      <c r="F759" t="s">
        <v>33</v>
      </c>
      <c r="G759" s="10" t="s">
        <v>973</v>
      </c>
      <c r="H759" t="s">
        <v>36</v>
      </c>
    </row>
    <row r="760" spans="1:8" x14ac:dyDescent="0.3">
      <c r="A760" t="s">
        <v>127</v>
      </c>
      <c r="B760" s="2">
        <v>45962</v>
      </c>
      <c r="C760" t="s">
        <v>919</v>
      </c>
      <c r="D760">
        <v>0</v>
      </c>
      <c r="E760" t="s">
        <v>33</v>
      </c>
      <c r="F760" t="s">
        <v>33</v>
      </c>
      <c r="G760" s="10" t="s">
        <v>973</v>
      </c>
      <c r="H760" t="s">
        <v>36</v>
      </c>
    </row>
    <row r="761" spans="1:8" x14ac:dyDescent="0.3">
      <c r="A761" t="s">
        <v>127</v>
      </c>
      <c r="B761" s="2">
        <v>45992</v>
      </c>
      <c r="C761" t="s">
        <v>911</v>
      </c>
      <c r="D761">
        <v>0</v>
      </c>
      <c r="E761" t="s">
        <v>33</v>
      </c>
      <c r="F761" t="s">
        <v>33</v>
      </c>
      <c r="G761" s="10" t="s">
        <v>973</v>
      </c>
      <c r="H761" t="s">
        <v>36</v>
      </c>
    </row>
    <row r="762" spans="1:8" x14ac:dyDescent="0.3">
      <c r="A762" t="s">
        <v>127</v>
      </c>
      <c r="B762" s="2">
        <v>46023</v>
      </c>
      <c r="C762" t="s">
        <v>911</v>
      </c>
      <c r="D762">
        <v>0</v>
      </c>
      <c r="E762" t="s">
        <v>33</v>
      </c>
      <c r="F762" t="s">
        <v>33</v>
      </c>
      <c r="G762" s="10" t="s">
        <v>932</v>
      </c>
      <c r="H762" t="s">
        <v>36</v>
      </c>
    </row>
    <row r="763" spans="1:8" x14ac:dyDescent="0.3">
      <c r="A763" t="s">
        <v>127</v>
      </c>
      <c r="B763" s="2">
        <v>46054</v>
      </c>
      <c r="C763" t="s">
        <v>895</v>
      </c>
      <c r="D763">
        <v>0</v>
      </c>
      <c r="E763" t="s">
        <v>33</v>
      </c>
      <c r="F763" t="s">
        <v>33</v>
      </c>
      <c r="G763" s="10" t="s">
        <v>326</v>
      </c>
      <c r="H763" t="s">
        <v>36</v>
      </c>
    </row>
    <row r="764" spans="1:8" x14ac:dyDescent="0.3">
      <c r="A764" t="s">
        <v>127</v>
      </c>
      <c r="B764" s="2">
        <v>46082</v>
      </c>
      <c r="C764" t="s">
        <v>911</v>
      </c>
      <c r="D764">
        <v>0</v>
      </c>
      <c r="E764" t="s">
        <v>33</v>
      </c>
      <c r="F764" t="s">
        <v>33</v>
      </c>
      <c r="G764" s="21" t="s">
        <v>932</v>
      </c>
      <c r="H764" t="s">
        <v>36</v>
      </c>
    </row>
    <row r="765" spans="1:8" x14ac:dyDescent="0.3">
      <c r="A765" t="s">
        <v>127</v>
      </c>
      <c r="B765" s="2">
        <v>46113</v>
      </c>
      <c r="C765" t="s">
        <v>919</v>
      </c>
      <c r="D765">
        <v>0</v>
      </c>
      <c r="E765" t="s">
        <v>33</v>
      </c>
      <c r="F765" t="s">
        <v>33</v>
      </c>
      <c r="G765" s="10" t="s">
        <v>932</v>
      </c>
      <c r="H765" t="s">
        <v>36</v>
      </c>
    </row>
    <row r="766" spans="1:8" x14ac:dyDescent="0.3">
      <c r="A766" t="s">
        <v>127</v>
      </c>
      <c r="B766" s="2">
        <v>46143</v>
      </c>
      <c r="C766" t="s">
        <v>911</v>
      </c>
      <c r="D766">
        <v>0</v>
      </c>
      <c r="E766" t="s">
        <v>33</v>
      </c>
      <c r="F766" t="s">
        <v>33</v>
      </c>
      <c r="G766" s="10" t="s">
        <v>973</v>
      </c>
      <c r="H766" t="s">
        <v>36</v>
      </c>
    </row>
    <row r="767" spans="1:8" x14ac:dyDescent="0.3">
      <c r="A767" t="s">
        <v>120</v>
      </c>
      <c r="B767" s="2">
        <v>46174</v>
      </c>
      <c r="C767" s="10"/>
    </row>
    <row r="768" spans="1:8" ht="43.2" x14ac:dyDescent="0.3">
      <c r="A768" t="s">
        <v>120</v>
      </c>
      <c r="B768" s="2">
        <v>46204</v>
      </c>
      <c r="C768" s="10">
        <v>31</v>
      </c>
      <c r="D768">
        <v>0</v>
      </c>
      <c r="E768" t="s">
        <v>33</v>
      </c>
      <c r="F768" s="33" t="s">
        <v>1033</v>
      </c>
      <c r="G768" s="33" t="s">
        <v>1032</v>
      </c>
      <c r="H768" t="s">
        <v>1034</v>
      </c>
    </row>
    <row r="769" spans="1:3" x14ac:dyDescent="0.3">
      <c r="A769" t="s">
        <v>127</v>
      </c>
      <c r="B769" s="2">
        <v>46235</v>
      </c>
      <c r="C769" s="10"/>
    </row>
    <row r="770" spans="1:3" x14ac:dyDescent="0.3">
      <c r="A770" t="s">
        <v>234</v>
      </c>
      <c r="B770" s="2">
        <v>45536</v>
      </c>
      <c r="C770" s="10"/>
    </row>
    <row r="771" spans="1:3" x14ac:dyDescent="0.3">
      <c r="A771" t="s">
        <v>234</v>
      </c>
      <c r="B771" s="2">
        <v>45566</v>
      </c>
      <c r="C771" s="10"/>
    </row>
    <row r="772" spans="1:3" x14ac:dyDescent="0.3">
      <c r="A772" t="s">
        <v>234</v>
      </c>
      <c r="B772" s="2">
        <v>45597</v>
      </c>
      <c r="C772" s="10"/>
    </row>
    <row r="773" spans="1:3" x14ac:dyDescent="0.3">
      <c r="A773" t="s">
        <v>234</v>
      </c>
      <c r="B773" s="2">
        <v>45627</v>
      </c>
      <c r="C773" s="10"/>
    </row>
    <row r="774" spans="1:3" x14ac:dyDescent="0.3">
      <c r="A774" t="s">
        <v>234</v>
      </c>
      <c r="B774" s="2">
        <v>45658</v>
      </c>
      <c r="C774" s="10"/>
    </row>
    <row r="775" spans="1:3" x14ac:dyDescent="0.3">
      <c r="A775" t="s">
        <v>234</v>
      </c>
      <c r="B775" s="2">
        <v>45689</v>
      </c>
      <c r="C775" s="10"/>
    </row>
    <row r="776" spans="1:3" x14ac:dyDescent="0.3">
      <c r="A776" t="s">
        <v>234</v>
      </c>
      <c r="B776" s="2">
        <v>45717</v>
      </c>
      <c r="C776" s="10"/>
    </row>
    <row r="777" spans="1:3" x14ac:dyDescent="0.3">
      <c r="A777" t="s">
        <v>234</v>
      </c>
      <c r="B777" s="2">
        <v>45748</v>
      </c>
      <c r="C777" s="10"/>
    </row>
    <row r="778" spans="1:3" x14ac:dyDescent="0.3">
      <c r="A778" t="s">
        <v>234</v>
      </c>
      <c r="B778" s="2">
        <v>45778</v>
      </c>
      <c r="C778" s="10"/>
    </row>
    <row r="779" spans="1:3" x14ac:dyDescent="0.3">
      <c r="A779" t="s">
        <v>234</v>
      </c>
      <c r="B779" s="2">
        <v>45809</v>
      </c>
      <c r="C779" s="10"/>
    </row>
    <row r="780" spans="1:3" x14ac:dyDescent="0.3">
      <c r="A780" t="s">
        <v>234</v>
      </c>
      <c r="B780" s="2">
        <v>45839</v>
      </c>
      <c r="C780" s="10"/>
    </row>
    <row r="781" spans="1:3" x14ac:dyDescent="0.3">
      <c r="A781" t="s">
        <v>234</v>
      </c>
      <c r="B781" s="2">
        <v>45870</v>
      </c>
      <c r="C781" s="10"/>
    </row>
    <row r="782" spans="1:3" x14ac:dyDescent="0.3">
      <c r="A782" t="s">
        <v>234</v>
      </c>
      <c r="B782" s="2">
        <v>45901</v>
      </c>
      <c r="C782" s="10"/>
    </row>
    <row r="783" spans="1:3" x14ac:dyDescent="0.3">
      <c r="A783" t="s">
        <v>234</v>
      </c>
      <c r="B783" s="2">
        <v>45931</v>
      </c>
      <c r="C783" s="10"/>
    </row>
    <row r="784" spans="1:3" x14ac:dyDescent="0.3">
      <c r="A784" t="s">
        <v>234</v>
      </c>
      <c r="B784" s="2">
        <v>45962</v>
      </c>
      <c r="C784" s="10"/>
    </row>
    <row r="785" spans="1:8" x14ac:dyDescent="0.3">
      <c r="A785" t="s">
        <v>234</v>
      </c>
      <c r="B785" s="2">
        <v>45992</v>
      </c>
      <c r="C785" s="10" t="s">
        <v>533</v>
      </c>
    </row>
    <row r="786" spans="1:8" x14ac:dyDescent="0.3">
      <c r="A786" t="s">
        <v>234</v>
      </c>
      <c r="B786" s="2">
        <v>46023</v>
      </c>
      <c r="C786" s="10" t="s">
        <v>533</v>
      </c>
    </row>
    <row r="787" spans="1:8" x14ac:dyDescent="0.3">
      <c r="A787" t="s">
        <v>234</v>
      </c>
      <c r="B787" s="2">
        <v>46054</v>
      </c>
      <c r="C787" s="10" t="s">
        <v>326</v>
      </c>
    </row>
    <row r="788" spans="1:8" x14ac:dyDescent="0.3">
      <c r="A788" t="s">
        <v>234</v>
      </c>
      <c r="B788" s="2">
        <v>46082</v>
      </c>
      <c r="C788" s="10" t="s">
        <v>326</v>
      </c>
    </row>
    <row r="789" spans="1:8" x14ac:dyDescent="0.3">
      <c r="A789" t="s">
        <v>234</v>
      </c>
      <c r="B789" s="2">
        <v>46113</v>
      </c>
      <c r="C789" s="10" t="s">
        <v>302</v>
      </c>
    </row>
    <row r="790" spans="1:8" x14ac:dyDescent="0.3">
      <c r="A790" t="s">
        <v>234</v>
      </c>
      <c r="B790" s="2">
        <v>46143</v>
      </c>
      <c r="C790" s="10" t="s">
        <v>302</v>
      </c>
    </row>
    <row r="791" spans="1:8" x14ac:dyDescent="0.3">
      <c r="A791" t="s">
        <v>122</v>
      </c>
      <c r="B791" s="2">
        <v>46174</v>
      </c>
      <c r="C791" s="10"/>
    </row>
    <row r="792" spans="1:8" x14ac:dyDescent="0.3">
      <c r="A792" t="s">
        <v>122</v>
      </c>
      <c r="B792" s="2">
        <v>46204</v>
      </c>
      <c r="C792" s="10">
        <v>31</v>
      </c>
      <c r="D792">
        <v>0</v>
      </c>
      <c r="E792" t="s">
        <v>33</v>
      </c>
      <c r="F792" t="s">
        <v>33</v>
      </c>
      <c r="G792" t="s">
        <v>1014</v>
      </c>
      <c r="H792" t="s">
        <v>36</v>
      </c>
    </row>
    <row r="793" spans="1:8" x14ac:dyDescent="0.3">
      <c r="A793" t="s">
        <v>234</v>
      </c>
      <c r="B793" s="2">
        <v>46235</v>
      </c>
      <c r="C793" s="10"/>
    </row>
    <row r="794" spans="1:8" x14ac:dyDescent="0.3">
      <c r="A794" t="s">
        <v>131</v>
      </c>
      <c r="B794" s="2">
        <v>45536</v>
      </c>
      <c r="C794" s="10"/>
    </row>
    <row r="795" spans="1:8" x14ac:dyDescent="0.3">
      <c r="A795" t="s">
        <v>131</v>
      </c>
      <c r="B795" s="2">
        <v>45566</v>
      </c>
      <c r="C795" s="10"/>
    </row>
    <row r="796" spans="1:8" x14ac:dyDescent="0.3">
      <c r="A796" t="s">
        <v>131</v>
      </c>
      <c r="B796" s="2">
        <v>45597</v>
      </c>
      <c r="C796" s="10"/>
    </row>
    <row r="797" spans="1:8" x14ac:dyDescent="0.3">
      <c r="A797" t="s">
        <v>131</v>
      </c>
      <c r="B797" s="2">
        <v>45627</v>
      </c>
      <c r="C797" s="10"/>
    </row>
    <row r="798" spans="1:8" x14ac:dyDescent="0.3">
      <c r="A798" t="s">
        <v>131</v>
      </c>
      <c r="B798" s="2">
        <v>45658</v>
      </c>
      <c r="C798" s="10"/>
    </row>
    <row r="799" spans="1:8" ht="57.6" customHeight="1" x14ac:dyDescent="0.3">
      <c r="A799" t="s">
        <v>131</v>
      </c>
      <c r="B799" s="2">
        <v>45689</v>
      </c>
      <c r="C799" s="10" t="s">
        <v>534</v>
      </c>
    </row>
    <row r="800" spans="1:8" ht="100.95" customHeight="1" x14ac:dyDescent="0.3">
      <c r="A800" t="s">
        <v>131</v>
      </c>
      <c r="B800" s="2">
        <v>45717</v>
      </c>
      <c r="C800" s="10" t="s">
        <v>535</v>
      </c>
    </row>
    <row r="801" spans="1:8" ht="72" customHeight="1" x14ac:dyDescent="0.3">
      <c r="A801" t="s">
        <v>131</v>
      </c>
      <c r="B801" s="2">
        <v>45748</v>
      </c>
      <c r="C801" s="10" t="s">
        <v>536</v>
      </c>
    </row>
    <row r="802" spans="1:8" ht="72" customHeight="1" x14ac:dyDescent="0.3">
      <c r="A802" t="s">
        <v>131</v>
      </c>
      <c r="B802" s="2">
        <v>45778</v>
      </c>
      <c r="C802" s="10" t="s">
        <v>537</v>
      </c>
    </row>
    <row r="803" spans="1:8" ht="57.6" customHeight="1" x14ac:dyDescent="0.3">
      <c r="A803" t="s">
        <v>131</v>
      </c>
      <c r="B803" s="2">
        <v>45809</v>
      </c>
      <c r="C803" s="10" t="s">
        <v>538</v>
      </c>
    </row>
    <row r="804" spans="1:8" x14ac:dyDescent="0.3">
      <c r="A804" t="s">
        <v>131</v>
      </c>
      <c r="B804" s="2">
        <v>45839</v>
      </c>
      <c r="C804" t="s">
        <v>911</v>
      </c>
      <c r="D804">
        <v>0</v>
      </c>
      <c r="E804" t="s">
        <v>33</v>
      </c>
      <c r="F804" t="s">
        <v>33</v>
      </c>
      <c r="G804" s="10" t="s">
        <v>338</v>
      </c>
      <c r="H804" t="s">
        <v>36</v>
      </c>
    </row>
    <row r="805" spans="1:8" x14ac:dyDescent="0.3">
      <c r="A805" t="s">
        <v>131</v>
      </c>
      <c r="B805" s="2">
        <v>45870</v>
      </c>
      <c r="C805" t="s">
        <v>911</v>
      </c>
      <c r="D805">
        <v>0</v>
      </c>
      <c r="E805" t="s">
        <v>33</v>
      </c>
      <c r="F805" t="s">
        <v>33</v>
      </c>
      <c r="G805" s="10" t="s">
        <v>338</v>
      </c>
      <c r="H805" t="s">
        <v>36</v>
      </c>
    </row>
    <row r="806" spans="1:8" x14ac:dyDescent="0.3">
      <c r="A806" t="s">
        <v>131</v>
      </c>
      <c r="B806" s="2">
        <v>45901</v>
      </c>
      <c r="C806" t="s">
        <v>919</v>
      </c>
      <c r="D806">
        <v>0</v>
      </c>
      <c r="E806" t="s">
        <v>33</v>
      </c>
      <c r="F806" t="s">
        <v>33</v>
      </c>
      <c r="G806" s="10" t="s">
        <v>338</v>
      </c>
      <c r="H806" t="s">
        <v>36</v>
      </c>
    </row>
    <row r="807" spans="1:8" x14ac:dyDescent="0.3">
      <c r="A807" t="s">
        <v>131</v>
      </c>
      <c r="B807" s="2">
        <v>45931</v>
      </c>
      <c r="C807" t="s">
        <v>911</v>
      </c>
      <c r="D807">
        <v>0</v>
      </c>
      <c r="E807" t="s">
        <v>33</v>
      </c>
      <c r="F807" t="s">
        <v>33</v>
      </c>
      <c r="G807" s="10" t="s">
        <v>338</v>
      </c>
      <c r="H807" t="s">
        <v>36</v>
      </c>
    </row>
    <row r="808" spans="1:8" x14ac:dyDescent="0.3">
      <c r="A808" t="s">
        <v>131</v>
      </c>
      <c r="B808" s="2">
        <v>45962</v>
      </c>
      <c r="C808" t="s">
        <v>919</v>
      </c>
      <c r="D808">
        <v>0</v>
      </c>
      <c r="E808" t="s">
        <v>33</v>
      </c>
      <c r="F808" t="s">
        <v>33</v>
      </c>
      <c r="G808" s="10" t="s">
        <v>338</v>
      </c>
      <c r="H808" t="s">
        <v>36</v>
      </c>
    </row>
    <row r="809" spans="1:8" x14ac:dyDescent="0.3">
      <c r="A809" t="s">
        <v>131</v>
      </c>
      <c r="B809" s="2">
        <v>45992</v>
      </c>
      <c r="C809" t="s">
        <v>911</v>
      </c>
      <c r="D809">
        <v>0</v>
      </c>
      <c r="E809" t="s">
        <v>33</v>
      </c>
      <c r="F809" t="s">
        <v>33</v>
      </c>
      <c r="G809" s="10" t="s">
        <v>338</v>
      </c>
      <c r="H809" t="s">
        <v>36</v>
      </c>
    </row>
    <row r="810" spans="1:8" x14ac:dyDescent="0.3">
      <c r="A810" t="s">
        <v>131</v>
      </c>
      <c r="B810" s="2">
        <v>46023</v>
      </c>
      <c r="C810" t="s">
        <v>911</v>
      </c>
      <c r="D810">
        <v>0</v>
      </c>
      <c r="E810" t="s">
        <v>33</v>
      </c>
      <c r="F810" t="s">
        <v>33</v>
      </c>
      <c r="G810" s="10" t="s">
        <v>338</v>
      </c>
      <c r="H810" t="s">
        <v>36</v>
      </c>
    </row>
    <row r="811" spans="1:8" x14ac:dyDescent="0.3">
      <c r="A811" t="s">
        <v>131</v>
      </c>
      <c r="B811" s="2">
        <v>46054</v>
      </c>
      <c r="C811" t="s">
        <v>895</v>
      </c>
      <c r="D811">
        <v>0</v>
      </c>
      <c r="E811" t="s">
        <v>33</v>
      </c>
      <c r="F811" t="s">
        <v>33</v>
      </c>
      <c r="G811" s="10" t="s">
        <v>338</v>
      </c>
      <c r="H811" t="s">
        <v>36</v>
      </c>
    </row>
    <row r="812" spans="1:8" x14ac:dyDescent="0.3">
      <c r="A812" t="s">
        <v>131</v>
      </c>
      <c r="B812" s="2">
        <v>46082</v>
      </c>
      <c r="C812" t="s">
        <v>911</v>
      </c>
      <c r="D812">
        <v>0</v>
      </c>
      <c r="E812" t="s">
        <v>33</v>
      </c>
      <c r="F812" t="s">
        <v>33</v>
      </c>
      <c r="G812" s="10" t="s">
        <v>338</v>
      </c>
      <c r="H812" t="s">
        <v>36</v>
      </c>
    </row>
    <row r="813" spans="1:8" x14ac:dyDescent="0.3">
      <c r="A813" t="s">
        <v>131</v>
      </c>
      <c r="B813" s="2">
        <v>46113</v>
      </c>
      <c r="C813" t="s">
        <v>919</v>
      </c>
      <c r="D813">
        <v>0</v>
      </c>
      <c r="E813" t="s">
        <v>33</v>
      </c>
      <c r="F813" t="s">
        <v>33</v>
      </c>
      <c r="G813" s="10" t="s">
        <v>338</v>
      </c>
      <c r="H813" t="s">
        <v>36</v>
      </c>
    </row>
    <row r="814" spans="1:8" x14ac:dyDescent="0.3">
      <c r="A814" t="s">
        <v>131</v>
      </c>
      <c r="B814" s="2">
        <v>46143</v>
      </c>
      <c r="C814" t="s">
        <v>911</v>
      </c>
      <c r="D814">
        <v>0</v>
      </c>
      <c r="E814" t="s">
        <v>33</v>
      </c>
      <c r="F814" t="s">
        <v>33</v>
      </c>
      <c r="G814" s="10" t="s">
        <v>338</v>
      </c>
      <c r="H814" t="s">
        <v>36</v>
      </c>
    </row>
    <row r="815" spans="1:8" x14ac:dyDescent="0.3">
      <c r="A815" t="s">
        <v>124</v>
      </c>
      <c r="B815" s="2">
        <v>46174</v>
      </c>
      <c r="C815" s="10"/>
    </row>
    <row r="816" spans="1:8" x14ac:dyDescent="0.3">
      <c r="A816" t="s">
        <v>124</v>
      </c>
      <c r="B816" s="2">
        <v>46204</v>
      </c>
      <c r="C816" s="10">
        <v>31</v>
      </c>
      <c r="D816">
        <v>0</v>
      </c>
      <c r="E816" t="s">
        <v>33</v>
      </c>
      <c r="F816" t="s">
        <v>33</v>
      </c>
      <c r="G816" t="s">
        <v>1014</v>
      </c>
      <c r="H816" t="s">
        <v>36</v>
      </c>
    </row>
    <row r="817" spans="1:3" x14ac:dyDescent="0.3">
      <c r="A817" t="s">
        <v>131</v>
      </c>
      <c r="B817" s="2">
        <v>46235</v>
      </c>
      <c r="C817" s="10"/>
    </row>
    <row r="818" spans="1:3" x14ac:dyDescent="0.3">
      <c r="A818" t="s">
        <v>134</v>
      </c>
      <c r="B818" s="2">
        <v>45536</v>
      </c>
      <c r="C818" s="10"/>
    </row>
    <row r="819" spans="1:3" x14ac:dyDescent="0.3">
      <c r="A819" t="s">
        <v>134</v>
      </c>
      <c r="B819" s="2">
        <v>45566</v>
      </c>
      <c r="C819" s="10"/>
    </row>
    <row r="820" spans="1:3" x14ac:dyDescent="0.3">
      <c r="A820" t="s">
        <v>134</v>
      </c>
      <c r="B820" s="2">
        <v>45597</v>
      </c>
      <c r="C820" s="10"/>
    </row>
    <row r="821" spans="1:3" x14ac:dyDescent="0.3">
      <c r="A821" t="s">
        <v>134</v>
      </c>
      <c r="B821" s="2">
        <v>45627</v>
      </c>
      <c r="C821" s="10"/>
    </row>
    <row r="822" spans="1:3" x14ac:dyDescent="0.3">
      <c r="A822" t="s">
        <v>134</v>
      </c>
      <c r="B822" s="2">
        <v>45658</v>
      </c>
      <c r="C822" s="10"/>
    </row>
    <row r="823" spans="1:3" ht="28.95" customHeight="1" x14ac:dyDescent="0.3">
      <c r="A823" t="s">
        <v>134</v>
      </c>
      <c r="B823" s="2">
        <v>45689</v>
      </c>
      <c r="C823" s="10" t="s">
        <v>539</v>
      </c>
    </row>
    <row r="824" spans="1:3" ht="57.6" customHeight="1" x14ac:dyDescent="0.3">
      <c r="A824" t="s">
        <v>134</v>
      </c>
      <c r="B824" s="2">
        <v>45717</v>
      </c>
      <c r="C824" s="10" t="s">
        <v>540</v>
      </c>
    </row>
    <row r="825" spans="1:3" ht="57.6" customHeight="1" x14ac:dyDescent="0.3">
      <c r="A825" t="s">
        <v>134</v>
      </c>
      <c r="B825" s="2">
        <v>45748</v>
      </c>
      <c r="C825" s="10" t="s">
        <v>541</v>
      </c>
    </row>
    <row r="826" spans="1:3" ht="57.6" customHeight="1" x14ac:dyDescent="0.3">
      <c r="A826" t="s">
        <v>134</v>
      </c>
      <c r="B826" s="2">
        <v>45778</v>
      </c>
      <c r="C826" s="10" t="s">
        <v>542</v>
      </c>
    </row>
    <row r="827" spans="1:3" ht="57.6" customHeight="1" x14ac:dyDescent="0.3">
      <c r="A827" t="s">
        <v>134</v>
      </c>
      <c r="B827" s="2">
        <v>45809</v>
      </c>
      <c r="C827" s="10" t="s">
        <v>543</v>
      </c>
    </row>
    <row r="828" spans="1:3" ht="57.6" customHeight="1" x14ac:dyDescent="0.3">
      <c r="A828" t="s">
        <v>134</v>
      </c>
      <c r="B828" s="2">
        <v>45839</v>
      </c>
      <c r="C828" s="10" t="s">
        <v>544</v>
      </c>
    </row>
    <row r="829" spans="1:3" ht="57.6" customHeight="1" x14ac:dyDescent="0.3">
      <c r="A829" t="s">
        <v>134</v>
      </c>
      <c r="B829" s="2">
        <v>45870</v>
      </c>
      <c r="C829" s="10" t="s">
        <v>545</v>
      </c>
    </row>
    <row r="830" spans="1:3" ht="57.6" customHeight="1" x14ac:dyDescent="0.3">
      <c r="A830" t="s">
        <v>134</v>
      </c>
      <c r="B830" s="2">
        <v>45901</v>
      </c>
      <c r="C830" s="10" t="s">
        <v>546</v>
      </c>
    </row>
    <row r="831" spans="1:3" ht="57.6" customHeight="1" x14ac:dyDescent="0.3">
      <c r="A831" t="s">
        <v>134</v>
      </c>
      <c r="B831" s="2">
        <v>45931</v>
      </c>
      <c r="C831" s="10" t="s">
        <v>547</v>
      </c>
    </row>
    <row r="832" spans="1:3" ht="57.6" customHeight="1" x14ac:dyDescent="0.3">
      <c r="A832" t="s">
        <v>134</v>
      </c>
      <c r="B832" s="2">
        <v>45962</v>
      </c>
      <c r="C832" s="10" t="s">
        <v>548</v>
      </c>
    </row>
    <row r="833" spans="1:8" x14ac:dyDescent="0.3">
      <c r="A833" t="s">
        <v>134</v>
      </c>
      <c r="B833" s="2">
        <v>45992</v>
      </c>
      <c r="C833" s="10" t="s">
        <v>455</v>
      </c>
    </row>
    <row r="834" spans="1:8" x14ac:dyDescent="0.3">
      <c r="A834" t="s">
        <v>134</v>
      </c>
      <c r="B834" s="2">
        <v>46023</v>
      </c>
      <c r="C834" s="10" t="s">
        <v>338</v>
      </c>
    </row>
    <row r="835" spans="1:8" x14ac:dyDescent="0.3">
      <c r="A835" t="s">
        <v>134</v>
      </c>
      <c r="B835" s="2">
        <v>46054</v>
      </c>
      <c r="C835" s="10" t="s">
        <v>326</v>
      </c>
    </row>
    <row r="836" spans="1:8" x14ac:dyDescent="0.3">
      <c r="A836" t="s">
        <v>134</v>
      </c>
      <c r="B836" s="2">
        <v>46082</v>
      </c>
      <c r="C836" s="10" t="s">
        <v>326</v>
      </c>
    </row>
    <row r="837" spans="1:8" x14ac:dyDescent="0.3">
      <c r="A837" t="s">
        <v>134</v>
      </c>
      <c r="B837" s="2">
        <v>46113</v>
      </c>
      <c r="C837" s="10" t="s">
        <v>532</v>
      </c>
    </row>
    <row r="838" spans="1:8" x14ac:dyDescent="0.3">
      <c r="A838" t="s">
        <v>134</v>
      </c>
      <c r="B838" s="2">
        <v>46143</v>
      </c>
      <c r="C838" s="10" t="s">
        <v>302</v>
      </c>
    </row>
    <row r="839" spans="1:8" x14ac:dyDescent="0.3">
      <c r="A839" t="s">
        <v>127</v>
      </c>
      <c r="B839" s="2">
        <v>46174</v>
      </c>
      <c r="C839" t="s">
        <v>919</v>
      </c>
      <c r="D839">
        <v>0</v>
      </c>
      <c r="E839" t="s">
        <v>33</v>
      </c>
      <c r="F839" t="s">
        <v>33</v>
      </c>
      <c r="G839" s="10" t="s">
        <v>996</v>
      </c>
      <c r="H839" t="s">
        <v>36</v>
      </c>
    </row>
    <row r="840" spans="1:8" x14ac:dyDescent="0.3">
      <c r="A840" t="s">
        <v>127</v>
      </c>
      <c r="B840" s="2">
        <v>46204</v>
      </c>
      <c r="C840" s="10">
        <v>31</v>
      </c>
      <c r="D840">
        <v>0</v>
      </c>
      <c r="E840" t="s">
        <v>33</v>
      </c>
      <c r="F840" t="s">
        <v>1036</v>
      </c>
      <c r="G840" t="s">
        <v>1035</v>
      </c>
      <c r="H840" t="s">
        <v>36</v>
      </c>
    </row>
    <row r="841" spans="1:8" x14ac:dyDescent="0.3">
      <c r="A841" t="s">
        <v>134</v>
      </c>
      <c r="B841" s="2">
        <v>46235</v>
      </c>
      <c r="C841" s="10"/>
    </row>
    <row r="842" spans="1:8" x14ac:dyDescent="0.3">
      <c r="A842" t="s">
        <v>138</v>
      </c>
      <c r="B842" s="2">
        <v>45536</v>
      </c>
      <c r="C842" s="10"/>
    </row>
    <row r="843" spans="1:8" x14ac:dyDescent="0.3">
      <c r="A843" t="s">
        <v>138</v>
      </c>
      <c r="B843" s="2">
        <v>45566</v>
      </c>
      <c r="C843" s="10"/>
    </row>
    <row r="844" spans="1:8" x14ac:dyDescent="0.3">
      <c r="A844" t="s">
        <v>138</v>
      </c>
      <c r="B844" s="2">
        <v>45597</v>
      </c>
      <c r="C844" s="10"/>
    </row>
    <row r="845" spans="1:8" x14ac:dyDescent="0.3">
      <c r="A845" t="s">
        <v>138</v>
      </c>
      <c r="B845" s="2">
        <v>45627</v>
      </c>
      <c r="C845" s="10"/>
    </row>
    <row r="846" spans="1:8" x14ac:dyDescent="0.3">
      <c r="A846" t="s">
        <v>138</v>
      </c>
      <c r="B846" s="2">
        <v>45658</v>
      </c>
      <c r="C846" s="10"/>
    </row>
    <row r="847" spans="1:8" ht="43.2" customHeight="1" x14ac:dyDescent="0.3">
      <c r="A847" t="s">
        <v>138</v>
      </c>
      <c r="B847" s="2">
        <v>45689</v>
      </c>
      <c r="C847" s="10" t="s">
        <v>549</v>
      </c>
    </row>
    <row r="848" spans="1:8" x14ac:dyDescent="0.3">
      <c r="A848" t="s">
        <v>138</v>
      </c>
      <c r="B848" s="2">
        <v>45717</v>
      </c>
      <c r="C848" s="10"/>
    </row>
    <row r="849" spans="1:8" x14ac:dyDescent="0.3">
      <c r="A849" t="s">
        <v>138</v>
      </c>
      <c r="B849" s="2">
        <v>45748</v>
      </c>
      <c r="C849" s="10"/>
    </row>
    <row r="850" spans="1:8" x14ac:dyDescent="0.3">
      <c r="A850" t="s">
        <v>138</v>
      </c>
      <c r="B850" s="2">
        <v>45778</v>
      </c>
      <c r="C850" s="10" t="s">
        <v>550</v>
      </c>
    </row>
    <row r="851" spans="1:8" x14ac:dyDescent="0.3">
      <c r="A851" t="s">
        <v>138</v>
      </c>
      <c r="B851" s="2">
        <v>45809</v>
      </c>
      <c r="C851" s="10" t="s">
        <v>550</v>
      </c>
    </row>
    <row r="852" spans="1:8" x14ac:dyDescent="0.3">
      <c r="A852" t="s">
        <v>138</v>
      </c>
      <c r="B852" s="2">
        <v>45839</v>
      </c>
      <c r="C852" s="10" t="s">
        <v>550</v>
      </c>
    </row>
    <row r="853" spans="1:8" x14ac:dyDescent="0.3">
      <c r="A853" t="s">
        <v>138</v>
      </c>
      <c r="B853" s="2">
        <v>45870</v>
      </c>
      <c r="C853" s="10" t="s">
        <v>550</v>
      </c>
    </row>
    <row r="854" spans="1:8" x14ac:dyDescent="0.3">
      <c r="A854" t="s">
        <v>138</v>
      </c>
      <c r="B854" s="2">
        <v>45901</v>
      </c>
      <c r="C854" s="10" t="s">
        <v>550</v>
      </c>
    </row>
    <row r="855" spans="1:8" x14ac:dyDescent="0.3">
      <c r="A855" t="s">
        <v>138</v>
      </c>
      <c r="B855" s="2">
        <v>45931</v>
      </c>
      <c r="C855" s="10" t="s">
        <v>550</v>
      </c>
    </row>
    <row r="856" spans="1:8" x14ac:dyDescent="0.3">
      <c r="A856" t="s">
        <v>138</v>
      </c>
      <c r="B856" s="2">
        <v>45962</v>
      </c>
      <c r="C856" s="10" t="s">
        <v>550</v>
      </c>
    </row>
    <row r="857" spans="1:8" x14ac:dyDescent="0.3">
      <c r="A857" t="s">
        <v>138</v>
      </c>
      <c r="B857" s="2">
        <v>45992</v>
      </c>
      <c r="C857" s="10" t="s">
        <v>550</v>
      </c>
    </row>
    <row r="858" spans="1:8" x14ac:dyDescent="0.3">
      <c r="A858" t="s">
        <v>138</v>
      </c>
      <c r="B858" s="2">
        <v>46023</v>
      </c>
      <c r="C858" s="10" t="s">
        <v>550</v>
      </c>
    </row>
    <row r="859" spans="1:8" x14ac:dyDescent="0.3">
      <c r="A859" t="s">
        <v>138</v>
      </c>
      <c r="B859" s="2">
        <v>46054</v>
      </c>
      <c r="C859" s="10" t="s">
        <v>326</v>
      </c>
    </row>
    <row r="860" spans="1:8" ht="28.8" x14ac:dyDescent="0.3">
      <c r="A860" t="s">
        <v>138</v>
      </c>
      <c r="B860" s="2">
        <v>46082</v>
      </c>
      <c r="C860" s="10" t="s">
        <v>551</v>
      </c>
    </row>
    <row r="861" spans="1:8" x14ac:dyDescent="0.3">
      <c r="A861" t="s">
        <v>138</v>
      </c>
      <c r="B861" s="2">
        <v>46113</v>
      </c>
      <c r="C861" s="10" t="s">
        <v>552</v>
      </c>
    </row>
    <row r="862" spans="1:8" x14ac:dyDescent="0.3">
      <c r="A862" t="s">
        <v>138</v>
      </c>
      <c r="B862" s="2">
        <v>46143</v>
      </c>
      <c r="C862" s="10" t="s">
        <v>858</v>
      </c>
    </row>
    <row r="863" spans="1:8" x14ac:dyDescent="0.3">
      <c r="A863" t="s">
        <v>234</v>
      </c>
      <c r="B863" s="2">
        <v>46174</v>
      </c>
      <c r="C863" s="10">
        <v>31</v>
      </c>
      <c r="D863">
        <v>0</v>
      </c>
      <c r="E863" t="s">
        <v>33</v>
      </c>
      <c r="F863" t="s">
        <v>33</v>
      </c>
      <c r="G863" t="s">
        <v>1014</v>
      </c>
      <c r="H863" t="s">
        <v>36</v>
      </c>
    </row>
    <row r="864" spans="1:8" x14ac:dyDescent="0.3">
      <c r="A864" t="s">
        <v>234</v>
      </c>
      <c r="B864" s="2">
        <v>46204</v>
      </c>
      <c r="C864" s="10">
        <v>31</v>
      </c>
      <c r="D864">
        <v>0</v>
      </c>
      <c r="E864" t="s">
        <v>33</v>
      </c>
      <c r="F864" t="s">
        <v>33</v>
      </c>
      <c r="G864" t="s">
        <v>1014</v>
      </c>
      <c r="H864" t="s">
        <v>36</v>
      </c>
    </row>
    <row r="865" spans="1:8" x14ac:dyDescent="0.3">
      <c r="A865" t="s">
        <v>138</v>
      </c>
      <c r="B865" s="2">
        <v>46235</v>
      </c>
      <c r="C865" s="10"/>
    </row>
    <row r="866" spans="1:8" x14ac:dyDescent="0.3">
      <c r="A866" t="s">
        <v>220</v>
      </c>
      <c r="B866" s="2">
        <v>45536</v>
      </c>
      <c r="C866" s="10"/>
    </row>
    <row r="867" spans="1:8" x14ac:dyDescent="0.3">
      <c r="A867" t="s">
        <v>220</v>
      </c>
      <c r="B867" s="2">
        <v>45566</v>
      </c>
      <c r="C867" s="10"/>
    </row>
    <row r="868" spans="1:8" x14ac:dyDescent="0.3">
      <c r="A868" t="s">
        <v>220</v>
      </c>
      <c r="B868" s="2">
        <v>45597</v>
      </c>
      <c r="C868" s="10"/>
    </row>
    <row r="869" spans="1:8" x14ac:dyDescent="0.3">
      <c r="A869" t="s">
        <v>220</v>
      </c>
      <c r="B869" s="2">
        <v>45627</v>
      </c>
      <c r="C869" s="10"/>
    </row>
    <row r="870" spans="1:8" x14ac:dyDescent="0.3">
      <c r="A870" t="s">
        <v>220</v>
      </c>
      <c r="B870" s="2">
        <v>45658</v>
      </c>
      <c r="C870" s="10"/>
    </row>
    <row r="871" spans="1:8" x14ac:dyDescent="0.3">
      <c r="A871" t="s">
        <v>220</v>
      </c>
      <c r="B871" s="2">
        <v>45689</v>
      </c>
      <c r="C871" s="10"/>
    </row>
    <row r="872" spans="1:8" x14ac:dyDescent="0.3">
      <c r="A872" t="s">
        <v>220</v>
      </c>
      <c r="B872" s="2">
        <v>45717</v>
      </c>
      <c r="C872" s="10"/>
    </row>
    <row r="873" spans="1:8" x14ac:dyDescent="0.3">
      <c r="A873" t="s">
        <v>220</v>
      </c>
      <c r="B873" s="2">
        <v>45748</v>
      </c>
      <c r="C873" s="10"/>
    </row>
    <row r="874" spans="1:8" x14ac:dyDescent="0.3">
      <c r="A874" t="s">
        <v>220</v>
      </c>
      <c r="B874" s="2">
        <v>45778</v>
      </c>
      <c r="C874" s="10"/>
    </row>
    <row r="875" spans="1:8" x14ac:dyDescent="0.3">
      <c r="A875" t="s">
        <v>220</v>
      </c>
      <c r="B875" s="2">
        <v>45809</v>
      </c>
      <c r="C875" s="10"/>
    </row>
    <row r="876" spans="1:8" x14ac:dyDescent="0.3">
      <c r="A876" t="s">
        <v>220</v>
      </c>
      <c r="B876" s="2">
        <v>45839</v>
      </c>
      <c r="C876" s="10" t="s">
        <v>36</v>
      </c>
      <c r="D876" t="s">
        <v>36</v>
      </c>
      <c r="E876" t="s">
        <v>36</v>
      </c>
      <c r="F876" t="s">
        <v>36</v>
      </c>
      <c r="G876" t="s">
        <v>36</v>
      </c>
      <c r="H876" t="s">
        <v>920</v>
      </c>
    </row>
    <row r="877" spans="1:8" x14ac:dyDescent="0.3">
      <c r="A877" t="s">
        <v>220</v>
      </c>
      <c r="B877" s="2">
        <v>45870</v>
      </c>
      <c r="C877" s="10" t="s">
        <v>36</v>
      </c>
      <c r="D877" t="s">
        <v>36</v>
      </c>
      <c r="E877" t="s">
        <v>36</v>
      </c>
      <c r="F877" t="s">
        <v>36</v>
      </c>
      <c r="G877" t="s">
        <v>36</v>
      </c>
      <c r="H877" t="s">
        <v>920</v>
      </c>
    </row>
    <row r="878" spans="1:8" x14ac:dyDescent="0.3">
      <c r="A878" t="s">
        <v>220</v>
      </c>
      <c r="B878" s="2">
        <v>45901</v>
      </c>
      <c r="C878" s="10" t="s">
        <v>921</v>
      </c>
      <c r="D878" t="s">
        <v>922</v>
      </c>
      <c r="E878" t="s">
        <v>923</v>
      </c>
      <c r="F878" t="s">
        <v>33</v>
      </c>
      <c r="G878" t="s">
        <v>912</v>
      </c>
      <c r="H878" t="s">
        <v>36</v>
      </c>
    </row>
    <row r="879" spans="1:8" ht="28.95" customHeight="1" x14ac:dyDescent="0.3">
      <c r="A879" t="s">
        <v>220</v>
      </c>
      <c r="B879" s="2">
        <v>45931</v>
      </c>
      <c r="C879" s="10" t="s">
        <v>911</v>
      </c>
      <c r="D879">
        <v>0</v>
      </c>
      <c r="E879" t="s">
        <v>33</v>
      </c>
      <c r="F879" t="s">
        <v>33</v>
      </c>
      <c r="G879" t="s">
        <v>33</v>
      </c>
      <c r="H879" t="s">
        <v>36</v>
      </c>
    </row>
    <row r="880" spans="1:8" ht="43.2" customHeight="1" x14ac:dyDescent="0.3">
      <c r="A880" t="s">
        <v>220</v>
      </c>
      <c r="B880" s="2">
        <v>45962</v>
      </c>
      <c r="C880" s="10" t="s">
        <v>896</v>
      </c>
      <c r="D880">
        <v>0</v>
      </c>
      <c r="E880" t="s">
        <v>33</v>
      </c>
      <c r="F880" t="s">
        <v>33</v>
      </c>
      <c r="G880" t="s">
        <v>33</v>
      </c>
      <c r="H880" t="s">
        <v>36</v>
      </c>
    </row>
    <row r="881" spans="1:8" x14ac:dyDescent="0.3">
      <c r="A881" t="s">
        <v>220</v>
      </c>
      <c r="B881" s="2">
        <v>45992</v>
      </c>
      <c r="C881" s="10" t="s">
        <v>925</v>
      </c>
      <c r="D881" t="s">
        <v>924</v>
      </c>
      <c r="E881" t="s">
        <v>927</v>
      </c>
      <c r="F881" t="s">
        <v>33</v>
      </c>
      <c r="G881" t="s">
        <v>926</v>
      </c>
      <c r="H881" t="s">
        <v>36</v>
      </c>
    </row>
    <row r="882" spans="1:8" x14ac:dyDescent="0.3">
      <c r="A882" t="s">
        <v>220</v>
      </c>
      <c r="B882" s="2">
        <v>46023</v>
      </c>
      <c r="C882" t="s">
        <v>892</v>
      </c>
      <c r="D882">
        <v>0</v>
      </c>
      <c r="E882" t="s">
        <v>33</v>
      </c>
      <c r="F882" t="s">
        <v>912</v>
      </c>
      <c r="G882" s="10" t="s">
        <v>338</v>
      </c>
      <c r="H882" t="s">
        <v>36</v>
      </c>
    </row>
    <row r="883" spans="1:8" x14ac:dyDescent="0.3">
      <c r="A883" t="s">
        <v>220</v>
      </c>
      <c r="B883" s="2">
        <v>46054</v>
      </c>
      <c r="C883" s="10" t="s">
        <v>903</v>
      </c>
      <c r="D883">
        <v>0</v>
      </c>
      <c r="E883" t="s">
        <v>33</v>
      </c>
      <c r="F883" t="s">
        <v>912</v>
      </c>
      <c r="G883" s="10" t="s">
        <v>314</v>
      </c>
      <c r="H883" t="s">
        <v>36</v>
      </c>
    </row>
    <row r="884" spans="1:8" x14ac:dyDescent="0.3">
      <c r="A884" t="s">
        <v>220</v>
      </c>
      <c r="B884" s="2">
        <v>46082</v>
      </c>
      <c r="C884" s="10" t="s">
        <v>892</v>
      </c>
      <c r="D884">
        <v>0</v>
      </c>
      <c r="E884" t="s">
        <v>33</v>
      </c>
      <c r="F884" t="s">
        <v>912</v>
      </c>
      <c r="G884" s="10" t="s">
        <v>314</v>
      </c>
      <c r="H884" t="s">
        <v>36</v>
      </c>
    </row>
    <row r="885" spans="1:8" x14ac:dyDescent="0.3">
      <c r="A885" t="s">
        <v>220</v>
      </c>
      <c r="B885" s="2">
        <v>46113</v>
      </c>
      <c r="C885" s="10" t="s">
        <v>896</v>
      </c>
      <c r="D885">
        <v>0</v>
      </c>
      <c r="E885" t="s">
        <v>33</v>
      </c>
      <c r="F885" t="s">
        <v>912</v>
      </c>
      <c r="G885" s="10" t="s">
        <v>314</v>
      </c>
      <c r="H885" t="s">
        <v>36</v>
      </c>
    </row>
    <row r="886" spans="1:8" x14ac:dyDescent="0.3">
      <c r="A886" t="s">
        <v>220</v>
      </c>
      <c r="B886" s="2">
        <v>46143</v>
      </c>
      <c r="C886" s="10" t="s">
        <v>911</v>
      </c>
      <c r="D886">
        <v>0</v>
      </c>
      <c r="E886" t="s">
        <v>33</v>
      </c>
      <c r="F886" t="s">
        <v>912</v>
      </c>
      <c r="G886" s="10" t="s">
        <v>302</v>
      </c>
      <c r="H886" t="s">
        <v>36</v>
      </c>
    </row>
    <row r="887" spans="1:8" x14ac:dyDescent="0.3">
      <c r="A887" t="s">
        <v>131</v>
      </c>
      <c r="B887" s="2">
        <v>46174</v>
      </c>
      <c r="C887" t="s">
        <v>919</v>
      </c>
      <c r="D887">
        <v>0</v>
      </c>
      <c r="E887" t="s">
        <v>33</v>
      </c>
      <c r="F887" t="s">
        <v>33</v>
      </c>
      <c r="G887" s="10" t="s">
        <v>338</v>
      </c>
      <c r="H887" t="s">
        <v>36</v>
      </c>
    </row>
    <row r="888" spans="1:8" x14ac:dyDescent="0.3">
      <c r="A888" t="s">
        <v>131</v>
      </c>
      <c r="B888" s="2">
        <v>46204</v>
      </c>
      <c r="C888" s="10">
        <v>31</v>
      </c>
      <c r="D888">
        <v>0</v>
      </c>
      <c r="E888" t="s">
        <v>33</v>
      </c>
      <c r="F888" t="s">
        <v>33</v>
      </c>
      <c r="G888" t="s">
        <v>1014</v>
      </c>
      <c r="H888" t="s">
        <v>36</v>
      </c>
    </row>
    <row r="889" spans="1:8" x14ac:dyDescent="0.3">
      <c r="A889" t="s">
        <v>220</v>
      </c>
      <c r="B889" s="2">
        <v>46235</v>
      </c>
      <c r="C889" s="10"/>
    </row>
    <row r="890" spans="1:8" x14ac:dyDescent="0.3">
      <c r="A890" t="s">
        <v>222</v>
      </c>
      <c r="B890" s="2">
        <v>45536</v>
      </c>
      <c r="C890" s="10"/>
    </row>
    <row r="891" spans="1:8" x14ac:dyDescent="0.3">
      <c r="A891" t="s">
        <v>222</v>
      </c>
      <c r="B891" s="2">
        <v>45566</v>
      </c>
      <c r="C891" s="10"/>
    </row>
    <row r="892" spans="1:8" x14ac:dyDescent="0.3">
      <c r="A892" t="s">
        <v>222</v>
      </c>
      <c r="B892" s="2">
        <v>45597</v>
      </c>
      <c r="C892" s="10"/>
    </row>
    <row r="893" spans="1:8" x14ac:dyDescent="0.3">
      <c r="A893" t="s">
        <v>222</v>
      </c>
      <c r="B893" s="2">
        <v>45627</v>
      </c>
      <c r="C893" s="10"/>
    </row>
    <row r="894" spans="1:8" x14ac:dyDescent="0.3">
      <c r="A894" t="s">
        <v>222</v>
      </c>
      <c r="B894" s="2">
        <v>45658</v>
      </c>
      <c r="C894" s="10"/>
    </row>
    <row r="895" spans="1:8" x14ac:dyDescent="0.3">
      <c r="A895" t="s">
        <v>222</v>
      </c>
      <c r="B895" s="2">
        <v>45689</v>
      </c>
      <c r="C895" s="10"/>
    </row>
    <row r="896" spans="1:8" x14ac:dyDescent="0.3">
      <c r="A896" t="s">
        <v>222</v>
      </c>
      <c r="B896" s="2">
        <v>45717</v>
      </c>
      <c r="C896" s="10"/>
    </row>
    <row r="897" spans="1:8" x14ac:dyDescent="0.3">
      <c r="A897" t="s">
        <v>222</v>
      </c>
      <c r="B897" s="2">
        <v>45748</v>
      </c>
      <c r="C897" s="10"/>
    </row>
    <row r="898" spans="1:8" x14ac:dyDescent="0.3">
      <c r="A898" t="s">
        <v>222</v>
      </c>
      <c r="B898" s="2">
        <v>45778</v>
      </c>
      <c r="C898" s="10"/>
    </row>
    <row r="899" spans="1:8" x14ac:dyDescent="0.3">
      <c r="A899" t="s">
        <v>222</v>
      </c>
      <c r="B899" s="2">
        <v>45809</v>
      </c>
      <c r="C899" s="10"/>
    </row>
    <row r="900" spans="1:8" x14ac:dyDescent="0.3">
      <c r="A900" t="s">
        <v>222</v>
      </c>
      <c r="B900" s="2">
        <v>45839</v>
      </c>
      <c r="C900" s="10" t="s">
        <v>36</v>
      </c>
      <c r="D900" t="s">
        <v>36</v>
      </c>
      <c r="E900" t="s">
        <v>36</v>
      </c>
      <c r="F900" t="s">
        <v>36</v>
      </c>
      <c r="H900" t="s">
        <v>920</v>
      </c>
    </row>
    <row r="901" spans="1:8" x14ac:dyDescent="0.3">
      <c r="A901" t="s">
        <v>222</v>
      </c>
      <c r="B901" s="2">
        <v>45870</v>
      </c>
      <c r="C901" s="10" t="s">
        <v>36</v>
      </c>
      <c r="D901" t="s">
        <v>36</v>
      </c>
      <c r="E901" t="s">
        <v>36</v>
      </c>
      <c r="F901" t="s">
        <v>36</v>
      </c>
      <c r="H901" t="s">
        <v>920</v>
      </c>
    </row>
    <row r="902" spans="1:8" x14ac:dyDescent="0.3">
      <c r="A902" t="s">
        <v>222</v>
      </c>
      <c r="B902" s="2">
        <v>45901</v>
      </c>
      <c r="C902" s="10" t="s">
        <v>921</v>
      </c>
      <c r="D902" t="s">
        <v>922</v>
      </c>
      <c r="E902" t="s">
        <v>923</v>
      </c>
      <c r="F902" t="s">
        <v>33</v>
      </c>
      <c r="H902" t="s">
        <v>36</v>
      </c>
    </row>
    <row r="903" spans="1:8" x14ac:dyDescent="0.3">
      <c r="A903" t="s">
        <v>222</v>
      </c>
      <c r="B903" s="2">
        <v>45931</v>
      </c>
      <c r="C903" s="10" t="s">
        <v>911</v>
      </c>
      <c r="D903">
        <v>0</v>
      </c>
      <c r="E903" t="s">
        <v>33</v>
      </c>
      <c r="F903" t="s">
        <v>33</v>
      </c>
      <c r="G903" s="10" t="s">
        <v>928</v>
      </c>
      <c r="H903" t="s">
        <v>36</v>
      </c>
    </row>
    <row r="904" spans="1:8" x14ac:dyDescent="0.3">
      <c r="A904" t="s">
        <v>222</v>
      </c>
      <c r="B904" s="2">
        <v>45962</v>
      </c>
      <c r="C904" s="10" t="s">
        <v>896</v>
      </c>
      <c r="D904">
        <v>0</v>
      </c>
      <c r="E904" t="s">
        <v>33</v>
      </c>
      <c r="F904" t="s">
        <v>33</v>
      </c>
      <c r="G904" s="10" t="s">
        <v>928</v>
      </c>
      <c r="H904" t="s">
        <v>36</v>
      </c>
    </row>
    <row r="905" spans="1:8" x14ac:dyDescent="0.3">
      <c r="A905" t="s">
        <v>222</v>
      </c>
      <c r="B905" s="2">
        <v>45992</v>
      </c>
      <c r="C905" s="10" t="s">
        <v>925</v>
      </c>
      <c r="D905" t="s">
        <v>924</v>
      </c>
      <c r="E905" t="s">
        <v>927</v>
      </c>
      <c r="F905" t="s">
        <v>33</v>
      </c>
      <c r="G905" s="10" t="s">
        <v>926</v>
      </c>
      <c r="H905" t="s">
        <v>36</v>
      </c>
    </row>
    <row r="906" spans="1:8" x14ac:dyDescent="0.3">
      <c r="A906" t="s">
        <v>222</v>
      </c>
      <c r="B906" s="2">
        <v>46023</v>
      </c>
      <c r="C906" t="s">
        <v>892</v>
      </c>
      <c r="D906">
        <v>0</v>
      </c>
      <c r="E906" t="s">
        <v>33</v>
      </c>
      <c r="F906" t="s">
        <v>912</v>
      </c>
      <c r="G906" s="10" t="s">
        <v>338</v>
      </c>
      <c r="H906" t="s">
        <v>36</v>
      </c>
    </row>
    <row r="907" spans="1:8" x14ac:dyDescent="0.3">
      <c r="A907" t="s">
        <v>222</v>
      </c>
      <c r="B907" s="2">
        <v>46054</v>
      </c>
      <c r="C907" s="10" t="s">
        <v>903</v>
      </c>
      <c r="D907">
        <v>0</v>
      </c>
      <c r="E907" t="s">
        <v>33</v>
      </c>
      <c r="F907" t="s">
        <v>912</v>
      </c>
      <c r="G907" s="10" t="s">
        <v>314</v>
      </c>
      <c r="H907" t="s">
        <v>36</v>
      </c>
    </row>
    <row r="908" spans="1:8" x14ac:dyDescent="0.3">
      <c r="A908" t="s">
        <v>222</v>
      </c>
      <c r="B908" s="2">
        <v>46082</v>
      </c>
      <c r="C908" s="10" t="s">
        <v>892</v>
      </c>
      <c r="D908">
        <v>0</v>
      </c>
      <c r="E908" t="s">
        <v>33</v>
      </c>
      <c r="F908" t="s">
        <v>912</v>
      </c>
      <c r="G908" s="10" t="s">
        <v>929</v>
      </c>
      <c r="H908" t="s">
        <v>36</v>
      </c>
    </row>
    <row r="909" spans="1:8" x14ac:dyDescent="0.3">
      <c r="A909" t="s">
        <v>222</v>
      </c>
      <c r="B909" s="2">
        <v>46113</v>
      </c>
      <c r="C909" s="10" t="s">
        <v>896</v>
      </c>
      <c r="D909">
        <v>0</v>
      </c>
      <c r="E909" t="s">
        <v>33</v>
      </c>
      <c r="F909" t="s">
        <v>912</v>
      </c>
      <c r="G909" s="10" t="s">
        <v>314</v>
      </c>
      <c r="H909" t="s">
        <v>36</v>
      </c>
    </row>
    <row r="910" spans="1:8" x14ac:dyDescent="0.3">
      <c r="A910" t="s">
        <v>222</v>
      </c>
      <c r="B910" s="2">
        <v>46143</v>
      </c>
      <c r="C910" s="10" t="s">
        <v>911</v>
      </c>
      <c r="D910">
        <v>0</v>
      </c>
      <c r="E910" t="s">
        <v>33</v>
      </c>
      <c r="F910" t="s">
        <v>912</v>
      </c>
      <c r="G910" s="10" t="s">
        <v>302</v>
      </c>
      <c r="H910" t="s">
        <v>36</v>
      </c>
    </row>
    <row r="911" spans="1:8" x14ac:dyDescent="0.3">
      <c r="A911" t="s">
        <v>134</v>
      </c>
      <c r="B911" s="2">
        <v>46174</v>
      </c>
      <c r="C911" s="10"/>
    </row>
    <row r="912" spans="1:8" x14ac:dyDescent="0.3">
      <c r="A912" t="s">
        <v>134</v>
      </c>
      <c r="B912" s="2">
        <v>46204</v>
      </c>
      <c r="C912" s="10">
        <v>31</v>
      </c>
      <c r="D912">
        <v>0</v>
      </c>
      <c r="E912" t="s">
        <v>33</v>
      </c>
      <c r="F912" t="s">
        <v>33</v>
      </c>
      <c r="G912" t="s">
        <v>1014</v>
      </c>
      <c r="H912" t="s">
        <v>36</v>
      </c>
    </row>
    <row r="913" spans="1:8" x14ac:dyDescent="0.3">
      <c r="A913" t="s">
        <v>222</v>
      </c>
      <c r="B913" s="2">
        <v>46235</v>
      </c>
      <c r="C913" s="10"/>
    </row>
    <row r="914" spans="1:8" x14ac:dyDescent="0.3">
      <c r="A914" t="s">
        <v>142</v>
      </c>
      <c r="B914" s="2">
        <v>45536</v>
      </c>
      <c r="C914" s="10"/>
    </row>
    <row r="915" spans="1:8" x14ac:dyDescent="0.3">
      <c r="A915" t="s">
        <v>142</v>
      </c>
      <c r="B915" s="2">
        <v>45566</v>
      </c>
      <c r="C915" s="10"/>
    </row>
    <row r="916" spans="1:8" x14ac:dyDescent="0.3">
      <c r="A916" t="s">
        <v>142</v>
      </c>
      <c r="B916" s="2">
        <v>45597</v>
      </c>
      <c r="C916" s="10"/>
    </row>
    <row r="917" spans="1:8" x14ac:dyDescent="0.3">
      <c r="A917" t="s">
        <v>142</v>
      </c>
      <c r="B917" s="2">
        <v>45627</v>
      </c>
      <c r="C917" s="10"/>
    </row>
    <row r="918" spans="1:8" x14ac:dyDescent="0.3">
      <c r="A918" t="s">
        <v>142</v>
      </c>
      <c r="B918" s="2">
        <v>45658</v>
      </c>
      <c r="C918" s="10"/>
    </row>
    <row r="919" spans="1:8" ht="43.2" customHeight="1" x14ac:dyDescent="0.3">
      <c r="A919" t="s">
        <v>142</v>
      </c>
      <c r="B919" s="2">
        <v>45689</v>
      </c>
      <c r="C919" s="10" t="s">
        <v>553</v>
      </c>
    </row>
    <row r="920" spans="1:8" ht="28.95" customHeight="1" x14ac:dyDescent="0.3">
      <c r="A920" t="s">
        <v>142</v>
      </c>
      <c r="B920" s="2">
        <v>45717</v>
      </c>
      <c r="C920" s="10" t="s">
        <v>554</v>
      </c>
    </row>
    <row r="921" spans="1:8" ht="57.6" customHeight="1" x14ac:dyDescent="0.3">
      <c r="A921" t="s">
        <v>142</v>
      </c>
      <c r="B921" s="2">
        <v>45748</v>
      </c>
      <c r="C921" s="10" t="s">
        <v>555</v>
      </c>
    </row>
    <row r="922" spans="1:8" ht="57.6" customHeight="1" x14ac:dyDescent="0.3">
      <c r="A922" t="s">
        <v>142</v>
      </c>
      <c r="B922" s="2">
        <v>45778</v>
      </c>
      <c r="C922" s="10" t="s">
        <v>556</v>
      </c>
    </row>
    <row r="923" spans="1:8" ht="57.6" customHeight="1" x14ac:dyDescent="0.3">
      <c r="A923" t="s">
        <v>142</v>
      </c>
      <c r="B923" s="2">
        <v>45809</v>
      </c>
      <c r="C923" s="10" t="s">
        <v>557</v>
      </c>
    </row>
    <row r="924" spans="1:8" x14ac:dyDescent="0.3">
      <c r="A924" t="s">
        <v>142</v>
      </c>
      <c r="B924" s="2">
        <v>45839</v>
      </c>
      <c r="C924" t="s">
        <v>911</v>
      </c>
      <c r="D924">
        <v>0</v>
      </c>
      <c r="E924" t="s">
        <v>33</v>
      </c>
      <c r="F924" t="s">
        <v>33</v>
      </c>
      <c r="G924" s="10" t="s">
        <v>338</v>
      </c>
      <c r="H924" t="s">
        <v>36</v>
      </c>
    </row>
    <row r="925" spans="1:8" ht="57.6" customHeight="1" x14ac:dyDescent="0.3">
      <c r="A925" t="s">
        <v>142</v>
      </c>
      <c r="B925" s="2">
        <v>45870</v>
      </c>
      <c r="C925" t="s">
        <v>911</v>
      </c>
      <c r="D925">
        <v>0</v>
      </c>
      <c r="E925" t="s">
        <v>33</v>
      </c>
      <c r="F925" t="s">
        <v>33</v>
      </c>
      <c r="G925" s="10" t="s">
        <v>338</v>
      </c>
      <c r="H925" t="s">
        <v>36</v>
      </c>
    </row>
    <row r="926" spans="1:8" ht="57.6" customHeight="1" x14ac:dyDescent="0.3">
      <c r="A926" t="s">
        <v>142</v>
      </c>
      <c r="B926" s="2">
        <v>45901</v>
      </c>
      <c r="C926" t="s">
        <v>919</v>
      </c>
      <c r="D926">
        <v>0</v>
      </c>
      <c r="E926" t="s">
        <v>33</v>
      </c>
      <c r="F926" t="s">
        <v>33</v>
      </c>
      <c r="G926" s="10" t="s">
        <v>338</v>
      </c>
      <c r="H926" t="s">
        <v>36</v>
      </c>
    </row>
    <row r="927" spans="1:8" ht="57.6" customHeight="1" x14ac:dyDescent="0.3">
      <c r="A927" t="s">
        <v>142</v>
      </c>
      <c r="B927" s="2">
        <v>45931</v>
      </c>
      <c r="C927" t="s">
        <v>911</v>
      </c>
      <c r="D927">
        <v>0</v>
      </c>
      <c r="E927" t="s">
        <v>33</v>
      </c>
      <c r="F927" t="s">
        <v>33</v>
      </c>
      <c r="G927" s="10" t="s">
        <v>338</v>
      </c>
      <c r="H927" t="s">
        <v>36</v>
      </c>
    </row>
    <row r="928" spans="1:8" ht="57.6" customHeight="1" x14ac:dyDescent="0.3">
      <c r="A928" t="s">
        <v>142</v>
      </c>
      <c r="B928" s="2">
        <v>45962</v>
      </c>
      <c r="C928" t="s">
        <v>919</v>
      </c>
      <c r="D928">
        <v>0</v>
      </c>
      <c r="E928" t="s">
        <v>33</v>
      </c>
      <c r="F928" t="s">
        <v>33</v>
      </c>
      <c r="G928" s="21" t="s">
        <v>932</v>
      </c>
      <c r="H928" t="s">
        <v>36</v>
      </c>
    </row>
    <row r="929" spans="1:8" x14ac:dyDescent="0.3">
      <c r="A929" t="s">
        <v>142</v>
      </c>
      <c r="B929" s="2">
        <v>45992</v>
      </c>
      <c r="C929" t="s">
        <v>911</v>
      </c>
      <c r="D929">
        <v>0</v>
      </c>
      <c r="E929" t="s">
        <v>33</v>
      </c>
      <c r="F929" t="s">
        <v>33</v>
      </c>
      <c r="G929" s="21" t="s">
        <v>932</v>
      </c>
      <c r="H929" t="s">
        <v>36</v>
      </c>
    </row>
    <row r="930" spans="1:8" x14ac:dyDescent="0.3">
      <c r="A930" t="s">
        <v>142</v>
      </c>
      <c r="B930" s="2">
        <v>46023</v>
      </c>
      <c r="C930" t="s">
        <v>911</v>
      </c>
      <c r="D930">
        <v>0</v>
      </c>
      <c r="E930" t="s">
        <v>33</v>
      </c>
      <c r="F930" t="s">
        <v>33</v>
      </c>
      <c r="G930" s="10" t="s">
        <v>558</v>
      </c>
      <c r="H930" t="s">
        <v>36</v>
      </c>
    </row>
    <row r="931" spans="1:8" x14ac:dyDescent="0.3">
      <c r="A931" t="s">
        <v>142</v>
      </c>
      <c r="B931" s="2">
        <v>46054</v>
      </c>
      <c r="C931" t="s">
        <v>895</v>
      </c>
      <c r="D931">
        <v>0</v>
      </c>
      <c r="E931" t="s">
        <v>33</v>
      </c>
      <c r="F931" t="s">
        <v>33</v>
      </c>
      <c r="G931" s="10" t="s">
        <v>338</v>
      </c>
      <c r="H931" t="s">
        <v>36</v>
      </c>
    </row>
    <row r="932" spans="1:8" x14ac:dyDescent="0.3">
      <c r="A932" t="s">
        <v>142</v>
      </c>
      <c r="B932" s="2">
        <v>46082</v>
      </c>
      <c r="C932" t="s">
        <v>911</v>
      </c>
      <c r="D932">
        <v>0</v>
      </c>
      <c r="E932" t="s">
        <v>33</v>
      </c>
      <c r="F932" t="s">
        <v>33</v>
      </c>
      <c r="G932" s="10" t="s">
        <v>338</v>
      </c>
      <c r="H932" t="s">
        <v>36</v>
      </c>
    </row>
    <row r="933" spans="1:8" x14ac:dyDescent="0.3">
      <c r="A933" t="s">
        <v>142</v>
      </c>
      <c r="B933" s="2">
        <v>46113</v>
      </c>
      <c r="C933" t="s">
        <v>919</v>
      </c>
      <c r="D933">
        <v>0</v>
      </c>
      <c r="E933" t="s">
        <v>33</v>
      </c>
      <c r="F933" t="s">
        <v>33</v>
      </c>
      <c r="G933" s="10" t="s">
        <v>338</v>
      </c>
      <c r="H933" t="s">
        <v>36</v>
      </c>
    </row>
    <row r="934" spans="1:8" x14ac:dyDescent="0.3">
      <c r="A934" t="s">
        <v>142</v>
      </c>
      <c r="B934" s="2">
        <v>46143</v>
      </c>
      <c r="C934" t="s">
        <v>911</v>
      </c>
      <c r="D934">
        <v>0</v>
      </c>
      <c r="E934" t="s">
        <v>33</v>
      </c>
      <c r="F934" t="s">
        <v>33</v>
      </c>
      <c r="G934" s="10" t="s">
        <v>338</v>
      </c>
      <c r="H934" t="s">
        <v>36</v>
      </c>
    </row>
    <row r="935" spans="1:8" x14ac:dyDescent="0.3">
      <c r="A935" t="s">
        <v>138</v>
      </c>
      <c r="B935" s="2">
        <v>46174</v>
      </c>
      <c r="C935" s="10"/>
    </row>
    <row r="936" spans="1:8" x14ac:dyDescent="0.3">
      <c r="A936" t="s">
        <v>138</v>
      </c>
      <c r="B936" s="2">
        <v>46204</v>
      </c>
      <c r="C936" s="10">
        <v>31</v>
      </c>
      <c r="D936">
        <v>0</v>
      </c>
      <c r="E936" t="s">
        <v>33</v>
      </c>
      <c r="F936" t="s">
        <v>1036</v>
      </c>
      <c r="G936" t="s">
        <v>1035</v>
      </c>
      <c r="H936" t="s">
        <v>36</v>
      </c>
    </row>
    <row r="937" spans="1:8" x14ac:dyDescent="0.3">
      <c r="A937" t="s">
        <v>142</v>
      </c>
      <c r="B937" s="2">
        <v>46235</v>
      </c>
      <c r="C937" s="10"/>
    </row>
    <row r="938" spans="1:8" x14ac:dyDescent="0.3">
      <c r="A938" t="s">
        <v>145</v>
      </c>
      <c r="B938" s="2">
        <v>45536</v>
      </c>
      <c r="C938" s="10"/>
    </row>
    <row r="939" spans="1:8" x14ac:dyDescent="0.3">
      <c r="A939" t="s">
        <v>145</v>
      </c>
      <c r="B939" s="2">
        <v>45566</v>
      </c>
      <c r="C939" s="10"/>
    </row>
    <row r="940" spans="1:8" x14ac:dyDescent="0.3">
      <c r="A940" t="s">
        <v>145</v>
      </c>
      <c r="B940" s="2">
        <v>45597</v>
      </c>
      <c r="C940" s="10"/>
    </row>
    <row r="941" spans="1:8" x14ac:dyDescent="0.3">
      <c r="A941" t="s">
        <v>145</v>
      </c>
      <c r="B941" s="2">
        <v>45627</v>
      </c>
      <c r="C941" s="10"/>
    </row>
    <row r="942" spans="1:8" x14ac:dyDescent="0.3">
      <c r="A942" t="s">
        <v>145</v>
      </c>
      <c r="B942" s="2">
        <v>45658</v>
      </c>
      <c r="C942" s="10"/>
    </row>
    <row r="943" spans="1:8" ht="28.95" customHeight="1" x14ac:dyDescent="0.3">
      <c r="A943" t="s">
        <v>145</v>
      </c>
      <c r="B943" s="2">
        <v>45689</v>
      </c>
      <c r="C943" s="10" t="s">
        <v>559</v>
      </c>
    </row>
    <row r="944" spans="1:8" x14ac:dyDescent="0.3">
      <c r="A944" t="s">
        <v>145</v>
      </c>
      <c r="B944" s="2">
        <v>45717</v>
      </c>
      <c r="C944" s="10" t="s">
        <v>455</v>
      </c>
    </row>
    <row r="945" spans="1:8" ht="28.8" x14ac:dyDescent="0.3">
      <c r="A945" t="s">
        <v>145</v>
      </c>
      <c r="B945" s="2">
        <v>45748</v>
      </c>
      <c r="C945" s="10" t="s">
        <v>560</v>
      </c>
    </row>
    <row r="946" spans="1:8" ht="72" customHeight="1" x14ac:dyDescent="0.3">
      <c r="A946" t="s">
        <v>145</v>
      </c>
      <c r="B946" s="2">
        <v>45778</v>
      </c>
      <c r="C946" s="10" t="s">
        <v>561</v>
      </c>
    </row>
    <row r="947" spans="1:8" ht="57.6" customHeight="1" x14ac:dyDescent="0.3">
      <c r="A947" t="s">
        <v>145</v>
      </c>
      <c r="B947" s="2">
        <v>45809</v>
      </c>
      <c r="C947" s="10" t="s">
        <v>562</v>
      </c>
    </row>
    <row r="948" spans="1:8" ht="57.6" customHeight="1" x14ac:dyDescent="0.3">
      <c r="A948" t="s">
        <v>145</v>
      </c>
      <c r="B948" s="2">
        <v>45839</v>
      </c>
      <c r="C948" s="10" t="s">
        <v>563</v>
      </c>
    </row>
    <row r="949" spans="1:8" ht="72" customHeight="1" x14ac:dyDescent="0.3">
      <c r="A949" t="s">
        <v>145</v>
      </c>
      <c r="B949" s="2">
        <v>45870</v>
      </c>
      <c r="C949" s="10" t="s">
        <v>564</v>
      </c>
    </row>
    <row r="950" spans="1:8" ht="57.6" customHeight="1" x14ac:dyDescent="0.3">
      <c r="A950" t="s">
        <v>145</v>
      </c>
      <c r="B950" s="2">
        <v>45901</v>
      </c>
      <c r="C950" s="10" t="s">
        <v>565</v>
      </c>
    </row>
    <row r="951" spans="1:8" ht="57.6" customHeight="1" x14ac:dyDescent="0.3">
      <c r="A951" t="s">
        <v>145</v>
      </c>
      <c r="B951" s="2">
        <v>45931</v>
      </c>
      <c r="C951" s="10" t="s">
        <v>566</v>
      </c>
    </row>
    <row r="952" spans="1:8" ht="57.6" customHeight="1" x14ac:dyDescent="0.3">
      <c r="A952" t="s">
        <v>145</v>
      </c>
      <c r="B952" s="2">
        <v>45962</v>
      </c>
      <c r="C952" s="10" t="s">
        <v>567</v>
      </c>
    </row>
    <row r="953" spans="1:8" ht="28.8" x14ac:dyDescent="0.3">
      <c r="A953" t="s">
        <v>145</v>
      </c>
      <c r="B953" s="2">
        <v>45992</v>
      </c>
      <c r="C953" s="10" t="s">
        <v>568</v>
      </c>
    </row>
    <row r="954" spans="1:8" x14ac:dyDescent="0.3">
      <c r="A954" t="s">
        <v>145</v>
      </c>
      <c r="B954" s="2">
        <v>46023</v>
      </c>
      <c r="C954" s="10" t="s">
        <v>338</v>
      </c>
    </row>
    <row r="955" spans="1:8" x14ac:dyDescent="0.3">
      <c r="A955" t="s">
        <v>145</v>
      </c>
      <c r="B955" s="2">
        <v>46054</v>
      </c>
      <c r="C955" s="10" t="s">
        <v>326</v>
      </c>
    </row>
    <row r="956" spans="1:8" x14ac:dyDescent="0.3">
      <c r="A956" t="s">
        <v>145</v>
      </c>
      <c r="B956" s="2">
        <v>46082</v>
      </c>
      <c r="C956" s="10" t="s">
        <v>326</v>
      </c>
    </row>
    <row r="957" spans="1:8" ht="28.8" x14ac:dyDescent="0.3">
      <c r="A957" t="s">
        <v>145</v>
      </c>
      <c r="B957" s="2">
        <v>46113</v>
      </c>
      <c r="C957" s="10" t="s">
        <v>569</v>
      </c>
    </row>
    <row r="958" spans="1:8" ht="28.8" x14ac:dyDescent="0.3">
      <c r="A958" t="s">
        <v>145</v>
      </c>
      <c r="B958" s="2">
        <v>46143</v>
      </c>
      <c r="C958" s="10" t="s">
        <v>867</v>
      </c>
    </row>
    <row r="959" spans="1:8" x14ac:dyDescent="0.3">
      <c r="A959" t="s">
        <v>220</v>
      </c>
      <c r="B959" s="2">
        <v>46174</v>
      </c>
      <c r="C959" s="10" t="s">
        <v>896</v>
      </c>
      <c r="D959">
        <v>0</v>
      </c>
      <c r="E959" t="s">
        <v>33</v>
      </c>
      <c r="F959" t="s">
        <v>912</v>
      </c>
      <c r="G959" s="10" t="s">
        <v>996</v>
      </c>
      <c r="H959" t="s">
        <v>36</v>
      </c>
    </row>
    <row r="960" spans="1:8" x14ac:dyDescent="0.3">
      <c r="A960" t="s">
        <v>220</v>
      </c>
      <c r="B960" s="2">
        <v>46204</v>
      </c>
      <c r="C960" s="10">
        <v>31</v>
      </c>
      <c r="D960">
        <v>0</v>
      </c>
      <c r="E960" t="s">
        <v>33</v>
      </c>
      <c r="F960" t="s">
        <v>1061</v>
      </c>
      <c r="G960" t="s">
        <v>1063</v>
      </c>
      <c r="H960" t="s">
        <v>1062</v>
      </c>
    </row>
    <row r="961" spans="1:3" x14ac:dyDescent="0.3">
      <c r="A961" t="s">
        <v>145</v>
      </c>
      <c r="B961" s="2">
        <v>46235</v>
      </c>
      <c r="C961" s="10"/>
    </row>
    <row r="962" spans="1:3" x14ac:dyDescent="0.3">
      <c r="A962" t="s">
        <v>152</v>
      </c>
      <c r="B962" s="2">
        <v>45536</v>
      </c>
      <c r="C962" s="10"/>
    </row>
    <row r="963" spans="1:3" x14ac:dyDescent="0.3">
      <c r="A963" t="s">
        <v>152</v>
      </c>
      <c r="B963" s="2">
        <v>45566</v>
      </c>
      <c r="C963" s="10"/>
    </row>
    <row r="964" spans="1:3" x14ac:dyDescent="0.3">
      <c r="A964" t="s">
        <v>152</v>
      </c>
      <c r="B964" s="2">
        <v>45597</v>
      </c>
      <c r="C964" s="10"/>
    </row>
    <row r="965" spans="1:3" x14ac:dyDescent="0.3">
      <c r="A965" t="s">
        <v>152</v>
      </c>
      <c r="B965" s="2">
        <v>45627</v>
      </c>
      <c r="C965" s="10"/>
    </row>
    <row r="966" spans="1:3" x14ac:dyDescent="0.3">
      <c r="A966" t="s">
        <v>152</v>
      </c>
      <c r="B966" s="2">
        <v>45658</v>
      </c>
      <c r="C966" s="10"/>
    </row>
    <row r="967" spans="1:3" ht="28.95" customHeight="1" x14ac:dyDescent="0.3">
      <c r="A967" t="s">
        <v>152</v>
      </c>
      <c r="B967" s="2">
        <v>45689</v>
      </c>
      <c r="C967" s="10" t="s">
        <v>570</v>
      </c>
    </row>
    <row r="968" spans="1:3" ht="28.95" customHeight="1" x14ac:dyDescent="0.3">
      <c r="A968" t="s">
        <v>152</v>
      </c>
      <c r="B968" s="2">
        <v>45717</v>
      </c>
      <c r="C968" s="10" t="s">
        <v>554</v>
      </c>
    </row>
    <row r="969" spans="1:3" ht="28.95" customHeight="1" x14ac:dyDescent="0.3">
      <c r="A969" t="s">
        <v>152</v>
      </c>
      <c r="B969" s="2">
        <v>45748</v>
      </c>
      <c r="C969" s="10" t="s">
        <v>554</v>
      </c>
    </row>
    <row r="970" spans="1:3" ht="72" customHeight="1" x14ac:dyDescent="0.3">
      <c r="A970" t="s">
        <v>152</v>
      </c>
      <c r="B970" s="2">
        <v>45778</v>
      </c>
      <c r="C970" s="10" t="s">
        <v>571</v>
      </c>
    </row>
    <row r="971" spans="1:3" ht="72" customHeight="1" x14ac:dyDescent="0.3">
      <c r="A971" t="s">
        <v>152</v>
      </c>
      <c r="B971" s="2">
        <v>45809</v>
      </c>
      <c r="C971" s="10" t="s">
        <v>572</v>
      </c>
    </row>
    <row r="972" spans="1:3" ht="72" customHeight="1" x14ac:dyDescent="0.3">
      <c r="A972" t="s">
        <v>152</v>
      </c>
      <c r="B972" s="2">
        <v>45839</v>
      </c>
      <c r="C972" s="10" t="s">
        <v>573</v>
      </c>
    </row>
    <row r="973" spans="1:3" ht="72" customHeight="1" x14ac:dyDescent="0.3">
      <c r="A973" t="s">
        <v>152</v>
      </c>
      <c r="B973" s="2">
        <v>45870</v>
      </c>
      <c r="C973" s="10" t="s">
        <v>574</v>
      </c>
    </row>
    <row r="974" spans="1:3" ht="57.6" customHeight="1" x14ac:dyDescent="0.3">
      <c r="A974" t="s">
        <v>152</v>
      </c>
      <c r="B974" s="2">
        <v>45901</v>
      </c>
      <c r="C974" s="10" t="s">
        <v>575</v>
      </c>
    </row>
    <row r="975" spans="1:3" ht="72" customHeight="1" x14ac:dyDescent="0.3">
      <c r="A975" t="s">
        <v>152</v>
      </c>
      <c r="B975" s="2">
        <v>45931</v>
      </c>
      <c r="C975" s="10" t="s">
        <v>576</v>
      </c>
    </row>
    <row r="976" spans="1:3" ht="72" customHeight="1" x14ac:dyDescent="0.3">
      <c r="A976" t="s">
        <v>152</v>
      </c>
      <c r="B976" s="2">
        <v>45962</v>
      </c>
      <c r="C976" s="10" t="s">
        <v>577</v>
      </c>
    </row>
    <row r="977" spans="1:8" ht="28.8" x14ac:dyDescent="0.3">
      <c r="A977" t="s">
        <v>152</v>
      </c>
      <c r="B977" s="2">
        <v>45992</v>
      </c>
      <c r="C977" s="10" t="s">
        <v>578</v>
      </c>
    </row>
    <row r="978" spans="1:8" ht="28.8" x14ac:dyDescent="0.3">
      <c r="A978" t="s">
        <v>152</v>
      </c>
      <c r="B978" s="2">
        <v>46023</v>
      </c>
      <c r="C978" s="10" t="s">
        <v>579</v>
      </c>
    </row>
    <row r="979" spans="1:8" ht="28.95" customHeight="1" x14ac:dyDescent="0.3">
      <c r="A979" t="s">
        <v>152</v>
      </c>
      <c r="B979" s="2">
        <v>46054</v>
      </c>
      <c r="C979" s="10" t="s">
        <v>580</v>
      </c>
    </row>
    <row r="980" spans="1:8" ht="28.8" x14ac:dyDescent="0.3">
      <c r="A980" t="s">
        <v>152</v>
      </c>
      <c r="B980" s="2">
        <v>46082</v>
      </c>
      <c r="C980" s="10" t="s">
        <v>581</v>
      </c>
    </row>
    <row r="981" spans="1:8" ht="28.8" x14ac:dyDescent="0.3">
      <c r="A981" t="s">
        <v>152</v>
      </c>
      <c r="B981" s="2">
        <v>46113</v>
      </c>
      <c r="C981" s="10" t="s">
        <v>581</v>
      </c>
    </row>
    <row r="982" spans="1:8" ht="28.8" x14ac:dyDescent="0.3">
      <c r="A982" t="s">
        <v>152</v>
      </c>
      <c r="B982" s="2">
        <v>46143</v>
      </c>
      <c r="C982" s="10" t="s">
        <v>865</v>
      </c>
    </row>
    <row r="983" spans="1:8" x14ac:dyDescent="0.3">
      <c r="A983" t="s">
        <v>222</v>
      </c>
      <c r="B983" s="2">
        <v>46174</v>
      </c>
      <c r="C983" s="10" t="s">
        <v>896</v>
      </c>
      <c r="D983">
        <v>0</v>
      </c>
      <c r="E983" t="s">
        <v>33</v>
      </c>
      <c r="F983" t="s">
        <v>912</v>
      </c>
      <c r="G983" s="10" t="s">
        <v>996</v>
      </c>
      <c r="H983" t="s">
        <v>36</v>
      </c>
    </row>
    <row r="984" spans="1:8" x14ac:dyDescent="0.3">
      <c r="A984" t="s">
        <v>222</v>
      </c>
      <c r="B984" s="2">
        <v>46204</v>
      </c>
      <c r="C984" s="10">
        <v>31</v>
      </c>
      <c r="D984">
        <v>0</v>
      </c>
      <c r="E984" t="s">
        <v>33</v>
      </c>
      <c r="F984" t="s">
        <v>1061</v>
      </c>
      <c r="G984" t="s">
        <v>1063</v>
      </c>
      <c r="H984" t="s">
        <v>36</v>
      </c>
    </row>
    <row r="985" spans="1:8" x14ac:dyDescent="0.3">
      <c r="A985" t="s">
        <v>152</v>
      </c>
      <c r="B985" s="2">
        <v>46235</v>
      </c>
      <c r="C985" s="10"/>
    </row>
    <row r="986" spans="1:8" x14ac:dyDescent="0.3">
      <c r="A986" t="s">
        <v>149</v>
      </c>
      <c r="B986" s="2">
        <v>45536</v>
      </c>
      <c r="C986" s="10"/>
    </row>
    <row r="987" spans="1:8" x14ac:dyDescent="0.3">
      <c r="A987" t="s">
        <v>149</v>
      </c>
      <c r="B987" s="2">
        <v>45566</v>
      </c>
      <c r="C987" s="10"/>
    </row>
    <row r="988" spans="1:8" x14ac:dyDescent="0.3">
      <c r="A988" t="s">
        <v>149</v>
      </c>
      <c r="B988" s="2">
        <v>45597</v>
      </c>
      <c r="C988" s="10"/>
    </row>
    <row r="989" spans="1:8" x14ac:dyDescent="0.3">
      <c r="A989" t="s">
        <v>149</v>
      </c>
      <c r="B989" s="2">
        <v>45627</v>
      </c>
      <c r="C989" s="10"/>
    </row>
    <row r="990" spans="1:8" x14ac:dyDescent="0.3">
      <c r="A990" t="s">
        <v>149</v>
      </c>
      <c r="B990" s="2">
        <v>45658</v>
      </c>
      <c r="C990" s="10"/>
    </row>
    <row r="991" spans="1:8" ht="43.2" customHeight="1" x14ac:dyDescent="0.3">
      <c r="A991" t="s">
        <v>149</v>
      </c>
      <c r="B991" s="2">
        <v>45689</v>
      </c>
      <c r="C991" s="10" t="s">
        <v>582</v>
      </c>
    </row>
    <row r="992" spans="1:8" ht="72" customHeight="1" x14ac:dyDescent="0.3">
      <c r="A992" t="s">
        <v>149</v>
      </c>
      <c r="B992" s="2">
        <v>45717</v>
      </c>
      <c r="C992" s="10" t="s">
        <v>583</v>
      </c>
    </row>
    <row r="993" spans="1:8" ht="43.2" customHeight="1" x14ac:dyDescent="0.3">
      <c r="A993" t="s">
        <v>149</v>
      </c>
      <c r="B993" s="2">
        <v>45748</v>
      </c>
      <c r="C993" s="10" t="s">
        <v>584</v>
      </c>
    </row>
    <row r="994" spans="1:8" ht="57.6" customHeight="1" x14ac:dyDescent="0.3">
      <c r="A994" t="s">
        <v>149</v>
      </c>
      <c r="B994" s="2">
        <v>45778</v>
      </c>
      <c r="C994" s="10" t="s">
        <v>585</v>
      </c>
    </row>
    <row r="995" spans="1:8" ht="57.6" customHeight="1" x14ac:dyDescent="0.3">
      <c r="A995" t="s">
        <v>149</v>
      </c>
      <c r="B995" s="2">
        <v>45809</v>
      </c>
      <c r="C995" s="10" t="s">
        <v>586</v>
      </c>
    </row>
    <row r="996" spans="1:8" x14ac:dyDescent="0.3">
      <c r="A996" t="s">
        <v>149</v>
      </c>
      <c r="B996" s="2">
        <v>45839</v>
      </c>
      <c r="C996" t="s">
        <v>911</v>
      </c>
      <c r="D996">
        <v>0</v>
      </c>
      <c r="E996" t="s">
        <v>33</v>
      </c>
      <c r="F996" t="s">
        <v>33</v>
      </c>
      <c r="G996" s="21" t="s">
        <v>932</v>
      </c>
      <c r="H996" t="s">
        <v>36</v>
      </c>
    </row>
    <row r="997" spans="1:8" x14ac:dyDescent="0.3">
      <c r="A997" t="s">
        <v>149</v>
      </c>
      <c r="B997" s="2">
        <v>45870</v>
      </c>
      <c r="C997" t="s">
        <v>911</v>
      </c>
      <c r="D997">
        <v>0</v>
      </c>
      <c r="E997" t="s">
        <v>33</v>
      </c>
      <c r="F997" t="s">
        <v>33</v>
      </c>
      <c r="G997" s="21" t="s">
        <v>932</v>
      </c>
      <c r="H997" t="s">
        <v>36</v>
      </c>
    </row>
    <row r="998" spans="1:8" x14ac:dyDescent="0.3">
      <c r="A998" t="s">
        <v>149</v>
      </c>
      <c r="B998" s="2">
        <v>45901</v>
      </c>
      <c r="C998" t="s">
        <v>919</v>
      </c>
      <c r="D998">
        <v>0</v>
      </c>
      <c r="E998" t="s">
        <v>33</v>
      </c>
      <c r="F998" t="s">
        <v>33</v>
      </c>
      <c r="G998" s="21" t="s">
        <v>932</v>
      </c>
      <c r="H998" t="s">
        <v>36</v>
      </c>
    </row>
    <row r="999" spans="1:8" x14ac:dyDescent="0.3">
      <c r="A999" t="s">
        <v>149</v>
      </c>
      <c r="B999" s="2">
        <v>45931</v>
      </c>
      <c r="C999" t="s">
        <v>911</v>
      </c>
      <c r="D999">
        <v>0</v>
      </c>
      <c r="E999" t="s">
        <v>33</v>
      </c>
      <c r="F999" t="s">
        <v>33</v>
      </c>
      <c r="G999" s="21" t="s">
        <v>932</v>
      </c>
      <c r="H999" t="s">
        <v>36</v>
      </c>
    </row>
    <row r="1000" spans="1:8" ht="57.6" customHeight="1" x14ac:dyDescent="0.3">
      <c r="A1000" t="s">
        <v>149</v>
      </c>
      <c r="B1000" s="2">
        <v>45962</v>
      </c>
      <c r="C1000" t="s">
        <v>919</v>
      </c>
      <c r="D1000">
        <v>0</v>
      </c>
      <c r="E1000" t="s">
        <v>33</v>
      </c>
      <c r="F1000" t="s">
        <v>33</v>
      </c>
      <c r="G1000" s="21" t="s">
        <v>932</v>
      </c>
      <c r="H1000" t="s">
        <v>36</v>
      </c>
    </row>
    <row r="1001" spans="1:8" x14ac:dyDescent="0.3">
      <c r="A1001" t="s">
        <v>149</v>
      </c>
      <c r="B1001" s="2">
        <v>45992</v>
      </c>
      <c r="C1001" t="s">
        <v>911</v>
      </c>
      <c r="D1001">
        <v>0</v>
      </c>
      <c r="E1001" t="s">
        <v>33</v>
      </c>
      <c r="F1001" t="s">
        <v>33</v>
      </c>
      <c r="G1001" s="10" t="s">
        <v>972</v>
      </c>
      <c r="H1001" t="s">
        <v>36</v>
      </c>
    </row>
    <row r="1002" spans="1:8" x14ac:dyDescent="0.3">
      <c r="A1002" t="s">
        <v>149</v>
      </c>
      <c r="B1002" s="2">
        <v>46023</v>
      </c>
      <c r="C1002" t="s">
        <v>911</v>
      </c>
      <c r="D1002">
        <v>0</v>
      </c>
      <c r="E1002" t="s">
        <v>33</v>
      </c>
      <c r="F1002" t="s">
        <v>33</v>
      </c>
      <c r="G1002" s="10" t="s">
        <v>972</v>
      </c>
      <c r="H1002" t="s">
        <v>36</v>
      </c>
    </row>
    <row r="1003" spans="1:8" x14ac:dyDescent="0.3">
      <c r="A1003" t="s">
        <v>149</v>
      </c>
      <c r="B1003" s="2">
        <v>46054</v>
      </c>
      <c r="C1003" t="s">
        <v>895</v>
      </c>
      <c r="D1003">
        <v>0</v>
      </c>
      <c r="E1003" t="s">
        <v>33</v>
      </c>
      <c r="F1003" t="s">
        <v>33</v>
      </c>
      <c r="G1003" s="10" t="s">
        <v>326</v>
      </c>
      <c r="H1003" t="s">
        <v>36</v>
      </c>
    </row>
    <row r="1004" spans="1:8" x14ac:dyDescent="0.3">
      <c r="A1004" t="s">
        <v>149</v>
      </c>
      <c r="B1004" s="2">
        <v>46082</v>
      </c>
      <c r="C1004" t="s">
        <v>911</v>
      </c>
      <c r="D1004">
        <v>0</v>
      </c>
      <c r="E1004" t="s">
        <v>33</v>
      </c>
      <c r="F1004" t="s">
        <v>33</v>
      </c>
      <c r="G1004" s="10" t="s">
        <v>326</v>
      </c>
      <c r="H1004" t="s">
        <v>36</v>
      </c>
    </row>
    <row r="1005" spans="1:8" x14ac:dyDescent="0.3">
      <c r="A1005" t="s">
        <v>149</v>
      </c>
      <c r="B1005" s="2">
        <v>46113</v>
      </c>
      <c r="C1005" t="s">
        <v>919</v>
      </c>
      <c r="D1005">
        <v>0</v>
      </c>
      <c r="E1005" t="s">
        <v>33</v>
      </c>
      <c r="F1005" t="s">
        <v>33</v>
      </c>
      <c r="G1005" s="21" t="s">
        <v>932</v>
      </c>
      <c r="H1005" t="s">
        <v>36</v>
      </c>
    </row>
    <row r="1006" spans="1:8" x14ac:dyDescent="0.3">
      <c r="A1006" t="s">
        <v>149</v>
      </c>
      <c r="B1006" s="2">
        <v>46143</v>
      </c>
      <c r="C1006" t="s">
        <v>911</v>
      </c>
      <c r="D1006">
        <v>0</v>
      </c>
      <c r="E1006" t="s">
        <v>33</v>
      </c>
      <c r="F1006" t="s">
        <v>33</v>
      </c>
      <c r="G1006" s="21" t="s">
        <v>932</v>
      </c>
      <c r="H1006" t="s">
        <v>36</v>
      </c>
    </row>
    <row r="1007" spans="1:8" x14ac:dyDescent="0.3">
      <c r="A1007" t="s">
        <v>142</v>
      </c>
      <c r="B1007" s="2">
        <v>46174</v>
      </c>
      <c r="C1007" t="s">
        <v>919</v>
      </c>
      <c r="D1007">
        <v>0</v>
      </c>
      <c r="E1007" t="s">
        <v>33</v>
      </c>
      <c r="F1007" t="s">
        <v>33</v>
      </c>
      <c r="G1007" s="10" t="s">
        <v>996</v>
      </c>
      <c r="H1007" t="s">
        <v>36</v>
      </c>
    </row>
    <row r="1008" spans="1:8" x14ac:dyDescent="0.3">
      <c r="A1008" t="s">
        <v>142</v>
      </c>
      <c r="B1008" s="2">
        <v>46204</v>
      </c>
      <c r="C1008" s="10">
        <v>31</v>
      </c>
      <c r="D1008">
        <v>0</v>
      </c>
      <c r="E1008" t="s">
        <v>33</v>
      </c>
      <c r="F1008" t="s">
        <v>33</v>
      </c>
      <c r="G1008" t="s">
        <v>1014</v>
      </c>
      <c r="H1008" t="s">
        <v>36</v>
      </c>
    </row>
    <row r="1009" spans="1:3" x14ac:dyDescent="0.3">
      <c r="A1009" t="s">
        <v>149</v>
      </c>
      <c r="B1009" s="2">
        <v>46235</v>
      </c>
      <c r="C1009" s="10"/>
    </row>
    <row r="1010" spans="1:3" x14ac:dyDescent="0.3">
      <c r="A1010" t="s">
        <v>155</v>
      </c>
      <c r="B1010" s="2">
        <v>45536</v>
      </c>
      <c r="C1010" s="10"/>
    </row>
    <row r="1011" spans="1:3" x14ac:dyDescent="0.3">
      <c r="A1011" t="s">
        <v>155</v>
      </c>
      <c r="B1011" s="2">
        <v>45566</v>
      </c>
      <c r="C1011" s="10"/>
    </row>
    <row r="1012" spans="1:3" x14ac:dyDescent="0.3">
      <c r="A1012" t="s">
        <v>155</v>
      </c>
      <c r="B1012" s="2">
        <v>45597</v>
      </c>
      <c r="C1012" s="10"/>
    </row>
    <row r="1013" spans="1:3" x14ac:dyDescent="0.3">
      <c r="A1013" t="s">
        <v>155</v>
      </c>
      <c r="B1013" s="2">
        <v>45627</v>
      </c>
      <c r="C1013" s="10"/>
    </row>
    <row r="1014" spans="1:3" x14ac:dyDescent="0.3">
      <c r="A1014" t="s">
        <v>155</v>
      </c>
      <c r="B1014" s="2">
        <v>45658</v>
      </c>
      <c r="C1014" s="10"/>
    </row>
    <row r="1015" spans="1:3" x14ac:dyDescent="0.3">
      <c r="A1015" t="s">
        <v>155</v>
      </c>
      <c r="B1015" s="2">
        <v>45689</v>
      </c>
      <c r="C1015" s="10" t="s">
        <v>587</v>
      </c>
    </row>
    <row r="1016" spans="1:3" x14ac:dyDescent="0.3">
      <c r="A1016" t="s">
        <v>155</v>
      </c>
      <c r="B1016" s="2">
        <v>45717</v>
      </c>
      <c r="C1016" s="10" t="s">
        <v>588</v>
      </c>
    </row>
    <row r="1017" spans="1:3" x14ac:dyDescent="0.3">
      <c r="A1017" t="s">
        <v>155</v>
      </c>
      <c r="B1017" s="2">
        <v>45748</v>
      </c>
      <c r="C1017" s="10" t="s">
        <v>588</v>
      </c>
    </row>
    <row r="1018" spans="1:3" ht="57.6" customHeight="1" x14ac:dyDescent="0.3">
      <c r="A1018" t="s">
        <v>155</v>
      </c>
      <c r="B1018" s="2">
        <v>45778</v>
      </c>
      <c r="C1018" s="10" t="s">
        <v>589</v>
      </c>
    </row>
    <row r="1019" spans="1:3" ht="57.6" customHeight="1" x14ac:dyDescent="0.3">
      <c r="A1019" t="s">
        <v>155</v>
      </c>
      <c r="B1019" s="2">
        <v>45809</v>
      </c>
      <c r="C1019" s="10" t="s">
        <v>590</v>
      </c>
    </row>
    <row r="1020" spans="1:3" x14ac:dyDescent="0.3">
      <c r="A1020" t="s">
        <v>155</v>
      </c>
      <c r="B1020" s="2">
        <v>45839</v>
      </c>
      <c r="C1020" s="10"/>
    </row>
    <row r="1021" spans="1:3" ht="57.6" customHeight="1" x14ac:dyDescent="0.3">
      <c r="A1021" t="s">
        <v>155</v>
      </c>
      <c r="B1021" s="2">
        <v>45870</v>
      </c>
      <c r="C1021" s="10" t="s">
        <v>591</v>
      </c>
    </row>
    <row r="1022" spans="1:3" ht="57.6" customHeight="1" x14ac:dyDescent="0.3">
      <c r="A1022" t="s">
        <v>155</v>
      </c>
      <c r="B1022" s="2">
        <v>45901</v>
      </c>
      <c r="C1022" s="10" t="s">
        <v>592</v>
      </c>
    </row>
    <row r="1023" spans="1:3" ht="57.6" customHeight="1" x14ac:dyDescent="0.3">
      <c r="A1023" t="s">
        <v>155</v>
      </c>
      <c r="B1023" s="2">
        <v>45931</v>
      </c>
      <c r="C1023" s="10" t="s">
        <v>593</v>
      </c>
    </row>
    <row r="1024" spans="1:3" ht="57.6" customHeight="1" x14ac:dyDescent="0.3">
      <c r="A1024" t="s">
        <v>155</v>
      </c>
      <c r="B1024" s="2">
        <v>45962</v>
      </c>
      <c r="C1024" s="10" t="s">
        <v>594</v>
      </c>
    </row>
    <row r="1025" spans="1:8" x14ac:dyDescent="0.3">
      <c r="A1025" t="s">
        <v>155</v>
      </c>
      <c r="B1025" s="2">
        <v>45992</v>
      </c>
      <c r="C1025" s="10" t="s">
        <v>326</v>
      </c>
    </row>
    <row r="1026" spans="1:8" x14ac:dyDescent="0.3">
      <c r="A1026" t="s">
        <v>155</v>
      </c>
      <c r="B1026" s="2">
        <v>46023</v>
      </c>
      <c r="C1026" s="10" t="s">
        <v>338</v>
      </c>
    </row>
    <row r="1027" spans="1:8" x14ac:dyDescent="0.3">
      <c r="A1027" t="s">
        <v>155</v>
      </c>
      <c r="B1027" s="2">
        <v>46054</v>
      </c>
      <c r="C1027" s="10" t="s">
        <v>326</v>
      </c>
    </row>
    <row r="1028" spans="1:8" ht="28.8" x14ac:dyDescent="0.3">
      <c r="A1028" t="s">
        <v>155</v>
      </c>
      <c r="B1028" s="2">
        <v>46082</v>
      </c>
      <c r="C1028" s="10" t="s">
        <v>595</v>
      </c>
    </row>
    <row r="1029" spans="1:8" ht="28.8" x14ac:dyDescent="0.3">
      <c r="A1029" t="s">
        <v>155</v>
      </c>
      <c r="B1029" s="2">
        <v>46113</v>
      </c>
      <c r="C1029" s="10" t="s">
        <v>596</v>
      </c>
    </row>
    <row r="1030" spans="1:8" ht="28.8" x14ac:dyDescent="0.3">
      <c r="A1030" t="s">
        <v>155</v>
      </c>
      <c r="B1030" s="2">
        <v>46143</v>
      </c>
      <c r="C1030" s="10" t="s">
        <v>864</v>
      </c>
    </row>
    <row r="1031" spans="1:8" x14ac:dyDescent="0.3">
      <c r="A1031" t="s">
        <v>145</v>
      </c>
      <c r="B1031" s="2">
        <v>46174</v>
      </c>
      <c r="C1031" s="10"/>
    </row>
    <row r="1032" spans="1:8" x14ac:dyDescent="0.3">
      <c r="A1032" t="s">
        <v>145</v>
      </c>
      <c r="B1032" s="2">
        <v>46204</v>
      </c>
      <c r="C1032" s="10">
        <v>31</v>
      </c>
      <c r="E1032" t="s">
        <v>33</v>
      </c>
      <c r="F1032" t="s">
        <v>33</v>
      </c>
      <c r="G1032" t="s">
        <v>1037</v>
      </c>
      <c r="H1032" t="s">
        <v>1038</v>
      </c>
    </row>
    <row r="1033" spans="1:8" x14ac:dyDescent="0.3">
      <c r="A1033" t="s">
        <v>155</v>
      </c>
      <c r="B1033" s="2">
        <v>46235</v>
      </c>
      <c r="C1033" s="10"/>
    </row>
    <row r="1034" spans="1:8" x14ac:dyDescent="0.3">
      <c r="A1034" t="s">
        <v>157</v>
      </c>
      <c r="B1034" s="2">
        <v>45536</v>
      </c>
      <c r="C1034" s="10"/>
    </row>
    <row r="1035" spans="1:8" x14ac:dyDescent="0.3">
      <c r="A1035" t="s">
        <v>157</v>
      </c>
      <c r="B1035" s="2">
        <v>45566</v>
      </c>
      <c r="C1035" s="10"/>
    </row>
    <row r="1036" spans="1:8" x14ac:dyDescent="0.3">
      <c r="A1036" t="s">
        <v>157</v>
      </c>
      <c r="B1036" s="2">
        <v>45597</v>
      </c>
      <c r="C1036" s="10"/>
    </row>
    <row r="1037" spans="1:8" x14ac:dyDescent="0.3">
      <c r="A1037" t="s">
        <v>157</v>
      </c>
      <c r="B1037" s="2">
        <v>45627</v>
      </c>
      <c r="C1037" s="10"/>
    </row>
    <row r="1038" spans="1:8" x14ac:dyDescent="0.3">
      <c r="A1038" t="s">
        <v>157</v>
      </c>
      <c r="B1038" s="2">
        <v>45658</v>
      </c>
      <c r="C1038" s="10"/>
    </row>
    <row r="1039" spans="1:8" x14ac:dyDescent="0.3">
      <c r="A1039" t="s">
        <v>157</v>
      </c>
      <c r="B1039" s="2">
        <v>45689</v>
      </c>
      <c r="C1039" s="10"/>
    </row>
    <row r="1040" spans="1:8" x14ac:dyDescent="0.3">
      <c r="A1040" t="s">
        <v>157</v>
      </c>
      <c r="B1040" s="2">
        <v>45717</v>
      </c>
      <c r="C1040" s="10"/>
    </row>
    <row r="1041" spans="1:8" x14ac:dyDescent="0.3">
      <c r="A1041" t="s">
        <v>157</v>
      </c>
      <c r="B1041" s="2">
        <v>45748</v>
      </c>
      <c r="C1041" s="10"/>
    </row>
    <row r="1042" spans="1:8" x14ac:dyDescent="0.3">
      <c r="A1042" t="s">
        <v>157</v>
      </c>
      <c r="B1042" s="2">
        <v>45778</v>
      </c>
      <c r="C1042" s="10"/>
    </row>
    <row r="1043" spans="1:8" x14ac:dyDescent="0.3">
      <c r="A1043" t="s">
        <v>157</v>
      </c>
      <c r="B1043" s="2">
        <v>45809</v>
      </c>
      <c r="C1043" s="10"/>
    </row>
    <row r="1044" spans="1:8" x14ac:dyDescent="0.3">
      <c r="A1044" t="s">
        <v>157</v>
      </c>
      <c r="B1044" s="2">
        <v>45839</v>
      </c>
      <c r="C1044" s="10"/>
    </row>
    <row r="1045" spans="1:8" x14ac:dyDescent="0.3">
      <c r="A1045" t="s">
        <v>157</v>
      </c>
      <c r="B1045" s="2">
        <v>45870</v>
      </c>
      <c r="C1045" s="10"/>
    </row>
    <row r="1046" spans="1:8" x14ac:dyDescent="0.3">
      <c r="A1046" t="s">
        <v>157</v>
      </c>
      <c r="B1046" s="2">
        <v>45901</v>
      </c>
      <c r="C1046" s="10"/>
    </row>
    <row r="1047" spans="1:8" ht="57.6" customHeight="1" x14ac:dyDescent="0.3">
      <c r="A1047" t="s">
        <v>157</v>
      </c>
      <c r="B1047" s="2">
        <v>45931</v>
      </c>
      <c r="C1047" s="10" t="s">
        <v>597</v>
      </c>
    </row>
    <row r="1048" spans="1:8" ht="57.6" customHeight="1" x14ac:dyDescent="0.3">
      <c r="A1048" t="s">
        <v>157</v>
      </c>
      <c r="B1048" s="2">
        <v>45962</v>
      </c>
      <c r="C1048" s="10" t="s">
        <v>597</v>
      </c>
    </row>
    <row r="1049" spans="1:8" x14ac:dyDescent="0.3">
      <c r="A1049" t="s">
        <v>157</v>
      </c>
      <c r="B1049" s="2">
        <v>45992</v>
      </c>
      <c r="C1049" s="10" t="s">
        <v>598</v>
      </c>
    </row>
    <row r="1050" spans="1:8" x14ac:dyDescent="0.3">
      <c r="A1050" t="s">
        <v>157</v>
      </c>
      <c r="B1050" s="2">
        <v>46023</v>
      </c>
      <c r="C1050" s="10" t="s">
        <v>338</v>
      </c>
    </row>
    <row r="1051" spans="1:8" x14ac:dyDescent="0.3">
      <c r="A1051" t="s">
        <v>157</v>
      </c>
      <c r="B1051" s="2">
        <v>46054</v>
      </c>
      <c r="C1051" s="10" t="s">
        <v>326</v>
      </c>
    </row>
    <row r="1052" spans="1:8" x14ac:dyDescent="0.3">
      <c r="A1052" t="s">
        <v>157</v>
      </c>
      <c r="B1052" s="2">
        <v>46082</v>
      </c>
      <c r="C1052" s="10" t="s">
        <v>326</v>
      </c>
    </row>
    <row r="1053" spans="1:8" ht="28.8" x14ac:dyDescent="0.3">
      <c r="A1053" t="s">
        <v>157</v>
      </c>
      <c r="B1053" s="2">
        <v>46113</v>
      </c>
      <c r="C1053" s="10" t="s">
        <v>595</v>
      </c>
    </row>
    <row r="1054" spans="1:8" ht="28.8" x14ac:dyDescent="0.3">
      <c r="A1054" t="s">
        <v>157</v>
      </c>
      <c r="B1054" s="2">
        <v>46143</v>
      </c>
      <c r="C1054" s="10" t="s">
        <v>867</v>
      </c>
    </row>
    <row r="1055" spans="1:8" x14ac:dyDescent="0.3">
      <c r="A1055" t="s">
        <v>149</v>
      </c>
      <c r="B1055" s="2">
        <v>46204</v>
      </c>
      <c r="C1055" s="10">
        <v>31</v>
      </c>
      <c r="D1055">
        <v>0</v>
      </c>
      <c r="E1055" t="s">
        <v>33</v>
      </c>
      <c r="F1055" t="s">
        <v>33</v>
      </c>
      <c r="G1055" t="s">
        <v>1014</v>
      </c>
      <c r="H1055" t="s">
        <v>36</v>
      </c>
    </row>
    <row r="1056" spans="1:8" x14ac:dyDescent="0.3">
      <c r="A1056" t="s">
        <v>149</v>
      </c>
      <c r="B1056" s="2">
        <v>46174</v>
      </c>
      <c r="C1056" t="s">
        <v>919</v>
      </c>
      <c r="D1056">
        <v>0</v>
      </c>
      <c r="E1056" t="s">
        <v>33</v>
      </c>
      <c r="F1056" t="s">
        <v>33</v>
      </c>
      <c r="G1056" s="10" t="s">
        <v>338</v>
      </c>
      <c r="H1056" t="s">
        <v>36</v>
      </c>
    </row>
    <row r="1057" spans="1:8" x14ac:dyDescent="0.3">
      <c r="A1057" t="s">
        <v>157</v>
      </c>
      <c r="B1057" s="2">
        <v>46235</v>
      </c>
      <c r="C1057" s="10"/>
    </row>
    <row r="1058" spans="1:8" x14ac:dyDescent="0.3">
      <c r="A1058" t="s">
        <v>160</v>
      </c>
      <c r="B1058" s="2">
        <v>45536</v>
      </c>
      <c r="C1058" s="10"/>
    </row>
    <row r="1059" spans="1:8" ht="28.8" x14ac:dyDescent="0.3">
      <c r="A1059" t="s">
        <v>160</v>
      </c>
      <c r="B1059" s="2">
        <v>45566</v>
      </c>
      <c r="C1059" s="10" t="s">
        <v>599</v>
      </c>
    </row>
    <row r="1060" spans="1:8" x14ac:dyDescent="0.3">
      <c r="A1060" t="s">
        <v>160</v>
      </c>
      <c r="B1060" s="2">
        <v>45597</v>
      </c>
      <c r="C1060" s="10"/>
    </row>
    <row r="1061" spans="1:8" x14ac:dyDescent="0.3">
      <c r="A1061" t="s">
        <v>160</v>
      </c>
      <c r="B1061" s="2">
        <v>45627</v>
      </c>
      <c r="C1061" s="10"/>
    </row>
    <row r="1062" spans="1:8" x14ac:dyDescent="0.3">
      <c r="A1062" t="s">
        <v>160</v>
      </c>
      <c r="B1062" s="2">
        <v>45658</v>
      </c>
      <c r="C1062" s="10"/>
    </row>
    <row r="1063" spans="1:8" ht="28.8" x14ac:dyDescent="0.3">
      <c r="A1063" t="s">
        <v>160</v>
      </c>
      <c r="B1063" s="2">
        <v>45689</v>
      </c>
      <c r="C1063" s="10" t="s">
        <v>600</v>
      </c>
    </row>
    <row r="1064" spans="1:8" ht="43.2" customHeight="1" x14ac:dyDescent="0.3">
      <c r="A1064" t="s">
        <v>160</v>
      </c>
      <c r="B1064" s="2">
        <v>45717</v>
      </c>
      <c r="C1064" s="10" t="s">
        <v>601</v>
      </c>
    </row>
    <row r="1065" spans="1:8" ht="57.6" customHeight="1" x14ac:dyDescent="0.3">
      <c r="A1065" t="s">
        <v>160</v>
      </c>
      <c r="B1065" s="2">
        <v>45748</v>
      </c>
      <c r="C1065" s="10" t="s">
        <v>602</v>
      </c>
    </row>
    <row r="1066" spans="1:8" ht="57.6" customHeight="1" x14ac:dyDescent="0.3">
      <c r="A1066" t="s">
        <v>160</v>
      </c>
      <c r="B1066" s="2">
        <v>45778</v>
      </c>
      <c r="C1066" s="10" t="s">
        <v>603</v>
      </c>
    </row>
    <row r="1067" spans="1:8" ht="57.6" customHeight="1" x14ac:dyDescent="0.3">
      <c r="A1067" t="s">
        <v>160</v>
      </c>
      <c r="B1067" s="2">
        <v>45809</v>
      </c>
      <c r="C1067" s="10" t="s">
        <v>604</v>
      </c>
    </row>
    <row r="1068" spans="1:8" x14ac:dyDescent="0.3">
      <c r="A1068" t="s">
        <v>160</v>
      </c>
      <c r="B1068" s="2">
        <v>45839</v>
      </c>
      <c r="C1068" t="s">
        <v>911</v>
      </c>
      <c r="D1068">
        <v>0</v>
      </c>
      <c r="E1068" t="s">
        <v>33</v>
      </c>
      <c r="F1068" t="s">
        <v>33</v>
      </c>
      <c r="G1068" s="10" t="s">
        <v>338</v>
      </c>
      <c r="H1068" t="s">
        <v>36</v>
      </c>
    </row>
    <row r="1069" spans="1:8" x14ac:dyDescent="0.3">
      <c r="A1069" t="s">
        <v>160</v>
      </c>
      <c r="B1069" s="2">
        <v>45870</v>
      </c>
      <c r="C1069" t="s">
        <v>911</v>
      </c>
      <c r="D1069">
        <v>0</v>
      </c>
      <c r="E1069" t="s">
        <v>33</v>
      </c>
      <c r="F1069" t="s">
        <v>33</v>
      </c>
      <c r="G1069" s="10" t="s">
        <v>338</v>
      </c>
      <c r="H1069" t="s">
        <v>36</v>
      </c>
    </row>
    <row r="1070" spans="1:8" x14ac:dyDescent="0.3">
      <c r="A1070" t="s">
        <v>160</v>
      </c>
      <c r="B1070" s="2">
        <v>45901</v>
      </c>
      <c r="C1070" t="s">
        <v>919</v>
      </c>
      <c r="D1070">
        <v>0</v>
      </c>
      <c r="E1070" t="s">
        <v>33</v>
      </c>
      <c r="F1070" t="s">
        <v>33</v>
      </c>
      <c r="G1070" s="10" t="s">
        <v>338</v>
      </c>
      <c r="H1070" t="s">
        <v>36</v>
      </c>
    </row>
    <row r="1071" spans="1:8" x14ac:dyDescent="0.3">
      <c r="A1071" t="s">
        <v>160</v>
      </c>
      <c r="B1071" s="2">
        <v>45931</v>
      </c>
      <c r="C1071" t="s">
        <v>911</v>
      </c>
      <c r="D1071">
        <v>0</v>
      </c>
      <c r="E1071" t="s">
        <v>33</v>
      </c>
      <c r="F1071" t="s">
        <v>33</v>
      </c>
      <c r="G1071" s="10" t="s">
        <v>338</v>
      </c>
      <c r="H1071" t="s">
        <v>36</v>
      </c>
    </row>
    <row r="1072" spans="1:8" x14ac:dyDescent="0.3">
      <c r="A1072" t="s">
        <v>160</v>
      </c>
      <c r="B1072" s="2">
        <v>45962</v>
      </c>
      <c r="C1072" t="s">
        <v>919</v>
      </c>
      <c r="D1072">
        <v>0</v>
      </c>
      <c r="E1072" t="s">
        <v>33</v>
      </c>
      <c r="F1072" t="s">
        <v>33</v>
      </c>
      <c r="G1072" s="21" t="s">
        <v>932</v>
      </c>
      <c r="H1072" t="s">
        <v>36</v>
      </c>
    </row>
    <row r="1073" spans="1:8" x14ac:dyDescent="0.3">
      <c r="A1073" t="s">
        <v>160</v>
      </c>
      <c r="B1073" s="2">
        <v>45992</v>
      </c>
      <c r="C1073" t="s">
        <v>911</v>
      </c>
      <c r="D1073">
        <v>0</v>
      </c>
      <c r="E1073" t="s">
        <v>33</v>
      </c>
      <c r="F1073" t="s">
        <v>33</v>
      </c>
      <c r="G1073" s="21" t="s">
        <v>932</v>
      </c>
      <c r="H1073" t="s">
        <v>36</v>
      </c>
    </row>
    <row r="1074" spans="1:8" x14ac:dyDescent="0.3">
      <c r="A1074" t="s">
        <v>160</v>
      </c>
      <c r="B1074" s="2">
        <v>46023</v>
      </c>
      <c r="C1074" t="s">
        <v>911</v>
      </c>
      <c r="D1074">
        <v>0</v>
      </c>
      <c r="E1074" t="s">
        <v>33</v>
      </c>
      <c r="F1074" t="s">
        <v>33</v>
      </c>
      <c r="G1074" s="21" t="s">
        <v>932</v>
      </c>
      <c r="H1074" t="s">
        <v>36</v>
      </c>
    </row>
    <row r="1075" spans="1:8" x14ac:dyDescent="0.3">
      <c r="A1075" t="s">
        <v>160</v>
      </c>
      <c r="B1075" s="2">
        <v>46054</v>
      </c>
      <c r="C1075" t="s">
        <v>895</v>
      </c>
      <c r="D1075">
        <v>0</v>
      </c>
      <c r="E1075" t="s">
        <v>33</v>
      </c>
      <c r="F1075" t="s">
        <v>33</v>
      </c>
      <c r="G1075" s="10" t="s">
        <v>338</v>
      </c>
      <c r="H1075" t="s">
        <v>36</v>
      </c>
    </row>
    <row r="1076" spans="1:8" x14ac:dyDescent="0.3">
      <c r="A1076" t="s">
        <v>160</v>
      </c>
      <c r="B1076" s="2">
        <v>46082</v>
      </c>
      <c r="C1076" t="s">
        <v>911</v>
      </c>
      <c r="D1076">
        <v>0</v>
      </c>
      <c r="E1076" t="s">
        <v>33</v>
      </c>
      <c r="F1076" t="s">
        <v>33</v>
      </c>
      <c r="G1076" s="10" t="s">
        <v>338</v>
      </c>
      <c r="H1076" t="s">
        <v>36</v>
      </c>
    </row>
    <row r="1077" spans="1:8" x14ac:dyDescent="0.3">
      <c r="A1077" t="s">
        <v>160</v>
      </c>
      <c r="B1077" s="2">
        <v>46113</v>
      </c>
      <c r="C1077" t="s">
        <v>919</v>
      </c>
      <c r="D1077">
        <v>0</v>
      </c>
      <c r="E1077" t="s">
        <v>33</v>
      </c>
      <c r="F1077" t="s">
        <v>33</v>
      </c>
      <c r="G1077" s="10" t="s">
        <v>338</v>
      </c>
      <c r="H1077" t="s">
        <v>36</v>
      </c>
    </row>
    <row r="1078" spans="1:8" x14ac:dyDescent="0.3">
      <c r="A1078" t="s">
        <v>160</v>
      </c>
      <c r="B1078" s="2">
        <v>46143</v>
      </c>
      <c r="C1078" t="s">
        <v>911</v>
      </c>
      <c r="D1078">
        <v>0</v>
      </c>
      <c r="E1078" t="s">
        <v>33</v>
      </c>
      <c r="F1078" t="s">
        <v>33</v>
      </c>
      <c r="G1078" s="10" t="s">
        <v>338</v>
      </c>
      <c r="H1078" t="s">
        <v>36</v>
      </c>
    </row>
    <row r="1079" spans="1:8" x14ac:dyDescent="0.3">
      <c r="A1079" t="s">
        <v>152</v>
      </c>
      <c r="B1079" s="2">
        <v>46174</v>
      </c>
      <c r="C1079" s="10"/>
    </row>
    <row r="1080" spans="1:8" x14ac:dyDescent="0.3">
      <c r="A1080" t="s">
        <v>152</v>
      </c>
      <c r="B1080" s="2">
        <v>46204</v>
      </c>
      <c r="C1080" s="10">
        <v>31</v>
      </c>
      <c r="D1080">
        <v>0</v>
      </c>
      <c r="E1080" t="s">
        <v>33</v>
      </c>
      <c r="F1080" t="s">
        <v>33</v>
      </c>
      <c r="G1080" t="s">
        <v>1039</v>
      </c>
      <c r="H1080" t="s">
        <v>36</v>
      </c>
    </row>
    <row r="1081" spans="1:8" x14ac:dyDescent="0.3">
      <c r="A1081" t="s">
        <v>160</v>
      </c>
      <c r="B1081" s="2">
        <v>46235</v>
      </c>
      <c r="C1081" s="10"/>
    </row>
    <row r="1082" spans="1:8" x14ac:dyDescent="0.3">
      <c r="A1082" t="s">
        <v>244</v>
      </c>
      <c r="B1082" s="2">
        <v>45536</v>
      </c>
      <c r="C1082" s="10"/>
    </row>
    <row r="1083" spans="1:8" x14ac:dyDescent="0.3">
      <c r="A1083" t="s">
        <v>244</v>
      </c>
      <c r="B1083" s="2">
        <v>45566</v>
      </c>
      <c r="C1083" s="10"/>
    </row>
    <row r="1084" spans="1:8" x14ac:dyDescent="0.3">
      <c r="A1084" t="s">
        <v>244</v>
      </c>
      <c r="B1084" s="2">
        <v>45597</v>
      </c>
      <c r="C1084" s="10"/>
    </row>
    <row r="1085" spans="1:8" x14ac:dyDescent="0.3">
      <c r="A1085" t="s">
        <v>244</v>
      </c>
      <c r="B1085" s="2">
        <v>45627</v>
      </c>
      <c r="C1085" s="10"/>
    </row>
    <row r="1086" spans="1:8" x14ac:dyDescent="0.3">
      <c r="A1086" t="s">
        <v>244</v>
      </c>
      <c r="B1086" s="2">
        <v>45658</v>
      </c>
      <c r="C1086" s="10"/>
    </row>
    <row r="1087" spans="1:8" x14ac:dyDescent="0.3">
      <c r="A1087" t="s">
        <v>244</v>
      </c>
      <c r="B1087" s="2">
        <v>45689</v>
      </c>
      <c r="C1087" s="10"/>
    </row>
    <row r="1088" spans="1:8" x14ac:dyDescent="0.3">
      <c r="A1088" t="s">
        <v>244</v>
      </c>
      <c r="B1088" s="2">
        <v>45717</v>
      </c>
      <c r="C1088" s="10"/>
    </row>
    <row r="1089" spans="1:8" x14ac:dyDescent="0.3">
      <c r="A1089" t="s">
        <v>244</v>
      </c>
      <c r="B1089" s="2">
        <v>45748</v>
      </c>
      <c r="C1089" s="10"/>
    </row>
    <row r="1090" spans="1:8" x14ac:dyDescent="0.3">
      <c r="A1090" t="s">
        <v>244</v>
      </c>
      <c r="B1090" s="2">
        <v>45778</v>
      </c>
      <c r="C1090" s="10"/>
    </row>
    <row r="1091" spans="1:8" x14ac:dyDescent="0.3">
      <c r="A1091" t="s">
        <v>244</v>
      </c>
      <c r="B1091" s="2">
        <v>45809</v>
      </c>
      <c r="C1091" s="10"/>
    </row>
    <row r="1092" spans="1:8" x14ac:dyDescent="0.3">
      <c r="A1092" t="s">
        <v>244</v>
      </c>
      <c r="B1092" s="2">
        <v>45839</v>
      </c>
      <c r="C1092" s="10"/>
    </row>
    <row r="1093" spans="1:8" x14ac:dyDescent="0.3">
      <c r="A1093" t="s">
        <v>244</v>
      </c>
      <c r="B1093" s="2">
        <v>45870</v>
      </c>
      <c r="C1093" s="10"/>
    </row>
    <row r="1094" spans="1:8" x14ac:dyDescent="0.3">
      <c r="A1094" t="s">
        <v>244</v>
      </c>
      <c r="B1094" s="2">
        <v>45901</v>
      </c>
      <c r="C1094" s="10"/>
    </row>
    <row r="1095" spans="1:8" x14ac:dyDescent="0.3">
      <c r="A1095" t="s">
        <v>244</v>
      </c>
      <c r="B1095" s="2">
        <v>45931</v>
      </c>
      <c r="C1095" s="10"/>
    </row>
    <row r="1096" spans="1:8" x14ac:dyDescent="0.3">
      <c r="A1096" t="s">
        <v>244</v>
      </c>
      <c r="B1096" s="2">
        <v>45962</v>
      </c>
      <c r="C1096" s="10"/>
    </row>
    <row r="1097" spans="1:8" x14ac:dyDescent="0.3">
      <c r="A1097" t="s">
        <v>244</v>
      </c>
      <c r="B1097" s="2">
        <v>45992</v>
      </c>
      <c r="C1097" s="10"/>
    </row>
    <row r="1098" spans="1:8" x14ac:dyDescent="0.3">
      <c r="A1098" t="s">
        <v>244</v>
      </c>
      <c r="B1098" s="2">
        <v>46023</v>
      </c>
      <c r="C1098" s="10"/>
    </row>
    <row r="1099" spans="1:8" x14ac:dyDescent="0.3">
      <c r="A1099" t="s">
        <v>244</v>
      </c>
      <c r="B1099" s="2">
        <v>46054</v>
      </c>
      <c r="C1099" s="10"/>
    </row>
    <row r="1100" spans="1:8" x14ac:dyDescent="0.3">
      <c r="A1100" t="s">
        <v>244</v>
      </c>
      <c r="B1100" s="2">
        <v>46082</v>
      </c>
      <c r="C1100" s="10"/>
    </row>
    <row r="1101" spans="1:8" x14ac:dyDescent="0.3">
      <c r="A1101" t="s">
        <v>244</v>
      </c>
      <c r="B1101" s="2">
        <v>46113</v>
      </c>
      <c r="C1101" s="10" t="s">
        <v>605</v>
      </c>
    </row>
    <row r="1102" spans="1:8" x14ac:dyDescent="0.3">
      <c r="A1102" t="s">
        <v>244</v>
      </c>
      <c r="B1102" s="2">
        <v>46143</v>
      </c>
      <c r="C1102" s="10" t="s">
        <v>852</v>
      </c>
    </row>
    <row r="1103" spans="1:8" x14ac:dyDescent="0.3">
      <c r="A1103" t="s">
        <v>155</v>
      </c>
      <c r="B1103" s="2">
        <v>46174</v>
      </c>
      <c r="C1103" s="10"/>
    </row>
    <row r="1104" spans="1:8" x14ac:dyDescent="0.3">
      <c r="A1104" t="s">
        <v>155</v>
      </c>
      <c r="B1104" s="2">
        <v>46204</v>
      </c>
      <c r="C1104" s="10" t="s">
        <v>36</v>
      </c>
      <c r="D1104" t="s">
        <v>36</v>
      </c>
      <c r="E1104" t="s">
        <v>1041</v>
      </c>
      <c r="F1104" t="s">
        <v>36</v>
      </c>
      <c r="G1104" t="s">
        <v>36</v>
      </c>
      <c r="H1104" t="s">
        <v>36</v>
      </c>
    </row>
    <row r="1105" spans="1:8" x14ac:dyDescent="0.3">
      <c r="A1105" t="s">
        <v>244</v>
      </c>
      <c r="B1105" s="2">
        <v>46235</v>
      </c>
      <c r="C1105" s="10"/>
    </row>
    <row r="1106" spans="1:8" x14ac:dyDescent="0.3">
      <c r="A1106" t="s">
        <v>213</v>
      </c>
      <c r="B1106" s="2">
        <v>45536</v>
      </c>
      <c r="C1106" s="10"/>
    </row>
    <row r="1107" spans="1:8" x14ac:dyDescent="0.3">
      <c r="A1107" t="s">
        <v>213</v>
      </c>
      <c r="B1107" s="2">
        <v>45566</v>
      </c>
      <c r="C1107" s="10"/>
    </row>
    <row r="1108" spans="1:8" x14ac:dyDescent="0.3">
      <c r="A1108" t="s">
        <v>213</v>
      </c>
      <c r="B1108" s="2">
        <v>45597</v>
      </c>
      <c r="C1108" s="10"/>
    </row>
    <row r="1109" spans="1:8" x14ac:dyDescent="0.3">
      <c r="A1109" t="s">
        <v>213</v>
      </c>
      <c r="B1109" s="2">
        <v>45627</v>
      </c>
      <c r="C1109" s="10"/>
    </row>
    <row r="1110" spans="1:8" x14ac:dyDescent="0.3">
      <c r="A1110" t="s">
        <v>213</v>
      </c>
      <c r="B1110" s="2">
        <v>45658</v>
      </c>
      <c r="C1110" s="10"/>
    </row>
    <row r="1111" spans="1:8" x14ac:dyDescent="0.3">
      <c r="A1111" t="s">
        <v>213</v>
      </c>
      <c r="B1111" s="2">
        <v>45689</v>
      </c>
      <c r="C1111" s="10"/>
    </row>
    <row r="1112" spans="1:8" x14ac:dyDescent="0.3">
      <c r="A1112" t="s">
        <v>213</v>
      </c>
      <c r="B1112" s="2">
        <v>45717</v>
      </c>
      <c r="C1112" s="10"/>
    </row>
    <row r="1113" spans="1:8" x14ac:dyDescent="0.3">
      <c r="A1113" t="s">
        <v>213</v>
      </c>
      <c r="B1113" s="2">
        <v>45748</v>
      </c>
      <c r="C1113" s="10"/>
    </row>
    <row r="1114" spans="1:8" x14ac:dyDescent="0.3">
      <c r="A1114" t="s">
        <v>213</v>
      </c>
      <c r="B1114" s="2">
        <v>45778</v>
      </c>
      <c r="C1114" s="10"/>
    </row>
    <row r="1115" spans="1:8" x14ac:dyDescent="0.3">
      <c r="A1115" t="s">
        <v>213</v>
      </c>
      <c r="B1115" s="2">
        <v>45809</v>
      </c>
      <c r="C1115" s="10"/>
    </row>
    <row r="1116" spans="1:8" x14ac:dyDescent="0.3">
      <c r="A1116" t="s">
        <v>213</v>
      </c>
      <c r="B1116" s="2">
        <v>45839</v>
      </c>
      <c r="C1116" s="10"/>
    </row>
    <row r="1117" spans="1:8" x14ac:dyDescent="0.3">
      <c r="A1117" t="s">
        <v>213</v>
      </c>
      <c r="B1117" s="2">
        <v>45870</v>
      </c>
      <c r="C1117" t="s">
        <v>968</v>
      </c>
      <c r="D1117" t="s">
        <v>969</v>
      </c>
      <c r="E1117" t="s">
        <v>970</v>
      </c>
      <c r="F1117" t="s">
        <v>33</v>
      </c>
      <c r="G1117" t="s">
        <v>33</v>
      </c>
      <c r="H1117" t="s">
        <v>36</v>
      </c>
    </row>
    <row r="1118" spans="1:8" x14ac:dyDescent="0.3">
      <c r="A1118" t="s">
        <v>213</v>
      </c>
      <c r="B1118" s="2">
        <v>45901</v>
      </c>
      <c r="C1118" t="s">
        <v>919</v>
      </c>
      <c r="D1118">
        <v>0</v>
      </c>
      <c r="E1118" t="s">
        <v>33</v>
      </c>
      <c r="F1118" t="s">
        <v>33</v>
      </c>
      <c r="G1118" s="10" t="s">
        <v>338</v>
      </c>
      <c r="H1118" t="s">
        <v>36</v>
      </c>
    </row>
    <row r="1119" spans="1:8" x14ac:dyDescent="0.3">
      <c r="A1119" t="s">
        <v>213</v>
      </c>
      <c r="B1119" s="2">
        <v>45931</v>
      </c>
      <c r="C1119" t="s">
        <v>911</v>
      </c>
      <c r="D1119">
        <v>0</v>
      </c>
      <c r="E1119" t="s">
        <v>33</v>
      </c>
      <c r="F1119" t="s">
        <v>33</v>
      </c>
      <c r="G1119" s="10" t="s">
        <v>338</v>
      </c>
      <c r="H1119" t="s">
        <v>36</v>
      </c>
    </row>
    <row r="1120" spans="1:8" ht="43.2" customHeight="1" x14ac:dyDescent="0.3">
      <c r="A1120" t="s">
        <v>213</v>
      </c>
      <c r="B1120" s="2">
        <v>45962</v>
      </c>
      <c r="C1120" t="s">
        <v>919</v>
      </c>
      <c r="D1120">
        <v>0</v>
      </c>
      <c r="E1120" t="s">
        <v>33</v>
      </c>
      <c r="F1120" t="s">
        <v>33</v>
      </c>
      <c r="G1120" s="10" t="s">
        <v>338</v>
      </c>
      <c r="H1120" t="s">
        <v>36</v>
      </c>
    </row>
    <row r="1121" spans="1:8" x14ac:dyDescent="0.3">
      <c r="A1121" t="s">
        <v>213</v>
      </c>
      <c r="B1121" s="2">
        <v>45992</v>
      </c>
      <c r="C1121" t="s">
        <v>911</v>
      </c>
      <c r="D1121">
        <v>0</v>
      </c>
      <c r="E1121" t="s">
        <v>33</v>
      </c>
      <c r="F1121" t="s">
        <v>33</v>
      </c>
      <c r="G1121" s="10" t="s">
        <v>338</v>
      </c>
      <c r="H1121" t="s">
        <v>36</v>
      </c>
    </row>
    <row r="1122" spans="1:8" x14ac:dyDescent="0.3">
      <c r="A1122" t="s">
        <v>213</v>
      </c>
      <c r="B1122" s="2">
        <v>46023</v>
      </c>
      <c r="C1122" t="s">
        <v>911</v>
      </c>
      <c r="D1122">
        <v>0</v>
      </c>
      <c r="E1122" t="s">
        <v>33</v>
      </c>
      <c r="F1122" t="s">
        <v>33</v>
      </c>
      <c r="G1122" s="10" t="s">
        <v>338</v>
      </c>
      <c r="H1122" t="s">
        <v>36</v>
      </c>
    </row>
    <row r="1123" spans="1:8" x14ac:dyDescent="0.3">
      <c r="A1123" t="s">
        <v>213</v>
      </c>
      <c r="B1123" s="2">
        <v>46054</v>
      </c>
      <c r="C1123" t="s">
        <v>895</v>
      </c>
      <c r="D1123">
        <v>0</v>
      </c>
      <c r="E1123" t="s">
        <v>33</v>
      </c>
      <c r="F1123" t="s">
        <v>33</v>
      </c>
      <c r="G1123" s="10" t="s">
        <v>338</v>
      </c>
      <c r="H1123" t="s">
        <v>36</v>
      </c>
    </row>
    <row r="1124" spans="1:8" x14ac:dyDescent="0.3">
      <c r="A1124" t="s">
        <v>213</v>
      </c>
      <c r="B1124" s="2">
        <v>46082</v>
      </c>
      <c r="C1124" t="s">
        <v>911</v>
      </c>
      <c r="D1124">
        <v>0</v>
      </c>
      <c r="E1124" t="s">
        <v>33</v>
      </c>
      <c r="F1124" t="s">
        <v>33</v>
      </c>
      <c r="G1124" s="10" t="s">
        <v>606</v>
      </c>
      <c r="H1124" t="s">
        <v>36</v>
      </c>
    </row>
    <row r="1125" spans="1:8" x14ac:dyDescent="0.3">
      <c r="A1125" t="s">
        <v>213</v>
      </c>
      <c r="B1125" s="2">
        <v>46113</v>
      </c>
      <c r="C1125" t="s">
        <v>919</v>
      </c>
      <c r="D1125">
        <v>0</v>
      </c>
      <c r="E1125" t="s">
        <v>33</v>
      </c>
      <c r="F1125" t="s">
        <v>33</v>
      </c>
      <c r="G1125" s="10" t="s">
        <v>606</v>
      </c>
      <c r="H1125" t="s">
        <v>36</v>
      </c>
    </row>
    <row r="1126" spans="1:8" x14ac:dyDescent="0.3">
      <c r="A1126" t="s">
        <v>213</v>
      </c>
      <c r="B1126" s="2">
        <v>46143</v>
      </c>
      <c r="C1126" t="s">
        <v>911</v>
      </c>
      <c r="D1126">
        <v>0</v>
      </c>
      <c r="E1126" t="s">
        <v>33</v>
      </c>
      <c r="F1126" t="s">
        <v>33</v>
      </c>
      <c r="G1126" s="10" t="s">
        <v>338</v>
      </c>
      <c r="H1126" t="s">
        <v>36</v>
      </c>
    </row>
    <row r="1127" spans="1:8" x14ac:dyDescent="0.3">
      <c r="A1127" t="s">
        <v>157</v>
      </c>
      <c r="B1127" s="2">
        <v>46174</v>
      </c>
      <c r="C1127" s="10"/>
    </row>
    <row r="1128" spans="1:8" x14ac:dyDescent="0.3">
      <c r="A1128" t="s">
        <v>157</v>
      </c>
      <c r="B1128" s="2">
        <v>46204</v>
      </c>
      <c r="C1128" s="10">
        <v>31</v>
      </c>
      <c r="D1128">
        <v>0</v>
      </c>
      <c r="E1128" t="s">
        <v>33</v>
      </c>
      <c r="F1128" t="s">
        <v>33</v>
      </c>
      <c r="G1128" t="s">
        <v>932</v>
      </c>
      <c r="H1128" t="s">
        <v>36</v>
      </c>
    </row>
    <row r="1129" spans="1:8" x14ac:dyDescent="0.3">
      <c r="A1129" t="s">
        <v>213</v>
      </c>
      <c r="B1129" s="2">
        <v>46235</v>
      </c>
      <c r="C1129" s="10"/>
    </row>
    <row r="1130" spans="1:8" x14ac:dyDescent="0.3">
      <c r="A1130" t="s">
        <v>216</v>
      </c>
      <c r="B1130" s="2">
        <v>45536</v>
      </c>
      <c r="C1130" s="10"/>
    </row>
    <row r="1131" spans="1:8" x14ac:dyDescent="0.3">
      <c r="A1131" t="s">
        <v>216</v>
      </c>
      <c r="B1131" s="2">
        <v>45566</v>
      </c>
      <c r="C1131" s="10"/>
    </row>
    <row r="1132" spans="1:8" x14ac:dyDescent="0.3">
      <c r="A1132" t="s">
        <v>216</v>
      </c>
      <c r="B1132" s="2">
        <v>45597</v>
      </c>
      <c r="C1132" s="10"/>
    </row>
    <row r="1133" spans="1:8" x14ac:dyDescent="0.3">
      <c r="A1133" t="s">
        <v>216</v>
      </c>
      <c r="B1133" s="2">
        <v>45627</v>
      </c>
      <c r="C1133" s="10"/>
    </row>
    <row r="1134" spans="1:8" x14ac:dyDescent="0.3">
      <c r="A1134" t="s">
        <v>216</v>
      </c>
      <c r="B1134" s="2">
        <v>45658</v>
      </c>
      <c r="C1134" s="10"/>
    </row>
    <row r="1135" spans="1:8" x14ac:dyDescent="0.3">
      <c r="A1135" t="s">
        <v>216</v>
      </c>
      <c r="B1135" s="2">
        <v>45689</v>
      </c>
      <c r="C1135" s="10"/>
    </row>
    <row r="1136" spans="1:8" x14ac:dyDescent="0.3">
      <c r="A1136" t="s">
        <v>216</v>
      </c>
      <c r="B1136" s="2">
        <v>45717</v>
      </c>
      <c r="C1136" s="10"/>
    </row>
    <row r="1137" spans="1:8" x14ac:dyDescent="0.3">
      <c r="A1137" t="s">
        <v>216</v>
      </c>
      <c r="B1137" s="2">
        <v>45748</v>
      </c>
      <c r="C1137" s="10"/>
    </row>
    <row r="1138" spans="1:8" x14ac:dyDescent="0.3">
      <c r="A1138" t="s">
        <v>216</v>
      </c>
      <c r="B1138" s="2">
        <v>45778</v>
      </c>
      <c r="C1138" s="10"/>
    </row>
    <row r="1139" spans="1:8" x14ac:dyDescent="0.3">
      <c r="A1139" t="s">
        <v>216</v>
      </c>
      <c r="B1139" s="2">
        <v>45809</v>
      </c>
      <c r="C1139" s="10"/>
    </row>
    <row r="1140" spans="1:8" x14ac:dyDescent="0.3">
      <c r="A1140" t="s">
        <v>216</v>
      </c>
      <c r="B1140" s="2">
        <v>45839</v>
      </c>
      <c r="C1140" s="10"/>
    </row>
    <row r="1141" spans="1:8" x14ac:dyDescent="0.3">
      <c r="A1141" t="s">
        <v>216</v>
      </c>
      <c r="B1141" s="2">
        <v>45870</v>
      </c>
      <c r="C1141" s="10"/>
    </row>
    <row r="1142" spans="1:8" ht="43.2" customHeight="1" x14ac:dyDescent="0.3">
      <c r="A1142" t="s">
        <v>216</v>
      </c>
      <c r="B1142" s="2">
        <v>45901</v>
      </c>
      <c r="C1142" s="10" t="s">
        <v>607</v>
      </c>
    </row>
    <row r="1143" spans="1:8" ht="43.2" customHeight="1" x14ac:dyDescent="0.3">
      <c r="A1143" t="s">
        <v>216</v>
      </c>
      <c r="B1143" s="2">
        <v>45931</v>
      </c>
      <c r="C1143" s="10" t="s">
        <v>608</v>
      </c>
    </row>
    <row r="1144" spans="1:8" ht="43.2" customHeight="1" x14ac:dyDescent="0.3">
      <c r="A1144" t="s">
        <v>216</v>
      </c>
      <c r="B1144" s="2">
        <v>45962</v>
      </c>
      <c r="C1144" s="10" t="s">
        <v>609</v>
      </c>
    </row>
    <row r="1145" spans="1:8" x14ac:dyDescent="0.3">
      <c r="A1145" t="s">
        <v>216</v>
      </c>
      <c r="B1145" s="2">
        <v>45992</v>
      </c>
      <c r="C1145" s="10" t="s">
        <v>326</v>
      </c>
    </row>
    <row r="1146" spans="1:8" x14ac:dyDescent="0.3">
      <c r="A1146" t="s">
        <v>216</v>
      </c>
      <c r="B1146" s="2">
        <v>46023</v>
      </c>
      <c r="C1146" s="10" t="s">
        <v>338</v>
      </c>
    </row>
    <row r="1147" spans="1:8" x14ac:dyDescent="0.3">
      <c r="A1147" t="s">
        <v>216</v>
      </c>
      <c r="B1147" s="2">
        <v>46054</v>
      </c>
      <c r="C1147" s="10" t="s">
        <v>326</v>
      </c>
    </row>
    <row r="1148" spans="1:8" ht="28.8" x14ac:dyDescent="0.3">
      <c r="A1148" t="s">
        <v>216</v>
      </c>
      <c r="B1148" s="2">
        <v>46082</v>
      </c>
      <c r="C1148" s="10" t="s">
        <v>606</v>
      </c>
    </row>
    <row r="1149" spans="1:8" ht="28.8" x14ac:dyDescent="0.3">
      <c r="A1149" t="s">
        <v>216</v>
      </c>
      <c r="B1149" s="2">
        <v>46113</v>
      </c>
      <c r="C1149" s="10" t="s">
        <v>606</v>
      </c>
    </row>
    <row r="1150" spans="1:8" x14ac:dyDescent="0.3">
      <c r="A1150" t="s">
        <v>216</v>
      </c>
      <c r="B1150" s="2">
        <v>46143</v>
      </c>
      <c r="C1150" s="10" t="s">
        <v>302</v>
      </c>
    </row>
    <row r="1151" spans="1:8" x14ac:dyDescent="0.3">
      <c r="A1151" t="s">
        <v>160</v>
      </c>
      <c r="B1151" s="2">
        <v>46174</v>
      </c>
      <c r="C1151" t="s">
        <v>919</v>
      </c>
      <c r="D1151">
        <v>0</v>
      </c>
      <c r="E1151" t="s">
        <v>33</v>
      </c>
      <c r="F1151" t="s">
        <v>33</v>
      </c>
      <c r="G1151" s="10" t="s">
        <v>338</v>
      </c>
      <c r="H1151" t="s">
        <v>36</v>
      </c>
    </row>
    <row r="1152" spans="1:8" x14ac:dyDescent="0.3">
      <c r="A1152" t="s">
        <v>160</v>
      </c>
      <c r="B1152" s="2">
        <v>46204</v>
      </c>
      <c r="C1152" s="10">
        <v>31</v>
      </c>
      <c r="D1152">
        <v>0</v>
      </c>
      <c r="E1152" t="s">
        <v>33</v>
      </c>
      <c r="F1152" t="s">
        <v>33</v>
      </c>
      <c r="G1152" t="s">
        <v>1014</v>
      </c>
      <c r="H1152" t="s">
        <v>36</v>
      </c>
    </row>
    <row r="1153" spans="1:8" x14ac:dyDescent="0.3">
      <c r="A1153" t="s">
        <v>216</v>
      </c>
      <c r="B1153" s="2">
        <v>46235</v>
      </c>
      <c r="C1153" s="10"/>
    </row>
    <row r="1154" spans="1:8" x14ac:dyDescent="0.3">
      <c r="A1154" t="s">
        <v>218</v>
      </c>
      <c r="B1154" s="2">
        <v>45536</v>
      </c>
      <c r="C1154" s="10"/>
    </row>
    <row r="1155" spans="1:8" x14ac:dyDescent="0.3">
      <c r="A1155" t="s">
        <v>218</v>
      </c>
      <c r="B1155" s="2">
        <v>45566</v>
      </c>
      <c r="C1155" s="10"/>
    </row>
    <row r="1156" spans="1:8" x14ac:dyDescent="0.3">
      <c r="A1156" t="s">
        <v>218</v>
      </c>
      <c r="B1156" s="2">
        <v>45597</v>
      </c>
      <c r="C1156" s="10"/>
    </row>
    <row r="1157" spans="1:8" x14ac:dyDescent="0.3">
      <c r="A1157" t="s">
        <v>218</v>
      </c>
      <c r="B1157" s="2">
        <v>45627</v>
      </c>
      <c r="C1157" s="10"/>
    </row>
    <row r="1158" spans="1:8" x14ac:dyDescent="0.3">
      <c r="A1158" t="s">
        <v>218</v>
      </c>
      <c r="B1158" s="2">
        <v>45658</v>
      </c>
      <c r="C1158" s="10"/>
    </row>
    <row r="1159" spans="1:8" x14ac:dyDescent="0.3">
      <c r="A1159" t="s">
        <v>218</v>
      </c>
      <c r="B1159" s="2">
        <v>45689</v>
      </c>
      <c r="C1159" s="10"/>
    </row>
    <row r="1160" spans="1:8" x14ac:dyDescent="0.3">
      <c r="A1160" t="s">
        <v>218</v>
      </c>
      <c r="B1160" s="2">
        <v>45717</v>
      </c>
      <c r="C1160" s="10"/>
    </row>
    <row r="1161" spans="1:8" x14ac:dyDescent="0.3">
      <c r="A1161" t="s">
        <v>218</v>
      </c>
      <c r="B1161" s="2">
        <v>45748</v>
      </c>
      <c r="C1161" s="10"/>
    </row>
    <row r="1162" spans="1:8" x14ac:dyDescent="0.3">
      <c r="A1162" t="s">
        <v>218</v>
      </c>
      <c r="B1162" s="2">
        <v>45778</v>
      </c>
      <c r="C1162" s="10"/>
    </row>
    <row r="1163" spans="1:8" x14ac:dyDescent="0.3">
      <c r="A1163" t="s">
        <v>218</v>
      </c>
      <c r="B1163" s="2">
        <v>45809</v>
      </c>
      <c r="C1163" s="10"/>
    </row>
    <row r="1164" spans="1:8" x14ac:dyDescent="0.3">
      <c r="A1164" t="s">
        <v>218</v>
      </c>
      <c r="B1164" s="2">
        <v>45839</v>
      </c>
      <c r="C1164" s="10"/>
    </row>
    <row r="1165" spans="1:8" x14ac:dyDescent="0.3">
      <c r="A1165" t="s">
        <v>218</v>
      </c>
      <c r="B1165" s="2">
        <v>45870</v>
      </c>
      <c r="C1165" t="s">
        <v>968</v>
      </c>
      <c r="D1165" t="s">
        <v>969</v>
      </c>
      <c r="E1165" t="s">
        <v>970</v>
      </c>
      <c r="F1165" t="s">
        <v>33</v>
      </c>
      <c r="G1165" t="s">
        <v>33</v>
      </c>
      <c r="H1165" t="s">
        <v>36</v>
      </c>
    </row>
    <row r="1166" spans="1:8" ht="43.2" customHeight="1" x14ac:dyDescent="0.3">
      <c r="A1166" t="s">
        <v>218</v>
      </c>
      <c r="B1166" s="2">
        <v>45901</v>
      </c>
      <c r="C1166" t="s">
        <v>919</v>
      </c>
      <c r="D1166">
        <v>0</v>
      </c>
      <c r="E1166" t="s">
        <v>33</v>
      </c>
      <c r="F1166" t="s">
        <v>33</v>
      </c>
      <c r="G1166" s="10" t="s">
        <v>338</v>
      </c>
      <c r="H1166" t="s">
        <v>36</v>
      </c>
    </row>
    <row r="1167" spans="1:8" ht="43.2" customHeight="1" x14ac:dyDescent="0.3">
      <c r="A1167" t="s">
        <v>218</v>
      </c>
      <c r="B1167" s="2">
        <v>45931</v>
      </c>
      <c r="C1167" t="s">
        <v>911</v>
      </c>
      <c r="D1167">
        <v>0</v>
      </c>
      <c r="E1167" t="s">
        <v>33</v>
      </c>
      <c r="F1167" t="s">
        <v>33</v>
      </c>
      <c r="G1167" s="10" t="s">
        <v>338</v>
      </c>
      <c r="H1167" t="s">
        <v>36</v>
      </c>
    </row>
    <row r="1168" spans="1:8" ht="43.2" customHeight="1" x14ac:dyDescent="0.3">
      <c r="A1168" t="s">
        <v>218</v>
      </c>
      <c r="B1168" s="2">
        <v>45962</v>
      </c>
      <c r="C1168" t="s">
        <v>919</v>
      </c>
      <c r="D1168">
        <v>0</v>
      </c>
      <c r="E1168" t="s">
        <v>33</v>
      </c>
      <c r="F1168" t="s">
        <v>33</v>
      </c>
      <c r="G1168" s="10" t="s">
        <v>338</v>
      </c>
      <c r="H1168" t="s">
        <v>36</v>
      </c>
    </row>
    <row r="1169" spans="1:8" x14ac:dyDescent="0.3">
      <c r="A1169" t="s">
        <v>218</v>
      </c>
      <c r="B1169" s="2">
        <v>45992</v>
      </c>
      <c r="C1169" t="s">
        <v>911</v>
      </c>
      <c r="D1169">
        <v>0</v>
      </c>
      <c r="E1169" t="s">
        <v>33</v>
      </c>
      <c r="F1169" t="s">
        <v>33</v>
      </c>
      <c r="G1169" s="10" t="s">
        <v>338</v>
      </c>
      <c r="H1169" t="s">
        <v>36</v>
      </c>
    </row>
    <row r="1170" spans="1:8" x14ac:dyDescent="0.3">
      <c r="A1170" t="s">
        <v>218</v>
      </c>
      <c r="B1170" s="2">
        <v>46023</v>
      </c>
      <c r="C1170" t="s">
        <v>911</v>
      </c>
      <c r="D1170">
        <v>0</v>
      </c>
      <c r="E1170" t="s">
        <v>33</v>
      </c>
      <c r="F1170" t="s">
        <v>33</v>
      </c>
      <c r="G1170" s="10" t="s">
        <v>338</v>
      </c>
      <c r="H1170" t="s">
        <v>36</v>
      </c>
    </row>
    <row r="1171" spans="1:8" x14ac:dyDescent="0.3">
      <c r="A1171" t="s">
        <v>218</v>
      </c>
      <c r="B1171" s="2">
        <v>46054</v>
      </c>
      <c r="C1171" t="s">
        <v>895</v>
      </c>
      <c r="D1171">
        <v>0</v>
      </c>
      <c r="E1171" t="s">
        <v>33</v>
      </c>
      <c r="F1171" t="s">
        <v>33</v>
      </c>
      <c r="G1171" s="10" t="s">
        <v>338</v>
      </c>
      <c r="H1171" t="s">
        <v>36</v>
      </c>
    </row>
    <row r="1172" spans="1:8" x14ac:dyDescent="0.3">
      <c r="A1172" t="s">
        <v>218</v>
      </c>
      <c r="B1172" s="2">
        <v>46082</v>
      </c>
      <c r="C1172" t="s">
        <v>911</v>
      </c>
      <c r="D1172">
        <v>0</v>
      </c>
      <c r="E1172" t="s">
        <v>33</v>
      </c>
      <c r="F1172" t="s">
        <v>33</v>
      </c>
      <c r="G1172" s="10" t="s">
        <v>606</v>
      </c>
      <c r="H1172" t="s">
        <v>36</v>
      </c>
    </row>
    <row r="1173" spans="1:8" x14ac:dyDescent="0.3">
      <c r="A1173" t="s">
        <v>218</v>
      </c>
      <c r="B1173" s="2">
        <v>46113</v>
      </c>
      <c r="C1173" t="s">
        <v>919</v>
      </c>
      <c r="D1173">
        <v>0</v>
      </c>
      <c r="E1173" t="s">
        <v>33</v>
      </c>
      <c r="F1173" t="s">
        <v>33</v>
      </c>
      <c r="G1173" s="10" t="s">
        <v>606</v>
      </c>
      <c r="H1173" t="s">
        <v>36</v>
      </c>
    </row>
    <row r="1174" spans="1:8" x14ac:dyDescent="0.3">
      <c r="A1174" t="s">
        <v>218</v>
      </c>
      <c r="B1174" s="2">
        <v>46143</v>
      </c>
      <c r="C1174" t="s">
        <v>911</v>
      </c>
      <c r="D1174">
        <v>0</v>
      </c>
      <c r="E1174" t="s">
        <v>33</v>
      </c>
      <c r="F1174" t="s">
        <v>33</v>
      </c>
      <c r="G1174" s="10" t="s">
        <v>338</v>
      </c>
      <c r="H1174" t="s">
        <v>36</v>
      </c>
    </row>
    <row r="1175" spans="1:8" x14ac:dyDescent="0.3">
      <c r="A1175" t="s">
        <v>244</v>
      </c>
      <c r="B1175" s="2">
        <v>46174</v>
      </c>
      <c r="C1175" s="10"/>
    </row>
    <row r="1176" spans="1:8" x14ac:dyDescent="0.3">
      <c r="A1176" t="s">
        <v>244</v>
      </c>
      <c r="B1176" s="2">
        <v>46204</v>
      </c>
      <c r="C1176" s="10">
        <v>31</v>
      </c>
      <c r="D1176">
        <v>0</v>
      </c>
      <c r="E1176" t="s">
        <v>33</v>
      </c>
      <c r="F1176" t="s">
        <v>33</v>
      </c>
      <c r="G1176" t="s">
        <v>932</v>
      </c>
      <c r="H1176" t="s">
        <v>36</v>
      </c>
    </row>
    <row r="1177" spans="1:8" x14ac:dyDescent="0.3">
      <c r="A1177" t="s">
        <v>218</v>
      </c>
      <c r="B1177" s="2">
        <v>46235</v>
      </c>
      <c r="C1177" s="10"/>
    </row>
    <row r="1178" spans="1:8" x14ac:dyDescent="0.3">
      <c r="A1178" t="s">
        <v>163</v>
      </c>
      <c r="B1178" s="2">
        <v>45536</v>
      </c>
      <c r="C1178" s="10"/>
    </row>
    <row r="1179" spans="1:8" x14ac:dyDescent="0.3">
      <c r="A1179" t="s">
        <v>163</v>
      </c>
      <c r="B1179" s="2">
        <v>45566</v>
      </c>
      <c r="C1179" s="10"/>
    </row>
    <row r="1180" spans="1:8" x14ac:dyDescent="0.3">
      <c r="A1180" t="s">
        <v>163</v>
      </c>
      <c r="B1180" s="2">
        <v>45597</v>
      </c>
      <c r="C1180" s="10"/>
    </row>
    <row r="1181" spans="1:8" x14ac:dyDescent="0.3">
      <c r="A1181" t="s">
        <v>163</v>
      </c>
      <c r="B1181" s="2">
        <v>45627</v>
      </c>
      <c r="C1181" s="10"/>
    </row>
    <row r="1182" spans="1:8" x14ac:dyDescent="0.3">
      <c r="A1182" t="s">
        <v>163</v>
      </c>
      <c r="B1182" s="2">
        <v>45658</v>
      </c>
      <c r="C1182" s="10"/>
    </row>
    <row r="1183" spans="1:8" x14ac:dyDescent="0.3">
      <c r="A1183" t="s">
        <v>163</v>
      </c>
      <c r="B1183" s="2">
        <v>45689</v>
      </c>
      <c r="C1183" s="10" t="s">
        <v>610</v>
      </c>
    </row>
    <row r="1184" spans="1:8" ht="28.95" customHeight="1" x14ac:dyDescent="0.3">
      <c r="A1184" t="s">
        <v>163</v>
      </c>
      <c r="B1184" s="2">
        <v>45717</v>
      </c>
      <c r="C1184" s="10" t="s">
        <v>611</v>
      </c>
    </row>
    <row r="1185" spans="1:8" ht="28.95" customHeight="1" x14ac:dyDescent="0.3">
      <c r="A1185" t="s">
        <v>163</v>
      </c>
      <c r="B1185" s="2">
        <v>45748</v>
      </c>
      <c r="C1185" s="10" t="s">
        <v>612</v>
      </c>
    </row>
    <row r="1186" spans="1:8" ht="72" customHeight="1" x14ac:dyDescent="0.3">
      <c r="A1186" t="s">
        <v>163</v>
      </c>
      <c r="B1186" s="2">
        <v>45778</v>
      </c>
      <c r="C1186" s="10" t="s">
        <v>613</v>
      </c>
    </row>
    <row r="1187" spans="1:8" ht="72" customHeight="1" x14ac:dyDescent="0.3">
      <c r="A1187" t="s">
        <v>163</v>
      </c>
      <c r="B1187" s="2">
        <v>45809</v>
      </c>
      <c r="C1187" s="10" t="s">
        <v>614</v>
      </c>
    </row>
    <row r="1188" spans="1:8" ht="72" customHeight="1" x14ac:dyDescent="0.3">
      <c r="A1188" t="s">
        <v>163</v>
      </c>
      <c r="B1188" s="2">
        <v>45839</v>
      </c>
      <c r="C1188" s="10" t="s">
        <v>615</v>
      </c>
    </row>
    <row r="1189" spans="1:8" ht="72" customHeight="1" x14ac:dyDescent="0.3">
      <c r="A1189" t="s">
        <v>163</v>
      </c>
      <c r="B1189" s="2">
        <v>45870</v>
      </c>
      <c r="C1189" s="10" t="s">
        <v>616</v>
      </c>
    </row>
    <row r="1190" spans="1:8" ht="72" customHeight="1" x14ac:dyDescent="0.3">
      <c r="A1190" t="s">
        <v>163</v>
      </c>
      <c r="B1190" s="2">
        <v>45901</v>
      </c>
      <c r="C1190" s="10" t="s">
        <v>617</v>
      </c>
    </row>
    <row r="1191" spans="1:8" ht="57.6" customHeight="1" x14ac:dyDescent="0.3">
      <c r="A1191" t="s">
        <v>163</v>
      </c>
      <c r="B1191" s="2">
        <v>45931</v>
      </c>
      <c r="C1191" s="10" t="s">
        <v>618</v>
      </c>
    </row>
    <row r="1192" spans="1:8" x14ac:dyDescent="0.3">
      <c r="A1192" t="s">
        <v>163</v>
      </c>
      <c r="B1192" s="2">
        <v>45962</v>
      </c>
      <c r="C1192" s="10" t="s">
        <v>619</v>
      </c>
    </row>
    <row r="1193" spans="1:8" x14ac:dyDescent="0.3">
      <c r="A1193" t="s">
        <v>163</v>
      </c>
      <c r="B1193" s="2">
        <v>45992</v>
      </c>
      <c r="C1193" s="10" t="s">
        <v>619</v>
      </c>
    </row>
    <row r="1194" spans="1:8" x14ac:dyDescent="0.3">
      <c r="A1194" t="s">
        <v>163</v>
      </c>
      <c r="B1194" s="2">
        <v>46023</v>
      </c>
      <c r="C1194" s="10" t="s">
        <v>619</v>
      </c>
    </row>
    <row r="1195" spans="1:8" x14ac:dyDescent="0.3">
      <c r="A1195" t="s">
        <v>163</v>
      </c>
      <c r="B1195" s="2">
        <v>46054</v>
      </c>
      <c r="C1195" s="10" t="s">
        <v>619</v>
      </c>
    </row>
    <row r="1196" spans="1:8" x14ac:dyDescent="0.3">
      <c r="A1196" t="s">
        <v>163</v>
      </c>
      <c r="B1196" s="2">
        <v>46082</v>
      </c>
      <c r="C1196" s="10" t="s">
        <v>619</v>
      </c>
    </row>
    <row r="1197" spans="1:8" x14ac:dyDescent="0.3">
      <c r="A1197" t="s">
        <v>163</v>
      </c>
      <c r="B1197" s="2">
        <v>46113</v>
      </c>
      <c r="C1197" s="10" t="s">
        <v>619</v>
      </c>
    </row>
    <row r="1198" spans="1:8" x14ac:dyDescent="0.3">
      <c r="A1198" t="s">
        <v>163</v>
      </c>
      <c r="B1198" s="2">
        <v>46143</v>
      </c>
      <c r="C1198" s="10" t="s">
        <v>859</v>
      </c>
    </row>
    <row r="1199" spans="1:8" x14ac:dyDescent="0.3">
      <c r="A1199" t="s">
        <v>163</v>
      </c>
      <c r="B1199" s="2">
        <v>46174</v>
      </c>
      <c r="C1199" s="10"/>
    </row>
    <row r="1200" spans="1:8" x14ac:dyDescent="0.3">
      <c r="A1200" t="s">
        <v>163</v>
      </c>
      <c r="B1200" s="2">
        <v>46204</v>
      </c>
      <c r="C1200" s="10" t="s">
        <v>36</v>
      </c>
      <c r="D1200" t="s">
        <v>36</v>
      </c>
      <c r="E1200" t="s">
        <v>1040</v>
      </c>
      <c r="F1200" t="s">
        <v>36</v>
      </c>
      <c r="G1200" t="s">
        <v>36</v>
      </c>
      <c r="H1200" t="s">
        <v>36</v>
      </c>
    </row>
    <row r="1201" spans="1:3" x14ac:dyDescent="0.3">
      <c r="A1201" t="s">
        <v>163</v>
      </c>
      <c r="B1201" s="2">
        <v>46235</v>
      </c>
      <c r="C1201" s="10"/>
    </row>
    <row r="1202" spans="1:3" ht="28.8" x14ac:dyDescent="0.3">
      <c r="A1202" t="s">
        <v>166</v>
      </c>
      <c r="B1202" s="2">
        <v>45536</v>
      </c>
      <c r="C1202" s="10" t="s">
        <v>620</v>
      </c>
    </row>
    <row r="1203" spans="1:3" x14ac:dyDescent="0.3">
      <c r="A1203" t="s">
        <v>166</v>
      </c>
      <c r="B1203" s="2">
        <v>45566</v>
      </c>
      <c r="C1203" s="10"/>
    </row>
    <row r="1204" spans="1:3" x14ac:dyDescent="0.3">
      <c r="A1204" t="s">
        <v>166</v>
      </c>
      <c r="B1204" s="2">
        <v>45597</v>
      </c>
      <c r="C1204" s="10"/>
    </row>
    <row r="1205" spans="1:3" x14ac:dyDescent="0.3">
      <c r="A1205" t="s">
        <v>166</v>
      </c>
      <c r="B1205" s="2">
        <v>45627</v>
      </c>
      <c r="C1205" s="10"/>
    </row>
    <row r="1206" spans="1:3" x14ac:dyDescent="0.3">
      <c r="A1206" t="s">
        <v>166</v>
      </c>
      <c r="B1206" s="2">
        <v>45658</v>
      </c>
      <c r="C1206" s="10"/>
    </row>
    <row r="1207" spans="1:3" ht="28.8" x14ac:dyDescent="0.3">
      <c r="A1207" t="s">
        <v>166</v>
      </c>
      <c r="B1207" s="2">
        <v>45689</v>
      </c>
      <c r="C1207" s="10" t="s">
        <v>621</v>
      </c>
    </row>
    <row r="1208" spans="1:3" ht="28.95" customHeight="1" x14ac:dyDescent="0.3">
      <c r="A1208" t="s">
        <v>166</v>
      </c>
      <c r="B1208" s="2">
        <v>45717</v>
      </c>
      <c r="C1208" s="10" t="s">
        <v>622</v>
      </c>
    </row>
    <row r="1209" spans="1:3" ht="72" customHeight="1" x14ac:dyDescent="0.3">
      <c r="A1209" t="s">
        <v>166</v>
      </c>
      <c r="B1209" s="2">
        <v>45748</v>
      </c>
      <c r="C1209" s="10" t="s">
        <v>623</v>
      </c>
    </row>
    <row r="1210" spans="1:3" ht="72" customHeight="1" x14ac:dyDescent="0.3">
      <c r="A1210" t="s">
        <v>166</v>
      </c>
      <c r="B1210" s="2">
        <v>45778</v>
      </c>
      <c r="C1210" s="10" t="s">
        <v>624</v>
      </c>
    </row>
    <row r="1211" spans="1:3" ht="72" customHeight="1" x14ac:dyDescent="0.3">
      <c r="A1211" t="s">
        <v>166</v>
      </c>
      <c r="B1211" s="2">
        <v>45809</v>
      </c>
      <c r="C1211" s="10" t="s">
        <v>625</v>
      </c>
    </row>
    <row r="1212" spans="1:3" ht="72" customHeight="1" x14ac:dyDescent="0.3">
      <c r="A1212" t="s">
        <v>166</v>
      </c>
      <c r="B1212" s="2">
        <v>45839</v>
      </c>
      <c r="C1212" s="10" t="s">
        <v>626</v>
      </c>
    </row>
    <row r="1213" spans="1:3" ht="57.6" customHeight="1" x14ac:dyDescent="0.3">
      <c r="A1213" t="s">
        <v>166</v>
      </c>
      <c r="B1213" s="2">
        <v>45870</v>
      </c>
      <c r="C1213" s="10" t="s">
        <v>627</v>
      </c>
    </row>
    <row r="1214" spans="1:3" ht="57.6" customHeight="1" x14ac:dyDescent="0.3">
      <c r="A1214" t="s">
        <v>166</v>
      </c>
      <c r="B1214" s="2">
        <v>45901</v>
      </c>
      <c r="C1214" s="10" t="s">
        <v>628</v>
      </c>
    </row>
    <row r="1215" spans="1:3" ht="57.6" customHeight="1" x14ac:dyDescent="0.3">
      <c r="A1215" t="s">
        <v>166</v>
      </c>
      <c r="B1215" s="2">
        <v>45931</v>
      </c>
      <c r="C1215" s="10" t="s">
        <v>629</v>
      </c>
    </row>
    <row r="1216" spans="1:3" ht="57.6" customHeight="1" x14ac:dyDescent="0.3">
      <c r="A1216" t="s">
        <v>166</v>
      </c>
      <c r="B1216" s="2">
        <v>45962</v>
      </c>
      <c r="C1216" s="10" t="s">
        <v>630</v>
      </c>
    </row>
    <row r="1217" spans="1:8" ht="28.8" x14ac:dyDescent="0.3">
      <c r="A1217" t="s">
        <v>166</v>
      </c>
      <c r="B1217" s="2">
        <v>45992</v>
      </c>
      <c r="C1217" s="10" t="s">
        <v>631</v>
      </c>
    </row>
    <row r="1218" spans="1:8" x14ac:dyDescent="0.3">
      <c r="A1218" t="s">
        <v>166</v>
      </c>
      <c r="B1218" s="2">
        <v>46023</v>
      </c>
      <c r="C1218" s="10" t="s">
        <v>632</v>
      </c>
    </row>
    <row r="1219" spans="1:8" ht="43.2" x14ac:dyDescent="0.3">
      <c r="A1219" t="s">
        <v>166</v>
      </c>
      <c r="B1219" s="2">
        <v>46054</v>
      </c>
      <c r="C1219" s="10" t="s">
        <v>314</v>
      </c>
    </row>
    <row r="1220" spans="1:8" x14ac:dyDescent="0.3">
      <c r="A1220" t="s">
        <v>166</v>
      </c>
      <c r="B1220" s="2">
        <v>46082</v>
      </c>
      <c r="C1220" s="10" t="s">
        <v>632</v>
      </c>
    </row>
    <row r="1221" spans="1:8" x14ac:dyDescent="0.3">
      <c r="A1221" t="s">
        <v>166</v>
      </c>
      <c r="B1221" s="2">
        <v>46113</v>
      </c>
      <c r="C1221" s="10" t="s">
        <v>632</v>
      </c>
    </row>
    <row r="1222" spans="1:8" x14ac:dyDescent="0.3">
      <c r="A1222" t="s">
        <v>166</v>
      </c>
      <c r="B1222" s="2">
        <v>46143</v>
      </c>
      <c r="C1222" s="10" t="s">
        <v>852</v>
      </c>
    </row>
    <row r="1223" spans="1:8" x14ac:dyDescent="0.3">
      <c r="A1223" t="s">
        <v>166</v>
      </c>
      <c r="B1223" s="2">
        <v>46174</v>
      </c>
      <c r="C1223" s="10"/>
    </row>
    <row r="1224" spans="1:8" x14ac:dyDescent="0.3">
      <c r="A1224" t="s">
        <v>166</v>
      </c>
      <c r="B1224" s="2">
        <v>46204</v>
      </c>
      <c r="C1224" s="10">
        <v>31</v>
      </c>
      <c r="D1224">
        <v>0</v>
      </c>
      <c r="E1224" t="s">
        <v>33</v>
      </c>
      <c r="F1224" t="s">
        <v>1042</v>
      </c>
      <c r="G1224" t="s">
        <v>932</v>
      </c>
      <c r="H1224" t="s">
        <v>36</v>
      </c>
    </row>
    <row r="1225" spans="1:8" x14ac:dyDescent="0.3">
      <c r="A1225" t="s">
        <v>166</v>
      </c>
      <c r="B1225" s="2">
        <v>46235</v>
      </c>
      <c r="C1225" s="10"/>
    </row>
    <row r="1226" spans="1:8" x14ac:dyDescent="0.3">
      <c r="A1226" t="s">
        <v>169</v>
      </c>
      <c r="B1226" s="2">
        <v>45536</v>
      </c>
      <c r="C1226" s="10" t="s">
        <v>633</v>
      </c>
    </row>
    <row r="1227" spans="1:8" x14ac:dyDescent="0.3">
      <c r="A1227" t="s">
        <v>169</v>
      </c>
      <c r="B1227" s="2">
        <v>45566</v>
      </c>
      <c r="C1227" s="10"/>
    </row>
    <row r="1228" spans="1:8" x14ac:dyDescent="0.3">
      <c r="A1228" t="s">
        <v>169</v>
      </c>
      <c r="B1228" s="2">
        <v>45597</v>
      </c>
      <c r="C1228" s="10"/>
    </row>
    <row r="1229" spans="1:8" x14ac:dyDescent="0.3">
      <c r="A1229" t="s">
        <v>169</v>
      </c>
      <c r="B1229" s="2">
        <v>45627</v>
      </c>
      <c r="C1229" s="10"/>
    </row>
    <row r="1230" spans="1:8" x14ac:dyDescent="0.3">
      <c r="A1230" t="s">
        <v>169</v>
      </c>
      <c r="B1230" s="2">
        <v>45658</v>
      </c>
      <c r="C1230" s="10"/>
    </row>
    <row r="1231" spans="1:8" x14ac:dyDescent="0.3">
      <c r="A1231" t="s">
        <v>169</v>
      </c>
      <c r="B1231" s="2">
        <v>45689</v>
      </c>
      <c r="C1231" s="10" t="s">
        <v>634</v>
      </c>
    </row>
    <row r="1232" spans="1:8" x14ac:dyDescent="0.3">
      <c r="A1232" t="s">
        <v>169</v>
      </c>
      <c r="B1232" s="2">
        <v>45717</v>
      </c>
      <c r="C1232" s="10" t="s">
        <v>634</v>
      </c>
    </row>
    <row r="1233" spans="1:8" x14ac:dyDescent="0.3">
      <c r="A1233" t="s">
        <v>169</v>
      </c>
      <c r="B1233" s="2">
        <v>45748</v>
      </c>
      <c r="C1233" s="10" t="s">
        <v>634</v>
      </c>
    </row>
    <row r="1234" spans="1:8" ht="57.6" customHeight="1" x14ac:dyDescent="0.3">
      <c r="A1234" t="s">
        <v>169</v>
      </c>
      <c r="B1234" s="2">
        <v>45778</v>
      </c>
      <c r="C1234" s="10" t="s">
        <v>635</v>
      </c>
    </row>
    <row r="1235" spans="1:8" ht="57.6" customHeight="1" x14ac:dyDescent="0.3">
      <c r="A1235" t="s">
        <v>169</v>
      </c>
      <c r="B1235" s="2">
        <v>45809</v>
      </c>
      <c r="C1235" s="10" t="s">
        <v>636</v>
      </c>
    </row>
    <row r="1236" spans="1:8" ht="57.6" customHeight="1" x14ac:dyDescent="0.3">
      <c r="A1236" t="s">
        <v>169</v>
      </c>
      <c r="B1236" s="2">
        <v>45839</v>
      </c>
      <c r="C1236" s="10" t="s">
        <v>637</v>
      </c>
    </row>
    <row r="1237" spans="1:8" ht="57.6" customHeight="1" x14ac:dyDescent="0.3">
      <c r="A1237" t="s">
        <v>169</v>
      </c>
      <c r="B1237" s="2">
        <v>45870</v>
      </c>
      <c r="C1237" s="10" t="s">
        <v>638</v>
      </c>
    </row>
    <row r="1238" spans="1:8" ht="57.6" customHeight="1" x14ac:dyDescent="0.3">
      <c r="A1238" t="s">
        <v>169</v>
      </c>
      <c r="B1238" s="2">
        <v>45901</v>
      </c>
      <c r="C1238" s="10" t="s">
        <v>639</v>
      </c>
    </row>
    <row r="1239" spans="1:8" ht="57.6" customHeight="1" x14ac:dyDescent="0.3">
      <c r="A1239" t="s">
        <v>169</v>
      </c>
      <c r="B1239" s="2">
        <v>45931</v>
      </c>
      <c r="C1239" s="10" t="s">
        <v>640</v>
      </c>
    </row>
    <row r="1240" spans="1:8" ht="57.6" customHeight="1" x14ac:dyDescent="0.3">
      <c r="A1240" t="s">
        <v>169</v>
      </c>
      <c r="B1240" s="2">
        <v>45962</v>
      </c>
      <c r="C1240" s="10" t="s">
        <v>641</v>
      </c>
    </row>
    <row r="1241" spans="1:8" ht="28.8" x14ac:dyDescent="0.3">
      <c r="A1241" t="s">
        <v>169</v>
      </c>
      <c r="B1241" s="2">
        <v>45992</v>
      </c>
      <c r="C1241" s="10" t="s">
        <v>642</v>
      </c>
    </row>
    <row r="1242" spans="1:8" ht="28.8" x14ac:dyDescent="0.3">
      <c r="A1242" t="s">
        <v>169</v>
      </c>
      <c r="B1242" s="2">
        <v>46023</v>
      </c>
      <c r="C1242" s="10" t="s">
        <v>642</v>
      </c>
    </row>
    <row r="1243" spans="1:8" ht="28.8" x14ac:dyDescent="0.3">
      <c r="A1243" t="s">
        <v>169</v>
      </c>
      <c r="B1243" s="2">
        <v>46054</v>
      </c>
      <c r="C1243" s="10" t="s">
        <v>642</v>
      </c>
    </row>
    <row r="1244" spans="1:8" x14ac:dyDescent="0.3">
      <c r="A1244" t="s">
        <v>169</v>
      </c>
      <c r="B1244" s="2">
        <v>46082</v>
      </c>
      <c r="C1244" s="10" t="s">
        <v>632</v>
      </c>
    </row>
    <row r="1245" spans="1:8" x14ac:dyDescent="0.3">
      <c r="A1245" t="s">
        <v>169</v>
      </c>
      <c r="B1245" s="2">
        <v>46113</v>
      </c>
      <c r="C1245" s="10" t="s">
        <v>632</v>
      </c>
    </row>
    <row r="1246" spans="1:8" x14ac:dyDescent="0.3">
      <c r="A1246" t="s">
        <v>169</v>
      </c>
      <c r="B1246" s="2">
        <v>46143</v>
      </c>
      <c r="C1246" s="10" t="s">
        <v>852</v>
      </c>
    </row>
    <row r="1247" spans="1:8" x14ac:dyDescent="0.3">
      <c r="A1247" t="s">
        <v>169</v>
      </c>
      <c r="B1247" s="2">
        <v>46174</v>
      </c>
      <c r="C1247" s="10"/>
    </row>
    <row r="1248" spans="1:8" x14ac:dyDescent="0.3">
      <c r="A1248" t="s">
        <v>169</v>
      </c>
      <c r="B1248" s="2">
        <v>46204</v>
      </c>
      <c r="C1248" s="10">
        <v>31</v>
      </c>
      <c r="D1248">
        <v>0</v>
      </c>
      <c r="E1248" t="s">
        <v>33</v>
      </c>
      <c r="F1248" t="s">
        <v>1042</v>
      </c>
      <c r="G1248" t="s">
        <v>932</v>
      </c>
      <c r="H1248" t="s">
        <v>36</v>
      </c>
    </row>
    <row r="1249" spans="1:3" x14ac:dyDescent="0.3">
      <c r="A1249" t="s">
        <v>169</v>
      </c>
      <c r="B1249" s="2">
        <v>46235</v>
      </c>
      <c r="C1249" s="10"/>
    </row>
    <row r="1250" spans="1:3" x14ac:dyDescent="0.3">
      <c r="A1250" t="s">
        <v>171</v>
      </c>
      <c r="B1250" s="2">
        <v>45536</v>
      </c>
      <c r="C1250" s="10"/>
    </row>
    <row r="1251" spans="1:3" ht="28.8" x14ac:dyDescent="0.3">
      <c r="A1251" t="s">
        <v>171</v>
      </c>
      <c r="B1251" s="2">
        <v>45566</v>
      </c>
      <c r="C1251" s="10" t="s">
        <v>643</v>
      </c>
    </row>
    <row r="1252" spans="1:3" x14ac:dyDescent="0.3">
      <c r="A1252" t="s">
        <v>171</v>
      </c>
      <c r="B1252" s="2">
        <v>45597</v>
      </c>
      <c r="C1252" s="10"/>
    </row>
    <row r="1253" spans="1:3" x14ac:dyDescent="0.3">
      <c r="A1253" t="s">
        <v>171</v>
      </c>
      <c r="B1253" s="2">
        <v>45627</v>
      </c>
      <c r="C1253" s="10"/>
    </row>
    <row r="1254" spans="1:3" x14ac:dyDescent="0.3">
      <c r="A1254" t="s">
        <v>171</v>
      </c>
      <c r="B1254" s="2">
        <v>45658</v>
      </c>
      <c r="C1254" s="10"/>
    </row>
    <row r="1255" spans="1:3" x14ac:dyDescent="0.3">
      <c r="A1255" t="s">
        <v>171</v>
      </c>
      <c r="B1255" s="2">
        <v>45689</v>
      </c>
      <c r="C1255" s="10" t="s">
        <v>644</v>
      </c>
    </row>
    <row r="1256" spans="1:3" x14ac:dyDescent="0.3">
      <c r="A1256" t="s">
        <v>171</v>
      </c>
      <c r="B1256" s="2">
        <v>45717</v>
      </c>
      <c r="C1256" s="10" t="s">
        <v>644</v>
      </c>
    </row>
    <row r="1257" spans="1:3" ht="57.6" customHeight="1" x14ac:dyDescent="0.3">
      <c r="A1257" t="s">
        <v>171</v>
      </c>
      <c r="B1257" s="2">
        <v>45748</v>
      </c>
      <c r="C1257" s="10" t="s">
        <v>645</v>
      </c>
    </row>
    <row r="1258" spans="1:3" ht="57.6" customHeight="1" x14ac:dyDescent="0.3">
      <c r="A1258" t="s">
        <v>171</v>
      </c>
      <c r="B1258" s="2">
        <v>45778</v>
      </c>
      <c r="C1258" s="10" t="s">
        <v>646</v>
      </c>
    </row>
    <row r="1259" spans="1:3" ht="57.6" customHeight="1" x14ac:dyDescent="0.3">
      <c r="A1259" t="s">
        <v>171</v>
      </c>
      <c r="B1259" s="2">
        <v>45809</v>
      </c>
      <c r="C1259" s="10" t="s">
        <v>647</v>
      </c>
    </row>
    <row r="1260" spans="1:3" ht="57.6" customHeight="1" x14ac:dyDescent="0.3">
      <c r="A1260" t="s">
        <v>171</v>
      </c>
      <c r="B1260" s="2">
        <v>45839</v>
      </c>
      <c r="C1260" s="10" t="s">
        <v>648</v>
      </c>
    </row>
    <row r="1261" spans="1:3" ht="57.6" customHeight="1" x14ac:dyDescent="0.3">
      <c r="A1261" t="s">
        <v>171</v>
      </c>
      <c r="B1261" s="2">
        <v>45870</v>
      </c>
      <c r="C1261" s="10" t="s">
        <v>649</v>
      </c>
    </row>
    <row r="1262" spans="1:3" ht="57.6" customHeight="1" x14ac:dyDescent="0.3">
      <c r="A1262" t="s">
        <v>171</v>
      </c>
      <c r="B1262" s="2">
        <v>45901</v>
      </c>
      <c r="C1262" s="10" t="s">
        <v>650</v>
      </c>
    </row>
    <row r="1263" spans="1:3" ht="57.6" customHeight="1" x14ac:dyDescent="0.3">
      <c r="A1263" t="s">
        <v>171</v>
      </c>
      <c r="B1263" s="2">
        <v>45931</v>
      </c>
      <c r="C1263" s="10" t="s">
        <v>651</v>
      </c>
    </row>
    <row r="1264" spans="1:3" ht="57.6" customHeight="1" x14ac:dyDescent="0.3">
      <c r="A1264" t="s">
        <v>171</v>
      </c>
      <c r="B1264" s="2">
        <v>45962</v>
      </c>
      <c r="C1264" s="10" t="s">
        <v>652</v>
      </c>
    </row>
    <row r="1265" spans="1:8" x14ac:dyDescent="0.3">
      <c r="A1265" t="s">
        <v>171</v>
      </c>
      <c r="B1265" s="2">
        <v>45992</v>
      </c>
      <c r="C1265" s="10" t="s">
        <v>598</v>
      </c>
    </row>
    <row r="1266" spans="1:8" x14ac:dyDescent="0.3">
      <c r="A1266" t="s">
        <v>171</v>
      </c>
      <c r="B1266" s="2">
        <v>46023</v>
      </c>
      <c r="C1266" s="10" t="s">
        <v>338</v>
      </c>
    </row>
    <row r="1267" spans="1:8" x14ac:dyDescent="0.3">
      <c r="A1267" t="s">
        <v>171</v>
      </c>
      <c r="B1267" s="2">
        <v>46054</v>
      </c>
      <c r="C1267" s="10" t="s">
        <v>326</v>
      </c>
    </row>
    <row r="1268" spans="1:8" x14ac:dyDescent="0.3">
      <c r="A1268" t="s">
        <v>171</v>
      </c>
      <c r="B1268" s="2">
        <v>46082</v>
      </c>
      <c r="C1268" s="10" t="s">
        <v>326</v>
      </c>
    </row>
    <row r="1269" spans="1:8" x14ac:dyDescent="0.3">
      <c r="A1269" t="s">
        <v>171</v>
      </c>
      <c r="B1269" s="2">
        <v>46113</v>
      </c>
      <c r="C1269" s="10" t="s">
        <v>302</v>
      </c>
    </row>
    <row r="1270" spans="1:8" x14ac:dyDescent="0.3">
      <c r="A1270" t="s">
        <v>171</v>
      </c>
      <c r="B1270" s="2">
        <v>46143</v>
      </c>
      <c r="C1270" s="10" t="s">
        <v>302</v>
      </c>
    </row>
    <row r="1271" spans="1:8" x14ac:dyDescent="0.3">
      <c r="A1271" t="s">
        <v>171</v>
      </c>
      <c r="B1271" s="2">
        <v>46174</v>
      </c>
      <c r="C1271" s="10"/>
    </row>
    <row r="1272" spans="1:8" x14ac:dyDescent="0.3">
      <c r="A1272" t="s">
        <v>171</v>
      </c>
      <c r="B1272" s="2">
        <v>46204</v>
      </c>
      <c r="C1272" s="10">
        <v>31</v>
      </c>
      <c r="D1272">
        <v>0</v>
      </c>
      <c r="E1272" t="s">
        <v>33</v>
      </c>
      <c r="F1272" t="s">
        <v>33</v>
      </c>
      <c r="G1272" t="s">
        <v>1014</v>
      </c>
      <c r="H1272" t="s">
        <v>36</v>
      </c>
    </row>
    <row r="1273" spans="1:8" x14ac:dyDescent="0.3">
      <c r="A1273" t="s">
        <v>171</v>
      </c>
      <c r="B1273" s="2">
        <v>46235</v>
      </c>
      <c r="C1273" s="10"/>
    </row>
    <row r="1274" spans="1:8" x14ac:dyDescent="0.3">
      <c r="A1274" t="s">
        <v>172</v>
      </c>
      <c r="B1274" s="2">
        <v>45536</v>
      </c>
      <c r="C1274" s="10"/>
    </row>
    <row r="1275" spans="1:8" x14ac:dyDescent="0.3">
      <c r="A1275" t="s">
        <v>172</v>
      </c>
      <c r="B1275" s="2">
        <v>45566</v>
      </c>
      <c r="C1275" s="10"/>
    </row>
    <row r="1276" spans="1:8" x14ac:dyDescent="0.3">
      <c r="A1276" t="s">
        <v>172</v>
      </c>
      <c r="B1276" s="2">
        <v>45597</v>
      </c>
      <c r="C1276" s="10"/>
    </row>
    <row r="1277" spans="1:8" x14ac:dyDescent="0.3">
      <c r="A1277" t="s">
        <v>172</v>
      </c>
      <c r="B1277" s="2">
        <v>45627</v>
      </c>
      <c r="C1277" s="10"/>
    </row>
    <row r="1278" spans="1:8" x14ac:dyDescent="0.3">
      <c r="A1278" t="s">
        <v>172</v>
      </c>
      <c r="B1278" s="2">
        <v>45658</v>
      </c>
      <c r="C1278" s="10"/>
    </row>
    <row r="1279" spans="1:8" x14ac:dyDescent="0.3">
      <c r="A1279" t="s">
        <v>172</v>
      </c>
      <c r="B1279" s="2">
        <v>45689</v>
      </c>
      <c r="C1279" s="10" t="s">
        <v>653</v>
      </c>
    </row>
    <row r="1280" spans="1:8" ht="28.95" customHeight="1" x14ac:dyDescent="0.3">
      <c r="A1280" t="s">
        <v>172</v>
      </c>
      <c r="B1280" s="2">
        <v>45717</v>
      </c>
      <c r="C1280" s="10" t="s">
        <v>654</v>
      </c>
    </row>
    <row r="1281" spans="1:8" ht="28.95" customHeight="1" x14ac:dyDescent="0.3">
      <c r="A1281" t="s">
        <v>172</v>
      </c>
      <c r="B1281" s="2">
        <v>45748</v>
      </c>
      <c r="C1281" s="10" t="s">
        <v>654</v>
      </c>
    </row>
    <row r="1282" spans="1:8" ht="57.6" customHeight="1" x14ac:dyDescent="0.3">
      <c r="A1282" t="s">
        <v>172</v>
      </c>
      <c r="B1282" s="2">
        <v>45778</v>
      </c>
      <c r="C1282" s="10" t="s">
        <v>655</v>
      </c>
    </row>
    <row r="1283" spans="1:8" ht="57.6" customHeight="1" x14ac:dyDescent="0.3">
      <c r="A1283" t="s">
        <v>172</v>
      </c>
      <c r="B1283" s="2">
        <v>45809</v>
      </c>
      <c r="C1283" s="10" t="s">
        <v>656</v>
      </c>
    </row>
    <row r="1284" spans="1:8" ht="57.6" customHeight="1" x14ac:dyDescent="0.3">
      <c r="A1284" t="s">
        <v>172</v>
      </c>
      <c r="B1284" s="2">
        <v>45839</v>
      </c>
      <c r="C1284" s="10" t="s">
        <v>657</v>
      </c>
    </row>
    <row r="1285" spans="1:8" ht="57.6" customHeight="1" x14ac:dyDescent="0.3">
      <c r="A1285" t="s">
        <v>172</v>
      </c>
      <c r="B1285" s="2">
        <v>45870</v>
      </c>
      <c r="C1285" s="10" t="s">
        <v>658</v>
      </c>
    </row>
    <row r="1286" spans="1:8" ht="57.6" customHeight="1" x14ac:dyDescent="0.3">
      <c r="A1286" t="s">
        <v>172</v>
      </c>
      <c r="B1286" s="2">
        <v>45901</v>
      </c>
      <c r="C1286" s="10" t="s">
        <v>659</v>
      </c>
    </row>
    <row r="1287" spans="1:8" ht="57.6" customHeight="1" x14ac:dyDescent="0.3">
      <c r="A1287" t="s">
        <v>172</v>
      </c>
      <c r="B1287" s="2">
        <v>45931</v>
      </c>
      <c r="C1287" s="10" t="s">
        <v>660</v>
      </c>
    </row>
    <row r="1288" spans="1:8" ht="57.6" customHeight="1" x14ac:dyDescent="0.3">
      <c r="A1288" t="s">
        <v>172</v>
      </c>
      <c r="B1288" s="2">
        <v>45962</v>
      </c>
      <c r="C1288" s="10" t="s">
        <v>661</v>
      </c>
    </row>
    <row r="1289" spans="1:8" x14ac:dyDescent="0.3">
      <c r="A1289" t="s">
        <v>172</v>
      </c>
      <c r="B1289" s="2">
        <v>45992</v>
      </c>
      <c r="C1289" s="10" t="s">
        <v>598</v>
      </c>
    </row>
    <row r="1290" spans="1:8" ht="28.8" x14ac:dyDescent="0.3">
      <c r="A1290" t="s">
        <v>172</v>
      </c>
      <c r="B1290" s="2">
        <v>46023</v>
      </c>
      <c r="C1290" s="10" t="s">
        <v>662</v>
      </c>
    </row>
    <row r="1291" spans="1:8" ht="28.8" x14ac:dyDescent="0.3">
      <c r="A1291" t="s">
        <v>172</v>
      </c>
      <c r="B1291" s="2">
        <v>46054</v>
      </c>
      <c r="C1291" s="10" t="s">
        <v>662</v>
      </c>
    </row>
    <row r="1292" spans="1:8" ht="43.2" x14ac:dyDescent="0.3">
      <c r="A1292" t="s">
        <v>172</v>
      </c>
      <c r="B1292" s="2">
        <v>46082</v>
      </c>
      <c r="C1292" s="10" t="s">
        <v>663</v>
      </c>
    </row>
    <row r="1293" spans="1:8" ht="28.8" x14ac:dyDescent="0.3">
      <c r="A1293" t="s">
        <v>172</v>
      </c>
      <c r="B1293" s="2">
        <v>46113</v>
      </c>
      <c r="C1293" s="10" t="s">
        <v>664</v>
      </c>
    </row>
    <row r="1294" spans="1:8" ht="28.8" x14ac:dyDescent="0.3">
      <c r="A1294" t="s">
        <v>172</v>
      </c>
      <c r="B1294" s="2">
        <v>46143</v>
      </c>
      <c r="C1294" s="10" t="s">
        <v>867</v>
      </c>
    </row>
    <row r="1295" spans="1:8" x14ac:dyDescent="0.3">
      <c r="A1295" t="s">
        <v>172</v>
      </c>
      <c r="B1295" s="2">
        <v>46174</v>
      </c>
      <c r="C1295" s="10"/>
    </row>
    <row r="1296" spans="1:8" x14ac:dyDescent="0.3">
      <c r="A1296" t="s">
        <v>172</v>
      </c>
      <c r="B1296" s="2">
        <v>46204</v>
      </c>
      <c r="C1296" s="10">
        <v>31</v>
      </c>
      <c r="D1296">
        <v>0</v>
      </c>
      <c r="E1296" t="s">
        <v>33</v>
      </c>
      <c r="F1296" t="s">
        <v>1042</v>
      </c>
      <c r="G1296" t="s">
        <v>932</v>
      </c>
      <c r="H1296" t="s">
        <v>36</v>
      </c>
    </row>
    <row r="1297" spans="1:3" x14ac:dyDescent="0.3">
      <c r="A1297" t="s">
        <v>172</v>
      </c>
      <c r="B1297" s="2">
        <v>46235</v>
      </c>
      <c r="C1297" s="10"/>
    </row>
    <row r="1298" spans="1:3" x14ac:dyDescent="0.3">
      <c r="A1298" t="s">
        <v>177</v>
      </c>
      <c r="B1298" s="2">
        <v>45536</v>
      </c>
      <c r="C1298" s="10"/>
    </row>
    <row r="1299" spans="1:3" x14ac:dyDescent="0.3">
      <c r="A1299" t="s">
        <v>177</v>
      </c>
      <c r="B1299" s="2">
        <v>45566</v>
      </c>
      <c r="C1299" s="10"/>
    </row>
    <row r="1300" spans="1:3" x14ac:dyDescent="0.3">
      <c r="A1300" t="s">
        <v>177</v>
      </c>
      <c r="B1300" s="2">
        <v>45597</v>
      </c>
      <c r="C1300" s="10"/>
    </row>
    <row r="1301" spans="1:3" x14ac:dyDescent="0.3">
      <c r="A1301" t="s">
        <v>177</v>
      </c>
      <c r="B1301" s="2">
        <v>45627</v>
      </c>
      <c r="C1301" s="10"/>
    </row>
    <row r="1302" spans="1:3" x14ac:dyDescent="0.3">
      <c r="A1302" t="s">
        <v>177</v>
      </c>
      <c r="B1302" s="2">
        <v>45658</v>
      </c>
      <c r="C1302" s="10"/>
    </row>
    <row r="1303" spans="1:3" x14ac:dyDescent="0.3">
      <c r="A1303" t="s">
        <v>177</v>
      </c>
      <c r="B1303" s="2">
        <v>45689</v>
      </c>
      <c r="C1303" s="10" t="s">
        <v>665</v>
      </c>
    </row>
    <row r="1304" spans="1:3" x14ac:dyDescent="0.3">
      <c r="A1304" t="s">
        <v>177</v>
      </c>
      <c r="B1304" s="2">
        <v>45717</v>
      </c>
      <c r="C1304" s="10" t="s">
        <v>665</v>
      </c>
    </row>
    <row r="1305" spans="1:3" x14ac:dyDescent="0.3">
      <c r="A1305" t="s">
        <v>177</v>
      </c>
      <c r="B1305" s="2">
        <v>45748</v>
      </c>
      <c r="C1305" s="10" t="s">
        <v>665</v>
      </c>
    </row>
    <row r="1306" spans="1:3" ht="57.6" customHeight="1" x14ac:dyDescent="0.3">
      <c r="A1306" t="s">
        <v>177</v>
      </c>
      <c r="B1306" s="2">
        <v>45778</v>
      </c>
      <c r="C1306" s="10" t="s">
        <v>666</v>
      </c>
    </row>
    <row r="1307" spans="1:3" ht="57.6" customHeight="1" x14ac:dyDescent="0.3">
      <c r="A1307" t="s">
        <v>177</v>
      </c>
      <c r="B1307" s="2">
        <v>45809</v>
      </c>
      <c r="C1307" s="10" t="s">
        <v>667</v>
      </c>
    </row>
    <row r="1308" spans="1:3" ht="57.6" customHeight="1" x14ac:dyDescent="0.3">
      <c r="A1308" t="s">
        <v>177</v>
      </c>
      <c r="B1308" s="2">
        <v>45839</v>
      </c>
      <c r="C1308" s="10" t="s">
        <v>668</v>
      </c>
    </row>
    <row r="1309" spans="1:3" ht="57.6" customHeight="1" x14ac:dyDescent="0.3">
      <c r="A1309" t="s">
        <v>177</v>
      </c>
      <c r="B1309" s="2">
        <v>45870</v>
      </c>
      <c r="C1309" s="10" t="s">
        <v>669</v>
      </c>
    </row>
    <row r="1310" spans="1:3" ht="57.6" customHeight="1" x14ac:dyDescent="0.3">
      <c r="A1310" t="s">
        <v>177</v>
      </c>
      <c r="B1310" s="2">
        <v>45901</v>
      </c>
      <c r="C1310" s="10" t="s">
        <v>670</v>
      </c>
    </row>
    <row r="1311" spans="1:3" ht="57.6" customHeight="1" x14ac:dyDescent="0.3">
      <c r="A1311" t="s">
        <v>177</v>
      </c>
      <c r="B1311" s="2">
        <v>45931</v>
      </c>
      <c r="C1311" s="10" t="s">
        <v>671</v>
      </c>
    </row>
    <row r="1312" spans="1:3" ht="57.6" customHeight="1" x14ac:dyDescent="0.3">
      <c r="A1312" t="s">
        <v>177</v>
      </c>
      <c r="B1312" s="2">
        <v>45962</v>
      </c>
      <c r="C1312" s="10" t="s">
        <v>672</v>
      </c>
    </row>
    <row r="1313" spans="1:8" ht="28.8" x14ac:dyDescent="0.3">
      <c r="A1313" t="s">
        <v>177</v>
      </c>
      <c r="B1313" s="2">
        <v>45992</v>
      </c>
      <c r="C1313" s="10" t="s">
        <v>673</v>
      </c>
    </row>
    <row r="1314" spans="1:8" x14ac:dyDescent="0.3">
      <c r="A1314" t="s">
        <v>177</v>
      </c>
      <c r="B1314" s="2">
        <v>46023</v>
      </c>
      <c r="C1314" s="10" t="s">
        <v>674</v>
      </c>
    </row>
    <row r="1315" spans="1:8" x14ac:dyDescent="0.3">
      <c r="A1315" t="s">
        <v>177</v>
      </c>
      <c r="B1315" s="2">
        <v>46054</v>
      </c>
      <c r="C1315" s="10" t="s">
        <v>326</v>
      </c>
    </row>
    <row r="1316" spans="1:8" x14ac:dyDescent="0.3">
      <c r="A1316" t="s">
        <v>177</v>
      </c>
      <c r="B1316" s="2">
        <v>46082</v>
      </c>
      <c r="C1316" s="10" t="s">
        <v>326</v>
      </c>
    </row>
    <row r="1317" spans="1:8" x14ac:dyDescent="0.3">
      <c r="A1317" t="s">
        <v>177</v>
      </c>
      <c r="B1317" s="2">
        <v>46113</v>
      </c>
      <c r="C1317" s="10" t="s">
        <v>302</v>
      </c>
    </row>
    <row r="1318" spans="1:8" x14ac:dyDescent="0.3">
      <c r="A1318" t="s">
        <v>177</v>
      </c>
      <c r="B1318" s="2">
        <v>46143</v>
      </c>
      <c r="C1318" s="10" t="s">
        <v>302</v>
      </c>
    </row>
    <row r="1319" spans="1:8" x14ac:dyDescent="0.3">
      <c r="A1319" t="s">
        <v>265</v>
      </c>
      <c r="B1319" s="2">
        <v>46204</v>
      </c>
      <c r="C1319" s="10">
        <v>0</v>
      </c>
      <c r="D1319">
        <v>31</v>
      </c>
      <c r="E1319" t="s">
        <v>1043</v>
      </c>
      <c r="F1319" t="s">
        <v>33</v>
      </c>
      <c r="G1319" t="s">
        <v>1044</v>
      </c>
      <c r="H1319" t="s">
        <v>1045</v>
      </c>
    </row>
    <row r="1320" spans="1:8" x14ac:dyDescent="0.3">
      <c r="A1320" t="s">
        <v>265</v>
      </c>
      <c r="B1320" s="2">
        <v>46174</v>
      </c>
      <c r="C1320" s="10"/>
    </row>
    <row r="1321" spans="1:8" x14ac:dyDescent="0.3">
      <c r="A1321" t="s">
        <v>177</v>
      </c>
      <c r="B1321" s="2">
        <v>46235</v>
      </c>
      <c r="C1321" s="10"/>
    </row>
    <row r="1322" spans="1:8" x14ac:dyDescent="0.3">
      <c r="A1322" t="s">
        <v>265</v>
      </c>
      <c r="B1322" s="2">
        <v>45536</v>
      </c>
      <c r="C1322" s="10"/>
    </row>
    <row r="1323" spans="1:8" x14ac:dyDescent="0.3">
      <c r="A1323" t="s">
        <v>265</v>
      </c>
      <c r="B1323" s="2">
        <v>45566</v>
      </c>
      <c r="C1323" s="10" t="s">
        <v>675</v>
      </c>
    </row>
    <row r="1324" spans="1:8" x14ac:dyDescent="0.3">
      <c r="A1324" t="s">
        <v>265</v>
      </c>
      <c r="B1324" s="2">
        <v>45597</v>
      </c>
      <c r="C1324" s="10"/>
    </row>
    <row r="1325" spans="1:8" x14ac:dyDescent="0.3">
      <c r="A1325" t="s">
        <v>265</v>
      </c>
      <c r="B1325" s="2">
        <v>45627</v>
      </c>
      <c r="C1325" s="10"/>
    </row>
    <row r="1326" spans="1:8" x14ac:dyDescent="0.3">
      <c r="A1326" t="s">
        <v>265</v>
      </c>
      <c r="B1326" s="2">
        <v>45658</v>
      </c>
      <c r="C1326" s="10"/>
    </row>
    <row r="1327" spans="1:8" x14ac:dyDescent="0.3">
      <c r="A1327" t="s">
        <v>265</v>
      </c>
      <c r="B1327" s="2">
        <v>45689</v>
      </c>
      <c r="C1327" s="10" t="s">
        <v>676</v>
      </c>
    </row>
    <row r="1328" spans="1:8" ht="28.95" customHeight="1" x14ac:dyDescent="0.3">
      <c r="A1328" t="s">
        <v>265</v>
      </c>
      <c r="B1328" s="2">
        <v>45717</v>
      </c>
      <c r="C1328" s="10" t="s">
        <v>677</v>
      </c>
    </row>
    <row r="1329" spans="1:8" ht="28.95" customHeight="1" x14ac:dyDescent="0.3">
      <c r="A1329" t="s">
        <v>265</v>
      </c>
      <c r="B1329" s="2">
        <v>45748</v>
      </c>
      <c r="C1329" s="10" t="s">
        <v>677</v>
      </c>
    </row>
    <row r="1330" spans="1:8" ht="72" customHeight="1" x14ac:dyDescent="0.3">
      <c r="A1330" t="s">
        <v>265</v>
      </c>
      <c r="B1330" s="2">
        <v>45778</v>
      </c>
      <c r="C1330" s="10" t="s">
        <v>678</v>
      </c>
    </row>
    <row r="1331" spans="1:8" ht="57.6" customHeight="1" x14ac:dyDescent="0.3">
      <c r="A1331" t="s">
        <v>265</v>
      </c>
      <c r="B1331" s="2">
        <v>45809</v>
      </c>
      <c r="C1331" s="10" t="s">
        <v>679</v>
      </c>
    </row>
    <row r="1332" spans="1:8" ht="57.6" customHeight="1" x14ac:dyDescent="0.3">
      <c r="A1332" t="s">
        <v>265</v>
      </c>
      <c r="B1332" s="2">
        <v>45839</v>
      </c>
      <c r="C1332" s="10" t="s">
        <v>680</v>
      </c>
    </row>
    <row r="1333" spans="1:8" ht="57.6" customHeight="1" x14ac:dyDescent="0.3">
      <c r="A1333" t="s">
        <v>265</v>
      </c>
      <c r="B1333" s="2">
        <v>45870</v>
      </c>
      <c r="C1333" s="10" t="s">
        <v>681</v>
      </c>
    </row>
    <row r="1334" spans="1:8" ht="57.6" customHeight="1" x14ac:dyDescent="0.3">
      <c r="A1334" t="s">
        <v>265</v>
      </c>
      <c r="B1334" s="2">
        <v>45901</v>
      </c>
      <c r="C1334" s="10" t="s">
        <v>682</v>
      </c>
    </row>
    <row r="1335" spans="1:8" ht="57.6" customHeight="1" x14ac:dyDescent="0.3">
      <c r="A1335" t="s">
        <v>265</v>
      </c>
      <c r="B1335" s="2">
        <v>45931</v>
      </c>
      <c r="C1335" s="10" t="s">
        <v>683</v>
      </c>
    </row>
    <row r="1336" spans="1:8" ht="57.6" customHeight="1" x14ac:dyDescent="0.3">
      <c r="A1336" t="s">
        <v>265</v>
      </c>
      <c r="B1336" s="2">
        <v>45962</v>
      </c>
      <c r="C1336" s="10" t="s">
        <v>684</v>
      </c>
    </row>
    <row r="1337" spans="1:8" ht="28.8" x14ac:dyDescent="0.3">
      <c r="A1337" t="s">
        <v>265</v>
      </c>
      <c r="B1337" s="2">
        <v>45992</v>
      </c>
      <c r="C1337" s="10" t="s">
        <v>685</v>
      </c>
    </row>
    <row r="1338" spans="1:8" ht="28.8" x14ac:dyDescent="0.3">
      <c r="A1338" t="s">
        <v>265</v>
      </c>
      <c r="B1338" s="2">
        <v>46023</v>
      </c>
      <c r="C1338" s="10" t="s">
        <v>686</v>
      </c>
    </row>
    <row r="1339" spans="1:8" ht="28.8" x14ac:dyDescent="0.3">
      <c r="A1339" t="s">
        <v>265</v>
      </c>
      <c r="B1339" s="2">
        <v>46054</v>
      </c>
      <c r="C1339" s="10" t="s">
        <v>686</v>
      </c>
    </row>
    <row r="1340" spans="1:8" ht="28.8" x14ac:dyDescent="0.3">
      <c r="A1340" t="s">
        <v>265</v>
      </c>
      <c r="B1340" s="2">
        <v>46082</v>
      </c>
      <c r="C1340" s="10" t="s">
        <v>687</v>
      </c>
    </row>
    <row r="1341" spans="1:8" ht="28.8" x14ac:dyDescent="0.3">
      <c r="A1341" t="s">
        <v>265</v>
      </c>
      <c r="B1341" s="2">
        <v>46113</v>
      </c>
      <c r="C1341" s="10" t="s">
        <v>687</v>
      </c>
    </row>
    <row r="1342" spans="1:8" ht="28.8" x14ac:dyDescent="0.3">
      <c r="A1342" t="s">
        <v>265</v>
      </c>
      <c r="B1342" s="2">
        <v>46143</v>
      </c>
      <c r="C1342" s="10" t="s">
        <v>860</v>
      </c>
    </row>
    <row r="1343" spans="1:8" x14ac:dyDescent="0.3">
      <c r="A1343" t="s">
        <v>177</v>
      </c>
      <c r="B1343" s="2">
        <v>46174</v>
      </c>
      <c r="C1343" s="10"/>
    </row>
    <row r="1344" spans="1:8" x14ac:dyDescent="0.3">
      <c r="A1344" t="s">
        <v>177</v>
      </c>
      <c r="B1344" s="2">
        <v>46204</v>
      </c>
      <c r="C1344" s="10">
        <v>31</v>
      </c>
      <c r="D1344">
        <v>0</v>
      </c>
      <c r="E1344" t="s">
        <v>33</v>
      </c>
      <c r="F1344" t="s">
        <v>33</v>
      </c>
      <c r="G1344" t="s">
        <v>932</v>
      </c>
      <c r="H1344" t="s">
        <v>36</v>
      </c>
    </row>
    <row r="1345" spans="1:3" x14ac:dyDescent="0.3">
      <c r="A1345" t="s">
        <v>265</v>
      </c>
      <c r="B1345" s="2">
        <v>46235</v>
      </c>
      <c r="C1345" s="10"/>
    </row>
    <row r="1346" spans="1:3" x14ac:dyDescent="0.3">
      <c r="A1346" t="s">
        <v>180</v>
      </c>
      <c r="B1346" s="2">
        <v>45536</v>
      </c>
      <c r="C1346" s="10"/>
    </row>
    <row r="1347" spans="1:3" x14ac:dyDescent="0.3">
      <c r="A1347" t="s">
        <v>180</v>
      </c>
      <c r="B1347" s="2">
        <v>45566</v>
      </c>
      <c r="C1347" s="10"/>
    </row>
    <row r="1348" spans="1:3" x14ac:dyDescent="0.3">
      <c r="A1348" t="s">
        <v>180</v>
      </c>
      <c r="B1348" s="2">
        <v>45597</v>
      </c>
      <c r="C1348" s="10"/>
    </row>
    <row r="1349" spans="1:3" x14ac:dyDescent="0.3">
      <c r="A1349" t="s">
        <v>180</v>
      </c>
      <c r="B1349" s="2">
        <v>45627</v>
      </c>
      <c r="C1349" s="10"/>
    </row>
    <row r="1350" spans="1:3" x14ac:dyDescent="0.3">
      <c r="A1350" t="s">
        <v>180</v>
      </c>
      <c r="B1350" s="2">
        <v>45658</v>
      </c>
      <c r="C1350" s="10"/>
    </row>
    <row r="1351" spans="1:3" ht="28.8" x14ac:dyDescent="0.3">
      <c r="A1351" t="s">
        <v>180</v>
      </c>
      <c r="B1351" s="2">
        <v>45689</v>
      </c>
      <c r="C1351" s="10" t="s">
        <v>688</v>
      </c>
    </row>
    <row r="1352" spans="1:3" ht="28.8" x14ac:dyDescent="0.3">
      <c r="A1352" t="s">
        <v>180</v>
      </c>
      <c r="B1352" s="2">
        <v>45717</v>
      </c>
      <c r="C1352" s="10" t="s">
        <v>689</v>
      </c>
    </row>
    <row r="1353" spans="1:3" ht="28.8" x14ac:dyDescent="0.3">
      <c r="A1353" t="s">
        <v>180</v>
      </c>
      <c r="B1353" s="2">
        <v>45748</v>
      </c>
      <c r="C1353" s="10" t="s">
        <v>689</v>
      </c>
    </row>
    <row r="1354" spans="1:3" ht="57.6" customHeight="1" x14ac:dyDescent="0.3">
      <c r="A1354" t="s">
        <v>180</v>
      </c>
      <c r="B1354" s="2">
        <v>45778</v>
      </c>
      <c r="C1354" s="10" t="s">
        <v>690</v>
      </c>
    </row>
    <row r="1355" spans="1:3" ht="43.2" customHeight="1" x14ac:dyDescent="0.3">
      <c r="A1355" t="s">
        <v>180</v>
      </c>
      <c r="B1355" s="2">
        <v>45809</v>
      </c>
      <c r="C1355" s="10" t="s">
        <v>691</v>
      </c>
    </row>
    <row r="1356" spans="1:3" ht="57.6" customHeight="1" x14ac:dyDescent="0.3">
      <c r="A1356" t="s">
        <v>180</v>
      </c>
      <c r="B1356" s="2">
        <v>45839</v>
      </c>
      <c r="C1356" s="10" t="s">
        <v>692</v>
      </c>
    </row>
    <row r="1357" spans="1:3" ht="43.2" customHeight="1" x14ac:dyDescent="0.3">
      <c r="A1357" t="s">
        <v>180</v>
      </c>
      <c r="B1357" s="2">
        <v>45870</v>
      </c>
      <c r="C1357" s="10" t="s">
        <v>693</v>
      </c>
    </row>
    <row r="1358" spans="1:3" ht="43.2" customHeight="1" x14ac:dyDescent="0.3">
      <c r="A1358" t="s">
        <v>180</v>
      </c>
      <c r="B1358" s="2">
        <v>45901</v>
      </c>
      <c r="C1358" s="10" t="s">
        <v>694</v>
      </c>
    </row>
    <row r="1359" spans="1:3" ht="43.2" customHeight="1" x14ac:dyDescent="0.3">
      <c r="A1359" t="s">
        <v>180</v>
      </c>
      <c r="B1359" s="2">
        <v>45931</v>
      </c>
      <c r="C1359" s="10" t="s">
        <v>695</v>
      </c>
    </row>
    <row r="1360" spans="1:3" ht="43.2" customHeight="1" x14ac:dyDescent="0.3">
      <c r="A1360" t="s">
        <v>180</v>
      </c>
      <c r="B1360" s="2">
        <v>45962</v>
      </c>
      <c r="C1360" s="10" t="s">
        <v>696</v>
      </c>
    </row>
    <row r="1361" spans="1:8" x14ac:dyDescent="0.3">
      <c r="A1361" t="s">
        <v>180</v>
      </c>
      <c r="B1361" s="2">
        <v>45992</v>
      </c>
      <c r="C1361" s="10" t="s">
        <v>598</v>
      </c>
    </row>
    <row r="1362" spans="1:8" x14ac:dyDescent="0.3">
      <c r="A1362" t="s">
        <v>180</v>
      </c>
      <c r="B1362" s="2">
        <v>46023</v>
      </c>
      <c r="C1362" s="10" t="s">
        <v>338</v>
      </c>
    </row>
    <row r="1363" spans="1:8" x14ac:dyDescent="0.3">
      <c r="A1363" t="s">
        <v>180</v>
      </c>
      <c r="B1363" s="2">
        <v>46054</v>
      </c>
      <c r="C1363" s="10" t="s">
        <v>326</v>
      </c>
    </row>
    <row r="1364" spans="1:8" x14ac:dyDescent="0.3">
      <c r="A1364" t="s">
        <v>180</v>
      </c>
      <c r="B1364" s="2">
        <v>46082</v>
      </c>
      <c r="C1364" s="10" t="s">
        <v>326</v>
      </c>
    </row>
    <row r="1365" spans="1:8" x14ac:dyDescent="0.3">
      <c r="A1365" t="s">
        <v>180</v>
      </c>
      <c r="B1365" s="2">
        <v>46113</v>
      </c>
      <c r="C1365" s="10" t="s">
        <v>326</v>
      </c>
    </row>
    <row r="1366" spans="1:8" x14ac:dyDescent="0.3">
      <c r="A1366" t="s">
        <v>180</v>
      </c>
      <c r="B1366" s="2">
        <v>46143</v>
      </c>
      <c r="C1366" s="10" t="s">
        <v>302</v>
      </c>
    </row>
    <row r="1367" spans="1:8" x14ac:dyDescent="0.3">
      <c r="A1367" t="s">
        <v>180</v>
      </c>
      <c r="B1367" s="2">
        <v>46174</v>
      </c>
      <c r="C1367" s="10"/>
    </row>
    <row r="1368" spans="1:8" x14ac:dyDescent="0.3">
      <c r="A1368" t="s">
        <v>180</v>
      </c>
      <c r="B1368" s="2">
        <v>46204</v>
      </c>
      <c r="C1368" s="10">
        <v>31</v>
      </c>
      <c r="D1368">
        <v>0</v>
      </c>
      <c r="E1368" t="s">
        <v>33</v>
      </c>
      <c r="F1368" t="s">
        <v>33</v>
      </c>
      <c r="G1368" t="s">
        <v>1014</v>
      </c>
      <c r="H1368" t="s">
        <v>36</v>
      </c>
    </row>
    <row r="1369" spans="1:8" x14ac:dyDescent="0.3">
      <c r="A1369" t="s">
        <v>180</v>
      </c>
      <c r="B1369" s="2">
        <v>46235</v>
      </c>
      <c r="C1369" s="10"/>
    </row>
    <row r="1370" spans="1:8" x14ac:dyDescent="0.3">
      <c r="A1370" t="s">
        <v>241</v>
      </c>
      <c r="B1370" s="2">
        <v>45536</v>
      </c>
      <c r="C1370" s="10"/>
    </row>
    <row r="1371" spans="1:8" x14ac:dyDescent="0.3">
      <c r="A1371" t="s">
        <v>241</v>
      </c>
      <c r="B1371" s="2">
        <v>45566</v>
      </c>
      <c r="C1371" s="10"/>
    </row>
    <row r="1372" spans="1:8" x14ac:dyDescent="0.3">
      <c r="A1372" t="s">
        <v>241</v>
      </c>
      <c r="B1372" s="2">
        <v>45597</v>
      </c>
      <c r="C1372" s="10"/>
    </row>
    <row r="1373" spans="1:8" x14ac:dyDescent="0.3">
      <c r="A1373" t="s">
        <v>241</v>
      </c>
      <c r="B1373" s="2">
        <v>45627</v>
      </c>
      <c r="C1373" s="10"/>
    </row>
    <row r="1374" spans="1:8" x14ac:dyDescent="0.3">
      <c r="A1374" t="s">
        <v>241</v>
      </c>
      <c r="B1374" s="2">
        <v>45658</v>
      </c>
      <c r="C1374" s="10"/>
    </row>
    <row r="1375" spans="1:8" x14ac:dyDescent="0.3">
      <c r="A1375" t="s">
        <v>241</v>
      </c>
      <c r="B1375" s="2">
        <v>45689</v>
      </c>
      <c r="C1375" s="10"/>
    </row>
    <row r="1376" spans="1:8" x14ac:dyDescent="0.3">
      <c r="A1376" t="s">
        <v>241</v>
      </c>
      <c r="B1376" s="2">
        <v>45717</v>
      </c>
      <c r="C1376" s="10"/>
    </row>
    <row r="1377" spans="1:8" x14ac:dyDescent="0.3">
      <c r="A1377" t="s">
        <v>241</v>
      </c>
      <c r="B1377" s="2">
        <v>45748</v>
      </c>
      <c r="C1377" s="10"/>
    </row>
    <row r="1378" spans="1:8" x14ac:dyDescent="0.3">
      <c r="A1378" t="s">
        <v>241</v>
      </c>
      <c r="B1378" s="2">
        <v>45778</v>
      </c>
      <c r="C1378" s="10"/>
    </row>
    <row r="1379" spans="1:8" x14ac:dyDescent="0.3">
      <c r="A1379" t="s">
        <v>241</v>
      </c>
      <c r="B1379" s="2">
        <v>45809</v>
      </c>
      <c r="C1379" s="10"/>
    </row>
    <row r="1380" spans="1:8" x14ac:dyDescent="0.3">
      <c r="A1380" t="s">
        <v>241</v>
      </c>
      <c r="B1380" s="2">
        <v>45839</v>
      </c>
      <c r="C1380" s="10"/>
    </row>
    <row r="1381" spans="1:8" x14ac:dyDescent="0.3">
      <c r="A1381" t="s">
        <v>241</v>
      </c>
      <c r="B1381" s="2">
        <v>45870</v>
      </c>
      <c r="C1381" s="10"/>
    </row>
    <row r="1382" spans="1:8" x14ac:dyDescent="0.3">
      <c r="A1382" t="s">
        <v>241</v>
      </c>
      <c r="B1382" s="2">
        <v>45901</v>
      </c>
      <c r="C1382" s="10"/>
    </row>
    <row r="1383" spans="1:8" x14ac:dyDescent="0.3">
      <c r="A1383" t="s">
        <v>241</v>
      </c>
      <c r="B1383" s="2">
        <v>45931</v>
      </c>
      <c r="C1383" s="10"/>
    </row>
    <row r="1384" spans="1:8" x14ac:dyDescent="0.3">
      <c r="A1384" t="s">
        <v>241</v>
      </c>
      <c r="B1384" s="2">
        <v>45962</v>
      </c>
      <c r="C1384" s="10"/>
    </row>
    <row r="1385" spans="1:8" x14ac:dyDescent="0.3">
      <c r="A1385" t="s">
        <v>241</v>
      </c>
      <c r="B1385" s="2">
        <v>45992</v>
      </c>
      <c r="C1385" s="10"/>
    </row>
    <row r="1386" spans="1:8" x14ac:dyDescent="0.3">
      <c r="A1386" t="s">
        <v>241</v>
      </c>
      <c r="B1386" s="2">
        <v>46023</v>
      </c>
      <c r="C1386" s="10"/>
    </row>
    <row r="1387" spans="1:8" x14ac:dyDescent="0.3">
      <c r="A1387" t="s">
        <v>241</v>
      </c>
      <c r="B1387" s="2">
        <v>46054</v>
      </c>
      <c r="C1387" s="10"/>
    </row>
    <row r="1388" spans="1:8" x14ac:dyDescent="0.3">
      <c r="A1388" t="s">
        <v>241</v>
      </c>
      <c r="B1388" s="2">
        <v>46082</v>
      </c>
      <c r="C1388" s="10"/>
    </row>
    <row r="1389" spans="1:8" x14ac:dyDescent="0.3">
      <c r="A1389" t="s">
        <v>241</v>
      </c>
      <c r="B1389" s="2">
        <v>46113</v>
      </c>
      <c r="C1389" s="10" t="s">
        <v>459</v>
      </c>
    </row>
    <row r="1390" spans="1:8" ht="28.8" x14ac:dyDescent="0.3">
      <c r="A1390" t="s">
        <v>241</v>
      </c>
      <c r="B1390" s="2">
        <v>46143</v>
      </c>
      <c r="C1390" s="10" t="s">
        <v>866</v>
      </c>
    </row>
    <row r="1391" spans="1:8" x14ac:dyDescent="0.3">
      <c r="A1391" t="s">
        <v>241</v>
      </c>
      <c r="B1391" s="2">
        <v>46174</v>
      </c>
      <c r="C1391" s="10"/>
    </row>
    <row r="1392" spans="1:8" x14ac:dyDescent="0.3">
      <c r="A1392" t="s">
        <v>241</v>
      </c>
      <c r="B1392" s="2">
        <v>46204</v>
      </c>
      <c r="C1392" s="10">
        <v>31</v>
      </c>
      <c r="D1392">
        <v>0</v>
      </c>
      <c r="E1392" t="s">
        <v>33</v>
      </c>
      <c r="F1392" t="s">
        <v>33</v>
      </c>
      <c r="G1392" t="s">
        <v>1046</v>
      </c>
      <c r="H1392" t="s">
        <v>36</v>
      </c>
    </row>
    <row r="1393" spans="1:3" x14ac:dyDescent="0.3">
      <c r="A1393" t="s">
        <v>241</v>
      </c>
      <c r="B1393" s="2">
        <v>46235</v>
      </c>
      <c r="C1393" s="10"/>
    </row>
    <row r="1394" spans="1:3" x14ac:dyDescent="0.3">
      <c r="A1394" t="s">
        <v>182</v>
      </c>
      <c r="B1394" s="2">
        <v>45536</v>
      </c>
      <c r="C1394" s="10"/>
    </row>
    <row r="1395" spans="1:3" x14ac:dyDescent="0.3">
      <c r="A1395" t="s">
        <v>182</v>
      </c>
      <c r="B1395" s="2">
        <v>45566</v>
      </c>
      <c r="C1395" s="10"/>
    </row>
    <row r="1396" spans="1:3" x14ac:dyDescent="0.3">
      <c r="A1396" t="s">
        <v>182</v>
      </c>
      <c r="B1396" s="2">
        <v>45597</v>
      </c>
      <c r="C1396" s="10"/>
    </row>
    <row r="1397" spans="1:3" x14ac:dyDescent="0.3">
      <c r="A1397" t="s">
        <v>182</v>
      </c>
      <c r="B1397" s="2">
        <v>45627</v>
      </c>
      <c r="C1397" s="10"/>
    </row>
    <row r="1398" spans="1:3" x14ac:dyDescent="0.3">
      <c r="A1398" t="s">
        <v>182</v>
      </c>
      <c r="B1398" s="2">
        <v>45658</v>
      </c>
      <c r="C1398" s="10"/>
    </row>
    <row r="1399" spans="1:3" x14ac:dyDescent="0.3">
      <c r="A1399" t="s">
        <v>182</v>
      </c>
      <c r="B1399" s="2">
        <v>45689</v>
      </c>
      <c r="C1399" s="10"/>
    </row>
    <row r="1400" spans="1:3" x14ac:dyDescent="0.3">
      <c r="A1400" t="s">
        <v>182</v>
      </c>
      <c r="B1400" s="2">
        <v>45717</v>
      </c>
      <c r="C1400" s="10"/>
    </row>
    <row r="1401" spans="1:3" x14ac:dyDescent="0.3">
      <c r="A1401" t="s">
        <v>182</v>
      </c>
      <c r="B1401" s="2">
        <v>45748</v>
      </c>
      <c r="C1401" s="10"/>
    </row>
    <row r="1402" spans="1:3" x14ac:dyDescent="0.3">
      <c r="A1402" t="s">
        <v>182</v>
      </c>
      <c r="B1402" s="2">
        <v>45778</v>
      </c>
      <c r="C1402" s="10"/>
    </row>
    <row r="1403" spans="1:3" x14ac:dyDescent="0.3">
      <c r="A1403" t="s">
        <v>182</v>
      </c>
      <c r="B1403" s="2">
        <v>45809</v>
      </c>
      <c r="C1403" s="10"/>
    </row>
    <row r="1404" spans="1:3" ht="43.2" customHeight="1" x14ac:dyDescent="0.3">
      <c r="A1404" t="s">
        <v>182</v>
      </c>
      <c r="B1404" s="2">
        <v>45839</v>
      </c>
      <c r="C1404" s="10" t="s">
        <v>697</v>
      </c>
    </row>
    <row r="1405" spans="1:3" ht="57.6" customHeight="1" x14ac:dyDescent="0.3">
      <c r="A1405" t="s">
        <v>182</v>
      </c>
      <c r="B1405" s="2">
        <v>45870</v>
      </c>
      <c r="C1405" s="10" t="s">
        <v>698</v>
      </c>
    </row>
    <row r="1406" spans="1:3" ht="43.2" customHeight="1" x14ac:dyDescent="0.3">
      <c r="A1406" t="s">
        <v>182</v>
      </c>
      <c r="B1406" s="2">
        <v>45901</v>
      </c>
      <c r="C1406" s="10" t="s">
        <v>699</v>
      </c>
    </row>
    <row r="1407" spans="1:3" ht="43.2" customHeight="1" x14ac:dyDescent="0.3">
      <c r="A1407" t="s">
        <v>182</v>
      </c>
      <c r="B1407" s="2">
        <v>45931</v>
      </c>
      <c r="C1407" s="10" t="s">
        <v>700</v>
      </c>
    </row>
    <row r="1408" spans="1:3" ht="57.6" customHeight="1" x14ac:dyDescent="0.3">
      <c r="A1408" t="s">
        <v>182</v>
      </c>
      <c r="B1408" s="2">
        <v>45962</v>
      </c>
      <c r="C1408" s="10" t="s">
        <v>701</v>
      </c>
    </row>
    <row r="1409" spans="1:8" x14ac:dyDescent="0.3">
      <c r="A1409" t="s">
        <v>182</v>
      </c>
      <c r="B1409" s="2">
        <v>45992</v>
      </c>
      <c r="C1409" s="10" t="s">
        <v>702</v>
      </c>
    </row>
    <row r="1410" spans="1:8" x14ac:dyDescent="0.3">
      <c r="A1410" t="s">
        <v>182</v>
      </c>
      <c r="B1410" s="2">
        <v>46023</v>
      </c>
      <c r="C1410" s="10" t="s">
        <v>338</v>
      </c>
    </row>
    <row r="1411" spans="1:8" ht="43.2" x14ac:dyDescent="0.3">
      <c r="A1411" t="s">
        <v>182</v>
      </c>
      <c r="B1411" s="2">
        <v>46054</v>
      </c>
      <c r="C1411" s="10" t="s">
        <v>314</v>
      </c>
    </row>
    <row r="1412" spans="1:8" ht="28.8" x14ac:dyDescent="0.3">
      <c r="A1412" t="s">
        <v>182</v>
      </c>
      <c r="B1412" s="2">
        <v>46082</v>
      </c>
      <c r="C1412" s="10" t="s">
        <v>703</v>
      </c>
    </row>
    <row r="1413" spans="1:8" ht="28.8" x14ac:dyDescent="0.3">
      <c r="A1413" t="s">
        <v>182</v>
      </c>
      <c r="B1413" s="2">
        <v>46113</v>
      </c>
      <c r="C1413" s="10" t="s">
        <v>703</v>
      </c>
    </row>
    <row r="1414" spans="1:8" ht="28.8" x14ac:dyDescent="0.3">
      <c r="A1414" t="s">
        <v>182</v>
      </c>
      <c r="B1414" s="2">
        <v>46143</v>
      </c>
      <c r="C1414" s="10" t="s">
        <v>861</v>
      </c>
    </row>
    <row r="1415" spans="1:8" x14ac:dyDescent="0.3">
      <c r="A1415" t="s">
        <v>182</v>
      </c>
      <c r="B1415" s="2">
        <v>46174</v>
      </c>
      <c r="C1415" s="10"/>
    </row>
    <row r="1416" spans="1:8" x14ac:dyDescent="0.3">
      <c r="A1416" t="s">
        <v>182</v>
      </c>
      <c r="B1416" s="2">
        <v>46204</v>
      </c>
      <c r="C1416" s="10">
        <v>31</v>
      </c>
      <c r="D1416">
        <v>0</v>
      </c>
      <c r="E1416" t="s">
        <v>33</v>
      </c>
      <c r="F1416" t="s">
        <v>33</v>
      </c>
      <c r="G1416" t="s">
        <v>1048</v>
      </c>
      <c r="H1416" t="s">
        <v>36</v>
      </c>
    </row>
    <row r="1417" spans="1:8" x14ac:dyDescent="0.3">
      <c r="A1417" t="s">
        <v>182</v>
      </c>
      <c r="B1417" s="2">
        <v>46235</v>
      </c>
      <c r="C1417" s="10"/>
    </row>
    <row r="1418" spans="1:8" x14ac:dyDescent="0.3">
      <c r="A1418" t="s">
        <v>184</v>
      </c>
      <c r="B1418" s="2">
        <v>45536</v>
      </c>
      <c r="C1418" s="10"/>
    </row>
    <row r="1419" spans="1:8" ht="28.95" customHeight="1" x14ac:dyDescent="0.3">
      <c r="A1419" t="s">
        <v>184</v>
      </c>
      <c r="B1419" s="2">
        <v>45566</v>
      </c>
      <c r="C1419" s="10" t="s">
        <v>704</v>
      </c>
    </row>
    <row r="1420" spans="1:8" x14ac:dyDescent="0.3">
      <c r="A1420" t="s">
        <v>184</v>
      </c>
      <c r="B1420" s="2">
        <v>45597</v>
      </c>
      <c r="C1420" s="10"/>
    </row>
    <row r="1421" spans="1:8" x14ac:dyDescent="0.3">
      <c r="A1421" t="s">
        <v>184</v>
      </c>
      <c r="B1421" s="2">
        <v>45627</v>
      </c>
      <c r="C1421" s="10"/>
    </row>
    <row r="1422" spans="1:8" x14ac:dyDescent="0.3">
      <c r="A1422" t="s">
        <v>184</v>
      </c>
      <c r="B1422" s="2">
        <v>45658</v>
      </c>
      <c r="C1422" s="10"/>
    </row>
    <row r="1423" spans="1:8" x14ac:dyDescent="0.3">
      <c r="A1423" t="s">
        <v>184</v>
      </c>
      <c r="B1423" s="2">
        <v>45689</v>
      </c>
      <c r="C1423" s="10" t="s">
        <v>705</v>
      </c>
    </row>
    <row r="1424" spans="1:8" x14ac:dyDescent="0.3">
      <c r="A1424" t="s">
        <v>184</v>
      </c>
      <c r="B1424" s="2">
        <v>45717</v>
      </c>
      <c r="C1424" s="10" t="s">
        <v>706</v>
      </c>
    </row>
    <row r="1425" spans="1:8" x14ac:dyDescent="0.3">
      <c r="A1425" t="s">
        <v>184</v>
      </c>
      <c r="B1425" s="2">
        <v>45748</v>
      </c>
      <c r="C1425" s="10" t="s">
        <v>707</v>
      </c>
    </row>
    <row r="1426" spans="1:8" ht="43.2" customHeight="1" x14ac:dyDescent="0.3">
      <c r="A1426" t="s">
        <v>184</v>
      </c>
      <c r="B1426" s="2">
        <v>45778</v>
      </c>
      <c r="C1426" s="10" t="s">
        <v>708</v>
      </c>
    </row>
    <row r="1427" spans="1:8" ht="43.2" customHeight="1" x14ac:dyDescent="0.3">
      <c r="A1427" t="s">
        <v>184</v>
      </c>
      <c r="B1427" s="2">
        <v>45809</v>
      </c>
      <c r="C1427" s="10" t="s">
        <v>709</v>
      </c>
    </row>
    <row r="1428" spans="1:8" ht="57.6" customHeight="1" x14ac:dyDescent="0.3">
      <c r="A1428" t="s">
        <v>184</v>
      </c>
      <c r="B1428" s="2">
        <v>45839</v>
      </c>
      <c r="C1428" s="10" t="s">
        <v>710</v>
      </c>
    </row>
    <row r="1429" spans="1:8" ht="43.2" customHeight="1" x14ac:dyDescent="0.3">
      <c r="A1429" t="s">
        <v>184</v>
      </c>
      <c r="B1429" s="2">
        <v>45870</v>
      </c>
      <c r="C1429" s="10" t="s">
        <v>711</v>
      </c>
    </row>
    <row r="1430" spans="1:8" ht="43.2" customHeight="1" x14ac:dyDescent="0.3">
      <c r="A1430" t="s">
        <v>184</v>
      </c>
      <c r="B1430" s="2">
        <v>45901</v>
      </c>
      <c r="C1430" s="10" t="s">
        <v>712</v>
      </c>
    </row>
    <row r="1431" spans="1:8" ht="57.6" customHeight="1" x14ac:dyDescent="0.3">
      <c r="A1431" t="s">
        <v>184</v>
      </c>
      <c r="B1431" s="2">
        <v>45931</v>
      </c>
      <c r="C1431" s="10" t="s">
        <v>713</v>
      </c>
    </row>
    <row r="1432" spans="1:8" ht="57.6" customHeight="1" x14ac:dyDescent="0.3">
      <c r="A1432" t="s">
        <v>184</v>
      </c>
      <c r="B1432" s="2">
        <v>45962</v>
      </c>
      <c r="C1432" s="10" t="s">
        <v>714</v>
      </c>
    </row>
    <row r="1433" spans="1:8" ht="43.2" x14ac:dyDescent="0.3">
      <c r="A1433" t="s">
        <v>184</v>
      </c>
      <c r="B1433" s="2">
        <v>45992</v>
      </c>
      <c r="C1433" s="10" t="s">
        <v>314</v>
      </c>
    </row>
    <row r="1434" spans="1:8" x14ac:dyDescent="0.3">
      <c r="A1434" t="s">
        <v>184</v>
      </c>
      <c r="B1434" s="2">
        <v>46023</v>
      </c>
      <c r="C1434" s="10" t="s">
        <v>338</v>
      </c>
    </row>
    <row r="1435" spans="1:8" ht="28.8" x14ac:dyDescent="0.3">
      <c r="A1435" t="s">
        <v>184</v>
      </c>
      <c r="B1435" s="2">
        <v>46054</v>
      </c>
      <c r="C1435" s="10" t="s">
        <v>715</v>
      </c>
    </row>
    <row r="1436" spans="1:8" ht="28.8" x14ac:dyDescent="0.3">
      <c r="A1436" t="s">
        <v>184</v>
      </c>
      <c r="B1436" s="2">
        <v>46082</v>
      </c>
      <c r="C1436" s="10" t="s">
        <v>716</v>
      </c>
    </row>
    <row r="1437" spans="1:8" x14ac:dyDescent="0.3">
      <c r="A1437" t="s">
        <v>184</v>
      </c>
      <c r="B1437" s="2">
        <v>46113</v>
      </c>
      <c r="C1437" s="10" t="s">
        <v>717</v>
      </c>
    </row>
    <row r="1438" spans="1:8" ht="28.8" x14ac:dyDescent="0.3">
      <c r="A1438" t="s">
        <v>184</v>
      </c>
      <c r="B1438" s="2">
        <v>46143</v>
      </c>
      <c r="C1438" s="10" t="s">
        <v>867</v>
      </c>
    </row>
    <row r="1439" spans="1:8" x14ac:dyDescent="0.3">
      <c r="A1439" t="s">
        <v>184</v>
      </c>
      <c r="B1439" s="2">
        <v>46174</v>
      </c>
      <c r="C1439" s="10"/>
    </row>
    <row r="1440" spans="1:8" x14ac:dyDescent="0.3">
      <c r="A1440" t="s">
        <v>184</v>
      </c>
      <c r="B1440" s="2">
        <v>46204</v>
      </c>
      <c r="C1440" s="10">
        <v>31</v>
      </c>
      <c r="D1440">
        <v>0</v>
      </c>
      <c r="E1440" t="s">
        <v>33</v>
      </c>
      <c r="F1440" t="s">
        <v>33</v>
      </c>
      <c r="G1440" t="s">
        <v>1047</v>
      </c>
      <c r="H1440" t="s">
        <v>36</v>
      </c>
    </row>
    <row r="1441" spans="1:3" x14ac:dyDescent="0.3">
      <c r="A1441" t="s">
        <v>184</v>
      </c>
      <c r="B1441" s="2">
        <v>46235</v>
      </c>
      <c r="C1441" s="10"/>
    </row>
    <row r="1442" spans="1:3" x14ac:dyDescent="0.3">
      <c r="A1442" t="s">
        <v>186</v>
      </c>
      <c r="B1442" s="2">
        <v>45536</v>
      </c>
      <c r="C1442" s="10"/>
    </row>
    <row r="1443" spans="1:3" x14ac:dyDescent="0.3">
      <c r="A1443" t="s">
        <v>186</v>
      </c>
      <c r="B1443" s="2">
        <v>45566</v>
      </c>
      <c r="C1443" s="10" t="s">
        <v>718</v>
      </c>
    </row>
    <row r="1444" spans="1:3" x14ac:dyDescent="0.3">
      <c r="A1444" t="s">
        <v>186</v>
      </c>
      <c r="B1444" s="2">
        <v>45597</v>
      </c>
      <c r="C1444" s="10"/>
    </row>
    <row r="1445" spans="1:3" x14ac:dyDescent="0.3">
      <c r="A1445" t="s">
        <v>186</v>
      </c>
      <c r="B1445" s="2">
        <v>45627</v>
      </c>
      <c r="C1445" s="10"/>
    </row>
    <row r="1446" spans="1:3" x14ac:dyDescent="0.3">
      <c r="A1446" t="s">
        <v>186</v>
      </c>
      <c r="B1446" s="2">
        <v>45658</v>
      </c>
      <c r="C1446" s="10"/>
    </row>
    <row r="1447" spans="1:3" x14ac:dyDescent="0.3">
      <c r="A1447" t="s">
        <v>186</v>
      </c>
      <c r="B1447" s="2">
        <v>45689</v>
      </c>
      <c r="C1447" s="10" t="s">
        <v>587</v>
      </c>
    </row>
    <row r="1448" spans="1:3" x14ac:dyDescent="0.3">
      <c r="A1448" t="s">
        <v>186</v>
      </c>
      <c r="B1448" s="2">
        <v>45717</v>
      </c>
      <c r="C1448" s="10" t="s">
        <v>706</v>
      </c>
    </row>
    <row r="1449" spans="1:3" x14ac:dyDescent="0.3">
      <c r="A1449" t="s">
        <v>186</v>
      </c>
      <c r="B1449" s="2">
        <v>45748</v>
      </c>
      <c r="C1449" s="10"/>
    </row>
    <row r="1450" spans="1:3" ht="43.2" customHeight="1" x14ac:dyDescent="0.3">
      <c r="A1450" t="s">
        <v>186</v>
      </c>
      <c r="B1450" s="2">
        <v>45778</v>
      </c>
      <c r="C1450" s="10" t="s">
        <v>719</v>
      </c>
    </row>
    <row r="1451" spans="1:3" ht="43.2" customHeight="1" x14ac:dyDescent="0.3">
      <c r="A1451" t="s">
        <v>186</v>
      </c>
      <c r="B1451" s="2">
        <v>45809</v>
      </c>
      <c r="C1451" s="10" t="s">
        <v>720</v>
      </c>
    </row>
    <row r="1452" spans="1:3" ht="43.2" customHeight="1" x14ac:dyDescent="0.3">
      <c r="A1452" t="s">
        <v>186</v>
      </c>
      <c r="B1452" s="2">
        <v>45839</v>
      </c>
      <c r="C1452" s="10" t="s">
        <v>721</v>
      </c>
    </row>
    <row r="1453" spans="1:3" ht="43.2" customHeight="1" x14ac:dyDescent="0.3">
      <c r="A1453" t="s">
        <v>186</v>
      </c>
      <c r="B1453" s="2">
        <v>45870</v>
      </c>
      <c r="C1453" s="10" t="s">
        <v>722</v>
      </c>
    </row>
    <row r="1454" spans="1:3" ht="57.6" customHeight="1" x14ac:dyDescent="0.3">
      <c r="A1454" t="s">
        <v>186</v>
      </c>
      <c r="B1454" s="2">
        <v>45901</v>
      </c>
      <c r="C1454" s="10" t="s">
        <v>723</v>
      </c>
    </row>
    <row r="1455" spans="1:3" ht="57.6" customHeight="1" x14ac:dyDescent="0.3">
      <c r="A1455" t="s">
        <v>186</v>
      </c>
      <c r="B1455" s="2">
        <v>45931</v>
      </c>
      <c r="C1455" s="10" t="s">
        <v>724</v>
      </c>
    </row>
    <row r="1456" spans="1:3" ht="57.6" customHeight="1" x14ac:dyDescent="0.3">
      <c r="A1456" t="s">
        <v>186</v>
      </c>
      <c r="B1456" s="2">
        <v>45962</v>
      </c>
      <c r="C1456" s="10" t="s">
        <v>725</v>
      </c>
    </row>
    <row r="1457" spans="1:8" ht="43.2" x14ac:dyDescent="0.3">
      <c r="A1457" t="s">
        <v>186</v>
      </c>
      <c r="B1457" s="2">
        <v>45992</v>
      </c>
      <c r="C1457" s="10" t="s">
        <v>314</v>
      </c>
    </row>
    <row r="1458" spans="1:8" ht="43.2" x14ac:dyDescent="0.3">
      <c r="A1458" t="s">
        <v>186</v>
      </c>
      <c r="B1458" s="2">
        <v>46023</v>
      </c>
      <c r="C1458" s="10" t="s">
        <v>314</v>
      </c>
    </row>
    <row r="1459" spans="1:8" ht="43.2" x14ac:dyDescent="0.3">
      <c r="A1459" t="s">
        <v>186</v>
      </c>
      <c r="B1459" s="2">
        <v>46054</v>
      </c>
      <c r="C1459" s="10" t="s">
        <v>314</v>
      </c>
    </row>
    <row r="1460" spans="1:8" ht="43.2" x14ac:dyDescent="0.3">
      <c r="A1460" t="s">
        <v>186</v>
      </c>
      <c r="B1460" s="2">
        <v>46082</v>
      </c>
      <c r="C1460" s="10" t="s">
        <v>314</v>
      </c>
    </row>
    <row r="1461" spans="1:8" ht="43.2" x14ac:dyDescent="0.3">
      <c r="A1461" t="s">
        <v>186</v>
      </c>
      <c r="B1461" s="2">
        <v>46113</v>
      </c>
      <c r="C1461" s="10" t="s">
        <v>314</v>
      </c>
    </row>
    <row r="1462" spans="1:8" ht="28.8" x14ac:dyDescent="0.3">
      <c r="A1462" t="s">
        <v>186</v>
      </c>
      <c r="B1462" s="2">
        <v>46143</v>
      </c>
      <c r="C1462" s="10" t="s">
        <v>867</v>
      </c>
    </row>
    <row r="1463" spans="1:8" x14ac:dyDescent="0.3">
      <c r="A1463" t="s">
        <v>186</v>
      </c>
      <c r="B1463" s="2">
        <v>46174</v>
      </c>
      <c r="C1463" s="10"/>
    </row>
    <row r="1464" spans="1:8" x14ac:dyDescent="0.3">
      <c r="A1464" t="s">
        <v>186</v>
      </c>
      <c r="B1464" s="2">
        <v>46204</v>
      </c>
      <c r="C1464" s="10">
        <v>31</v>
      </c>
      <c r="D1464">
        <v>0</v>
      </c>
      <c r="E1464" t="s">
        <v>33</v>
      </c>
      <c r="F1464" t="s">
        <v>33</v>
      </c>
      <c r="G1464" t="s">
        <v>1047</v>
      </c>
      <c r="H1464" t="s">
        <v>36</v>
      </c>
    </row>
    <row r="1465" spans="1:8" x14ac:dyDescent="0.3">
      <c r="A1465" t="s">
        <v>186</v>
      </c>
      <c r="B1465" s="2">
        <v>46235</v>
      </c>
      <c r="C1465" s="10"/>
    </row>
    <row r="1466" spans="1:8" x14ac:dyDescent="0.3">
      <c r="A1466" t="s">
        <v>188</v>
      </c>
      <c r="B1466" s="2">
        <v>45536</v>
      </c>
      <c r="C1466" s="10"/>
    </row>
    <row r="1467" spans="1:8" ht="28.8" x14ac:dyDescent="0.3">
      <c r="A1467" t="s">
        <v>188</v>
      </c>
      <c r="B1467" s="2">
        <v>45566</v>
      </c>
      <c r="C1467" s="10" t="s">
        <v>726</v>
      </c>
    </row>
    <row r="1468" spans="1:8" x14ac:dyDescent="0.3">
      <c r="A1468" t="s">
        <v>188</v>
      </c>
      <c r="B1468" s="2">
        <v>45597</v>
      </c>
      <c r="C1468" s="10"/>
    </row>
    <row r="1469" spans="1:8" x14ac:dyDescent="0.3">
      <c r="A1469" t="s">
        <v>188</v>
      </c>
      <c r="B1469" s="2">
        <v>45627</v>
      </c>
      <c r="C1469" s="10"/>
    </row>
    <row r="1470" spans="1:8" x14ac:dyDescent="0.3">
      <c r="A1470" t="s">
        <v>188</v>
      </c>
      <c r="B1470" s="2">
        <v>45658</v>
      </c>
      <c r="C1470" s="10"/>
    </row>
    <row r="1471" spans="1:8" ht="28.8" x14ac:dyDescent="0.3">
      <c r="A1471" t="s">
        <v>188</v>
      </c>
      <c r="B1471" s="2">
        <v>45689</v>
      </c>
      <c r="C1471" s="10" t="s">
        <v>726</v>
      </c>
    </row>
    <row r="1472" spans="1:8" ht="28.8" x14ac:dyDescent="0.3">
      <c r="A1472" t="s">
        <v>188</v>
      </c>
      <c r="B1472" s="2">
        <v>45717</v>
      </c>
      <c r="C1472" s="10" t="s">
        <v>727</v>
      </c>
    </row>
    <row r="1473" spans="1:8" ht="28.8" x14ac:dyDescent="0.3">
      <c r="A1473" t="s">
        <v>188</v>
      </c>
      <c r="B1473" s="2">
        <v>45748</v>
      </c>
      <c r="C1473" s="10" t="s">
        <v>727</v>
      </c>
    </row>
    <row r="1474" spans="1:8" ht="57.6" customHeight="1" x14ac:dyDescent="0.3">
      <c r="A1474" t="s">
        <v>188</v>
      </c>
      <c r="B1474" s="2">
        <v>45778</v>
      </c>
      <c r="C1474" s="10" t="s">
        <v>728</v>
      </c>
    </row>
    <row r="1475" spans="1:8" ht="57.6" customHeight="1" x14ac:dyDescent="0.3">
      <c r="A1475" t="s">
        <v>188</v>
      </c>
      <c r="B1475" s="2">
        <v>45809</v>
      </c>
      <c r="C1475" s="10" t="s">
        <v>729</v>
      </c>
    </row>
    <row r="1476" spans="1:8" ht="43.2" customHeight="1" x14ac:dyDescent="0.3">
      <c r="A1476" t="s">
        <v>188</v>
      </c>
      <c r="B1476" s="2">
        <v>45839</v>
      </c>
      <c r="C1476" s="10" t="s">
        <v>730</v>
      </c>
    </row>
    <row r="1477" spans="1:8" ht="43.2" customHeight="1" x14ac:dyDescent="0.3">
      <c r="A1477" t="s">
        <v>188</v>
      </c>
      <c r="B1477" s="2">
        <v>45870</v>
      </c>
      <c r="C1477" s="10" t="s">
        <v>731</v>
      </c>
    </row>
    <row r="1478" spans="1:8" ht="57.6" customHeight="1" x14ac:dyDescent="0.3">
      <c r="A1478" t="s">
        <v>188</v>
      </c>
      <c r="B1478" s="2">
        <v>45901</v>
      </c>
      <c r="C1478" s="10" t="s">
        <v>732</v>
      </c>
    </row>
    <row r="1479" spans="1:8" ht="57.6" customHeight="1" x14ac:dyDescent="0.3">
      <c r="A1479" t="s">
        <v>188</v>
      </c>
      <c r="B1479" s="2">
        <v>45931</v>
      </c>
      <c r="C1479" s="10" t="s">
        <v>733</v>
      </c>
    </row>
    <row r="1480" spans="1:8" ht="57.6" customHeight="1" x14ac:dyDescent="0.3">
      <c r="A1480" t="s">
        <v>188</v>
      </c>
      <c r="B1480" s="2">
        <v>45962</v>
      </c>
      <c r="C1480" s="10" t="s">
        <v>734</v>
      </c>
    </row>
    <row r="1481" spans="1:8" x14ac:dyDescent="0.3">
      <c r="A1481" t="s">
        <v>188</v>
      </c>
      <c r="B1481" s="2">
        <v>45992</v>
      </c>
      <c r="C1481" s="10" t="s">
        <v>598</v>
      </c>
    </row>
    <row r="1482" spans="1:8" x14ac:dyDescent="0.3">
      <c r="A1482" t="s">
        <v>188</v>
      </c>
      <c r="B1482" s="2">
        <v>46023</v>
      </c>
      <c r="C1482" s="10" t="s">
        <v>338</v>
      </c>
    </row>
    <row r="1483" spans="1:8" x14ac:dyDescent="0.3">
      <c r="A1483" t="s">
        <v>188</v>
      </c>
      <c r="B1483" s="2">
        <v>46054</v>
      </c>
      <c r="C1483" s="10" t="s">
        <v>326</v>
      </c>
    </row>
    <row r="1484" spans="1:8" x14ac:dyDescent="0.3">
      <c r="A1484" t="s">
        <v>188</v>
      </c>
      <c r="B1484" s="2">
        <v>46082</v>
      </c>
      <c r="C1484" s="10" t="s">
        <v>326</v>
      </c>
    </row>
    <row r="1485" spans="1:8" x14ac:dyDescent="0.3">
      <c r="A1485" t="s">
        <v>188</v>
      </c>
      <c r="B1485" s="2">
        <v>46113</v>
      </c>
      <c r="C1485" s="10" t="s">
        <v>302</v>
      </c>
    </row>
    <row r="1486" spans="1:8" x14ac:dyDescent="0.3">
      <c r="A1486" t="s">
        <v>188</v>
      </c>
      <c r="B1486" s="2">
        <v>46143</v>
      </c>
      <c r="C1486" s="10" t="s">
        <v>302</v>
      </c>
    </row>
    <row r="1487" spans="1:8" x14ac:dyDescent="0.3">
      <c r="A1487" t="s">
        <v>188</v>
      </c>
      <c r="B1487" s="2">
        <v>46174</v>
      </c>
      <c r="C1487" s="10"/>
    </row>
    <row r="1488" spans="1:8" x14ac:dyDescent="0.3">
      <c r="A1488" t="s">
        <v>188</v>
      </c>
      <c r="B1488" s="2">
        <v>46204</v>
      </c>
      <c r="C1488" s="10">
        <v>31</v>
      </c>
      <c r="D1488">
        <v>0</v>
      </c>
      <c r="E1488" t="s">
        <v>33</v>
      </c>
      <c r="F1488" t="s">
        <v>1049</v>
      </c>
      <c r="G1488" t="s">
        <v>1050</v>
      </c>
      <c r="H1488" t="s">
        <v>36</v>
      </c>
    </row>
    <row r="1489" spans="1:3" x14ac:dyDescent="0.3">
      <c r="A1489" t="s">
        <v>188</v>
      </c>
      <c r="B1489" s="2">
        <v>46235</v>
      </c>
      <c r="C1489" s="10"/>
    </row>
    <row r="1490" spans="1:3" x14ac:dyDescent="0.3">
      <c r="A1490" t="s">
        <v>226</v>
      </c>
      <c r="B1490" s="2">
        <v>45536</v>
      </c>
      <c r="C1490" s="10"/>
    </row>
    <row r="1491" spans="1:3" x14ac:dyDescent="0.3">
      <c r="A1491" t="s">
        <v>226</v>
      </c>
      <c r="B1491" s="2">
        <v>45566</v>
      </c>
      <c r="C1491" s="10"/>
    </row>
    <row r="1492" spans="1:3" x14ac:dyDescent="0.3">
      <c r="A1492" t="s">
        <v>226</v>
      </c>
      <c r="B1492" s="2">
        <v>45597</v>
      </c>
      <c r="C1492" s="10"/>
    </row>
    <row r="1493" spans="1:3" x14ac:dyDescent="0.3">
      <c r="A1493" t="s">
        <v>226</v>
      </c>
      <c r="B1493" s="2">
        <v>45627</v>
      </c>
      <c r="C1493" s="10"/>
    </row>
    <row r="1494" spans="1:3" x14ac:dyDescent="0.3">
      <c r="A1494" t="s">
        <v>226</v>
      </c>
      <c r="B1494" s="2">
        <v>45658</v>
      </c>
      <c r="C1494" s="10"/>
    </row>
    <row r="1495" spans="1:3" x14ac:dyDescent="0.3">
      <c r="A1495" t="s">
        <v>226</v>
      </c>
      <c r="B1495" s="2">
        <v>45689</v>
      </c>
      <c r="C1495" s="10"/>
    </row>
    <row r="1496" spans="1:3" x14ac:dyDescent="0.3">
      <c r="A1496" t="s">
        <v>226</v>
      </c>
      <c r="B1496" s="2">
        <v>45717</v>
      </c>
      <c r="C1496" s="10"/>
    </row>
    <row r="1497" spans="1:3" x14ac:dyDescent="0.3">
      <c r="A1497" t="s">
        <v>226</v>
      </c>
      <c r="B1497" s="2">
        <v>45748</v>
      </c>
      <c r="C1497" s="10"/>
    </row>
    <row r="1498" spans="1:3" x14ac:dyDescent="0.3">
      <c r="A1498" t="s">
        <v>226</v>
      </c>
      <c r="B1498" s="2">
        <v>45778</v>
      </c>
      <c r="C1498" s="10"/>
    </row>
    <row r="1499" spans="1:3" x14ac:dyDescent="0.3">
      <c r="A1499" t="s">
        <v>226</v>
      </c>
      <c r="B1499" s="2">
        <v>45809</v>
      </c>
      <c r="C1499" s="10"/>
    </row>
    <row r="1500" spans="1:3" x14ac:dyDescent="0.3">
      <c r="A1500" t="s">
        <v>226</v>
      </c>
      <c r="B1500" s="2">
        <v>45839</v>
      </c>
      <c r="C1500" s="10"/>
    </row>
    <row r="1501" spans="1:3" x14ac:dyDescent="0.3">
      <c r="A1501" t="s">
        <v>226</v>
      </c>
      <c r="B1501" s="2">
        <v>45870</v>
      </c>
      <c r="C1501" s="10"/>
    </row>
    <row r="1502" spans="1:3" x14ac:dyDescent="0.3">
      <c r="A1502" t="s">
        <v>226</v>
      </c>
      <c r="B1502" s="2">
        <v>45901</v>
      </c>
      <c r="C1502" s="10"/>
    </row>
    <row r="1503" spans="1:3" x14ac:dyDescent="0.3">
      <c r="A1503" t="s">
        <v>226</v>
      </c>
      <c r="B1503" s="2">
        <v>45931</v>
      </c>
      <c r="C1503" s="10"/>
    </row>
    <row r="1504" spans="1:3" x14ac:dyDescent="0.3">
      <c r="A1504" t="s">
        <v>226</v>
      </c>
      <c r="B1504" s="2">
        <v>45962</v>
      </c>
      <c r="C1504" s="10"/>
    </row>
    <row r="1505" spans="1:8" x14ac:dyDescent="0.3">
      <c r="A1505" t="s">
        <v>226</v>
      </c>
      <c r="B1505" s="2">
        <v>45992</v>
      </c>
      <c r="C1505" s="10" t="s">
        <v>493</v>
      </c>
    </row>
    <row r="1506" spans="1:8" x14ac:dyDescent="0.3">
      <c r="A1506" t="s">
        <v>226</v>
      </c>
      <c r="B1506" s="2">
        <v>46023</v>
      </c>
      <c r="C1506" s="10" t="s">
        <v>338</v>
      </c>
    </row>
    <row r="1507" spans="1:8" x14ac:dyDescent="0.3">
      <c r="A1507" t="s">
        <v>226</v>
      </c>
      <c r="B1507" s="2">
        <v>46054</v>
      </c>
      <c r="C1507" s="10" t="s">
        <v>326</v>
      </c>
    </row>
    <row r="1508" spans="1:8" x14ac:dyDescent="0.3">
      <c r="A1508" t="s">
        <v>226</v>
      </c>
      <c r="B1508" s="2">
        <v>46082</v>
      </c>
      <c r="C1508" s="10" t="s">
        <v>326</v>
      </c>
    </row>
    <row r="1509" spans="1:8" x14ac:dyDescent="0.3">
      <c r="A1509" t="s">
        <v>226</v>
      </c>
      <c r="B1509" s="2">
        <v>46113</v>
      </c>
      <c r="C1509" s="10" t="s">
        <v>302</v>
      </c>
    </row>
    <row r="1510" spans="1:8" x14ac:dyDescent="0.3">
      <c r="A1510" t="s">
        <v>226</v>
      </c>
      <c r="B1510" s="2">
        <v>46143</v>
      </c>
      <c r="C1510" s="10" t="s">
        <v>302</v>
      </c>
    </row>
    <row r="1511" spans="1:8" x14ac:dyDescent="0.3">
      <c r="A1511" t="s">
        <v>226</v>
      </c>
      <c r="B1511" s="2">
        <v>46174</v>
      </c>
      <c r="C1511" s="10"/>
    </row>
    <row r="1512" spans="1:8" x14ac:dyDescent="0.3">
      <c r="A1512" t="s">
        <v>226</v>
      </c>
      <c r="B1512" s="2">
        <v>46204</v>
      </c>
      <c r="C1512" s="10">
        <v>31</v>
      </c>
      <c r="D1512">
        <v>0</v>
      </c>
      <c r="E1512" t="s">
        <v>33</v>
      </c>
      <c r="F1512" t="s">
        <v>33</v>
      </c>
      <c r="G1512" t="s">
        <v>1014</v>
      </c>
      <c r="H1512" t="s">
        <v>36</v>
      </c>
    </row>
    <row r="1513" spans="1:8" x14ac:dyDescent="0.3">
      <c r="A1513" t="s">
        <v>226</v>
      </c>
      <c r="B1513" s="2">
        <v>46235</v>
      </c>
      <c r="C1513" s="10"/>
    </row>
    <row r="1514" spans="1:8" x14ac:dyDescent="0.3">
      <c r="A1514" t="s">
        <v>208</v>
      </c>
      <c r="B1514" s="2">
        <v>45536</v>
      </c>
      <c r="C1514" s="10"/>
    </row>
    <row r="1515" spans="1:8" x14ac:dyDescent="0.3">
      <c r="A1515" t="s">
        <v>208</v>
      </c>
      <c r="B1515" s="2">
        <v>45566</v>
      </c>
      <c r="C1515" s="10"/>
    </row>
    <row r="1516" spans="1:8" x14ac:dyDescent="0.3">
      <c r="A1516" t="s">
        <v>208</v>
      </c>
      <c r="B1516" s="2">
        <v>45597</v>
      </c>
      <c r="C1516" s="10"/>
    </row>
    <row r="1517" spans="1:8" x14ac:dyDescent="0.3">
      <c r="A1517" t="s">
        <v>208</v>
      </c>
      <c r="B1517" s="2">
        <v>45627</v>
      </c>
      <c r="C1517" s="10"/>
    </row>
    <row r="1518" spans="1:8" x14ac:dyDescent="0.3">
      <c r="A1518" t="s">
        <v>208</v>
      </c>
      <c r="B1518" s="2">
        <v>45658</v>
      </c>
      <c r="C1518" s="10"/>
    </row>
    <row r="1519" spans="1:8" x14ac:dyDescent="0.3">
      <c r="A1519" t="s">
        <v>208</v>
      </c>
      <c r="B1519" s="2">
        <v>45689</v>
      </c>
      <c r="C1519" s="10"/>
    </row>
    <row r="1520" spans="1:8" x14ac:dyDescent="0.3">
      <c r="A1520" t="s">
        <v>208</v>
      </c>
      <c r="B1520" s="2">
        <v>45717</v>
      </c>
      <c r="C1520" s="10"/>
    </row>
    <row r="1521" spans="1:8" x14ac:dyDescent="0.3">
      <c r="A1521" t="s">
        <v>208</v>
      </c>
      <c r="B1521" s="2">
        <v>45748</v>
      </c>
      <c r="C1521" s="10"/>
    </row>
    <row r="1522" spans="1:8" x14ac:dyDescent="0.3">
      <c r="A1522" t="s">
        <v>208</v>
      </c>
      <c r="B1522" s="2">
        <v>45778</v>
      </c>
      <c r="C1522" s="10"/>
    </row>
    <row r="1523" spans="1:8" x14ac:dyDescent="0.3">
      <c r="A1523" t="s">
        <v>208</v>
      </c>
      <c r="B1523" s="2">
        <v>45809</v>
      </c>
      <c r="C1523" s="10"/>
    </row>
    <row r="1524" spans="1:8" ht="57.6" customHeight="1" x14ac:dyDescent="0.3">
      <c r="A1524" t="s">
        <v>208</v>
      </c>
      <c r="B1524" s="2">
        <v>45839</v>
      </c>
      <c r="C1524" s="10" t="s">
        <v>735</v>
      </c>
    </row>
    <row r="1525" spans="1:8" ht="43.2" customHeight="1" x14ac:dyDescent="0.3">
      <c r="A1525" t="s">
        <v>208</v>
      </c>
      <c r="B1525" s="2">
        <v>45870</v>
      </c>
      <c r="C1525" s="10" t="s">
        <v>736</v>
      </c>
    </row>
    <row r="1526" spans="1:8" ht="43.2" customHeight="1" x14ac:dyDescent="0.3">
      <c r="A1526" t="s">
        <v>208</v>
      </c>
      <c r="B1526" s="2">
        <v>45901</v>
      </c>
      <c r="C1526" s="10" t="s">
        <v>737</v>
      </c>
    </row>
    <row r="1527" spans="1:8" ht="43.2" customHeight="1" x14ac:dyDescent="0.3">
      <c r="A1527" t="s">
        <v>208</v>
      </c>
      <c r="B1527" s="2">
        <v>45931</v>
      </c>
      <c r="C1527" s="10" t="s">
        <v>738</v>
      </c>
    </row>
    <row r="1528" spans="1:8" ht="43.2" customHeight="1" x14ac:dyDescent="0.3">
      <c r="A1528" t="s">
        <v>208</v>
      </c>
      <c r="B1528" s="2">
        <v>45962</v>
      </c>
      <c r="C1528" s="10" t="s">
        <v>739</v>
      </c>
    </row>
    <row r="1529" spans="1:8" ht="28.8" x14ac:dyDescent="0.3">
      <c r="A1529" t="s">
        <v>208</v>
      </c>
      <c r="B1529" s="2">
        <v>45992</v>
      </c>
      <c r="C1529" s="10" t="s">
        <v>740</v>
      </c>
    </row>
    <row r="1530" spans="1:8" x14ac:dyDescent="0.3">
      <c r="A1530" t="s">
        <v>208</v>
      </c>
      <c r="B1530" s="2">
        <v>46023</v>
      </c>
      <c r="C1530" s="10" t="s">
        <v>338</v>
      </c>
    </row>
    <row r="1531" spans="1:8" x14ac:dyDescent="0.3">
      <c r="A1531" t="s">
        <v>208</v>
      </c>
      <c r="B1531" s="2">
        <v>46054</v>
      </c>
      <c r="C1531" s="10" t="s">
        <v>326</v>
      </c>
    </row>
    <row r="1532" spans="1:8" x14ac:dyDescent="0.3">
      <c r="A1532" t="s">
        <v>208</v>
      </c>
      <c r="B1532" s="2">
        <v>46082</v>
      </c>
      <c r="C1532" s="10" t="s">
        <v>326</v>
      </c>
    </row>
    <row r="1533" spans="1:8" x14ac:dyDescent="0.3">
      <c r="A1533" t="s">
        <v>208</v>
      </c>
      <c r="B1533" s="2">
        <v>46113</v>
      </c>
      <c r="C1533" s="10" t="s">
        <v>302</v>
      </c>
    </row>
    <row r="1534" spans="1:8" x14ac:dyDescent="0.3">
      <c r="A1534" t="s">
        <v>208</v>
      </c>
      <c r="B1534" s="2">
        <v>46143</v>
      </c>
      <c r="C1534" s="10" t="s">
        <v>302</v>
      </c>
    </row>
    <row r="1535" spans="1:8" x14ac:dyDescent="0.3">
      <c r="A1535" t="s">
        <v>208</v>
      </c>
      <c r="B1535" s="2">
        <v>46174</v>
      </c>
      <c r="C1535" s="10"/>
    </row>
    <row r="1536" spans="1:8" x14ac:dyDescent="0.3">
      <c r="A1536" t="s">
        <v>208</v>
      </c>
      <c r="B1536" s="2">
        <v>46204</v>
      </c>
      <c r="C1536" s="10">
        <v>31</v>
      </c>
      <c r="D1536">
        <v>0</v>
      </c>
      <c r="E1536" t="s">
        <v>33</v>
      </c>
      <c r="F1536" t="s">
        <v>1049</v>
      </c>
      <c r="G1536" t="s">
        <v>1050</v>
      </c>
      <c r="H1536" t="s">
        <v>36</v>
      </c>
    </row>
    <row r="1537" spans="1:3" x14ac:dyDescent="0.3">
      <c r="A1537" t="s">
        <v>208</v>
      </c>
      <c r="B1537" s="2">
        <v>46235</v>
      </c>
      <c r="C1537" s="10"/>
    </row>
    <row r="1538" spans="1:3" x14ac:dyDescent="0.3">
      <c r="A1538" t="s">
        <v>190</v>
      </c>
      <c r="B1538" s="2">
        <v>45536</v>
      </c>
      <c r="C1538" s="10" t="s">
        <v>741</v>
      </c>
    </row>
    <row r="1539" spans="1:3" x14ac:dyDescent="0.3">
      <c r="A1539" t="s">
        <v>190</v>
      </c>
      <c r="B1539" s="2">
        <v>45566</v>
      </c>
      <c r="C1539" s="10"/>
    </row>
    <row r="1540" spans="1:3" x14ac:dyDescent="0.3">
      <c r="A1540" t="s">
        <v>190</v>
      </c>
      <c r="B1540" s="2">
        <v>45597</v>
      </c>
      <c r="C1540" s="10"/>
    </row>
    <row r="1541" spans="1:3" x14ac:dyDescent="0.3">
      <c r="A1541" t="s">
        <v>190</v>
      </c>
      <c r="B1541" s="2">
        <v>45627</v>
      </c>
      <c r="C1541" s="10"/>
    </row>
    <row r="1542" spans="1:3" x14ac:dyDescent="0.3">
      <c r="A1542" t="s">
        <v>190</v>
      </c>
      <c r="B1542" s="2">
        <v>45658</v>
      </c>
      <c r="C1542" s="10"/>
    </row>
    <row r="1543" spans="1:3" ht="28.8" x14ac:dyDescent="0.3">
      <c r="A1543" t="s">
        <v>190</v>
      </c>
      <c r="B1543" s="2">
        <v>45689</v>
      </c>
      <c r="C1543" s="10" t="s">
        <v>742</v>
      </c>
    </row>
    <row r="1544" spans="1:3" ht="28.8" x14ac:dyDescent="0.3">
      <c r="A1544" t="s">
        <v>190</v>
      </c>
      <c r="B1544" s="2">
        <v>45717</v>
      </c>
      <c r="C1544" s="10" t="s">
        <v>743</v>
      </c>
    </row>
    <row r="1545" spans="1:3" ht="28.8" x14ac:dyDescent="0.3">
      <c r="A1545" t="s">
        <v>190</v>
      </c>
      <c r="B1545" s="2">
        <v>45748</v>
      </c>
      <c r="C1545" s="10" t="s">
        <v>743</v>
      </c>
    </row>
    <row r="1546" spans="1:3" ht="72" customHeight="1" x14ac:dyDescent="0.3">
      <c r="A1546" t="s">
        <v>190</v>
      </c>
      <c r="B1546" s="2">
        <v>45778</v>
      </c>
      <c r="C1546" s="10" t="s">
        <v>744</v>
      </c>
    </row>
    <row r="1547" spans="1:3" ht="72" customHeight="1" x14ac:dyDescent="0.3">
      <c r="A1547" t="s">
        <v>190</v>
      </c>
      <c r="B1547" s="2">
        <v>45809</v>
      </c>
      <c r="C1547" s="10" t="s">
        <v>745</v>
      </c>
    </row>
    <row r="1548" spans="1:3" ht="72" customHeight="1" x14ac:dyDescent="0.3">
      <c r="A1548" t="s">
        <v>190</v>
      </c>
      <c r="B1548" s="2">
        <v>45839</v>
      </c>
      <c r="C1548" s="10" t="s">
        <v>746</v>
      </c>
    </row>
    <row r="1549" spans="1:3" ht="72" customHeight="1" x14ac:dyDescent="0.3">
      <c r="A1549" t="s">
        <v>190</v>
      </c>
      <c r="B1549" s="2">
        <v>45870</v>
      </c>
      <c r="C1549" s="10" t="s">
        <v>747</v>
      </c>
    </row>
    <row r="1550" spans="1:3" ht="72" customHeight="1" x14ac:dyDescent="0.3">
      <c r="A1550" t="s">
        <v>190</v>
      </c>
      <c r="B1550" s="2">
        <v>45901</v>
      </c>
      <c r="C1550" s="10" t="s">
        <v>748</v>
      </c>
    </row>
    <row r="1551" spans="1:3" ht="57.6" customHeight="1" x14ac:dyDescent="0.3">
      <c r="A1551" t="s">
        <v>190</v>
      </c>
      <c r="B1551" s="2">
        <v>45931</v>
      </c>
      <c r="C1551" s="10" t="s">
        <v>749</v>
      </c>
    </row>
    <row r="1552" spans="1:3" ht="72" customHeight="1" x14ac:dyDescent="0.3">
      <c r="A1552" t="s">
        <v>190</v>
      </c>
      <c r="B1552" s="2">
        <v>45962</v>
      </c>
      <c r="C1552" s="10" t="s">
        <v>750</v>
      </c>
    </row>
    <row r="1553" spans="1:8" ht="43.2" x14ac:dyDescent="0.3">
      <c r="A1553" t="s">
        <v>190</v>
      </c>
      <c r="B1553" s="2">
        <v>45992</v>
      </c>
      <c r="C1553" s="10" t="s">
        <v>751</v>
      </c>
    </row>
    <row r="1554" spans="1:8" ht="43.2" x14ac:dyDescent="0.3">
      <c r="A1554" t="s">
        <v>190</v>
      </c>
      <c r="B1554" s="2">
        <v>46023</v>
      </c>
      <c r="C1554" s="10" t="s">
        <v>751</v>
      </c>
    </row>
    <row r="1555" spans="1:8" ht="43.2" x14ac:dyDescent="0.3">
      <c r="A1555" t="s">
        <v>190</v>
      </c>
      <c r="B1555" s="2">
        <v>46054</v>
      </c>
      <c r="C1555" s="10" t="s">
        <v>751</v>
      </c>
    </row>
    <row r="1556" spans="1:8" ht="28.8" x14ac:dyDescent="0.3">
      <c r="A1556" t="s">
        <v>190</v>
      </c>
      <c r="B1556" s="2">
        <v>46082</v>
      </c>
      <c r="C1556" s="10" t="s">
        <v>752</v>
      </c>
    </row>
    <row r="1557" spans="1:8" ht="28.8" x14ac:dyDescent="0.3">
      <c r="A1557" t="s">
        <v>190</v>
      </c>
      <c r="B1557" s="2">
        <v>46113</v>
      </c>
      <c r="C1557" s="10" t="s">
        <v>752</v>
      </c>
    </row>
    <row r="1558" spans="1:8" ht="28.8" x14ac:dyDescent="0.3">
      <c r="A1558" t="s">
        <v>190</v>
      </c>
      <c r="B1558" s="2">
        <v>46143</v>
      </c>
      <c r="C1558" s="10" t="s">
        <v>867</v>
      </c>
    </row>
    <row r="1559" spans="1:8" x14ac:dyDescent="0.3">
      <c r="A1559" t="s">
        <v>190</v>
      </c>
      <c r="B1559" s="2">
        <v>46174</v>
      </c>
      <c r="C1559" s="10"/>
    </row>
    <row r="1560" spans="1:8" x14ac:dyDescent="0.3">
      <c r="A1560" t="s">
        <v>190</v>
      </c>
      <c r="B1560" s="2">
        <v>46204</v>
      </c>
      <c r="C1560" s="10">
        <v>31</v>
      </c>
      <c r="D1560">
        <v>0</v>
      </c>
      <c r="E1560" t="s">
        <v>33</v>
      </c>
      <c r="F1560" t="s">
        <v>33</v>
      </c>
      <c r="G1560" t="s">
        <v>932</v>
      </c>
      <c r="H1560" t="s">
        <v>36</v>
      </c>
    </row>
    <row r="1561" spans="1:8" x14ac:dyDescent="0.3">
      <c r="A1561" t="s">
        <v>190</v>
      </c>
      <c r="B1561" s="2">
        <v>46235</v>
      </c>
      <c r="C1561" s="10"/>
    </row>
    <row r="1562" spans="1:8" x14ac:dyDescent="0.3">
      <c r="A1562" t="s">
        <v>199</v>
      </c>
      <c r="B1562" s="2">
        <v>45536</v>
      </c>
      <c r="C1562" s="10"/>
    </row>
    <row r="1563" spans="1:8" x14ac:dyDescent="0.3">
      <c r="A1563" t="s">
        <v>199</v>
      </c>
      <c r="B1563" s="2">
        <v>45566</v>
      </c>
      <c r="C1563" s="10"/>
    </row>
    <row r="1564" spans="1:8" x14ac:dyDescent="0.3">
      <c r="A1564" t="s">
        <v>199</v>
      </c>
      <c r="B1564" s="2">
        <v>45597</v>
      </c>
      <c r="C1564" s="10"/>
    </row>
    <row r="1565" spans="1:8" x14ac:dyDescent="0.3">
      <c r="A1565" t="s">
        <v>199</v>
      </c>
      <c r="B1565" s="2">
        <v>45627</v>
      </c>
      <c r="C1565" s="10"/>
    </row>
    <row r="1566" spans="1:8" x14ac:dyDescent="0.3">
      <c r="A1566" t="s">
        <v>199</v>
      </c>
      <c r="B1566" s="2">
        <v>45658</v>
      </c>
      <c r="C1566" s="10"/>
    </row>
    <row r="1567" spans="1:8" ht="28.95" customHeight="1" x14ac:dyDescent="0.3">
      <c r="A1567" t="s">
        <v>199</v>
      </c>
      <c r="B1567" s="2">
        <v>45689</v>
      </c>
      <c r="C1567" s="10" t="s">
        <v>753</v>
      </c>
    </row>
    <row r="1568" spans="1:8" x14ac:dyDescent="0.3">
      <c r="A1568" t="s">
        <v>199</v>
      </c>
      <c r="B1568" s="2">
        <v>45717</v>
      </c>
      <c r="C1568" s="10" t="s">
        <v>706</v>
      </c>
    </row>
    <row r="1569" spans="1:8" ht="28.8" x14ac:dyDescent="0.3">
      <c r="A1569" t="s">
        <v>199</v>
      </c>
      <c r="B1569" s="2">
        <v>45748</v>
      </c>
      <c r="C1569" s="10" t="s">
        <v>754</v>
      </c>
    </row>
    <row r="1570" spans="1:8" ht="57.6" customHeight="1" x14ac:dyDescent="0.3">
      <c r="A1570" t="s">
        <v>199</v>
      </c>
      <c r="B1570" s="2">
        <v>45778</v>
      </c>
      <c r="C1570" s="10" t="s">
        <v>755</v>
      </c>
    </row>
    <row r="1571" spans="1:8" ht="57.6" customHeight="1" x14ac:dyDescent="0.3">
      <c r="A1571" t="s">
        <v>199</v>
      </c>
      <c r="B1571" s="2">
        <v>45809</v>
      </c>
      <c r="C1571" s="10" t="s">
        <v>756</v>
      </c>
    </row>
    <row r="1572" spans="1:8" ht="57.6" customHeight="1" x14ac:dyDescent="0.3">
      <c r="A1572" t="s">
        <v>199</v>
      </c>
      <c r="B1572" s="2">
        <v>45839</v>
      </c>
      <c r="C1572" s="10" t="s">
        <v>757</v>
      </c>
    </row>
    <row r="1573" spans="1:8" ht="57.6" customHeight="1" x14ac:dyDescent="0.3">
      <c r="A1573" t="s">
        <v>199</v>
      </c>
      <c r="B1573" s="2">
        <v>45870</v>
      </c>
      <c r="C1573" s="10" t="s">
        <v>758</v>
      </c>
    </row>
    <row r="1574" spans="1:8" ht="57.6" customHeight="1" x14ac:dyDescent="0.3">
      <c r="A1574" t="s">
        <v>199</v>
      </c>
      <c r="B1574" s="2">
        <v>45901</v>
      </c>
      <c r="C1574" s="10" t="s">
        <v>759</v>
      </c>
    </row>
    <row r="1575" spans="1:8" ht="57.6" customHeight="1" x14ac:dyDescent="0.3">
      <c r="A1575" t="s">
        <v>199</v>
      </c>
      <c r="B1575" s="2">
        <v>45931</v>
      </c>
      <c r="C1575" s="10" t="s">
        <v>760</v>
      </c>
    </row>
    <row r="1576" spans="1:8" ht="57.6" customHeight="1" x14ac:dyDescent="0.3">
      <c r="A1576" t="s">
        <v>199</v>
      </c>
      <c r="B1576" s="2">
        <v>45962</v>
      </c>
      <c r="C1576" s="10" t="s">
        <v>761</v>
      </c>
    </row>
    <row r="1577" spans="1:8" x14ac:dyDescent="0.3">
      <c r="A1577" t="s">
        <v>199</v>
      </c>
      <c r="B1577" s="2">
        <v>45992</v>
      </c>
      <c r="C1577" s="10" t="s">
        <v>598</v>
      </c>
    </row>
    <row r="1578" spans="1:8" x14ac:dyDescent="0.3">
      <c r="A1578" t="s">
        <v>199</v>
      </c>
      <c r="B1578" s="2">
        <v>46023</v>
      </c>
      <c r="C1578" s="10" t="s">
        <v>338</v>
      </c>
    </row>
    <row r="1579" spans="1:8" x14ac:dyDescent="0.3">
      <c r="A1579" t="s">
        <v>199</v>
      </c>
      <c r="B1579" s="2">
        <v>46054</v>
      </c>
      <c r="C1579" s="10" t="s">
        <v>326</v>
      </c>
    </row>
    <row r="1580" spans="1:8" ht="28.8" x14ac:dyDescent="0.3">
      <c r="A1580" t="s">
        <v>199</v>
      </c>
      <c r="B1580" s="2">
        <v>46082</v>
      </c>
      <c r="C1580" s="10" t="s">
        <v>762</v>
      </c>
    </row>
    <row r="1581" spans="1:8" ht="28.8" x14ac:dyDescent="0.3">
      <c r="A1581" t="s">
        <v>199</v>
      </c>
      <c r="B1581" s="2">
        <v>46113</v>
      </c>
      <c r="C1581" s="10" t="s">
        <v>752</v>
      </c>
    </row>
    <row r="1582" spans="1:8" ht="28.8" x14ac:dyDescent="0.3">
      <c r="A1582" t="s">
        <v>199</v>
      </c>
      <c r="B1582" s="2">
        <v>46143</v>
      </c>
      <c r="C1582" s="10" t="s">
        <v>867</v>
      </c>
    </row>
    <row r="1583" spans="1:8" x14ac:dyDescent="0.3">
      <c r="A1583" t="s">
        <v>213</v>
      </c>
      <c r="B1583" s="2">
        <v>46174</v>
      </c>
      <c r="C1583" t="s">
        <v>919</v>
      </c>
      <c r="D1583">
        <v>0</v>
      </c>
      <c r="E1583" t="s">
        <v>33</v>
      </c>
      <c r="F1583" t="s">
        <v>33</v>
      </c>
      <c r="G1583" s="10" t="s">
        <v>338</v>
      </c>
      <c r="H1583" t="s">
        <v>36</v>
      </c>
    </row>
    <row r="1584" spans="1:8" x14ac:dyDescent="0.3">
      <c r="A1584" t="s">
        <v>213</v>
      </c>
      <c r="B1584" s="2">
        <v>46204</v>
      </c>
      <c r="C1584" s="10">
        <v>20</v>
      </c>
      <c r="D1584" t="s">
        <v>1051</v>
      </c>
      <c r="E1584" t="s">
        <v>1052</v>
      </c>
      <c r="F1584" t="s">
        <v>33</v>
      </c>
      <c r="G1584" t="s">
        <v>1053</v>
      </c>
      <c r="H1584" t="s">
        <v>1054</v>
      </c>
    </row>
    <row r="1585" spans="1:3" x14ac:dyDescent="0.3">
      <c r="A1585" t="s">
        <v>199</v>
      </c>
      <c r="B1585" s="2">
        <v>46235</v>
      </c>
      <c r="C1585" s="10"/>
    </row>
    <row r="1586" spans="1:3" x14ac:dyDescent="0.3">
      <c r="A1586" t="s">
        <v>192</v>
      </c>
      <c r="B1586" s="2">
        <v>45536</v>
      </c>
      <c r="C1586" s="10"/>
    </row>
    <row r="1587" spans="1:3" x14ac:dyDescent="0.3">
      <c r="A1587" t="s">
        <v>192</v>
      </c>
      <c r="B1587" s="2">
        <v>45566</v>
      </c>
      <c r="C1587" s="10"/>
    </row>
    <row r="1588" spans="1:3" x14ac:dyDescent="0.3">
      <c r="A1588" t="s">
        <v>192</v>
      </c>
      <c r="B1588" s="2">
        <v>45597</v>
      </c>
      <c r="C1588" s="10"/>
    </row>
    <row r="1589" spans="1:3" x14ac:dyDescent="0.3">
      <c r="A1589" t="s">
        <v>192</v>
      </c>
      <c r="B1589" s="2">
        <v>45627</v>
      </c>
      <c r="C1589" s="10"/>
    </row>
    <row r="1590" spans="1:3" x14ac:dyDescent="0.3">
      <c r="A1590" t="s">
        <v>192</v>
      </c>
      <c r="B1590" s="2">
        <v>45658</v>
      </c>
      <c r="C1590" s="10"/>
    </row>
    <row r="1591" spans="1:3" x14ac:dyDescent="0.3">
      <c r="A1591" t="s">
        <v>192</v>
      </c>
      <c r="B1591" s="2">
        <v>45689</v>
      </c>
      <c r="C1591" s="10"/>
    </row>
    <row r="1592" spans="1:3" x14ac:dyDescent="0.3">
      <c r="A1592" t="s">
        <v>192</v>
      </c>
      <c r="B1592" s="2">
        <v>45717</v>
      </c>
      <c r="C1592" s="10"/>
    </row>
    <row r="1593" spans="1:3" x14ac:dyDescent="0.3">
      <c r="A1593" t="s">
        <v>192</v>
      </c>
      <c r="B1593" s="2">
        <v>45748</v>
      </c>
      <c r="C1593" s="10"/>
    </row>
    <row r="1594" spans="1:3" x14ac:dyDescent="0.3">
      <c r="A1594" t="s">
        <v>192</v>
      </c>
      <c r="B1594" s="2">
        <v>45778</v>
      </c>
      <c r="C1594" s="10"/>
    </row>
    <row r="1595" spans="1:3" x14ac:dyDescent="0.3">
      <c r="A1595" t="s">
        <v>192</v>
      </c>
      <c r="B1595" s="2">
        <v>45809</v>
      </c>
      <c r="C1595" s="10"/>
    </row>
    <row r="1596" spans="1:3" x14ac:dyDescent="0.3">
      <c r="A1596" t="s">
        <v>192</v>
      </c>
      <c r="B1596" s="2">
        <v>45839</v>
      </c>
      <c r="C1596" s="10"/>
    </row>
    <row r="1597" spans="1:3" x14ac:dyDescent="0.3">
      <c r="A1597" t="s">
        <v>192</v>
      </c>
      <c r="B1597" s="2">
        <v>45870</v>
      </c>
      <c r="C1597" s="10"/>
    </row>
    <row r="1598" spans="1:3" x14ac:dyDescent="0.3">
      <c r="A1598" t="s">
        <v>192</v>
      </c>
      <c r="B1598" s="2">
        <v>45901</v>
      </c>
      <c r="C1598" s="10"/>
    </row>
    <row r="1599" spans="1:3" x14ac:dyDescent="0.3">
      <c r="A1599" t="s">
        <v>192</v>
      </c>
      <c r="B1599" s="2">
        <v>45931</v>
      </c>
      <c r="C1599" s="10"/>
    </row>
    <row r="1600" spans="1:3" x14ac:dyDescent="0.3">
      <c r="A1600" t="s">
        <v>192</v>
      </c>
      <c r="B1600" s="2">
        <v>45962</v>
      </c>
      <c r="C1600" s="10"/>
    </row>
    <row r="1601" spans="1:8" x14ac:dyDescent="0.3">
      <c r="A1601" t="s">
        <v>192</v>
      </c>
      <c r="B1601" s="2">
        <v>45992</v>
      </c>
      <c r="C1601" s="10"/>
    </row>
    <row r="1602" spans="1:8" x14ac:dyDescent="0.3">
      <c r="A1602" t="s">
        <v>192</v>
      </c>
      <c r="B1602" s="2">
        <v>46023</v>
      </c>
      <c r="C1602" s="10"/>
    </row>
    <row r="1603" spans="1:8" x14ac:dyDescent="0.3">
      <c r="A1603" t="s">
        <v>192</v>
      </c>
      <c r="B1603" s="2">
        <v>46054</v>
      </c>
      <c r="C1603" s="10"/>
    </row>
    <row r="1604" spans="1:8" x14ac:dyDescent="0.3">
      <c r="A1604" t="s">
        <v>192</v>
      </c>
      <c r="B1604" s="2">
        <v>46082</v>
      </c>
      <c r="C1604" s="10"/>
    </row>
    <row r="1605" spans="1:8" x14ac:dyDescent="0.3">
      <c r="A1605" t="s">
        <v>192</v>
      </c>
      <c r="B1605" s="2">
        <v>46113</v>
      </c>
      <c r="C1605" s="10"/>
    </row>
    <row r="1606" spans="1:8" x14ac:dyDescent="0.3">
      <c r="A1606" t="s">
        <v>192</v>
      </c>
      <c r="B1606" s="2">
        <v>46143</v>
      </c>
      <c r="C1606" s="10" t="s">
        <v>862</v>
      </c>
    </row>
    <row r="1607" spans="1:8" x14ac:dyDescent="0.3">
      <c r="A1607" t="s">
        <v>216</v>
      </c>
      <c r="B1607" s="2">
        <v>46174</v>
      </c>
      <c r="C1607" s="10"/>
    </row>
    <row r="1608" spans="1:8" x14ac:dyDescent="0.3">
      <c r="A1608" t="s">
        <v>216</v>
      </c>
      <c r="B1608" s="2">
        <v>46204</v>
      </c>
      <c r="C1608" s="10">
        <v>20</v>
      </c>
      <c r="D1608" t="s">
        <v>1051</v>
      </c>
      <c r="E1608" t="s">
        <v>1052</v>
      </c>
      <c r="F1608" t="s">
        <v>33</v>
      </c>
      <c r="G1608" t="s">
        <v>1053</v>
      </c>
      <c r="H1608" t="s">
        <v>36</v>
      </c>
    </row>
    <row r="1609" spans="1:8" x14ac:dyDescent="0.3">
      <c r="A1609" t="s">
        <v>192</v>
      </c>
      <c r="B1609" s="2">
        <v>46235</v>
      </c>
      <c r="C1609" s="10"/>
    </row>
    <row r="1610" spans="1:8" x14ac:dyDescent="0.3">
      <c r="A1610" t="s">
        <v>194</v>
      </c>
      <c r="B1610" s="2">
        <v>45536</v>
      </c>
      <c r="C1610" s="10"/>
    </row>
    <row r="1611" spans="1:8" x14ac:dyDescent="0.3">
      <c r="A1611" t="s">
        <v>194</v>
      </c>
      <c r="B1611" s="2">
        <v>45566</v>
      </c>
      <c r="C1611" s="10"/>
    </row>
    <row r="1612" spans="1:8" x14ac:dyDescent="0.3">
      <c r="A1612" t="s">
        <v>194</v>
      </c>
      <c r="B1612" s="2">
        <v>45597</v>
      </c>
      <c r="C1612" s="10"/>
    </row>
    <row r="1613" spans="1:8" x14ac:dyDescent="0.3">
      <c r="A1613" t="s">
        <v>194</v>
      </c>
      <c r="B1613" s="2">
        <v>45627</v>
      </c>
      <c r="C1613" s="10"/>
    </row>
    <row r="1614" spans="1:8" x14ac:dyDescent="0.3">
      <c r="A1614" t="s">
        <v>194</v>
      </c>
      <c r="B1614" s="2">
        <v>45658</v>
      </c>
      <c r="C1614" s="10"/>
    </row>
    <row r="1615" spans="1:8" ht="28.8" x14ac:dyDescent="0.3">
      <c r="A1615" t="s">
        <v>194</v>
      </c>
      <c r="B1615" s="2">
        <v>45689</v>
      </c>
      <c r="C1615" s="10" t="s">
        <v>763</v>
      </c>
    </row>
    <row r="1616" spans="1:8" ht="57.6" customHeight="1" x14ac:dyDescent="0.3">
      <c r="A1616" t="s">
        <v>194</v>
      </c>
      <c r="B1616" s="2">
        <v>45717</v>
      </c>
      <c r="C1616" s="10" t="s">
        <v>764</v>
      </c>
    </row>
    <row r="1617" spans="1:8" ht="57.6" customHeight="1" x14ac:dyDescent="0.3">
      <c r="A1617" t="s">
        <v>194</v>
      </c>
      <c r="B1617" s="2">
        <v>45748</v>
      </c>
      <c r="C1617" s="10" t="s">
        <v>765</v>
      </c>
    </row>
    <row r="1618" spans="1:8" ht="72" customHeight="1" x14ac:dyDescent="0.3">
      <c r="A1618" t="s">
        <v>194</v>
      </c>
      <c r="B1618" s="2">
        <v>45778</v>
      </c>
      <c r="C1618" s="10" t="s">
        <v>766</v>
      </c>
    </row>
    <row r="1619" spans="1:8" ht="72" customHeight="1" x14ac:dyDescent="0.3">
      <c r="A1619" t="s">
        <v>194</v>
      </c>
      <c r="B1619" s="2">
        <v>45809</v>
      </c>
      <c r="C1619" s="10" t="s">
        <v>767</v>
      </c>
    </row>
    <row r="1620" spans="1:8" x14ac:dyDescent="0.3">
      <c r="A1620" t="s">
        <v>194</v>
      </c>
      <c r="B1620" s="2">
        <v>45839</v>
      </c>
      <c r="C1620" t="s">
        <v>911</v>
      </c>
      <c r="D1620">
        <v>0</v>
      </c>
      <c r="E1620" t="s">
        <v>33</v>
      </c>
      <c r="F1620" t="s">
        <v>33</v>
      </c>
      <c r="G1620" s="21" t="s">
        <v>932</v>
      </c>
      <c r="H1620" t="s">
        <v>36</v>
      </c>
    </row>
    <row r="1621" spans="1:8" x14ac:dyDescent="0.3">
      <c r="A1621" t="s">
        <v>194</v>
      </c>
      <c r="B1621" s="2">
        <v>45870</v>
      </c>
      <c r="C1621" t="s">
        <v>911</v>
      </c>
      <c r="D1621">
        <v>0</v>
      </c>
      <c r="E1621" t="s">
        <v>33</v>
      </c>
      <c r="F1621" t="s">
        <v>33</v>
      </c>
      <c r="G1621" s="21" t="s">
        <v>932</v>
      </c>
      <c r="H1621" t="s">
        <v>36</v>
      </c>
    </row>
    <row r="1622" spans="1:8" x14ac:dyDescent="0.3">
      <c r="A1622" t="s">
        <v>194</v>
      </c>
      <c r="B1622" s="2">
        <v>45901</v>
      </c>
      <c r="C1622" t="s">
        <v>919</v>
      </c>
      <c r="D1622">
        <v>0</v>
      </c>
      <c r="E1622" t="s">
        <v>33</v>
      </c>
      <c r="F1622" t="s">
        <v>33</v>
      </c>
      <c r="G1622" s="21" t="s">
        <v>932</v>
      </c>
      <c r="H1622" t="s">
        <v>36</v>
      </c>
    </row>
    <row r="1623" spans="1:8" x14ac:dyDescent="0.3">
      <c r="A1623" t="s">
        <v>194</v>
      </c>
      <c r="B1623" s="2">
        <v>45931</v>
      </c>
      <c r="C1623" t="s">
        <v>911</v>
      </c>
      <c r="D1623">
        <v>0</v>
      </c>
      <c r="E1623" t="s">
        <v>33</v>
      </c>
      <c r="F1623" t="s">
        <v>33</v>
      </c>
      <c r="G1623" s="21" t="s">
        <v>932</v>
      </c>
      <c r="H1623" t="s">
        <v>36</v>
      </c>
    </row>
    <row r="1624" spans="1:8" x14ac:dyDescent="0.3">
      <c r="A1624" t="s">
        <v>194</v>
      </c>
      <c r="B1624" s="2">
        <v>45962</v>
      </c>
      <c r="C1624" t="s">
        <v>919</v>
      </c>
      <c r="D1624">
        <v>0</v>
      </c>
      <c r="E1624" t="s">
        <v>33</v>
      </c>
      <c r="F1624" t="s">
        <v>33</v>
      </c>
      <c r="G1624" s="21" t="s">
        <v>932</v>
      </c>
      <c r="H1624" t="s">
        <v>36</v>
      </c>
    </row>
    <row r="1625" spans="1:8" x14ac:dyDescent="0.3">
      <c r="A1625" t="s">
        <v>194</v>
      </c>
      <c r="B1625" s="2">
        <v>45992</v>
      </c>
      <c r="C1625" t="s">
        <v>911</v>
      </c>
      <c r="D1625">
        <v>0</v>
      </c>
      <c r="E1625" t="s">
        <v>33</v>
      </c>
      <c r="F1625" t="s">
        <v>33</v>
      </c>
      <c r="G1625" s="10" t="s">
        <v>338</v>
      </c>
      <c r="H1625" t="s">
        <v>36</v>
      </c>
    </row>
    <row r="1626" spans="1:8" x14ac:dyDescent="0.3">
      <c r="A1626" t="s">
        <v>194</v>
      </c>
      <c r="B1626" s="2">
        <v>46023</v>
      </c>
      <c r="C1626" t="s">
        <v>911</v>
      </c>
      <c r="D1626">
        <v>0</v>
      </c>
      <c r="E1626" t="s">
        <v>33</v>
      </c>
      <c r="F1626" t="s">
        <v>33</v>
      </c>
      <c r="G1626" s="10" t="s">
        <v>338</v>
      </c>
      <c r="H1626" t="s">
        <v>36</v>
      </c>
    </row>
    <row r="1627" spans="1:8" x14ac:dyDescent="0.3">
      <c r="A1627" t="s">
        <v>194</v>
      </c>
      <c r="B1627" s="2">
        <v>46054</v>
      </c>
      <c r="C1627" t="s">
        <v>895</v>
      </c>
      <c r="D1627">
        <v>0</v>
      </c>
      <c r="E1627" t="s">
        <v>33</v>
      </c>
      <c r="F1627" t="s">
        <v>33</v>
      </c>
      <c r="G1627" s="10" t="s">
        <v>338</v>
      </c>
      <c r="H1627" t="s">
        <v>36</v>
      </c>
    </row>
    <row r="1628" spans="1:8" x14ac:dyDescent="0.3">
      <c r="A1628" t="s">
        <v>194</v>
      </c>
      <c r="B1628" s="2">
        <v>46082</v>
      </c>
      <c r="C1628" t="s">
        <v>911</v>
      </c>
      <c r="D1628">
        <v>0</v>
      </c>
      <c r="E1628" t="s">
        <v>33</v>
      </c>
      <c r="F1628" t="s">
        <v>33</v>
      </c>
      <c r="G1628" s="21" t="s">
        <v>932</v>
      </c>
      <c r="H1628" t="s">
        <v>36</v>
      </c>
    </row>
    <row r="1629" spans="1:8" x14ac:dyDescent="0.3">
      <c r="A1629" t="s">
        <v>194</v>
      </c>
      <c r="B1629" s="2">
        <v>46113</v>
      </c>
      <c r="C1629" t="s">
        <v>919</v>
      </c>
      <c r="D1629">
        <v>0</v>
      </c>
      <c r="E1629" t="s">
        <v>33</v>
      </c>
      <c r="F1629" t="s">
        <v>33</v>
      </c>
      <c r="G1629" s="21" t="s">
        <v>932</v>
      </c>
      <c r="H1629" t="s">
        <v>36</v>
      </c>
    </row>
    <row r="1630" spans="1:8" x14ac:dyDescent="0.3">
      <c r="A1630" t="s">
        <v>194</v>
      </c>
      <c r="B1630" s="2">
        <v>46143</v>
      </c>
      <c r="C1630" t="s">
        <v>911</v>
      </c>
      <c r="D1630">
        <v>0</v>
      </c>
      <c r="E1630" t="s">
        <v>33</v>
      </c>
      <c r="F1630" t="s">
        <v>33</v>
      </c>
      <c r="G1630" s="21" t="s">
        <v>932</v>
      </c>
      <c r="H1630" t="s">
        <v>36</v>
      </c>
    </row>
    <row r="1631" spans="1:8" x14ac:dyDescent="0.3">
      <c r="A1631" t="s">
        <v>218</v>
      </c>
      <c r="B1631" s="2">
        <v>46174</v>
      </c>
      <c r="C1631" t="s">
        <v>919</v>
      </c>
      <c r="D1631">
        <v>0</v>
      </c>
      <c r="E1631" t="s">
        <v>33</v>
      </c>
      <c r="F1631" t="s">
        <v>33</v>
      </c>
      <c r="G1631" s="10" t="s">
        <v>338</v>
      </c>
      <c r="H1631" t="s">
        <v>36</v>
      </c>
    </row>
    <row r="1632" spans="1:8" x14ac:dyDescent="0.3">
      <c r="A1632" t="s">
        <v>218</v>
      </c>
      <c r="B1632" s="2">
        <v>46204</v>
      </c>
      <c r="C1632" s="10">
        <v>31</v>
      </c>
      <c r="D1632">
        <v>0</v>
      </c>
      <c r="E1632" t="s">
        <v>33</v>
      </c>
      <c r="F1632" t="s">
        <v>33</v>
      </c>
      <c r="G1632" t="s">
        <v>1050</v>
      </c>
      <c r="H1632" t="s">
        <v>36</v>
      </c>
    </row>
    <row r="1633" spans="1:3" x14ac:dyDescent="0.3">
      <c r="A1633" t="s">
        <v>194</v>
      </c>
      <c r="B1633" s="2">
        <v>46235</v>
      </c>
      <c r="C1633" s="10"/>
    </row>
    <row r="1634" spans="1:3" x14ac:dyDescent="0.3">
      <c r="A1634" t="s">
        <v>196</v>
      </c>
      <c r="B1634" s="2">
        <v>45536</v>
      </c>
      <c r="C1634" s="10"/>
    </row>
    <row r="1635" spans="1:3" x14ac:dyDescent="0.3">
      <c r="A1635" t="s">
        <v>196</v>
      </c>
      <c r="B1635" s="2">
        <v>45566</v>
      </c>
      <c r="C1635" s="10"/>
    </row>
    <row r="1636" spans="1:3" x14ac:dyDescent="0.3">
      <c r="A1636" t="s">
        <v>196</v>
      </c>
      <c r="B1636" s="2">
        <v>45597</v>
      </c>
      <c r="C1636" s="10"/>
    </row>
    <row r="1637" spans="1:3" x14ac:dyDescent="0.3">
      <c r="A1637" t="s">
        <v>196</v>
      </c>
      <c r="B1637" s="2">
        <v>45627</v>
      </c>
      <c r="C1637" s="10"/>
    </row>
    <row r="1638" spans="1:3" x14ac:dyDescent="0.3">
      <c r="A1638" t="s">
        <v>196</v>
      </c>
      <c r="B1638" s="2">
        <v>45658</v>
      </c>
      <c r="C1638" s="10"/>
    </row>
    <row r="1639" spans="1:3" x14ac:dyDescent="0.3">
      <c r="A1639" t="s">
        <v>196</v>
      </c>
      <c r="B1639" s="2">
        <v>45689</v>
      </c>
      <c r="C1639" s="10" t="s">
        <v>768</v>
      </c>
    </row>
    <row r="1640" spans="1:3" ht="57.6" customHeight="1" x14ac:dyDescent="0.3">
      <c r="A1640" t="s">
        <v>196</v>
      </c>
      <c r="B1640" s="2">
        <v>45717</v>
      </c>
      <c r="C1640" s="10" t="s">
        <v>769</v>
      </c>
    </row>
    <row r="1641" spans="1:3" ht="43.2" customHeight="1" x14ac:dyDescent="0.3">
      <c r="A1641" t="s">
        <v>196</v>
      </c>
      <c r="B1641" s="2">
        <v>45748</v>
      </c>
      <c r="C1641" s="10" t="s">
        <v>770</v>
      </c>
    </row>
    <row r="1642" spans="1:3" ht="57.6" customHeight="1" x14ac:dyDescent="0.3">
      <c r="A1642" t="s">
        <v>196</v>
      </c>
      <c r="B1642" s="2">
        <v>45778</v>
      </c>
      <c r="C1642" s="10" t="s">
        <v>771</v>
      </c>
    </row>
    <row r="1643" spans="1:3" ht="57.6" customHeight="1" x14ac:dyDescent="0.3">
      <c r="A1643" t="s">
        <v>196</v>
      </c>
      <c r="B1643" s="2">
        <v>45809</v>
      </c>
      <c r="C1643" s="10" t="s">
        <v>772</v>
      </c>
    </row>
    <row r="1644" spans="1:3" ht="57.6" customHeight="1" x14ac:dyDescent="0.3">
      <c r="A1644" t="s">
        <v>196</v>
      </c>
      <c r="B1644" s="2">
        <v>45839</v>
      </c>
      <c r="C1644" s="10" t="s">
        <v>773</v>
      </c>
    </row>
    <row r="1645" spans="1:3" ht="57.6" customHeight="1" x14ac:dyDescent="0.3">
      <c r="A1645" t="s">
        <v>196</v>
      </c>
      <c r="B1645" s="2">
        <v>45870</v>
      </c>
      <c r="C1645" s="10" t="s">
        <v>774</v>
      </c>
    </row>
    <row r="1646" spans="1:3" ht="57.6" customHeight="1" x14ac:dyDescent="0.3">
      <c r="A1646" t="s">
        <v>196</v>
      </c>
      <c r="B1646" s="2">
        <v>45901</v>
      </c>
      <c r="C1646" s="10" t="s">
        <v>775</v>
      </c>
    </row>
    <row r="1647" spans="1:3" ht="57.6" customHeight="1" x14ac:dyDescent="0.3">
      <c r="A1647" t="s">
        <v>196</v>
      </c>
      <c r="B1647" s="2">
        <v>45931</v>
      </c>
      <c r="C1647" s="10" t="s">
        <v>776</v>
      </c>
    </row>
    <row r="1648" spans="1:3" ht="57.6" customHeight="1" x14ac:dyDescent="0.3">
      <c r="A1648" t="s">
        <v>196</v>
      </c>
      <c r="B1648" s="2">
        <v>45962</v>
      </c>
      <c r="C1648" s="10" t="s">
        <v>777</v>
      </c>
    </row>
    <row r="1649" spans="1:8" x14ac:dyDescent="0.3">
      <c r="A1649" t="s">
        <v>196</v>
      </c>
      <c r="B1649" s="2">
        <v>45992</v>
      </c>
      <c r="C1649" s="10" t="s">
        <v>598</v>
      </c>
    </row>
    <row r="1650" spans="1:8" x14ac:dyDescent="0.3">
      <c r="A1650" t="s">
        <v>196</v>
      </c>
      <c r="B1650" s="2">
        <v>46023</v>
      </c>
      <c r="C1650" s="10" t="s">
        <v>338</v>
      </c>
    </row>
    <row r="1651" spans="1:8" x14ac:dyDescent="0.3">
      <c r="A1651" t="s">
        <v>196</v>
      </c>
      <c r="B1651" s="2">
        <v>46054</v>
      </c>
      <c r="C1651" s="10" t="s">
        <v>326</v>
      </c>
    </row>
    <row r="1652" spans="1:8" x14ac:dyDescent="0.3">
      <c r="A1652" t="s">
        <v>196</v>
      </c>
      <c r="B1652" s="2">
        <v>46082</v>
      </c>
      <c r="C1652" s="10" t="s">
        <v>326</v>
      </c>
    </row>
    <row r="1653" spans="1:8" x14ac:dyDescent="0.3">
      <c r="A1653" t="s">
        <v>196</v>
      </c>
      <c r="B1653" s="2">
        <v>46113</v>
      </c>
      <c r="C1653" s="10" t="s">
        <v>302</v>
      </c>
    </row>
    <row r="1654" spans="1:8" x14ac:dyDescent="0.3">
      <c r="A1654" t="s">
        <v>196</v>
      </c>
      <c r="B1654" s="2">
        <v>46143</v>
      </c>
      <c r="C1654" s="10" t="s">
        <v>302</v>
      </c>
    </row>
    <row r="1655" spans="1:8" x14ac:dyDescent="0.3">
      <c r="A1655" t="s">
        <v>192</v>
      </c>
      <c r="B1655" s="2">
        <v>46174</v>
      </c>
      <c r="C1655" s="10"/>
    </row>
    <row r="1656" spans="1:8" x14ac:dyDescent="0.3">
      <c r="A1656" t="s">
        <v>192</v>
      </c>
      <c r="B1656" s="2">
        <v>46204</v>
      </c>
      <c r="C1656" s="10" t="s">
        <v>36</v>
      </c>
      <c r="D1656" s="10" t="s">
        <v>36</v>
      </c>
      <c r="E1656" s="10" t="s">
        <v>36</v>
      </c>
      <c r="F1656" t="s">
        <v>1055</v>
      </c>
      <c r="G1656" t="s">
        <v>36</v>
      </c>
      <c r="H1656" t="s">
        <v>36</v>
      </c>
    </row>
    <row r="1657" spans="1:8" x14ac:dyDescent="0.3">
      <c r="A1657" t="s">
        <v>196</v>
      </c>
      <c r="B1657" s="2">
        <v>46235</v>
      </c>
      <c r="C1657" s="10"/>
    </row>
    <row r="1658" spans="1:8" x14ac:dyDescent="0.3">
      <c r="A1658" t="s">
        <v>201</v>
      </c>
      <c r="B1658" s="2">
        <v>45536</v>
      </c>
      <c r="C1658" s="10"/>
    </row>
    <row r="1659" spans="1:8" x14ac:dyDescent="0.3">
      <c r="A1659" t="s">
        <v>201</v>
      </c>
      <c r="B1659" s="2">
        <v>45566</v>
      </c>
      <c r="C1659" s="10"/>
    </row>
    <row r="1660" spans="1:8" x14ac:dyDescent="0.3">
      <c r="A1660" t="s">
        <v>201</v>
      </c>
      <c r="B1660" s="2">
        <v>45597</v>
      </c>
      <c r="C1660" s="10"/>
    </row>
    <row r="1661" spans="1:8" x14ac:dyDescent="0.3">
      <c r="A1661" t="s">
        <v>201</v>
      </c>
      <c r="B1661" s="2">
        <v>45627</v>
      </c>
      <c r="C1661" s="10"/>
    </row>
    <row r="1662" spans="1:8" x14ac:dyDescent="0.3">
      <c r="A1662" t="s">
        <v>201</v>
      </c>
      <c r="B1662" s="2">
        <v>45658</v>
      </c>
      <c r="C1662" s="10"/>
    </row>
    <row r="1663" spans="1:8" ht="28.95" customHeight="1" x14ac:dyDescent="0.3">
      <c r="A1663" t="s">
        <v>201</v>
      </c>
      <c r="B1663" s="2">
        <v>45689</v>
      </c>
      <c r="C1663" s="10" t="s">
        <v>778</v>
      </c>
    </row>
    <row r="1664" spans="1:8" x14ac:dyDescent="0.3">
      <c r="A1664" t="s">
        <v>201</v>
      </c>
      <c r="B1664" s="2">
        <v>45717</v>
      </c>
      <c r="C1664" s="10" t="s">
        <v>455</v>
      </c>
    </row>
    <row r="1665" spans="1:8" ht="28.8" x14ac:dyDescent="0.3">
      <c r="A1665" t="s">
        <v>201</v>
      </c>
      <c r="B1665" s="2">
        <v>45748</v>
      </c>
      <c r="C1665" s="10" t="s">
        <v>779</v>
      </c>
    </row>
    <row r="1666" spans="1:8" ht="57.6" customHeight="1" x14ac:dyDescent="0.3">
      <c r="A1666" t="s">
        <v>201</v>
      </c>
      <c r="B1666" s="2">
        <v>45778</v>
      </c>
      <c r="C1666" s="10" t="s">
        <v>780</v>
      </c>
    </row>
    <row r="1667" spans="1:8" ht="57.6" customHeight="1" x14ac:dyDescent="0.3">
      <c r="A1667" t="s">
        <v>201</v>
      </c>
      <c r="B1667" s="2">
        <v>45809</v>
      </c>
      <c r="C1667" s="10" t="s">
        <v>781</v>
      </c>
    </row>
    <row r="1668" spans="1:8" ht="57.6" customHeight="1" x14ac:dyDescent="0.3">
      <c r="A1668" t="s">
        <v>201</v>
      </c>
      <c r="B1668" s="2">
        <v>45839</v>
      </c>
      <c r="C1668" s="10" t="s">
        <v>782</v>
      </c>
    </row>
    <row r="1669" spans="1:8" ht="72" customHeight="1" x14ac:dyDescent="0.3">
      <c r="A1669" t="s">
        <v>201</v>
      </c>
      <c r="B1669" s="2">
        <v>45870</v>
      </c>
      <c r="C1669" s="10" t="s">
        <v>783</v>
      </c>
    </row>
    <row r="1670" spans="1:8" ht="57.6" customHeight="1" x14ac:dyDescent="0.3">
      <c r="A1670" t="s">
        <v>201</v>
      </c>
      <c r="B1670" s="2">
        <v>45901</v>
      </c>
      <c r="C1670" s="10" t="s">
        <v>784</v>
      </c>
    </row>
    <row r="1671" spans="1:8" ht="57.6" customHeight="1" x14ac:dyDescent="0.3">
      <c r="A1671" t="s">
        <v>201</v>
      </c>
      <c r="B1671" s="2">
        <v>45931</v>
      </c>
      <c r="C1671" s="10" t="s">
        <v>785</v>
      </c>
    </row>
    <row r="1672" spans="1:8" ht="57.6" customHeight="1" x14ac:dyDescent="0.3">
      <c r="A1672" t="s">
        <v>201</v>
      </c>
      <c r="B1672" s="2">
        <v>45962</v>
      </c>
      <c r="C1672" s="10" t="s">
        <v>786</v>
      </c>
    </row>
    <row r="1673" spans="1:8" ht="28.8" x14ac:dyDescent="0.3">
      <c r="A1673" t="s">
        <v>201</v>
      </c>
      <c r="B1673" s="2">
        <v>45992</v>
      </c>
      <c r="C1673" s="10" t="s">
        <v>787</v>
      </c>
    </row>
    <row r="1674" spans="1:8" x14ac:dyDescent="0.3">
      <c r="A1674" t="s">
        <v>201</v>
      </c>
      <c r="B1674" s="2">
        <v>46023</v>
      </c>
      <c r="C1674" s="10" t="s">
        <v>338</v>
      </c>
    </row>
    <row r="1675" spans="1:8" x14ac:dyDescent="0.3">
      <c r="A1675" t="s">
        <v>201</v>
      </c>
      <c r="B1675" s="2">
        <v>46054</v>
      </c>
      <c r="C1675" s="10" t="s">
        <v>326</v>
      </c>
    </row>
    <row r="1676" spans="1:8" ht="28.8" x14ac:dyDescent="0.3">
      <c r="A1676" t="s">
        <v>201</v>
      </c>
      <c r="B1676" s="2">
        <v>46082</v>
      </c>
      <c r="C1676" s="10" t="s">
        <v>788</v>
      </c>
    </row>
    <row r="1677" spans="1:8" ht="28.8" x14ac:dyDescent="0.3">
      <c r="A1677" t="s">
        <v>201</v>
      </c>
      <c r="B1677" s="2">
        <v>46113</v>
      </c>
      <c r="C1677" s="10" t="s">
        <v>664</v>
      </c>
    </row>
    <row r="1678" spans="1:8" ht="28.8" x14ac:dyDescent="0.3">
      <c r="A1678" t="s">
        <v>201</v>
      </c>
      <c r="B1678" s="2">
        <v>46143</v>
      </c>
      <c r="C1678" s="10" t="s">
        <v>867</v>
      </c>
    </row>
    <row r="1679" spans="1:8" x14ac:dyDescent="0.3">
      <c r="A1679" t="s">
        <v>194</v>
      </c>
      <c r="B1679" s="2">
        <v>46204</v>
      </c>
      <c r="C1679" s="10">
        <v>28</v>
      </c>
      <c r="D1679" t="s">
        <v>1056</v>
      </c>
      <c r="E1679" t="s">
        <v>1057</v>
      </c>
      <c r="F1679" t="s">
        <v>33</v>
      </c>
      <c r="G1679" t="s">
        <v>1058</v>
      </c>
      <c r="H1679" t="s">
        <v>36</v>
      </c>
    </row>
    <row r="1680" spans="1:8" x14ac:dyDescent="0.3">
      <c r="A1680" t="s">
        <v>194</v>
      </c>
      <c r="B1680" s="2">
        <v>46174</v>
      </c>
      <c r="C1680" t="s">
        <v>919</v>
      </c>
      <c r="D1680">
        <v>0</v>
      </c>
      <c r="E1680" t="s">
        <v>33</v>
      </c>
      <c r="F1680" t="s">
        <v>33</v>
      </c>
      <c r="G1680" s="10" t="s">
        <v>996</v>
      </c>
      <c r="H1680" t="s">
        <v>36</v>
      </c>
    </row>
    <row r="1681" spans="1:3" x14ac:dyDescent="0.3">
      <c r="A1681" t="s">
        <v>201</v>
      </c>
      <c r="B1681" s="2">
        <v>46235</v>
      </c>
      <c r="C1681" s="10"/>
    </row>
    <row r="1682" spans="1:3" x14ac:dyDescent="0.3">
      <c r="A1682" t="s">
        <v>211</v>
      </c>
      <c r="B1682" s="2">
        <v>45536</v>
      </c>
      <c r="C1682" s="10"/>
    </row>
    <row r="1683" spans="1:3" x14ac:dyDescent="0.3">
      <c r="A1683" t="s">
        <v>211</v>
      </c>
      <c r="B1683" s="2">
        <v>45566</v>
      </c>
      <c r="C1683" s="10"/>
    </row>
    <row r="1684" spans="1:3" x14ac:dyDescent="0.3">
      <c r="A1684" t="s">
        <v>211</v>
      </c>
      <c r="B1684" s="2">
        <v>45597</v>
      </c>
      <c r="C1684" s="10"/>
    </row>
    <row r="1685" spans="1:3" x14ac:dyDescent="0.3">
      <c r="A1685" t="s">
        <v>211</v>
      </c>
      <c r="B1685" s="2">
        <v>45627</v>
      </c>
      <c r="C1685" s="10"/>
    </row>
    <row r="1686" spans="1:3" x14ac:dyDescent="0.3">
      <c r="A1686" t="s">
        <v>211</v>
      </c>
      <c r="B1686" s="2">
        <v>45658</v>
      </c>
      <c r="C1686" s="10"/>
    </row>
    <row r="1687" spans="1:3" x14ac:dyDescent="0.3">
      <c r="A1687" t="s">
        <v>211</v>
      </c>
      <c r="B1687" s="2">
        <v>45689</v>
      </c>
      <c r="C1687" s="10"/>
    </row>
    <row r="1688" spans="1:3" x14ac:dyDescent="0.3">
      <c r="A1688" t="s">
        <v>211</v>
      </c>
      <c r="B1688" s="2">
        <v>45717</v>
      </c>
      <c r="C1688" s="10"/>
    </row>
    <row r="1689" spans="1:3" x14ac:dyDescent="0.3">
      <c r="A1689" t="s">
        <v>211</v>
      </c>
      <c r="B1689" s="2">
        <v>45748</v>
      </c>
      <c r="C1689" s="10"/>
    </row>
    <row r="1690" spans="1:3" x14ac:dyDescent="0.3">
      <c r="A1690" t="s">
        <v>211</v>
      </c>
      <c r="B1690" s="2">
        <v>45778</v>
      </c>
      <c r="C1690" s="10"/>
    </row>
    <row r="1691" spans="1:3" x14ac:dyDescent="0.3">
      <c r="A1691" t="s">
        <v>211</v>
      </c>
      <c r="B1691" s="2">
        <v>45809</v>
      </c>
      <c r="C1691" s="10"/>
    </row>
    <row r="1692" spans="1:3" x14ac:dyDescent="0.3">
      <c r="A1692" t="s">
        <v>211</v>
      </c>
      <c r="B1692" s="2">
        <v>45839</v>
      </c>
      <c r="C1692" s="10"/>
    </row>
    <row r="1693" spans="1:3" x14ac:dyDescent="0.3">
      <c r="A1693" t="s">
        <v>211</v>
      </c>
      <c r="B1693" s="2">
        <v>45870</v>
      </c>
      <c r="C1693" s="10"/>
    </row>
    <row r="1694" spans="1:3" ht="43.2" customHeight="1" x14ac:dyDescent="0.3">
      <c r="A1694" t="s">
        <v>211</v>
      </c>
      <c r="B1694" s="2">
        <v>45901</v>
      </c>
      <c r="C1694" s="10" t="s">
        <v>789</v>
      </c>
    </row>
    <row r="1695" spans="1:3" ht="43.2" customHeight="1" x14ac:dyDescent="0.3">
      <c r="A1695" t="s">
        <v>211</v>
      </c>
      <c r="B1695" s="2">
        <v>45931</v>
      </c>
      <c r="C1695" s="10" t="s">
        <v>790</v>
      </c>
    </row>
    <row r="1696" spans="1:3" ht="43.2" customHeight="1" x14ac:dyDescent="0.3">
      <c r="A1696" t="s">
        <v>211</v>
      </c>
      <c r="B1696" s="2">
        <v>45962</v>
      </c>
      <c r="C1696" s="10" t="s">
        <v>791</v>
      </c>
    </row>
    <row r="1697" spans="1:8" ht="28.8" x14ac:dyDescent="0.3">
      <c r="A1697" t="s">
        <v>211</v>
      </c>
      <c r="B1697" s="2">
        <v>45992</v>
      </c>
      <c r="C1697" s="10" t="s">
        <v>792</v>
      </c>
    </row>
    <row r="1698" spans="1:8" x14ac:dyDescent="0.3">
      <c r="A1698" t="s">
        <v>211</v>
      </c>
      <c r="B1698" s="2">
        <v>46023</v>
      </c>
      <c r="C1698" s="10" t="s">
        <v>338</v>
      </c>
    </row>
    <row r="1699" spans="1:8" ht="28.8" x14ac:dyDescent="0.3">
      <c r="A1699" t="s">
        <v>211</v>
      </c>
      <c r="B1699" s="2">
        <v>46054</v>
      </c>
      <c r="C1699" s="10" t="s">
        <v>301</v>
      </c>
    </row>
    <row r="1700" spans="1:8" x14ac:dyDescent="0.3">
      <c r="A1700" t="s">
        <v>211</v>
      </c>
      <c r="B1700" s="2">
        <v>46082</v>
      </c>
      <c r="C1700" s="10" t="s">
        <v>598</v>
      </c>
    </row>
    <row r="1701" spans="1:8" ht="28.8" x14ac:dyDescent="0.3">
      <c r="A1701" t="s">
        <v>211</v>
      </c>
      <c r="B1701" s="2">
        <v>46113</v>
      </c>
      <c r="C1701" s="10" t="s">
        <v>793</v>
      </c>
    </row>
    <row r="1702" spans="1:8" x14ac:dyDescent="0.3">
      <c r="A1702" t="s">
        <v>211</v>
      </c>
      <c r="B1702" s="2">
        <v>46143</v>
      </c>
      <c r="C1702" s="10" t="s">
        <v>852</v>
      </c>
    </row>
    <row r="1703" spans="1:8" x14ac:dyDescent="0.3">
      <c r="A1703" t="s">
        <v>196</v>
      </c>
      <c r="B1703" s="2">
        <v>46174</v>
      </c>
      <c r="C1703" s="10"/>
    </row>
    <row r="1704" spans="1:8" x14ac:dyDescent="0.3">
      <c r="A1704" t="s">
        <v>196</v>
      </c>
      <c r="B1704" s="2">
        <v>46204</v>
      </c>
      <c r="C1704" s="10">
        <v>31</v>
      </c>
      <c r="D1704">
        <v>0</v>
      </c>
      <c r="E1704" t="s">
        <v>33</v>
      </c>
      <c r="F1704" t="s">
        <v>33</v>
      </c>
      <c r="G1704" t="s">
        <v>1014</v>
      </c>
      <c r="H1704" t="s">
        <v>36</v>
      </c>
    </row>
    <row r="1705" spans="1:8" x14ac:dyDescent="0.3">
      <c r="A1705" t="s">
        <v>211</v>
      </c>
      <c r="B1705" s="2">
        <v>46235</v>
      </c>
      <c r="C1705" s="10"/>
    </row>
    <row r="1706" spans="1:8" x14ac:dyDescent="0.3">
      <c r="A1706" t="s">
        <v>202</v>
      </c>
      <c r="B1706" s="2">
        <v>45536</v>
      </c>
      <c r="C1706" s="10"/>
    </row>
    <row r="1707" spans="1:8" x14ac:dyDescent="0.3">
      <c r="A1707" t="s">
        <v>202</v>
      </c>
      <c r="B1707" s="2">
        <v>45566</v>
      </c>
      <c r="C1707" s="10"/>
    </row>
    <row r="1708" spans="1:8" x14ac:dyDescent="0.3">
      <c r="A1708" t="s">
        <v>202</v>
      </c>
      <c r="B1708" s="2">
        <v>45597</v>
      </c>
      <c r="C1708" s="10"/>
    </row>
    <row r="1709" spans="1:8" x14ac:dyDescent="0.3">
      <c r="A1709" t="s">
        <v>202</v>
      </c>
      <c r="B1709" s="2">
        <v>45627</v>
      </c>
      <c r="C1709" s="10"/>
    </row>
    <row r="1710" spans="1:8" x14ac:dyDescent="0.3">
      <c r="A1710" t="s">
        <v>202</v>
      </c>
      <c r="B1710" s="2">
        <v>45658</v>
      </c>
      <c r="C1710" s="10"/>
    </row>
    <row r="1711" spans="1:8" ht="57.6" customHeight="1" x14ac:dyDescent="0.3">
      <c r="A1711" t="s">
        <v>202</v>
      </c>
      <c r="B1711" s="2">
        <v>45689</v>
      </c>
      <c r="C1711" s="10" t="s">
        <v>794</v>
      </c>
    </row>
    <row r="1712" spans="1:8" ht="86.4" customHeight="1" x14ac:dyDescent="0.3">
      <c r="A1712" t="s">
        <v>202</v>
      </c>
      <c r="B1712" s="2">
        <v>45717</v>
      </c>
      <c r="C1712" s="10" t="s">
        <v>795</v>
      </c>
    </row>
    <row r="1713" spans="1:8" ht="57.6" customHeight="1" x14ac:dyDescent="0.3">
      <c r="A1713" t="s">
        <v>202</v>
      </c>
      <c r="B1713" s="2">
        <v>45748</v>
      </c>
      <c r="C1713" s="10" t="s">
        <v>796</v>
      </c>
    </row>
    <row r="1714" spans="1:8" ht="57.6" customHeight="1" x14ac:dyDescent="0.3">
      <c r="A1714" t="s">
        <v>202</v>
      </c>
      <c r="B1714" s="2">
        <v>45778</v>
      </c>
      <c r="C1714" s="10" t="s">
        <v>797</v>
      </c>
    </row>
    <row r="1715" spans="1:8" ht="57.6" customHeight="1" x14ac:dyDescent="0.3">
      <c r="A1715" t="s">
        <v>202</v>
      </c>
      <c r="B1715" s="2">
        <v>45809</v>
      </c>
      <c r="C1715" s="10" t="s">
        <v>798</v>
      </c>
    </row>
    <row r="1716" spans="1:8" x14ac:dyDescent="0.3">
      <c r="A1716" t="s">
        <v>202</v>
      </c>
      <c r="B1716" s="2">
        <v>45839</v>
      </c>
      <c r="C1716" t="s">
        <v>911</v>
      </c>
      <c r="D1716">
        <v>0</v>
      </c>
      <c r="E1716" t="s">
        <v>33</v>
      </c>
      <c r="F1716" t="s">
        <v>33</v>
      </c>
      <c r="G1716" s="10" t="s">
        <v>943</v>
      </c>
      <c r="H1716" t="s">
        <v>36</v>
      </c>
    </row>
    <row r="1717" spans="1:8" x14ac:dyDescent="0.3">
      <c r="A1717" t="s">
        <v>202</v>
      </c>
      <c r="B1717" s="2">
        <v>45870</v>
      </c>
      <c r="C1717" t="s">
        <v>911</v>
      </c>
      <c r="D1717">
        <v>0</v>
      </c>
      <c r="E1717" t="s">
        <v>33</v>
      </c>
      <c r="F1717" t="s">
        <v>33</v>
      </c>
      <c r="G1717" s="10" t="s">
        <v>943</v>
      </c>
      <c r="H1717" t="s">
        <v>36</v>
      </c>
    </row>
    <row r="1718" spans="1:8" x14ac:dyDescent="0.3">
      <c r="A1718" t="s">
        <v>202</v>
      </c>
      <c r="B1718" s="2">
        <v>45901</v>
      </c>
      <c r="C1718" t="s">
        <v>919</v>
      </c>
      <c r="D1718">
        <v>0</v>
      </c>
      <c r="E1718" t="s">
        <v>33</v>
      </c>
      <c r="F1718" t="s">
        <v>944</v>
      </c>
      <c r="G1718" s="10" t="s">
        <v>943</v>
      </c>
      <c r="H1718" t="s">
        <v>36</v>
      </c>
    </row>
    <row r="1719" spans="1:8" x14ac:dyDescent="0.3">
      <c r="A1719" t="s">
        <v>202</v>
      </c>
      <c r="B1719" s="2">
        <v>45931</v>
      </c>
      <c r="C1719" t="s">
        <v>911</v>
      </c>
      <c r="D1719">
        <v>0</v>
      </c>
      <c r="E1719" t="s">
        <v>33</v>
      </c>
      <c r="F1719" t="s">
        <v>33</v>
      </c>
      <c r="G1719" s="10" t="s">
        <v>932</v>
      </c>
      <c r="H1719" t="s">
        <v>36</v>
      </c>
    </row>
    <row r="1720" spans="1:8" x14ac:dyDescent="0.3">
      <c r="A1720" t="s">
        <v>202</v>
      </c>
      <c r="B1720" s="2">
        <v>45962</v>
      </c>
      <c r="C1720" t="s">
        <v>919</v>
      </c>
      <c r="D1720">
        <v>0</v>
      </c>
      <c r="E1720" t="s">
        <v>33</v>
      </c>
      <c r="F1720" t="s">
        <v>33</v>
      </c>
      <c r="G1720" s="10" t="s">
        <v>943</v>
      </c>
      <c r="H1720" t="s">
        <v>36</v>
      </c>
    </row>
    <row r="1721" spans="1:8" x14ac:dyDescent="0.3">
      <c r="A1721" t="s">
        <v>202</v>
      </c>
      <c r="B1721" s="2">
        <v>45992</v>
      </c>
      <c r="C1721" t="s">
        <v>946</v>
      </c>
      <c r="D1721" t="s">
        <v>945</v>
      </c>
      <c r="E1721" t="s">
        <v>936</v>
      </c>
      <c r="F1721" t="s">
        <v>33</v>
      </c>
      <c r="G1721" s="10" t="s">
        <v>932</v>
      </c>
      <c r="H1721" t="s">
        <v>36</v>
      </c>
    </row>
    <row r="1722" spans="1:8" x14ac:dyDescent="0.3">
      <c r="A1722" t="s">
        <v>202</v>
      </c>
      <c r="B1722" s="2">
        <v>46023</v>
      </c>
      <c r="C1722" t="s">
        <v>895</v>
      </c>
      <c r="D1722" t="s">
        <v>947</v>
      </c>
      <c r="E1722" t="s">
        <v>936</v>
      </c>
      <c r="F1722" t="s">
        <v>33</v>
      </c>
      <c r="G1722" s="10" t="s">
        <v>932</v>
      </c>
      <c r="H1722" t="s">
        <v>36</v>
      </c>
    </row>
    <row r="1723" spans="1:8" x14ac:dyDescent="0.3">
      <c r="A1723" t="s">
        <v>202</v>
      </c>
      <c r="B1723" s="2">
        <v>46054</v>
      </c>
      <c r="C1723" t="s">
        <v>895</v>
      </c>
      <c r="D1723">
        <v>0</v>
      </c>
      <c r="E1723" t="s">
        <v>33</v>
      </c>
      <c r="F1723" t="s">
        <v>33</v>
      </c>
      <c r="G1723" s="10" t="s">
        <v>943</v>
      </c>
      <c r="H1723" t="s">
        <v>36</v>
      </c>
    </row>
    <row r="1724" spans="1:8" x14ac:dyDescent="0.3">
      <c r="A1724" t="s">
        <v>202</v>
      </c>
      <c r="B1724" s="2">
        <v>46082</v>
      </c>
      <c r="C1724" t="s">
        <v>911</v>
      </c>
      <c r="D1724">
        <v>0</v>
      </c>
      <c r="E1724" t="s">
        <v>33</v>
      </c>
      <c r="F1724" t="s">
        <v>33</v>
      </c>
      <c r="G1724" s="10" t="s">
        <v>932</v>
      </c>
      <c r="H1724" t="s">
        <v>36</v>
      </c>
    </row>
    <row r="1725" spans="1:8" x14ac:dyDescent="0.3">
      <c r="A1725" t="s">
        <v>202</v>
      </c>
      <c r="B1725" s="2">
        <v>46113</v>
      </c>
      <c r="C1725" t="s">
        <v>919</v>
      </c>
      <c r="D1725">
        <v>0</v>
      </c>
      <c r="E1725" t="s">
        <v>33</v>
      </c>
      <c r="F1725" t="s">
        <v>33</v>
      </c>
      <c r="G1725" s="10" t="s">
        <v>932</v>
      </c>
      <c r="H1725" t="s">
        <v>36</v>
      </c>
    </row>
    <row r="1726" spans="1:8" x14ac:dyDescent="0.3">
      <c r="A1726" t="s">
        <v>202</v>
      </c>
      <c r="B1726" s="2">
        <v>46143</v>
      </c>
      <c r="C1726" t="s">
        <v>911</v>
      </c>
      <c r="D1726">
        <v>0</v>
      </c>
      <c r="E1726" t="s">
        <v>33</v>
      </c>
      <c r="F1726" t="s">
        <v>33</v>
      </c>
      <c r="G1726" s="10" t="s">
        <v>943</v>
      </c>
      <c r="H1726" t="s">
        <v>36</v>
      </c>
    </row>
    <row r="1727" spans="1:8" x14ac:dyDescent="0.3">
      <c r="A1727" t="s">
        <v>199</v>
      </c>
      <c r="B1727" s="2">
        <v>46174</v>
      </c>
      <c r="C1727" s="10"/>
    </row>
    <row r="1728" spans="1:8" x14ac:dyDescent="0.3">
      <c r="A1728" t="s">
        <v>199</v>
      </c>
      <c r="B1728" s="2">
        <v>46204</v>
      </c>
      <c r="C1728" s="10">
        <v>31</v>
      </c>
      <c r="D1728">
        <v>0</v>
      </c>
      <c r="E1728" t="s">
        <v>33</v>
      </c>
      <c r="F1728" t="s">
        <v>33</v>
      </c>
      <c r="G1728" t="s">
        <v>932</v>
      </c>
      <c r="H1728" t="s">
        <v>36</v>
      </c>
    </row>
    <row r="1729" spans="1:3" x14ac:dyDescent="0.3">
      <c r="A1729" t="s">
        <v>202</v>
      </c>
      <c r="B1729" s="2">
        <v>46235</v>
      </c>
      <c r="C1729" s="10"/>
    </row>
    <row r="1730" spans="1:3" x14ac:dyDescent="0.3">
      <c r="A1730" t="s">
        <v>206</v>
      </c>
      <c r="B1730" s="2">
        <v>45536</v>
      </c>
      <c r="C1730" s="10"/>
    </row>
    <row r="1731" spans="1:3" x14ac:dyDescent="0.3">
      <c r="A1731" t="s">
        <v>206</v>
      </c>
      <c r="B1731" s="2">
        <v>45566</v>
      </c>
      <c r="C1731" s="10"/>
    </row>
    <row r="1732" spans="1:3" x14ac:dyDescent="0.3">
      <c r="A1732" t="s">
        <v>206</v>
      </c>
      <c r="B1732" s="2">
        <v>45597</v>
      </c>
      <c r="C1732" s="10"/>
    </row>
    <row r="1733" spans="1:3" x14ac:dyDescent="0.3">
      <c r="A1733" t="s">
        <v>206</v>
      </c>
      <c r="B1733" s="2">
        <v>45627</v>
      </c>
      <c r="C1733" s="10"/>
    </row>
    <row r="1734" spans="1:3" x14ac:dyDescent="0.3">
      <c r="A1734" t="s">
        <v>206</v>
      </c>
      <c r="B1734" s="2">
        <v>45658</v>
      </c>
      <c r="C1734" s="10"/>
    </row>
    <row r="1735" spans="1:3" x14ac:dyDescent="0.3">
      <c r="A1735" t="s">
        <v>206</v>
      </c>
      <c r="B1735" s="2">
        <v>45689</v>
      </c>
      <c r="C1735" s="10" t="s">
        <v>799</v>
      </c>
    </row>
    <row r="1736" spans="1:3" x14ac:dyDescent="0.3">
      <c r="A1736" t="s">
        <v>206</v>
      </c>
      <c r="B1736" s="2">
        <v>45717</v>
      </c>
      <c r="C1736" s="10" t="s">
        <v>799</v>
      </c>
    </row>
    <row r="1737" spans="1:3" x14ac:dyDescent="0.3">
      <c r="A1737" t="s">
        <v>206</v>
      </c>
      <c r="B1737" s="2">
        <v>45748</v>
      </c>
      <c r="C1737" s="10" t="s">
        <v>799</v>
      </c>
    </row>
    <row r="1738" spans="1:3" x14ac:dyDescent="0.3">
      <c r="A1738" t="s">
        <v>206</v>
      </c>
      <c r="B1738" s="2">
        <v>45778</v>
      </c>
      <c r="C1738" s="10" t="s">
        <v>799</v>
      </c>
    </row>
    <row r="1739" spans="1:3" x14ac:dyDescent="0.3">
      <c r="A1739" t="s">
        <v>206</v>
      </c>
      <c r="B1739" s="2">
        <v>45809</v>
      </c>
      <c r="C1739" s="10" t="s">
        <v>799</v>
      </c>
    </row>
    <row r="1740" spans="1:3" x14ac:dyDescent="0.3">
      <c r="A1740" t="s">
        <v>206</v>
      </c>
      <c r="B1740" s="2">
        <v>45839</v>
      </c>
      <c r="C1740" s="10" t="s">
        <v>799</v>
      </c>
    </row>
    <row r="1741" spans="1:3" x14ac:dyDescent="0.3">
      <c r="A1741" t="s">
        <v>206</v>
      </c>
      <c r="B1741" s="2">
        <v>45870</v>
      </c>
      <c r="C1741" s="10"/>
    </row>
    <row r="1742" spans="1:3" x14ac:dyDescent="0.3">
      <c r="A1742" t="s">
        <v>206</v>
      </c>
      <c r="B1742" s="2">
        <v>45901</v>
      </c>
      <c r="C1742" s="10"/>
    </row>
    <row r="1743" spans="1:3" x14ac:dyDescent="0.3">
      <c r="A1743" t="s">
        <v>206</v>
      </c>
      <c r="B1743" s="2">
        <v>45931</v>
      </c>
      <c r="C1743" s="10"/>
    </row>
    <row r="1744" spans="1:3" x14ac:dyDescent="0.3">
      <c r="A1744" t="s">
        <v>206</v>
      </c>
      <c r="B1744" s="2">
        <v>45962</v>
      </c>
      <c r="C1744" s="10"/>
    </row>
    <row r="1745" spans="1:8" x14ac:dyDescent="0.3">
      <c r="A1745" t="s">
        <v>206</v>
      </c>
      <c r="B1745" s="2">
        <v>45992</v>
      </c>
      <c r="C1745" s="10"/>
    </row>
    <row r="1746" spans="1:8" x14ac:dyDescent="0.3">
      <c r="A1746" t="s">
        <v>206</v>
      </c>
      <c r="B1746" s="2">
        <v>46023</v>
      </c>
      <c r="C1746" s="10"/>
    </row>
    <row r="1747" spans="1:8" x14ac:dyDescent="0.3">
      <c r="A1747" t="s">
        <v>206</v>
      </c>
      <c r="B1747" s="2">
        <v>46054</v>
      </c>
      <c r="C1747" s="10"/>
    </row>
    <row r="1748" spans="1:8" x14ac:dyDescent="0.3">
      <c r="A1748" t="s">
        <v>206</v>
      </c>
      <c r="B1748" s="2">
        <v>46082</v>
      </c>
      <c r="C1748" s="10" t="s">
        <v>36</v>
      </c>
    </row>
    <row r="1749" spans="1:8" x14ac:dyDescent="0.3">
      <c r="A1749" t="s">
        <v>206</v>
      </c>
      <c r="B1749" s="2">
        <v>46113</v>
      </c>
      <c r="C1749" s="10" t="s">
        <v>36</v>
      </c>
    </row>
    <row r="1750" spans="1:8" x14ac:dyDescent="0.3">
      <c r="A1750" t="s">
        <v>206</v>
      </c>
      <c r="B1750" s="2">
        <v>46143</v>
      </c>
      <c r="C1750" s="10" t="s">
        <v>863</v>
      </c>
    </row>
    <row r="1751" spans="1:8" x14ac:dyDescent="0.3">
      <c r="A1751" t="s">
        <v>201</v>
      </c>
      <c r="B1751" s="2">
        <v>46174</v>
      </c>
      <c r="C1751" s="10"/>
    </row>
    <row r="1752" spans="1:8" x14ac:dyDescent="0.3">
      <c r="A1752" t="s">
        <v>201</v>
      </c>
      <c r="B1752" s="2">
        <v>46204</v>
      </c>
      <c r="C1752" s="10">
        <v>31</v>
      </c>
      <c r="D1752">
        <v>0</v>
      </c>
      <c r="E1752" t="s">
        <v>33</v>
      </c>
      <c r="F1752" t="s">
        <v>33</v>
      </c>
      <c r="G1752" t="s">
        <v>932</v>
      </c>
      <c r="H1752" t="s">
        <v>36</v>
      </c>
    </row>
    <row r="1753" spans="1:8" x14ac:dyDescent="0.3">
      <c r="A1753" t="s">
        <v>206</v>
      </c>
      <c r="B1753" s="2">
        <v>46235</v>
      </c>
      <c r="C1753" s="10"/>
    </row>
    <row r="1754" spans="1:8" x14ac:dyDescent="0.3">
      <c r="A1754" t="s">
        <v>251</v>
      </c>
      <c r="B1754" s="2">
        <v>46143</v>
      </c>
      <c r="C1754" t="s">
        <v>302</v>
      </c>
    </row>
    <row r="1755" spans="1:8" x14ac:dyDescent="0.3">
      <c r="A1755" t="s">
        <v>271</v>
      </c>
      <c r="B1755" s="2">
        <v>45536</v>
      </c>
    </row>
    <row r="1756" spans="1:8" x14ac:dyDescent="0.3">
      <c r="A1756" t="s">
        <v>271</v>
      </c>
      <c r="B1756" s="2">
        <v>45566</v>
      </c>
    </row>
    <row r="1757" spans="1:8" x14ac:dyDescent="0.3">
      <c r="A1757" t="s">
        <v>271</v>
      </c>
      <c r="B1757" s="2">
        <v>45597</v>
      </c>
    </row>
    <row r="1758" spans="1:8" x14ac:dyDescent="0.3">
      <c r="A1758" t="s">
        <v>271</v>
      </c>
      <c r="B1758" s="2">
        <v>45627</v>
      </c>
    </row>
    <row r="1759" spans="1:8" x14ac:dyDescent="0.3">
      <c r="A1759" t="s">
        <v>271</v>
      </c>
      <c r="B1759" s="2">
        <v>45658</v>
      </c>
    </row>
    <row r="1760" spans="1:8" x14ac:dyDescent="0.3">
      <c r="A1760" t="s">
        <v>271</v>
      </c>
      <c r="B1760" s="2">
        <v>45689</v>
      </c>
    </row>
    <row r="1761" spans="1:8" x14ac:dyDescent="0.3">
      <c r="A1761" t="s">
        <v>271</v>
      </c>
      <c r="B1761" s="2">
        <v>45717</v>
      </c>
    </row>
    <row r="1762" spans="1:8" x14ac:dyDescent="0.3">
      <c r="A1762" t="s">
        <v>271</v>
      </c>
      <c r="B1762" s="2">
        <v>45748</v>
      </c>
    </row>
    <row r="1763" spans="1:8" x14ac:dyDescent="0.3">
      <c r="A1763" t="s">
        <v>271</v>
      </c>
      <c r="B1763" s="2">
        <v>45778</v>
      </c>
    </row>
    <row r="1764" spans="1:8" x14ac:dyDescent="0.3">
      <c r="A1764" t="s">
        <v>271</v>
      </c>
      <c r="B1764" s="2">
        <v>45809</v>
      </c>
    </row>
    <row r="1765" spans="1:8" x14ac:dyDescent="0.3">
      <c r="A1765" t="s">
        <v>271</v>
      </c>
      <c r="B1765" s="2">
        <v>45839</v>
      </c>
      <c r="C1765" t="s">
        <v>36</v>
      </c>
      <c r="D1765" t="s">
        <v>36</v>
      </c>
      <c r="E1765" t="s">
        <v>36</v>
      </c>
      <c r="F1765" t="s">
        <v>36</v>
      </c>
      <c r="G1765" t="s">
        <v>36</v>
      </c>
      <c r="H1765" t="s">
        <v>916</v>
      </c>
    </row>
    <row r="1766" spans="1:8" x14ac:dyDescent="0.3">
      <c r="A1766" t="s">
        <v>271</v>
      </c>
      <c r="B1766" s="2">
        <v>45870</v>
      </c>
      <c r="C1766" t="s">
        <v>36</v>
      </c>
      <c r="D1766" t="s">
        <v>36</v>
      </c>
      <c r="E1766" t="s">
        <v>36</v>
      </c>
      <c r="F1766" t="s">
        <v>36</v>
      </c>
      <c r="G1766" t="s">
        <v>36</v>
      </c>
      <c r="H1766" t="s">
        <v>916</v>
      </c>
    </row>
    <row r="1767" spans="1:8" x14ac:dyDescent="0.3">
      <c r="A1767" t="s">
        <v>271</v>
      </c>
      <c r="B1767" s="2">
        <v>45901</v>
      </c>
      <c r="C1767" t="s">
        <v>36</v>
      </c>
      <c r="D1767" t="s">
        <v>36</v>
      </c>
      <c r="E1767" t="s">
        <v>36</v>
      </c>
      <c r="F1767" t="s">
        <v>36</v>
      </c>
      <c r="G1767" t="s">
        <v>36</v>
      </c>
      <c r="H1767" t="s">
        <v>916</v>
      </c>
    </row>
    <row r="1768" spans="1:8" x14ac:dyDescent="0.3">
      <c r="A1768" t="s">
        <v>271</v>
      </c>
      <c r="B1768" s="2">
        <v>45931</v>
      </c>
      <c r="C1768" t="s">
        <v>36</v>
      </c>
      <c r="D1768" t="s">
        <v>36</v>
      </c>
      <c r="E1768" t="s">
        <v>36</v>
      </c>
      <c r="F1768" t="s">
        <v>36</v>
      </c>
      <c r="G1768" t="s">
        <v>36</v>
      </c>
      <c r="H1768" t="s">
        <v>916</v>
      </c>
    </row>
    <row r="1769" spans="1:8" x14ac:dyDescent="0.3">
      <c r="A1769" t="s">
        <v>271</v>
      </c>
      <c r="B1769" s="2">
        <v>45962</v>
      </c>
      <c r="C1769" t="s">
        <v>36</v>
      </c>
      <c r="D1769" t="s">
        <v>36</v>
      </c>
      <c r="E1769" t="s">
        <v>36</v>
      </c>
      <c r="F1769" t="s">
        <v>36</v>
      </c>
      <c r="G1769" t="s">
        <v>36</v>
      </c>
      <c r="H1769" t="s">
        <v>916</v>
      </c>
    </row>
    <row r="1770" spans="1:8" x14ac:dyDescent="0.3">
      <c r="A1770" t="s">
        <v>271</v>
      </c>
      <c r="B1770" s="2">
        <v>45992</v>
      </c>
      <c r="C1770" t="s">
        <v>36</v>
      </c>
      <c r="D1770" t="s">
        <v>36</v>
      </c>
      <c r="E1770" t="s">
        <v>36</v>
      </c>
      <c r="F1770" t="s">
        <v>36</v>
      </c>
      <c r="G1770" t="s">
        <v>36</v>
      </c>
      <c r="H1770" t="s">
        <v>916</v>
      </c>
    </row>
    <row r="1771" spans="1:8" x14ac:dyDescent="0.3">
      <c r="A1771" t="s">
        <v>271</v>
      </c>
      <c r="B1771" s="2">
        <v>46023</v>
      </c>
      <c r="C1771" t="s">
        <v>36</v>
      </c>
      <c r="D1771" t="s">
        <v>36</v>
      </c>
      <c r="E1771" t="s">
        <v>36</v>
      </c>
      <c r="F1771" t="s">
        <v>36</v>
      </c>
      <c r="G1771" t="s">
        <v>36</v>
      </c>
      <c r="H1771" t="s">
        <v>916</v>
      </c>
    </row>
    <row r="1772" spans="1:8" x14ac:dyDescent="0.3">
      <c r="A1772" t="s">
        <v>271</v>
      </c>
      <c r="B1772" s="2">
        <v>46054</v>
      </c>
      <c r="C1772" t="s">
        <v>36</v>
      </c>
      <c r="D1772" t="s">
        <v>36</v>
      </c>
      <c r="E1772" t="s">
        <v>36</v>
      </c>
      <c r="F1772" t="s">
        <v>36</v>
      </c>
      <c r="G1772" t="s">
        <v>36</v>
      </c>
      <c r="H1772" t="s">
        <v>916</v>
      </c>
    </row>
    <row r="1773" spans="1:8" x14ac:dyDescent="0.3">
      <c r="A1773" t="s">
        <v>271</v>
      </c>
      <c r="B1773" s="2">
        <v>46082</v>
      </c>
      <c r="C1773" t="s">
        <v>36</v>
      </c>
      <c r="D1773" t="s">
        <v>36</v>
      </c>
      <c r="E1773" t="s">
        <v>36</v>
      </c>
      <c r="F1773" t="s">
        <v>36</v>
      </c>
      <c r="G1773" t="s">
        <v>36</v>
      </c>
      <c r="H1773" t="s">
        <v>916</v>
      </c>
    </row>
    <row r="1774" spans="1:8" x14ac:dyDescent="0.3">
      <c r="A1774" t="s">
        <v>271</v>
      </c>
      <c r="B1774" s="2">
        <v>46113</v>
      </c>
      <c r="C1774" t="s">
        <v>36</v>
      </c>
      <c r="D1774" t="s">
        <v>36</v>
      </c>
      <c r="E1774" t="s">
        <v>36</v>
      </c>
      <c r="F1774" t="s">
        <v>36</v>
      </c>
      <c r="G1774" t="s">
        <v>36</v>
      </c>
      <c r="H1774" t="s">
        <v>916</v>
      </c>
    </row>
    <row r="1775" spans="1:8" x14ac:dyDescent="0.3">
      <c r="A1775" t="s">
        <v>271</v>
      </c>
      <c r="B1775" s="2">
        <v>46143</v>
      </c>
      <c r="C1775" t="s">
        <v>917</v>
      </c>
      <c r="D1775" t="s">
        <v>918</v>
      </c>
      <c r="E1775" t="s">
        <v>916</v>
      </c>
      <c r="F1775" t="s">
        <v>36</v>
      </c>
      <c r="G1775" t="s">
        <v>36</v>
      </c>
    </row>
    <row r="1776" spans="1:8" x14ac:dyDescent="0.3">
      <c r="A1776" t="s">
        <v>211</v>
      </c>
      <c r="B1776" s="2">
        <v>46174</v>
      </c>
      <c r="C1776" s="10"/>
    </row>
    <row r="1777" spans="1:8" x14ac:dyDescent="0.3">
      <c r="A1777" t="s">
        <v>211</v>
      </c>
      <c r="B1777" s="2">
        <v>46204</v>
      </c>
      <c r="C1777" s="10">
        <v>23</v>
      </c>
      <c r="D1777" t="s">
        <v>1059</v>
      </c>
      <c r="E1777" t="s">
        <v>1008</v>
      </c>
      <c r="F1777" t="s">
        <v>33</v>
      </c>
      <c r="G1777" t="s">
        <v>1060</v>
      </c>
      <c r="H1777" t="s">
        <v>36</v>
      </c>
    </row>
    <row r="1778" spans="1:8" x14ac:dyDescent="0.3">
      <c r="A1778" t="s">
        <v>271</v>
      </c>
      <c r="B1778" s="2">
        <v>46235</v>
      </c>
    </row>
    <row r="1779" spans="1:8" x14ac:dyDescent="0.3">
      <c r="A1779" t="s">
        <v>250</v>
      </c>
      <c r="B1779" s="2">
        <v>45536</v>
      </c>
    </row>
    <row r="1780" spans="1:8" x14ac:dyDescent="0.3">
      <c r="A1780" t="s">
        <v>250</v>
      </c>
      <c r="B1780" s="2">
        <v>45566</v>
      </c>
    </row>
    <row r="1781" spans="1:8" x14ac:dyDescent="0.3">
      <c r="A1781" t="s">
        <v>250</v>
      </c>
      <c r="B1781" s="2">
        <v>45597</v>
      </c>
    </row>
    <row r="1782" spans="1:8" x14ac:dyDescent="0.3">
      <c r="A1782" t="s">
        <v>250</v>
      </c>
      <c r="B1782" s="2">
        <v>45627</v>
      </c>
    </row>
    <row r="1783" spans="1:8" x14ac:dyDescent="0.3">
      <c r="A1783" t="s">
        <v>250</v>
      </c>
      <c r="B1783" s="2">
        <v>45658</v>
      </c>
    </row>
    <row r="1784" spans="1:8" x14ac:dyDescent="0.3">
      <c r="A1784" t="s">
        <v>250</v>
      </c>
      <c r="B1784" s="2">
        <v>45689</v>
      </c>
    </row>
    <row r="1785" spans="1:8" x14ac:dyDescent="0.3">
      <c r="A1785" t="s">
        <v>250</v>
      </c>
      <c r="B1785" s="2">
        <v>45717</v>
      </c>
    </row>
    <row r="1786" spans="1:8" x14ac:dyDescent="0.3">
      <c r="A1786" t="s">
        <v>250</v>
      </c>
      <c r="B1786" s="2">
        <v>45748</v>
      </c>
    </row>
    <row r="1787" spans="1:8" x14ac:dyDescent="0.3">
      <c r="A1787" t="s">
        <v>250</v>
      </c>
      <c r="B1787" s="2">
        <v>45778</v>
      </c>
    </row>
    <row r="1788" spans="1:8" x14ac:dyDescent="0.3">
      <c r="A1788" t="s">
        <v>250</v>
      </c>
      <c r="B1788" s="2">
        <v>45809</v>
      </c>
    </row>
    <row r="1789" spans="1:8" x14ac:dyDescent="0.3">
      <c r="A1789" t="s">
        <v>250</v>
      </c>
      <c r="B1789" s="2">
        <v>45839</v>
      </c>
      <c r="C1789" t="s">
        <v>911</v>
      </c>
      <c r="D1789" t="s">
        <v>36</v>
      </c>
      <c r="E1789" t="s">
        <v>36</v>
      </c>
      <c r="F1789" t="s">
        <v>36</v>
      </c>
      <c r="G1789" t="s">
        <v>36</v>
      </c>
      <c r="H1789" t="s">
        <v>916</v>
      </c>
    </row>
    <row r="1790" spans="1:8" x14ac:dyDescent="0.3">
      <c r="A1790" t="s">
        <v>250</v>
      </c>
      <c r="B1790" s="2">
        <v>45870</v>
      </c>
      <c r="C1790" t="s">
        <v>911</v>
      </c>
      <c r="D1790" t="s">
        <v>36</v>
      </c>
      <c r="E1790" t="s">
        <v>36</v>
      </c>
      <c r="F1790" t="s">
        <v>36</v>
      </c>
      <c r="G1790" t="s">
        <v>36</v>
      </c>
      <c r="H1790" t="s">
        <v>916</v>
      </c>
    </row>
    <row r="1791" spans="1:8" x14ac:dyDescent="0.3">
      <c r="A1791" t="s">
        <v>250</v>
      </c>
      <c r="B1791" s="2">
        <v>45901</v>
      </c>
      <c r="C1791" t="s">
        <v>919</v>
      </c>
      <c r="D1791" t="s">
        <v>36</v>
      </c>
      <c r="E1791" t="s">
        <v>36</v>
      </c>
      <c r="F1791" t="s">
        <v>36</v>
      </c>
      <c r="G1791" t="s">
        <v>36</v>
      </c>
      <c r="H1791" t="s">
        <v>916</v>
      </c>
    </row>
    <row r="1792" spans="1:8" x14ac:dyDescent="0.3">
      <c r="A1792" t="s">
        <v>250</v>
      </c>
      <c r="B1792" s="2">
        <v>45931</v>
      </c>
      <c r="C1792" t="s">
        <v>911</v>
      </c>
      <c r="D1792" t="s">
        <v>36</v>
      </c>
      <c r="E1792" t="s">
        <v>36</v>
      </c>
      <c r="F1792" t="s">
        <v>36</v>
      </c>
      <c r="G1792" t="s">
        <v>36</v>
      </c>
      <c r="H1792" t="s">
        <v>916</v>
      </c>
    </row>
    <row r="1793" spans="1:8" x14ac:dyDescent="0.3">
      <c r="A1793" t="s">
        <v>250</v>
      </c>
      <c r="B1793" s="2">
        <v>45962</v>
      </c>
      <c r="C1793" t="s">
        <v>919</v>
      </c>
      <c r="D1793" t="s">
        <v>36</v>
      </c>
      <c r="E1793" t="s">
        <v>36</v>
      </c>
      <c r="F1793" t="s">
        <v>36</v>
      </c>
      <c r="G1793" t="s">
        <v>36</v>
      </c>
      <c r="H1793" t="s">
        <v>916</v>
      </c>
    </row>
    <row r="1794" spans="1:8" x14ac:dyDescent="0.3">
      <c r="A1794" t="s">
        <v>250</v>
      </c>
      <c r="B1794" s="2">
        <v>45992</v>
      </c>
      <c r="C1794" t="s">
        <v>911</v>
      </c>
      <c r="D1794" t="s">
        <v>36</v>
      </c>
      <c r="E1794" t="s">
        <v>36</v>
      </c>
      <c r="F1794" t="s">
        <v>36</v>
      </c>
      <c r="G1794" t="s">
        <v>36</v>
      </c>
      <c r="H1794" t="s">
        <v>916</v>
      </c>
    </row>
    <row r="1795" spans="1:8" x14ac:dyDescent="0.3">
      <c r="A1795" t="s">
        <v>250</v>
      </c>
      <c r="B1795" s="2">
        <v>46023</v>
      </c>
      <c r="C1795" t="s">
        <v>911</v>
      </c>
      <c r="D1795" t="s">
        <v>36</v>
      </c>
      <c r="E1795" t="s">
        <v>36</v>
      </c>
      <c r="F1795" t="s">
        <v>36</v>
      </c>
      <c r="G1795" t="s">
        <v>36</v>
      </c>
      <c r="H1795" t="s">
        <v>916</v>
      </c>
    </row>
    <row r="1796" spans="1:8" x14ac:dyDescent="0.3">
      <c r="A1796" t="s">
        <v>250</v>
      </c>
      <c r="B1796" s="2">
        <v>46054</v>
      </c>
      <c r="C1796" t="s">
        <v>895</v>
      </c>
      <c r="D1796" t="s">
        <v>36</v>
      </c>
      <c r="E1796" t="s">
        <v>36</v>
      </c>
      <c r="F1796" t="s">
        <v>36</v>
      </c>
      <c r="G1796" t="s">
        <v>36</v>
      </c>
      <c r="H1796" t="s">
        <v>916</v>
      </c>
    </row>
    <row r="1797" spans="1:8" x14ac:dyDescent="0.3">
      <c r="A1797" t="s">
        <v>250</v>
      </c>
      <c r="B1797" s="2">
        <v>46082</v>
      </c>
      <c r="C1797" t="s">
        <v>911</v>
      </c>
      <c r="D1797" t="s">
        <v>36</v>
      </c>
      <c r="E1797" t="s">
        <v>36</v>
      </c>
      <c r="F1797" t="s">
        <v>36</v>
      </c>
      <c r="G1797" t="s">
        <v>36</v>
      </c>
      <c r="H1797" t="s">
        <v>916</v>
      </c>
    </row>
    <row r="1798" spans="1:8" x14ac:dyDescent="0.3">
      <c r="A1798" t="s">
        <v>250</v>
      </c>
      <c r="B1798" s="2">
        <v>46113</v>
      </c>
      <c r="C1798" t="s">
        <v>963</v>
      </c>
      <c r="D1798" t="s">
        <v>962</v>
      </c>
      <c r="E1798" t="s">
        <v>916</v>
      </c>
      <c r="F1798" t="s">
        <v>33</v>
      </c>
      <c r="G1798" t="s">
        <v>33</v>
      </c>
      <c r="H1798" t="s">
        <v>36</v>
      </c>
    </row>
    <row r="1799" spans="1:8" x14ac:dyDescent="0.3">
      <c r="A1799" t="s">
        <v>250</v>
      </c>
      <c r="B1799" s="2">
        <v>46143</v>
      </c>
      <c r="C1799" t="s">
        <v>911</v>
      </c>
      <c r="D1799" t="s">
        <v>33</v>
      </c>
      <c r="E1799" t="s">
        <v>33</v>
      </c>
      <c r="F1799" t="s">
        <v>33</v>
      </c>
      <c r="G1799" t="s">
        <v>943</v>
      </c>
      <c r="H1799" t="s">
        <v>36</v>
      </c>
    </row>
    <row r="1800" spans="1:8" x14ac:dyDescent="0.3">
      <c r="A1800" t="s">
        <v>1004</v>
      </c>
      <c r="B1800" s="2">
        <v>46204</v>
      </c>
      <c r="C1800">
        <v>31</v>
      </c>
      <c r="D1800">
        <v>0</v>
      </c>
      <c r="E1800" t="s">
        <v>33</v>
      </c>
      <c r="F1800" t="s">
        <v>33</v>
      </c>
      <c r="G1800" t="s">
        <v>993</v>
      </c>
      <c r="H1800" t="s">
        <v>36</v>
      </c>
    </row>
    <row r="1801" spans="1:8" x14ac:dyDescent="0.3">
      <c r="A1801" t="s">
        <v>202</v>
      </c>
      <c r="B1801" s="2">
        <v>46174</v>
      </c>
      <c r="C1801" t="s">
        <v>919</v>
      </c>
      <c r="D1801">
        <v>0</v>
      </c>
      <c r="E1801" t="s">
        <v>33</v>
      </c>
      <c r="F1801" t="s">
        <v>33</v>
      </c>
      <c r="G1801" s="10" t="s">
        <v>943</v>
      </c>
      <c r="H1801" t="s">
        <v>36</v>
      </c>
    </row>
    <row r="1802" spans="1:8" x14ac:dyDescent="0.3">
      <c r="A1802" t="s">
        <v>250</v>
      </c>
      <c r="B1802" s="2">
        <v>46235</v>
      </c>
    </row>
    <row r="1803" spans="1:8" x14ac:dyDescent="0.3">
      <c r="A1803" t="s">
        <v>202</v>
      </c>
      <c r="B1803" s="2">
        <v>46204</v>
      </c>
      <c r="C1803" s="10">
        <v>31</v>
      </c>
      <c r="D1803">
        <v>0</v>
      </c>
      <c r="E1803" t="s">
        <v>33</v>
      </c>
      <c r="F1803" t="s">
        <v>33</v>
      </c>
      <c r="G1803" t="s">
        <v>932</v>
      </c>
      <c r="H1803" t="s">
        <v>36</v>
      </c>
    </row>
    <row r="1804" spans="1:8" x14ac:dyDescent="0.3">
      <c r="A1804" t="s">
        <v>206</v>
      </c>
      <c r="B1804" s="2">
        <v>46174</v>
      </c>
      <c r="C1804" s="10" t="s">
        <v>36</v>
      </c>
      <c r="D1804" s="10" t="s">
        <v>36</v>
      </c>
      <c r="E1804" s="10" t="s">
        <v>36</v>
      </c>
      <c r="F1804" s="10" t="s">
        <v>36</v>
      </c>
      <c r="G1804" s="10" t="s">
        <v>36</v>
      </c>
      <c r="H1804" s="10" t="s">
        <v>36</v>
      </c>
    </row>
    <row r="1805" spans="1:8" x14ac:dyDescent="0.3">
      <c r="A1805" t="s">
        <v>251</v>
      </c>
      <c r="B1805" s="2">
        <v>46235</v>
      </c>
    </row>
    <row r="1806" spans="1:8" x14ac:dyDescent="0.3">
      <c r="A1806" t="s">
        <v>251</v>
      </c>
      <c r="B1806" s="2">
        <v>46266</v>
      </c>
    </row>
    <row r="1807" spans="1:8" x14ac:dyDescent="0.3">
      <c r="A1807" t="s">
        <v>251</v>
      </c>
      <c r="B1807" s="2">
        <v>46296</v>
      </c>
    </row>
    <row r="1808" spans="1:8" x14ac:dyDescent="0.3">
      <c r="A1808" t="s">
        <v>251</v>
      </c>
      <c r="B1808" s="2">
        <v>46327</v>
      </c>
    </row>
    <row r="1809" spans="1:8" x14ac:dyDescent="0.3">
      <c r="A1809" t="s">
        <v>251</v>
      </c>
      <c r="B1809" s="2">
        <v>46357</v>
      </c>
    </row>
    <row r="1810" spans="1:8" x14ac:dyDescent="0.3">
      <c r="A1810" t="s">
        <v>206</v>
      </c>
      <c r="B1810" s="2">
        <v>46204</v>
      </c>
      <c r="C1810" s="10" t="s">
        <v>36</v>
      </c>
      <c r="D1810" s="10" t="s">
        <v>36</v>
      </c>
      <c r="E1810" s="10" t="s">
        <v>36</v>
      </c>
      <c r="F1810" s="10" t="s">
        <v>36</v>
      </c>
      <c r="G1810" s="10" t="s">
        <v>36</v>
      </c>
      <c r="H1810" s="10" t="s">
        <v>36</v>
      </c>
    </row>
  </sheetData>
  <pageMargins left="0.75" right="0.75" top="1" bottom="1" header="0.5" footer="0.5"/>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779"/>
  <sheetViews>
    <sheetView zoomScaleNormal="100" workbookViewId="0">
      <selection activeCell="F19" sqref="F19"/>
    </sheetView>
  </sheetViews>
  <sheetFormatPr defaultColWidth="8.6640625" defaultRowHeight="14.4" x14ac:dyDescent="0.3"/>
  <cols>
    <col min="1" max="1" width="30" customWidth="1"/>
    <col min="2" max="2" width="12" customWidth="1"/>
    <col min="3" max="4" width="18" customWidth="1"/>
    <col min="5" max="6" width="14" customWidth="1"/>
  </cols>
  <sheetData>
    <row r="1" spans="1:7" ht="15" customHeight="1" x14ac:dyDescent="0.3">
      <c r="A1" t="s">
        <v>268</v>
      </c>
      <c r="B1" t="s">
        <v>266</v>
      </c>
      <c r="C1" t="s">
        <v>272</v>
      </c>
      <c r="D1" t="s">
        <v>273</v>
      </c>
      <c r="E1" t="s">
        <v>274</v>
      </c>
      <c r="F1" t="s">
        <v>275</v>
      </c>
      <c r="G1" t="s">
        <v>1021</v>
      </c>
    </row>
    <row r="2" spans="1:7" ht="15" customHeight="1" x14ac:dyDescent="0.3">
      <c r="A2" t="s">
        <v>31</v>
      </c>
      <c r="B2" s="2">
        <v>45292</v>
      </c>
      <c r="C2" cm="1">
        <f t="array" ref="C2">IFERROR(IF(SUMPRODUCT((measured[Site Name]=A2)*(measured[Date]=B2)*ISNUMBER(measured[Measured Value (kWh)]))=0,"",SUMIFS(measured[Measured Value (kWh)],measured[Site Name],A2,measured[Date],B2)),"")</f>
        <v>1815</v>
      </c>
      <c r="D2" cm="1">
        <f t="array" ref="D2">IFERROR(IF(SUMPRODUCT((expected_production[Site Name]=A2)*(expected_production[Date]=B2)*ISNUMBER(expected_production[Expected Production (kWh)]))=0,"",SUMIFS(expected_production[Expected Production (kWh)],expected_production[Site Name],A2,expected_production[Date],B2)),"")</f>
        <v>2370.6</v>
      </c>
      <c r="E2" s="9">
        <f t="shared" ref="E2:E31" si="0">IF(OR(C2="",D2="",D2=0),"",C2/D2)</f>
        <v>0.76562895469501391</v>
      </c>
      <c r="F2" t="str">
        <f t="shared" ref="F2:F31" si="1">IF(E2="","",IF(E2&gt;=0.9,"Expected",IF(E2&gt;=0.7,"Moderate","Poor")))</f>
        <v>Moderate</v>
      </c>
    </row>
    <row r="3" spans="1:7" ht="15" customHeight="1" x14ac:dyDescent="0.3">
      <c r="A3" t="s">
        <v>31</v>
      </c>
      <c r="B3" s="2">
        <v>45323</v>
      </c>
      <c r="C3" cm="1">
        <f t="array" ref="C3">IFERROR(IF(SUMPRODUCT((measured[Site Name]=A3)*(measured[Date]=B3)*ISNUMBER(measured[Measured Value (kWh)]))=0,"",SUMIFS(measured[Measured Value (kWh)],measured[Site Name],A3,measured[Date],B3)),"")</f>
        <v>2295</v>
      </c>
      <c r="D3" cm="1">
        <f t="array" ref="D3">IFERROR(IF(SUMPRODUCT((expected_production[Site Name]=A3)*(expected_production[Date]=B3)*ISNUMBER(expected_production[Expected Production (kWh)]))=0,"",SUMIFS(expected_production[Expected Production (kWh)],expected_production[Site Name],A3,expected_production[Date],B3)),"")</f>
        <v>2680.2</v>
      </c>
      <c r="E3" s="9">
        <f t="shared" si="0"/>
        <v>0.85627938213566157</v>
      </c>
      <c r="F3" t="str">
        <f t="shared" si="1"/>
        <v>Moderate</v>
      </c>
    </row>
    <row r="4" spans="1:7" ht="15" customHeight="1" x14ac:dyDescent="0.3">
      <c r="A4" t="s">
        <v>31</v>
      </c>
      <c r="B4" s="2">
        <v>45352</v>
      </c>
      <c r="C4" cm="1">
        <f t="array" ref="C4">IFERROR(IF(SUMPRODUCT((measured[Site Name]=A4)*(measured[Date]=B4)*ISNUMBER(measured[Measured Value (kWh)]))=0,"",SUMIFS(measured[Measured Value (kWh)],measured[Site Name],A4,measured[Date],B4)),"")</f>
        <v>2474</v>
      </c>
      <c r="D4" cm="1">
        <f t="array" ref="D4">IFERROR(IF(SUMPRODUCT((expected_production[Site Name]=A4)*(expected_production[Date]=B4)*ISNUMBER(expected_production[Expected Production (kWh)]))=0,"",SUMIFS(expected_production[Expected Production (kWh)],expected_production[Site Name],A4,expected_production[Date],B4)),"")</f>
        <v>2183.4</v>
      </c>
      <c r="E4" s="9">
        <f t="shared" si="0"/>
        <v>1.1330951726664835</v>
      </c>
      <c r="F4" t="str">
        <f t="shared" si="1"/>
        <v>Expected</v>
      </c>
    </row>
    <row r="5" spans="1:7" ht="15" customHeight="1" x14ac:dyDescent="0.3">
      <c r="A5" t="s">
        <v>31</v>
      </c>
      <c r="B5" s="2">
        <v>45383</v>
      </c>
      <c r="C5" cm="1">
        <f t="array" ref="C5">IFERROR(IF(SUMPRODUCT((measured[Site Name]=A5)*(measured[Date]=B5)*ISNUMBER(measured[Measured Value (kWh)]))=0,"",SUMIFS(measured[Measured Value (kWh)],measured[Site Name],A5,measured[Date],B5)),"")</f>
        <v>2136</v>
      </c>
      <c r="D5" cm="1">
        <f t="array" ref="D5">IFERROR(IF(SUMPRODUCT((expected_production[Site Name]=A5)*(expected_production[Date]=B5)*ISNUMBER(expected_production[Expected Production (kWh)]))=0,"",SUMIFS(expected_production[Expected Production (kWh)],expected_production[Site Name],A5,expected_production[Date],B5)),"")</f>
        <v>1873.8</v>
      </c>
      <c r="E5" s="9">
        <f t="shared" si="0"/>
        <v>1.1399295549151458</v>
      </c>
      <c r="F5" t="str">
        <f t="shared" si="1"/>
        <v>Expected</v>
      </c>
    </row>
    <row r="6" spans="1:7" ht="15" customHeight="1" x14ac:dyDescent="0.3">
      <c r="A6" t="s">
        <v>31</v>
      </c>
      <c r="B6" s="2">
        <v>45413</v>
      </c>
      <c r="C6" cm="1">
        <f t="array" ref="C6">IFERROR(IF(SUMPRODUCT((measured[Site Name]=A6)*(measured[Date]=B6)*ISNUMBER(measured[Measured Value (kWh)]))=0,"",SUMIFS(measured[Measured Value (kWh)],measured[Site Name],A6,measured[Date],B6)),"")</f>
        <v>2212</v>
      </c>
      <c r="D6" cm="1">
        <f t="array" ref="D6">IFERROR(IF(SUMPRODUCT((expected_production[Site Name]=A6)*(expected_production[Date]=B6)*ISNUMBER(expected_production[Expected Production (kWh)]))=0,"",SUMIFS(expected_production[Expected Production (kWh)],expected_production[Site Name],A6,expected_production[Date],B6)),"")</f>
        <v>1822.5</v>
      </c>
      <c r="E6" s="9">
        <f t="shared" si="0"/>
        <v>1.2137174211248285</v>
      </c>
      <c r="F6" t="str">
        <f t="shared" si="1"/>
        <v>Expected</v>
      </c>
    </row>
    <row r="7" spans="1:7" ht="15" customHeight="1" x14ac:dyDescent="0.3">
      <c r="A7" t="s">
        <v>31</v>
      </c>
      <c r="B7" s="2">
        <v>45444</v>
      </c>
      <c r="C7" cm="1">
        <f t="array" ref="C7">IFERROR(IF(SUMPRODUCT((measured[Site Name]=A7)*(measured[Date]=B7)*ISNUMBER(measured[Measured Value (kWh)]))=0,"",SUMIFS(measured[Measured Value (kWh)],measured[Site Name],A7,measured[Date],B7)),"")</f>
        <v>1863</v>
      </c>
      <c r="D7" cm="1">
        <f t="array" ref="D7">IFERROR(IF(SUMPRODUCT((expected_production[Site Name]=A7)*(expected_production[Date]=B7)*ISNUMBER(expected_production[Expected Production (kWh)]))=0,"",SUMIFS(expected_production[Expected Production (kWh)],expected_production[Site Name],A7,expected_production[Date],B7)),"")</f>
        <v>1629</v>
      </c>
      <c r="E7" s="9">
        <f t="shared" si="0"/>
        <v>1.1436464088397791</v>
      </c>
      <c r="F7" t="str">
        <f t="shared" si="1"/>
        <v>Expected</v>
      </c>
    </row>
    <row r="8" spans="1:7" ht="15" customHeight="1" x14ac:dyDescent="0.3">
      <c r="A8" t="s">
        <v>31</v>
      </c>
      <c r="B8" s="2">
        <v>45474</v>
      </c>
      <c r="C8" cm="1">
        <f t="array" ref="C8">IFERROR(IF(SUMPRODUCT((measured[Site Name]=A8)*(measured[Date]=B8)*ISNUMBER(measured[Measured Value (kWh)]))=0,"",SUMIFS(measured[Measured Value (kWh)],measured[Site Name],A8,measured[Date],B8)),"")</f>
        <v>1943</v>
      </c>
      <c r="D8" cm="1">
        <f t="array" ref="D8">IFERROR(IF(SUMPRODUCT((expected_production[Site Name]=A8)*(expected_production[Date]=B8)*ISNUMBER(expected_production[Expected Production (kWh)]))=0,"",SUMIFS(expected_production[Expected Production (kWh)],expected_production[Site Name],A8,expected_production[Date],B8)),"")</f>
        <v>1814.4</v>
      </c>
      <c r="E8" s="9">
        <f t="shared" si="0"/>
        <v>1.0708774250440916</v>
      </c>
      <c r="F8" t="str">
        <f t="shared" si="1"/>
        <v>Expected</v>
      </c>
    </row>
    <row r="9" spans="1:7" ht="15" customHeight="1" x14ac:dyDescent="0.3">
      <c r="A9" t="s">
        <v>31</v>
      </c>
      <c r="B9" s="2">
        <v>45505</v>
      </c>
      <c r="C9" cm="1">
        <f t="array" ref="C9">IFERROR(IF(SUMPRODUCT((measured[Site Name]=A9)*(measured[Date]=B9)*ISNUMBER(measured[Measured Value (kWh)]))=0,"",SUMIFS(measured[Measured Value (kWh)],measured[Site Name],A9,measured[Date],B9)),"")</f>
        <v>1710</v>
      </c>
      <c r="D9" cm="1">
        <f t="array" ref="D9">IFERROR(IF(SUMPRODUCT((expected_production[Site Name]=A9)*(expected_production[Date]=B9)*ISNUMBER(expected_production[Expected Production (kWh)]))=0,"",SUMIFS(expected_production[Expected Production (kWh)],expected_production[Site Name],A9,expected_production[Date],B9)),"")</f>
        <v>2116.8000000000002</v>
      </c>
      <c r="E9" s="9">
        <f t="shared" si="0"/>
        <v>0.80782312925170063</v>
      </c>
      <c r="F9" t="str">
        <f t="shared" si="1"/>
        <v>Moderate</v>
      </c>
    </row>
    <row r="10" spans="1:7" ht="15" customHeight="1" x14ac:dyDescent="0.3">
      <c r="A10" t="s">
        <v>31</v>
      </c>
      <c r="B10" s="2">
        <v>45536</v>
      </c>
      <c r="C10" cm="1">
        <f t="array" ref="C10">IFERROR(IF(SUMPRODUCT((measured[Site Name]=A10)*(measured[Date]=B10)*ISNUMBER(measured[Measured Value (kWh)]))=0,"",SUMIFS(measured[Measured Value (kWh)],measured[Site Name],A10,measured[Date],B10)),"")</f>
        <v>1579</v>
      </c>
      <c r="D10" cm="1">
        <f t="array" ref="D10">IFERROR(IF(SUMPRODUCT((expected_production[Site Name]=A10)*(expected_production[Date]=B10)*ISNUMBER(expected_production[Expected Production (kWh)]))=0,"",SUMIFS(expected_production[Expected Production (kWh)],expected_production[Site Name],A10,expected_production[Date],B10)),"")</f>
        <v>2275.1999999999998</v>
      </c>
      <c r="E10" s="9">
        <f t="shared" si="0"/>
        <v>0.69400492264416325</v>
      </c>
      <c r="F10" t="str">
        <f t="shared" si="1"/>
        <v>Poor</v>
      </c>
    </row>
    <row r="11" spans="1:7" ht="15" customHeight="1" x14ac:dyDescent="0.3">
      <c r="A11" t="s">
        <v>31</v>
      </c>
      <c r="B11" s="2">
        <v>45566</v>
      </c>
      <c r="C11" cm="1">
        <f t="array" ref="C11">IFERROR(IF(SUMPRODUCT((measured[Site Name]=A11)*(measured[Date]=B11)*ISNUMBER(measured[Measured Value (kWh)]))=0,"",SUMIFS(measured[Measured Value (kWh)],measured[Site Name],A11,measured[Date],B11)),"")</f>
        <v>1593</v>
      </c>
      <c r="D11" cm="1">
        <f t="array" ref="D11">IFERROR(IF(SUMPRODUCT((expected_production[Site Name]=A11)*(expected_production[Date]=B11)*ISNUMBER(expected_production[Expected Production (kWh)]))=0,"",SUMIFS(expected_production[Expected Production (kWh)],expected_production[Site Name],A11,expected_production[Date],B11)),"")</f>
        <v>2407.5</v>
      </c>
      <c r="E11" s="9">
        <f t="shared" si="0"/>
        <v>0.66168224299065426</v>
      </c>
      <c r="F11" t="str">
        <f t="shared" si="1"/>
        <v>Poor</v>
      </c>
    </row>
    <row r="12" spans="1:7" ht="15" customHeight="1" x14ac:dyDescent="0.3">
      <c r="A12" t="s">
        <v>31</v>
      </c>
      <c r="B12" s="2">
        <v>45597</v>
      </c>
      <c r="C12" cm="1">
        <f t="array" ref="C12">IFERROR(IF(SUMPRODUCT((measured[Site Name]=A12)*(measured[Date]=B12)*ISNUMBER(measured[Measured Value (kWh)]))=0,"",SUMIFS(measured[Measured Value (kWh)],measured[Site Name],A12,measured[Date],B12)),"")</f>
        <v>1794</v>
      </c>
      <c r="D12" cm="1">
        <f t="array" ref="D12">IFERROR(IF(SUMPRODUCT((expected_production[Site Name]=A12)*(expected_production[Date]=B12)*ISNUMBER(expected_production[Expected Production (kWh)]))=0,"",SUMIFS(expected_production[Expected Production (kWh)],expected_production[Site Name],A12,expected_production[Date],B12)),"")</f>
        <v>2356.1999999999998</v>
      </c>
      <c r="E12" s="9">
        <f t="shared" si="0"/>
        <v>0.76139546727782026</v>
      </c>
      <c r="F12" t="str">
        <f t="shared" si="1"/>
        <v>Moderate</v>
      </c>
    </row>
    <row r="13" spans="1:7" ht="15" customHeight="1" x14ac:dyDescent="0.3">
      <c r="A13" t="s">
        <v>31</v>
      </c>
      <c r="B13" s="2">
        <v>45627</v>
      </c>
      <c r="C13" cm="1">
        <f t="array" ref="C13">IFERROR(IF(SUMPRODUCT((measured[Site Name]=A13)*(measured[Date]=B13)*ISNUMBER(measured[Measured Value (kWh)]))=0,"",SUMIFS(measured[Measured Value (kWh)],measured[Site Name],A13,measured[Date],B13)),"")</f>
        <v>1794</v>
      </c>
      <c r="D13" cm="1">
        <f t="array" ref="D13">IFERROR(IF(SUMPRODUCT((expected_production[Site Name]=A13)*(expected_production[Date]=B13)*ISNUMBER(expected_production[Expected Production (kWh)]))=0,"",SUMIFS(expected_production[Expected Production (kWh)],expected_production[Site Name],A13,expected_production[Date],B13)),"")</f>
        <v>2482.1999999999998</v>
      </c>
      <c r="E13" s="9">
        <f t="shared" si="0"/>
        <v>0.72274595117234719</v>
      </c>
      <c r="F13" t="str">
        <f t="shared" si="1"/>
        <v>Moderate</v>
      </c>
    </row>
    <row r="14" spans="1:7" ht="15" customHeight="1" x14ac:dyDescent="0.3">
      <c r="A14" t="s">
        <v>31</v>
      </c>
      <c r="B14" s="2">
        <v>45658</v>
      </c>
      <c r="C14" cm="1">
        <f t="array" ref="C14">IFERROR(IF(SUMPRODUCT((measured[Site Name]=A14)*(measured[Date]=B14)*ISNUMBER(measured[Measured Value (kWh)]))=0,"",SUMIFS(measured[Measured Value (kWh)],measured[Site Name],A14,measured[Date],B14)),"")</f>
        <v>1992</v>
      </c>
      <c r="D14" cm="1">
        <f t="array" ref="D14">IFERROR(IF(SUMPRODUCT((expected_production[Site Name]=A14)*(expected_production[Date]=B14)*ISNUMBER(expected_production[Expected Production (kWh)]))=0,"",SUMIFS(expected_production[Expected Production (kWh)],expected_production[Site Name],A14,expected_production[Date],B14)),"")</f>
        <v>2370.6</v>
      </c>
      <c r="E14" s="9">
        <f t="shared" si="0"/>
        <v>0.84029359655783353</v>
      </c>
      <c r="F14" t="str">
        <f t="shared" si="1"/>
        <v>Moderate</v>
      </c>
    </row>
    <row r="15" spans="1:7" ht="15" customHeight="1" x14ac:dyDescent="0.3">
      <c r="A15" t="s">
        <v>31</v>
      </c>
      <c r="B15" s="2">
        <v>45689</v>
      </c>
      <c r="C15" cm="1">
        <f t="array" ref="C15">IFERROR(IF(SUMPRODUCT((measured[Site Name]=A15)*(measured[Date]=B15)*ISNUMBER(measured[Measured Value (kWh)]))=0,"",SUMIFS(measured[Measured Value (kWh)],measured[Site Name],A15,measured[Date],B15)),"")</f>
        <v>1458</v>
      </c>
      <c r="D15" cm="1">
        <f t="array" ref="D15">IFERROR(IF(SUMPRODUCT((expected_production[Site Name]=A15)*(expected_production[Date]=B15)*ISNUMBER(expected_production[Expected Production (kWh)]))=0,"",SUMIFS(expected_production[Expected Production (kWh)],expected_production[Site Name],A15,expected_production[Date],B15)),"")</f>
        <v>2680.2</v>
      </c>
      <c r="E15" s="9">
        <f t="shared" si="0"/>
        <v>0.54398925453324387</v>
      </c>
      <c r="F15" t="str">
        <f t="shared" si="1"/>
        <v>Poor</v>
      </c>
    </row>
    <row r="16" spans="1:7" ht="15" customHeight="1" x14ac:dyDescent="0.3">
      <c r="A16" t="s">
        <v>31</v>
      </c>
      <c r="B16" s="2">
        <v>45717</v>
      </c>
      <c r="C16" cm="1">
        <f t="array" ref="C16">IFERROR(IF(SUMPRODUCT((measured[Site Name]=A16)*(measured[Date]=B16)*ISNUMBER(measured[Measured Value (kWh)]))=0,"",SUMIFS(measured[Measured Value (kWh)],measured[Site Name],A16,measured[Date],B16)),"")</f>
        <v>1382</v>
      </c>
      <c r="D16" cm="1">
        <f t="array" ref="D16">IFERROR(IF(SUMPRODUCT((expected_production[Site Name]=A16)*(expected_production[Date]=B16)*ISNUMBER(expected_production[Expected Production (kWh)]))=0,"",SUMIFS(expected_production[Expected Production (kWh)],expected_production[Site Name],A16,expected_production[Date],B16)),"")</f>
        <v>2183.4</v>
      </c>
      <c r="E16" s="9">
        <f t="shared" si="0"/>
        <v>0.63295777228176231</v>
      </c>
      <c r="F16" t="str">
        <f t="shared" si="1"/>
        <v>Poor</v>
      </c>
    </row>
    <row r="17" spans="1:7" ht="15" customHeight="1" x14ac:dyDescent="0.3">
      <c r="A17" t="s">
        <v>31</v>
      </c>
      <c r="B17" s="2">
        <v>45748</v>
      </c>
      <c r="C17" cm="1">
        <f t="array" ref="C17">IFERROR(IF(SUMPRODUCT((measured[Site Name]=A17)*(measured[Date]=B17)*ISNUMBER(measured[Measured Value (kWh)]))=0,"",SUMIFS(measured[Measured Value (kWh)],measured[Site Name],A17,measured[Date],B17)),"")</f>
        <v>1183</v>
      </c>
      <c r="D17" cm="1">
        <f t="array" ref="D17">IFERROR(IF(SUMPRODUCT((expected_production[Site Name]=A17)*(expected_production[Date]=B17)*ISNUMBER(expected_production[Expected Production (kWh)]))=0,"",SUMIFS(expected_production[Expected Production (kWh)],expected_production[Site Name],A17,expected_production[Date],B17)),"")</f>
        <v>1873.8</v>
      </c>
      <c r="E17" s="9">
        <f t="shared" si="0"/>
        <v>0.6313373892624613</v>
      </c>
      <c r="F17" t="str">
        <f t="shared" si="1"/>
        <v>Poor</v>
      </c>
    </row>
    <row r="18" spans="1:7" ht="15" customHeight="1" x14ac:dyDescent="0.3">
      <c r="A18" t="s">
        <v>31</v>
      </c>
      <c r="B18" s="2">
        <v>45778</v>
      </c>
      <c r="C18" cm="1">
        <f t="array" ref="C18">IFERROR(IF(SUMPRODUCT((measured[Site Name]=A18)*(measured[Date]=B18)*ISNUMBER(measured[Measured Value (kWh)]))=0,"",SUMIFS(measured[Measured Value (kWh)],measured[Site Name],A18,measured[Date],B18)),"")</f>
        <v>1860</v>
      </c>
      <c r="D18" cm="1">
        <f t="array" ref="D18">IFERROR(IF(SUMPRODUCT((expected_production[Site Name]=A18)*(expected_production[Date]=B18)*ISNUMBER(expected_production[Expected Production (kWh)]))=0,"",SUMIFS(expected_production[Expected Production (kWh)],expected_production[Site Name],A18,expected_production[Date],B18)),"")</f>
        <v>1822.5</v>
      </c>
      <c r="E18" s="9">
        <f t="shared" si="0"/>
        <v>1.0205761316872428</v>
      </c>
      <c r="F18" t="str">
        <f t="shared" si="1"/>
        <v>Expected</v>
      </c>
    </row>
    <row r="19" spans="1:7" ht="15" customHeight="1" x14ac:dyDescent="0.3">
      <c r="A19" t="s">
        <v>31</v>
      </c>
      <c r="B19" s="2">
        <v>45809</v>
      </c>
      <c r="C19" cm="1">
        <f t="array" ref="C19">IFERROR(IF(SUMPRODUCT((measured[Site Name]=A19)*(measured[Date]=B19)*ISNUMBER(measured[Measured Value (kWh)]))=0,"",SUMIFS(measured[Measured Value (kWh)],measured[Site Name],A19,measured[Date],B19)),"")</f>
        <v>1756.6</v>
      </c>
      <c r="D19" cm="1">
        <f t="array" ref="D19">IFERROR(IF(SUMPRODUCT((expected_production[Site Name]=A19)*(expected_production[Date]=B19)*ISNUMBER(expected_production[Expected Production (kWh)]))=0,"",SUMIFS(expected_production[Expected Production (kWh)],expected_production[Site Name],A19,expected_production[Date],B19)),"")</f>
        <v>1629</v>
      </c>
      <c r="E19" s="9">
        <f t="shared" si="0"/>
        <v>1.0783302639656229</v>
      </c>
      <c r="F19" t="str">
        <f t="shared" si="1"/>
        <v>Expected</v>
      </c>
    </row>
    <row r="20" spans="1:7" ht="15" customHeight="1" x14ac:dyDescent="0.3">
      <c r="A20" t="s">
        <v>31</v>
      </c>
      <c r="B20" s="2">
        <v>45839</v>
      </c>
      <c r="C20" cm="1">
        <f t="array" ref="C20">IFERROR(IF(SUMPRODUCT((measured[Site Name]=A20)*(measured[Date]=B20)*ISNUMBER(measured[Measured Value (kWh)]))=0,"",SUMIFS(measured[Measured Value (kWh)],measured[Site Name],A20,measured[Date],B20)),"")</f>
        <v>1742</v>
      </c>
      <c r="D20" cm="1">
        <f t="array" ref="D20">IFERROR(IF(SUMPRODUCT((expected_production[Site Name]=A20)*(expected_production[Date]=B20)*ISNUMBER(expected_production[Expected Production (kWh)]))=0,"",SUMIFS(expected_production[Expected Production (kWh)],expected_production[Site Name],A20,expected_production[Date],B20)),"")</f>
        <v>1814.4</v>
      </c>
      <c r="E20" s="9">
        <f t="shared" si="0"/>
        <v>0.96009700176366841</v>
      </c>
      <c r="F20" t="str">
        <f t="shared" si="1"/>
        <v>Expected</v>
      </c>
    </row>
    <row r="21" spans="1:7" ht="15" customHeight="1" x14ac:dyDescent="0.3">
      <c r="A21" t="s">
        <v>31</v>
      </c>
      <c r="B21" s="2">
        <v>45870</v>
      </c>
      <c r="C21" cm="1">
        <f t="array" ref="C21">IFERROR(IF(SUMPRODUCT((measured[Site Name]=A21)*(measured[Date]=B21)*ISNUMBER(measured[Measured Value (kWh)]))=0,"",SUMIFS(measured[Measured Value (kWh)],measured[Site Name],A21,measured[Date],B21)),"")</f>
        <v>1613</v>
      </c>
      <c r="D21" cm="1">
        <f t="array" ref="D21">IFERROR(IF(SUMPRODUCT((expected_production[Site Name]=A21)*(expected_production[Date]=B21)*ISNUMBER(expected_production[Expected Production (kWh)]))=0,"",SUMIFS(expected_production[Expected Production (kWh)],expected_production[Site Name],A21,expected_production[Date],B21)),"")</f>
        <v>2116.8000000000002</v>
      </c>
      <c r="E21" s="9">
        <f t="shared" si="0"/>
        <v>0.76199924414210118</v>
      </c>
      <c r="F21" t="str">
        <f t="shared" si="1"/>
        <v>Moderate</v>
      </c>
    </row>
    <row r="22" spans="1:7" ht="15" customHeight="1" x14ac:dyDescent="0.3">
      <c r="A22" t="s">
        <v>31</v>
      </c>
      <c r="B22" s="2">
        <v>45901</v>
      </c>
      <c r="C22" cm="1">
        <f t="array" ref="C22">IFERROR(IF(SUMPRODUCT((measured[Site Name]=A22)*(measured[Date]=B22)*ISNUMBER(measured[Measured Value (kWh)]))=0,"",SUMIFS(measured[Measured Value (kWh)],measured[Site Name],A22,measured[Date],B22)),"")</f>
        <v>1358.7</v>
      </c>
      <c r="D22" cm="1">
        <f t="array" ref="D22">IFERROR(IF(SUMPRODUCT((expected_production[Site Name]=A22)*(expected_production[Date]=B22)*ISNUMBER(expected_production[Expected Production (kWh)]))=0,"",SUMIFS(expected_production[Expected Production (kWh)],expected_production[Site Name],A22,expected_production[Date],B22)),"")</f>
        <v>2275.1999999999998</v>
      </c>
      <c r="E22" s="9">
        <f t="shared" si="0"/>
        <v>0.59717827004219415</v>
      </c>
      <c r="F22" t="str">
        <f t="shared" si="1"/>
        <v>Poor</v>
      </c>
    </row>
    <row r="23" spans="1:7" ht="15" customHeight="1" x14ac:dyDescent="0.3">
      <c r="A23" t="s">
        <v>31</v>
      </c>
      <c r="B23" s="2">
        <v>45931</v>
      </c>
      <c r="C23" cm="1">
        <f t="array" ref="C23">IFERROR(IF(SUMPRODUCT((measured[Site Name]=A23)*(measured[Date]=B23)*ISNUMBER(measured[Measured Value (kWh)]))=0,"",SUMIFS(measured[Measured Value (kWh)],measured[Site Name],A23,measured[Date],B23)),"")</f>
        <v>1601</v>
      </c>
      <c r="D23" cm="1">
        <f t="array" ref="D23">IFERROR(IF(SUMPRODUCT((expected_production[Site Name]=A23)*(expected_production[Date]=B23)*ISNUMBER(expected_production[Expected Production (kWh)]))=0,"",SUMIFS(expected_production[Expected Production (kWh)],expected_production[Site Name],A23,expected_production[Date],B23)),"")</f>
        <v>2407.5</v>
      </c>
      <c r="E23" s="9">
        <f t="shared" si="0"/>
        <v>0.6650051921079958</v>
      </c>
      <c r="F23" t="str">
        <f t="shared" si="1"/>
        <v>Poor</v>
      </c>
    </row>
    <row r="24" spans="1:7" ht="15" customHeight="1" x14ac:dyDescent="0.3">
      <c r="A24" t="s">
        <v>31</v>
      </c>
      <c r="B24" s="2">
        <v>45962</v>
      </c>
      <c r="C24" cm="1">
        <f t="array" ref="C24">IFERROR(IF(SUMPRODUCT((measured[Site Name]=A24)*(measured[Date]=B24)*ISNUMBER(measured[Measured Value (kWh)]))=0,"",SUMIFS(measured[Measured Value (kWh)],measured[Site Name],A24,measured[Date],B24)),"")</f>
        <v>1444</v>
      </c>
      <c r="D24" cm="1">
        <f t="array" ref="D24">IFERROR(IF(SUMPRODUCT((expected_production[Site Name]=A24)*(expected_production[Date]=B24)*ISNUMBER(expected_production[Expected Production (kWh)]))=0,"",SUMIFS(expected_production[Expected Production (kWh)],expected_production[Site Name],A24,expected_production[Date],B24)),"")</f>
        <v>2356.1999999999998</v>
      </c>
      <c r="E24" s="9">
        <f t="shared" si="0"/>
        <v>0.61285120108649527</v>
      </c>
      <c r="F24" t="str">
        <f t="shared" si="1"/>
        <v>Poor</v>
      </c>
    </row>
    <row r="25" spans="1:7" ht="15" customHeight="1" x14ac:dyDescent="0.3">
      <c r="A25" t="s">
        <v>31</v>
      </c>
      <c r="B25" s="2">
        <v>45992</v>
      </c>
      <c r="C25" cm="1">
        <f t="array" ref="C25">IFERROR(IF(SUMPRODUCT((measured[Site Name]=A25)*(measured[Date]=B25)*ISNUMBER(measured[Measured Value (kWh)]))=0,"",SUMIFS(measured[Measured Value (kWh)],measured[Site Name],A25,measured[Date],B25)),"")</f>
        <v>1375</v>
      </c>
      <c r="D25" cm="1">
        <f t="array" ref="D25">IFERROR(IF(SUMPRODUCT((expected_production[Site Name]=A25)*(expected_production[Date]=B25)*ISNUMBER(expected_production[Expected Production (kWh)]))=0,"",SUMIFS(expected_production[Expected Production (kWh)],expected_production[Site Name],A25,expected_production[Date],B25)),"")</f>
        <v>2482.1999999999998</v>
      </c>
      <c r="E25" s="9">
        <f t="shared" si="0"/>
        <v>0.55394408186286359</v>
      </c>
      <c r="F25" t="str">
        <f t="shared" si="1"/>
        <v>Poor</v>
      </c>
    </row>
    <row r="26" spans="1:7" ht="15" customHeight="1" x14ac:dyDescent="0.3">
      <c r="A26" t="s">
        <v>31</v>
      </c>
      <c r="B26" s="2">
        <v>46023</v>
      </c>
      <c r="C26" cm="1">
        <f t="array" ref="C26">IFERROR(IF(SUMPRODUCT((measured[Site Name]=A26)*(measured[Date]=B26)*ISNUMBER(measured[Measured Value (kWh)]))=0,"",SUMIFS(measured[Measured Value (kWh)],measured[Site Name],A26,measured[Date],B26)),"")</f>
        <v>1549</v>
      </c>
      <c r="D26" cm="1">
        <f t="array" ref="D26">IFERROR(IF(SUMPRODUCT((expected_production[Site Name]=A26)*(expected_production[Date]=B26)*ISNUMBER(expected_production[Expected Production (kWh)]))=0,"",SUMIFS(expected_production[Expected Production (kWh)],expected_production[Site Name],A26,expected_production[Date],B26)),"")</f>
        <v>2370.6</v>
      </c>
      <c r="E26" s="9">
        <f t="shared" si="0"/>
        <v>0.65342107483337553</v>
      </c>
      <c r="F26" t="str">
        <f t="shared" si="1"/>
        <v>Poor</v>
      </c>
    </row>
    <row r="27" spans="1:7" ht="15" customHeight="1" x14ac:dyDescent="0.3">
      <c r="A27" t="s">
        <v>31</v>
      </c>
      <c r="B27" s="2">
        <v>46054</v>
      </c>
      <c r="C27" cm="1">
        <f t="array" ref="C27">IFERROR(IF(SUMPRODUCT((measured[Site Name]=A27)*(measured[Date]=B27)*ISNUMBER(measured[Measured Value (kWh)]))=0,"",SUMIFS(measured[Measured Value (kWh)],measured[Site Name],A27,measured[Date],B27)),"")</f>
        <v>1362</v>
      </c>
      <c r="D27" cm="1">
        <f t="array" ref="D27">IFERROR(IF(SUMPRODUCT((expected_production[Site Name]=A27)*(expected_production[Date]=B27)*ISNUMBER(expected_production[Expected Production (kWh)]))=0,"",SUMIFS(expected_production[Expected Production (kWh)],expected_production[Site Name],A27,expected_production[Date],B27)),"")</f>
        <v>2680.2</v>
      </c>
      <c r="E27" s="9">
        <f t="shared" si="0"/>
        <v>0.50817103201253644</v>
      </c>
      <c r="F27" t="str">
        <f t="shared" si="1"/>
        <v>Poor</v>
      </c>
    </row>
    <row r="28" spans="1:7" ht="15" customHeight="1" x14ac:dyDescent="0.3">
      <c r="A28" t="s">
        <v>31</v>
      </c>
      <c r="B28" s="2">
        <v>46082</v>
      </c>
      <c r="C28" cm="1">
        <f t="array" ref="C28">IFERROR(IF(SUMPRODUCT((measured[Site Name]=A28)*(measured[Date]=B28)*ISNUMBER(measured[Measured Value (kWh)]))=0,"",SUMIFS(measured[Measured Value (kWh)],measured[Site Name],A28,measured[Date],B28)),"")</f>
        <v>1237</v>
      </c>
      <c r="D28" cm="1">
        <f t="array" ref="D28">IFERROR(IF(SUMPRODUCT((expected_production[Site Name]=A28)*(expected_production[Date]=B28)*ISNUMBER(expected_production[Expected Production (kWh)]))=0,"",SUMIFS(expected_production[Expected Production (kWh)],expected_production[Site Name],A28,expected_production[Date],B28)),"")</f>
        <v>2183.4</v>
      </c>
      <c r="E28" s="9">
        <f t="shared" si="0"/>
        <v>0.56654758633324176</v>
      </c>
      <c r="F28" t="str">
        <f t="shared" si="1"/>
        <v>Poor</v>
      </c>
    </row>
    <row r="29" spans="1:7" ht="15" customHeight="1" x14ac:dyDescent="0.3">
      <c r="A29" t="s">
        <v>31</v>
      </c>
      <c r="B29" s="2">
        <v>46113</v>
      </c>
      <c r="C29" s="5" cm="1">
        <f t="array" ref="C29">IFERROR(IF(SUMPRODUCT((measured[Site Name]=A29)*(measured[Date]=B29)*ISNUMBER(measured[Measured Value (kWh)]))=0,"",SUMIFS(measured[Measured Value (kWh)],measured[Site Name],A29,measured[Date],B29)),"")</f>
        <v>830</v>
      </c>
      <c r="D29" cm="1">
        <f t="array" ref="D29">IFERROR(IF(SUMPRODUCT((expected_production[Site Name]=A29)*(expected_production[Date]=B29)*ISNUMBER(expected_production[Expected Production (kWh)]))=0,"",SUMIFS(expected_production[Expected Production (kWh)],expected_production[Site Name],A29,expected_production[Date],B29)),"")</f>
        <v>1873.8</v>
      </c>
      <c r="E29" s="9">
        <f t="shared" si="0"/>
        <v>0.44295015476571675</v>
      </c>
      <c r="F29" t="str">
        <f t="shared" si="1"/>
        <v>Poor</v>
      </c>
    </row>
    <row r="30" spans="1:7" ht="15" customHeight="1" x14ac:dyDescent="0.3">
      <c r="A30" t="s">
        <v>31</v>
      </c>
      <c r="B30" s="2">
        <v>46143</v>
      </c>
      <c r="C30" s="5" cm="1">
        <f t="array" ref="C30">IFERROR(IF(SUMPRODUCT((measured[Site Name]=A30)*(measured[Date]=B30)*ISNUMBER(measured[Measured Value (kWh)]))=0,"",SUMIFS(measured[Measured Value (kWh)],measured[Site Name],A30,measured[Date],B30)),"")</f>
        <v>1169.9000000000001</v>
      </c>
      <c r="D30" cm="1">
        <f t="array" ref="D30">IFERROR(IF(SUMPRODUCT((expected_production[Site Name]=A30)*(expected_production[Date]=B30)*ISNUMBER(expected_production[Expected Production (kWh)]))=0,"",SUMIFS(expected_production[Expected Production (kWh)],expected_production[Site Name],A30,expected_production[Date],B30)),"")</f>
        <v>1822.5</v>
      </c>
      <c r="E30" s="9">
        <f t="shared" si="0"/>
        <v>0.64192043895747608</v>
      </c>
      <c r="F30" t="str">
        <f t="shared" si="1"/>
        <v>Poor</v>
      </c>
    </row>
    <row r="31" spans="1:7" ht="15" customHeight="1" x14ac:dyDescent="0.3">
      <c r="A31" t="s">
        <v>31</v>
      </c>
      <c r="B31" s="2">
        <v>46174</v>
      </c>
      <c r="C31" cm="1">
        <f t="array" ref="C31">IFERROR(IF(SUMPRODUCT((measured[Site Name]=A31)*(measured[Date]=B31)*ISNUMBER(measured[Measured Value (kWh)]))=0,"",SUMIFS(measured[Measured Value (kWh)],measured[Site Name],A31,measured[Date],B31)),"")</f>
        <v>1287</v>
      </c>
      <c r="D31" cm="1">
        <f t="array" ref="D31">IFERROR(IF(SUMPRODUCT((expected_production[Site Name]=A31)*(expected_production[Date]=B31)*ISNUMBER(expected_production[Expected Production (kWh)]))=0,"",SUMIFS(expected_production[Expected Production (kWh)],expected_production[Site Name],A31,expected_production[Date],B31)),"")</f>
        <v>1629</v>
      </c>
      <c r="E31" s="9">
        <f t="shared" si="0"/>
        <v>0.79005524861878451</v>
      </c>
      <c r="F31" t="str">
        <f t="shared" si="1"/>
        <v>Moderate</v>
      </c>
    </row>
    <row r="32" spans="1:7" ht="15" customHeight="1" x14ac:dyDescent="0.3">
      <c r="A32" t="s">
        <v>31</v>
      </c>
      <c r="B32" s="2">
        <v>46204</v>
      </c>
      <c r="C32" cm="1">
        <f t="array" ref="C32">IFERROR(IF(SUMPRODUCT((measured[Site Name]=A32)*(measured[Date]=B32)*ISNUMBER(measured[Measured Value (kWh)]))=0,"",SUMIFS(measured[Measured Value (kWh)],measured[Site Name],A32,measured[Date],B32)),"")</f>
        <v>1638</v>
      </c>
      <c r="D32" cm="1">
        <f t="array" ref="D32">IFERROR(IF(SUMPRODUCT((expected_production[Site Name]=A32)*(expected_production[Date]=B32)*ISNUMBER(expected_production[Expected Production (kWh)]))=0,"",SUMIFS(expected_production[Expected Production (kWh)],expected_production[Site Name],A32,expected_production[Date],B32)),"")</f>
        <v>1814.4</v>
      </c>
      <c r="E32" s="9">
        <f t="shared" ref="E32:E95" si="2">IF(OR(C32="",D32="",D32=0),"",C32/D32)</f>
        <v>0.90277777777777768</v>
      </c>
      <c r="F32" t="str">
        <f t="shared" ref="F32:F95" si="3">IF(E32="","",IF(E32&gt;=0.9,"Expected",IF(E32&gt;=0.7,"Moderate","Poor")))</f>
        <v>Expected</v>
      </c>
      <c r="G32" t="s">
        <v>874</v>
      </c>
    </row>
    <row r="33" spans="1:6" ht="15" customHeight="1" x14ac:dyDescent="0.3">
      <c r="A33" t="s">
        <v>31</v>
      </c>
      <c r="B33" s="2">
        <v>46235</v>
      </c>
      <c r="C33" t="str" cm="1">
        <f t="array" ref="C33">IFERROR(IF(SUMPRODUCT((measured[Site Name]=A33)*(measured[Date]=B33)*ISNUMBER(measured[Measured Value (kWh)]))=0,"",SUMIFS(measured[Measured Value (kWh)],measured[Site Name],A33,measured[Date],B33)),"")</f>
        <v/>
      </c>
      <c r="D33" cm="1">
        <f t="array" ref="D33">IFERROR(IF(SUMPRODUCT((expected_production[Site Name]=A33)*(expected_production[Date]=B33)*ISNUMBER(expected_production[Expected Production (kWh)]))=0,"",SUMIFS(expected_production[Expected Production (kWh)],expected_production[Site Name],A33,expected_production[Date],B33)),"")</f>
        <v>2116.8000000000002</v>
      </c>
      <c r="E33" s="9" t="str">
        <f t="shared" si="2"/>
        <v/>
      </c>
      <c r="F33" t="str">
        <f t="shared" si="3"/>
        <v/>
      </c>
    </row>
    <row r="34" spans="1:6" ht="15" customHeight="1" x14ac:dyDescent="0.3">
      <c r="A34" t="s">
        <v>31</v>
      </c>
      <c r="B34" s="2">
        <v>46266</v>
      </c>
      <c r="C34" t="str" cm="1">
        <f t="array" ref="C34">IFERROR(IF(SUMPRODUCT((measured[Site Name]=A34)*(measured[Date]=B34)*ISNUMBER(measured[Measured Value (kWh)]))=0,"",SUMIFS(measured[Measured Value (kWh)],measured[Site Name],A34,measured[Date],B34)),"")</f>
        <v/>
      </c>
      <c r="D34" cm="1">
        <f t="array" ref="D34">IFERROR(IF(SUMPRODUCT((expected_production[Site Name]=A34)*(expected_production[Date]=B34)*ISNUMBER(expected_production[Expected Production (kWh)]))=0,"",SUMIFS(expected_production[Expected Production (kWh)],expected_production[Site Name],A34,expected_production[Date],B34)),"")</f>
        <v>2275.1999999999998</v>
      </c>
      <c r="E34" s="9" t="str">
        <f t="shared" si="2"/>
        <v/>
      </c>
      <c r="F34" t="str">
        <f t="shared" si="3"/>
        <v/>
      </c>
    </row>
    <row r="35" spans="1:6" ht="15" customHeight="1" x14ac:dyDescent="0.3">
      <c r="A35" t="s">
        <v>31</v>
      </c>
      <c r="B35" s="2">
        <v>46296</v>
      </c>
      <c r="C35" t="str" cm="1">
        <f t="array" ref="C35">IFERROR(IF(SUMPRODUCT((measured[Site Name]=A35)*(measured[Date]=B35)*ISNUMBER(measured[Measured Value (kWh)]))=0,"",SUMIFS(measured[Measured Value (kWh)],measured[Site Name],A35,measured[Date],B35)),"")</f>
        <v/>
      </c>
      <c r="D35" cm="1">
        <f t="array" ref="D35">IFERROR(IF(SUMPRODUCT((expected_production[Site Name]=A35)*(expected_production[Date]=B35)*ISNUMBER(expected_production[Expected Production (kWh)]))=0,"",SUMIFS(expected_production[Expected Production (kWh)],expected_production[Site Name],A35,expected_production[Date],B35)),"")</f>
        <v>2407.5</v>
      </c>
      <c r="E35" s="9" t="str">
        <f t="shared" si="2"/>
        <v/>
      </c>
      <c r="F35" t="str">
        <f t="shared" si="3"/>
        <v/>
      </c>
    </row>
    <row r="36" spans="1:6" ht="15" customHeight="1" x14ac:dyDescent="0.3">
      <c r="A36" t="s">
        <v>31</v>
      </c>
      <c r="B36" s="2">
        <v>46327</v>
      </c>
      <c r="C36" t="str" cm="1">
        <f t="array" ref="C36">IFERROR(IF(SUMPRODUCT((measured[Site Name]=A36)*(measured[Date]=B36)*ISNUMBER(measured[Measured Value (kWh)]))=0,"",SUMIFS(measured[Measured Value (kWh)],measured[Site Name],A36,measured[Date],B36)),"")</f>
        <v/>
      </c>
      <c r="D36" cm="1">
        <f t="array" ref="D36">IFERROR(IF(SUMPRODUCT((expected_production[Site Name]=A36)*(expected_production[Date]=B36)*ISNUMBER(expected_production[Expected Production (kWh)]))=0,"",SUMIFS(expected_production[Expected Production (kWh)],expected_production[Site Name],A36,expected_production[Date],B36)),"")</f>
        <v>2356.1999999999998</v>
      </c>
      <c r="E36" s="9" t="str">
        <f t="shared" si="2"/>
        <v/>
      </c>
      <c r="F36" t="str">
        <f t="shared" si="3"/>
        <v/>
      </c>
    </row>
    <row r="37" spans="1:6" ht="15" customHeight="1" x14ac:dyDescent="0.3">
      <c r="A37" t="s">
        <v>31</v>
      </c>
      <c r="B37" s="2">
        <v>46357</v>
      </c>
      <c r="C37" t="str" cm="1">
        <f t="array" ref="C37">IFERROR(IF(SUMPRODUCT((measured[Site Name]=A37)*(measured[Date]=B37)*ISNUMBER(measured[Measured Value (kWh)]))=0,"",SUMIFS(measured[Measured Value (kWh)],measured[Site Name],A37,measured[Date],B37)),"")</f>
        <v/>
      </c>
      <c r="D37" cm="1">
        <f t="array" ref="D37">IFERROR(IF(SUMPRODUCT((expected_production[Site Name]=A37)*(expected_production[Date]=B37)*ISNUMBER(expected_production[Expected Production (kWh)]))=0,"",SUMIFS(expected_production[Expected Production (kWh)],expected_production[Site Name],A37,expected_production[Date],B37)),"")</f>
        <v>2482.1999999999998</v>
      </c>
      <c r="E37" s="9" t="str">
        <f t="shared" si="2"/>
        <v/>
      </c>
      <c r="F37" t="str">
        <f t="shared" si="3"/>
        <v/>
      </c>
    </row>
    <row r="38" spans="1:6" ht="15" customHeight="1" x14ac:dyDescent="0.3">
      <c r="A38" t="s">
        <v>43</v>
      </c>
      <c r="B38" s="2">
        <v>45292</v>
      </c>
      <c r="C38" cm="1">
        <f t="array" ref="C38">IFERROR(IF(SUMPRODUCT((measured[Site Name]=A38)*(measured[Date]=B38)*ISNUMBER(measured[Measured Value (kWh)]))=0,"",SUMIFS(measured[Measured Value (kWh)],measured[Site Name],A38,measured[Date],B38)),"")</f>
        <v>23024</v>
      </c>
      <c r="D38" cm="1">
        <f t="array" ref="D38">IFERROR(IF(SUMPRODUCT((expected_production[Site Name]=A38)*(expected_production[Date]=B38)*ISNUMBER(expected_production[Expected Production (kWh)]))=0,"",SUMIFS(expected_production[Expected Production (kWh)],expected_production[Site Name],A38,expected_production[Date],B38)),"")</f>
        <v>22515.904999999999</v>
      </c>
      <c r="E38" s="9">
        <f t="shared" si="2"/>
        <v>1.0225660483111827</v>
      </c>
      <c r="F38" t="str">
        <f t="shared" si="3"/>
        <v>Expected</v>
      </c>
    </row>
    <row r="39" spans="1:6" ht="15" customHeight="1" x14ac:dyDescent="0.3">
      <c r="A39" t="s">
        <v>43</v>
      </c>
      <c r="B39" s="2">
        <v>45323</v>
      </c>
      <c r="C39" cm="1">
        <f t="array" ref="C39">IFERROR(IF(SUMPRODUCT((measured[Site Name]=A39)*(measured[Date]=B39)*ISNUMBER(measured[Measured Value (kWh)]))=0,"",SUMIFS(measured[Measured Value (kWh)],measured[Site Name],A39,measured[Date],B39)),"")</f>
        <v>23235</v>
      </c>
      <c r="D39" cm="1">
        <f t="array" ref="D39">IFERROR(IF(SUMPRODUCT((expected_production[Site Name]=A39)*(expected_production[Date]=B39)*ISNUMBER(expected_production[Expected Production (kWh)]))=0,"",SUMIFS(expected_production[Expected Production (kWh)],expected_production[Site Name],A39,expected_production[Date],B39)),"")</f>
        <v>19786.13</v>
      </c>
      <c r="E39" s="9">
        <f t="shared" si="2"/>
        <v>1.1743074567891749</v>
      </c>
      <c r="F39" t="str">
        <f t="shared" si="3"/>
        <v>Expected</v>
      </c>
    </row>
    <row r="40" spans="1:6" ht="15" customHeight="1" x14ac:dyDescent="0.3">
      <c r="A40" t="s">
        <v>43</v>
      </c>
      <c r="B40" s="2">
        <v>45352</v>
      </c>
      <c r="C40" cm="1">
        <f t="array" ref="C40">IFERROR(IF(SUMPRODUCT((measured[Site Name]=A40)*(measured[Date]=B40)*ISNUMBER(measured[Measured Value (kWh)]))=0,"",SUMIFS(measured[Measured Value (kWh)],measured[Site Name],A40,measured[Date],B40)),"")</f>
        <v>23235</v>
      </c>
      <c r="D40" cm="1">
        <f t="array" ref="D40">IFERROR(IF(SUMPRODUCT((expected_production[Site Name]=A40)*(expected_production[Date]=B40)*ISNUMBER(expected_production[Expected Production (kWh)]))=0,"",SUMIFS(expected_production[Expected Production (kWh)],expected_production[Site Name],A40,expected_production[Date],B40)),"")</f>
        <v>20148.400000000001</v>
      </c>
      <c r="E40" s="9">
        <f t="shared" si="2"/>
        <v>1.1531933056719144</v>
      </c>
      <c r="F40" t="str">
        <f t="shared" si="3"/>
        <v>Expected</v>
      </c>
    </row>
    <row r="41" spans="1:6" ht="15" customHeight="1" x14ac:dyDescent="0.3">
      <c r="A41" t="s">
        <v>43</v>
      </c>
      <c r="B41" s="2">
        <v>45383</v>
      </c>
      <c r="C41" cm="1">
        <f t="array" ref="C41">IFERROR(IF(SUMPRODUCT((measured[Site Name]=A41)*(measured[Date]=B41)*ISNUMBER(measured[Measured Value (kWh)]))=0,"",SUMIFS(measured[Measured Value (kWh)],measured[Site Name],A41,measured[Date],B41)),"")</f>
        <v>19307</v>
      </c>
      <c r="D41" cm="1">
        <f t="array" ref="D41">IFERROR(IF(SUMPRODUCT((expected_production[Site Name]=A41)*(expected_production[Date]=B41)*ISNUMBER(expected_production[Expected Production (kWh)]))=0,"",SUMIFS(expected_production[Expected Production (kWh)],expected_production[Site Name],A41,expected_production[Date],B41)),"")</f>
        <v>16764.89</v>
      </c>
      <c r="E41" s="9">
        <f t="shared" si="2"/>
        <v>1.1516329662765459</v>
      </c>
      <c r="F41" t="str">
        <f t="shared" si="3"/>
        <v>Expected</v>
      </c>
    </row>
    <row r="42" spans="1:6" ht="15" customHeight="1" x14ac:dyDescent="0.3">
      <c r="A42" t="s">
        <v>43</v>
      </c>
      <c r="B42" s="2">
        <v>45413</v>
      </c>
      <c r="C42" cm="1">
        <f t="array" ref="C42">IFERROR(IF(SUMPRODUCT((measured[Site Name]=A42)*(measured[Date]=B42)*ISNUMBER(measured[Measured Value (kWh)]))=0,"",SUMIFS(measured[Measured Value (kWh)],measured[Site Name],A42,measured[Date],B42)),"")</f>
        <v>18418</v>
      </c>
      <c r="D42" cm="1">
        <f t="array" ref="D42">IFERROR(IF(SUMPRODUCT((expected_production[Site Name]=A42)*(expected_production[Date]=B42)*ISNUMBER(expected_production[Expected Production (kWh)]))=0,"",SUMIFS(expected_production[Expected Production (kWh)],expected_production[Site Name],A42,expected_production[Date],B42)),"")</f>
        <v>15972.094999999999</v>
      </c>
      <c r="E42" s="9">
        <f t="shared" si="2"/>
        <v>1.153136141501788</v>
      </c>
      <c r="F42" t="str">
        <f t="shared" si="3"/>
        <v>Expected</v>
      </c>
    </row>
    <row r="43" spans="1:6" ht="15" customHeight="1" x14ac:dyDescent="0.3">
      <c r="A43" t="s">
        <v>43</v>
      </c>
      <c r="B43" s="2">
        <v>45444</v>
      </c>
      <c r="C43" cm="1">
        <f t="array" ref="C43">IFERROR(IF(SUMPRODUCT((measured[Site Name]=A43)*(measured[Date]=B43)*ISNUMBER(measured[Measured Value (kWh)]))=0,"",SUMIFS(measured[Measured Value (kWh)],measured[Site Name],A43,measured[Date],B43)),"")</f>
        <v>15949</v>
      </c>
      <c r="D43" cm="1">
        <f t="array" ref="D43">IFERROR(IF(SUMPRODUCT((expected_production[Site Name]=A43)*(expected_production[Date]=B43)*ISNUMBER(expected_production[Expected Production (kWh)]))=0,"",SUMIFS(expected_production[Expected Production (kWh)],expected_production[Site Name],A43,expected_production[Date],B43)),"")</f>
        <v>14367.21</v>
      </c>
      <c r="E43" s="9">
        <f t="shared" si="2"/>
        <v>1.1100972283414805</v>
      </c>
      <c r="F43" t="str">
        <f t="shared" si="3"/>
        <v>Expected</v>
      </c>
    </row>
    <row r="44" spans="1:6" ht="15" customHeight="1" x14ac:dyDescent="0.3">
      <c r="A44" t="s">
        <v>43</v>
      </c>
      <c r="B44" s="2">
        <v>45474</v>
      </c>
      <c r="C44" cm="1">
        <f t="array" ref="C44">IFERROR(IF(SUMPRODUCT((measured[Site Name]=A44)*(measured[Date]=B44)*ISNUMBER(measured[Measured Value (kWh)]))=0,"",SUMIFS(measured[Measured Value (kWh)],measured[Site Name],A44,measured[Date],B44)),"")</f>
        <v>17174</v>
      </c>
      <c r="D44" cm="1">
        <f t="array" ref="D44">IFERROR(IF(SUMPRODUCT((expected_production[Site Name]=A44)*(expected_production[Date]=B44)*ISNUMBER(expected_production[Expected Production (kWh)]))=0,"",SUMIFS(expected_production[Expected Production (kWh)],expected_production[Site Name],A44,expected_production[Date],B44)),"")</f>
        <v>15907.665000000001</v>
      </c>
      <c r="E44" s="9">
        <f t="shared" si="2"/>
        <v>1.0796053349124461</v>
      </c>
      <c r="F44" t="str">
        <f t="shared" si="3"/>
        <v>Expected</v>
      </c>
    </row>
    <row r="45" spans="1:6" ht="15" customHeight="1" x14ac:dyDescent="0.3">
      <c r="A45" t="s">
        <v>43</v>
      </c>
      <c r="B45" s="2">
        <v>45505</v>
      </c>
      <c r="C45" cm="1">
        <f t="array" ref="C45">IFERROR(IF(SUMPRODUCT((measured[Site Name]=A45)*(measured[Date]=B45)*ISNUMBER(measured[Measured Value (kWh)]))=0,"",SUMIFS(measured[Measured Value (kWh)],measured[Site Name],A45,measured[Date],B45)),"")</f>
        <v>13588</v>
      </c>
      <c r="D45" cm="1">
        <f t="array" ref="D45">IFERROR(IF(SUMPRODUCT((expected_production[Site Name]=A45)*(expected_production[Date]=B45)*ISNUMBER(expected_production[Expected Production (kWh)]))=0,"",SUMIFS(expected_production[Expected Production (kWh)],expected_production[Site Name],A45,expected_production[Date],B45)),"")</f>
        <v>18527.365000000002</v>
      </c>
      <c r="E45" s="9">
        <f t="shared" si="2"/>
        <v>0.73340164669935515</v>
      </c>
      <c r="F45" t="str">
        <f t="shared" si="3"/>
        <v>Moderate</v>
      </c>
    </row>
    <row r="46" spans="1:6" ht="15" customHeight="1" x14ac:dyDescent="0.3">
      <c r="A46" t="s">
        <v>43</v>
      </c>
      <c r="B46" s="2">
        <v>45536</v>
      </c>
      <c r="C46" cm="1">
        <f t="array" ref="C46">IFERROR(IF(SUMPRODUCT((measured[Site Name]=A46)*(measured[Date]=B46)*ISNUMBER(measured[Measured Value (kWh)]))=0,"",SUMIFS(measured[Measured Value (kWh)],measured[Site Name],A46,measured[Date],B46)),"")</f>
        <v>20254</v>
      </c>
      <c r="D46" cm="1">
        <f t="array" ref="D46">IFERROR(IF(SUMPRODUCT((expected_production[Site Name]=A46)*(expected_production[Date]=B46)*ISNUMBER(expected_production[Expected Production (kWh)]))=0,"",SUMIFS(expected_production[Expected Production (kWh)],expected_production[Site Name],A46,expected_production[Date],B46)),"")</f>
        <v>20404.334999999999</v>
      </c>
      <c r="E46" s="9">
        <f t="shared" si="2"/>
        <v>0.99263220291178322</v>
      </c>
      <c r="F46" t="str">
        <f t="shared" si="3"/>
        <v>Expected</v>
      </c>
    </row>
    <row r="47" spans="1:6" ht="15" customHeight="1" x14ac:dyDescent="0.3">
      <c r="A47" t="s">
        <v>43</v>
      </c>
      <c r="B47" s="2">
        <v>45566</v>
      </c>
      <c r="C47" cm="1">
        <f t="array" ref="C47">IFERROR(IF(SUMPRODUCT((measured[Site Name]=A47)*(measured[Date]=B47)*ISNUMBER(measured[Measured Value (kWh)]))=0,"",SUMIFS(measured[Measured Value (kWh)],measured[Site Name],A47,measured[Date],B47)),"")</f>
        <v>27693</v>
      </c>
      <c r="D47" cm="1">
        <f t="array" ref="D47">IFERROR(IF(SUMPRODUCT((expected_production[Site Name]=A47)*(expected_production[Date]=B47)*ISNUMBER(expected_production[Expected Production (kWh)]))=0,"",SUMIFS(expected_production[Expected Production (kWh)],expected_production[Site Name],A47,expected_production[Date],B47)),"")</f>
        <v>22320.66</v>
      </c>
      <c r="E47" s="9">
        <f t="shared" si="2"/>
        <v>1.2406891194077594</v>
      </c>
      <c r="F47" t="str">
        <f t="shared" si="3"/>
        <v>Expected</v>
      </c>
    </row>
    <row r="48" spans="1:6" ht="15" customHeight="1" x14ac:dyDescent="0.3">
      <c r="A48" t="s">
        <v>43</v>
      </c>
      <c r="B48" s="2">
        <v>45597</v>
      </c>
      <c r="C48" cm="1">
        <f t="array" ref="C48">IFERROR(IF(SUMPRODUCT((measured[Site Name]=A48)*(measured[Date]=B48)*ISNUMBER(measured[Measured Value (kWh)]))=0,"",SUMIFS(measured[Measured Value (kWh)],measured[Site Name],A48,measured[Date],B48)),"")</f>
        <v>24041</v>
      </c>
      <c r="D48" cm="1">
        <f t="array" ref="D48">IFERROR(IF(SUMPRODUCT((expected_production[Site Name]=A48)*(expected_production[Date]=B48)*ISNUMBER(expected_production[Expected Production (kWh)]))=0,"",SUMIFS(expected_production[Expected Production (kWh)],expected_production[Site Name],A48,expected_production[Date],B48)),"")</f>
        <v>22520.665000000001</v>
      </c>
      <c r="E48" s="9">
        <f t="shared" si="2"/>
        <v>1.0675084416912199</v>
      </c>
      <c r="F48" t="str">
        <f t="shared" si="3"/>
        <v>Expected</v>
      </c>
    </row>
    <row r="49" spans="1:6" ht="15" customHeight="1" x14ac:dyDescent="0.3">
      <c r="A49" t="s">
        <v>43</v>
      </c>
      <c r="B49" s="2">
        <v>45627</v>
      </c>
      <c r="C49" cm="1">
        <f t="array" ref="C49">IFERROR(IF(SUMPRODUCT((measured[Site Name]=A49)*(measured[Date]=B49)*ISNUMBER(measured[Measured Value (kWh)]))=0,"",SUMIFS(measured[Measured Value (kWh)],measured[Site Name],A49,measured[Date],B49)),"")</f>
        <v>25076</v>
      </c>
      <c r="D49" cm="1">
        <f t="array" ref="D49">IFERROR(IF(SUMPRODUCT((expected_production[Site Name]=A49)*(expected_production[Date]=B49)*ISNUMBER(expected_production[Expected Production (kWh)]))=0,"",SUMIFS(expected_production[Expected Production (kWh)],expected_production[Site Name],A49,expected_production[Date],B49)),"")</f>
        <v>23777.985000000001</v>
      </c>
      <c r="E49" s="9">
        <f t="shared" si="2"/>
        <v>1.0545889401477879</v>
      </c>
      <c r="F49" t="str">
        <f t="shared" si="3"/>
        <v>Expected</v>
      </c>
    </row>
    <row r="50" spans="1:6" ht="15" customHeight="1" x14ac:dyDescent="0.3">
      <c r="A50" t="s">
        <v>43</v>
      </c>
      <c r="B50" s="2">
        <v>45658</v>
      </c>
      <c r="C50" cm="1">
        <f t="array" ref="C50">IFERROR(IF(SUMPRODUCT((measured[Site Name]=A50)*(measured[Date]=B50)*ISNUMBER(measured[Measured Value (kWh)]))=0,"",SUMIFS(measured[Measured Value (kWh)],measured[Site Name],A50,measured[Date],B50)),"")</f>
        <v>22439</v>
      </c>
      <c r="D50" cm="1">
        <f t="array" ref="D50">IFERROR(IF(SUMPRODUCT((expected_production[Site Name]=A50)*(expected_production[Date]=B50)*ISNUMBER(expected_production[Expected Production (kWh)]))=0,"",SUMIFS(expected_production[Expected Production (kWh)],expected_production[Site Name],A50,expected_production[Date],B50)),"")</f>
        <v>22515.904999999999</v>
      </c>
      <c r="E50" s="9">
        <f t="shared" si="2"/>
        <v>0.99658441443948187</v>
      </c>
      <c r="F50" t="str">
        <f t="shared" si="3"/>
        <v>Expected</v>
      </c>
    </row>
    <row r="51" spans="1:6" ht="15" customHeight="1" x14ac:dyDescent="0.3">
      <c r="A51" t="s">
        <v>43</v>
      </c>
      <c r="B51" s="2">
        <v>45689</v>
      </c>
      <c r="C51" cm="1">
        <f t="array" ref="C51">IFERROR(IF(SUMPRODUCT((measured[Site Name]=A51)*(measured[Date]=B51)*ISNUMBER(measured[Measured Value (kWh)]))=0,"",SUMIFS(measured[Measured Value (kWh)],measured[Site Name],A51,measured[Date],B51)),"")</f>
        <v>14790</v>
      </c>
      <c r="D51" cm="1">
        <f t="array" ref="D51">IFERROR(IF(SUMPRODUCT((expected_production[Site Name]=A51)*(expected_production[Date]=B51)*ISNUMBER(expected_production[Expected Production (kWh)]))=0,"",SUMIFS(expected_production[Expected Production (kWh)],expected_production[Site Name],A51,expected_production[Date],B51)),"")</f>
        <v>19786.13</v>
      </c>
      <c r="E51" s="9">
        <f t="shared" si="2"/>
        <v>0.74749331981544642</v>
      </c>
      <c r="F51" t="str">
        <f t="shared" si="3"/>
        <v>Moderate</v>
      </c>
    </row>
    <row r="52" spans="1:6" ht="15" customHeight="1" x14ac:dyDescent="0.3">
      <c r="A52" t="s">
        <v>43</v>
      </c>
      <c r="B52" s="2">
        <v>45717</v>
      </c>
      <c r="C52" cm="1">
        <f t="array" ref="C52">IFERROR(IF(SUMPRODUCT((measured[Site Name]=A52)*(measured[Date]=B52)*ISNUMBER(measured[Measured Value (kWh)]))=0,"",SUMIFS(measured[Measured Value (kWh)],measured[Site Name],A52,measured[Date],B52)),"")</f>
        <v>15371</v>
      </c>
      <c r="D52" cm="1">
        <f t="array" ref="D52">IFERROR(IF(SUMPRODUCT((expected_production[Site Name]=A52)*(expected_production[Date]=B52)*ISNUMBER(expected_production[Expected Production (kWh)]))=0,"",SUMIFS(expected_production[Expected Production (kWh)],expected_production[Site Name],A52,expected_production[Date],B52)),"")</f>
        <v>20148.400000000001</v>
      </c>
      <c r="E52" s="9">
        <f t="shared" si="2"/>
        <v>0.7628893609418117</v>
      </c>
      <c r="F52" t="str">
        <f t="shared" si="3"/>
        <v>Moderate</v>
      </c>
    </row>
    <row r="53" spans="1:6" ht="15" customHeight="1" x14ac:dyDescent="0.3">
      <c r="A53" t="s">
        <v>43</v>
      </c>
      <c r="B53" s="2">
        <v>45748</v>
      </c>
      <c r="C53" cm="1">
        <f t="array" ref="C53">IFERROR(IF(SUMPRODUCT((measured[Site Name]=A53)*(measured[Date]=B53)*ISNUMBER(measured[Measured Value (kWh)]))=0,"",SUMIFS(measured[Measured Value (kWh)],measured[Site Name],A53,measured[Date],B53)),"")</f>
        <v>13930</v>
      </c>
      <c r="D53" cm="1">
        <f t="array" ref="D53">IFERROR(IF(SUMPRODUCT((expected_production[Site Name]=A53)*(expected_production[Date]=B53)*ISNUMBER(expected_production[Expected Production (kWh)]))=0,"",SUMIFS(expected_production[Expected Production (kWh)],expected_production[Site Name],A53,expected_production[Date],B53)),"")</f>
        <v>16764.89</v>
      </c>
      <c r="E53" s="9">
        <f t="shared" si="2"/>
        <v>0.83090315534429393</v>
      </c>
      <c r="F53" t="str">
        <f t="shared" si="3"/>
        <v>Moderate</v>
      </c>
    </row>
    <row r="54" spans="1:6" ht="15" customHeight="1" x14ac:dyDescent="0.3">
      <c r="A54" t="s">
        <v>43</v>
      </c>
      <c r="B54" s="2">
        <v>45778</v>
      </c>
      <c r="C54" cm="1">
        <f t="array" ref="C54">IFERROR(IF(SUMPRODUCT((measured[Site Name]=A54)*(measured[Date]=B54)*ISNUMBER(measured[Measured Value (kWh)]))=0,"",SUMIFS(measured[Measured Value (kWh)],measured[Site Name],A54,measured[Date],B54)),"")</f>
        <v>15263</v>
      </c>
      <c r="D54" cm="1">
        <f t="array" ref="D54">IFERROR(IF(SUMPRODUCT((expected_production[Site Name]=A54)*(expected_production[Date]=B54)*ISNUMBER(expected_production[Expected Production (kWh)]))=0,"",SUMIFS(expected_production[Expected Production (kWh)],expected_production[Site Name],A54,expected_production[Date],B54)),"")</f>
        <v>15972.094999999999</v>
      </c>
      <c r="E54" s="9">
        <f t="shared" si="2"/>
        <v>0.95560413333379246</v>
      </c>
      <c r="F54" t="str">
        <f t="shared" si="3"/>
        <v>Expected</v>
      </c>
    </row>
    <row r="55" spans="1:6" ht="15" customHeight="1" x14ac:dyDescent="0.3">
      <c r="A55" t="s">
        <v>43</v>
      </c>
      <c r="B55" s="2">
        <v>45809</v>
      </c>
      <c r="C55" cm="1">
        <f t="array" ref="C55">IFERROR(IF(SUMPRODUCT((measured[Site Name]=A55)*(measured[Date]=B55)*ISNUMBER(measured[Measured Value (kWh)]))=0,"",SUMIFS(measured[Measured Value (kWh)],measured[Site Name],A55,measured[Date],B55)),"")</f>
        <v>11722.16</v>
      </c>
      <c r="D55" cm="1">
        <f t="array" ref="D55">IFERROR(IF(SUMPRODUCT((expected_production[Site Name]=A55)*(expected_production[Date]=B55)*ISNUMBER(expected_production[Expected Production (kWh)]))=0,"",SUMIFS(expected_production[Expected Production (kWh)],expected_production[Site Name],A55,expected_production[Date],B55)),"")</f>
        <v>14367.21</v>
      </c>
      <c r="E55" s="9">
        <f t="shared" si="2"/>
        <v>0.81589675378866189</v>
      </c>
      <c r="F55" t="str">
        <f t="shared" si="3"/>
        <v>Moderate</v>
      </c>
    </row>
    <row r="56" spans="1:6" ht="15" customHeight="1" x14ac:dyDescent="0.3">
      <c r="A56" t="s">
        <v>43</v>
      </c>
      <c r="B56" s="2">
        <v>45839</v>
      </c>
      <c r="C56" cm="1">
        <f t="array" ref="C56">IFERROR(IF(SUMPRODUCT((measured[Site Name]=A56)*(measured[Date]=B56)*ISNUMBER(measured[Measured Value (kWh)]))=0,"",SUMIFS(measured[Measured Value (kWh)],measured[Site Name],A56,measured[Date],B56)),"")</f>
        <v>3209</v>
      </c>
      <c r="D56" cm="1">
        <f t="array" ref="D56">IFERROR(IF(SUMPRODUCT((expected_production[Site Name]=A56)*(expected_production[Date]=B56)*ISNUMBER(expected_production[Expected Production (kWh)]))=0,"",SUMIFS(expected_production[Expected Production (kWh)],expected_production[Site Name],A56,expected_production[Date],B56)),"")</f>
        <v>15907.665000000001</v>
      </c>
      <c r="E56" s="9">
        <f t="shared" si="2"/>
        <v>0.20172665190020031</v>
      </c>
      <c r="F56" t="str">
        <f t="shared" si="3"/>
        <v>Poor</v>
      </c>
    </row>
    <row r="57" spans="1:6" ht="15" customHeight="1" x14ac:dyDescent="0.3">
      <c r="A57" t="s">
        <v>43</v>
      </c>
      <c r="B57" s="2">
        <v>45870</v>
      </c>
      <c r="C57" cm="1">
        <f t="array" ref="C57">IFERROR(IF(SUMPRODUCT((measured[Site Name]=A57)*(measured[Date]=B57)*ISNUMBER(measured[Measured Value (kWh)]))=0,"",SUMIFS(measured[Measured Value (kWh)],measured[Site Name],A57,measured[Date],B57)),"")</f>
        <v>11143</v>
      </c>
      <c r="D57" cm="1">
        <f t="array" ref="D57">IFERROR(IF(SUMPRODUCT((expected_production[Site Name]=A57)*(expected_production[Date]=B57)*ISNUMBER(expected_production[Expected Production (kWh)]))=0,"",SUMIFS(expected_production[Expected Production (kWh)],expected_production[Site Name],A57,expected_production[Date],B57)),"")</f>
        <v>18527.365000000002</v>
      </c>
      <c r="E57" s="9">
        <f t="shared" si="2"/>
        <v>0.60143468863489213</v>
      </c>
      <c r="F57" t="str">
        <f t="shared" si="3"/>
        <v>Poor</v>
      </c>
    </row>
    <row r="58" spans="1:6" ht="15" customHeight="1" x14ac:dyDescent="0.3">
      <c r="A58" t="s">
        <v>43</v>
      </c>
      <c r="B58" s="2">
        <v>45901</v>
      </c>
      <c r="C58" cm="1">
        <f t="array" ref="C58">IFERROR(IF(SUMPRODUCT((measured[Site Name]=A58)*(measured[Date]=B58)*ISNUMBER(measured[Measured Value (kWh)]))=0,"",SUMIFS(measured[Measured Value (kWh)],measured[Site Name],A58,measured[Date],B58)),"")</f>
        <v>11503</v>
      </c>
      <c r="D58" cm="1">
        <f t="array" ref="D58">IFERROR(IF(SUMPRODUCT((expected_production[Site Name]=A58)*(expected_production[Date]=B58)*ISNUMBER(expected_production[Expected Production (kWh)]))=0,"",SUMIFS(expected_production[Expected Production (kWh)],expected_production[Site Name],A58,expected_production[Date],B58)),"")</f>
        <v>20404.334999999999</v>
      </c>
      <c r="E58" s="9">
        <f t="shared" si="2"/>
        <v>0.56375275155990134</v>
      </c>
      <c r="F58" t="str">
        <f t="shared" si="3"/>
        <v>Poor</v>
      </c>
    </row>
    <row r="59" spans="1:6" ht="15" customHeight="1" x14ac:dyDescent="0.3">
      <c r="A59" t="s">
        <v>43</v>
      </c>
      <c r="B59" s="2">
        <v>45931</v>
      </c>
      <c r="C59" cm="1">
        <f t="array" ref="C59">IFERROR(IF(SUMPRODUCT((measured[Site Name]=A59)*(measured[Date]=B59)*ISNUMBER(measured[Measured Value (kWh)]))=0,"",SUMIFS(measured[Measured Value (kWh)],measured[Site Name],A59,measured[Date],B59)),"")</f>
        <v>12856</v>
      </c>
      <c r="D59" cm="1">
        <f t="array" ref="D59">IFERROR(IF(SUMPRODUCT((expected_production[Site Name]=A59)*(expected_production[Date]=B59)*ISNUMBER(expected_production[Expected Production (kWh)]))=0,"",SUMIFS(expected_production[Expected Production (kWh)],expected_production[Site Name],A59,expected_production[Date],B59)),"")</f>
        <v>22320.66</v>
      </c>
      <c r="E59" s="9">
        <f t="shared" si="2"/>
        <v>0.57596863175192847</v>
      </c>
      <c r="F59" t="str">
        <f t="shared" si="3"/>
        <v>Poor</v>
      </c>
    </row>
    <row r="60" spans="1:6" ht="15" customHeight="1" x14ac:dyDescent="0.3">
      <c r="A60" t="s">
        <v>43</v>
      </c>
      <c r="B60" s="2">
        <v>45962</v>
      </c>
      <c r="C60" cm="1">
        <f t="array" ref="C60">IFERROR(IF(SUMPRODUCT((measured[Site Name]=A60)*(measured[Date]=B60)*ISNUMBER(measured[Measured Value (kWh)]))=0,"",SUMIFS(measured[Measured Value (kWh)],measured[Site Name],A60,measured[Date],B60)),"")</f>
        <v>11518</v>
      </c>
      <c r="D60" cm="1">
        <f t="array" ref="D60">IFERROR(IF(SUMPRODUCT((expected_production[Site Name]=A60)*(expected_production[Date]=B60)*ISNUMBER(expected_production[Expected Production (kWh)]))=0,"",SUMIFS(expected_production[Expected Production (kWh)],expected_production[Site Name],A60,expected_production[Date],B60)),"")</f>
        <v>22520.665000000001</v>
      </c>
      <c r="E60" s="9">
        <f t="shared" si="2"/>
        <v>0.51144138061642497</v>
      </c>
      <c r="F60" t="str">
        <f t="shared" si="3"/>
        <v>Poor</v>
      </c>
    </row>
    <row r="61" spans="1:6" ht="15" customHeight="1" x14ac:dyDescent="0.3">
      <c r="A61" t="s">
        <v>43</v>
      </c>
      <c r="B61" s="2">
        <v>45992</v>
      </c>
      <c r="C61" cm="1">
        <f t="array" ref="C61">IFERROR(IF(SUMPRODUCT((measured[Site Name]=A61)*(measured[Date]=B61)*ISNUMBER(measured[Measured Value (kWh)]))=0,"",SUMIFS(measured[Measured Value (kWh)],measured[Site Name],A61,measured[Date],B61)),"")</f>
        <v>12208</v>
      </c>
      <c r="D61" cm="1">
        <f t="array" ref="D61">IFERROR(IF(SUMPRODUCT((expected_production[Site Name]=A61)*(expected_production[Date]=B61)*ISNUMBER(expected_production[Expected Production (kWh)]))=0,"",SUMIFS(expected_production[Expected Production (kWh)],expected_production[Site Name],A61,expected_production[Date],B61)),"")</f>
        <v>23777.985000000001</v>
      </c>
      <c r="E61" s="9">
        <f t="shared" si="2"/>
        <v>0.51341608635046243</v>
      </c>
      <c r="F61" t="str">
        <f t="shared" si="3"/>
        <v>Poor</v>
      </c>
    </row>
    <row r="62" spans="1:6" ht="15" customHeight="1" x14ac:dyDescent="0.3">
      <c r="A62" t="s">
        <v>43</v>
      </c>
      <c r="B62" s="2">
        <v>46023</v>
      </c>
      <c r="C62" cm="1">
        <f t="array" ref="C62">IFERROR(IF(SUMPRODUCT((measured[Site Name]=A62)*(measured[Date]=B62)*ISNUMBER(measured[Measured Value (kWh)]))=0,"",SUMIFS(measured[Measured Value (kWh)],measured[Site Name],A62,measured[Date],B62)),"")</f>
        <v>14027</v>
      </c>
      <c r="D62" cm="1">
        <f t="array" ref="D62">IFERROR(IF(SUMPRODUCT((expected_production[Site Name]=A62)*(expected_production[Date]=B62)*ISNUMBER(expected_production[Expected Production (kWh)]))=0,"",SUMIFS(expected_production[Expected Production (kWh)],expected_production[Site Name],A62,expected_production[Date],B62)),"")</f>
        <v>22515.904999999999</v>
      </c>
      <c r="E62" s="9">
        <f t="shared" si="2"/>
        <v>0.62298184327922868</v>
      </c>
      <c r="F62" t="str">
        <f t="shared" si="3"/>
        <v>Poor</v>
      </c>
    </row>
    <row r="63" spans="1:6" ht="15" customHeight="1" x14ac:dyDescent="0.3">
      <c r="A63" t="s">
        <v>43</v>
      </c>
      <c r="B63" s="2">
        <v>46054</v>
      </c>
      <c r="C63" cm="1">
        <f t="array" ref="C63">IFERROR(IF(SUMPRODUCT((measured[Site Name]=A63)*(measured[Date]=B63)*ISNUMBER(measured[Measured Value (kWh)]))=0,"",SUMIFS(measured[Measured Value (kWh)],measured[Site Name],A63,measured[Date],B63)),"")</f>
        <v>12261</v>
      </c>
      <c r="D63" cm="1">
        <f t="array" ref="D63">IFERROR(IF(SUMPRODUCT((expected_production[Site Name]=A63)*(expected_production[Date]=B63)*ISNUMBER(expected_production[Expected Production (kWh)]))=0,"",SUMIFS(expected_production[Expected Production (kWh)],expected_production[Site Name],A63,expected_production[Date],B63)),"")</f>
        <v>19786.13</v>
      </c>
      <c r="E63" s="9">
        <f t="shared" si="2"/>
        <v>0.61967651076789643</v>
      </c>
      <c r="F63" t="str">
        <f t="shared" si="3"/>
        <v>Poor</v>
      </c>
    </row>
    <row r="64" spans="1:6" ht="15" customHeight="1" x14ac:dyDescent="0.3">
      <c r="A64" t="s">
        <v>43</v>
      </c>
      <c r="B64" s="2">
        <v>46082</v>
      </c>
      <c r="C64" cm="1">
        <f t="array" ref="C64">IFERROR(IF(SUMPRODUCT((measured[Site Name]=A64)*(measured[Date]=B64)*ISNUMBER(measured[Measured Value (kWh)]))=0,"",SUMIFS(measured[Measured Value (kWh)],measured[Site Name],A64,measured[Date],B64)),"")</f>
        <v>10788</v>
      </c>
      <c r="D64" cm="1">
        <f t="array" ref="D64">IFERROR(IF(SUMPRODUCT((expected_production[Site Name]=A64)*(expected_production[Date]=B64)*ISNUMBER(expected_production[Expected Production (kWh)]))=0,"",SUMIFS(expected_production[Expected Production (kWh)],expected_production[Site Name],A64,expected_production[Date],B64)),"")</f>
        <v>20148.400000000001</v>
      </c>
      <c r="E64" s="9">
        <f t="shared" si="2"/>
        <v>0.53542713069027814</v>
      </c>
      <c r="F64" t="str">
        <f t="shared" si="3"/>
        <v>Poor</v>
      </c>
    </row>
    <row r="65" spans="1:7" ht="15" customHeight="1" x14ac:dyDescent="0.3">
      <c r="A65" t="s">
        <v>43</v>
      </c>
      <c r="B65" s="2">
        <v>46113</v>
      </c>
      <c r="C65" cm="1">
        <f t="array" ref="C65">IFERROR(IF(SUMPRODUCT((measured[Site Name]=A65)*(measured[Date]=B65)*ISNUMBER(measured[Measured Value (kWh)]))=0,"",SUMIFS(measured[Measured Value (kWh)],measured[Site Name],A65,measured[Date],B65)),"")</f>
        <v>9392.09</v>
      </c>
      <c r="D65" cm="1">
        <f t="array" ref="D65">IFERROR(IF(SUMPRODUCT((expected_production[Site Name]=A65)*(expected_production[Date]=B65)*ISNUMBER(expected_production[Expected Production (kWh)]))=0,"",SUMIFS(expected_production[Expected Production (kWh)],expected_production[Site Name],A65,expected_production[Date],B65)),"")</f>
        <v>16764.89</v>
      </c>
      <c r="E65" s="9">
        <f t="shared" si="2"/>
        <v>0.56022377719149963</v>
      </c>
      <c r="F65" t="str">
        <f t="shared" si="3"/>
        <v>Poor</v>
      </c>
    </row>
    <row r="66" spans="1:7" ht="15" customHeight="1" x14ac:dyDescent="0.3">
      <c r="A66" t="s">
        <v>43</v>
      </c>
      <c r="B66" s="2">
        <v>46143</v>
      </c>
      <c r="C66" cm="1">
        <f t="array" ref="C66">IFERROR(IF(SUMPRODUCT((measured[Site Name]=A66)*(measured[Date]=B66)*ISNUMBER(measured[Measured Value (kWh)]))=0,"",SUMIFS(measured[Measured Value (kWh)],measured[Site Name],A66,measured[Date],B66)),"")</f>
        <v>11425.9</v>
      </c>
      <c r="D66" cm="1">
        <f t="array" ref="D66">IFERROR(IF(SUMPRODUCT((expected_production[Site Name]=A66)*(expected_production[Date]=B66)*ISNUMBER(expected_production[Expected Production (kWh)]))=0,"",SUMIFS(expected_production[Expected Production (kWh)],expected_production[Site Name],A66,expected_production[Date],B66)),"")</f>
        <v>15972.094999999999</v>
      </c>
      <c r="E66" s="9">
        <f t="shared" si="2"/>
        <v>0.71536639370101418</v>
      </c>
      <c r="F66" t="str">
        <f t="shared" si="3"/>
        <v>Moderate</v>
      </c>
    </row>
    <row r="67" spans="1:7" ht="15" customHeight="1" x14ac:dyDescent="0.3">
      <c r="A67" t="s">
        <v>43</v>
      </c>
      <c r="B67" s="2">
        <v>46174</v>
      </c>
      <c r="C67" cm="1">
        <f t="array" ref="C67">IFERROR(IF(SUMPRODUCT((measured[Site Name]=A67)*(measured[Date]=B67)*ISNUMBER(measured[Measured Value (kWh)]))=0,"",SUMIFS(measured[Measured Value (kWh)],measured[Site Name],A67,measured[Date],B67)),"")</f>
        <v>10184.42</v>
      </c>
      <c r="D67" cm="1">
        <f t="array" ref="D67">IFERROR(IF(SUMPRODUCT((expected_production[Site Name]=A67)*(expected_production[Date]=B67)*ISNUMBER(expected_production[Expected Production (kWh)]))=0,"",SUMIFS(expected_production[Expected Production (kWh)],expected_production[Site Name],A67,expected_production[Date],B67)),"")</f>
        <v>14367.21</v>
      </c>
      <c r="E67" s="9">
        <f t="shared" si="2"/>
        <v>0.70886553478371939</v>
      </c>
      <c r="F67" t="str">
        <f t="shared" si="3"/>
        <v>Moderate</v>
      </c>
    </row>
    <row r="68" spans="1:7" ht="15" customHeight="1" x14ac:dyDescent="0.3">
      <c r="A68" t="s">
        <v>43</v>
      </c>
      <c r="B68" s="2">
        <v>46204</v>
      </c>
      <c r="C68" cm="1">
        <f t="array" ref="C68">IFERROR(IF(SUMPRODUCT((measured[Site Name]=A68)*(measured[Date]=B68)*ISNUMBER(measured[Measured Value (kWh)]))=0,"",SUMIFS(measured[Measured Value (kWh)],measured[Site Name],A68,measured[Date],B68)),"")</f>
        <v>13136.5304</v>
      </c>
      <c r="D68" cm="1">
        <f t="array" ref="D68">IFERROR(IF(SUMPRODUCT((expected_production[Site Name]=A68)*(expected_production[Date]=B68)*ISNUMBER(expected_production[Expected Production (kWh)]))=0,"",SUMIFS(expected_production[Expected Production (kWh)],expected_production[Site Name],A68,expected_production[Date],B68)),"")</f>
        <v>15907.665000000001</v>
      </c>
      <c r="E68" s="9">
        <f t="shared" si="2"/>
        <v>0.82579878316522248</v>
      </c>
      <c r="F68" t="str">
        <f t="shared" si="3"/>
        <v>Moderate</v>
      </c>
      <c r="G68" t="s">
        <v>874</v>
      </c>
    </row>
    <row r="69" spans="1:7" ht="15" customHeight="1" x14ac:dyDescent="0.3">
      <c r="A69" t="s">
        <v>43</v>
      </c>
      <c r="B69" s="2">
        <v>46235</v>
      </c>
      <c r="C69" t="str" cm="1">
        <f t="array" ref="C69">IFERROR(IF(SUMPRODUCT((measured[Site Name]=A69)*(measured[Date]=B69)*ISNUMBER(measured[Measured Value (kWh)]))=0,"",SUMIFS(measured[Measured Value (kWh)],measured[Site Name],A69,measured[Date],B69)),"")</f>
        <v/>
      </c>
      <c r="D69" cm="1">
        <f t="array" ref="D69">IFERROR(IF(SUMPRODUCT((expected_production[Site Name]=A69)*(expected_production[Date]=B69)*ISNUMBER(expected_production[Expected Production (kWh)]))=0,"",SUMIFS(expected_production[Expected Production (kWh)],expected_production[Site Name],A69,expected_production[Date],B69)),"")</f>
        <v>18527.365000000002</v>
      </c>
      <c r="E69" s="9" t="str">
        <f t="shared" si="2"/>
        <v/>
      </c>
      <c r="F69" t="str">
        <f t="shared" si="3"/>
        <v/>
      </c>
    </row>
    <row r="70" spans="1:7" ht="15" customHeight="1" x14ac:dyDescent="0.3">
      <c r="A70" t="s">
        <v>43</v>
      </c>
      <c r="B70" s="2">
        <v>46266</v>
      </c>
      <c r="C70" t="str" cm="1">
        <f t="array" ref="C70">IFERROR(IF(SUMPRODUCT((measured[Site Name]=A70)*(measured[Date]=B70)*ISNUMBER(measured[Measured Value (kWh)]))=0,"",SUMIFS(measured[Measured Value (kWh)],measured[Site Name],A70,measured[Date],B70)),"")</f>
        <v/>
      </c>
      <c r="D70" cm="1">
        <f t="array" ref="D70">IFERROR(IF(SUMPRODUCT((expected_production[Site Name]=A70)*(expected_production[Date]=B70)*ISNUMBER(expected_production[Expected Production (kWh)]))=0,"",SUMIFS(expected_production[Expected Production (kWh)],expected_production[Site Name],A70,expected_production[Date],B70)),"")</f>
        <v>20404.334999999999</v>
      </c>
      <c r="E70" s="9" t="str">
        <f t="shared" si="2"/>
        <v/>
      </c>
      <c r="F70" t="str">
        <f t="shared" si="3"/>
        <v/>
      </c>
    </row>
    <row r="71" spans="1:7" ht="15" customHeight="1" x14ac:dyDescent="0.3">
      <c r="A71" t="s">
        <v>43</v>
      </c>
      <c r="B71" s="2">
        <v>46296</v>
      </c>
      <c r="C71" t="str" cm="1">
        <f t="array" ref="C71">IFERROR(IF(SUMPRODUCT((measured[Site Name]=A71)*(measured[Date]=B71)*ISNUMBER(measured[Measured Value (kWh)]))=0,"",SUMIFS(measured[Measured Value (kWh)],measured[Site Name],A71,measured[Date],B71)),"")</f>
        <v/>
      </c>
      <c r="D71" cm="1">
        <f t="array" ref="D71">IFERROR(IF(SUMPRODUCT((expected_production[Site Name]=A71)*(expected_production[Date]=B71)*ISNUMBER(expected_production[Expected Production (kWh)]))=0,"",SUMIFS(expected_production[Expected Production (kWh)],expected_production[Site Name],A71,expected_production[Date],B71)),"")</f>
        <v>22320.66</v>
      </c>
      <c r="E71" s="9" t="str">
        <f t="shared" si="2"/>
        <v/>
      </c>
      <c r="F71" t="str">
        <f t="shared" si="3"/>
        <v/>
      </c>
    </row>
    <row r="72" spans="1:7" ht="15" customHeight="1" x14ac:dyDescent="0.3">
      <c r="A72" t="s">
        <v>43</v>
      </c>
      <c r="B72" s="2">
        <v>46327</v>
      </c>
      <c r="C72" t="str" cm="1">
        <f t="array" ref="C72">IFERROR(IF(SUMPRODUCT((measured[Site Name]=A72)*(measured[Date]=B72)*ISNUMBER(measured[Measured Value (kWh)]))=0,"",SUMIFS(measured[Measured Value (kWh)],measured[Site Name],A72,measured[Date],B72)),"")</f>
        <v/>
      </c>
      <c r="D72" cm="1">
        <f t="array" ref="D72">IFERROR(IF(SUMPRODUCT((expected_production[Site Name]=A72)*(expected_production[Date]=B72)*ISNUMBER(expected_production[Expected Production (kWh)]))=0,"",SUMIFS(expected_production[Expected Production (kWh)],expected_production[Site Name],A72,expected_production[Date],B72)),"")</f>
        <v>22520.665000000001</v>
      </c>
      <c r="E72" s="9" t="str">
        <f t="shared" si="2"/>
        <v/>
      </c>
      <c r="F72" t="str">
        <f t="shared" si="3"/>
        <v/>
      </c>
    </row>
    <row r="73" spans="1:7" ht="15" customHeight="1" x14ac:dyDescent="0.3">
      <c r="A73" t="s">
        <v>43</v>
      </c>
      <c r="B73" s="2">
        <v>46357</v>
      </c>
      <c r="C73" t="str" cm="1">
        <f t="array" ref="C73">IFERROR(IF(SUMPRODUCT((measured[Site Name]=A73)*(measured[Date]=B73)*ISNUMBER(measured[Measured Value (kWh)]))=0,"",SUMIFS(measured[Measured Value (kWh)],measured[Site Name],A73,measured[Date],B73)),"")</f>
        <v/>
      </c>
      <c r="D73" cm="1">
        <f t="array" ref="D73">IFERROR(IF(SUMPRODUCT((expected_production[Site Name]=A73)*(expected_production[Date]=B73)*ISNUMBER(expected_production[Expected Production (kWh)]))=0,"",SUMIFS(expected_production[Expected Production (kWh)],expected_production[Site Name],A73,expected_production[Date],B73)),"")</f>
        <v>23777.985000000001</v>
      </c>
      <c r="E73" s="9" t="str">
        <f t="shared" si="2"/>
        <v/>
      </c>
      <c r="F73" t="str">
        <f t="shared" si="3"/>
        <v/>
      </c>
    </row>
    <row r="74" spans="1:7" ht="15" customHeight="1" x14ac:dyDescent="0.3">
      <c r="A74" t="s">
        <v>49</v>
      </c>
      <c r="B74" s="2">
        <v>45292</v>
      </c>
      <c r="C74" t="str" cm="1">
        <f t="array" ref="C74">IFERROR(IF(SUMPRODUCT((measured[Site Name]=A74)*(measured[Date]=B74)*ISNUMBER(measured[Measured Value (kWh)]))=0,"",SUMIFS(measured[Measured Value (kWh)],measured[Site Name],A74,measured[Date],B74)),"")</f>
        <v/>
      </c>
      <c r="D74" cm="1">
        <f t="array" ref="D74">IFERROR(IF(SUMPRODUCT((expected_production[Site Name]=A74)*(expected_production[Date]=B74)*ISNUMBER(expected_production[Expected Production (kWh)]))=0,"",SUMIFS(expected_production[Expected Production (kWh)],expected_production[Site Name],A74,expected_production[Date],B74)),"")</f>
        <v>4801.5</v>
      </c>
      <c r="E74" s="9" t="str">
        <f t="shared" si="2"/>
        <v/>
      </c>
      <c r="F74" t="str">
        <f t="shared" si="3"/>
        <v/>
      </c>
    </row>
    <row r="75" spans="1:7" ht="15" customHeight="1" x14ac:dyDescent="0.3">
      <c r="A75" t="s">
        <v>49</v>
      </c>
      <c r="B75" s="2">
        <v>45323</v>
      </c>
      <c r="C75" t="str" cm="1">
        <f t="array" ref="C75">IFERROR(IF(SUMPRODUCT((measured[Site Name]=A75)*(measured[Date]=B75)*ISNUMBER(measured[Measured Value (kWh)]))=0,"",SUMIFS(measured[Measured Value (kWh)],measured[Site Name],A75,measured[Date],B75)),"")</f>
        <v/>
      </c>
      <c r="D75" cm="1">
        <f t="array" ref="D75">IFERROR(IF(SUMPRODUCT((expected_production[Site Name]=A75)*(expected_production[Date]=B75)*ISNUMBER(expected_production[Expected Production (kWh)]))=0,"",SUMIFS(expected_production[Expected Production (kWh)],expected_production[Site Name],A75,expected_production[Date],B75)),"")</f>
        <v>4303.8</v>
      </c>
      <c r="E75" s="9" t="str">
        <f t="shared" si="2"/>
        <v/>
      </c>
      <c r="F75" t="str">
        <f t="shared" si="3"/>
        <v/>
      </c>
    </row>
    <row r="76" spans="1:7" ht="15" customHeight="1" x14ac:dyDescent="0.3">
      <c r="A76" t="s">
        <v>49</v>
      </c>
      <c r="B76" s="2">
        <v>45352</v>
      </c>
      <c r="C76" t="str" cm="1">
        <f t="array" ref="C76">IFERROR(IF(SUMPRODUCT((measured[Site Name]=A76)*(measured[Date]=B76)*ISNUMBER(measured[Measured Value (kWh)]))=0,"",SUMIFS(measured[Measured Value (kWh)],measured[Site Name],A76,measured[Date],B76)),"")</f>
        <v/>
      </c>
      <c r="D76" cm="1">
        <f t="array" ref="D76">IFERROR(IF(SUMPRODUCT((expected_production[Site Name]=A76)*(expected_production[Date]=B76)*ISNUMBER(expected_production[Expected Production (kWh)]))=0,"",SUMIFS(expected_production[Expected Production (kWh)],expected_production[Site Name],A76,expected_production[Date],B76)),"")</f>
        <v>4545.8999999999996</v>
      </c>
      <c r="E76" s="9" t="str">
        <f t="shared" si="2"/>
        <v/>
      </c>
      <c r="F76" t="str">
        <f t="shared" si="3"/>
        <v/>
      </c>
    </row>
    <row r="77" spans="1:7" ht="15" customHeight="1" x14ac:dyDescent="0.3">
      <c r="A77" t="s">
        <v>49</v>
      </c>
      <c r="B77" s="2">
        <v>45383</v>
      </c>
      <c r="C77" t="str" cm="1">
        <f t="array" ref="C77">IFERROR(IF(SUMPRODUCT((measured[Site Name]=A77)*(measured[Date]=B77)*ISNUMBER(measured[Measured Value (kWh)]))=0,"",SUMIFS(measured[Measured Value (kWh)],measured[Site Name],A77,measured[Date],B77)),"")</f>
        <v/>
      </c>
      <c r="D77" cm="1">
        <f t="array" ref="D77">IFERROR(IF(SUMPRODUCT((expected_production[Site Name]=A77)*(expected_production[Date]=B77)*ISNUMBER(expected_production[Expected Production (kWh)]))=0,"",SUMIFS(expected_production[Expected Production (kWh)],expected_production[Site Name],A77,expected_production[Date],B77)),"")</f>
        <v>4619.7</v>
      </c>
      <c r="E77" s="9" t="str">
        <f t="shared" si="2"/>
        <v/>
      </c>
      <c r="F77" t="str">
        <f t="shared" si="3"/>
        <v/>
      </c>
    </row>
    <row r="78" spans="1:7" ht="15" customHeight="1" x14ac:dyDescent="0.3">
      <c r="A78" t="s">
        <v>49</v>
      </c>
      <c r="B78" s="2">
        <v>45413</v>
      </c>
      <c r="C78" t="str" cm="1">
        <f t="array" ref="C78">IFERROR(IF(SUMPRODUCT((measured[Site Name]=A78)*(measured[Date]=B78)*ISNUMBER(measured[Measured Value (kWh)]))=0,"",SUMIFS(measured[Measured Value (kWh)],measured[Site Name],A78,measured[Date],B78)),"")</f>
        <v/>
      </c>
      <c r="D78" cm="1">
        <f t="array" ref="D78">IFERROR(IF(SUMPRODUCT((expected_production[Site Name]=A78)*(expected_production[Date]=B78)*ISNUMBER(expected_production[Expected Production (kWh)]))=0,"",SUMIFS(expected_production[Expected Production (kWh)],expected_production[Site Name],A78,expected_production[Date],B78)),"")</f>
        <v>4990.5</v>
      </c>
      <c r="E78" s="9" t="str">
        <f t="shared" si="2"/>
        <v/>
      </c>
      <c r="F78" t="str">
        <f t="shared" si="3"/>
        <v/>
      </c>
    </row>
    <row r="79" spans="1:7" ht="15" customHeight="1" x14ac:dyDescent="0.3">
      <c r="A79" t="s">
        <v>49</v>
      </c>
      <c r="B79" s="2">
        <v>45444</v>
      </c>
      <c r="C79" t="str" cm="1">
        <f t="array" ref="C79">IFERROR(IF(SUMPRODUCT((measured[Site Name]=A79)*(measured[Date]=B79)*ISNUMBER(measured[Measured Value (kWh)]))=0,"",SUMIFS(measured[Measured Value (kWh)],measured[Site Name],A79,measured[Date],B79)),"")</f>
        <v/>
      </c>
      <c r="D79" cm="1">
        <f t="array" ref="D79">IFERROR(IF(SUMPRODUCT((expected_production[Site Name]=A79)*(expected_production[Date]=B79)*ISNUMBER(expected_production[Expected Production (kWh)]))=0,"",SUMIFS(expected_production[Expected Production (kWh)],expected_production[Site Name],A79,expected_production[Date],B79)),"")</f>
        <v>4761.8999999999996</v>
      </c>
      <c r="E79" s="9" t="str">
        <f t="shared" si="2"/>
        <v/>
      </c>
      <c r="F79" t="str">
        <f t="shared" si="3"/>
        <v/>
      </c>
    </row>
    <row r="80" spans="1:7" ht="15" customHeight="1" x14ac:dyDescent="0.3">
      <c r="A80" t="s">
        <v>49</v>
      </c>
      <c r="B80" s="2">
        <v>45474</v>
      </c>
      <c r="C80" t="str" cm="1">
        <f t="array" ref="C80">IFERROR(IF(SUMPRODUCT((measured[Site Name]=A80)*(measured[Date]=B80)*ISNUMBER(measured[Measured Value (kWh)]))=0,"",SUMIFS(measured[Measured Value (kWh)],measured[Site Name],A80,measured[Date],B80)),"")</f>
        <v/>
      </c>
      <c r="D80" cm="1">
        <f t="array" ref="D80">IFERROR(IF(SUMPRODUCT((expected_production[Site Name]=A80)*(expected_production[Date]=B80)*ISNUMBER(expected_production[Expected Production (kWh)]))=0,"",SUMIFS(expected_production[Expected Production (kWh)],expected_production[Site Name],A80,expected_production[Date],B80)),"")</f>
        <v>4680.8999999999996</v>
      </c>
      <c r="E80" s="9" t="str">
        <f t="shared" si="2"/>
        <v/>
      </c>
      <c r="F80" t="str">
        <f t="shared" si="3"/>
        <v/>
      </c>
    </row>
    <row r="81" spans="1:6" ht="15" customHeight="1" x14ac:dyDescent="0.3">
      <c r="A81" t="s">
        <v>49</v>
      </c>
      <c r="B81" s="2">
        <v>45505</v>
      </c>
      <c r="C81" t="str" cm="1">
        <f t="array" ref="C81">IFERROR(IF(SUMPRODUCT((measured[Site Name]=A81)*(measured[Date]=B81)*ISNUMBER(measured[Measured Value (kWh)]))=0,"",SUMIFS(measured[Measured Value (kWh)],measured[Site Name],A81,measured[Date],B81)),"")</f>
        <v/>
      </c>
      <c r="D81" cm="1">
        <f t="array" ref="D81">IFERROR(IF(SUMPRODUCT((expected_production[Site Name]=A81)*(expected_production[Date]=B81)*ISNUMBER(expected_production[Expected Production (kWh)]))=0,"",SUMIFS(expected_production[Expected Production (kWh)],expected_production[Site Name],A81,expected_production[Date],B81)),"")</f>
        <v>5249.7</v>
      </c>
      <c r="E81" s="9" t="str">
        <f t="shared" si="2"/>
        <v/>
      </c>
      <c r="F81" t="str">
        <f t="shared" si="3"/>
        <v/>
      </c>
    </row>
    <row r="82" spans="1:6" ht="15" customHeight="1" x14ac:dyDescent="0.3">
      <c r="A82" t="s">
        <v>49</v>
      </c>
      <c r="B82" s="2">
        <v>45536</v>
      </c>
      <c r="C82" t="str" cm="1">
        <f t="array" ref="C82">IFERROR(IF(SUMPRODUCT((measured[Site Name]=A82)*(measured[Date]=B82)*ISNUMBER(measured[Measured Value (kWh)]))=0,"",SUMIFS(measured[Measured Value (kWh)],measured[Site Name],A82,measured[Date],B82)),"")</f>
        <v/>
      </c>
      <c r="D82" cm="1">
        <f t="array" ref="D82">IFERROR(IF(SUMPRODUCT((expected_production[Site Name]=A82)*(expected_production[Date]=B82)*ISNUMBER(expected_production[Expected Production (kWh)]))=0,"",SUMIFS(expected_production[Expected Production (kWh)],expected_production[Site Name],A82,expected_production[Date],B82)),"")</f>
        <v>4694.3999999999996</v>
      </c>
      <c r="E82" s="9" t="str">
        <f t="shared" si="2"/>
        <v/>
      </c>
      <c r="F82" t="str">
        <f t="shared" si="3"/>
        <v/>
      </c>
    </row>
    <row r="83" spans="1:6" ht="15" customHeight="1" x14ac:dyDescent="0.3">
      <c r="A83" t="s">
        <v>49</v>
      </c>
      <c r="B83" s="2">
        <v>45566</v>
      </c>
      <c r="C83" t="str" cm="1">
        <f t="array" ref="C83">IFERROR(IF(SUMPRODUCT((measured[Site Name]=A83)*(measured[Date]=B83)*ISNUMBER(measured[Measured Value (kWh)]))=0,"",SUMIFS(measured[Measured Value (kWh)],measured[Site Name],A83,measured[Date],B83)),"")</f>
        <v/>
      </c>
      <c r="D83" cm="1">
        <f t="array" ref="D83">IFERROR(IF(SUMPRODUCT((expected_production[Site Name]=A83)*(expected_production[Date]=B83)*ISNUMBER(expected_production[Expected Production (kWh)]))=0,"",SUMIFS(expected_production[Expected Production (kWh)],expected_production[Site Name],A83,expected_production[Date],B83)),"")</f>
        <v>4732.2</v>
      </c>
      <c r="E83" s="9" t="str">
        <f t="shared" si="2"/>
        <v/>
      </c>
      <c r="F83" t="str">
        <f t="shared" si="3"/>
        <v/>
      </c>
    </row>
    <row r="84" spans="1:6" ht="15" customHeight="1" x14ac:dyDescent="0.3">
      <c r="A84" t="s">
        <v>49</v>
      </c>
      <c r="B84" s="2">
        <v>45597</v>
      </c>
      <c r="C84" t="str" cm="1">
        <f t="array" ref="C84">IFERROR(IF(SUMPRODUCT((measured[Site Name]=A84)*(measured[Date]=B84)*ISNUMBER(measured[Measured Value (kWh)]))=0,"",SUMIFS(measured[Measured Value (kWh)],measured[Site Name],A84,measured[Date],B84)),"")</f>
        <v/>
      </c>
      <c r="D84" cm="1">
        <f t="array" ref="D84">IFERROR(IF(SUMPRODUCT((expected_production[Site Name]=A84)*(expected_production[Date]=B84)*ISNUMBER(expected_production[Expected Production (kWh)]))=0,"",SUMIFS(expected_production[Expected Production (kWh)],expected_production[Site Name],A84,expected_production[Date],B84)),"")</f>
        <v>4822.2</v>
      </c>
      <c r="E84" s="9" t="str">
        <f t="shared" si="2"/>
        <v/>
      </c>
      <c r="F84" t="str">
        <f t="shared" si="3"/>
        <v/>
      </c>
    </row>
    <row r="85" spans="1:6" ht="15" customHeight="1" x14ac:dyDescent="0.3">
      <c r="A85" t="s">
        <v>49</v>
      </c>
      <c r="B85" s="2">
        <v>45627</v>
      </c>
      <c r="C85" t="str" cm="1">
        <f t="array" ref="C85">IFERROR(IF(SUMPRODUCT((measured[Site Name]=A85)*(measured[Date]=B85)*ISNUMBER(measured[Measured Value (kWh)]))=0,"",SUMIFS(measured[Measured Value (kWh)],measured[Site Name],A85,measured[Date],B85)),"")</f>
        <v/>
      </c>
      <c r="D85" cm="1">
        <f t="array" ref="D85">IFERROR(IF(SUMPRODUCT((expected_production[Site Name]=A85)*(expected_production[Date]=B85)*ISNUMBER(expected_production[Expected Production (kWh)]))=0,"",SUMIFS(expected_production[Expected Production (kWh)],expected_production[Site Name],A85,expected_production[Date],B85)),"")</f>
        <v>4805.1000000000004</v>
      </c>
      <c r="E85" s="9" t="str">
        <f t="shared" si="2"/>
        <v/>
      </c>
      <c r="F85" t="str">
        <f t="shared" si="3"/>
        <v/>
      </c>
    </row>
    <row r="86" spans="1:6" ht="15" customHeight="1" x14ac:dyDescent="0.3">
      <c r="A86" t="s">
        <v>49</v>
      </c>
      <c r="B86" s="2">
        <v>45658</v>
      </c>
      <c r="C86" cm="1">
        <f t="array" ref="C86">IFERROR(IF(SUMPRODUCT((measured[Site Name]=A86)*(measured[Date]=B86)*ISNUMBER(measured[Measured Value (kWh)]))=0,"",SUMIFS(measured[Measured Value (kWh)],measured[Site Name],A86,measured[Date],B86)),"")</f>
        <v>2400</v>
      </c>
      <c r="D86" cm="1">
        <f t="array" ref="D86">IFERROR(IF(SUMPRODUCT((expected_production[Site Name]=A86)*(expected_production[Date]=B86)*ISNUMBER(expected_production[Expected Production (kWh)]))=0,"",SUMIFS(expected_production[Expected Production (kWh)],expected_production[Site Name],A86,expected_production[Date],B86)),"")</f>
        <v>4801.5</v>
      </c>
      <c r="E86" s="9">
        <f t="shared" si="2"/>
        <v>0.499843798812871</v>
      </c>
      <c r="F86" t="str">
        <f t="shared" si="3"/>
        <v>Poor</v>
      </c>
    </row>
    <row r="87" spans="1:6" ht="15" customHeight="1" x14ac:dyDescent="0.3">
      <c r="A87" t="s">
        <v>49</v>
      </c>
      <c r="B87" s="2">
        <v>45689</v>
      </c>
      <c r="C87" cm="1">
        <f t="array" ref="C87">IFERROR(IF(SUMPRODUCT((measured[Site Name]=A87)*(measured[Date]=B87)*ISNUMBER(measured[Measured Value (kWh)]))=0,"",SUMIFS(measured[Measured Value (kWh)],measured[Site Name],A87,measured[Date],B87)),"")</f>
        <v>3000</v>
      </c>
      <c r="D87" cm="1">
        <f t="array" ref="D87">IFERROR(IF(SUMPRODUCT((expected_production[Site Name]=A87)*(expected_production[Date]=B87)*ISNUMBER(expected_production[Expected Production (kWh)]))=0,"",SUMIFS(expected_production[Expected Production (kWh)],expected_production[Site Name],A87,expected_production[Date],B87)),"")</f>
        <v>4303.8</v>
      </c>
      <c r="E87" s="9">
        <f t="shared" si="2"/>
        <v>0.69705841349505082</v>
      </c>
      <c r="F87" t="str">
        <f t="shared" si="3"/>
        <v>Poor</v>
      </c>
    </row>
    <row r="88" spans="1:6" ht="15" customHeight="1" x14ac:dyDescent="0.3">
      <c r="A88" t="s">
        <v>49</v>
      </c>
      <c r="B88" s="2">
        <v>45717</v>
      </c>
      <c r="C88" cm="1">
        <f t="array" ref="C88">IFERROR(IF(SUMPRODUCT((measured[Site Name]=A88)*(measured[Date]=B88)*ISNUMBER(measured[Measured Value (kWh)]))=0,"",SUMIFS(measured[Measured Value (kWh)],measured[Site Name],A88,measured[Date],B88)),"")</f>
        <v>3144</v>
      </c>
      <c r="D88" cm="1">
        <f t="array" ref="D88">IFERROR(IF(SUMPRODUCT((expected_production[Site Name]=A88)*(expected_production[Date]=B88)*ISNUMBER(expected_production[Expected Production (kWh)]))=0,"",SUMIFS(expected_production[Expected Production (kWh)],expected_production[Site Name],A88,expected_production[Date],B88)),"")</f>
        <v>4545.8999999999996</v>
      </c>
      <c r="E88" s="9">
        <f t="shared" si="2"/>
        <v>0.69161222200224381</v>
      </c>
      <c r="F88" t="str">
        <f t="shared" si="3"/>
        <v>Poor</v>
      </c>
    </row>
    <row r="89" spans="1:6" ht="15" customHeight="1" x14ac:dyDescent="0.3">
      <c r="A89" t="s">
        <v>49</v>
      </c>
      <c r="B89" s="2">
        <v>45748</v>
      </c>
      <c r="C89" cm="1">
        <f t="array" ref="C89">IFERROR(IF(SUMPRODUCT((measured[Site Name]=A89)*(measured[Date]=B89)*ISNUMBER(measured[Measured Value (kWh)]))=0,"",SUMIFS(measured[Measured Value (kWh)],measured[Site Name],A89,measured[Date],B89)),"")</f>
        <v>2310</v>
      </c>
      <c r="D89" cm="1">
        <f t="array" ref="D89">IFERROR(IF(SUMPRODUCT((expected_production[Site Name]=A89)*(expected_production[Date]=B89)*ISNUMBER(expected_production[Expected Production (kWh)]))=0,"",SUMIFS(expected_production[Expected Production (kWh)],expected_production[Site Name],A89,expected_production[Date],B89)),"")</f>
        <v>4619.7</v>
      </c>
      <c r="E89" s="9">
        <f t="shared" si="2"/>
        <v>0.50003246964088577</v>
      </c>
      <c r="F89" t="str">
        <f t="shared" si="3"/>
        <v>Poor</v>
      </c>
    </row>
    <row r="90" spans="1:6" ht="15" customHeight="1" x14ac:dyDescent="0.3">
      <c r="A90" t="s">
        <v>49</v>
      </c>
      <c r="B90" s="2">
        <v>45778</v>
      </c>
      <c r="C90" cm="1">
        <f t="array" ref="C90">IFERROR(IF(SUMPRODUCT((measured[Site Name]=A90)*(measured[Date]=B90)*ISNUMBER(measured[Measured Value (kWh)]))=0,"",SUMIFS(measured[Measured Value (kWh)],measured[Site Name],A90,measured[Date],B90)),"")</f>
        <v>3866</v>
      </c>
      <c r="D90" cm="1">
        <f t="array" ref="D90">IFERROR(IF(SUMPRODUCT((expected_production[Site Name]=A90)*(expected_production[Date]=B90)*ISNUMBER(expected_production[Expected Production (kWh)]))=0,"",SUMIFS(expected_production[Expected Production (kWh)],expected_production[Site Name],A90,expected_production[Date],B90)),"")</f>
        <v>4990.5</v>
      </c>
      <c r="E90" s="9">
        <f t="shared" si="2"/>
        <v>0.77467187656547443</v>
      </c>
      <c r="F90" t="str">
        <f t="shared" si="3"/>
        <v>Moderate</v>
      </c>
    </row>
    <row r="91" spans="1:6" ht="15" customHeight="1" x14ac:dyDescent="0.3">
      <c r="A91" t="s">
        <v>49</v>
      </c>
      <c r="B91" s="2">
        <v>45809</v>
      </c>
      <c r="C91" cm="1">
        <f t="array" ref="C91">IFERROR(IF(SUMPRODUCT((measured[Site Name]=A91)*(measured[Date]=B91)*ISNUMBER(measured[Measured Value (kWh)]))=0,"",SUMIFS(measured[Measured Value (kWh)],measured[Site Name],A91,measured[Date],B91)),"")</f>
        <v>3102</v>
      </c>
      <c r="D91" cm="1">
        <f t="array" ref="D91">IFERROR(IF(SUMPRODUCT((expected_production[Site Name]=A91)*(expected_production[Date]=B91)*ISNUMBER(expected_production[Expected Production (kWh)]))=0,"",SUMIFS(expected_production[Expected Production (kWh)],expected_production[Site Name],A91,expected_production[Date],B91)),"")</f>
        <v>4761.8999999999996</v>
      </c>
      <c r="E91" s="9">
        <f t="shared" si="2"/>
        <v>0.65142065142065142</v>
      </c>
      <c r="F91" t="str">
        <f t="shared" si="3"/>
        <v>Poor</v>
      </c>
    </row>
    <row r="92" spans="1:6" ht="15" customHeight="1" x14ac:dyDescent="0.3">
      <c r="A92" t="s">
        <v>49</v>
      </c>
      <c r="B92" s="2">
        <v>45839</v>
      </c>
      <c r="C92" t="str" cm="1">
        <f t="array" ref="C92">IFERROR(IF(SUMPRODUCT((measured[Site Name]=A92)*(measured[Date]=B92)*ISNUMBER(measured[Measured Value (kWh)]))=0,"",SUMIFS(measured[Measured Value (kWh)],measured[Site Name],A92,measured[Date],B92)),"")</f>
        <v/>
      </c>
      <c r="D92" cm="1">
        <f t="array" ref="D92">IFERROR(IF(SUMPRODUCT((expected_production[Site Name]=A92)*(expected_production[Date]=B92)*ISNUMBER(expected_production[Expected Production (kWh)]))=0,"",SUMIFS(expected_production[Expected Production (kWh)],expected_production[Site Name],A92,expected_production[Date],B92)),"")</f>
        <v>4680.8999999999996</v>
      </c>
      <c r="E92" s="9" t="str">
        <f t="shared" si="2"/>
        <v/>
      </c>
      <c r="F92" t="str">
        <f t="shared" si="3"/>
        <v/>
      </c>
    </row>
    <row r="93" spans="1:6" ht="15" customHeight="1" x14ac:dyDescent="0.3">
      <c r="A93" t="s">
        <v>49</v>
      </c>
      <c r="B93" s="2">
        <v>45870</v>
      </c>
      <c r="C93" cm="1">
        <f t="array" ref="C93">IFERROR(IF(SUMPRODUCT((measured[Site Name]=A93)*(measured[Date]=B93)*ISNUMBER(measured[Measured Value (kWh)]))=0,"",SUMIFS(measured[Measured Value (kWh)],measured[Site Name],A93,measured[Date],B93)),"")</f>
        <v>4721</v>
      </c>
      <c r="D93" cm="1">
        <f t="array" ref="D93">IFERROR(IF(SUMPRODUCT((expected_production[Site Name]=A93)*(expected_production[Date]=B93)*ISNUMBER(expected_production[Expected Production (kWh)]))=0,"",SUMIFS(expected_production[Expected Production (kWh)],expected_production[Site Name],A93,expected_production[Date],B93)),"")</f>
        <v>5249.7</v>
      </c>
      <c r="E93" s="9">
        <f t="shared" si="2"/>
        <v>0.89928948320856428</v>
      </c>
      <c r="F93" t="str">
        <f t="shared" si="3"/>
        <v>Moderate</v>
      </c>
    </row>
    <row r="94" spans="1:6" ht="15" customHeight="1" x14ac:dyDescent="0.3">
      <c r="A94" t="s">
        <v>49</v>
      </c>
      <c r="B94" s="2">
        <v>45901</v>
      </c>
      <c r="C94" cm="1">
        <f t="array" ref="C94">IFERROR(IF(SUMPRODUCT((measured[Site Name]=A94)*(measured[Date]=B94)*ISNUMBER(measured[Measured Value (kWh)]))=0,"",SUMIFS(measured[Measured Value (kWh)],measured[Site Name],A94,measured[Date],B94)),"")</f>
        <v>4200</v>
      </c>
      <c r="D94" cm="1">
        <f t="array" ref="D94">IFERROR(IF(SUMPRODUCT((expected_production[Site Name]=A94)*(expected_production[Date]=B94)*ISNUMBER(expected_production[Expected Production (kWh)]))=0,"",SUMIFS(expected_production[Expected Production (kWh)],expected_production[Site Name],A94,expected_production[Date],B94)),"")</f>
        <v>4694.3999999999996</v>
      </c>
      <c r="E94" s="9">
        <f t="shared" si="2"/>
        <v>0.89468302658486709</v>
      </c>
      <c r="F94" t="str">
        <f t="shared" si="3"/>
        <v>Moderate</v>
      </c>
    </row>
    <row r="95" spans="1:6" ht="15" customHeight="1" x14ac:dyDescent="0.3">
      <c r="A95" t="s">
        <v>49</v>
      </c>
      <c r="B95" s="2">
        <v>45931</v>
      </c>
      <c r="C95" cm="1">
        <f t="array" ref="C95">IFERROR(IF(SUMPRODUCT((measured[Site Name]=A95)*(measured[Date]=B95)*ISNUMBER(measured[Measured Value (kWh)]))=0,"",SUMIFS(measured[Measured Value (kWh)],measured[Site Name],A95,measured[Date],B95)),"")</f>
        <v>3499</v>
      </c>
      <c r="D95" cm="1">
        <f t="array" ref="D95">IFERROR(IF(SUMPRODUCT((expected_production[Site Name]=A95)*(expected_production[Date]=B95)*ISNUMBER(expected_production[Expected Production (kWh)]))=0,"",SUMIFS(expected_production[Expected Production (kWh)],expected_production[Site Name],A95,expected_production[Date],B95)),"")</f>
        <v>4732.2</v>
      </c>
      <c r="E95" s="9">
        <f t="shared" si="2"/>
        <v>0.73940239212205738</v>
      </c>
      <c r="F95" t="str">
        <f t="shared" si="3"/>
        <v>Moderate</v>
      </c>
    </row>
    <row r="96" spans="1:6" ht="15" customHeight="1" x14ac:dyDescent="0.3">
      <c r="A96" t="s">
        <v>49</v>
      </c>
      <c r="B96" s="2">
        <v>45962</v>
      </c>
      <c r="C96" cm="1">
        <f t="array" ref="C96">IFERROR(IF(SUMPRODUCT((measured[Site Name]=A96)*(measured[Date]=B96)*ISNUMBER(measured[Measured Value (kWh)]))=0,"",SUMIFS(measured[Measured Value (kWh)],measured[Site Name],A96,measured[Date],B96)),"")</f>
        <v>4045</v>
      </c>
      <c r="D96" cm="1">
        <f t="array" ref="D96">IFERROR(IF(SUMPRODUCT((expected_production[Site Name]=A96)*(expected_production[Date]=B96)*ISNUMBER(expected_production[Expected Production (kWh)]))=0,"",SUMIFS(expected_production[Expected Production (kWh)],expected_production[Site Name],A96,expected_production[Date],B96)),"")</f>
        <v>4822.2</v>
      </c>
      <c r="E96" s="9">
        <f t="shared" ref="E96:E159" si="4">IF(OR(C96="",D96="",D96=0),"",C96/D96)</f>
        <v>0.83882875036290494</v>
      </c>
      <c r="F96" t="str">
        <f t="shared" ref="F96:F159" si="5">IF(E96="","",IF(E96&gt;=0.9,"Expected",IF(E96&gt;=0.7,"Moderate","Poor")))</f>
        <v>Moderate</v>
      </c>
    </row>
    <row r="97" spans="1:7" ht="15" customHeight="1" x14ac:dyDescent="0.3">
      <c r="A97" t="s">
        <v>49</v>
      </c>
      <c r="B97" s="2">
        <v>45992</v>
      </c>
      <c r="C97" cm="1">
        <f t="array" ref="C97">IFERROR(IF(SUMPRODUCT((measured[Site Name]=A97)*(measured[Date]=B97)*ISNUMBER(measured[Measured Value (kWh)]))=0,"",SUMIFS(measured[Measured Value (kWh)],measured[Site Name],A97,measured[Date],B97)),"")</f>
        <v>4277</v>
      </c>
      <c r="D97" cm="1">
        <f t="array" ref="D97">IFERROR(IF(SUMPRODUCT((expected_production[Site Name]=A97)*(expected_production[Date]=B97)*ISNUMBER(expected_production[Expected Production (kWh)]))=0,"",SUMIFS(expected_production[Expected Production (kWh)],expected_production[Site Name],A97,expected_production[Date],B97)),"")</f>
        <v>4805.1000000000004</v>
      </c>
      <c r="E97" s="9">
        <f t="shared" si="4"/>
        <v>0.89009593973070278</v>
      </c>
      <c r="F97" t="str">
        <f t="shared" si="5"/>
        <v>Moderate</v>
      </c>
    </row>
    <row r="98" spans="1:7" ht="15" customHeight="1" x14ac:dyDescent="0.3">
      <c r="A98" t="s">
        <v>49</v>
      </c>
      <c r="B98" s="2">
        <v>46023</v>
      </c>
      <c r="C98" cm="1">
        <f t="array" ref="C98">IFERROR(IF(SUMPRODUCT((measured[Site Name]=A98)*(measured[Date]=B98)*ISNUMBER(measured[Measured Value (kWh)]))=0,"",SUMIFS(measured[Measured Value (kWh)],measured[Site Name],A98,measured[Date],B98)),"")</f>
        <v>3071</v>
      </c>
      <c r="D98" cm="1">
        <f t="array" ref="D98">IFERROR(IF(SUMPRODUCT((expected_production[Site Name]=A98)*(expected_production[Date]=B98)*ISNUMBER(expected_production[Expected Production (kWh)]))=0,"",SUMIFS(expected_production[Expected Production (kWh)],expected_production[Site Name],A98,expected_production[Date],B98)),"")</f>
        <v>4801.5</v>
      </c>
      <c r="E98" s="9">
        <f t="shared" si="4"/>
        <v>0.63959179423096946</v>
      </c>
      <c r="F98" t="str">
        <f t="shared" si="5"/>
        <v>Poor</v>
      </c>
    </row>
    <row r="99" spans="1:7" ht="15" customHeight="1" x14ac:dyDescent="0.3">
      <c r="A99" t="s">
        <v>49</v>
      </c>
      <c r="B99" s="2">
        <v>46054</v>
      </c>
      <c r="C99" cm="1">
        <f t="array" ref="C99">IFERROR(IF(SUMPRODUCT((measured[Site Name]=A99)*(measured[Date]=B99)*ISNUMBER(measured[Measured Value (kWh)]))=0,"",SUMIFS(measured[Measured Value (kWh)],measured[Site Name],A99,measured[Date],B99)),"")</f>
        <v>3013</v>
      </c>
      <c r="D99" cm="1">
        <f t="array" ref="D99">IFERROR(IF(SUMPRODUCT((expected_production[Site Name]=A99)*(expected_production[Date]=B99)*ISNUMBER(expected_production[Expected Production (kWh)]))=0,"",SUMIFS(expected_production[Expected Production (kWh)],expected_production[Site Name],A99,expected_production[Date],B99)),"")</f>
        <v>4303.8</v>
      </c>
      <c r="E99" s="9">
        <f t="shared" si="4"/>
        <v>0.7000789999535294</v>
      </c>
      <c r="F99" t="str">
        <f t="shared" si="5"/>
        <v>Moderate</v>
      </c>
    </row>
    <row r="100" spans="1:7" ht="15" customHeight="1" x14ac:dyDescent="0.3">
      <c r="A100" t="s">
        <v>49</v>
      </c>
      <c r="B100" s="2">
        <v>46082</v>
      </c>
      <c r="C100" cm="1">
        <f t="array" ref="C100">IFERROR(IF(SUMPRODUCT((measured[Site Name]=A100)*(measured[Date]=B100)*ISNUMBER(measured[Measured Value (kWh)]))=0,"",SUMIFS(measured[Measured Value (kWh)],measured[Site Name],A100,measured[Date],B100)),"")</f>
        <v>2340.8000000000002</v>
      </c>
      <c r="D100" cm="1">
        <f t="array" ref="D100">IFERROR(IF(SUMPRODUCT((expected_production[Site Name]=A100)*(expected_production[Date]=B100)*ISNUMBER(expected_production[Expected Production (kWh)]))=0,"",SUMIFS(expected_production[Expected Production (kWh)],expected_production[Site Name],A100,expected_production[Date],B100)),"")</f>
        <v>4545.8999999999996</v>
      </c>
      <c r="E100" s="9">
        <f t="shared" si="4"/>
        <v>0.51492553729734492</v>
      </c>
      <c r="F100" t="str">
        <f t="shared" si="5"/>
        <v>Poor</v>
      </c>
    </row>
    <row r="101" spans="1:7" ht="15" customHeight="1" x14ac:dyDescent="0.3">
      <c r="A101" t="s">
        <v>49</v>
      </c>
      <c r="B101" s="2">
        <v>46113</v>
      </c>
      <c r="C101" cm="1">
        <f t="array" ref="C101">IFERROR(IF(SUMPRODUCT((measured[Site Name]=A101)*(measured[Date]=B101)*ISNUMBER(measured[Measured Value (kWh)]))=0,"",SUMIFS(measured[Measured Value (kWh)],measured[Site Name],A101,measured[Date],B101)),"")</f>
        <v>1505.4</v>
      </c>
      <c r="D101" cm="1">
        <f t="array" ref="D101">IFERROR(IF(SUMPRODUCT((expected_production[Site Name]=A101)*(expected_production[Date]=B101)*ISNUMBER(expected_production[Expected Production (kWh)]))=0,"",SUMIFS(expected_production[Expected Production (kWh)],expected_production[Site Name],A101,expected_production[Date],B101)),"")</f>
        <v>4619.7</v>
      </c>
      <c r="E101" s="9">
        <f t="shared" si="4"/>
        <v>0.32586531592960583</v>
      </c>
      <c r="F101" t="str">
        <f t="shared" si="5"/>
        <v>Poor</v>
      </c>
    </row>
    <row r="102" spans="1:7" ht="15" customHeight="1" x14ac:dyDescent="0.3">
      <c r="A102" t="s">
        <v>49</v>
      </c>
      <c r="B102" s="2">
        <v>46143</v>
      </c>
      <c r="C102" cm="1">
        <f t="array" ref="C102">IFERROR(IF(SUMPRODUCT((measured[Site Name]=A102)*(measured[Date]=B102)*ISNUMBER(measured[Measured Value (kWh)]))=0,"",SUMIFS(measured[Measured Value (kWh)],measured[Site Name],A102,measured[Date],B102)),"")</f>
        <v>1467</v>
      </c>
      <c r="D102" cm="1">
        <f t="array" ref="D102">IFERROR(IF(SUMPRODUCT((expected_production[Site Name]=A102)*(expected_production[Date]=B102)*ISNUMBER(expected_production[Expected Production (kWh)]))=0,"",SUMIFS(expected_production[Expected Production (kWh)],expected_production[Site Name],A102,expected_production[Date],B102)),"")</f>
        <v>4990.5</v>
      </c>
      <c r="E102" s="9">
        <f t="shared" si="4"/>
        <v>0.2939585211902615</v>
      </c>
      <c r="F102" t="str">
        <f t="shared" si="5"/>
        <v>Poor</v>
      </c>
    </row>
    <row r="103" spans="1:7" ht="15" customHeight="1" x14ac:dyDescent="0.3">
      <c r="A103" t="s">
        <v>49</v>
      </c>
      <c r="B103" s="2">
        <v>46174</v>
      </c>
      <c r="C103" cm="1">
        <f t="array" ref="C103">IFERROR(IF(SUMPRODUCT((measured[Site Name]=A103)*(measured[Date]=B103)*ISNUMBER(measured[Measured Value (kWh)]))=0,"",SUMIFS(measured[Measured Value (kWh)],measured[Site Name],A103,measured[Date],B103)),"")</f>
        <v>2778</v>
      </c>
      <c r="D103" cm="1">
        <f t="array" ref="D103">IFERROR(IF(SUMPRODUCT((expected_production[Site Name]=A103)*(expected_production[Date]=B103)*ISNUMBER(expected_production[Expected Production (kWh)]))=0,"",SUMIFS(expected_production[Expected Production (kWh)],expected_production[Site Name],A103,expected_production[Date],B103)),"")</f>
        <v>4761.8999999999996</v>
      </c>
      <c r="E103" s="9">
        <f t="shared" si="4"/>
        <v>0.58338058338058341</v>
      </c>
      <c r="F103" t="str">
        <f t="shared" si="5"/>
        <v>Poor</v>
      </c>
    </row>
    <row r="104" spans="1:7" ht="15" customHeight="1" x14ac:dyDescent="0.3">
      <c r="A104" t="s">
        <v>49</v>
      </c>
      <c r="B104" s="2">
        <v>46204</v>
      </c>
      <c r="C104" cm="1">
        <f t="array" ref="C104">IFERROR(IF(SUMPRODUCT((measured[Site Name]=A104)*(measured[Date]=B104)*ISNUMBER(measured[Measured Value (kWh)]))=0,"",SUMIFS(measured[Measured Value (kWh)],measured[Site Name],A104,measured[Date],B104)),"")</f>
        <v>2644</v>
      </c>
      <c r="D104" cm="1">
        <f t="array" ref="D104">IFERROR(IF(SUMPRODUCT((expected_production[Site Name]=A104)*(expected_production[Date]=B104)*ISNUMBER(expected_production[Expected Production (kWh)]))=0,"",SUMIFS(expected_production[Expected Production (kWh)],expected_production[Site Name],A104,expected_production[Date],B104)),"")</f>
        <v>4680.8999999999996</v>
      </c>
      <c r="E104" s="9">
        <f t="shared" si="4"/>
        <v>0.56484864021876136</v>
      </c>
      <c r="F104" t="str">
        <f t="shared" si="5"/>
        <v>Poor</v>
      </c>
      <c r="G104" t="s">
        <v>874</v>
      </c>
    </row>
    <row r="105" spans="1:7" ht="15" customHeight="1" x14ac:dyDescent="0.3">
      <c r="A105" t="s">
        <v>49</v>
      </c>
      <c r="B105" s="2">
        <v>46235</v>
      </c>
      <c r="C105" t="str" cm="1">
        <f t="array" ref="C105">IFERROR(IF(SUMPRODUCT((measured[Site Name]=A105)*(measured[Date]=B105)*ISNUMBER(measured[Measured Value (kWh)]))=0,"",SUMIFS(measured[Measured Value (kWh)],measured[Site Name],A105,measured[Date],B105)),"")</f>
        <v/>
      </c>
      <c r="D105" cm="1">
        <f t="array" ref="D105">IFERROR(IF(SUMPRODUCT((expected_production[Site Name]=A105)*(expected_production[Date]=B105)*ISNUMBER(expected_production[Expected Production (kWh)]))=0,"",SUMIFS(expected_production[Expected Production (kWh)],expected_production[Site Name],A105,expected_production[Date],B105)),"")</f>
        <v>5249.7</v>
      </c>
      <c r="E105" s="9" t="str">
        <f t="shared" si="4"/>
        <v/>
      </c>
      <c r="F105" t="str">
        <f t="shared" si="5"/>
        <v/>
      </c>
    </row>
    <row r="106" spans="1:7" ht="15" customHeight="1" x14ac:dyDescent="0.3">
      <c r="A106" t="s">
        <v>49</v>
      </c>
      <c r="B106" s="2">
        <v>46266</v>
      </c>
      <c r="C106" t="str" cm="1">
        <f t="array" ref="C106">IFERROR(IF(SUMPRODUCT((measured[Site Name]=A106)*(measured[Date]=B106)*ISNUMBER(measured[Measured Value (kWh)]))=0,"",SUMIFS(measured[Measured Value (kWh)],measured[Site Name],A106,measured[Date],B106)),"")</f>
        <v/>
      </c>
      <c r="D106" cm="1">
        <f t="array" ref="D106">IFERROR(IF(SUMPRODUCT((expected_production[Site Name]=A106)*(expected_production[Date]=B106)*ISNUMBER(expected_production[Expected Production (kWh)]))=0,"",SUMIFS(expected_production[Expected Production (kWh)],expected_production[Site Name],A106,expected_production[Date],B106)),"")</f>
        <v>4694.3999999999996</v>
      </c>
      <c r="E106" s="9" t="str">
        <f t="shared" si="4"/>
        <v/>
      </c>
      <c r="F106" t="str">
        <f t="shared" si="5"/>
        <v/>
      </c>
    </row>
    <row r="107" spans="1:7" ht="15" customHeight="1" x14ac:dyDescent="0.3">
      <c r="A107" t="s">
        <v>49</v>
      </c>
      <c r="B107" s="2">
        <v>46296</v>
      </c>
      <c r="C107" t="str" cm="1">
        <f t="array" ref="C107">IFERROR(IF(SUMPRODUCT((measured[Site Name]=A107)*(measured[Date]=B107)*ISNUMBER(measured[Measured Value (kWh)]))=0,"",SUMIFS(measured[Measured Value (kWh)],measured[Site Name],A107,measured[Date],B107)),"")</f>
        <v/>
      </c>
      <c r="D107" cm="1">
        <f t="array" ref="D107">IFERROR(IF(SUMPRODUCT((expected_production[Site Name]=A107)*(expected_production[Date]=B107)*ISNUMBER(expected_production[Expected Production (kWh)]))=0,"",SUMIFS(expected_production[Expected Production (kWh)],expected_production[Site Name],A107,expected_production[Date],B107)),"")</f>
        <v>4732.2</v>
      </c>
      <c r="E107" s="9" t="str">
        <f t="shared" si="4"/>
        <v/>
      </c>
      <c r="F107" t="str">
        <f t="shared" si="5"/>
        <v/>
      </c>
    </row>
    <row r="108" spans="1:7" ht="15" customHeight="1" x14ac:dyDescent="0.3">
      <c r="A108" t="s">
        <v>49</v>
      </c>
      <c r="B108" s="2">
        <v>46327</v>
      </c>
      <c r="C108" t="str" cm="1">
        <f t="array" ref="C108">IFERROR(IF(SUMPRODUCT((measured[Site Name]=A108)*(measured[Date]=B108)*ISNUMBER(measured[Measured Value (kWh)]))=0,"",SUMIFS(measured[Measured Value (kWh)],measured[Site Name],A108,measured[Date],B108)),"")</f>
        <v/>
      </c>
      <c r="D108" cm="1">
        <f t="array" ref="D108">IFERROR(IF(SUMPRODUCT((expected_production[Site Name]=A108)*(expected_production[Date]=B108)*ISNUMBER(expected_production[Expected Production (kWh)]))=0,"",SUMIFS(expected_production[Expected Production (kWh)],expected_production[Site Name],A108,expected_production[Date],B108)),"")</f>
        <v>4822.2</v>
      </c>
      <c r="E108" s="9" t="str">
        <f t="shared" si="4"/>
        <v/>
      </c>
      <c r="F108" t="str">
        <f t="shared" si="5"/>
        <v/>
      </c>
    </row>
    <row r="109" spans="1:7" ht="15" customHeight="1" x14ac:dyDescent="0.3">
      <c r="A109" t="s">
        <v>49</v>
      </c>
      <c r="B109" s="2">
        <v>46357</v>
      </c>
      <c r="C109" t="str" cm="1">
        <f t="array" ref="C109">IFERROR(IF(SUMPRODUCT((measured[Site Name]=A109)*(measured[Date]=B109)*ISNUMBER(measured[Measured Value (kWh)]))=0,"",SUMIFS(measured[Measured Value (kWh)],measured[Site Name],A109,measured[Date],B109)),"")</f>
        <v/>
      </c>
      <c r="D109" cm="1">
        <f t="array" ref="D109">IFERROR(IF(SUMPRODUCT((expected_production[Site Name]=A109)*(expected_production[Date]=B109)*ISNUMBER(expected_production[Expected Production (kWh)]))=0,"",SUMIFS(expected_production[Expected Production (kWh)],expected_production[Site Name],A109,expected_production[Date],B109)),"")</f>
        <v>4805.1000000000004</v>
      </c>
      <c r="E109" s="9" t="str">
        <f t="shared" si="4"/>
        <v/>
      </c>
      <c r="F109" t="str">
        <f t="shared" si="5"/>
        <v/>
      </c>
    </row>
    <row r="110" spans="1:7" ht="15" customHeight="1" x14ac:dyDescent="0.3">
      <c r="A110" t="s">
        <v>64</v>
      </c>
      <c r="B110" s="2">
        <v>45292</v>
      </c>
      <c r="C110" t="str" cm="1">
        <f t="array" ref="C110">IFERROR(IF(SUMPRODUCT((measured[Site Name]=A110)*(measured[Date]=B110)*ISNUMBER(measured[Measured Value (kWh)]))=0,"",SUMIFS(measured[Measured Value (kWh)],measured[Site Name],A110,measured[Date],B110)),"")</f>
        <v/>
      </c>
      <c r="D110" cm="1">
        <f t="array" ref="D110">IFERROR(IF(SUMPRODUCT((expected_production[Site Name]=A110)*(expected_production[Date]=B110)*ISNUMBER(expected_production[Expected Production (kWh)]))=0,"",SUMIFS(expected_production[Expected Production (kWh)],expected_production[Site Name],A110,expected_production[Date],B110)),"")</f>
        <v>8151.3</v>
      </c>
      <c r="E110" s="9" t="str">
        <f t="shared" si="4"/>
        <v/>
      </c>
      <c r="F110" t="str">
        <f t="shared" si="5"/>
        <v/>
      </c>
    </row>
    <row r="111" spans="1:7" ht="15" customHeight="1" x14ac:dyDescent="0.3">
      <c r="A111" t="s">
        <v>64</v>
      </c>
      <c r="B111" s="2">
        <v>45323</v>
      </c>
      <c r="C111" t="str" cm="1">
        <f t="array" ref="C111">IFERROR(IF(SUMPRODUCT((measured[Site Name]=A111)*(measured[Date]=B111)*ISNUMBER(measured[Measured Value (kWh)]))=0,"",SUMIFS(measured[Measured Value (kWh)],measured[Site Name],A111,measured[Date],B111)),"")</f>
        <v/>
      </c>
      <c r="D111" cm="1">
        <f t="array" ref="D111">IFERROR(IF(SUMPRODUCT((expected_production[Site Name]=A111)*(expected_production[Date]=B111)*ISNUMBER(expected_production[Expected Production (kWh)]))=0,"",SUMIFS(expected_production[Expected Production (kWh)],expected_production[Site Name],A111,expected_production[Date],B111)),"")</f>
        <v>7235.1</v>
      </c>
      <c r="E111" s="9" t="str">
        <f t="shared" si="4"/>
        <v/>
      </c>
      <c r="F111" t="str">
        <f t="shared" si="5"/>
        <v/>
      </c>
    </row>
    <row r="112" spans="1:7" ht="15" customHeight="1" x14ac:dyDescent="0.3">
      <c r="A112" t="s">
        <v>64</v>
      </c>
      <c r="B112" s="2">
        <v>45352</v>
      </c>
      <c r="C112" t="str" cm="1">
        <f t="array" ref="C112">IFERROR(IF(SUMPRODUCT((measured[Site Name]=A112)*(measured[Date]=B112)*ISNUMBER(measured[Measured Value (kWh)]))=0,"",SUMIFS(measured[Measured Value (kWh)],measured[Site Name],A112,measured[Date],B112)),"")</f>
        <v/>
      </c>
      <c r="D112" cm="1">
        <f t="array" ref="D112">IFERROR(IF(SUMPRODUCT((expected_production[Site Name]=A112)*(expected_production[Date]=B112)*ISNUMBER(expected_production[Expected Production (kWh)]))=0,"",SUMIFS(expected_production[Expected Production (kWh)],expected_production[Site Name],A112,expected_production[Date],B112)),"")</f>
        <v>7075.8</v>
      </c>
      <c r="E112" s="9" t="str">
        <f t="shared" si="4"/>
        <v/>
      </c>
      <c r="F112" t="str">
        <f t="shared" si="5"/>
        <v/>
      </c>
    </row>
    <row r="113" spans="1:6" ht="15" customHeight="1" x14ac:dyDescent="0.3">
      <c r="A113" t="s">
        <v>64</v>
      </c>
      <c r="B113" s="2">
        <v>45383</v>
      </c>
      <c r="C113" t="str" cm="1">
        <f t="array" ref="C113">IFERROR(IF(SUMPRODUCT((measured[Site Name]=A113)*(measured[Date]=B113)*ISNUMBER(measured[Measured Value (kWh)]))=0,"",SUMIFS(measured[Measured Value (kWh)],measured[Site Name],A113,measured[Date],B113)),"")</f>
        <v/>
      </c>
      <c r="D113" cm="1">
        <f t="array" ref="D113">IFERROR(IF(SUMPRODUCT((expected_production[Site Name]=A113)*(expected_production[Date]=B113)*ISNUMBER(expected_production[Expected Production (kWh)]))=0,"",SUMIFS(expected_production[Expected Production (kWh)],expected_production[Site Name],A113,expected_production[Date],B113)),"")</f>
        <v>5754.6</v>
      </c>
      <c r="E113" s="9" t="str">
        <f t="shared" si="4"/>
        <v/>
      </c>
      <c r="F113" t="str">
        <f t="shared" si="5"/>
        <v/>
      </c>
    </row>
    <row r="114" spans="1:6" ht="15" customHeight="1" x14ac:dyDescent="0.3">
      <c r="A114" t="s">
        <v>64</v>
      </c>
      <c r="B114" s="2">
        <v>45413</v>
      </c>
      <c r="C114" t="str" cm="1">
        <f t="array" ref="C114">IFERROR(IF(SUMPRODUCT((measured[Site Name]=A114)*(measured[Date]=B114)*ISNUMBER(measured[Measured Value (kWh)]))=0,"",SUMIFS(measured[Measured Value (kWh)],measured[Site Name],A114,measured[Date],B114)),"")</f>
        <v/>
      </c>
      <c r="D114" cm="1">
        <f t="array" ref="D114">IFERROR(IF(SUMPRODUCT((expected_production[Site Name]=A114)*(expected_production[Date]=B114)*ISNUMBER(expected_production[Expected Production (kWh)]))=0,"",SUMIFS(expected_production[Expected Production (kWh)],expected_production[Site Name],A114,expected_production[Date],B114)),"")</f>
        <v>5424.3</v>
      </c>
      <c r="E114" s="9" t="str">
        <f t="shared" si="4"/>
        <v/>
      </c>
      <c r="F114" t="str">
        <f t="shared" si="5"/>
        <v/>
      </c>
    </row>
    <row r="115" spans="1:6" ht="15" customHeight="1" x14ac:dyDescent="0.3">
      <c r="A115" t="s">
        <v>64</v>
      </c>
      <c r="B115" s="2">
        <v>45444</v>
      </c>
      <c r="C115" t="str" cm="1">
        <f t="array" ref="C115">IFERROR(IF(SUMPRODUCT((measured[Site Name]=A115)*(measured[Date]=B115)*ISNUMBER(measured[Measured Value (kWh)]))=0,"",SUMIFS(measured[Measured Value (kWh)],measured[Site Name],A115,measured[Date],B115)),"")</f>
        <v/>
      </c>
      <c r="D115" cm="1">
        <f t="array" ref="D115">IFERROR(IF(SUMPRODUCT((expected_production[Site Name]=A115)*(expected_production[Date]=B115)*ISNUMBER(expected_production[Expected Production (kWh)]))=0,"",SUMIFS(expected_production[Expected Production (kWh)],expected_production[Site Name],A115,expected_production[Date],B115)),"")</f>
        <v>4787.1000000000004</v>
      </c>
      <c r="E115" s="9" t="str">
        <f t="shared" si="4"/>
        <v/>
      </c>
      <c r="F115" t="str">
        <f t="shared" si="5"/>
        <v/>
      </c>
    </row>
    <row r="116" spans="1:6" ht="15" customHeight="1" x14ac:dyDescent="0.3">
      <c r="A116" t="s">
        <v>64</v>
      </c>
      <c r="B116" s="2">
        <v>45474</v>
      </c>
      <c r="C116" t="str" cm="1">
        <f t="array" ref="C116">IFERROR(IF(SUMPRODUCT((measured[Site Name]=A116)*(measured[Date]=B116)*ISNUMBER(measured[Measured Value (kWh)]))=0,"",SUMIFS(measured[Measured Value (kWh)],measured[Site Name],A116,measured[Date],B116)),"")</f>
        <v/>
      </c>
      <c r="D116" cm="1">
        <f t="array" ref="D116">IFERROR(IF(SUMPRODUCT((expected_production[Site Name]=A116)*(expected_production[Date]=B116)*ISNUMBER(expected_production[Expected Production (kWh)]))=0,"",SUMIFS(expected_production[Expected Production (kWh)],expected_production[Site Name],A116,expected_production[Date],B116)),"")</f>
        <v>5360.4</v>
      </c>
      <c r="E116" s="9" t="str">
        <f t="shared" si="4"/>
        <v/>
      </c>
      <c r="F116" t="str">
        <f t="shared" si="5"/>
        <v/>
      </c>
    </row>
    <row r="117" spans="1:6" ht="15" customHeight="1" x14ac:dyDescent="0.3">
      <c r="A117" t="s">
        <v>64</v>
      </c>
      <c r="B117" s="2">
        <v>45505</v>
      </c>
      <c r="C117" t="str" cm="1">
        <f t="array" ref="C117">IFERROR(IF(SUMPRODUCT((measured[Site Name]=A117)*(measured[Date]=B117)*ISNUMBER(measured[Measured Value (kWh)]))=0,"",SUMIFS(measured[Measured Value (kWh)],measured[Site Name],A117,measured[Date],B117)),"")</f>
        <v/>
      </c>
      <c r="D117" cm="1">
        <f t="array" ref="D117">IFERROR(IF(SUMPRODUCT((expected_production[Site Name]=A117)*(expected_production[Date]=B117)*ISNUMBER(expected_production[Expected Production (kWh)]))=0,"",SUMIFS(expected_production[Expected Production (kWh)],expected_production[Site Name],A117,expected_production[Date],B117)),"")</f>
        <v>6363</v>
      </c>
      <c r="E117" s="9" t="str">
        <f t="shared" si="4"/>
        <v/>
      </c>
      <c r="F117" t="str">
        <f t="shared" si="5"/>
        <v/>
      </c>
    </row>
    <row r="118" spans="1:6" ht="15" customHeight="1" x14ac:dyDescent="0.3">
      <c r="A118" t="s">
        <v>64</v>
      </c>
      <c r="B118" s="2">
        <v>45536</v>
      </c>
      <c r="C118" t="str" cm="1">
        <f t="array" ref="C118">IFERROR(IF(SUMPRODUCT((measured[Site Name]=A118)*(measured[Date]=B118)*ISNUMBER(measured[Measured Value (kWh)]))=0,"",SUMIFS(measured[Measured Value (kWh)],measured[Site Name],A118,measured[Date],B118)),"")</f>
        <v/>
      </c>
      <c r="D118" cm="1">
        <f t="array" ref="D118">IFERROR(IF(SUMPRODUCT((expected_production[Site Name]=A118)*(expected_production[Date]=B118)*ISNUMBER(expected_production[Expected Production (kWh)]))=0,"",SUMIFS(expected_production[Expected Production (kWh)],expected_production[Site Name],A118,expected_production[Date],B118)),"")</f>
        <v>7218.9</v>
      </c>
      <c r="E118" s="9" t="str">
        <f t="shared" si="4"/>
        <v/>
      </c>
      <c r="F118" t="str">
        <f t="shared" si="5"/>
        <v/>
      </c>
    </row>
    <row r="119" spans="1:6" ht="15" customHeight="1" x14ac:dyDescent="0.3">
      <c r="A119" t="s">
        <v>64</v>
      </c>
      <c r="B119" s="2">
        <v>45566</v>
      </c>
      <c r="C119" t="str" cm="1">
        <f t="array" ref="C119">IFERROR(IF(SUMPRODUCT((measured[Site Name]=A119)*(measured[Date]=B119)*ISNUMBER(measured[Measured Value (kWh)]))=0,"",SUMIFS(measured[Measured Value (kWh)],measured[Site Name],A119,measured[Date],B119)),"")</f>
        <v/>
      </c>
      <c r="D119" cm="1">
        <f t="array" ref="D119">IFERROR(IF(SUMPRODUCT((expected_production[Site Name]=A119)*(expected_production[Date]=B119)*ISNUMBER(expected_production[Expected Production (kWh)]))=0,"",SUMIFS(expected_production[Expected Production (kWh)],expected_production[Site Name],A119,expected_production[Date],B119)),"")</f>
        <v>7839</v>
      </c>
      <c r="E119" s="9" t="str">
        <f t="shared" si="4"/>
        <v/>
      </c>
      <c r="F119" t="str">
        <f t="shared" si="5"/>
        <v/>
      </c>
    </row>
    <row r="120" spans="1:6" ht="15" customHeight="1" x14ac:dyDescent="0.3">
      <c r="A120" t="s">
        <v>64</v>
      </c>
      <c r="B120" s="2">
        <v>45597</v>
      </c>
      <c r="C120" t="str" cm="1">
        <f t="array" ref="C120">IFERROR(IF(SUMPRODUCT((measured[Site Name]=A120)*(measured[Date]=B120)*ISNUMBER(measured[Measured Value (kWh)]))=0,"",SUMIFS(measured[Measured Value (kWh)],measured[Site Name],A120,measured[Date],B120)),"")</f>
        <v/>
      </c>
      <c r="D120" cm="1">
        <f t="array" ref="D120">IFERROR(IF(SUMPRODUCT((expected_production[Site Name]=A120)*(expected_production[Date]=B120)*ISNUMBER(expected_production[Expected Production (kWh)]))=0,"",SUMIFS(expected_production[Expected Production (kWh)],expected_production[Site Name],A120,expected_production[Date],B120)),"")</f>
        <v>8191.8</v>
      </c>
      <c r="E120" s="9" t="str">
        <f t="shared" si="4"/>
        <v/>
      </c>
      <c r="F120" t="str">
        <f t="shared" si="5"/>
        <v/>
      </c>
    </row>
    <row r="121" spans="1:6" ht="15" customHeight="1" x14ac:dyDescent="0.3">
      <c r="A121" t="s">
        <v>64</v>
      </c>
      <c r="B121" s="2">
        <v>45627</v>
      </c>
      <c r="C121" t="str" cm="1">
        <f t="array" ref="C121">IFERROR(IF(SUMPRODUCT((measured[Site Name]=A121)*(measured[Date]=B121)*ISNUMBER(measured[Measured Value (kWh)]))=0,"",SUMIFS(measured[Measured Value (kWh)],measured[Site Name],A121,measured[Date],B121)),"")</f>
        <v/>
      </c>
      <c r="D121" cm="1">
        <f t="array" ref="D121">IFERROR(IF(SUMPRODUCT((expected_production[Site Name]=A121)*(expected_production[Date]=B121)*ISNUMBER(expected_production[Expected Production (kWh)]))=0,"",SUMIFS(expected_production[Expected Production (kWh)],expected_production[Site Name],A121,expected_production[Date],B121)),"")</f>
        <v>8227.7999999999993</v>
      </c>
      <c r="E121" s="9" t="str">
        <f t="shared" si="4"/>
        <v/>
      </c>
      <c r="F121" t="str">
        <f t="shared" si="5"/>
        <v/>
      </c>
    </row>
    <row r="122" spans="1:6" ht="15" customHeight="1" x14ac:dyDescent="0.3">
      <c r="A122" t="s">
        <v>64</v>
      </c>
      <c r="B122" s="2">
        <v>45658</v>
      </c>
      <c r="C122" cm="1">
        <f t="array" ref="C122">IFERROR(IF(SUMPRODUCT((measured[Site Name]=A122)*(measured[Date]=B122)*ISNUMBER(measured[Measured Value (kWh)]))=0,"",SUMIFS(measured[Measured Value (kWh)],measured[Site Name],A122,measured[Date],B122)),"")</f>
        <v>5900</v>
      </c>
      <c r="D122" cm="1">
        <f t="array" ref="D122">IFERROR(IF(SUMPRODUCT((expected_production[Site Name]=A122)*(expected_production[Date]=B122)*ISNUMBER(expected_production[Expected Production (kWh)]))=0,"",SUMIFS(expected_production[Expected Production (kWh)],expected_production[Site Name],A122,expected_production[Date],B122)),"")</f>
        <v>8151.3</v>
      </c>
      <c r="E122" s="9">
        <f t="shared" si="4"/>
        <v>0.72381092586458595</v>
      </c>
      <c r="F122" t="str">
        <f t="shared" si="5"/>
        <v>Moderate</v>
      </c>
    </row>
    <row r="123" spans="1:6" ht="15" customHeight="1" x14ac:dyDescent="0.3">
      <c r="A123" t="s">
        <v>64</v>
      </c>
      <c r="B123" s="2">
        <v>45689</v>
      </c>
      <c r="C123" cm="1">
        <f t="array" ref="C123">IFERROR(IF(SUMPRODUCT((measured[Site Name]=A123)*(measured[Date]=B123)*ISNUMBER(measured[Measured Value (kWh)]))=0,"",SUMIFS(measured[Measured Value (kWh)],measured[Site Name],A123,measured[Date],B123)),"")</f>
        <v>4277</v>
      </c>
      <c r="D123" cm="1">
        <f t="array" ref="D123">IFERROR(IF(SUMPRODUCT((expected_production[Site Name]=A123)*(expected_production[Date]=B123)*ISNUMBER(expected_production[Expected Production (kWh)]))=0,"",SUMIFS(expected_production[Expected Production (kWh)],expected_production[Site Name],A123,expected_production[Date],B123)),"")</f>
        <v>7235.1</v>
      </c>
      <c r="E123" s="9">
        <f t="shared" si="4"/>
        <v>0.59114594131387266</v>
      </c>
      <c r="F123" t="str">
        <f t="shared" si="5"/>
        <v>Poor</v>
      </c>
    </row>
    <row r="124" spans="1:6" ht="15" customHeight="1" x14ac:dyDescent="0.3">
      <c r="A124" t="s">
        <v>64</v>
      </c>
      <c r="B124" s="2">
        <v>45717</v>
      </c>
      <c r="C124" cm="1">
        <f t="array" ref="C124">IFERROR(IF(SUMPRODUCT((measured[Site Name]=A124)*(measured[Date]=B124)*ISNUMBER(measured[Measured Value (kWh)]))=0,"",SUMIFS(measured[Measured Value (kWh)],measured[Site Name],A124,measured[Date],B124)),"")</f>
        <v>4770</v>
      </c>
      <c r="D124" cm="1">
        <f t="array" ref="D124">IFERROR(IF(SUMPRODUCT((expected_production[Site Name]=A124)*(expected_production[Date]=B124)*ISNUMBER(expected_production[Expected Production (kWh)]))=0,"",SUMIFS(expected_production[Expected Production (kWh)],expected_production[Site Name],A124,expected_production[Date],B124)),"")</f>
        <v>7075.8</v>
      </c>
      <c r="E124" s="9">
        <f t="shared" si="4"/>
        <v>0.67412872042737215</v>
      </c>
      <c r="F124" t="str">
        <f t="shared" si="5"/>
        <v>Poor</v>
      </c>
    </row>
    <row r="125" spans="1:6" ht="15" customHeight="1" x14ac:dyDescent="0.3">
      <c r="A125" t="s">
        <v>64</v>
      </c>
      <c r="B125" s="2">
        <v>45748</v>
      </c>
      <c r="C125" cm="1">
        <f t="array" ref="C125">IFERROR(IF(SUMPRODUCT((measured[Site Name]=A125)*(measured[Date]=B125)*ISNUMBER(measured[Measured Value (kWh)]))=0,"",SUMIFS(measured[Measured Value (kWh)],measured[Site Name],A125,measured[Date],B125)),"")</f>
        <v>3375</v>
      </c>
      <c r="D125" cm="1">
        <f t="array" ref="D125">IFERROR(IF(SUMPRODUCT((expected_production[Site Name]=A125)*(expected_production[Date]=B125)*ISNUMBER(expected_production[Expected Production (kWh)]))=0,"",SUMIFS(expected_production[Expected Production (kWh)],expected_production[Site Name],A125,expected_production[Date],B125)),"")</f>
        <v>5754.6</v>
      </c>
      <c r="E125" s="9">
        <f t="shared" si="4"/>
        <v>0.58648733187363145</v>
      </c>
      <c r="F125" t="str">
        <f t="shared" si="5"/>
        <v>Poor</v>
      </c>
    </row>
    <row r="126" spans="1:6" ht="15" customHeight="1" x14ac:dyDescent="0.3">
      <c r="A126" t="s">
        <v>64</v>
      </c>
      <c r="B126" s="2">
        <v>45778</v>
      </c>
      <c r="C126" cm="1">
        <f t="array" ref="C126">IFERROR(IF(SUMPRODUCT((measured[Site Name]=A126)*(measured[Date]=B126)*ISNUMBER(measured[Measured Value (kWh)]))=0,"",SUMIFS(measured[Measured Value (kWh)],measured[Site Name],A126,measured[Date],B126)),"")</f>
        <v>3507</v>
      </c>
      <c r="D126" cm="1">
        <f t="array" ref="D126">IFERROR(IF(SUMPRODUCT((expected_production[Site Name]=A126)*(expected_production[Date]=B126)*ISNUMBER(expected_production[Expected Production (kWh)]))=0,"",SUMIFS(expected_production[Expected Production (kWh)],expected_production[Site Name],A126,expected_production[Date],B126)),"")</f>
        <v>5424.3</v>
      </c>
      <c r="E126" s="9">
        <f t="shared" si="4"/>
        <v>0.6465350367789392</v>
      </c>
      <c r="F126" t="str">
        <f t="shared" si="5"/>
        <v>Poor</v>
      </c>
    </row>
    <row r="127" spans="1:6" ht="15" customHeight="1" x14ac:dyDescent="0.3">
      <c r="A127" t="s">
        <v>64</v>
      </c>
      <c r="B127" s="2">
        <v>45809</v>
      </c>
      <c r="C127" cm="1">
        <f t="array" ref="C127">IFERROR(IF(SUMPRODUCT((measured[Site Name]=A127)*(measured[Date]=B127)*ISNUMBER(measured[Measured Value (kWh)]))=0,"",SUMIFS(measured[Measured Value (kWh)],measured[Site Name],A127,measured[Date],B127)),"")</f>
        <v>2400</v>
      </c>
      <c r="D127" cm="1">
        <f t="array" ref="D127">IFERROR(IF(SUMPRODUCT((expected_production[Site Name]=A127)*(expected_production[Date]=B127)*ISNUMBER(expected_production[Expected Production (kWh)]))=0,"",SUMIFS(expected_production[Expected Production (kWh)],expected_production[Site Name],A127,expected_production[Date],B127)),"")</f>
        <v>4787.1000000000004</v>
      </c>
      <c r="E127" s="9">
        <f t="shared" si="4"/>
        <v>0.50134737105972293</v>
      </c>
      <c r="F127" t="str">
        <f t="shared" si="5"/>
        <v>Poor</v>
      </c>
    </row>
    <row r="128" spans="1:6" ht="15" customHeight="1" x14ac:dyDescent="0.3">
      <c r="A128" t="s">
        <v>64</v>
      </c>
      <c r="B128" s="2">
        <v>45839</v>
      </c>
      <c r="C128" cm="1">
        <f t="array" ref="C128">IFERROR(IF(SUMPRODUCT((measured[Site Name]=A128)*(measured[Date]=B128)*ISNUMBER(measured[Measured Value (kWh)]))=0,"",SUMIFS(measured[Measured Value (kWh)],measured[Site Name],A128,measured[Date],B128)),"")</f>
        <v>2169</v>
      </c>
      <c r="D128" cm="1">
        <f t="array" ref="D128">IFERROR(IF(SUMPRODUCT((expected_production[Site Name]=A128)*(expected_production[Date]=B128)*ISNUMBER(expected_production[Expected Production (kWh)]))=0,"",SUMIFS(expected_production[Expected Production (kWh)],expected_production[Site Name],A128,expected_production[Date],B128)),"")</f>
        <v>5360.4</v>
      </c>
      <c r="E128" s="9">
        <f t="shared" si="4"/>
        <v>0.40463398253861654</v>
      </c>
      <c r="F128" t="str">
        <f t="shared" si="5"/>
        <v>Poor</v>
      </c>
    </row>
    <row r="129" spans="1:7" ht="15" customHeight="1" x14ac:dyDescent="0.3">
      <c r="A129" t="s">
        <v>64</v>
      </c>
      <c r="B129" s="2">
        <v>45870</v>
      </c>
      <c r="C129" cm="1">
        <f t="array" ref="C129">IFERROR(IF(SUMPRODUCT((measured[Site Name]=A129)*(measured[Date]=B129)*ISNUMBER(measured[Measured Value (kWh)]))=0,"",SUMIFS(measured[Measured Value (kWh)],measured[Site Name],A129,measured[Date],B129)),"")</f>
        <v>968.6</v>
      </c>
      <c r="D129" cm="1">
        <f t="array" ref="D129">IFERROR(IF(SUMPRODUCT((expected_production[Site Name]=A129)*(expected_production[Date]=B129)*ISNUMBER(expected_production[Expected Production (kWh)]))=0,"",SUMIFS(expected_production[Expected Production (kWh)],expected_production[Site Name],A129,expected_production[Date],B129)),"")</f>
        <v>6363</v>
      </c>
      <c r="E129" s="9">
        <f t="shared" si="4"/>
        <v>0.15222379380795223</v>
      </c>
      <c r="F129" t="str">
        <f t="shared" si="5"/>
        <v>Poor</v>
      </c>
    </row>
    <row r="130" spans="1:7" ht="15" customHeight="1" x14ac:dyDescent="0.3">
      <c r="A130" t="s">
        <v>64</v>
      </c>
      <c r="B130" s="2">
        <v>45901</v>
      </c>
      <c r="C130" cm="1">
        <f t="array" ref="C130">IFERROR(IF(SUMPRODUCT((measured[Site Name]=A130)*(measured[Date]=B130)*ISNUMBER(measured[Measured Value (kWh)]))=0,"",SUMIFS(measured[Measured Value (kWh)],measured[Site Name],A130,measured[Date],B130)),"")</f>
        <v>2001.5</v>
      </c>
      <c r="D130" cm="1">
        <f t="array" ref="D130">IFERROR(IF(SUMPRODUCT((expected_production[Site Name]=A130)*(expected_production[Date]=B130)*ISNUMBER(expected_production[Expected Production (kWh)]))=0,"",SUMIFS(expected_production[Expected Production (kWh)],expected_production[Site Name],A130,expected_production[Date],B130)),"")</f>
        <v>7218.9</v>
      </c>
      <c r="E130" s="9">
        <f t="shared" si="4"/>
        <v>0.27725830805247337</v>
      </c>
      <c r="F130" t="str">
        <f t="shared" si="5"/>
        <v>Poor</v>
      </c>
    </row>
    <row r="131" spans="1:7" ht="15" customHeight="1" x14ac:dyDescent="0.3">
      <c r="A131" t="s">
        <v>64</v>
      </c>
      <c r="B131" s="2">
        <v>45931</v>
      </c>
      <c r="C131" cm="1">
        <f t="array" ref="C131">IFERROR(IF(SUMPRODUCT((measured[Site Name]=A131)*(measured[Date]=B131)*ISNUMBER(measured[Measured Value (kWh)]))=0,"",SUMIFS(measured[Measured Value (kWh)],measured[Site Name],A131,measured[Date],B131)),"")</f>
        <v>3111</v>
      </c>
      <c r="D131" cm="1">
        <f t="array" ref="D131">IFERROR(IF(SUMPRODUCT((expected_production[Site Name]=A131)*(expected_production[Date]=B131)*ISNUMBER(expected_production[Expected Production (kWh)]))=0,"",SUMIFS(expected_production[Expected Production (kWh)],expected_production[Site Name],A131,expected_production[Date],B131)),"")</f>
        <v>7839</v>
      </c>
      <c r="E131" s="9">
        <f t="shared" si="4"/>
        <v>0.39686184462303864</v>
      </c>
      <c r="F131" t="str">
        <f t="shared" si="5"/>
        <v>Poor</v>
      </c>
    </row>
    <row r="132" spans="1:7" ht="15" customHeight="1" x14ac:dyDescent="0.3">
      <c r="A132" t="s">
        <v>64</v>
      </c>
      <c r="B132" s="2">
        <v>45962</v>
      </c>
      <c r="C132" cm="1">
        <f t="array" ref="C132">IFERROR(IF(SUMPRODUCT((measured[Site Name]=A132)*(measured[Date]=B132)*ISNUMBER(measured[Measured Value (kWh)]))=0,"",SUMIFS(measured[Measured Value (kWh)],measured[Site Name],A132,measured[Date],B132)),"")</f>
        <v>1605</v>
      </c>
      <c r="D132" cm="1">
        <f t="array" ref="D132">IFERROR(IF(SUMPRODUCT((expected_production[Site Name]=A132)*(expected_production[Date]=B132)*ISNUMBER(expected_production[Expected Production (kWh)]))=0,"",SUMIFS(expected_production[Expected Production (kWh)],expected_production[Site Name],A132,expected_production[Date],B132)),"")</f>
        <v>8191.8</v>
      </c>
      <c r="E132" s="9">
        <f t="shared" si="4"/>
        <v>0.1959276349520252</v>
      </c>
      <c r="F132" t="str">
        <f t="shared" si="5"/>
        <v>Poor</v>
      </c>
    </row>
    <row r="133" spans="1:7" ht="15" customHeight="1" x14ac:dyDescent="0.3">
      <c r="A133" t="s">
        <v>64</v>
      </c>
      <c r="B133" s="2">
        <v>45992</v>
      </c>
      <c r="C133" t="str" cm="1">
        <f t="array" ref="C133">IFERROR(IF(SUMPRODUCT((measured[Site Name]=A133)*(measured[Date]=B133)*ISNUMBER(measured[Measured Value (kWh)]))=0,"",SUMIFS(measured[Measured Value (kWh)],measured[Site Name],A133,measured[Date],B133)),"")</f>
        <v/>
      </c>
      <c r="D133" cm="1">
        <f t="array" ref="D133">IFERROR(IF(SUMPRODUCT((expected_production[Site Name]=A133)*(expected_production[Date]=B133)*ISNUMBER(expected_production[Expected Production (kWh)]))=0,"",SUMIFS(expected_production[Expected Production (kWh)],expected_production[Site Name],A133,expected_production[Date],B133)),"")</f>
        <v>8227.7999999999993</v>
      </c>
      <c r="E133" s="9" t="str">
        <f t="shared" si="4"/>
        <v/>
      </c>
      <c r="F133" t="str">
        <f t="shared" si="5"/>
        <v/>
      </c>
    </row>
    <row r="134" spans="1:7" ht="15" customHeight="1" x14ac:dyDescent="0.3">
      <c r="A134" t="s">
        <v>64</v>
      </c>
      <c r="B134" s="2">
        <v>46023</v>
      </c>
      <c r="C134" t="str" cm="1">
        <f t="array" ref="C134">IFERROR(IF(SUMPRODUCT((measured[Site Name]=A134)*(measured[Date]=B134)*ISNUMBER(measured[Measured Value (kWh)]))=0,"",SUMIFS(measured[Measured Value (kWh)],measured[Site Name],A134,measured[Date],B134)),"")</f>
        <v/>
      </c>
      <c r="D134" cm="1">
        <f t="array" ref="D134">IFERROR(IF(SUMPRODUCT((expected_production[Site Name]=A134)*(expected_production[Date]=B134)*ISNUMBER(expected_production[Expected Production (kWh)]))=0,"",SUMIFS(expected_production[Expected Production (kWh)],expected_production[Site Name],A134,expected_production[Date],B134)),"")</f>
        <v>8151.3</v>
      </c>
      <c r="E134" s="9" t="str">
        <f t="shared" si="4"/>
        <v/>
      </c>
      <c r="F134" t="str">
        <f t="shared" si="5"/>
        <v/>
      </c>
    </row>
    <row r="135" spans="1:7" ht="15" customHeight="1" x14ac:dyDescent="0.3">
      <c r="A135" t="s">
        <v>64</v>
      </c>
      <c r="B135" s="2">
        <v>46054</v>
      </c>
      <c r="C135" cm="1">
        <f t="array" ref="C135">IFERROR(IF(SUMPRODUCT((measured[Site Name]=A135)*(measured[Date]=B135)*ISNUMBER(measured[Measured Value (kWh)]))=0,"",SUMIFS(measured[Measured Value (kWh)],measured[Site Name],A135,measured[Date],B135)),"")</f>
        <v>6068</v>
      </c>
      <c r="D135" cm="1">
        <f t="array" ref="D135">IFERROR(IF(SUMPRODUCT((expected_production[Site Name]=A135)*(expected_production[Date]=B135)*ISNUMBER(expected_production[Expected Production (kWh)]))=0,"",SUMIFS(expected_production[Expected Production (kWh)],expected_production[Site Name],A135,expected_production[Date],B135)),"")</f>
        <v>7235.1</v>
      </c>
      <c r="E135" s="9">
        <f t="shared" si="4"/>
        <v>0.83868916808337135</v>
      </c>
      <c r="F135" t="str">
        <f t="shared" si="5"/>
        <v>Moderate</v>
      </c>
    </row>
    <row r="136" spans="1:7" ht="15" customHeight="1" x14ac:dyDescent="0.3">
      <c r="A136" t="s">
        <v>64</v>
      </c>
      <c r="B136" s="2">
        <v>46082</v>
      </c>
      <c r="C136" cm="1">
        <f t="array" ref="C136">IFERROR(IF(SUMPRODUCT((measured[Site Name]=A136)*(measured[Date]=B136)*ISNUMBER(measured[Measured Value (kWh)]))=0,"",SUMIFS(measured[Measured Value (kWh)],measured[Site Name],A136,measured[Date],B136)),"")</f>
        <v>4800</v>
      </c>
      <c r="D136" cm="1">
        <f t="array" ref="D136">IFERROR(IF(SUMPRODUCT((expected_production[Site Name]=A136)*(expected_production[Date]=B136)*ISNUMBER(expected_production[Expected Production (kWh)]))=0,"",SUMIFS(expected_production[Expected Production (kWh)],expected_production[Site Name],A136,expected_production[Date],B136)),"")</f>
        <v>7075.8</v>
      </c>
      <c r="E136" s="9">
        <f t="shared" si="4"/>
        <v>0.67836852370050027</v>
      </c>
      <c r="F136" t="str">
        <f t="shared" si="5"/>
        <v>Poor</v>
      </c>
    </row>
    <row r="137" spans="1:7" ht="15" customHeight="1" x14ac:dyDescent="0.3">
      <c r="A137" t="s">
        <v>64</v>
      </c>
      <c r="B137" s="2">
        <v>46113</v>
      </c>
      <c r="C137" cm="1">
        <f t="array" ref="C137">IFERROR(IF(SUMPRODUCT((measured[Site Name]=A137)*(measured[Date]=B137)*ISNUMBER(measured[Measured Value (kWh)]))=0,"",SUMIFS(measured[Measured Value (kWh)],measured[Site Name],A137,measured[Date],B137)),"")</f>
        <v>4318</v>
      </c>
      <c r="D137" cm="1">
        <f t="array" ref="D137">IFERROR(IF(SUMPRODUCT((expected_production[Site Name]=A137)*(expected_production[Date]=B137)*ISNUMBER(expected_production[Expected Production (kWh)]))=0,"",SUMIFS(expected_production[Expected Production (kWh)],expected_production[Site Name],A137,expected_production[Date],B137)),"")</f>
        <v>5754.6</v>
      </c>
      <c r="E137" s="9">
        <f t="shared" si="4"/>
        <v>0.75035623674973062</v>
      </c>
      <c r="F137" t="str">
        <f t="shared" si="5"/>
        <v>Moderate</v>
      </c>
    </row>
    <row r="138" spans="1:7" ht="15" customHeight="1" x14ac:dyDescent="0.3">
      <c r="A138" t="s">
        <v>64</v>
      </c>
      <c r="B138" s="2">
        <v>46143</v>
      </c>
      <c r="C138" cm="1">
        <f t="array" ref="C138">IFERROR(IF(SUMPRODUCT((measured[Site Name]=A138)*(measured[Date]=B138)*ISNUMBER(measured[Measured Value (kWh)]))=0,"",SUMIFS(measured[Measured Value (kWh)],measured[Site Name],A138,measured[Date],B138)),"")</f>
        <v>3727.7</v>
      </c>
      <c r="D138" cm="1">
        <f t="array" ref="D138">IFERROR(IF(SUMPRODUCT((expected_production[Site Name]=A138)*(expected_production[Date]=B138)*ISNUMBER(expected_production[Expected Production (kWh)]))=0,"",SUMIFS(expected_production[Expected Production (kWh)],expected_production[Site Name],A138,expected_production[Date],B138)),"")</f>
        <v>5424.3</v>
      </c>
      <c r="E138" s="9">
        <f t="shared" si="4"/>
        <v>0.68722231440001469</v>
      </c>
      <c r="F138" t="str">
        <f t="shared" si="5"/>
        <v>Poor</v>
      </c>
    </row>
    <row r="139" spans="1:7" ht="15" customHeight="1" x14ac:dyDescent="0.3">
      <c r="A139" t="s">
        <v>64</v>
      </c>
      <c r="B139" s="2">
        <v>46174</v>
      </c>
      <c r="C139" cm="1">
        <f t="array" ref="C139">IFERROR(IF(SUMPRODUCT((measured[Site Name]=A139)*(measured[Date]=B139)*ISNUMBER(measured[Measured Value (kWh)]))=0,"",SUMIFS(measured[Measured Value (kWh)],measured[Site Name],A139,measured[Date],B139)),"")</f>
        <v>3149</v>
      </c>
      <c r="D139" cm="1">
        <f t="array" ref="D139">IFERROR(IF(SUMPRODUCT((expected_production[Site Name]=A139)*(expected_production[Date]=B139)*ISNUMBER(expected_production[Expected Production (kWh)]))=0,"",SUMIFS(expected_production[Expected Production (kWh)],expected_production[Site Name],A139,expected_production[Date],B139)),"")</f>
        <v>4787.1000000000004</v>
      </c>
      <c r="E139" s="9">
        <f t="shared" si="4"/>
        <v>0.65780952977794482</v>
      </c>
      <c r="F139" t="str">
        <f t="shared" si="5"/>
        <v>Poor</v>
      </c>
    </row>
    <row r="140" spans="1:7" ht="15" customHeight="1" x14ac:dyDescent="0.3">
      <c r="A140" t="s">
        <v>250</v>
      </c>
      <c r="B140" s="2">
        <v>46204</v>
      </c>
      <c r="C140" cm="1">
        <f t="array" ref="C140">IFERROR(IF(SUMPRODUCT((measured[Site Name]=A140)*(measured[Date]=B140)*ISNUMBER(measured[Measured Value (kWh)]))=0,"",SUMIFS(measured[Measured Value (kWh)],measured[Site Name],A140,measured[Date],B140)),"")</f>
        <v>27942</v>
      </c>
      <c r="D140" cm="1">
        <f t="array" ref="D140">IFERROR(IF(SUMPRODUCT((expected_production[Site Name]=A140)*(expected_production[Date]=B140)*ISNUMBER(expected_production[Expected Production (kWh)]))=0,"",SUMIFS(expected_production[Expected Production (kWh)],expected_production[Site Name],A140,expected_production[Date],B140)),"")</f>
        <v>28051.200000000001</v>
      </c>
      <c r="E140" s="9">
        <f t="shared" si="4"/>
        <v>0.99610711841204647</v>
      </c>
      <c r="F140" t="str">
        <f t="shared" si="5"/>
        <v>Expected</v>
      </c>
      <c r="G140" t="s">
        <v>874</v>
      </c>
    </row>
    <row r="141" spans="1:7" ht="15" customHeight="1" x14ac:dyDescent="0.3">
      <c r="A141" t="s">
        <v>64</v>
      </c>
      <c r="B141" s="2">
        <v>46235</v>
      </c>
      <c r="C141" t="str" cm="1">
        <f t="array" ref="C141">IFERROR(IF(SUMPRODUCT((measured[Site Name]=A141)*(measured[Date]=B141)*ISNUMBER(measured[Measured Value (kWh)]))=0,"",SUMIFS(measured[Measured Value (kWh)],measured[Site Name],A141,measured[Date],B141)),"")</f>
        <v/>
      </c>
      <c r="D141" cm="1">
        <f t="array" ref="D141">IFERROR(IF(SUMPRODUCT((expected_production[Site Name]=A141)*(expected_production[Date]=B141)*ISNUMBER(expected_production[Expected Production (kWh)]))=0,"",SUMIFS(expected_production[Expected Production (kWh)],expected_production[Site Name],A141,expected_production[Date],B141)),"")</f>
        <v>6363</v>
      </c>
      <c r="E141" s="9" t="str">
        <f t="shared" si="4"/>
        <v/>
      </c>
      <c r="F141" t="str">
        <f t="shared" si="5"/>
        <v/>
      </c>
    </row>
    <row r="142" spans="1:7" ht="15" customHeight="1" x14ac:dyDescent="0.3">
      <c r="A142" t="s">
        <v>64</v>
      </c>
      <c r="B142" s="2">
        <v>46266</v>
      </c>
      <c r="C142" t="str" cm="1">
        <f t="array" ref="C142">IFERROR(IF(SUMPRODUCT((measured[Site Name]=A142)*(measured[Date]=B142)*ISNUMBER(measured[Measured Value (kWh)]))=0,"",SUMIFS(measured[Measured Value (kWh)],measured[Site Name],A142,measured[Date],B142)),"")</f>
        <v/>
      </c>
      <c r="D142" cm="1">
        <f t="array" ref="D142">IFERROR(IF(SUMPRODUCT((expected_production[Site Name]=A142)*(expected_production[Date]=B142)*ISNUMBER(expected_production[Expected Production (kWh)]))=0,"",SUMIFS(expected_production[Expected Production (kWh)],expected_production[Site Name],A142,expected_production[Date],B142)),"")</f>
        <v>7218.9</v>
      </c>
      <c r="E142" s="9" t="str">
        <f t="shared" si="4"/>
        <v/>
      </c>
      <c r="F142" t="str">
        <f t="shared" si="5"/>
        <v/>
      </c>
    </row>
    <row r="143" spans="1:7" ht="15" customHeight="1" x14ac:dyDescent="0.3">
      <c r="A143" t="s">
        <v>64</v>
      </c>
      <c r="B143" s="2">
        <v>46296</v>
      </c>
      <c r="C143" t="str" cm="1">
        <f t="array" ref="C143">IFERROR(IF(SUMPRODUCT((measured[Site Name]=A143)*(measured[Date]=B143)*ISNUMBER(measured[Measured Value (kWh)]))=0,"",SUMIFS(measured[Measured Value (kWh)],measured[Site Name],A143,measured[Date],B143)),"")</f>
        <v/>
      </c>
      <c r="D143" cm="1">
        <f t="array" ref="D143">IFERROR(IF(SUMPRODUCT((expected_production[Site Name]=A143)*(expected_production[Date]=B143)*ISNUMBER(expected_production[Expected Production (kWh)]))=0,"",SUMIFS(expected_production[Expected Production (kWh)],expected_production[Site Name],A143,expected_production[Date],B143)),"")</f>
        <v>7839</v>
      </c>
      <c r="E143" s="9" t="str">
        <f t="shared" si="4"/>
        <v/>
      </c>
      <c r="F143" t="str">
        <f t="shared" si="5"/>
        <v/>
      </c>
    </row>
    <row r="144" spans="1:7" ht="15" customHeight="1" x14ac:dyDescent="0.3">
      <c r="A144" t="s">
        <v>64</v>
      </c>
      <c r="B144" s="2">
        <v>46327</v>
      </c>
      <c r="C144" t="str" cm="1">
        <f t="array" ref="C144">IFERROR(IF(SUMPRODUCT((measured[Site Name]=A144)*(measured[Date]=B144)*ISNUMBER(measured[Measured Value (kWh)]))=0,"",SUMIFS(measured[Measured Value (kWh)],measured[Site Name],A144,measured[Date],B144)),"")</f>
        <v/>
      </c>
      <c r="D144" cm="1">
        <f t="array" ref="D144">IFERROR(IF(SUMPRODUCT((expected_production[Site Name]=A144)*(expected_production[Date]=B144)*ISNUMBER(expected_production[Expected Production (kWh)]))=0,"",SUMIFS(expected_production[Expected Production (kWh)],expected_production[Site Name],A144,expected_production[Date],B144)),"")</f>
        <v>8191.8</v>
      </c>
      <c r="E144" s="9" t="str">
        <f t="shared" si="4"/>
        <v/>
      </c>
      <c r="F144" t="str">
        <f t="shared" si="5"/>
        <v/>
      </c>
    </row>
    <row r="145" spans="1:6" ht="15" customHeight="1" x14ac:dyDescent="0.3">
      <c r="A145" t="s">
        <v>64</v>
      </c>
      <c r="B145" s="2">
        <v>46357</v>
      </c>
      <c r="C145" t="str" cm="1">
        <f t="array" ref="C145">IFERROR(IF(SUMPRODUCT((measured[Site Name]=A145)*(measured[Date]=B145)*ISNUMBER(measured[Measured Value (kWh)]))=0,"",SUMIFS(measured[Measured Value (kWh)],measured[Site Name],A145,measured[Date],B145)),"")</f>
        <v/>
      </c>
      <c r="D145" cm="1">
        <f t="array" ref="D145">IFERROR(IF(SUMPRODUCT((expected_production[Site Name]=A145)*(expected_production[Date]=B145)*ISNUMBER(expected_production[Expected Production (kWh)]))=0,"",SUMIFS(expected_production[Expected Production (kWh)],expected_production[Site Name],A145,expected_production[Date],B145)),"")</f>
        <v>8227.7999999999993</v>
      </c>
      <c r="E145" s="9" t="str">
        <f t="shared" si="4"/>
        <v/>
      </c>
      <c r="F145" t="str">
        <f t="shared" si="5"/>
        <v/>
      </c>
    </row>
    <row r="146" spans="1:6" ht="15" customHeight="1" x14ac:dyDescent="0.3">
      <c r="A146" t="s">
        <v>55</v>
      </c>
      <c r="B146" s="2">
        <v>45292</v>
      </c>
      <c r="C146" cm="1">
        <f t="array" ref="C146">IFERROR(IF(SUMPRODUCT((measured[Site Name]=A146)*(measured[Date]=B146)*ISNUMBER(measured[Measured Value (kWh)]))=0,"",SUMIFS(measured[Measured Value (kWh)],measured[Site Name],A146,measured[Date],B146)),"")</f>
        <v>7453</v>
      </c>
      <c r="D146" cm="1">
        <f t="array" ref="D146">IFERROR(IF(SUMPRODUCT((expected_production[Site Name]=A146)*(expected_production[Date]=B146)*ISNUMBER(expected_production[Expected Production (kWh)]))=0,"",SUMIFS(expected_production[Expected Production (kWh)],expected_production[Site Name],A146,expected_production[Date],B146)),"")</f>
        <v>16262.2</v>
      </c>
      <c r="E146" s="9">
        <f t="shared" si="4"/>
        <v>0.45830207475003382</v>
      </c>
      <c r="F146" t="str">
        <f t="shared" si="5"/>
        <v>Poor</v>
      </c>
    </row>
    <row r="147" spans="1:6" ht="15" customHeight="1" x14ac:dyDescent="0.3">
      <c r="A147" t="s">
        <v>55</v>
      </c>
      <c r="B147" s="2">
        <v>45323</v>
      </c>
      <c r="C147" cm="1">
        <f t="array" ref="C147">IFERROR(IF(SUMPRODUCT((measured[Site Name]=A147)*(measured[Date]=B147)*ISNUMBER(measured[Measured Value (kWh)]))=0,"",SUMIFS(measured[Measured Value (kWh)],measured[Site Name],A147,measured[Date],B147)),"")</f>
        <v>10174</v>
      </c>
      <c r="D147" cm="1">
        <f t="array" ref="D147">IFERROR(IF(SUMPRODUCT((expected_production[Site Name]=A147)*(expected_production[Date]=B147)*ISNUMBER(expected_production[Expected Production (kWh)]))=0,"",SUMIFS(expected_production[Expected Production (kWh)],expected_production[Site Name],A147,expected_production[Date],B147)),"")</f>
        <v>13986.75</v>
      </c>
      <c r="E147" s="9">
        <f t="shared" si="4"/>
        <v>0.72740272043183729</v>
      </c>
      <c r="F147" t="str">
        <f t="shared" si="5"/>
        <v>Moderate</v>
      </c>
    </row>
    <row r="148" spans="1:6" ht="15" customHeight="1" x14ac:dyDescent="0.3">
      <c r="A148" t="s">
        <v>55</v>
      </c>
      <c r="B148" s="2">
        <v>45352</v>
      </c>
      <c r="C148" cm="1">
        <f t="array" ref="C148">IFERROR(IF(SUMPRODUCT((measured[Site Name]=A148)*(measured[Date]=B148)*ISNUMBER(measured[Measured Value (kWh)]))=0,"",SUMIFS(measured[Measured Value (kWh)],measured[Site Name],A148,measured[Date],B148)),"")</f>
        <v>12197</v>
      </c>
      <c r="D148" cm="1">
        <f t="array" ref="D148">IFERROR(IF(SUMPRODUCT((expected_production[Site Name]=A148)*(expected_production[Date]=B148)*ISNUMBER(expected_production[Expected Production (kWh)]))=0,"",SUMIFS(expected_production[Expected Production (kWh)],expected_production[Site Name],A148,expected_production[Date],B148)),"")</f>
        <v>15463.2</v>
      </c>
      <c r="E148" s="9">
        <f t="shared" si="4"/>
        <v>0.78877593253660294</v>
      </c>
      <c r="F148" t="str">
        <f t="shared" si="5"/>
        <v>Moderate</v>
      </c>
    </row>
    <row r="149" spans="1:6" ht="15" customHeight="1" x14ac:dyDescent="0.3">
      <c r="A149" t="s">
        <v>55</v>
      </c>
      <c r="B149" s="2">
        <v>45383</v>
      </c>
      <c r="C149" cm="1">
        <f t="array" ref="C149">IFERROR(IF(SUMPRODUCT((measured[Site Name]=A149)*(measured[Date]=B149)*ISNUMBER(measured[Measured Value (kWh)]))=0,"",SUMIFS(measured[Measured Value (kWh)],measured[Site Name],A149,measured[Date],B149)),"")</f>
        <v>9850</v>
      </c>
      <c r="D149" cm="1">
        <f t="array" ref="D149">IFERROR(IF(SUMPRODUCT((expected_production[Site Name]=A149)*(expected_production[Date]=B149)*ISNUMBER(expected_production[Expected Production (kWh)]))=0,"",SUMIFS(expected_production[Expected Production (kWh)],expected_production[Site Name],A149,expected_production[Date],B149)),"")</f>
        <v>14886.05</v>
      </c>
      <c r="E149" s="9">
        <f t="shared" si="4"/>
        <v>0.66169333033276123</v>
      </c>
      <c r="F149" t="str">
        <f t="shared" si="5"/>
        <v>Poor</v>
      </c>
    </row>
    <row r="150" spans="1:6" ht="15" customHeight="1" x14ac:dyDescent="0.3">
      <c r="A150" t="s">
        <v>55</v>
      </c>
      <c r="B150" s="2">
        <v>45413</v>
      </c>
      <c r="C150" cm="1">
        <f t="array" ref="C150">IFERROR(IF(SUMPRODUCT((measured[Site Name]=A150)*(measured[Date]=B150)*ISNUMBER(measured[Measured Value (kWh)]))=0,"",SUMIFS(measured[Measured Value (kWh)],measured[Site Name],A150,measured[Date],B150)),"")</f>
        <v>10329</v>
      </c>
      <c r="D150" cm="1">
        <f t="array" ref="D150">IFERROR(IF(SUMPRODUCT((expected_production[Site Name]=A150)*(expected_production[Date]=B150)*ISNUMBER(expected_production[Expected Production (kWh)]))=0,"",SUMIFS(expected_production[Expected Production (kWh)],expected_production[Site Name],A150,expected_production[Date],B150)),"")</f>
        <v>14411.75</v>
      </c>
      <c r="E150" s="9">
        <f t="shared" si="4"/>
        <v>0.71670685378250387</v>
      </c>
      <c r="F150" t="str">
        <f t="shared" si="5"/>
        <v>Moderate</v>
      </c>
    </row>
    <row r="151" spans="1:6" ht="15" customHeight="1" x14ac:dyDescent="0.3">
      <c r="A151" t="s">
        <v>55</v>
      </c>
      <c r="B151" s="2">
        <v>45444</v>
      </c>
      <c r="C151" cm="1">
        <f t="array" ref="C151">IFERROR(IF(SUMPRODUCT((measured[Site Name]=A151)*(measured[Date]=B151)*ISNUMBER(measured[Measured Value (kWh)]))=0,"",SUMIFS(measured[Measured Value (kWh)],measured[Site Name],A151,measured[Date],B151)),"")</f>
        <v>9684</v>
      </c>
      <c r="D151" cm="1">
        <f t="array" ref="D151">IFERROR(IF(SUMPRODUCT((expected_production[Site Name]=A151)*(expected_production[Date]=B151)*ISNUMBER(expected_production[Expected Production (kWh)]))=0,"",SUMIFS(expected_production[Expected Production (kWh)],expected_production[Site Name],A151,expected_production[Date],B151)),"")</f>
        <v>13050.05</v>
      </c>
      <c r="E151" s="9">
        <f t="shared" si="4"/>
        <v>0.74206612235202163</v>
      </c>
      <c r="F151" t="str">
        <f t="shared" si="5"/>
        <v>Moderate</v>
      </c>
    </row>
    <row r="152" spans="1:6" ht="15" customHeight="1" x14ac:dyDescent="0.3">
      <c r="A152" t="s">
        <v>55</v>
      </c>
      <c r="B152" s="2">
        <v>45474</v>
      </c>
      <c r="C152" cm="1">
        <f t="array" ref="C152">IFERROR(IF(SUMPRODUCT((measured[Site Name]=A152)*(measured[Date]=B152)*ISNUMBER(measured[Measured Value (kWh)]))=0,"",SUMIFS(measured[Measured Value (kWh)],measured[Site Name],A152,measured[Date],B152)),"")</f>
        <v>10193</v>
      </c>
      <c r="D152" cm="1">
        <f t="array" ref="D152">IFERROR(IF(SUMPRODUCT((expected_production[Site Name]=A152)*(expected_production[Date]=B152)*ISNUMBER(expected_production[Expected Production (kWh)]))=0,"",SUMIFS(expected_production[Expected Production (kWh)],expected_production[Site Name],A152,expected_production[Date],B152)),"")</f>
        <v>13735.15</v>
      </c>
      <c r="E152" s="9">
        <f t="shared" si="4"/>
        <v>0.74211057032504202</v>
      </c>
      <c r="F152" t="str">
        <f t="shared" si="5"/>
        <v>Moderate</v>
      </c>
    </row>
    <row r="153" spans="1:6" ht="15" customHeight="1" x14ac:dyDescent="0.3">
      <c r="A153" t="s">
        <v>55</v>
      </c>
      <c r="B153" s="2">
        <v>45505</v>
      </c>
      <c r="C153" cm="1">
        <f t="array" ref="C153">IFERROR(IF(SUMPRODUCT((measured[Site Name]=A153)*(measured[Date]=B153)*ISNUMBER(measured[Measured Value (kWh)]))=0,"",SUMIFS(measured[Measured Value (kWh)],measured[Site Name],A153,measured[Date],B153)),"")</f>
        <v>9840</v>
      </c>
      <c r="D153" cm="1">
        <f t="array" ref="D153">IFERROR(IF(SUMPRODUCT((expected_production[Site Name]=A153)*(expected_production[Date]=B153)*ISNUMBER(expected_production[Expected Production (kWh)]))=0,"",SUMIFS(expected_production[Expected Production (kWh)],expected_production[Site Name],A153,expected_production[Date],B153)),"")</f>
        <v>15350.15</v>
      </c>
      <c r="E153" s="9">
        <f t="shared" si="4"/>
        <v>0.64103608108064092</v>
      </c>
      <c r="F153" t="str">
        <f t="shared" si="5"/>
        <v>Poor</v>
      </c>
    </row>
    <row r="154" spans="1:6" ht="15" customHeight="1" x14ac:dyDescent="0.3">
      <c r="A154" t="s">
        <v>55</v>
      </c>
      <c r="B154" s="2">
        <v>45536</v>
      </c>
      <c r="C154" cm="1">
        <f t="array" ref="C154">IFERROR(IF(SUMPRODUCT((measured[Site Name]=A154)*(measured[Date]=B154)*ISNUMBER(measured[Measured Value (kWh)]))=0,"",SUMIFS(measured[Measured Value (kWh)],measured[Site Name],A154,measured[Date],B154)),"")</f>
        <v>3277</v>
      </c>
      <c r="D154" cm="1">
        <f t="array" ref="D154">IFERROR(IF(SUMPRODUCT((expected_production[Site Name]=A154)*(expected_production[Date]=B154)*ISNUMBER(expected_production[Expected Production (kWh)]))=0,"",SUMIFS(expected_production[Expected Production (kWh)],expected_production[Site Name],A154,expected_production[Date],B154)),"")</f>
        <v>15431.75</v>
      </c>
      <c r="E154" s="9">
        <f t="shared" si="4"/>
        <v>0.21235439920942215</v>
      </c>
      <c r="F154" t="str">
        <f t="shared" si="5"/>
        <v>Poor</v>
      </c>
    </row>
    <row r="155" spans="1:6" ht="15" customHeight="1" x14ac:dyDescent="0.3">
      <c r="A155" t="s">
        <v>55</v>
      </c>
      <c r="B155" s="2">
        <v>45566</v>
      </c>
      <c r="C155" cm="1">
        <f t="array" ref="C155">IFERROR(IF(SUMPRODUCT((measured[Site Name]=A155)*(measured[Date]=B155)*ISNUMBER(measured[Measured Value (kWh)]))=0,"",SUMIFS(measured[Measured Value (kWh)],measured[Site Name],A155,measured[Date],B155)),"")</f>
        <v>12496</v>
      </c>
      <c r="D155" cm="1">
        <f t="array" ref="D155">IFERROR(IF(SUMPRODUCT((expected_production[Site Name]=A155)*(expected_production[Date]=B155)*ISNUMBER(expected_production[Expected Production (kWh)]))=0,"",SUMIFS(expected_production[Expected Production (kWh)],expected_production[Site Name],A155,expected_production[Date],B155)),"")</f>
        <v>14821.45</v>
      </c>
      <c r="E155" s="9">
        <f t="shared" si="4"/>
        <v>0.84310239551460886</v>
      </c>
      <c r="F155" t="str">
        <f t="shared" si="5"/>
        <v>Moderate</v>
      </c>
    </row>
    <row r="156" spans="1:6" ht="15" customHeight="1" x14ac:dyDescent="0.3">
      <c r="A156" t="s">
        <v>55</v>
      </c>
      <c r="B156" s="2">
        <v>45597</v>
      </c>
      <c r="C156" cm="1">
        <f t="array" ref="C156">IFERROR(IF(SUMPRODUCT((measured[Site Name]=A156)*(measured[Date]=B156)*ISNUMBER(measured[Measured Value (kWh)]))=0,"",SUMIFS(measured[Measured Value (kWh)],measured[Site Name],A156,measured[Date],B156)),"")</f>
        <v>12909</v>
      </c>
      <c r="D156" cm="1">
        <f t="array" ref="D156">IFERROR(IF(SUMPRODUCT((expected_production[Site Name]=A156)*(expected_production[Date]=B156)*ISNUMBER(expected_production[Expected Production (kWh)]))=0,"",SUMIFS(expected_production[Expected Production (kWh)],expected_production[Site Name],A156,expected_production[Date],B156)),"")</f>
        <v>14695.65</v>
      </c>
      <c r="E156" s="9">
        <f t="shared" si="4"/>
        <v>0.87842320686733832</v>
      </c>
      <c r="F156" t="str">
        <f t="shared" si="5"/>
        <v>Moderate</v>
      </c>
    </row>
    <row r="157" spans="1:6" ht="15" customHeight="1" x14ac:dyDescent="0.3">
      <c r="A157" t="s">
        <v>55</v>
      </c>
      <c r="B157" s="2">
        <v>45627</v>
      </c>
      <c r="C157" cm="1">
        <f t="array" ref="C157">IFERROR(IF(SUMPRODUCT((measured[Site Name]=A157)*(measured[Date]=B157)*ISNUMBER(measured[Measured Value (kWh)]))=0,"",SUMIFS(measured[Measured Value (kWh)],measured[Site Name],A157,measured[Date],B157)),"")</f>
        <v>12587</v>
      </c>
      <c r="D157" cm="1">
        <f t="array" ref="D157">IFERROR(IF(SUMPRODUCT((expected_production[Site Name]=A157)*(expected_production[Date]=B157)*ISNUMBER(expected_production[Expected Production (kWh)]))=0,"",SUMIFS(expected_production[Expected Production (kWh)],expected_production[Site Name],A157,expected_production[Date],B157)),"")</f>
        <v>16154.25</v>
      </c>
      <c r="E157" s="9">
        <f t="shared" si="4"/>
        <v>0.77917575870127054</v>
      </c>
      <c r="F157" t="str">
        <f t="shared" si="5"/>
        <v>Moderate</v>
      </c>
    </row>
    <row r="158" spans="1:6" ht="15" customHeight="1" x14ac:dyDescent="0.3">
      <c r="A158" t="s">
        <v>55</v>
      </c>
      <c r="B158" s="2">
        <v>45658</v>
      </c>
      <c r="C158" cm="1">
        <f t="array" ref="C158">IFERROR(IF(SUMPRODUCT((measured[Site Name]=A158)*(measured[Date]=B158)*ISNUMBER(measured[Measured Value (kWh)]))=0,"",SUMIFS(measured[Measured Value (kWh)],measured[Site Name],A158,measured[Date],B158)),"")</f>
        <v>13816</v>
      </c>
      <c r="D158" cm="1">
        <f t="array" ref="D158">IFERROR(IF(SUMPRODUCT((expected_production[Site Name]=A158)*(expected_production[Date]=B158)*ISNUMBER(expected_production[Expected Production (kWh)]))=0,"",SUMIFS(expected_production[Expected Production (kWh)],expected_production[Site Name],A158,expected_production[Date],B158)),"")</f>
        <v>16262.2</v>
      </c>
      <c r="E158" s="9">
        <f t="shared" si="4"/>
        <v>0.84957754793324392</v>
      </c>
      <c r="F158" t="str">
        <f t="shared" si="5"/>
        <v>Moderate</v>
      </c>
    </row>
    <row r="159" spans="1:6" ht="15" customHeight="1" x14ac:dyDescent="0.3">
      <c r="A159" t="s">
        <v>55</v>
      </c>
      <c r="B159" s="2">
        <v>45689</v>
      </c>
      <c r="C159" cm="1">
        <f t="array" ref="C159">IFERROR(IF(SUMPRODUCT((measured[Site Name]=A159)*(measured[Date]=B159)*ISNUMBER(measured[Measured Value (kWh)]))=0,"",SUMIFS(measured[Measured Value (kWh)],measured[Site Name],A159,measured[Date],B159)),"")</f>
        <v>11397</v>
      </c>
      <c r="D159" cm="1">
        <f t="array" ref="D159">IFERROR(IF(SUMPRODUCT((expected_production[Site Name]=A159)*(expected_production[Date]=B159)*ISNUMBER(expected_production[Expected Production (kWh)]))=0,"",SUMIFS(expected_production[Expected Production (kWh)],expected_production[Site Name],A159,expected_production[Date],B159)),"")</f>
        <v>13986.75</v>
      </c>
      <c r="E159" s="9">
        <f t="shared" si="4"/>
        <v>0.81484261890718002</v>
      </c>
      <c r="F159" t="str">
        <f t="shared" si="5"/>
        <v>Moderate</v>
      </c>
    </row>
    <row r="160" spans="1:6" ht="15" customHeight="1" x14ac:dyDescent="0.3">
      <c r="A160" t="s">
        <v>55</v>
      </c>
      <c r="B160" s="2">
        <v>45717</v>
      </c>
      <c r="C160" cm="1">
        <f t="array" ref="C160">IFERROR(IF(SUMPRODUCT((measured[Site Name]=A160)*(measured[Date]=B160)*ISNUMBER(measured[Measured Value (kWh)]))=0,"",SUMIFS(measured[Measured Value (kWh)],measured[Site Name],A160,measured[Date],B160)),"")</f>
        <v>12740</v>
      </c>
      <c r="D160" cm="1">
        <f t="array" ref="D160">IFERROR(IF(SUMPRODUCT((expected_production[Site Name]=A160)*(expected_production[Date]=B160)*ISNUMBER(expected_production[Expected Production (kWh)]))=0,"",SUMIFS(expected_production[Expected Production (kWh)],expected_production[Site Name],A160,expected_production[Date],B160)),"")</f>
        <v>15463.2</v>
      </c>
      <c r="E160" s="9">
        <f t="shared" ref="E160:E223" si="6">IF(OR(C160="",D160="",D160=0),"",C160/D160)</f>
        <v>0.82389156190180557</v>
      </c>
      <c r="F160" t="str">
        <f t="shared" ref="F160:F223" si="7">IF(E160="","",IF(E160&gt;=0.9,"Expected",IF(E160&gt;=0.7,"Moderate","Poor")))</f>
        <v>Moderate</v>
      </c>
    </row>
    <row r="161" spans="1:7" ht="15" customHeight="1" x14ac:dyDescent="0.3">
      <c r="A161" t="s">
        <v>55</v>
      </c>
      <c r="B161" s="2">
        <v>45748</v>
      </c>
      <c r="C161" cm="1">
        <f t="array" ref="C161">IFERROR(IF(SUMPRODUCT((measured[Site Name]=A161)*(measured[Date]=B161)*ISNUMBER(measured[Measured Value (kWh)]))=0,"",SUMIFS(measured[Measured Value (kWh)],measured[Site Name],A161,measured[Date],B161)),"")</f>
        <v>9167</v>
      </c>
      <c r="D161" cm="1">
        <f t="array" ref="D161">IFERROR(IF(SUMPRODUCT((expected_production[Site Name]=A161)*(expected_production[Date]=B161)*ISNUMBER(expected_production[Expected Production (kWh)]))=0,"",SUMIFS(expected_production[Expected Production (kWh)],expected_production[Site Name],A161,expected_production[Date],B161)),"")</f>
        <v>14886.05</v>
      </c>
      <c r="E161" s="9">
        <f t="shared" si="6"/>
        <v>0.61581144763049978</v>
      </c>
      <c r="F161" t="str">
        <f t="shared" si="7"/>
        <v>Poor</v>
      </c>
    </row>
    <row r="162" spans="1:7" ht="15" customHeight="1" x14ac:dyDescent="0.3">
      <c r="A162" t="s">
        <v>55</v>
      </c>
      <c r="B162" s="2">
        <v>45778</v>
      </c>
      <c r="C162" cm="1">
        <f t="array" ref="C162">IFERROR(IF(SUMPRODUCT((measured[Site Name]=A162)*(measured[Date]=B162)*ISNUMBER(measured[Measured Value (kWh)]))=0,"",SUMIFS(measured[Measured Value (kWh)],measured[Site Name],A162,measured[Date],B162)),"")</f>
        <v>9630</v>
      </c>
      <c r="D162" cm="1">
        <f t="array" ref="D162">IFERROR(IF(SUMPRODUCT((expected_production[Site Name]=A162)*(expected_production[Date]=B162)*ISNUMBER(expected_production[Expected Production (kWh)]))=0,"",SUMIFS(expected_production[Expected Production (kWh)],expected_production[Site Name],A162,expected_production[Date],B162)),"")</f>
        <v>14411.75</v>
      </c>
      <c r="E162" s="9">
        <f t="shared" si="6"/>
        <v>0.6682047634742484</v>
      </c>
      <c r="F162" t="str">
        <f t="shared" si="7"/>
        <v>Poor</v>
      </c>
    </row>
    <row r="163" spans="1:7" ht="15" customHeight="1" x14ac:dyDescent="0.3">
      <c r="A163" t="s">
        <v>55</v>
      </c>
      <c r="B163" s="2">
        <v>45809</v>
      </c>
      <c r="C163" cm="1">
        <f t="array" ref="C163">IFERROR(IF(SUMPRODUCT((measured[Site Name]=A163)*(measured[Date]=B163)*ISNUMBER(measured[Measured Value (kWh)]))=0,"",SUMIFS(measured[Measured Value (kWh)],measured[Site Name],A163,measured[Date],B163)),"")</f>
        <v>9081.44</v>
      </c>
      <c r="D163" cm="1">
        <f t="array" ref="D163">IFERROR(IF(SUMPRODUCT((expected_production[Site Name]=A163)*(expected_production[Date]=B163)*ISNUMBER(expected_production[Expected Production (kWh)]))=0,"",SUMIFS(expected_production[Expected Production (kWh)],expected_production[Site Name],A163,expected_production[Date],B163)),"")</f>
        <v>13050.05</v>
      </c>
      <c r="E163" s="9">
        <f t="shared" si="6"/>
        <v>0.69589311918345154</v>
      </c>
      <c r="F163" t="str">
        <f t="shared" si="7"/>
        <v>Poor</v>
      </c>
    </row>
    <row r="164" spans="1:7" ht="15" customHeight="1" x14ac:dyDescent="0.3">
      <c r="A164" t="s">
        <v>55</v>
      </c>
      <c r="B164" s="2">
        <v>45839</v>
      </c>
      <c r="C164" cm="1">
        <f t="array" ref="C164">IFERROR(IF(SUMPRODUCT((measured[Site Name]=A164)*(measured[Date]=B164)*ISNUMBER(measured[Measured Value (kWh)]))=0,"",SUMIFS(measured[Measured Value (kWh)],measured[Site Name],A164,measured[Date],B164)),"")</f>
        <v>9450</v>
      </c>
      <c r="D164" cm="1">
        <f t="array" ref="D164">IFERROR(IF(SUMPRODUCT((expected_production[Site Name]=A164)*(expected_production[Date]=B164)*ISNUMBER(expected_production[Expected Production (kWh)]))=0,"",SUMIFS(expected_production[Expected Production (kWh)],expected_production[Site Name],A164,expected_production[Date],B164)),"")</f>
        <v>13735.15</v>
      </c>
      <c r="E164" s="9">
        <f t="shared" si="6"/>
        <v>0.68801578431979271</v>
      </c>
      <c r="F164" t="str">
        <f t="shared" si="7"/>
        <v>Poor</v>
      </c>
    </row>
    <row r="165" spans="1:7" ht="15" customHeight="1" x14ac:dyDescent="0.3">
      <c r="A165" t="s">
        <v>55</v>
      </c>
      <c r="B165" s="2">
        <v>45870</v>
      </c>
      <c r="C165" cm="1">
        <f t="array" ref="C165">IFERROR(IF(SUMPRODUCT((measured[Site Name]=A165)*(measured[Date]=B165)*ISNUMBER(measured[Measured Value (kWh)]))=0,"",SUMIFS(measured[Measured Value (kWh)],measured[Site Name],A165,measured[Date],B165)),"")</f>
        <v>10695</v>
      </c>
      <c r="D165" cm="1">
        <f t="array" ref="D165">IFERROR(IF(SUMPRODUCT((expected_production[Site Name]=A165)*(expected_production[Date]=B165)*ISNUMBER(expected_production[Expected Production (kWh)]))=0,"",SUMIFS(expected_production[Expected Production (kWh)],expected_production[Site Name],A165,expected_production[Date],B165)),"")</f>
        <v>15350.15</v>
      </c>
      <c r="E165" s="9">
        <f t="shared" si="6"/>
        <v>0.6967358625160015</v>
      </c>
      <c r="F165" t="str">
        <f t="shared" si="7"/>
        <v>Poor</v>
      </c>
    </row>
    <row r="166" spans="1:7" ht="15" customHeight="1" x14ac:dyDescent="0.3">
      <c r="A166" t="s">
        <v>55</v>
      </c>
      <c r="B166" s="2">
        <v>45901</v>
      </c>
      <c r="C166" cm="1">
        <f t="array" ref="C166">IFERROR(IF(SUMPRODUCT((measured[Site Name]=A166)*(measured[Date]=B166)*ISNUMBER(measured[Measured Value (kWh)]))=0,"",SUMIFS(measured[Measured Value (kWh)],measured[Site Name],A166,measured[Date],B166)),"")</f>
        <v>8585</v>
      </c>
      <c r="D166" cm="1">
        <f t="array" ref="D166">IFERROR(IF(SUMPRODUCT((expected_production[Site Name]=A166)*(expected_production[Date]=B166)*ISNUMBER(expected_production[Expected Production (kWh)]))=0,"",SUMIFS(expected_production[Expected Production (kWh)],expected_production[Site Name],A166,expected_production[Date],B166)),"")</f>
        <v>15431.75</v>
      </c>
      <c r="E166" s="9">
        <f t="shared" si="6"/>
        <v>0.55632057284494629</v>
      </c>
      <c r="F166" t="str">
        <f t="shared" si="7"/>
        <v>Poor</v>
      </c>
    </row>
    <row r="167" spans="1:7" ht="15" customHeight="1" x14ac:dyDescent="0.3">
      <c r="A167" t="s">
        <v>55</v>
      </c>
      <c r="B167" s="2">
        <v>45931</v>
      </c>
      <c r="C167" cm="1">
        <f t="array" ref="C167">IFERROR(IF(SUMPRODUCT((measured[Site Name]=A167)*(measured[Date]=B167)*ISNUMBER(measured[Measured Value (kWh)]))=0,"",SUMIFS(measured[Measured Value (kWh)],measured[Site Name],A167,measured[Date],B167)),"")</f>
        <v>9077.9</v>
      </c>
      <c r="D167" cm="1">
        <f t="array" ref="D167">IFERROR(IF(SUMPRODUCT((expected_production[Site Name]=A167)*(expected_production[Date]=B167)*ISNUMBER(expected_production[Expected Production (kWh)]))=0,"",SUMIFS(expected_production[Expected Production (kWh)],expected_production[Site Name],A167,expected_production[Date],B167)),"")</f>
        <v>14821.45</v>
      </c>
      <c r="E167" s="9">
        <f t="shared" si="6"/>
        <v>0.61248393375816801</v>
      </c>
      <c r="F167" t="str">
        <f t="shared" si="7"/>
        <v>Poor</v>
      </c>
    </row>
    <row r="168" spans="1:7" ht="15" customHeight="1" x14ac:dyDescent="0.3">
      <c r="A168" t="s">
        <v>55</v>
      </c>
      <c r="B168" s="2">
        <v>45962</v>
      </c>
      <c r="C168" cm="1">
        <f t="array" ref="C168">IFERROR(IF(SUMPRODUCT((measured[Site Name]=A168)*(measured[Date]=B168)*ISNUMBER(measured[Measured Value (kWh)]))=0,"",SUMIFS(measured[Measured Value (kWh)],measured[Site Name],A168,measured[Date],B168)),"")</f>
        <v>10382</v>
      </c>
      <c r="D168" cm="1">
        <f t="array" ref="D168">IFERROR(IF(SUMPRODUCT((expected_production[Site Name]=A168)*(expected_production[Date]=B168)*ISNUMBER(expected_production[Expected Production (kWh)]))=0,"",SUMIFS(expected_production[Expected Production (kWh)],expected_production[Site Name],A168,expected_production[Date],B168)),"")</f>
        <v>14695.65</v>
      </c>
      <c r="E168" s="9">
        <f t="shared" si="6"/>
        <v>0.70646756012833734</v>
      </c>
      <c r="F168" t="str">
        <f t="shared" si="7"/>
        <v>Moderate</v>
      </c>
    </row>
    <row r="169" spans="1:7" ht="15" customHeight="1" x14ac:dyDescent="0.3">
      <c r="A169" t="s">
        <v>55</v>
      </c>
      <c r="B169" s="2">
        <v>45992</v>
      </c>
      <c r="C169" cm="1">
        <f t="array" ref="C169">IFERROR(IF(SUMPRODUCT((measured[Site Name]=A169)*(measured[Date]=B169)*ISNUMBER(measured[Measured Value (kWh)]))=0,"",SUMIFS(measured[Measured Value (kWh)],measured[Site Name],A169,measured[Date],B169)),"")</f>
        <v>13631</v>
      </c>
      <c r="D169" cm="1">
        <f t="array" ref="D169">IFERROR(IF(SUMPRODUCT((expected_production[Site Name]=A169)*(expected_production[Date]=B169)*ISNUMBER(expected_production[Expected Production (kWh)]))=0,"",SUMIFS(expected_production[Expected Production (kWh)],expected_production[Site Name],A169,expected_production[Date],B169)),"")</f>
        <v>16154.25</v>
      </c>
      <c r="E169" s="9">
        <f t="shared" si="6"/>
        <v>0.84380271445594812</v>
      </c>
      <c r="F169" t="str">
        <f t="shared" si="7"/>
        <v>Moderate</v>
      </c>
    </row>
    <row r="170" spans="1:7" ht="15" customHeight="1" x14ac:dyDescent="0.3">
      <c r="A170" t="s">
        <v>55</v>
      </c>
      <c r="B170" s="2">
        <v>46023</v>
      </c>
      <c r="C170" cm="1">
        <f t="array" ref="C170">IFERROR(IF(SUMPRODUCT((measured[Site Name]=A170)*(measured[Date]=B170)*ISNUMBER(measured[Measured Value (kWh)]))=0,"",SUMIFS(measured[Measured Value (kWh)],measured[Site Name],A170,measured[Date],B170)),"")</f>
        <v>11296</v>
      </c>
      <c r="D170" cm="1">
        <f t="array" ref="D170">IFERROR(IF(SUMPRODUCT((expected_production[Site Name]=A170)*(expected_production[Date]=B170)*ISNUMBER(expected_production[Expected Production (kWh)]))=0,"",SUMIFS(expected_production[Expected Production (kWh)],expected_production[Site Name],A170,expected_production[Date],B170)),"")</f>
        <v>16262.2</v>
      </c>
      <c r="E170" s="9">
        <f t="shared" si="6"/>
        <v>0.69461696449434884</v>
      </c>
      <c r="F170" t="str">
        <f t="shared" si="7"/>
        <v>Poor</v>
      </c>
    </row>
    <row r="171" spans="1:7" ht="15" customHeight="1" x14ac:dyDescent="0.3">
      <c r="A171" t="s">
        <v>55</v>
      </c>
      <c r="B171" s="2">
        <v>46054</v>
      </c>
      <c r="C171" cm="1">
        <f t="array" ref="C171">IFERROR(IF(SUMPRODUCT((measured[Site Name]=A171)*(measured[Date]=B171)*ISNUMBER(measured[Measured Value (kWh)]))=0,"",SUMIFS(measured[Measured Value (kWh)],measured[Site Name],A171,measured[Date],B171)),"")</f>
        <v>11241.78046</v>
      </c>
      <c r="D171" cm="1">
        <f t="array" ref="D171">IFERROR(IF(SUMPRODUCT((expected_production[Site Name]=A171)*(expected_production[Date]=B171)*ISNUMBER(expected_production[Expected Production (kWh)]))=0,"",SUMIFS(expected_production[Expected Production (kWh)],expected_production[Site Name],A171,expected_production[Date],B171)),"")</f>
        <v>13986.75</v>
      </c>
      <c r="E171" s="9">
        <f t="shared" si="6"/>
        <v>0.80374500580906927</v>
      </c>
      <c r="F171" t="str">
        <f t="shared" si="7"/>
        <v>Moderate</v>
      </c>
    </row>
    <row r="172" spans="1:7" ht="15" customHeight="1" x14ac:dyDescent="0.3">
      <c r="A172" t="s">
        <v>55</v>
      </c>
      <c r="B172" s="2">
        <v>46082</v>
      </c>
      <c r="C172" cm="1">
        <f t="array" ref="C172">IFERROR(IF(SUMPRODUCT((measured[Site Name]=A172)*(measured[Date]=B172)*ISNUMBER(measured[Measured Value (kWh)]))=0,"",SUMIFS(measured[Measured Value (kWh)],measured[Site Name],A172,measured[Date],B172)),"")</f>
        <v>10628</v>
      </c>
      <c r="D172" cm="1">
        <f t="array" ref="D172">IFERROR(IF(SUMPRODUCT((expected_production[Site Name]=A172)*(expected_production[Date]=B172)*ISNUMBER(expected_production[Expected Production (kWh)]))=0,"",SUMIFS(expected_production[Expected Production (kWh)],expected_production[Site Name],A172,expected_production[Date],B172)),"")</f>
        <v>15463.2</v>
      </c>
      <c r="E172" s="9">
        <f t="shared" si="6"/>
        <v>0.68730922448134923</v>
      </c>
      <c r="F172" t="str">
        <f t="shared" si="7"/>
        <v>Poor</v>
      </c>
    </row>
    <row r="173" spans="1:7" ht="15" customHeight="1" x14ac:dyDescent="0.3">
      <c r="A173" t="s">
        <v>55</v>
      </c>
      <c r="B173" s="2">
        <v>46113</v>
      </c>
      <c r="C173" s="5" cm="1">
        <f t="array" ref="C173">IFERROR(IF(SUMPRODUCT((measured[Site Name]=A173)*(measured[Date]=B173)*ISNUMBER(measured[Measured Value (kWh)]))=0,"",SUMIFS(measured[Measured Value (kWh)],measured[Site Name],A173,measured[Date],B173)),"")</f>
        <v>8541.19</v>
      </c>
      <c r="D173" cm="1">
        <f t="array" ref="D173">IFERROR(IF(SUMPRODUCT((expected_production[Site Name]=A173)*(expected_production[Date]=B173)*ISNUMBER(expected_production[Expected Production (kWh)]))=0,"",SUMIFS(expected_production[Expected Production (kWh)],expected_production[Site Name],A173,expected_production[Date],B173)),"")</f>
        <v>14886.05</v>
      </c>
      <c r="E173" s="9">
        <f t="shared" si="6"/>
        <v>0.57377141686343935</v>
      </c>
      <c r="F173" t="str">
        <f t="shared" si="7"/>
        <v>Poor</v>
      </c>
    </row>
    <row r="174" spans="1:7" ht="15" customHeight="1" x14ac:dyDescent="0.3">
      <c r="A174" t="s">
        <v>55</v>
      </c>
      <c r="B174" s="2">
        <v>46143</v>
      </c>
      <c r="C174" s="5" cm="1">
        <f t="array" ref="C174">IFERROR(IF(SUMPRODUCT((measured[Site Name]=A174)*(measured[Date]=B174)*ISNUMBER(measured[Measured Value (kWh)]))=0,"",SUMIFS(measured[Measured Value (kWh)],measured[Site Name],A174,measured[Date],B174)),"")</f>
        <v>9563.61</v>
      </c>
      <c r="D174" cm="1">
        <f t="array" ref="D174">IFERROR(IF(SUMPRODUCT((expected_production[Site Name]=A174)*(expected_production[Date]=B174)*ISNUMBER(expected_production[Expected Production (kWh)]))=0,"",SUMIFS(expected_production[Expected Production (kWh)],expected_production[Site Name],A174,expected_production[Date],B174)),"")</f>
        <v>14411.75</v>
      </c>
      <c r="E174" s="9">
        <f t="shared" si="6"/>
        <v>0.66359810571235278</v>
      </c>
      <c r="F174" t="str">
        <f t="shared" si="7"/>
        <v>Poor</v>
      </c>
    </row>
    <row r="175" spans="1:7" ht="15" customHeight="1" x14ac:dyDescent="0.3">
      <c r="A175" t="s">
        <v>55</v>
      </c>
      <c r="B175" s="2">
        <v>46174</v>
      </c>
      <c r="C175" cm="1">
        <f t="array" ref="C175">IFERROR(IF(SUMPRODUCT((measured[Site Name]=A175)*(measured[Date]=B175)*ISNUMBER(measured[Measured Value (kWh)]))=0,"",SUMIFS(measured[Measured Value (kWh)],measured[Site Name],A175,measured[Date],B175)),"")</f>
        <v>7968.17</v>
      </c>
      <c r="D175" cm="1">
        <f t="array" ref="D175">IFERROR(IF(SUMPRODUCT((expected_production[Site Name]=A175)*(expected_production[Date]=B175)*ISNUMBER(expected_production[Expected Production (kWh)]))=0,"",SUMIFS(expected_production[Expected Production (kWh)],expected_production[Site Name],A175,expected_production[Date],B175)),"")</f>
        <v>13050.05</v>
      </c>
      <c r="E175" s="9">
        <f t="shared" si="6"/>
        <v>0.61058540005593853</v>
      </c>
      <c r="F175" t="str">
        <f t="shared" si="7"/>
        <v>Poor</v>
      </c>
    </row>
    <row r="176" spans="1:7" ht="15" customHeight="1" x14ac:dyDescent="0.3">
      <c r="A176" t="s">
        <v>55</v>
      </c>
      <c r="B176" s="2">
        <v>46204</v>
      </c>
      <c r="C176" cm="1">
        <f t="array" ref="C176">IFERROR(IF(SUMPRODUCT((measured[Site Name]=A176)*(measured[Date]=B176)*ISNUMBER(measured[Measured Value (kWh)]))=0,"",SUMIFS(measured[Measured Value (kWh)],measured[Site Name],A176,measured[Date],B176)),"")</f>
        <v>10351.41</v>
      </c>
      <c r="D176" cm="1">
        <f t="array" ref="D176">IFERROR(IF(SUMPRODUCT((expected_production[Site Name]=A176)*(expected_production[Date]=B176)*ISNUMBER(expected_production[Expected Production (kWh)]))=0,"",SUMIFS(expected_production[Expected Production (kWh)],expected_production[Site Name],A176,expected_production[Date],B176)),"")</f>
        <v>13735.15</v>
      </c>
      <c r="E176" s="9">
        <f t="shared" si="6"/>
        <v>0.75364375343552858</v>
      </c>
      <c r="F176" t="str">
        <f t="shared" si="7"/>
        <v>Moderate</v>
      </c>
      <c r="G176" t="s">
        <v>874</v>
      </c>
    </row>
    <row r="177" spans="1:6" ht="15" customHeight="1" x14ac:dyDescent="0.3">
      <c r="A177" t="s">
        <v>55</v>
      </c>
      <c r="B177" s="2">
        <v>46235</v>
      </c>
      <c r="C177" t="str" cm="1">
        <f t="array" ref="C177">IFERROR(IF(SUMPRODUCT((measured[Site Name]=A177)*(measured[Date]=B177)*ISNUMBER(measured[Measured Value (kWh)]))=0,"",SUMIFS(measured[Measured Value (kWh)],measured[Site Name],A177,measured[Date],B177)),"")</f>
        <v/>
      </c>
      <c r="D177" cm="1">
        <f t="array" ref="D177">IFERROR(IF(SUMPRODUCT((expected_production[Site Name]=A177)*(expected_production[Date]=B177)*ISNUMBER(expected_production[Expected Production (kWh)]))=0,"",SUMIFS(expected_production[Expected Production (kWh)],expected_production[Site Name],A177,expected_production[Date],B177)),"")</f>
        <v>15350.15</v>
      </c>
      <c r="E177" s="9" t="str">
        <f t="shared" si="6"/>
        <v/>
      </c>
      <c r="F177" t="str">
        <f t="shared" si="7"/>
        <v/>
      </c>
    </row>
    <row r="178" spans="1:6" ht="15" customHeight="1" x14ac:dyDescent="0.3">
      <c r="A178" t="s">
        <v>55</v>
      </c>
      <c r="B178" s="2">
        <v>46266</v>
      </c>
      <c r="C178" t="str" cm="1">
        <f t="array" ref="C178">IFERROR(IF(SUMPRODUCT((measured[Site Name]=A178)*(measured[Date]=B178)*ISNUMBER(measured[Measured Value (kWh)]))=0,"",SUMIFS(measured[Measured Value (kWh)],measured[Site Name],A178,measured[Date],B178)),"")</f>
        <v/>
      </c>
      <c r="D178" cm="1">
        <f t="array" ref="D178">IFERROR(IF(SUMPRODUCT((expected_production[Site Name]=A178)*(expected_production[Date]=B178)*ISNUMBER(expected_production[Expected Production (kWh)]))=0,"",SUMIFS(expected_production[Expected Production (kWh)],expected_production[Site Name],A178,expected_production[Date],B178)),"")</f>
        <v>15431.75</v>
      </c>
      <c r="E178" s="9" t="str">
        <f t="shared" si="6"/>
        <v/>
      </c>
      <c r="F178" t="str">
        <f t="shared" si="7"/>
        <v/>
      </c>
    </row>
    <row r="179" spans="1:6" ht="15" customHeight="1" x14ac:dyDescent="0.3">
      <c r="A179" t="s">
        <v>55</v>
      </c>
      <c r="B179" s="2">
        <v>46296</v>
      </c>
      <c r="C179" t="str" cm="1">
        <f t="array" ref="C179">IFERROR(IF(SUMPRODUCT((measured[Site Name]=A179)*(measured[Date]=B179)*ISNUMBER(measured[Measured Value (kWh)]))=0,"",SUMIFS(measured[Measured Value (kWh)],measured[Site Name],A179,measured[Date],B179)),"")</f>
        <v/>
      </c>
      <c r="D179" cm="1">
        <f t="array" ref="D179">IFERROR(IF(SUMPRODUCT((expected_production[Site Name]=A179)*(expected_production[Date]=B179)*ISNUMBER(expected_production[Expected Production (kWh)]))=0,"",SUMIFS(expected_production[Expected Production (kWh)],expected_production[Site Name],A179,expected_production[Date],B179)),"")</f>
        <v>14821.45</v>
      </c>
      <c r="E179" s="9" t="str">
        <f t="shared" si="6"/>
        <v/>
      </c>
      <c r="F179" t="str">
        <f t="shared" si="7"/>
        <v/>
      </c>
    </row>
    <row r="180" spans="1:6" ht="15" customHeight="1" x14ac:dyDescent="0.3">
      <c r="A180" t="s">
        <v>55</v>
      </c>
      <c r="B180" s="2">
        <v>46327</v>
      </c>
      <c r="C180" t="str" cm="1">
        <f t="array" ref="C180">IFERROR(IF(SUMPRODUCT((measured[Site Name]=A180)*(measured[Date]=B180)*ISNUMBER(measured[Measured Value (kWh)]))=0,"",SUMIFS(measured[Measured Value (kWh)],measured[Site Name],A180,measured[Date],B180)),"")</f>
        <v/>
      </c>
      <c r="D180" cm="1">
        <f t="array" ref="D180">IFERROR(IF(SUMPRODUCT((expected_production[Site Name]=A180)*(expected_production[Date]=B180)*ISNUMBER(expected_production[Expected Production (kWh)]))=0,"",SUMIFS(expected_production[Expected Production (kWh)],expected_production[Site Name],A180,expected_production[Date],B180)),"")</f>
        <v>14695.65</v>
      </c>
      <c r="E180" s="9" t="str">
        <f t="shared" si="6"/>
        <v/>
      </c>
      <c r="F180" t="str">
        <f t="shared" si="7"/>
        <v/>
      </c>
    </row>
    <row r="181" spans="1:6" ht="15" customHeight="1" x14ac:dyDescent="0.3">
      <c r="A181" t="s">
        <v>55</v>
      </c>
      <c r="B181" s="2">
        <v>46357</v>
      </c>
      <c r="C181" t="str" cm="1">
        <f t="array" ref="C181">IFERROR(IF(SUMPRODUCT((measured[Site Name]=A181)*(measured[Date]=B181)*ISNUMBER(measured[Measured Value (kWh)]))=0,"",SUMIFS(measured[Measured Value (kWh)],measured[Site Name],A181,measured[Date],B181)),"")</f>
        <v/>
      </c>
      <c r="D181" cm="1">
        <f t="array" ref="D181">IFERROR(IF(SUMPRODUCT((expected_production[Site Name]=A181)*(expected_production[Date]=B181)*ISNUMBER(expected_production[Expected Production (kWh)]))=0,"",SUMIFS(expected_production[Expected Production (kWh)],expected_production[Site Name],A181,expected_production[Date],B181)),"")</f>
        <v>16154.25</v>
      </c>
      <c r="E181" s="9" t="str">
        <f t="shared" si="6"/>
        <v/>
      </c>
      <c r="F181" t="str">
        <f t="shared" si="7"/>
        <v/>
      </c>
    </row>
    <row r="182" spans="1:6" ht="15" customHeight="1" x14ac:dyDescent="0.3">
      <c r="A182" t="s">
        <v>60</v>
      </c>
      <c r="B182" s="2">
        <v>45292</v>
      </c>
      <c r="C182" cm="1">
        <f t="array" ref="C182">IFERROR(IF(SUMPRODUCT((measured[Site Name]=A182)*(measured[Date]=B182)*ISNUMBER(measured[Measured Value (kWh)]))=0,"",SUMIFS(measured[Measured Value (kWh)],measured[Site Name],A182,measured[Date],B182)),"")</f>
        <v>55000</v>
      </c>
      <c r="D182" cm="1">
        <f t="array" ref="D182">IFERROR(IF(SUMPRODUCT((expected_production[Site Name]=A182)*(expected_production[Date]=B182)*ISNUMBER(expected_production[Expected Production (kWh)]))=0,"",SUMIFS(expected_production[Expected Production (kWh)],expected_production[Site Name],A182,expected_production[Date],B182)),"")</f>
        <v>51314.734709999997</v>
      </c>
      <c r="E182" s="9">
        <f t="shared" si="6"/>
        <v>1.0718169023152297</v>
      </c>
      <c r="F182" t="str">
        <f t="shared" si="7"/>
        <v>Expected</v>
      </c>
    </row>
    <row r="183" spans="1:6" ht="15" customHeight="1" x14ac:dyDescent="0.3">
      <c r="A183" t="s">
        <v>60</v>
      </c>
      <c r="B183" s="2">
        <v>45323</v>
      </c>
      <c r="C183" cm="1">
        <f t="array" ref="C183">IFERROR(IF(SUMPRODUCT((measured[Site Name]=A183)*(measured[Date]=B183)*ISNUMBER(measured[Measured Value (kWh)]))=0,"",SUMIFS(measured[Measured Value (kWh)],measured[Site Name],A183,measured[Date],B183)),"")</f>
        <v>46799</v>
      </c>
      <c r="D183" cm="1">
        <f t="array" ref="D183">IFERROR(IF(SUMPRODUCT((expected_production[Site Name]=A183)*(expected_production[Date]=B183)*ISNUMBER(expected_production[Expected Production (kWh)]))=0,"",SUMIFS(expected_production[Expected Production (kWh)],expected_production[Site Name],A183,expected_production[Date],B183)),"")</f>
        <v>44103.290670000002</v>
      </c>
      <c r="E183" s="9">
        <f t="shared" si="6"/>
        <v>1.0611226348203917</v>
      </c>
      <c r="F183" t="str">
        <f t="shared" si="7"/>
        <v>Expected</v>
      </c>
    </row>
    <row r="184" spans="1:6" ht="15" customHeight="1" x14ac:dyDescent="0.3">
      <c r="A184" t="s">
        <v>60</v>
      </c>
      <c r="B184" s="2">
        <v>45352</v>
      </c>
      <c r="C184" cm="1">
        <f t="array" ref="C184">IFERROR(IF(SUMPRODUCT((measured[Site Name]=A184)*(measured[Date]=B184)*ISNUMBER(measured[Measured Value (kWh)]))=0,"",SUMIFS(measured[Measured Value (kWh)],measured[Site Name],A184,measured[Date],B184)),"")</f>
        <v>40582</v>
      </c>
      <c r="D184" cm="1">
        <f t="array" ref="D184">IFERROR(IF(SUMPRODUCT((expected_production[Site Name]=A184)*(expected_production[Date]=B184)*ISNUMBER(expected_production[Expected Production (kWh)]))=0,"",SUMIFS(expected_production[Expected Production (kWh)],expected_production[Site Name],A184,expected_production[Date],B184)),"")</f>
        <v>48739.270049999999</v>
      </c>
      <c r="E184" s="9">
        <f t="shared" si="6"/>
        <v>0.83263454619587596</v>
      </c>
      <c r="F184" t="str">
        <f t="shared" si="7"/>
        <v>Moderate</v>
      </c>
    </row>
    <row r="185" spans="1:6" ht="15" customHeight="1" x14ac:dyDescent="0.3">
      <c r="A185" t="s">
        <v>60</v>
      </c>
      <c r="B185" s="2">
        <v>45383</v>
      </c>
      <c r="C185" cm="1">
        <f t="array" ref="C185">IFERROR(IF(SUMPRODUCT((measured[Site Name]=A185)*(measured[Date]=B185)*ISNUMBER(measured[Measured Value (kWh)]))=0,"",SUMIFS(measured[Measured Value (kWh)],measured[Site Name],A185,measured[Date],B185)),"")</f>
        <v>39615</v>
      </c>
      <c r="D185" cm="1">
        <f t="array" ref="D185">IFERROR(IF(SUMPRODUCT((expected_production[Site Name]=A185)*(expected_production[Date]=B185)*ISNUMBER(expected_production[Expected Production (kWh)]))=0,"",SUMIFS(expected_production[Expected Production (kWh)],expected_production[Site Name],A185,expected_production[Date],B185)),"")</f>
        <v>46849.898880000001</v>
      </c>
      <c r="E185" s="9">
        <f t="shared" si="6"/>
        <v>0.84557279625018478</v>
      </c>
      <c r="F185" t="str">
        <f t="shared" si="7"/>
        <v>Moderate</v>
      </c>
    </row>
    <row r="186" spans="1:6" ht="15" customHeight="1" x14ac:dyDescent="0.3">
      <c r="A186" t="s">
        <v>60</v>
      </c>
      <c r="B186" s="2">
        <v>45413</v>
      </c>
      <c r="C186" cm="1">
        <f t="array" ref="C186">IFERROR(IF(SUMPRODUCT((measured[Site Name]=A186)*(measured[Date]=B186)*ISNUMBER(measured[Measured Value (kWh)]))=0,"",SUMIFS(measured[Measured Value (kWh)],measured[Site Name],A186,measured[Date],B186)),"")</f>
        <v>39494</v>
      </c>
      <c r="D186" cm="1">
        <f t="array" ref="D186">IFERROR(IF(SUMPRODUCT((expected_production[Site Name]=A186)*(expected_production[Date]=B186)*ISNUMBER(expected_production[Expected Production (kWh)]))=0,"",SUMIFS(expected_production[Expected Production (kWh)],expected_production[Site Name],A186,expected_production[Date],B186)),"")</f>
        <v>45273.233339999999</v>
      </c>
      <c r="E186" s="9">
        <f t="shared" si="6"/>
        <v>0.87234767844836247</v>
      </c>
      <c r="F186" t="str">
        <f t="shared" si="7"/>
        <v>Moderate</v>
      </c>
    </row>
    <row r="187" spans="1:6" ht="15" customHeight="1" x14ac:dyDescent="0.3">
      <c r="A187" t="s">
        <v>60</v>
      </c>
      <c r="B187" s="2">
        <v>45444</v>
      </c>
      <c r="C187" cm="1">
        <f t="array" ref="C187">IFERROR(IF(SUMPRODUCT((measured[Site Name]=A187)*(measured[Date]=B187)*ISNUMBER(measured[Measured Value (kWh)]))=0,"",SUMIFS(measured[Measured Value (kWh)],measured[Site Name],A187,measured[Date],B187)),"")</f>
        <v>35378</v>
      </c>
      <c r="D187" cm="1">
        <f t="array" ref="D187">IFERROR(IF(SUMPRODUCT((expected_production[Site Name]=A187)*(expected_production[Date]=B187)*ISNUMBER(expected_production[Expected Production (kWh)]))=0,"",SUMIFS(expected_production[Expected Production (kWh)],expected_production[Site Name],A187,expected_production[Date],B187)),"")</f>
        <v>40943.971799999999</v>
      </c>
      <c r="E187" s="9">
        <f t="shared" si="6"/>
        <v>0.86405882098619458</v>
      </c>
      <c r="F187" t="str">
        <f t="shared" si="7"/>
        <v>Moderate</v>
      </c>
    </row>
    <row r="188" spans="1:6" ht="15" customHeight="1" x14ac:dyDescent="0.3">
      <c r="A188" t="s">
        <v>60</v>
      </c>
      <c r="B188" s="2">
        <v>45474</v>
      </c>
      <c r="C188" cm="1">
        <f t="array" ref="C188">IFERROR(IF(SUMPRODUCT((measured[Site Name]=A188)*(measured[Date]=B188)*ISNUMBER(measured[Measured Value (kWh)]))=0,"",SUMIFS(measured[Measured Value (kWh)],measured[Site Name],A188,measured[Date],B188)),"")</f>
        <v>38293</v>
      </c>
      <c r="D188" cm="1">
        <f t="array" ref="D188">IFERROR(IF(SUMPRODUCT((expected_production[Site Name]=A188)*(expected_production[Date]=B188)*ISNUMBER(expected_production[Expected Production (kWh)]))=0,"",SUMIFS(expected_production[Expected Production (kWh)],expected_production[Site Name],A188,expected_production[Date],B188)),"")</f>
        <v>43112.802960000001</v>
      </c>
      <c r="E188" s="9">
        <f t="shared" si="6"/>
        <v>0.88820483408439466</v>
      </c>
      <c r="F188" t="str">
        <f t="shared" si="7"/>
        <v>Moderate</v>
      </c>
    </row>
    <row r="189" spans="1:6" ht="15" customHeight="1" x14ac:dyDescent="0.3">
      <c r="A189" t="s">
        <v>60</v>
      </c>
      <c r="B189" s="2">
        <v>45505</v>
      </c>
      <c r="C189" cm="1">
        <f t="array" ref="C189">IFERROR(IF(SUMPRODUCT((measured[Site Name]=A189)*(measured[Date]=B189)*ISNUMBER(measured[Measured Value (kWh)]))=0,"",SUMIFS(measured[Measured Value (kWh)],measured[Site Name],A189,measured[Date],B189)),"")</f>
        <v>38554</v>
      </c>
      <c r="D189" cm="1">
        <f t="array" ref="D189">IFERROR(IF(SUMPRODUCT((expected_production[Site Name]=A189)*(expected_production[Date]=B189)*ISNUMBER(expected_production[Expected Production (kWh)]))=0,"",SUMIFS(expected_production[Expected Production (kWh)],expected_production[Site Name],A189,expected_production[Date],B189)),"")</f>
        <v>48266.50275</v>
      </c>
      <c r="E189" s="9">
        <f t="shared" si="6"/>
        <v>0.79877343091736641</v>
      </c>
      <c r="F189" t="str">
        <f t="shared" si="7"/>
        <v>Moderate</v>
      </c>
    </row>
    <row r="190" spans="1:6" ht="15" customHeight="1" x14ac:dyDescent="0.3">
      <c r="A190" t="s">
        <v>60</v>
      </c>
      <c r="B190" s="2">
        <v>45536</v>
      </c>
      <c r="C190" cm="1">
        <f t="array" ref="C190">IFERROR(IF(SUMPRODUCT((measured[Site Name]=A190)*(measured[Date]=B190)*ISNUMBER(measured[Measured Value (kWh)]))=0,"",SUMIFS(measured[Measured Value (kWh)],measured[Site Name],A190,measured[Date],B190)),"")</f>
        <v>37782</v>
      </c>
      <c r="D190" cm="1">
        <f t="array" ref="D190">IFERROR(IF(SUMPRODUCT((expected_production[Site Name]=A190)*(expected_production[Date]=B190)*ISNUMBER(expected_production[Expected Production (kWh)]))=0,"",SUMIFS(expected_production[Expected Production (kWh)],expected_production[Site Name],A190,expected_production[Date],B190)),"")</f>
        <v>48602.891430000003</v>
      </c>
      <c r="E190" s="9">
        <f t="shared" si="6"/>
        <v>0.77736115873713563</v>
      </c>
      <c r="F190" t="str">
        <f t="shared" si="7"/>
        <v>Moderate</v>
      </c>
    </row>
    <row r="191" spans="1:6" ht="15" customHeight="1" x14ac:dyDescent="0.3">
      <c r="A191" t="s">
        <v>60</v>
      </c>
      <c r="B191" s="2">
        <v>45566</v>
      </c>
      <c r="C191" cm="1">
        <f t="array" ref="C191">IFERROR(IF(SUMPRODUCT((measured[Site Name]=A191)*(measured[Date]=B191)*ISNUMBER(measured[Measured Value (kWh)]))=0,"",SUMIFS(measured[Measured Value (kWh)],measured[Site Name],A191,measured[Date],B191)),"")</f>
        <v>47662</v>
      </c>
      <c r="D191" cm="1">
        <f t="array" ref="D191">IFERROR(IF(SUMPRODUCT((expected_production[Site Name]=A191)*(expected_production[Date]=B191)*ISNUMBER(expected_production[Expected Production (kWh)]))=0,"",SUMIFS(expected_production[Expected Production (kWh)],expected_production[Site Name],A191,expected_production[Date],B191)),"")</f>
        <v>46748.910779999998</v>
      </c>
      <c r="E191" s="9">
        <f t="shared" si="6"/>
        <v>1.0195317752812894</v>
      </c>
      <c r="F191" t="str">
        <f t="shared" si="7"/>
        <v>Expected</v>
      </c>
    </row>
    <row r="192" spans="1:6" ht="15" customHeight="1" x14ac:dyDescent="0.3">
      <c r="A192" t="s">
        <v>60</v>
      </c>
      <c r="B192" s="2">
        <v>45597</v>
      </c>
      <c r="C192" cm="1">
        <f t="array" ref="C192">IFERROR(IF(SUMPRODUCT((measured[Site Name]=A192)*(measured[Date]=B192)*ISNUMBER(measured[Measured Value (kWh)]))=0,"",SUMIFS(measured[Measured Value (kWh)],measured[Site Name],A192,measured[Date],B192)),"")</f>
        <v>48184</v>
      </c>
      <c r="D192" cm="1">
        <f t="array" ref="D192">IFERROR(IF(SUMPRODUCT((expected_production[Site Name]=A192)*(expected_production[Date]=B192)*ISNUMBER(expected_production[Expected Production (kWh)]))=0,"",SUMIFS(expected_production[Expected Production (kWh)],expected_production[Site Name],A192,expected_production[Date],B192)),"")</f>
        <v>46388.481570000004</v>
      </c>
      <c r="E192" s="9">
        <f t="shared" si="6"/>
        <v>1.0387061263751556</v>
      </c>
      <c r="F192" t="str">
        <f t="shared" si="7"/>
        <v>Expected</v>
      </c>
    </row>
    <row r="193" spans="1:6" ht="15" customHeight="1" x14ac:dyDescent="0.3">
      <c r="A193" t="s">
        <v>60</v>
      </c>
      <c r="B193" s="2">
        <v>45627</v>
      </c>
      <c r="C193" cm="1">
        <f t="array" ref="C193">IFERROR(IF(SUMPRODUCT((measured[Site Name]=A193)*(measured[Date]=B193)*ISNUMBER(measured[Measured Value (kWh)]))=0,"",SUMIFS(measured[Measured Value (kWh)],measured[Site Name],A193,measured[Date],B193)),"")</f>
        <v>44138</v>
      </c>
      <c r="D193" cm="1">
        <f t="array" ref="D193">IFERROR(IF(SUMPRODUCT((expected_production[Site Name]=A193)*(expected_production[Date]=B193)*ISNUMBER(expected_production[Expected Production (kWh)]))=0,"",SUMIFS(expected_production[Expected Production (kWh)],expected_production[Site Name],A193,expected_production[Date],B193)),"")</f>
        <v>50640.311422710001</v>
      </c>
      <c r="E193" s="9">
        <f t="shared" si="6"/>
        <v>0.8715981154137612</v>
      </c>
      <c r="F193" t="str">
        <f t="shared" si="7"/>
        <v>Moderate</v>
      </c>
    </row>
    <row r="194" spans="1:6" ht="15" customHeight="1" x14ac:dyDescent="0.3">
      <c r="A194" t="s">
        <v>60</v>
      </c>
      <c r="B194" s="2">
        <v>45658</v>
      </c>
      <c r="C194" cm="1">
        <f t="array" ref="C194">IFERROR(IF(SUMPRODUCT((measured[Site Name]=A194)*(measured[Date]=B194)*ISNUMBER(measured[Measured Value (kWh)]))=0,"",SUMIFS(measured[Measured Value (kWh)],measured[Site Name],A194,measured[Date],B194)),"")</f>
        <v>52262</v>
      </c>
      <c r="D194" cm="1">
        <f t="array" ref="D194">IFERROR(IF(SUMPRODUCT((expected_production[Site Name]=A194)*(expected_production[Date]=B194)*ISNUMBER(expected_production[Expected Production (kWh)]))=0,"",SUMIFS(expected_production[Expected Production (kWh)],expected_production[Site Name],A194,expected_production[Date],B194)),"")</f>
        <v>51314.734709999997</v>
      </c>
      <c r="E194" s="9">
        <f t="shared" si="6"/>
        <v>1.0184599081599734</v>
      </c>
      <c r="F194" t="str">
        <f t="shared" si="7"/>
        <v>Expected</v>
      </c>
    </row>
    <row r="195" spans="1:6" ht="15" customHeight="1" x14ac:dyDescent="0.3">
      <c r="A195" t="s">
        <v>60</v>
      </c>
      <c r="B195" s="2">
        <v>45689</v>
      </c>
      <c r="C195" cm="1">
        <f t="array" ref="C195">IFERROR(IF(SUMPRODUCT((measured[Site Name]=A195)*(measured[Date]=B195)*ISNUMBER(measured[Measured Value (kWh)]))=0,"",SUMIFS(measured[Measured Value (kWh)],measured[Site Name],A195,measured[Date],B195)),"")</f>
        <v>40904</v>
      </c>
      <c r="D195" cm="1">
        <f t="array" ref="D195">IFERROR(IF(SUMPRODUCT((expected_production[Site Name]=A195)*(expected_production[Date]=B195)*ISNUMBER(expected_production[Expected Production (kWh)]))=0,"",SUMIFS(expected_production[Expected Production (kWh)],expected_production[Site Name],A195,expected_production[Date],B195)),"")</f>
        <v>44103.290670000002</v>
      </c>
      <c r="E195" s="9">
        <f t="shared" si="6"/>
        <v>0.92745913918445477</v>
      </c>
      <c r="F195" t="str">
        <f t="shared" si="7"/>
        <v>Expected</v>
      </c>
    </row>
    <row r="196" spans="1:6" ht="15" customHeight="1" x14ac:dyDescent="0.3">
      <c r="A196" t="s">
        <v>60</v>
      </c>
      <c r="B196" s="2">
        <v>45717</v>
      </c>
      <c r="C196" cm="1">
        <f t="array" ref="C196">IFERROR(IF(SUMPRODUCT((measured[Site Name]=A196)*(measured[Date]=B196)*ISNUMBER(measured[Measured Value (kWh)]))=0,"",SUMIFS(measured[Measured Value (kWh)],measured[Site Name],A196,measured[Date],B196)),"")</f>
        <v>45751</v>
      </c>
      <c r="D196" cm="1">
        <f t="array" ref="D196">IFERROR(IF(SUMPRODUCT((expected_production[Site Name]=A196)*(expected_production[Date]=B196)*ISNUMBER(expected_production[Expected Production (kWh)]))=0,"",SUMIFS(expected_production[Expected Production (kWh)],expected_production[Site Name],A196,expected_production[Date],B196)),"")</f>
        <v>48739.270049999999</v>
      </c>
      <c r="E196" s="9">
        <f t="shared" si="6"/>
        <v>0.93868865809983548</v>
      </c>
      <c r="F196" t="str">
        <f t="shared" si="7"/>
        <v>Expected</v>
      </c>
    </row>
    <row r="197" spans="1:6" ht="15" customHeight="1" x14ac:dyDescent="0.3">
      <c r="A197" t="s">
        <v>60</v>
      </c>
      <c r="B197" s="2">
        <v>45748</v>
      </c>
      <c r="C197" cm="1">
        <f t="array" ref="C197">IFERROR(IF(SUMPRODUCT((measured[Site Name]=A197)*(measured[Date]=B197)*ISNUMBER(measured[Measured Value (kWh)]))=0,"",SUMIFS(measured[Measured Value (kWh)],measured[Site Name],A197,measured[Date],B197)),"")</f>
        <v>30758</v>
      </c>
      <c r="D197" cm="1">
        <f t="array" ref="D197">IFERROR(IF(SUMPRODUCT((expected_production[Site Name]=A197)*(expected_production[Date]=B197)*ISNUMBER(expected_production[Expected Production (kWh)]))=0,"",SUMIFS(expected_production[Expected Production (kWh)],expected_production[Site Name],A197,expected_production[Date],B197)),"")</f>
        <v>46849.898880000001</v>
      </c>
      <c r="E197" s="9">
        <f t="shared" si="6"/>
        <v>0.65652222812225625</v>
      </c>
      <c r="F197" t="str">
        <f t="shared" si="7"/>
        <v>Poor</v>
      </c>
    </row>
    <row r="198" spans="1:6" ht="15" customHeight="1" x14ac:dyDescent="0.3">
      <c r="A198" t="s">
        <v>60</v>
      </c>
      <c r="B198" s="2">
        <v>45778</v>
      </c>
      <c r="C198" cm="1">
        <f t="array" ref="C198">IFERROR(IF(SUMPRODUCT((measured[Site Name]=A198)*(measured[Date]=B198)*ISNUMBER(measured[Measured Value (kWh)]))=0,"",SUMIFS(measured[Measured Value (kWh)],measured[Site Name],A198,measured[Date],B198)),"")</f>
        <v>34925</v>
      </c>
      <c r="D198" cm="1">
        <f t="array" ref="D198">IFERROR(IF(SUMPRODUCT((expected_production[Site Name]=A198)*(expected_production[Date]=B198)*ISNUMBER(expected_production[Expected Production (kWh)]))=0,"",SUMIFS(expected_production[Expected Production (kWh)],expected_production[Site Name],A198,expected_production[Date],B198)),"")</f>
        <v>45273.233339999999</v>
      </c>
      <c r="E198" s="9">
        <f t="shared" si="6"/>
        <v>0.77142711981083345</v>
      </c>
      <c r="F198" t="str">
        <f t="shared" si="7"/>
        <v>Moderate</v>
      </c>
    </row>
    <row r="199" spans="1:6" ht="15" customHeight="1" x14ac:dyDescent="0.3">
      <c r="A199" t="s">
        <v>60</v>
      </c>
      <c r="B199" s="2">
        <v>45809</v>
      </c>
      <c r="C199" cm="1">
        <f t="array" ref="C199">IFERROR(IF(SUMPRODUCT((measured[Site Name]=A199)*(measured[Date]=B199)*ISNUMBER(measured[Measured Value (kWh)]))=0,"",SUMIFS(measured[Measured Value (kWh)],measured[Site Name],A199,measured[Date],B199)),"")</f>
        <v>29716.71</v>
      </c>
      <c r="D199" cm="1">
        <f t="array" ref="D199">IFERROR(IF(SUMPRODUCT((expected_production[Site Name]=A199)*(expected_production[Date]=B199)*ISNUMBER(expected_production[Expected Production (kWh)]))=0,"",SUMIFS(expected_production[Expected Production (kWh)],expected_production[Site Name],A199,expected_production[Date],B199)),"")</f>
        <v>40943.971799999999</v>
      </c>
      <c r="E199" s="9">
        <f t="shared" si="6"/>
        <v>0.72578962649637224</v>
      </c>
      <c r="F199" t="str">
        <f t="shared" si="7"/>
        <v>Moderate</v>
      </c>
    </row>
    <row r="200" spans="1:6" ht="15" customHeight="1" x14ac:dyDescent="0.3">
      <c r="A200" t="s">
        <v>60</v>
      </c>
      <c r="B200" s="2">
        <v>45839</v>
      </c>
      <c r="C200" cm="1">
        <f t="array" ref="C200">IFERROR(IF(SUMPRODUCT((measured[Site Name]=A200)*(measured[Date]=B200)*ISNUMBER(measured[Measured Value (kWh)]))=0,"",SUMIFS(measured[Measured Value (kWh)],measured[Site Name],A200,measured[Date],B200)),"")</f>
        <v>27958</v>
      </c>
      <c r="D200" cm="1">
        <f t="array" ref="D200">IFERROR(IF(SUMPRODUCT((expected_production[Site Name]=A200)*(expected_production[Date]=B200)*ISNUMBER(expected_production[Expected Production (kWh)]))=0,"",SUMIFS(expected_production[Expected Production (kWh)],expected_production[Site Name],A200,expected_production[Date],B200)),"")</f>
        <v>43112.802960000001</v>
      </c>
      <c r="E200" s="9">
        <f t="shared" si="6"/>
        <v>0.64848486019198037</v>
      </c>
      <c r="F200" t="str">
        <f t="shared" si="7"/>
        <v>Poor</v>
      </c>
    </row>
    <row r="201" spans="1:6" ht="15" customHeight="1" x14ac:dyDescent="0.3">
      <c r="A201" t="s">
        <v>60</v>
      </c>
      <c r="B201" s="2">
        <v>45870</v>
      </c>
      <c r="C201" cm="1">
        <f t="array" ref="C201">IFERROR(IF(SUMPRODUCT((measured[Site Name]=A201)*(measured[Date]=B201)*ISNUMBER(measured[Measured Value (kWh)]))=0,"",SUMIFS(measured[Measured Value (kWh)],measured[Site Name],A201,measured[Date],B201)),"")</f>
        <v>30682</v>
      </c>
      <c r="D201" cm="1">
        <f t="array" ref="D201">IFERROR(IF(SUMPRODUCT((expected_production[Site Name]=A201)*(expected_production[Date]=B201)*ISNUMBER(expected_production[Expected Production (kWh)]))=0,"",SUMIFS(expected_production[Expected Production (kWh)],expected_production[Site Name],A201,expected_production[Date],B201)),"")</f>
        <v>48266.50275</v>
      </c>
      <c r="E201" s="9">
        <f t="shared" si="6"/>
        <v>0.63567895438622801</v>
      </c>
      <c r="F201" t="str">
        <f t="shared" si="7"/>
        <v>Poor</v>
      </c>
    </row>
    <row r="202" spans="1:6" ht="15" customHeight="1" x14ac:dyDescent="0.3">
      <c r="A202" t="s">
        <v>60</v>
      </c>
      <c r="B202" s="2">
        <v>45901</v>
      </c>
      <c r="C202" cm="1">
        <f t="array" ref="C202">IFERROR(IF(SUMPRODUCT((measured[Site Name]=A202)*(measured[Date]=B202)*ISNUMBER(measured[Measured Value (kWh)]))=0,"",SUMIFS(measured[Measured Value (kWh)],measured[Site Name],A202,measured[Date],B202)),"")</f>
        <v>44171</v>
      </c>
      <c r="D202" cm="1">
        <f t="array" ref="D202">IFERROR(IF(SUMPRODUCT((expected_production[Site Name]=A202)*(expected_production[Date]=B202)*ISNUMBER(expected_production[Expected Production (kWh)]))=0,"",SUMIFS(expected_production[Expected Production (kWh)],expected_production[Site Name],A202,expected_production[Date],B202)),"")</f>
        <v>48602.891430000003</v>
      </c>
      <c r="E202" s="9">
        <f t="shared" si="6"/>
        <v>0.90881424335868977</v>
      </c>
      <c r="F202" t="str">
        <f t="shared" si="7"/>
        <v>Expected</v>
      </c>
    </row>
    <row r="203" spans="1:6" ht="15" customHeight="1" x14ac:dyDescent="0.3">
      <c r="A203" t="s">
        <v>60</v>
      </c>
      <c r="B203" s="2">
        <v>45931</v>
      </c>
      <c r="C203" cm="1">
        <f t="array" ref="C203">IFERROR(IF(SUMPRODUCT((measured[Site Name]=A203)*(measured[Date]=B203)*ISNUMBER(measured[Measured Value (kWh)]))=0,"",SUMIFS(measured[Measured Value (kWh)],measured[Site Name],A203,measured[Date],B203)),"")</f>
        <v>53279</v>
      </c>
      <c r="D203" cm="1">
        <f t="array" ref="D203">IFERROR(IF(SUMPRODUCT((expected_production[Site Name]=A203)*(expected_production[Date]=B203)*ISNUMBER(expected_production[Expected Production (kWh)]))=0,"",SUMIFS(expected_production[Expected Production (kWh)],expected_production[Site Name],A203,expected_production[Date],B203)),"")</f>
        <v>46748.910779999998</v>
      </c>
      <c r="E203" s="9">
        <f t="shared" si="6"/>
        <v>1.1396843073142506</v>
      </c>
      <c r="F203" t="str">
        <f t="shared" si="7"/>
        <v>Expected</v>
      </c>
    </row>
    <row r="204" spans="1:6" ht="15" customHeight="1" x14ac:dyDescent="0.3">
      <c r="A204" t="s">
        <v>60</v>
      </c>
      <c r="B204" s="2">
        <v>45962</v>
      </c>
      <c r="C204" cm="1">
        <f t="array" ref="C204">IFERROR(IF(SUMPRODUCT((measured[Site Name]=A204)*(measured[Date]=B204)*ISNUMBER(measured[Measured Value (kWh)]))=0,"",SUMIFS(measured[Measured Value (kWh)],measured[Site Name],A204,measured[Date],B204)),"")</f>
        <v>44434</v>
      </c>
      <c r="D204" cm="1">
        <f t="array" ref="D204">IFERROR(IF(SUMPRODUCT((expected_production[Site Name]=A204)*(expected_production[Date]=B204)*ISNUMBER(expected_production[Expected Production (kWh)]))=0,"",SUMIFS(expected_production[Expected Production (kWh)],expected_production[Site Name],A204,expected_production[Date],B204)),"")</f>
        <v>46388.481570000004</v>
      </c>
      <c r="E204" s="9">
        <f t="shared" si="6"/>
        <v>0.95786709321255326</v>
      </c>
      <c r="F204" t="str">
        <f t="shared" si="7"/>
        <v>Expected</v>
      </c>
    </row>
    <row r="205" spans="1:6" ht="15" customHeight="1" x14ac:dyDescent="0.3">
      <c r="A205" t="s">
        <v>60</v>
      </c>
      <c r="B205" s="2">
        <v>45992</v>
      </c>
      <c r="C205" cm="1">
        <f t="array" ref="C205">IFERROR(IF(SUMPRODUCT((measured[Site Name]=A205)*(measured[Date]=B205)*ISNUMBER(measured[Measured Value (kWh)]))=0,"",SUMIFS(measured[Measured Value (kWh)],measured[Site Name],A205,measured[Date],B205)),"")</f>
        <v>54661</v>
      </c>
      <c r="D205" cm="1">
        <f t="array" ref="D205">IFERROR(IF(SUMPRODUCT((expected_production[Site Name]=A205)*(expected_production[Date]=B205)*ISNUMBER(expected_production[Expected Production (kWh)]))=0,"",SUMIFS(expected_production[Expected Production (kWh)],expected_production[Site Name],A205,expected_production[Date],B205)),"")</f>
        <v>50640.311422710001</v>
      </c>
      <c r="E205" s="9">
        <f t="shared" si="6"/>
        <v>1.0793969954830667</v>
      </c>
      <c r="F205" t="str">
        <f t="shared" si="7"/>
        <v>Expected</v>
      </c>
    </row>
    <row r="206" spans="1:6" ht="15" customHeight="1" x14ac:dyDescent="0.3">
      <c r="A206" t="s">
        <v>60</v>
      </c>
      <c r="B206" s="2">
        <v>46023</v>
      </c>
      <c r="C206" cm="1">
        <f t="array" ref="C206">IFERROR(IF(SUMPRODUCT((measured[Site Name]=A206)*(measured[Date]=B206)*ISNUMBER(measured[Measured Value (kWh)]))=0,"",SUMIFS(measured[Measured Value (kWh)],measured[Site Name],A206,measured[Date],B206)),"")</f>
        <v>47457</v>
      </c>
      <c r="D206" cm="1">
        <f t="array" ref="D206">IFERROR(IF(SUMPRODUCT((expected_production[Site Name]=A206)*(expected_production[Date]=B206)*ISNUMBER(expected_production[Expected Production (kWh)]))=0,"",SUMIFS(expected_production[Expected Production (kWh)],expected_production[Site Name],A206,expected_production[Date],B206)),"")</f>
        <v>51314.734709999997</v>
      </c>
      <c r="E206" s="9">
        <f t="shared" si="6"/>
        <v>0.92482208605770655</v>
      </c>
      <c r="F206" t="str">
        <f t="shared" si="7"/>
        <v>Expected</v>
      </c>
    </row>
    <row r="207" spans="1:6" ht="15" customHeight="1" x14ac:dyDescent="0.3">
      <c r="A207" t="s">
        <v>60</v>
      </c>
      <c r="B207" s="2">
        <v>46054</v>
      </c>
      <c r="C207" cm="1">
        <f t="array" ref="C207">IFERROR(IF(SUMPRODUCT((measured[Site Name]=A207)*(measured[Date]=B207)*ISNUMBER(measured[Measured Value (kWh)]))=0,"",SUMIFS(measured[Measured Value (kWh)],measured[Site Name],A207,measured[Date],B207)),"")</f>
        <v>49608.853320000002</v>
      </c>
      <c r="D207" cm="1">
        <f t="array" ref="D207">IFERROR(IF(SUMPRODUCT((expected_production[Site Name]=A207)*(expected_production[Date]=B207)*ISNUMBER(expected_production[Expected Production (kWh)]))=0,"",SUMIFS(expected_production[Expected Production (kWh)],expected_production[Site Name],A207,expected_production[Date],B207)),"")</f>
        <v>44103.290670000002</v>
      </c>
      <c r="E207" s="9">
        <f t="shared" si="6"/>
        <v>1.1248333756135118</v>
      </c>
      <c r="F207" t="str">
        <f t="shared" si="7"/>
        <v>Expected</v>
      </c>
    </row>
    <row r="208" spans="1:6" ht="15" customHeight="1" x14ac:dyDescent="0.3">
      <c r="A208" t="s">
        <v>60</v>
      </c>
      <c r="B208" s="2">
        <v>46082</v>
      </c>
      <c r="C208" cm="1">
        <f t="array" ref="C208">IFERROR(IF(SUMPRODUCT((measured[Site Name]=A208)*(measured[Date]=B208)*ISNUMBER(measured[Measured Value (kWh)]))=0,"",SUMIFS(measured[Measured Value (kWh)],measured[Site Name],A208,measured[Date],B208)),"")</f>
        <v>41208</v>
      </c>
      <c r="D208" cm="1">
        <f t="array" ref="D208">IFERROR(IF(SUMPRODUCT((expected_production[Site Name]=A208)*(expected_production[Date]=B208)*ISNUMBER(expected_production[Expected Production (kWh)]))=0,"",SUMIFS(expected_production[Expected Production (kWh)],expected_production[Site Name],A208,expected_production[Date],B208)),"")</f>
        <v>48739.270049999999</v>
      </c>
      <c r="E208" s="9">
        <f t="shared" si="6"/>
        <v>0.84547839878861708</v>
      </c>
      <c r="F208" t="str">
        <f t="shared" si="7"/>
        <v>Moderate</v>
      </c>
    </row>
    <row r="209" spans="1:7" ht="15" customHeight="1" x14ac:dyDescent="0.3">
      <c r="A209" t="s">
        <v>60</v>
      </c>
      <c r="B209" s="2">
        <v>46113</v>
      </c>
      <c r="C209" s="5" cm="1">
        <f t="array" ref="C209">IFERROR(IF(SUMPRODUCT((measured[Site Name]=A209)*(measured[Date]=B209)*ISNUMBER(measured[Measured Value (kWh)]))=0,"",SUMIFS(measured[Measured Value (kWh)],measured[Site Name],A209,measured[Date],B209)),"")</f>
        <v>36936.35</v>
      </c>
      <c r="D209" cm="1">
        <f t="array" ref="D209">IFERROR(IF(SUMPRODUCT((expected_production[Site Name]=A209)*(expected_production[Date]=B209)*ISNUMBER(expected_production[Expected Production (kWh)]))=0,"",SUMIFS(expected_production[Expected Production (kWh)],expected_production[Site Name],A209,expected_production[Date],B209)),"")</f>
        <v>46849.898880000001</v>
      </c>
      <c r="E209" s="9">
        <f t="shared" si="6"/>
        <v>0.78839764616371355</v>
      </c>
      <c r="F209" t="str">
        <f t="shared" si="7"/>
        <v>Moderate</v>
      </c>
    </row>
    <row r="210" spans="1:7" ht="15" customHeight="1" x14ac:dyDescent="0.3">
      <c r="A210" t="s">
        <v>60</v>
      </c>
      <c r="B210" s="2">
        <v>46143</v>
      </c>
      <c r="C210" s="5" cm="1">
        <f t="array" ref="C210">IFERROR(IF(SUMPRODUCT((measured[Site Name]=A210)*(measured[Date]=B210)*ISNUMBER(measured[Measured Value (kWh)]))=0,"",SUMIFS(measured[Measured Value (kWh)],measured[Site Name],A210,measured[Date],B210)),"")</f>
        <v>38743.019999999997</v>
      </c>
      <c r="D210" cm="1">
        <f t="array" ref="D210">IFERROR(IF(SUMPRODUCT((expected_production[Site Name]=A210)*(expected_production[Date]=B210)*ISNUMBER(expected_production[Expected Production (kWh)]))=0,"",SUMIFS(expected_production[Expected Production (kWh)],expected_production[Site Name],A210,expected_production[Date],B210)),"")</f>
        <v>45273.233339999999</v>
      </c>
      <c r="E210" s="9">
        <f t="shared" si="6"/>
        <v>0.85575995222257739</v>
      </c>
      <c r="F210" t="str">
        <f t="shared" si="7"/>
        <v>Moderate</v>
      </c>
    </row>
    <row r="211" spans="1:7" ht="15" customHeight="1" x14ac:dyDescent="0.3">
      <c r="A211" t="s">
        <v>60</v>
      </c>
      <c r="B211" s="2">
        <v>46174</v>
      </c>
      <c r="C211" cm="1">
        <f t="array" ref="C211">IFERROR(IF(SUMPRODUCT((measured[Site Name]=A211)*(measured[Date]=B211)*ISNUMBER(measured[Measured Value (kWh)]))=0,"",SUMIFS(measured[Measured Value (kWh)],measured[Site Name],A211,measured[Date],B211)),"")</f>
        <v>31578.49</v>
      </c>
      <c r="D211" cm="1">
        <f t="array" ref="D211">IFERROR(IF(SUMPRODUCT((expected_production[Site Name]=A211)*(expected_production[Date]=B211)*ISNUMBER(expected_production[Expected Production (kWh)]))=0,"",SUMIFS(expected_production[Expected Production (kWh)],expected_production[Site Name],A211,expected_production[Date],B211)),"")</f>
        <v>40943.971799999999</v>
      </c>
      <c r="E211" s="9">
        <f t="shared" si="6"/>
        <v>0.7712610333519232</v>
      </c>
      <c r="F211" t="str">
        <f t="shared" si="7"/>
        <v>Moderate</v>
      </c>
    </row>
    <row r="212" spans="1:7" ht="15" customHeight="1" x14ac:dyDescent="0.3">
      <c r="A212" t="s">
        <v>60</v>
      </c>
      <c r="B212" s="2">
        <v>46204</v>
      </c>
      <c r="C212" cm="1">
        <f t="array" ref="C212">IFERROR(IF(SUMPRODUCT((measured[Site Name]=A212)*(measured[Date]=B212)*ISNUMBER(measured[Measured Value (kWh)]))=0,"",SUMIFS(measured[Measured Value (kWh)],measured[Site Name],A212,measured[Date],B212)),"")</f>
        <v>39160</v>
      </c>
      <c r="D212" cm="1">
        <f t="array" ref="D212">IFERROR(IF(SUMPRODUCT((expected_production[Site Name]=A212)*(expected_production[Date]=B212)*ISNUMBER(expected_production[Expected Production (kWh)]))=0,"",SUMIFS(expected_production[Expected Production (kWh)],expected_production[Site Name],A212,expected_production[Date],B212)),"")</f>
        <v>43112.802960000001</v>
      </c>
      <c r="E212" s="9">
        <f t="shared" si="6"/>
        <v>0.90831486963008634</v>
      </c>
      <c r="F212" t="str">
        <f t="shared" si="7"/>
        <v>Expected</v>
      </c>
      <c r="G212" t="s">
        <v>874</v>
      </c>
    </row>
    <row r="213" spans="1:7" ht="15" customHeight="1" x14ac:dyDescent="0.3">
      <c r="A213" t="s">
        <v>60</v>
      </c>
      <c r="B213" s="2">
        <v>46235</v>
      </c>
      <c r="C213" t="str" cm="1">
        <f t="array" ref="C213">IFERROR(IF(SUMPRODUCT((measured[Site Name]=A213)*(measured[Date]=B213)*ISNUMBER(measured[Measured Value (kWh)]))=0,"",SUMIFS(measured[Measured Value (kWh)],measured[Site Name],A213,measured[Date],B213)),"")</f>
        <v/>
      </c>
      <c r="D213" cm="1">
        <f t="array" ref="D213">IFERROR(IF(SUMPRODUCT((expected_production[Site Name]=A213)*(expected_production[Date]=B213)*ISNUMBER(expected_production[Expected Production (kWh)]))=0,"",SUMIFS(expected_production[Expected Production (kWh)],expected_production[Site Name],A213,expected_production[Date],B213)),"")</f>
        <v>48266.50275</v>
      </c>
      <c r="E213" s="9" t="str">
        <f t="shared" si="6"/>
        <v/>
      </c>
      <c r="F213" t="str">
        <f t="shared" si="7"/>
        <v/>
      </c>
    </row>
    <row r="214" spans="1:7" ht="15" customHeight="1" x14ac:dyDescent="0.3">
      <c r="A214" t="s">
        <v>60</v>
      </c>
      <c r="B214" s="2">
        <v>46266</v>
      </c>
      <c r="C214" t="str" cm="1">
        <f t="array" ref="C214">IFERROR(IF(SUMPRODUCT((measured[Site Name]=A214)*(measured[Date]=B214)*ISNUMBER(measured[Measured Value (kWh)]))=0,"",SUMIFS(measured[Measured Value (kWh)],measured[Site Name],A214,measured[Date],B214)),"")</f>
        <v/>
      </c>
      <c r="D214" cm="1">
        <f t="array" ref="D214">IFERROR(IF(SUMPRODUCT((expected_production[Site Name]=A214)*(expected_production[Date]=B214)*ISNUMBER(expected_production[Expected Production (kWh)]))=0,"",SUMIFS(expected_production[Expected Production (kWh)],expected_production[Site Name],A214,expected_production[Date],B214)),"")</f>
        <v>48602.891430000003</v>
      </c>
      <c r="E214" s="9" t="str">
        <f t="shared" si="6"/>
        <v/>
      </c>
      <c r="F214" t="str">
        <f t="shared" si="7"/>
        <v/>
      </c>
    </row>
    <row r="215" spans="1:7" ht="15" customHeight="1" x14ac:dyDescent="0.3">
      <c r="A215" t="s">
        <v>60</v>
      </c>
      <c r="B215" s="2">
        <v>46296</v>
      </c>
      <c r="C215" t="str" cm="1">
        <f t="array" ref="C215">IFERROR(IF(SUMPRODUCT((measured[Site Name]=A215)*(measured[Date]=B215)*ISNUMBER(measured[Measured Value (kWh)]))=0,"",SUMIFS(measured[Measured Value (kWh)],measured[Site Name],A215,measured[Date],B215)),"")</f>
        <v/>
      </c>
      <c r="D215" cm="1">
        <f t="array" ref="D215">IFERROR(IF(SUMPRODUCT((expected_production[Site Name]=A215)*(expected_production[Date]=B215)*ISNUMBER(expected_production[Expected Production (kWh)]))=0,"",SUMIFS(expected_production[Expected Production (kWh)],expected_production[Site Name],A215,expected_production[Date],B215)),"")</f>
        <v>46748.910779999998</v>
      </c>
      <c r="E215" s="9" t="str">
        <f t="shared" si="6"/>
        <v/>
      </c>
      <c r="F215" t="str">
        <f t="shared" si="7"/>
        <v/>
      </c>
    </row>
    <row r="216" spans="1:7" ht="15" customHeight="1" x14ac:dyDescent="0.3">
      <c r="A216" t="s">
        <v>60</v>
      </c>
      <c r="B216" s="2">
        <v>46327</v>
      </c>
      <c r="C216" t="str" cm="1">
        <f t="array" ref="C216">IFERROR(IF(SUMPRODUCT((measured[Site Name]=A216)*(measured[Date]=B216)*ISNUMBER(measured[Measured Value (kWh)]))=0,"",SUMIFS(measured[Measured Value (kWh)],measured[Site Name],A216,measured[Date],B216)),"")</f>
        <v/>
      </c>
      <c r="D216" cm="1">
        <f t="array" ref="D216">IFERROR(IF(SUMPRODUCT((expected_production[Site Name]=A216)*(expected_production[Date]=B216)*ISNUMBER(expected_production[Expected Production (kWh)]))=0,"",SUMIFS(expected_production[Expected Production (kWh)],expected_production[Site Name],A216,expected_production[Date],B216)),"")</f>
        <v>46388.481570000004</v>
      </c>
      <c r="E216" s="9" t="str">
        <f t="shared" si="6"/>
        <v/>
      </c>
      <c r="F216" t="str">
        <f t="shared" si="7"/>
        <v/>
      </c>
    </row>
    <row r="217" spans="1:7" ht="15" customHeight="1" x14ac:dyDescent="0.3">
      <c r="A217" t="s">
        <v>60</v>
      </c>
      <c r="B217" s="2">
        <v>46357</v>
      </c>
      <c r="C217" t="str" cm="1">
        <f t="array" ref="C217">IFERROR(IF(SUMPRODUCT((measured[Site Name]=A217)*(measured[Date]=B217)*ISNUMBER(measured[Measured Value (kWh)]))=0,"",SUMIFS(measured[Measured Value (kWh)],measured[Site Name],A217,measured[Date],B217)),"")</f>
        <v/>
      </c>
      <c r="D217" cm="1">
        <f t="array" ref="D217">IFERROR(IF(SUMPRODUCT((expected_production[Site Name]=A217)*(expected_production[Date]=B217)*ISNUMBER(expected_production[Expected Production (kWh)]))=0,"",SUMIFS(expected_production[Expected Production (kWh)],expected_production[Site Name],A217,expected_production[Date],B217)),"")</f>
        <v>50640.311422710001</v>
      </c>
      <c r="E217" s="9" t="str">
        <f t="shared" si="6"/>
        <v/>
      </c>
      <c r="F217" t="str">
        <f t="shared" si="7"/>
        <v/>
      </c>
    </row>
    <row r="218" spans="1:7" ht="15" customHeight="1" x14ac:dyDescent="0.3">
      <c r="A218" t="s">
        <v>61</v>
      </c>
      <c r="B218" s="2">
        <v>45292</v>
      </c>
      <c r="C218" cm="1">
        <f t="array" ref="C218">IFERROR(IF(SUMPRODUCT((measured[Site Name]=A218)*(measured[Date]=B218)*ISNUMBER(measured[Measured Value (kWh)]))=0,"",SUMIFS(measured[Measured Value (kWh)],measured[Site Name],A218,measured[Date],B218)),"")</f>
        <v>8244</v>
      </c>
      <c r="D218" cm="1">
        <f t="array" ref="D218">IFERROR(IF(SUMPRODUCT((expected_production[Site Name]=A218)*(expected_production[Date]=B218)*ISNUMBER(expected_production[Expected Production (kWh)]))=0,"",SUMIFS(expected_production[Expected Production (kWh)],expected_production[Site Name],A218,expected_production[Date],B218)),"")</f>
        <v>13787.1</v>
      </c>
      <c r="E218" s="9">
        <f t="shared" si="6"/>
        <v>0.59795025784972911</v>
      </c>
      <c r="F218" t="str">
        <f t="shared" si="7"/>
        <v>Poor</v>
      </c>
    </row>
    <row r="219" spans="1:7" ht="15" customHeight="1" x14ac:dyDescent="0.3">
      <c r="A219" t="s">
        <v>61</v>
      </c>
      <c r="B219" s="2">
        <v>45323</v>
      </c>
      <c r="C219" cm="1">
        <f t="array" ref="C219">IFERROR(IF(SUMPRODUCT((measured[Site Name]=A219)*(measured[Date]=B219)*ISNUMBER(measured[Measured Value (kWh)]))=0,"",SUMIFS(measured[Measured Value (kWh)],measured[Site Name],A219,measured[Date],B219)),"")</f>
        <v>7277</v>
      </c>
      <c r="D219" cm="1">
        <f t="array" ref="D219">IFERROR(IF(SUMPRODUCT((expected_production[Site Name]=A219)*(expected_production[Date]=B219)*ISNUMBER(expected_production[Expected Production (kWh)]))=0,"",SUMIFS(expected_production[Expected Production (kWh)],expected_production[Site Name],A219,expected_production[Date],B219)),"")</f>
        <v>11359.8</v>
      </c>
      <c r="E219" s="9">
        <f t="shared" si="6"/>
        <v>0.64059226394830904</v>
      </c>
      <c r="F219" t="str">
        <f t="shared" si="7"/>
        <v>Poor</v>
      </c>
    </row>
    <row r="220" spans="1:7" ht="15" customHeight="1" x14ac:dyDescent="0.3">
      <c r="A220" t="s">
        <v>61</v>
      </c>
      <c r="B220" s="2">
        <v>45352</v>
      </c>
      <c r="C220" cm="1">
        <f t="array" ref="C220">IFERROR(IF(SUMPRODUCT((measured[Site Name]=A220)*(measured[Date]=B220)*ISNUMBER(measured[Measured Value (kWh)]))=0,"",SUMIFS(measured[Measured Value (kWh)],measured[Site Name],A220,measured[Date],B220)),"")</f>
        <v>6614</v>
      </c>
      <c r="D220" cm="1">
        <f t="array" ref="D220">IFERROR(IF(SUMPRODUCT((expected_production[Site Name]=A220)*(expected_production[Date]=B220)*ISNUMBER(expected_production[Expected Production (kWh)]))=0,"",SUMIFS(expected_production[Expected Production (kWh)],expected_production[Site Name],A220,expected_production[Date],B220)),"")</f>
        <v>10881</v>
      </c>
      <c r="E220" s="9">
        <f t="shared" si="6"/>
        <v>0.60784854333241434</v>
      </c>
      <c r="F220" t="str">
        <f t="shared" si="7"/>
        <v>Poor</v>
      </c>
    </row>
    <row r="221" spans="1:7" ht="15" customHeight="1" x14ac:dyDescent="0.3">
      <c r="A221" t="s">
        <v>61</v>
      </c>
      <c r="B221" s="2">
        <v>45383</v>
      </c>
      <c r="C221" cm="1">
        <f t="array" ref="C221">IFERROR(IF(SUMPRODUCT((measured[Site Name]=A221)*(measured[Date]=B221)*ISNUMBER(measured[Measured Value (kWh)]))=0,"",SUMIFS(measured[Measured Value (kWh)],measured[Site Name],A221,measured[Date],B221)),"")</f>
        <v>4053</v>
      </c>
      <c r="D221" cm="1">
        <f t="array" ref="D221">IFERROR(IF(SUMPRODUCT((expected_production[Site Name]=A221)*(expected_production[Date]=B221)*ISNUMBER(expected_production[Expected Production (kWh)]))=0,"",SUMIFS(expected_production[Expected Production (kWh)],expected_production[Site Name],A221,expected_production[Date],B221)),"")</f>
        <v>7828.2</v>
      </c>
      <c r="E221" s="9">
        <f t="shared" si="6"/>
        <v>0.51774354257683763</v>
      </c>
      <c r="F221" t="str">
        <f t="shared" si="7"/>
        <v>Poor</v>
      </c>
    </row>
    <row r="222" spans="1:7" ht="15" customHeight="1" x14ac:dyDescent="0.3">
      <c r="A222" t="s">
        <v>61</v>
      </c>
      <c r="B222" s="2">
        <v>45413</v>
      </c>
      <c r="C222" cm="1">
        <f t="array" ref="C222">IFERROR(IF(SUMPRODUCT((measured[Site Name]=A222)*(measured[Date]=B222)*ISNUMBER(measured[Measured Value (kWh)]))=0,"",SUMIFS(measured[Measured Value (kWh)],measured[Site Name],A222,measured[Date],B222)),"")</f>
        <v>3743</v>
      </c>
      <c r="D222" cm="1">
        <f t="array" ref="D222">IFERROR(IF(SUMPRODUCT((expected_production[Site Name]=A222)*(expected_production[Date]=B222)*ISNUMBER(expected_production[Expected Production (kWh)]))=0,"",SUMIFS(expected_production[Expected Production (kWh)],expected_production[Site Name],A222,expected_production[Date],B222)),"")</f>
        <v>5953.5</v>
      </c>
      <c r="E222" s="9">
        <f t="shared" si="6"/>
        <v>0.62870580330897796</v>
      </c>
      <c r="F222" t="str">
        <f t="shared" si="7"/>
        <v>Poor</v>
      </c>
    </row>
    <row r="223" spans="1:7" ht="15" customHeight="1" x14ac:dyDescent="0.3">
      <c r="A223" t="s">
        <v>61</v>
      </c>
      <c r="B223" s="2">
        <v>45444</v>
      </c>
      <c r="C223" cm="1">
        <f t="array" ref="C223">IFERROR(IF(SUMPRODUCT((measured[Site Name]=A223)*(measured[Date]=B223)*ISNUMBER(measured[Measured Value (kWh)]))=0,"",SUMIFS(measured[Measured Value (kWh)],measured[Site Name],A223,measured[Date],B223)),"")</f>
        <v>3473</v>
      </c>
      <c r="D223" cm="1">
        <f t="array" ref="D223">IFERROR(IF(SUMPRODUCT((expected_production[Site Name]=A223)*(expected_production[Date]=B223)*ISNUMBER(expected_production[Expected Production (kWh)]))=0,"",SUMIFS(expected_production[Expected Production (kWh)],expected_production[Site Name],A223,expected_production[Date],B223)),"")</f>
        <v>5166</v>
      </c>
      <c r="E223" s="9">
        <f t="shared" si="6"/>
        <v>0.6722802942315137</v>
      </c>
      <c r="F223" t="str">
        <f t="shared" si="7"/>
        <v>Poor</v>
      </c>
    </row>
    <row r="224" spans="1:7" ht="15" customHeight="1" x14ac:dyDescent="0.3">
      <c r="A224" t="s">
        <v>61</v>
      </c>
      <c r="B224" s="2">
        <v>45474</v>
      </c>
      <c r="C224" cm="1">
        <f t="array" ref="C224">IFERROR(IF(SUMPRODUCT((measured[Site Name]=A224)*(measured[Date]=B224)*ISNUMBER(measured[Measured Value (kWh)]))=0,"",SUMIFS(measured[Measured Value (kWh)],measured[Site Name],A224,measured[Date],B224)),"")</f>
        <v>4260</v>
      </c>
      <c r="D224" cm="1">
        <f t="array" ref="D224">IFERROR(IF(SUMPRODUCT((expected_production[Site Name]=A224)*(expected_production[Date]=B224)*ISNUMBER(expected_production[Expected Production (kWh)]))=0,"",SUMIFS(expected_production[Expected Production (kWh)],expected_production[Site Name],A224,expected_production[Date],B224)),"")</f>
        <v>5564.7</v>
      </c>
      <c r="E224" s="9">
        <f t="shared" ref="E224:E287" si="8">IF(OR(C224="",D224="",D224=0),"",C224/D224)</f>
        <v>0.76553992128955739</v>
      </c>
      <c r="F224" t="str">
        <f t="shared" ref="F224:F287" si="9">IF(E224="","",IF(E224&gt;=0.9,"Expected",IF(E224&gt;=0.7,"Moderate","Poor")))</f>
        <v>Moderate</v>
      </c>
    </row>
    <row r="225" spans="1:6" ht="15" customHeight="1" x14ac:dyDescent="0.3">
      <c r="A225" t="s">
        <v>61</v>
      </c>
      <c r="B225" s="2">
        <v>45505</v>
      </c>
      <c r="C225" cm="1">
        <f t="array" ref="C225">IFERROR(IF(SUMPRODUCT((measured[Site Name]=A225)*(measured[Date]=B225)*ISNUMBER(measured[Measured Value (kWh)]))=0,"",SUMIFS(measured[Measured Value (kWh)],measured[Site Name],A225,measured[Date],B225)),"")</f>
        <v>5497</v>
      </c>
      <c r="D225" cm="1">
        <f t="array" ref="D225">IFERROR(IF(SUMPRODUCT((expected_production[Site Name]=A225)*(expected_production[Date]=B225)*ISNUMBER(expected_production[Expected Production (kWh)]))=0,"",SUMIFS(expected_production[Expected Production (kWh)],expected_production[Site Name],A225,expected_production[Date],B225)),"")</f>
        <v>6960.6</v>
      </c>
      <c r="E225" s="9">
        <f t="shared" si="8"/>
        <v>0.78973077033589056</v>
      </c>
      <c r="F225" t="str">
        <f t="shared" si="9"/>
        <v>Moderate</v>
      </c>
    </row>
    <row r="226" spans="1:6" ht="15" customHeight="1" x14ac:dyDescent="0.3">
      <c r="A226" t="s">
        <v>61</v>
      </c>
      <c r="B226" s="2">
        <v>45536</v>
      </c>
      <c r="C226" cm="1">
        <f t="array" ref="C226">IFERROR(IF(SUMPRODUCT((measured[Site Name]=A226)*(measured[Date]=B226)*ISNUMBER(measured[Measured Value (kWh)]))=0,"",SUMIFS(measured[Measured Value (kWh)],measured[Site Name],A226,measured[Date],B226)),"")</f>
        <v>2600</v>
      </c>
      <c r="D226" cm="1">
        <f t="array" ref="D226">IFERROR(IF(SUMPRODUCT((expected_production[Site Name]=A226)*(expected_production[Date]=B226)*ISNUMBER(expected_production[Expected Production (kWh)]))=0,"",SUMIFS(expected_production[Expected Production (kWh)],expected_production[Site Name],A226,expected_production[Date],B226)),"")</f>
        <v>8946</v>
      </c>
      <c r="E226" s="9">
        <f t="shared" si="8"/>
        <v>0.29063268499888217</v>
      </c>
      <c r="F226" t="str">
        <f t="shared" si="9"/>
        <v>Poor</v>
      </c>
    </row>
    <row r="227" spans="1:6" ht="15" customHeight="1" x14ac:dyDescent="0.3">
      <c r="A227" t="s">
        <v>61</v>
      </c>
      <c r="B227" s="2">
        <v>45566</v>
      </c>
      <c r="C227" cm="1">
        <f t="array" ref="C227">IFERROR(IF(SUMPRODUCT((measured[Site Name]=A227)*(measured[Date]=B227)*ISNUMBER(measured[Measured Value (kWh)]))=0,"",SUMIFS(measured[Measured Value (kWh)],measured[Site Name],A227,measured[Date],B227)),"")</f>
        <v>8200</v>
      </c>
      <c r="D227" cm="1">
        <f t="array" ref="D227">IFERROR(IF(SUMPRODUCT((expected_production[Site Name]=A227)*(expected_production[Date]=B227)*ISNUMBER(expected_production[Expected Production (kWh)]))=0,"",SUMIFS(expected_production[Expected Production (kWh)],expected_production[Site Name],A227,expected_production[Date],B227)),"")</f>
        <v>11314.8</v>
      </c>
      <c r="E227" s="9">
        <f t="shared" si="8"/>
        <v>0.72471453317778489</v>
      </c>
      <c r="F227" t="str">
        <f t="shared" si="9"/>
        <v>Moderate</v>
      </c>
    </row>
    <row r="228" spans="1:6" ht="15" customHeight="1" x14ac:dyDescent="0.3">
      <c r="A228" t="s">
        <v>61</v>
      </c>
      <c r="B228" s="2">
        <v>45597</v>
      </c>
      <c r="C228" cm="1">
        <f t="array" ref="C228">IFERROR(IF(SUMPRODUCT((measured[Site Name]=A228)*(measured[Date]=B228)*ISNUMBER(measured[Measured Value (kWh)]))=0,"",SUMIFS(measured[Measured Value (kWh)],measured[Site Name],A228,measured[Date],B228)),"")</f>
        <v>6700</v>
      </c>
      <c r="D228" cm="1">
        <f t="array" ref="D228">IFERROR(IF(SUMPRODUCT((expected_production[Site Name]=A228)*(expected_production[Date]=B228)*ISNUMBER(expected_production[Expected Production (kWh)]))=0,"",SUMIFS(expected_production[Expected Production (kWh)],expected_production[Site Name],A228,expected_production[Date],B228)),"")</f>
        <v>12713.4</v>
      </c>
      <c r="E228" s="9">
        <f t="shared" si="8"/>
        <v>0.52700300470369843</v>
      </c>
      <c r="F228" t="str">
        <f t="shared" si="9"/>
        <v>Poor</v>
      </c>
    </row>
    <row r="229" spans="1:6" ht="15" customHeight="1" x14ac:dyDescent="0.3">
      <c r="A229" t="s">
        <v>61</v>
      </c>
      <c r="B229" s="2">
        <v>45627</v>
      </c>
      <c r="C229" cm="1">
        <f t="array" ref="C229">IFERROR(IF(SUMPRODUCT((measured[Site Name]=A229)*(measured[Date]=B229)*ISNUMBER(measured[Measured Value (kWh)]))=0,"",SUMIFS(measured[Measured Value (kWh)],measured[Site Name],A229,measured[Date],B229)),"")</f>
        <v>8100</v>
      </c>
      <c r="D229" cm="1">
        <f t="array" ref="D229">IFERROR(IF(SUMPRODUCT((expected_production[Site Name]=A229)*(expected_production[Date]=B229)*ISNUMBER(expected_production[Expected Production (kWh)]))=0,"",SUMIFS(expected_production[Expected Production (kWh)],expected_production[Site Name],A229,expected_production[Date],B229)),"")</f>
        <v>13878.9</v>
      </c>
      <c r="E229" s="9">
        <f t="shared" si="8"/>
        <v>0.58361973931651645</v>
      </c>
      <c r="F229" t="str">
        <f t="shared" si="9"/>
        <v>Poor</v>
      </c>
    </row>
    <row r="230" spans="1:6" ht="15" customHeight="1" x14ac:dyDescent="0.3">
      <c r="A230" t="s">
        <v>61</v>
      </c>
      <c r="B230" s="2">
        <v>45658</v>
      </c>
      <c r="C230" cm="1">
        <f t="array" ref="C230">IFERROR(IF(SUMPRODUCT((measured[Site Name]=A230)*(measured[Date]=B230)*ISNUMBER(measured[Measured Value (kWh)]))=0,"",SUMIFS(measured[Measured Value (kWh)],measured[Site Name],A230,measured[Date],B230)),"")</f>
        <v>9900</v>
      </c>
      <c r="D230" cm="1">
        <f t="array" ref="D230">IFERROR(IF(SUMPRODUCT((expected_production[Site Name]=A230)*(expected_production[Date]=B230)*ISNUMBER(expected_production[Expected Production (kWh)]))=0,"",SUMIFS(expected_production[Expected Production (kWh)],expected_production[Site Name],A230,expected_production[Date],B230)),"")</f>
        <v>13787.1</v>
      </c>
      <c r="E230" s="9">
        <f t="shared" si="8"/>
        <v>0.71806253671910703</v>
      </c>
      <c r="F230" t="str">
        <f t="shared" si="9"/>
        <v>Moderate</v>
      </c>
    </row>
    <row r="231" spans="1:6" ht="15" customHeight="1" x14ac:dyDescent="0.3">
      <c r="A231" t="s">
        <v>61</v>
      </c>
      <c r="B231" s="2">
        <v>45689</v>
      </c>
      <c r="C231" cm="1">
        <f t="array" ref="C231">IFERROR(IF(SUMPRODUCT((measured[Site Name]=A231)*(measured[Date]=B231)*ISNUMBER(measured[Measured Value (kWh)]))=0,"",SUMIFS(measured[Measured Value (kWh)],measured[Site Name],A231,measured[Date],B231)),"")</f>
        <v>9200</v>
      </c>
      <c r="D231" cm="1">
        <f t="array" ref="D231">IFERROR(IF(SUMPRODUCT((expected_production[Site Name]=A231)*(expected_production[Date]=B231)*ISNUMBER(expected_production[Expected Production (kWh)]))=0,"",SUMIFS(expected_production[Expected Production (kWh)],expected_production[Site Name],A231,expected_production[Date],B231)),"")</f>
        <v>11359.8</v>
      </c>
      <c r="E231" s="9">
        <f t="shared" si="8"/>
        <v>0.80987341326431805</v>
      </c>
      <c r="F231" t="str">
        <f t="shared" si="9"/>
        <v>Moderate</v>
      </c>
    </row>
    <row r="232" spans="1:6" ht="15" customHeight="1" x14ac:dyDescent="0.3">
      <c r="A232" t="s">
        <v>61</v>
      </c>
      <c r="B232" s="2">
        <v>45717</v>
      </c>
      <c r="C232" cm="1">
        <f t="array" ref="C232">IFERROR(IF(SUMPRODUCT((measured[Site Name]=A232)*(measured[Date]=B232)*ISNUMBER(measured[Measured Value (kWh)]))=0,"",SUMIFS(measured[Measured Value (kWh)],measured[Site Name],A232,measured[Date],B232)),"")</f>
        <v>4480</v>
      </c>
      <c r="D232" cm="1">
        <f t="array" ref="D232">IFERROR(IF(SUMPRODUCT((expected_production[Site Name]=A232)*(expected_production[Date]=B232)*ISNUMBER(expected_production[Expected Production (kWh)]))=0,"",SUMIFS(expected_production[Expected Production (kWh)],expected_production[Site Name],A232,expected_production[Date],B232)),"")</f>
        <v>10881</v>
      </c>
      <c r="E232" s="9">
        <f t="shared" si="8"/>
        <v>0.41172686333976655</v>
      </c>
      <c r="F232" t="str">
        <f t="shared" si="9"/>
        <v>Poor</v>
      </c>
    </row>
    <row r="233" spans="1:6" ht="15" customHeight="1" x14ac:dyDescent="0.3">
      <c r="A233" t="s">
        <v>61</v>
      </c>
      <c r="B233" s="2">
        <v>45748</v>
      </c>
      <c r="C233" cm="1">
        <f t="array" ref="C233">IFERROR(IF(SUMPRODUCT((measured[Site Name]=A233)*(measured[Date]=B233)*ISNUMBER(measured[Measured Value (kWh)]))=0,"",SUMIFS(measured[Measured Value (kWh)],measured[Site Name],A233,measured[Date],B233)),"")</f>
        <v>4096</v>
      </c>
      <c r="D233" cm="1">
        <f t="array" ref="D233">IFERROR(IF(SUMPRODUCT((expected_production[Site Name]=A233)*(expected_production[Date]=B233)*ISNUMBER(expected_production[Expected Production (kWh)]))=0,"",SUMIFS(expected_production[Expected Production (kWh)],expected_production[Site Name],A233,expected_production[Date],B233)),"")</f>
        <v>7828.2</v>
      </c>
      <c r="E233" s="9">
        <f t="shared" si="8"/>
        <v>0.52323650392171894</v>
      </c>
      <c r="F233" t="str">
        <f t="shared" si="9"/>
        <v>Poor</v>
      </c>
    </row>
    <row r="234" spans="1:6" ht="15" customHeight="1" x14ac:dyDescent="0.3">
      <c r="A234" t="s">
        <v>61</v>
      </c>
      <c r="B234" s="2">
        <v>45778</v>
      </c>
      <c r="C234" cm="1">
        <f t="array" ref="C234">IFERROR(IF(SUMPRODUCT((measured[Site Name]=A234)*(measured[Date]=B234)*ISNUMBER(measured[Measured Value (kWh)]))=0,"",SUMIFS(measured[Measured Value (kWh)],measured[Site Name],A234,measured[Date],B234)),"")</f>
        <v>3388</v>
      </c>
      <c r="D234" cm="1">
        <f t="array" ref="D234">IFERROR(IF(SUMPRODUCT((expected_production[Site Name]=A234)*(expected_production[Date]=B234)*ISNUMBER(expected_production[Expected Production (kWh)]))=0,"",SUMIFS(expected_production[Expected Production (kWh)],expected_production[Site Name],A234,expected_production[Date],B234)),"")</f>
        <v>5953.5</v>
      </c>
      <c r="E234" s="9">
        <f t="shared" si="8"/>
        <v>0.56907701352145801</v>
      </c>
      <c r="F234" t="str">
        <f t="shared" si="9"/>
        <v>Poor</v>
      </c>
    </row>
    <row r="235" spans="1:6" ht="15" customHeight="1" x14ac:dyDescent="0.3">
      <c r="A235" t="s">
        <v>61</v>
      </c>
      <c r="B235" s="2">
        <v>45809</v>
      </c>
      <c r="C235" cm="1">
        <f t="array" ref="C235">IFERROR(IF(SUMPRODUCT((measured[Site Name]=A235)*(measured[Date]=B235)*ISNUMBER(measured[Measured Value (kWh)]))=0,"",SUMIFS(measured[Measured Value (kWh)],measured[Site Name],A235,measured[Date],B235)),"")</f>
        <v>2306.13</v>
      </c>
      <c r="D235" cm="1">
        <f t="array" ref="D235">IFERROR(IF(SUMPRODUCT((expected_production[Site Name]=A235)*(expected_production[Date]=B235)*ISNUMBER(expected_production[Expected Production (kWh)]))=0,"",SUMIFS(expected_production[Expected Production (kWh)],expected_production[Site Name],A235,expected_production[Date],B235)),"")</f>
        <v>5166</v>
      </c>
      <c r="E235" s="9">
        <f t="shared" si="8"/>
        <v>0.44640534262485482</v>
      </c>
      <c r="F235" t="str">
        <f t="shared" si="9"/>
        <v>Poor</v>
      </c>
    </row>
    <row r="236" spans="1:6" ht="15" customHeight="1" x14ac:dyDescent="0.3">
      <c r="A236" t="s">
        <v>61</v>
      </c>
      <c r="B236" s="2">
        <v>45839</v>
      </c>
      <c r="C236" cm="1">
        <f t="array" ref="C236">IFERROR(IF(SUMPRODUCT((measured[Site Name]=A236)*(measured[Date]=B236)*ISNUMBER(measured[Measured Value (kWh)]))=0,"",SUMIFS(measured[Measured Value (kWh)],measured[Site Name],A236,measured[Date],B236)),"")</f>
        <v>2919</v>
      </c>
      <c r="D236" cm="1">
        <f t="array" ref="D236">IFERROR(IF(SUMPRODUCT((expected_production[Site Name]=A236)*(expected_production[Date]=B236)*ISNUMBER(expected_production[Expected Production (kWh)]))=0,"",SUMIFS(expected_production[Expected Production (kWh)],expected_production[Site Name],A236,expected_production[Date],B236)),"")</f>
        <v>5564.7</v>
      </c>
      <c r="E236" s="9">
        <f t="shared" si="8"/>
        <v>0.52455657986953474</v>
      </c>
      <c r="F236" t="str">
        <f t="shared" si="9"/>
        <v>Poor</v>
      </c>
    </row>
    <row r="237" spans="1:6" ht="15" customHeight="1" x14ac:dyDescent="0.3">
      <c r="A237" t="s">
        <v>61</v>
      </c>
      <c r="B237" s="2">
        <v>45870</v>
      </c>
      <c r="C237" cm="1">
        <f t="array" ref="C237">IFERROR(IF(SUMPRODUCT((measured[Site Name]=A237)*(measured[Date]=B237)*ISNUMBER(measured[Measured Value (kWh)]))=0,"",SUMIFS(measured[Measured Value (kWh)],measured[Site Name],A237,measured[Date],B237)),"")</f>
        <v>5355</v>
      </c>
      <c r="D237" cm="1">
        <f t="array" ref="D237">IFERROR(IF(SUMPRODUCT((expected_production[Site Name]=A237)*(expected_production[Date]=B237)*ISNUMBER(expected_production[Expected Production (kWh)]))=0,"",SUMIFS(expected_production[Expected Production (kWh)],expected_production[Site Name],A237,expected_production[Date],B237)),"")</f>
        <v>6960.6</v>
      </c>
      <c r="E237" s="9">
        <f t="shared" si="8"/>
        <v>0.76933023015257307</v>
      </c>
      <c r="F237" t="str">
        <f t="shared" si="9"/>
        <v>Moderate</v>
      </c>
    </row>
    <row r="238" spans="1:6" ht="15" customHeight="1" x14ac:dyDescent="0.3">
      <c r="A238" t="s">
        <v>61</v>
      </c>
      <c r="B238" s="2">
        <v>45901</v>
      </c>
      <c r="C238" cm="1">
        <f t="array" ref="C238">IFERROR(IF(SUMPRODUCT((measured[Site Name]=A238)*(measured[Date]=B238)*ISNUMBER(measured[Measured Value (kWh)]))=0,"",SUMIFS(measured[Measured Value (kWh)],measured[Site Name],A238,measured[Date],B238)),"")</f>
        <v>8600</v>
      </c>
      <c r="D238" cm="1">
        <f t="array" ref="D238">IFERROR(IF(SUMPRODUCT((expected_production[Site Name]=A238)*(expected_production[Date]=B238)*ISNUMBER(expected_production[Expected Production (kWh)]))=0,"",SUMIFS(expected_production[Expected Production (kWh)],expected_production[Site Name],A238,expected_production[Date],B238)),"")</f>
        <v>8946</v>
      </c>
      <c r="E238" s="9">
        <f t="shared" si="8"/>
        <v>0.96132349653476412</v>
      </c>
      <c r="F238" t="str">
        <f t="shared" si="9"/>
        <v>Expected</v>
      </c>
    </row>
    <row r="239" spans="1:6" ht="15" customHeight="1" x14ac:dyDescent="0.3">
      <c r="A239" t="s">
        <v>61</v>
      </c>
      <c r="B239" s="2">
        <v>45931</v>
      </c>
      <c r="C239" cm="1">
        <f t="array" ref="C239">IFERROR(IF(SUMPRODUCT((measured[Site Name]=A239)*(measured[Date]=B239)*ISNUMBER(measured[Measured Value (kWh)]))=0,"",SUMIFS(measured[Measured Value (kWh)],measured[Site Name],A239,measured[Date],B239)),"")</f>
        <v>10599</v>
      </c>
      <c r="D239" cm="1">
        <f t="array" ref="D239">IFERROR(IF(SUMPRODUCT((expected_production[Site Name]=A239)*(expected_production[Date]=B239)*ISNUMBER(expected_production[Expected Production (kWh)]))=0,"",SUMIFS(expected_production[Expected Production (kWh)],expected_production[Site Name],A239,expected_production[Date],B239)),"")</f>
        <v>11314.8</v>
      </c>
      <c r="E239" s="9">
        <f t="shared" si="8"/>
        <v>0.93673772404284661</v>
      </c>
      <c r="F239" t="str">
        <f t="shared" si="9"/>
        <v>Expected</v>
      </c>
    </row>
    <row r="240" spans="1:6" ht="15" customHeight="1" x14ac:dyDescent="0.3">
      <c r="A240" t="s">
        <v>61</v>
      </c>
      <c r="B240" s="2">
        <v>45962</v>
      </c>
      <c r="C240" cm="1">
        <f t="array" ref="C240">IFERROR(IF(SUMPRODUCT((measured[Site Name]=A240)*(measured[Date]=B240)*ISNUMBER(measured[Measured Value (kWh)]))=0,"",SUMIFS(measured[Measured Value (kWh)],measured[Site Name],A240,measured[Date],B240)),"")</f>
        <v>12569</v>
      </c>
      <c r="D240" cm="1">
        <f t="array" ref="D240">IFERROR(IF(SUMPRODUCT((expected_production[Site Name]=A240)*(expected_production[Date]=B240)*ISNUMBER(expected_production[Expected Production (kWh)]))=0,"",SUMIFS(expected_production[Expected Production (kWh)],expected_production[Site Name],A240,expected_production[Date],B240)),"")</f>
        <v>12713.4</v>
      </c>
      <c r="E240" s="9">
        <f t="shared" si="8"/>
        <v>0.98864190539116215</v>
      </c>
      <c r="F240" t="str">
        <f t="shared" si="9"/>
        <v>Expected</v>
      </c>
    </row>
    <row r="241" spans="1:7" ht="15" customHeight="1" x14ac:dyDescent="0.3">
      <c r="A241" t="s">
        <v>61</v>
      </c>
      <c r="B241" s="2">
        <v>45992</v>
      </c>
      <c r="C241" cm="1">
        <f t="array" ref="C241">IFERROR(IF(SUMPRODUCT((measured[Site Name]=A241)*(measured[Date]=B241)*ISNUMBER(measured[Measured Value (kWh)]))=0,"",SUMIFS(measured[Measured Value (kWh)],measured[Site Name],A241,measured[Date],B241)),"")</f>
        <v>13572</v>
      </c>
      <c r="D241" cm="1">
        <f t="array" ref="D241">IFERROR(IF(SUMPRODUCT((expected_production[Site Name]=A241)*(expected_production[Date]=B241)*ISNUMBER(expected_production[Expected Production (kWh)]))=0,"",SUMIFS(expected_production[Expected Production (kWh)],expected_production[Site Name],A241,expected_production[Date],B241)),"")</f>
        <v>13878.9</v>
      </c>
      <c r="E241" s="9">
        <f t="shared" si="8"/>
        <v>0.97788729654367423</v>
      </c>
      <c r="F241" t="str">
        <f t="shared" si="9"/>
        <v>Expected</v>
      </c>
    </row>
    <row r="242" spans="1:7" ht="15" customHeight="1" x14ac:dyDescent="0.3">
      <c r="A242" t="s">
        <v>61</v>
      </c>
      <c r="B242" s="2">
        <v>46023</v>
      </c>
      <c r="C242" cm="1">
        <f t="array" ref="C242">IFERROR(IF(SUMPRODUCT((measured[Site Name]=A242)*(measured[Date]=B242)*ISNUMBER(measured[Measured Value (kWh)]))=0,"",SUMIFS(measured[Measured Value (kWh)],measured[Site Name],A242,measured[Date],B242)),"")</f>
        <v>13416</v>
      </c>
      <c r="D242" cm="1">
        <f t="array" ref="D242">IFERROR(IF(SUMPRODUCT((expected_production[Site Name]=A242)*(expected_production[Date]=B242)*ISNUMBER(expected_production[Expected Production (kWh)]))=0,"",SUMIFS(expected_production[Expected Production (kWh)],expected_production[Site Name],A242,expected_production[Date],B242)),"")</f>
        <v>13787.1</v>
      </c>
      <c r="E242" s="9">
        <f t="shared" si="8"/>
        <v>0.97308353460843833</v>
      </c>
      <c r="F242" t="str">
        <f t="shared" si="9"/>
        <v>Expected</v>
      </c>
    </row>
    <row r="243" spans="1:7" ht="15" customHeight="1" x14ac:dyDescent="0.3">
      <c r="A243" t="s">
        <v>61</v>
      </c>
      <c r="B243" s="2">
        <v>46054</v>
      </c>
      <c r="C243" cm="1">
        <f t="array" ref="C243">IFERROR(IF(SUMPRODUCT((measured[Site Name]=A243)*(measured[Date]=B243)*ISNUMBER(measured[Measured Value (kWh)]))=0,"",SUMIFS(measured[Measured Value (kWh)],measured[Site Name],A243,measured[Date],B243)),"")</f>
        <v>10034.177</v>
      </c>
      <c r="D243" cm="1">
        <f t="array" ref="D243">IFERROR(IF(SUMPRODUCT((expected_production[Site Name]=A243)*(expected_production[Date]=B243)*ISNUMBER(expected_production[Expected Production (kWh)]))=0,"",SUMIFS(expected_production[Expected Production (kWh)],expected_production[Site Name],A243,expected_production[Date],B243)),"")</f>
        <v>11359.8</v>
      </c>
      <c r="E243" s="9">
        <f t="shared" si="8"/>
        <v>0.88330578003133864</v>
      </c>
      <c r="F243" t="str">
        <f t="shared" si="9"/>
        <v>Moderate</v>
      </c>
    </row>
    <row r="244" spans="1:7" ht="15" customHeight="1" x14ac:dyDescent="0.3">
      <c r="A244" t="s">
        <v>61</v>
      </c>
      <c r="B244" s="2">
        <v>46082</v>
      </c>
      <c r="C244" cm="1">
        <f t="array" ref="C244">IFERROR(IF(SUMPRODUCT((measured[Site Name]=A244)*(measured[Date]=B244)*ISNUMBER(measured[Measured Value (kWh)]))=0,"",SUMIFS(measured[Measured Value (kWh)],measured[Site Name],A244,measured[Date],B244)),"")</f>
        <v>10400</v>
      </c>
      <c r="D244" cm="1">
        <f t="array" ref="D244">IFERROR(IF(SUMPRODUCT((expected_production[Site Name]=A244)*(expected_production[Date]=B244)*ISNUMBER(expected_production[Expected Production (kWh)]))=0,"",SUMIFS(expected_production[Expected Production (kWh)],expected_production[Site Name],A244,expected_production[Date],B244)),"")</f>
        <v>10881</v>
      </c>
      <c r="E244" s="9">
        <f t="shared" si="8"/>
        <v>0.95579450418160095</v>
      </c>
      <c r="F244" t="str">
        <f t="shared" si="9"/>
        <v>Expected</v>
      </c>
    </row>
    <row r="245" spans="1:7" ht="15" customHeight="1" x14ac:dyDescent="0.3">
      <c r="A245" t="s">
        <v>61</v>
      </c>
      <c r="B245" s="2">
        <v>46113</v>
      </c>
      <c r="C245" cm="1">
        <f t="array" ref="C245">IFERROR(IF(SUMPRODUCT((measured[Site Name]=A245)*(measured[Date]=B245)*ISNUMBER(measured[Measured Value (kWh)]))=0,"",SUMIFS(measured[Measured Value (kWh)],measured[Site Name],A245,measured[Date],B245)),"")</f>
        <v>7344.6</v>
      </c>
      <c r="D245" cm="1">
        <f t="array" ref="D245">IFERROR(IF(SUMPRODUCT((expected_production[Site Name]=A245)*(expected_production[Date]=B245)*ISNUMBER(expected_production[Expected Production (kWh)]))=0,"",SUMIFS(expected_production[Expected Production (kWh)],expected_production[Site Name],A245,expected_production[Date],B245)),"")</f>
        <v>7828.2</v>
      </c>
      <c r="E245" s="9">
        <f t="shared" si="8"/>
        <v>0.93822334636314864</v>
      </c>
      <c r="F245" t="str">
        <f t="shared" si="9"/>
        <v>Expected</v>
      </c>
    </row>
    <row r="246" spans="1:7" ht="15" customHeight="1" x14ac:dyDescent="0.3">
      <c r="A246" t="s">
        <v>61</v>
      </c>
      <c r="B246" s="2">
        <v>46143</v>
      </c>
      <c r="C246" cm="1">
        <f t="array" ref="C246">IFERROR(IF(SUMPRODUCT((measured[Site Name]=A246)*(measured[Date]=B246)*ISNUMBER(measured[Measured Value (kWh)]))=0,"",SUMIFS(measured[Measured Value (kWh)],measured[Site Name],A246,measured[Date],B246)),"")</f>
        <v>5508.9</v>
      </c>
      <c r="D246" cm="1">
        <f t="array" ref="D246">IFERROR(IF(SUMPRODUCT((expected_production[Site Name]=A246)*(expected_production[Date]=B246)*ISNUMBER(expected_production[Expected Production (kWh)]))=0,"",SUMIFS(expected_production[Expected Production (kWh)],expected_production[Site Name],A246,expected_production[Date],B246)),"")</f>
        <v>5953.5</v>
      </c>
      <c r="E246" s="9">
        <f t="shared" si="8"/>
        <v>0.92532123960695378</v>
      </c>
      <c r="F246" t="str">
        <f t="shared" si="9"/>
        <v>Expected</v>
      </c>
    </row>
    <row r="247" spans="1:7" ht="15" customHeight="1" x14ac:dyDescent="0.3">
      <c r="A247" t="s">
        <v>61</v>
      </c>
      <c r="B247" s="2">
        <v>46174</v>
      </c>
      <c r="C247" cm="1">
        <f t="array" ref="C247">IFERROR(IF(SUMPRODUCT((measured[Site Name]=A247)*(measured[Date]=B247)*ISNUMBER(measured[Measured Value (kWh)]))=0,"",SUMIFS(measured[Measured Value (kWh)],measured[Site Name],A247,measured[Date],B247)),"")</f>
        <v>5030.25</v>
      </c>
      <c r="D247" cm="1">
        <f t="array" ref="D247">IFERROR(IF(SUMPRODUCT((expected_production[Site Name]=A247)*(expected_production[Date]=B247)*ISNUMBER(expected_production[Expected Production (kWh)]))=0,"",SUMIFS(expected_production[Expected Production (kWh)],expected_production[Site Name],A247,expected_production[Date],B247)),"")</f>
        <v>5166</v>
      </c>
      <c r="E247" s="9">
        <f t="shared" si="8"/>
        <v>0.97372241579558649</v>
      </c>
      <c r="F247" t="str">
        <f t="shared" si="9"/>
        <v>Expected</v>
      </c>
    </row>
    <row r="248" spans="1:7" ht="15" customHeight="1" x14ac:dyDescent="0.3">
      <c r="A248" t="s">
        <v>61</v>
      </c>
      <c r="B248" s="2">
        <v>46204</v>
      </c>
      <c r="C248" cm="1">
        <f t="array" ref="C248">IFERROR(IF(SUMPRODUCT((measured[Site Name]=A248)*(measured[Date]=B248)*ISNUMBER(measured[Measured Value (kWh)]))=0,"",SUMIFS(measured[Measured Value (kWh)],measured[Site Name],A248,measured[Date],B248)),"")</f>
        <v>5251.38</v>
      </c>
      <c r="D248" cm="1">
        <f t="array" ref="D248">IFERROR(IF(SUMPRODUCT((expected_production[Site Name]=A248)*(expected_production[Date]=B248)*ISNUMBER(expected_production[Expected Production (kWh)]))=0,"",SUMIFS(expected_production[Expected Production (kWh)],expected_production[Site Name],A248,expected_production[Date],B248)),"")</f>
        <v>5564.7</v>
      </c>
      <c r="E248" s="9">
        <f t="shared" si="8"/>
        <v>0.94369507790177376</v>
      </c>
      <c r="F248" t="str">
        <f t="shared" si="9"/>
        <v>Expected</v>
      </c>
      <c r="G248" t="s">
        <v>874</v>
      </c>
    </row>
    <row r="249" spans="1:7" ht="15" customHeight="1" x14ac:dyDescent="0.3">
      <c r="A249" t="s">
        <v>61</v>
      </c>
      <c r="B249" s="2">
        <v>46235</v>
      </c>
      <c r="C249" t="str" cm="1">
        <f t="array" ref="C249">IFERROR(IF(SUMPRODUCT((measured[Site Name]=A249)*(measured[Date]=B249)*ISNUMBER(measured[Measured Value (kWh)]))=0,"",SUMIFS(measured[Measured Value (kWh)],measured[Site Name],A249,measured[Date],B249)),"")</f>
        <v/>
      </c>
      <c r="D249" cm="1">
        <f t="array" ref="D249">IFERROR(IF(SUMPRODUCT((expected_production[Site Name]=A249)*(expected_production[Date]=B249)*ISNUMBER(expected_production[Expected Production (kWh)]))=0,"",SUMIFS(expected_production[Expected Production (kWh)],expected_production[Site Name],A249,expected_production[Date],B249)),"")</f>
        <v>6960.6</v>
      </c>
      <c r="E249" s="9" t="str">
        <f t="shared" si="8"/>
        <v/>
      </c>
      <c r="F249" t="str">
        <f t="shared" si="9"/>
        <v/>
      </c>
    </row>
    <row r="250" spans="1:7" ht="15" customHeight="1" x14ac:dyDescent="0.3">
      <c r="A250" t="s">
        <v>61</v>
      </c>
      <c r="B250" s="2">
        <v>46266</v>
      </c>
      <c r="C250" t="str" cm="1">
        <f t="array" ref="C250">IFERROR(IF(SUMPRODUCT((measured[Site Name]=A250)*(measured[Date]=B250)*ISNUMBER(measured[Measured Value (kWh)]))=0,"",SUMIFS(measured[Measured Value (kWh)],measured[Site Name],A250,measured[Date],B250)),"")</f>
        <v/>
      </c>
      <c r="D250" cm="1">
        <f t="array" ref="D250">IFERROR(IF(SUMPRODUCT((expected_production[Site Name]=A250)*(expected_production[Date]=B250)*ISNUMBER(expected_production[Expected Production (kWh)]))=0,"",SUMIFS(expected_production[Expected Production (kWh)],expected_production[Site Name],A250,expected_production[Date],B250)),"")</f>
        <v>8946</v>
      </c>
      <c r="E250" s="9" t="str">
        <f t="shared" si="8"/>
        <v/>
      </c>
      <c r="F250" t="str">
        <f t="shared" si="9"/>
        <v/>
      </c>
    </row>
    <row r="251" spans="1:7" ht="15" customHeight="1" x14ac:dyDescent="0.3">
      <c r="A251" t="s">
        <v>61</v>
      </c>
      <c r="B251" s="2">
        <v>46296</v>
      </c>
      <c r="C251" t="str" cm="1">
        <f t="array" ref="C251">IFERROR(IF(SUMPRODUCT((measured[Site Name]=A251)*(measured[Date]=B251)*ISNUMBER(measured[Measured Value (kWh)]))=0,"",SUMIFS(measured[Measured Value (kWh)],measured[Site Name],A251,measured[Date],B251)),"")</f>
        <v/>
      </c>
      <c r="D251" cm="1">
        <f t="array" ref="D251">IFERROR(IF(SUMPRODUCT((expected_production[Site Name]=A251)*(expected_production[Date]=B251)*ISNUMBER(expected_production[Expected Production (kWh)]))=0,"",SUMIFS(expected_production[Expected Production (kWh)],expected_production[Site Name],A251,expected_production[Date],B251)),"")</f>
        <v>11314.8</v>
      </c>
      <c r="E251" s="9" t="str">
        <f t="shared" si="8"/>
        <v/>
      </c>
      <c r="F251" t="str">
        <f t="shared" si="9"/>
        <v/>
      </c>
    </row>
    <row r="252" spans="1:7" ht="15" customHeight="1" x14ac:dyDescent="0.3">
      <c r="A252" t="s">
        <v>61</v>
      </c>
      <c r="B252" s="2">
        <v>46327</v>
      </c>
      <c r="C252" t="str" cm="1">
        <f t="array" ref="C252">IFERROR(IF(SUMPRODUCT((measured[Site Name]=A252)*(measured[Date]=B252)*ISNUMBER(measured[Measured Value (kWh)]))=0,"",SUMIFS(measured[Measured Value (kWh)],measured[Site Name],A252,measured[Date],B252)),"")</f>
        <v/>
      </c>
      <c r="D252" cm="1">
        <f t="array" ref="D252">IFERROR(IF(SUMPRODUCT((expected_production[Site Name]=A252)*(expected_production[Date]=B252)*ISNUMBER(expected_production[Expected Production (kWh)]))=0,"",SUMIFS(expected_production[Expected Production (kWh)],expected_production[Site Name],A252,expected_production[Date],B252)),"")</f>
        <v>12713.4</v>
      </c>
      <c r="E252" s="9" t="str">
        <f t="shared" si="8"/>
        <v/>
      </c>
      <c r="F252" t="str">
        <f t="shared" si="9"/>
        <v/>
      </c>
    </row>
    <row r="253" spans="1:7" ht="15" customHeight="1" x14ac:dyDescent="0.3">
      <c r="A253" t="s">
        <v>61</v>
      </c>
      <c r="B253" s="2">
        <v>46357</v>
      </c>
      <c r="C253" t="str" cm="1">
        <f t="array" ref="C253">IFERROR(IF(SUMPRODUCT((measured[Site Name]=A253)*(measured[Date]=B253)*ISNUMBER(measured[Measured Value (kWh)]))=0,"",SUMIFS(measured[Measured Value (kWh)],measured[Site Name],A253,measured[Date],B253)),"")</f>
        <v/>
      </c>
      <c r="D253" cm="1">
        <f t="array" ref="D253">IFERROR(IF(SUMPRODUCT((expected_production[Site Name]=A253)*(expected_production[Date]=B253)*ISNUMBER(expected_production[Expected Production (kWh)]))=0,"",SUMIFS(expected_production[Expected Production (kWh)],expected_production[Site Name],A253,expected_production[Date],B253)),"")</f>
        <v>13878.9</v>
      </c>
      <c r="E253" s="9" t="str">
        <f t="shared" si="8"/>
        <v/>
      </c>
      <c r="F253" t="str">
        <f t="shared" si="9"/>
        <v/>
      </c>
    </row>
    <row r="254" spans="1:7" ht="15" customHeight="1" x14ac:dyDescent="0.3">
      <c r="A254" t="s">
        <v>66</v>
      </c>
      <c r="B254" s="2">
        <v>45292</v>
      </c>
      <c r="C254" t="str" cm="1">
        <f t="array" ref="C254">IFERROR(IF(SUMPRODUCT((measured[Site Name]=A254)*(measured[Date]=B254)*ISNUMBER(measured[Measured Value (kWh)]))=0,"",SUMIFS(measured[Measured Value (kWh)],measured[Site Name],A254,measured[Date],B254)),"")</f>
        <v/>
      </c>
      <c r="D254" cm="1">
        <f t="array" ref="D254">IFERROR(IF(SUMPRODUCT((expected_production[Site Name]=A254)*(expected_production[Date]=B254)*ISNUMBER(expected_production[Expected Production (kWh)]))=0,"",SUMIFS(expected_production[Expected Production (kWh)],expected_production[Site Name],A254,expected_production[Date],B254)),"")</f>
        <v>2202.3000000000002</v>
      </c>
      <c r="E254" s="9" t="str">
        <f t="shared" si="8"/>
        <v/>
      </c>
      <c r="F254" t="str">
        <f t="shared" si="9"/>
        <v/>
      </c>
    </row>
    <row r="255" spans="1:7" ht="15" customHeight="1" x14ac:dyDescent="0.3">
      <c r="A255" t="s">
        <v>66</v>
      </c>
      <c r="B255" s="2">
        <v>45323</v>
      </c>
      <c r="C255" t="str" cm="1">
        <f t="array" ref="C255">IFERROR(IF(SUMPRODUCT((measured[Site Name]=A255)*(measured[Date]=B255)*ISNUMBER(measured[Measured Value (kWh)]))=0,"",SUMIFS(measured[Measured Value (kWh)],measured[Site Name],A255,measured[Date],B255)),"")</f>
        <v/>
      </c>
      <c r="D255" cm="1">
        <f t="array" ref="D255">IFERROR(IF(SUMPRODUCT((expected_production[Site Name]=A255)*(expected_production[Date]=B255)*ISNUMBER(expected_production[Expected Production (kWh)]))=0,"",SUMIFS(expected_production[Expected Production (kWh)],expected_production[Site Name],A255,expected_production[Date],B255)),"")</f>
        <v>1983.6</v>
      </c>
      <c r="E255" s="9" t="str">
        <f t="shared" si="8"/>
        <v/>
      </c>
      <c r="F255" t="str">
        <f t="shared" si="9"/>
        <v/>
      </c>
    </row>
    <row r="256" spans="1:7" ht="15" customHeight="1" x14ac:dyDescent="0.3">
      <c r="A256" t="s">
        <v>66</v>
      </c>
      <c r="B256" s="2">
        <v>45352</v>
      </c>
      <c r="C256" t="str" cm="1">
        <f t="array" ref="C256">IFERROR(IF(SUMPRODUCT((measured[Site Name]=A256)*(measured[Date]=B256)*ISNUMBER(measured[Measured Value (kWh)]))=0,"",SUMIFS(measured[Measured Value (kWh)],measured[Site Name],A256,measured[Date],B256)),"")</f>
        <v/>
      </c>
      <c r="D256" cm="1">
        <f t="array" ref="D256">IFERROR(IF(SUMPRODUCT((expected_production[Site Name]=A256)*(expected_production[Date]=B256)*ISNUMBER(expected_production[Expected Production (kWh)]))=0,"",SUMIFS(expected_production[Expected Production (kWh)],expected_production[Site Name],A256,expected_production[Date],B256)),"")</f>
        <v>2127.6</v>
      </c>
      <c r="E256" s="9" t="str">
        <f t="shared" si="8"/>
        <v/>
      </c>
      <c r="F256" t="str">
        <f t="shared" si="9"/>
        <v/>
      </c>
    </row>
    <row r="257" spans="1:6" ht="15" customHeight="1" x14ac:dyDescent="0.3">
      <c r="A257" t="s">
        <v>66</v>
      </c>
      <c r="B257" s="2">
        <v>45383</v>
      </c>
      <c r="C257" t="str" cm="1">
        <f t="array" ref="C257">IFERROR(IF(SUMPRODUCT((measured[Site Name]=A257)*(measured[Date]=B257)*ISNUMBER(measured[Measured Value (kWh)]))=0,"",SUMIFS(measured[Measured Value (kWh)],measured[Site Name],A257,measured[Date],B257)),"")</f>
        <v/>
      </c>
      <c r="D257" cm="1">
        <f t="array" ref="D257">IFERROR(IF(SUMPRODUCT((expected_production[Site Name]=A257)*(expected_production[Date]=B257)*ISNUMBER(expected_production[Expected Production (kWh)]))=0,"",SUMIFS(expected_production[Expected Production (kWh)],expected_production[Site Name],A257,expected_production[Date],B257)),"")</f>
        <v>1767.6</v>
      </c>
      <c r="E257" s="9" t="str">
        <f t="shared" si="8"/>
        <v/>
      </c>
      <c r="F257" t="str">
        <f t="shared" si="9"/>
        <v/>
      </c>
    </row>
    <row r="258" spans="1:6" ht="15" customHeight="1" x14ac:dyDescent="0.3">
      <c r="A258" t="s">
        <v>66</v>
      </c>
      <c r="B258" s="2">
        <v>45413</v>
      </c>
      <c r="C258" t="str" cm="1">
        <f t="array" ref="C258">IFERROR(IF(SUMPRODUCT((measured[Site Name]=A258)*(measured[Date]=B258)*ISNUMBER(measured[Measured Value (kWh)]))=0,"",SUMIFS(measured[Measured Value (kWh)],measured[Site Name],A258,measured[Date],B258)),"")</f>
        <v/>
      </c>
      <c r="D258" cm="1">
        <f t="array" ref="D258">IFERROR(IF(SUMPRODUCT((expected_production[Site Name]=A258)*(expected_production[Date]=B258)*ISNUMBER(expected_production[Expected Production (kWh)]))=0,"",SUMIFS(expected_production[Expected Production (kWh)],expected_production[Site Name],A258,expected_production[Date],B258)),"")</f>
        <v>1631.7</v>
      </c>
      <c r="E258" s="9" t="str">
        <f t="shared" si="8"/>
        <v/>
      </c>
      <c r="F258" t="str">
        <f t="shared" si="9"/>
        <v/>
      </c>
    </row>
    <row r="259" spans="1:6" ht="15" customHeight="1" x14ac:dyDescent="0.3">
      <c r="A259" t="s">
        <v>66</v>
      </c>
      <c r="B259" s="2">
        <v>45444</v>
      </c>
      <c r="C259" t="str" cm="1">
        <f t="array" ref="C259">IFERROR(IF(SUMPRODUCT((measured[Site Name]=A259)*(measured[Date]=B259)*ISNUMBER(measured[Measured Value (kWh)]))=0,"",SUMIFS(measured[Measured Value (kWh)],measured[Site Name],A259,measured[Date],B259)),"")</f>
        <v/>
      </c>
      <c r="D259" cm="1">
        <f t="array" ref="D259">IFERROR(IF(SUMPRODUCT((expected_production[Site Name]=A259)*(expected_production[Date]=B259)*ISNUMBER(expected_production[Expected Production (kWh)]))=0,"",SUMIFS(expected_production[Expected Production (kWh)],expected_production[Site Name],A259,expected_production[Date],B259)),"")</f>
        <v>1480.5</v>
      </c>
      <c r="E259" s="9" t="str">
        <f t="shared" si="8"/>
        <v/>
      </c>
      <c r="F259" t="str">
        <f t="shared" si="9"/>
        <v/>
      </c>
    </row>
    <row r="260" spans="1:6" ht="15" customHeight="1" x14ac:dyDescent="0.3">
      <c r="A260" t="s">
        <v>66</v>
      </c>
      <c r="B260" s="2">
        <v>45474</v>
      </c>
      <c r="C260" t="str" cm="1">
        <f t="array" ref="C260">IFERROR(IF(SUMPRODUCT((measured[Site Name]=A260)*(measured[Date]=B260)*ISNUMBER(measured[Measured Value (kWh)]))=0,"",SUMIFS(measured[Measured Value (kWh)],measured[Site Name],A260,measured[Date],B260)),"")</f>
        <v/>
      </c>
      <c r="D260" cm="1">
        <f t="array" ref="D260">IFERROR(IF(SUMPRODUCT((expected_production[Site Name]=A260)*(expected_production[Date]=B260)*ISNUMBER(expected_production[Expected Production (kWh)]))=0,"",SUMIFS(expected_production[Expected Production (kWh)],expected_production[Site Name],A260,expected_production[Date],B260)),"")</f>
        <v>1612.8</v>
      </c>
      <c r="E260" s="9" t="str">
        <f t="shared" si="8"/>
        <v/>
      </c>
      <c r="F260" t="str">
        <f t="shared" si="9"/>
        <v/>
      </c>
    </row>
    <row r="261" spans="1:6" ht="15" customHeight="1" x14ac:dyDescent="0.3">
      <c r="A261" t="s">
        <v>66</v>
      </c>
      <c r="B261" s="2">
        <v>45505</v>
      </c>
      <c r="C261" t="str" cm="1">
        <f t="array" ref="C261">IFERROR(IF(SUMPRODUCT((measured[Site Name]=A261)*(measured[Date]=B261)*ISNUMBER(measured[Measured Value (kWh)]))=0,"",SUMIFS(measured[Measured Value (kWh)],measured[Site Name],A261,measured[Date],B261)),"")</f>
        <v/>
      </c>
      <c r="D261" cm="1">
        <f t="array" ref="D261">IFERROR(IF(SUMPRODUCT((expected_production[Site Name]=A261)*(expected_production[Date]=B261)*ISNUMBER(expected_production[Expected Production (kWh)]))=0,"",SUMIFS(expected_production[Expected Production (kWh)],expected_production[Site Name],A261,expected_production[Date],B261)),"")</f>
        <v>1764</v>
      </c>
      <c r="E261" s="9" t="str">
        <f t="shared" si="8"/>
        <v/>
      </c>
      <c r="F261" t="str">
        <f t="shared" si="9"/>
        <v/>
      </c>
    </row>
    <row r="262" spans="1:6" ht="15" customHeight="1" x14ac:dyDescent="0.3">
      <c r="A262" t="s">
        <v>66</v>
      </c>
      <c r="B262" s="2">
        <v>45536</v>
      </c>
      <c r="C262" t="str" cm="1">
        <f t="array" ref="C262">IFERROR(IF(SUMPRODUCT((measured[Site Name]=A262)*(measured[Date]=B262)*ISNUMBER(measured[Measured Value (kWh)]))=0,"",SUMIFS(measured[Measured Value (kWh)],measured[Site Name],A262,measured[Date],B262)),"")</f>
        <v/>
      </c>
      <c r="D262" cm="1">
        <f t="array" ref="D262">IFERROR(IF(SUMPRODUCT((expected_production[Site Name]=A262)*(expected_production[Date]=B262)*ISNUMBER(expected_production[Expected Production (kWh)]))=0,"",SUMIFS(expected_production[Expected Production (kWh)],expected_production[Site Name],A262,expected_production[Date],B262)),"")</f>
        <v>1868.4</v>
      </c>
      <c r="E262" s="9" t="str">
        <f t="shared" si="8"/>
        <v/>
      </c>
      <c r="F262" t="str">
        <f t="shared" si="9"/>
        <v/>
      </c>
    </row>
    <row r="263" spans="1:6" ht="15" customHeight="1" x14ac:dyDescent="0.3">
      <c r="A263" t="s">
        <v>66</v>
      </c>
      <c r="B263" s="2">
        <v>45566</v>
      </c>
      <c r="C263" t="str" cm="1">
        <f t="array" ref="C263">IFERROR(IF(SUMPRODUCT((measured[Site Name]=A263)*(measured[Date]=B263)*ISNUMBER(measured[Measured Value (kWh)]))=0,"",SUMIFS(measured[Measured Value (kWh)],measured[Site Name],A263,measured[Date],B263)),"")</f>
        <v/>
      </c>
      <c r="D263" cm="1">
        <f t="array" ref="D263">IFERROR(IF(SUMPRODUCT((expected_production[Site Name]=A263)*(expected_production[Date]=B263)*ISNUMBER(expected_production[Expected Production (kWh)]))=0,"",SUMIFS(expected_production[Expected Production (kWh)],expected_production[Site Name],A263,expected_production[Date],B263)),"")</f>
        <v>1900.8</v>
      </c>
      <c r="E263" s="9" t="str">
        <f t="shared" si="8"/>
        <v/>
      </c>
      <c r="F263" t="str">
        <f t="shared" si="9"/>
        <v/>
      </c>
    </row>
    <row r="264" spans="1:6" ht="15" customHeight="1" x14ac:dyDescent="0.3">
      <c r="A264" t="s">
        <v>66</v>
      </c>
      <c r="B264" s="2">
        <v>45597</v>
      </c>
      <c r="C264" t="str" cm="1">
        <f t="array" ref="C264">IFERROR(IF(SUMPRODUCT((measured[Site Name]=A264)*(measured[Date]=B264)*ISNUMBER(measured[Measured Value (kWh)]))=0,"",SUMIFS(measured[Measured Value (kWh)],measured[Site Name],A264,measured[Date],B264)),"")</f>
        <v/>
      </c>
      <c r="D264" cm="1">
        <f t="array" ref="D264">IFERROR(IF(SUMPRODUCT((expected_production[Site Name]=A264)*(expected_production[Date]=B264)*ISNUMBER(expected_production[Expected Production (kWh)]))=0,"",SUMIFS(expected_production[Expected Production (kWh)],expected_production[Site Name],A264,expected_production[Date],B264)),"")</f>
        <v>1835.1</v>
      </c>
      <c r="E264" s="9" t="str">
        <f t="shared" si="8"/>
        <v/>
      </c>
      <c r="F264" t="str">
        <f t="shared" si="9"/>
        <v/>
      </c>
    </row>
    <row r="265" spans="1:6" ht="15" customHeight="1" x14ac:dyDescent="0.3">
      <c r="A265" t="s">
        <v>66</v>
      </c>
      <c r="B265" s="2">
        <v>45627</v>
      </c>
      <c r="C265" t="str" cm="1">
        <f t="array" ref="C265">IFERROR(IF(SUMPRODUCT((measured[Site Name]=A265)*(measured[Date]=B265)*ISNUMBER(measured[Measured Value (kWh)]))=0,"",SUMIFS(measured[Measured Value (kWh)],measured[Site Name],A265,measured[Date],B265)),"")</f>
        <v/>
      </c>
      <c r="D265" cm="1">
        <f t="array" ref="D265">IFERROR(IF(SUMPRODUCT((expected_production[Site Name]=A265)*(expected_production[Date]=B265)*ISNUMBER(expected_production[Expected Production (kWh)]))=0,"",SUMIFS(expected_production[Expected Production (kWh)],expected_production[Site Name],A265,expected_production[Date],B265)),"")</f>
        <v>1986.3</v>
      </c>
      <c r="E265" s="9" t="str">
        <f t="shared" si="8"/>
        <v/>
      </c>
      <c r="F265" t="str">
        <f t="shared" si="9"/>
        <v/>
      </c>
    </row>
    <row r="266" spans="1:6" ht="15" customHeight="1" x14ac:dyDescent="0.3">
      <c r="A266" t="s">
        <v>66</v>
      </c>
      <c r="B266" s="2">
        <v>45658</v>
      </c>
      <c r="C266" t="str" cm="1">
        <f t="array" ref="C266">IFERROR(IF(SUMPRODUCT((measured[Site Name]=A266)*(measured[Date]=B266)*ISNUMBER(measured[Measured Value (kWh)]))=0,"",SUMIFS(measured[Measured Value (kWh)],measured[Site Name],A266,measured[Date],B266)),"")</f>
        <v/>
      </c>
      <c r="D266" cm="1">
        <f t="array" ref="D266">IFERROR(IF(SUMPRODUCT((expected_production[Site Name]=A266)*(expected_production[Date]=B266)*ISNUMBER(expected_production[Expected Production (kWh)]))=0,"",SUMIFS(expected_production[Expected Production (kWh)],expected_production[Site Name],A266,expected_production[Date],B266)),"")</f>
        <v>2202.3000000000002</v>
      </c>
      <c r="E266" s="9" t="str">
        <f t="shared" si="8"/>
        <v/>
      </c>
      <c r="F266" t="str">
        <f t="shared" si="9"/>
        <v/>
      </c>
    </row>
    <row r="267" spans="1:6" ht="15" customHeight="1" x14ac:dyDescent="0.3">
      <c r="A267" t="s">
        <v>66</v>
      </c>
      <c r="B267" s="2">
        <v>45689</v>
      </c>
      <c r="C267" t="str" cm="1">
        <f t="array" ref="C267">IFERROR(IF(SUMPRODUCT((measured[Site Name]=A267)*(measured[Date]=B267)*ISNUMBER(measured[Measured Value (kWh)]))=0,"",SUMIFS(measured[Measured Value (kWh)],measured[Site Name],A267,measured[Date],B267)),"")</f>
        <v/>
      </c>
      <c r="D267" cm="1">
        <f t="array" ref="D267">IFERROR(IF(SUMPRODUCT((expected_production[Site Name]=A267)*(expected_production[Date]=B267)*ISNUMBER(expected_production[Expected Production (kWh)]))=0,"",SUMIFS(expected_production[Expected Production (kWh)],expected_production[Site Name],A267,expected_production[Date],B267)),"")</f>
        <v>1983.6</v>
      </c>
      <c r="E267" s="9" t="str">
        <f t="shared" si="8"/>
        <v/>
      </c>
      <c r="F267" t="str">
        <f t="shared" si="9"/>
        <v/>
      </c>
    </row>
    <row r="268" spans="1:6" ht="15" customHeight="1" x14ac:dyDescent="0.3">
      <c r="A268" t="s">
        <v>66</v>
      </c>
      <c r="B268" s="2">
        <v>45717</v>
      </c>
      <c r="C268" t="str" cm="1">
        <f t="array" ref="C268">IFERROR(IF(SUMPRODUCT((measured[Site Name]=A268)*(measured[Date]=B268)*ISNUMBER(measured[Measured Value (kWh)]))=0,"",SUMIFS(measured[Measured Value (kWh)],measured[Site Name],A268,measured[Date],B268)),"")</f>
        <v/>
      </c>
      <c r="D268" cm="1">
        <f t="array" ref="D268">IFERROR(IF(SUMPRODUCT((expected_production[Site Name]=A268)*(expected_production[Date]=B268)*ISNUMBER(expected_production[Expected Production (kWh)]))=0,"",SUMIFS(expected_production[Expected Production (kWh)],expected_production[Site Name],A268,expected_production[Date],B268)),"")</f>
        <v>2127.6</v>
      </c>
      <c r="E268" s="9" t="str">
        <f t="shared" si="8"/>
        <v/>
      </c>
      <c r="F268" t="str">
        <f t="shared" si="9"/>
        <v/>
      </c>
    </row>
    <row r="269" spans="1:6" ht="15" customHeight="1" x14ac:dyDescent="0.3">
      <c r="A269" t="s">
        <v>66</v>
      </c>
      <c r="B269" s="2">
        <v>45748</v>
      </c>
      <c r="C269" t="str" cm="1">
        <f t="array" ref="C269">IFERROR(IF(SUMPRODUCT((measured[Site Name]=A269)*(measured[Date]=B269)*ISNUMBER(measured[Measured Value (kWh)]))=0,"",SUMIFS(measured[Measured Value (kWh)],measured[Site Name],A269,measured[Date],B269)),"")</f>
        <v/>
      </c>
      <c r="D269" cm="1">
        <f t="array" ref="D269">IFERROR(IF(SUMPRODUCT((expected_production[Site Name]=A269)*(expected_production[Date]=B269)*ISNUMBER(expected_production[Expected Production (kWh)]))=0,"",SUMIFS(expected_production[Expected Production (kWh)],expected_production[Site Name],A269,expected_production[Date],B269)),"")</f>
        <v>1767.6</v>
      </c>
      <c r="E269" s="9" t="str">
        <f t="shared" si="8"/>
        <v/>
      </c>
      <c r="F269" t="str">
        <f t="shared" si="9"/>
        <v/>
      </c>
    </row>
    <row r="270" spans="1:6" ht="15" customHeight="1" x14ac:dyDescent="0.3">
      <c r="A270" t="s">
        <v>66</v>
      </c>
      <c r="B270" s="2">
        <v>45778</v>
      </c>
      <c r="C270" t="str" cm="1">
        <f t="array" ref="C270">IFERROR(IF(SUMPRODUCT((measured[Site Name]=A270)*(measured[Date]=B270)*ISNUMBER(measured[Measured Value (kWh)]))=0,"",SUMIFS(measured[Measured Value (kWh)],measured[Site Name],A270,measured[Date],B270)),"")</f>
        <v/>
      </c>
      <c r="D270" cm="1">
        <f t="array" ref="D270">IFERROR(IF(SUMPRODUCT((expected_production[Site Name]=A270)*(expected_production[Date]=B270)*ISNUMBER(expected_production[Expected Production (kWh)]))=0,"",SUMIFS(expected_production[Expected Production (kWh)],expected_production[Site Name],A270,expected_production[Date],B270)),"")</f>
        <v>1631.7</v>
      </c>
      <c r="E270" s="9" t="str">
        <f t="shared" si="8"/>
        <v/>
      </c>
      <c r="F270" t="str">
        <f t="shared" si="9"/>
        <v/>
      </c>
    </row>
    <row r="271" spans="1:6" ht="15" customHeight="1" x14ac:dyDescent="0.3">
      <c r="A271" t="s">
        <v>66</v>
      </c>
      <c r="B271" s="2">
        <v>45809</v>
      </c>
      <c r="C271" t="str" cm="1">
        <f t="array" ref="C271">IFERROR(IF(SUMPRODUCT((measured[Site Name]=A271)*(measured[Date]=B271)*ISNUMBER(measured[Measured Value (kWh)]))=0,"",SUMIFS(measured[Measured Value (kWh)],measured[Site Name],A271,measured[Date],B271)),"")</f>
        <v/>
      </c>
      <c r="D271" cm="1">
        <f t="array" ref="D271">IFERROR(IF(SUMPRODUCT((expected_production[Site Name]=A271)*(expected_production[Date]=B271)*ISNUMBER(expected_production[Expected Production (kWh)]))=0,"",SUMIFS(expected_production[Expected Production (kWh)],expected_production[Site Name],A271,expected_production[Date],B271)),"")</f>
        <v>1480.5</v>
      </c>
      <c r="E271" s="9" t="str">
        <f t="shared" si="8"/>
        <v/>
      </c>
      <c r="F271" t="str">
        <f t="shared" si="9"/>
        <v/>
      </c>
    </row>
    <row r="272" spans="1:6" ht="15" customHeight="1" x14ac:dyDescent="0.3">
      <c r="A272" t="s">
        <v>66</v>
      </c>
      <c r="B272" s="2">
        <v>45839</v>
      </c>
      <c r="C272" t="str" cm="1">
        <f t="array" ref="C272">IFERROR(IF(SUMPRODUCT((measured[Site Name]=A272)*(measured[Date]=B272)*ISNUMBER(measured[Measured Value (kWh)]))=0,"",SUMIFS(measured[Measured Value (kWh)],measured[Site Name],A272,measured[Date],B272)),"")</f>
        <v/>
      </c>
      <c r="D272" cm="1">
        <f t="array" ref="D272">IFERROR(IF(SUMPRODUCT((expected_production[Site Name]=A272)*(expected_production[Date]=B272)*ISNUMBER(expected_production[Expected Production (kWh)]))=0,"",SUMIFS(expected_production[Expected Production (kWh)],expected_production[Site Name],A272,expected_production[Date],B272)),"")</f>
        <v>1612.8</v>
      </c>
      <c r="E272" s="9" t="str">
        <f t="shared" si="8"/>
        <v/>
      </c>
      <c r="F272" t="str">
        <f t="shared" si="9"/>
        <v/>
      </c>
    </row>
    <row r="273" spans="1:7" ht="15" customHeight="1" x14ac:dyDescent="0.3">
      <c r="A273" t="s">
        <v>66</v>
      </c>
      <c r="B273" s="2">
        <v>45870</v>
      </c>
      <c r="C273" t="str" cm="1">
        <f t="array" ref="C273">IFERROR(IF(SUMPRODUCT((measured[Site Name]=A273)*(measured[Date]=B273)*ISNUMBER(measured[Measured Value (kWh)]))=0,"",SUMIFS(measured[Measured Value (kWh)],measured[Site Name],A273,measured[Date],B273)),"")</f>
        <v/>
      </c>
      <c r="D273" cm="1">
        <f t="array" ref="D273">IFERROR(IF(SUMPRODUCT((expected_production[Site Name]=A273)*(expected_production[Date]=B273)*ISNUMBER(expected_production[Expected Production (kWh)]))=0,"",SUMIFS(expected_production[Expected Production (kWh)],expected_production[Site Name],A273,expected_production[Date],B273)),"")</f>
        <v>1764</v>
      </c>
      <c r="E273" s="9" t="str">
        <f t="shared" si="8"/>
        <v/>
      </c>
      <c r="F273" t="str">
        <f t="shared" si="9"/>
        <v/>
      </c>
    </row>
    <row r="274" spans="1:7" ht="15" customHeight="1" x14ac:dyDescent="0.3">
      <c r="A274" t="s">
        <v>66</v>
      </c>
      <c r="B274" s="2">
        <v>45901</v>
      </c>
      <c r="C274" t="str" cm="1">
        <f t="array" ref="C274">IFERROR(IF(SUMPRODUCT((measured[Site Name]=A274)*(measured[Date]=B274)*ISNUMBER(measured[Measured Value (kWh)]))=0,"",SUMIFS(measured[Measured Value (kWh)],measured[Site Name],A274,measured[Date],B274)),"")</f>
        <v/>
      </c>
      <c r="D274" cm="1">
        <f t="array" ref="D274">IFERROR(IF(SUMPRODUCT((expected_production[Site Name]=A274)*(expected_production[Date]=B274)*ISNUMBER(expected_production[Expected Production (kWh)]))=0,"",SUMIFS(expected_production[Expected Production (kWh)],expected_production[Site Name],A274,expected_production[Date],B274)),"")</f>
        <v>1868.4</v>
      </c>
      <c r="E274" s="9" t="str">
        <f t="shared" si="8"/>
        <v/>
      </c>
      <c r="F274" t="str">
        <f t="shared" si="9"/>
        <v/>
      </c>
    </row>
    <row r="275" spans="1:7" ht="15" customHeight="1" x14ac:dyDescent="0.3">
      <c r="A275" t="s">
        <v>66</v>
      </c>
      <c r="B275" s="2">
        <v>45931</v>
      </c>
      <c r="C275" cm="1">
        <f t="array" ref="C275">IFERROR(IF(SUMPRODUCT((measured[Site Name]=A275)*(measured[Date]=B275)*ISNUMBER(measured[Measured Value (kWh)]))=0,"",SUMIFS(measured[Measured Value (kWh)],measured[Site Name],A275,measured[Date],B275)),"")</f>
        <v>1109</v>
      </c>
      <c r="D275" cm="1">
        <f t="array" ref="D275">IFERROR(IF(SUMPRODUCT((expected_production[Site Name]=A275)*(expected_production[Date]=B275)*ISNUMBER(expected_production[Expected Production (kWh)]))=0,"",SUMIFS(expected_production[Expected Production (kWh)],expected_production[Site Name],A275,expected_production[Date],B275)),"")</f>
        <v>1900.8</v>
      </c>
      <c r="E275" s="9">
        <f t="shared" si="8"/>
        <v>0.58343855218855223</v>
      </c>
      <c r="F275" t="str">
        <f t="shared" si="9"/>
        <v>Poor</v>
      </c>
    </row>
    <row r="276" spans="1:7" ht="15" customHeight="1" x14ac:dyDescent="0.3">
      <c r="A276" t="s">
        <v>66</v>
      </c>
      <c r="B276" s="2">
        <v>45962</v>
      </c>
      <c r="C276" t="str" cm="1">
        <f t="array" ref="C276">IFERROR(IF(SUMPRODUCT((measured[Site Name]=A276)*(measured[Date]=B276)*ISNUMBER(measured[Measured Value (kWh)]))=0,"",SUMIFS(measured[Measured Value (kWh)],measured[Site Name],A276,measured[Date],B276)),"")</f>
        <v/>
      </c>
      <c r="D276" cm="1">
        <f t="array" ref="D276">IFERROR(IF(SUMPRODUCT((expected_production[Site Name]=A276)*(expected_production[Date]=B276)*ISNUMBER(expected_production[Expected Production (kWh)]))=0,"",SUMIFS(expected_production[Expected Production (kWh)],expected_production[Site Name],A276,expected_production[Date],B276)),"")</f>
        <v>1835.1</v>
      </c>
      <c r="E276" s="9" t="str">
        <f t="shared" si="8"/>
        <v/>
      </c>
      <c r="F276" t="str">
        <f t="shared" si="9"/>
        <v/>
      </c>
    </row>
    <row r="277" spans="1:7" ht="15" customHeight="1" x14ac:dyDescent="0.3">
      <c r="A277" t="s">
        <v>66</v>
      </c>
      <c r="B277" s="2">
        <v>45992</v>
      </c>
      <c r="C277" t="str" cm="1">
        <f t="array" ref="C277">IFERROR(IF(SUMPRODUCT((measured[Site Name]=A277)*(measured[Date]=B277)*ISNUMBER(measured[Measured Value (kWh)]))=0,"",SUMIFS(measured[Measured Value (kWh)],measured[Site Name],A277,measured[Date],B277)),"")</f>
        <v/>
      </c>
      <c r="D277" cm="1">
        <f t="array" ref="D277">IFERROR(IF(SUMPRODUCT((expected_production[Site Name]=A277)*(expected_production[Date]=B277)*ISNUMBER(expected_production[Expected Production (kWh)]))=0,"",SUMIFS(expected_production[Expected Production (kWh)],expected_production[Site Name],A277,expected_production[Date],B277)),"")</f>
        <v>1986.3</v>
      </c>
      <c r="E277" s="9" t="str">
        <f t="shared" si="8"/>
        <v/>
      </c>
      <c r="F277" t="str">
        <f t="shared" si="9"/>
        <v/>
      </c>
    </row>
    <row r="278" spans="1:7" ht="15" customHeight="1" x14ac:dyDescent="0.3">
      <c r="A278" t="s">
        <v>66</v>
      </c>
      <c r="B278" s="2">
        <v>46023</v>
      </c>
      <c r="C278" t="str" cm="1">
        <f t="array" ref="C278">IFERROR(IF(SUMPRODUCT((measured[Site Name]=A278)*(measured[Date]=B278)*ISNUMBER(measured[Measured Value (kWh)]))=0,"",SUMIFS(measured[Measured Value (kWh)],measured[Site Name],A278,measured[Date],B278)),"")</f>
        <v/>
      </c>
      <c r="D278" cm="1">
        <f t="array" ref="D278">IFERROR(IF(SUMPRODUCT((expected_production[Site Name]=A278)*(expected_production[Date]=B278)*ISNUMBER(expected_production[Expected Production (kWh)]))=0,"",SUMIFS(expected_production[Expected Production (kWh)],expected_production[Site Name],A278,expected_production[Date],B278)),"")</f>
        <v>2202.3000000000002</v>
      </c>
      <c r="E278" s="9" t="str">
        <f t="shared" si="8"/>
        <v/>
      </c>
      <c r="F278" t="str">
        <f t="shared" si="9"/>
        <v/>
      </c>
    </row>
    <row r="279" spans="1:7" ht="15" customHeight="1" x14ac:dyDescent="0.3">
      <c r="A279" t="s">
        <v>66</v>
      </c>
      <c r="B279" s="2">
        <v>46054</v>
      </c>
      <c r="C279" t="str" cm="1">
        <f t="array" ref="C279">IFERROR(IF(SUMPRODUCT((measured[Site Name]=A279)*(measured[Date]=B279)*ISNUMBER(measured[Measured Value (kWh)]))=0,"",SUMIFS(measured[Measured Value (kWh)],measured[Site Name],A279,measured[Date],B279)),"")</f>
        <v/>
      </c>
      <c r="D279" cm="1">
        <f t="array" ref="D279">IFERROR(IF(SUMPRODUCT((expected_production[Site Name]=A279)*(expected_production[Date]=B279)*ISNUMBER(expected_production[Expected Production (kWh)]))=0,"",SUMIFS(expected_production[Expected Production (kWh)],expected_production[Site Name],A279,expected_production[Date],B279)),"")</f>
        <v>1983.6</v>
      </c>
      <c r="E279" s="9" t="str">
        <f t="shared" si="8"/>
        <v/>
      </c>
      <c r="F279" t="str">
        <f t="shared" si="9"/>
        <v/>
      </c>
    </row>
    <row r="280" spans="1:7" ht="15" customHeight="1" x14ac:dyDescent="0.3">
      <c r="A280" t="s">
        <v>66</v>
      </c>
      <c r="B280" s="2">
        <v>46082</v>
      </c>
      <c r="C280" t="str" cm="1">
        <f t="array" ref="C280">IFERROR(IF(SUMPRODUCT((measured[Site Name]=A280)*(measured[Date]=B280)*ISNUMBER(measured[Measured Value (kWh)]))=0,"",SUMIFS(measured[Measured Value (kWh)],measured[Site Name],A280,measured[Date],B280)),"")</f>
        <v/>
      </c>
      <c r="D280" cm="1">
        <f t="array" ref="D280">IFERROR(IF(SUMPRODUCT((expected_production[Site Name]=A280)*(expected_production[Date]=B280)*ISNUMBER(expected_production[Expected Production (kWh)]))=0,"",SUMIFS(expected_production[Expected Production (kWh)],expected_production[Site Name],A280,expected_production[Date],B280)),"")</f>
        <v>2127.6</v>
      </c>
      <c r="E280" s="9" t="str">
        <f t="shared" si="8"/>
        <v/>
      </c>
      <c r="F280" t="str">
        <f t="shared" si="9"/>
        <v/>
      </c>
    </row>
    <row r="281" spans="1:7" ht="15" customHeight="1" x14ac:dyDescent="0.3">
      <c r="A281" t="s">
        <v>66</v>
      </c>
      <c r="B281" s="2">
        <v>46113</v>
      </c>
      <c r="C281" t="str" cm="1">
        <f t="array" ref="C281">IFERROR(IF(SUMPRODUCT((measured[Site Name]=A281)*(measured[Date]=B281)*ISNUMBER(measured[Measured Value (kWh)]))=0,"",SUMIFS(measured[Measured Value (kWh)],measured[Site Name],A281,measured[Date],B281)),"")</f>
        <v/>
      </c>
      <c r="D281" cm="1">
        <f t="array" ref="D281">IFERROR(IF(SUMPRODUCT((expected_production[Site Name]=A281)*(expected_production[Date]=B281)*ISNUMBER(expected_production[Expected Production (kWh)]))=0,"",SUMIFS(expected_production[Expected Production (kWh)],expected_production[Site Name],A281,expected_production[Date],B281)),"")</f>
        <v>1767.6</v>
      </c>
      <c r="E281" s="9" t="str">
        <f t="shared" si="8"/>
        <v/>
      </c>
      <c r="F281" t="str">
        <f t="shared" si="9"/>
        <v/>
      </c>
    </row>
    <row r="282" spans="1:7" ht="15" customHeight="1" x14ac:dyDescent="0.3">
      <c r="A282" t="s">
        <v>66</v>
      </c>
      <c r="B282" s="2">
        <v>46143</v>
      </c>
      <c r="C282" t="str" cm="1">
        <f t="array" ref="C282">IFERROR(IF(SUMPRODUCT((measured[Site Name]=A282)*(measured[Date]=B282)*ISNUMBER(measured[Measured Value (kWh)]))=0,"",SUMIFS(measured[Measured Value (kWh)],measured[Site Name],A282,measured[Date],B282)),"")</f>
        <v/>
      </c>
      <c r="D282" cm="1">
        <f t="array" ref="D282">IFERROR(IF(SUMPRODUCT((expected_production[Site Name]=A282)*(expected_production[Date]=B282)*ISNUMBER(expected_production[Expected Production (kWh)]))=0,"",SUMIFS(expected_production[Expected Production (kWh)],expected_production[Site Name],A282,expected_production[Date],B282)),"")</f>
        <v>1631.7</v>
      </c>
      <c r="E282" s="9" t="str">
        <f t="shared" si="8"/>
        <v/>
      </c>
      <c r="F282" t="str">
        <f t="shared" si="9"/>
        <v/>
      </c>
    </row>
    <row r="283" spans="1:7" ht="15" customHeight="1" x14ac:dyDescent="0.3">
      <c r="A283" t="s">
        <v>66</v>
      </c>
      <c r="B283" s="2">
        <v>46174</v>
      </c>
      <c r="C283" t="str" cm="1">
        <f t="array" ref="C283">IFERROR(IF(SUMPRODUCT((measured[Site Name]=A283)*(measured[Date]=B283)*ISNUMBER(measured[Measured Value (kWh)]))=0,"",SUMIFS(measured[Measured Value (kWh)],measured[Site Name],A283,measured[Date],B283)),"")</f>
        <v/>
      </c>
      <c r="D283" cm="1">
        <f t="array" ref="D283">IFERROR(IF(SUMPRODUCT((expected_production[Site Name]=A283)*(expected_production[Date]=B283)*ISNUMBER(expected_production[Expected Production (kWh)]))=0,"",SUMIFS(expected_production[Expected Production (kWh)],expected_production[Site Name],A283,expected_production[Date],B283)),"")</f>
        <v>1480.5</v>
      </c>
      <c r="E283" s="9" t="str">
        <f t="shared" si="8"/>
        <v/>
      </c>
      <c r="F283" t="str">
        <f t="shared" si="9"/>
        <v/>
      </c>
    </row>
    <row r="284" spans="1:7" ht="15" customHeight="1" x14ac:dyDescent="0.3">
      <c r="A284" t="s">
        <v>64</v>
      </c>
      <c r="B284" s="2">
        <v>46204</v>
      </c>
      <c r="C284" cm="1">
        <f t="array" ref="C284">IFERROR(IF(SUMPRODUCT((measured[Site Name]=A284)*(measured[Date]=B284)*ISNUMBER(measured[Measured Value (kWh)]))=0,"",SUMIFS(measured[Measured Value (kWh)],measured[Site Name],A284,measured[Date],B284)),"")</f>
        <v>3615</v>
      </c>
      <c r="D284" cm="1">
        <f t="array" ref="D284">IFERROR(IF(SUMPRODUCT((expected_production[Site Name]=A284)*(expected_production[Date]=B284)*ISNUMBER(expected_production[Expected Production (kWh)]))=0,"",SUMIFS(expected_production[Expected Production (kWh)],expected_production[Site Name],A284,expected_production[Date],B284)),"")</f>
        <v>5360.4</v>
      </c>
      <c r="E284" s="9">
        <f t="shared" si="8"/>
        <v>0.67438997089769426</v>
      </c>
      <c r="F284" t="str">
        <f t="shared" si="9"/>
        <v>Poor</v>
      </c>
      <c r="G284" t="s">
        <v>874</v>
      </c>
    </row>
    <row r="285" spans="1:7" ht="15" customHeight="1" x14ac:dyDescent="0.3">
      <c r="A285" t="s">
        <v>66</v>
      </c>
      <c r="B285" s="2">
        <v>46235</v>
      </c>
      <c r="C285" t="str" cm="1">
        <f t="array" ref="C285">IFERROR(IF(SUMPRODUCT((measured[Site Name]=A285)*(measured[Date]=B285)*ISNUMBER(measured[Measured Value (kWh)]))=0,"",SUMIFS(measured[Measured Value (kWh)],measured[Site Name],A285,measured[Date],B285)),"")</f>
        <v/>
      </c>
      <c r="D285" cm="1">
        <f t="array" ref="D285">IFERROR(IF(SUMPRODUCT((expected_production[Site Name]=A285)*(expected_production[Date]=B285)*ISNUMBER(expected_production[Expected Production (kWh)]))=0,"",SUMIFS(expected_production[Expected Production (kWh)],expected_production[Site Name],A285,expected_production[Date],B285)),"")</f>
        <v>1764</v>
      </c>
      <c r="E285" s="9" t="str">
        <f t="shared" si="8"/>
        <v/>
      </c>
      <c r="F285" t="str">
        <f t="shared" si="9"/>
        <v/>
      </c>
    </row>
    <row r="286" spans="1:7" ht="15" customHeight="1" x14ac:dyDescent="0.3">
      <c r="A286" t="s">
        <v>66</v>
      </c>
      <c r="B286" s="2">
        <v>46266</v>
      </c>
      <c r="C286" t="str" cm="1">
        <f t="array" ref="C286">IFERROR(IF(SUMPRODUCT((measured[Site Name]=A286)*(measured[Date]=B286)*ISNUMBER(measured[Measured Value (kWh)]))=0,"",SUMIFS(measured[Measured Value (kWh)],measured[Site Name],A286,measured[Date],B286)),"")</f>
        <v/>
      </c>
      <c r="D286" cm="1">
        <f t="array" ref="D286">IFERROR(IF(SUMPRODUCT((expected_production[Site Name]=A286)*(expected_production[Date]=B286)*ISNUMBER(expected_production[Expected Production (kWh)]))=0,"",SUMIFS(expected_production[Expected Production (kWh)],expected_production[Site Name],A286,expected_production[Date],B286)),"")</f>
        <v>1868.4</v>
      </c>
      <c r="E286" s="9" t="str">
        <f t="shared" si="8"/>
        <v/>
      </c>
      <c r="F286" t="str">
        <f t="shared" si="9"/>
        <v/>
      </c>
    </row>
    <row r="287" spans="1:7" ht="15" customHeight="1" x14ac:dyDescent="0.3">
      <c r="A287" t="s">
        <v>66</v>
      </c>
      <c r="B287" s="2">
        <v>46296</v>
      </c>
      <c r="C287" t="str" cm="1">
        <f t="array" ref="C287">IFERROR(IF(SUMPRODUCT((measured[Site Name]=A287)*(measured[Date]=B287)*ISNUMBER(measured[Measured Value (kWh)]))=0,"",SUMIFS(measured[Measured Value (kWh)],measured[Site Name],A287,measured[Date],B287)),"")</f>
        <v/>
      </c>
      <c r="D287" cm="1">
        <f t="array" ref="D287">IFERROR(IF(SUMPRODUCT((expected_production[Site Name]=A287)*(expected_production[Date]=B287)*ISNUMBER(expected_production[Expected Production (kWh)]))=0,"",SUMIFS(expected_production[Expected Production (kWh)],expected_production[Site Name],A287,expected_production[Date],B287)),"")</f>
        <v>1900.8</v>
      </c>
      <c r="E287" s="9" t="str">
        <f t="shared" si="8"/>
        <v/>
      </c>
      <c r="F287" t="str">
        <f t="shared" si="9"/>
        <v/>
      </c>
    </row>
    <row r="288" spans="1:7" ht="15" customHeight="1" x14ac:dyDescent="0.3">
      <c r="A288" t="s">
        <v>66</v>
      </c>
      <c r="B288" s="2">
        <v>46327</v>
      </c>
      <c r="C288" t="str" cm="1">
        <f t="array" ref="C288">IFERROR(IF(SUMPRODUCT((measured[Site Name]=A288)*(measured[Date]=B288)*ISNUMBER(measured[Measured Value (kWh)]))=0,"",SUMIFS(measured[Measured Value (kWh)],measured[Site Name],A288,measured[Date],B288)),"")</f>
        <v/>
      </c>
      <c r="D288" cm="1">
        <f t="array" ref="D288">IFERROR(IF(SUMPRODUCT((expected_production[Site Name]=A288)*(expected_production[Date]=B288)*ISNUMBER(expected_production[Expected Production (kWh)]))=0,"",SUMIFS(expected_production[Expected Production (kWh)],expected_production[Site Name],A288,expected_production[Date],B288)),"")</f>
        <v>1835.1</v>
      </c>
      <c r="E288" s="9" t="str">
        <f t="shared" ref="E288:E351" si="10">IF(OR(C288="",D288="",D288=0),"",C288/D288)</f>
        <v/>
      </c>
      <c r="F288" t="str">
        <f t="shared" ref="F288:F351" si="11">IF(E288="","",IF(E288&gt;=0.9,"Expected",IF(E288&gt;=0.7,"Moderate","Poor")))</f>
        <v/>
      </c>
    </row>
    <row r="289" spans="1:6" ht="15" customHeight="1" x14ac:dyDescent="0.3">
      <c r="A289" t="s">
        <v>66</v>
      </c>
      <c r="B289" s="2">
        <v>46357</v>
      </c>
      <c r="C289" t="str" cm="1">
        <f t="array" ref="C289">IFERROR(IF(SUMPRODUCT((measured[Site Name]=A289)*(measured[Date]=B289)*ISNUMBER(measured[Measured Value (kWh)]))=0,"",SUMIFS(measured[Measured Value (kWh)],measured[Site Name],A289,measured[Date],B289)),"")</f>
        <v/>
      </c>
      <c r="D289" cm="1">
        <f t="array" ref="D289">IFERROR(IF(SUMPRODUCT((expected_production[Site Name]=A289)*(expected_production[Date]=B289)*ISNUMBER(expected_production[Expected Production (kWh)]))=0,"",SUMIFS(expected_production[Expected Production (kWh)],expected_production[Site Name],A289,expected_production[Date],B289)),"")</f>
        <v>1986.3</v>
      </c>
      <c r="E289" s="9" t="str">
        <f t="shared" si="10"/>
        <v/>
      </c>
      <c r="F289" t="str">
        <f t="shared" si="11"/>
        <v/>
      </c>
    </row>
    <row r="290" spans="1:6" ht="15" customHeight="1" x14ac:dyDescent="0.3">
      <c r="A290" t="s">
        <v>71</v>
      </c>
      <c r="B290" s="2">
        <v>45292</v>
      </c>
      <c r="C290" t="str" cm="1">
        <f t="array" ref="C290">IFERROR(IF(SUMPRODUCT((measured[Site Name]=A290)*(measured[Date]=B290)*ISNUMBER(measured[Measured Value (kWh)]))=0,"",SUMIFS(measured[Measured Value (kWh)],measured[Site Name],A290,measured[Date],B290)),"")</f>
        <v/>
      </c>
      <c r="D290" cm="1">
        <f t="array" ref="D290">IFERROR(IF(SUMPRODUCT((expected_production[Site Name]=A290)*(expected_production[Date]=B290)*ISNUMBER(expected_production[Expected Production (kWh)]))=0,"",SUMIFS(expected_production[Expected Production (kWh)],expected_production[Site Name],A290,expected_production[Date],B290)),"")</f>
        <v>26689.5</v>
      </c>
      <c r="E290" s="9" t="str">
        <f t="shared" si="10"/>
        <v/>
      </c>
      <c r="F290" t="str">
        <f t="shared" si="11"/>
        <v/>
      </c>
    </row>
    <row r="291" spans="1:6" ht="15" customHeight="1" x14ac:dyDescent="0.3">
      <c r="A291" t="s">
        <v>71</v>
      </c>
      <c r="B291" s="2">
        <v>45323</v>
      </c>
      <c r="C291" t="str" cm="1">
        <f t="array" ref="C291">IFERROR(IF(SUMPRODUCT((measured[Site Name]=A291)*(measured[Date]=B291)*ISNUMBER(measured[Measured Value (kWh)]))=0,"",SUMIFS(measured[Measured Value (kWh)],measured[Site Name],A291,measured[Date],B291)),"")</f>
        <v/>
      </c>
      <c r="D291" cm="1">
        <f t="array" ref="D291">IFERROR(IF(SUMPRODUCT((expected_production[Site Name]=A291)*(expected_production[Date]=B291)*ISNUMBER(expected_production[Expected Production (kWh)]))=0,"",SUMIFS(expected_production[Expected Production (kWh)],expected_production[Site Name],A291,expected_production[Date],B291)),"")</f>
        <v>20674.8</v>
      </c>
      <c r="E291" s="9" t="str">
        <f t="shared" si="10"/>
        <v/>
      </c>
      <c r="F291" t="str">
        <f t="shared" si="11"/>
        <v/>
      </c>
    </row>
    <row r="292" spans="1:6" ht="15" customHeight="1" x14ac:dyDescent="0.3">
      <c r="A292" t="s">
        <v>71</v>
      </c>
      <c r="B292" s="2">
        <v>45352</v>
      </c>
      <c r="C292" t="str" cm="1">
        <f t="array" ref="C292">IFERROR(IF(SUMPRODUCT((measured[Site Name]=A292)*(measured[Date]=B292)*ISNUMBER(measured[Measured Value (kWh)]))=0,"",SUMIFS(measured[Measured Value (kWh)],measured[Site Name],A292,measured[Date],B292)),"")</f>
        <v/>
      </c>
      <c r="D292" cm="1">
        <f t="array" ref="D292">IFERROR(IF(SUMPRODUCT((expected_production[Site Name]=A292)*(expected_production[Date]=B292)*ISNUMBER(expected_production[Expected Production (kWh)]))=0,"",SUMIFS(expected_production[Expected Production (kWh)],expected_production[Site Name],A292,expected_production[Date],B292)),"")</f>
        <v>20095.2</v>
      </c>
      <c r="E292" s="9" t="str">
        <f t="shared" si="10"/>
        <v/>
      </c>
      <c r="F292" t="str">
        <f t="shared" si="11"/>
        <v/>
      </c>
    </row>
    <row r="293" spans="1:6" ht="15" customHeight="1" x14ac:dyDescent="0.3">
      <c r="A293" t="s">
        <v>71</v>
      </c>
      <c r="B293" s="2">
        <v>45383</v>
      </c>
      <c r="C293" t="str" cm="1">
        <f t="array" ref="C293">IFERROR(IF(SUMPRODUCT((measured[Site Name]=A293)*(measured[Date]=B293)*ISNUMBER(measured[Measured Value (kWh)]))=0,"",SUMIFS(measured[Measured Value (kWh)],measured[Site Name],A293,measured[Date],B293)),"")</f>
        <v/>
      </c>
      <c r="D293" cm="1">
        <f t="array" ref="D293">IFERROR(IF(SUMPRODUCT((expected_production[Site Name]=A293)*(expected_production[Date]=B293)*ISNUMBER(expected_production[Expected Production (kWh)]))=0,"",SUMIFS(expected_production[Expected Production (kWh)],expected_production[Site Name],A293,expected_production[Date],B293)),"")</f>
        <v>16286.4</v>
      </c>
      <c r="E293" s="9" t="str">
        <f t="shared" si="10"/>
        <v/>
      </c>
      <c r="F293" t="str">
        <f t="shared" si="11"/>
        <v/>
      </c>
    </row>
    <row r="294" spans="1:6" ht="15" customHeight="1" x14ac:dyDescent="0.3">
      <c r="A294" t="s">
        <v>71</v>
      </c>
      <c r="B294" s="2">
        <v>45413</v>
      </c>
      <c r="C294" t="str" cm="1">
        <f t="array" ref="C294">IFERROR(IF(SUMPRODUCT((measured[Site Name]=A294)*(measured[Date]=B294)*ISNUMBER(measured[Measured Value (kWh)]))=0,"",SUMIFS(measured[Measured Value (kWh)],measured[Site Name],A294,measured[Date],B294)),"")</f>
        <v/>
      </c>
      <c r="D294" cm="1">
        <f t="array" ref="D294">IFERROR(IF(SUMPRODUCT((expected_production[Site Name]=A294)*(expected_production[Date]=B294)*ISNUMBER(expected_production[Expected Production (kWh)]))=0,"",SUMIFS(expected_production[Expected Production (kWh)],expected_production[Site Name],A294,expected_production[Date],B294)),"")</f>
        <v>13518.9</v>
      </c>
      <c r="E294" s="9" t="str">
        <f t="shared" si="10"/>
        <v/>
      </c>
      <c r="F294" t="str">
        <f t="shared" si="11"/>
        <v/>
      </c>
    </row>
    <row r="295" spans="1:6" ht="15" customHeight="1" x14ac:dyDescent="0.3">
      <c r="A295" t="s">
        <v>71</v>
      </c>
      <c r="B295" s="2">
        <v>45444</v>
      </c>
      <c r="C295" t="str" cm="1">
        <f t="array" ref="C295">IFERROR(IF(SUMPRODUCT((measured[Site Name]=A295)*(measured[Date]=B295)*ISNUMBER(measured[Measured Value (kWh)]))=0,"",SUMIFS(measured[Measured Value (kWh)],measured[Site Name],A295,measured[Date],B295)),"")</f>
        <v/>
      </c>
      <c r="D295" cm="1">
        <f t="array" ref="D295">IFERROR(IF(SUMPRODUCT((expected_production[Site Name]=A295)*(expected_production[Date]=B295)*ISNUMBER(expected_production[Expected Production (kWh)]))=0,"",SUMIFS(expected_production[Expected Production (kWh)],expected_production[Site Name],A295,expected_production[Date],B295)),"")</f>
        <v>11864.7</v>
      </c>
      <c r="E295" s="9" t="str">
        <f t="shared" si="10"/>
        <v/>
      </c>
      <c r="F295" t="str">
        <f t="shared" si="11"/>
        <v/>
      </c>
    </row>
    <row r="296" spans="1:6" ht="15" customHeight="1" x14ac:dyDescent="0.3">
      <c r="A296" t="s">
        <v>71</v>
      </c>
      <c r="B296" s="2">
        <v>45474</v>
      </c>
      <c r="C296" t="str" cm="1">
        <f t="array" ref="C296">IFERROR(IF(SUMPRODUCT((measured[Site Name]=A296)*(measured[Date]=B296)*ISNUMBER(measured[Measured Value (kWh)]))=0,"",SUMIFS(measured[Measured Value (kWh)],measured[Site Name],A296,measured[Date],B296)),"")</f>
        <v/>
      </c>
      <c r="D296" cm="1">
        <f t="array" ref="D296">IFERROR(IF(SUMPRODUCT((expected_production[Site Name]=A296)*(expected_production[Date]=B296)*ISNUMBER(expected_production[Expected Production (kWh)]))=0,"",SUMIFS(expected_production[Expected Production (kWh)],expected_production[Site Name],A296,expected_production[Date],B296)),"")</f>
        <v>13589.1</v>
      </c>
      <c r="E296" s="9" t="str">
        <f t="shared" si="10"/>
        <v/>
      </c>
      <c r="F296" t="str">
        <f t="shared" si="11"/>
        <v/>
      </c>
    </row>
    <row r="297" spans="1:6" ht="15" customHeight="1" x14ac:dyDescent="0.3">
      <c r="A297" t="s">
        <v>71</v>
      </c>
      <c r="B297" s="2">
        <v>45505</v>
      </c>
      <c r="C297" t="str" cm="1">
        <f t="array" ref="C297">IFERROR(IF(SUMPRODUCT((measured[Site Name]=A297)*(measured[Date]=B297)*ISNUMBER(measured[Measured Value (kWh)]))=0,"",SUMIFS(measured[Measured Value (kWh)],measured[Site Name],A297,measured[Date],B297)),"")</f>
        <v/>
      </c>
      <c r="D297" cm="1">
        <f t="array" ref="D297">IFERROR(IF(SUMPRODUCT((expected_production[Site Name]=A297)*(expected_production[Date]=B297)*ISNUMBER(expected_production[Expected Production (kWh)]))=0,"",SUMIFS(expected_production[Expected Production (kWh)],expected_production[Site Name],A297,expected_production[Date],B297)),"")</f>
        <v>17109</v>
      </c>
      <c r="E297" s="9" t="str">
        <f t="shared" si="10"/>
        <v/>
      </c>
      <c r="F297" t="str">
        <f t="shared" si="11"/>
        <v/>
      </c>
    </row>
    <row r="298" spans="1:6" ht="15" customHeight="1" x14ac:dyDescent="0.3">
      <c r="A298" t="s">
        <v>71</v>
      </c>
      <c r="B298" s="2">
        <v>45536</v>
      </c>
      <c r="C298" t="str" cm="1">
        <f t="array" ref="C298">IFERROR(IF(SUMPRODUCT((measured[Site Name]=A298)*(measured[Date]=B298)*ISNUMBER(measured[Measured Value (kWh)]))=0,"",SUMIFS(measured[Measured Value (kWh)],measured[Site Name],A298,measured[Date],B298)),"")</f>
        <v/>
      </c>
      <c r="D298" cm="1">
        <f t="array" ref="D298">IFERROR(IF(SUMPRODUCT((expected_production[Site Name]=A298)*(expected_production[Date]=B298)*ISNUMBER(expected_production[Expected Production (kWh)]))=0,"",SUMIFS(expected_production[Expected Production (kWh)],expected_production[Site Name],A298,expected_production[Date],B298)),"")</f>
        <v>19506.599999999999</v>
      </c>
      <c r="E298" s="9" t="str">
        <f t="shared" si="10"/>
        <v/>
      </c>
      <c r="F298" t="str">
        <f t="shared" si="11"/>
        <v/>
      </c>
    </row>
    <row r="299" spans="1:6" ht="15" customHeight="1" x14ac:dyDescent="0.3">
      <c r="A299" t="s">
        <v>71</v>
      </c>
      <c r="B299" s="2">
        <v>45566</v>
      </c>
      <c r="C299" t="str" cm="1">
        <f t="array" ref="C299">IFERROR(IF(SUMPRODUCT((measured[Site Name]=A299)*(measured[Date]=B299)*ISNUMBER(measured[Measured Value (kWh)]))=0,"",SUMIFS(measured[Measured Value (kWh)],measured[Site Name],A299,measured[Date],B299)),"")</f>
        <v/>
      </c>
      <c r="D299" cm="1">
        <f t="array" ref="D299">IFERROR(IF(SUMPRODUCT((expected_production[Site Name]=A299)*(expected_production[Date]=B299)*ISNUMBER(expected_production[Expected Production (kWh)]))=0,"",SUMIFS(expected_production[Expected Production (kWh)],expected_production[Site Name],A299,expected_production[Date],B299)),"")</f>
        <v>24081.3</v>
      </c>
      <c r="E299" s="9" t="str">
        <f t="shared" si="10"/>
        <v/>
      </c>
      <c r="F299" t="str">
        <f t="shared" si="11"/>
        <v/>
      </c>
    </row>
    <row r="300" spans="1:6" ht="15" customHeight="1" x14ac:dyDescent="0.3">
      <c r="A300" t="s">
        <v>71</v>
      </c>
      <c r="B300" s="2">
        <v>45597</v>
      </c>
      <c r="C300" t="str" cm="1">
        <f t="array" ref="C300">IFERROR(IF(SUMPRODUCT((measured[Site Name]=A300)*(measured[Date]=B300)*ISNUMBER(measured[Measured Value (kWh)]))=0,"",SUMIFS(measured[Measured Value (kWh)],measured[Site Name],A300,measured[Date],B300)),"")</f>
        <v/>
      </c>
      <c r="D300" cm="1">
        <f t="array" ref="D300">IFERROR(IF(SUMPRODUCT((expected_production[Site Name]=A300)*(expected_production[Date]=B300)*ISNUMBER(expected_production[Expected Production (kWh)]))=0,"",SUMIFS(expected_production[Expected Production (kWh)],expected_production[Site Name],A300,expected_production[Date],B300)),"")</f>
        <v>25889.4</v>
      </c>
      <c r="E300" s="9" t="str">
        <f t="shared" si="10"/>
        <v/>
      </c>
      <c r="F300" t="str">
        <f t="shared" si="11"/>
        <v/>
      </c>
    </row>
    <row r="301" spans="1:6" ht="15" customHeight="1" x14ac:dyDescent="0.3">
      <c r="A301" t="s">
        <v>71</v>
      </c>
      <c r="B301" s="2">
        <v>45627</v>
      </c>
      <c r="C301" t="str" cm="1">
        <f t="array" ref="C301">IFERROR(IF(SUMPRODUCT((measured[Site Name]=A301)*(measured[Date]=B301)*ISNUMBER(measured[Measured Value (kWh)]))=0,"",SUMIFS(measured[Measured Value (kWh)],measured[Site Name],A301,measured[Date],B301)),"")</f>
        <v/>
      </c>
      <c r="D301" cm="1">
        <f t="array" ref="D301">IFERROR(IF(SUMPRODUCT((expected_production[Site Name]=A301)*(expected_production[Date]=B301)*ISNUMBER(expected_production[Expected Production (kWh)]))=0,"",SUMIFS(expected_production[Expected Production (kWh)],expected_production[Site Name],A301,expected_production[Date],B301)),"")</f>
        <v>27992.7</v>
      </c>
      <c r="E301" s="9" t="str">
        <f t="shared" si="10"/>
        <v/>
      </c>
      <c r="F301" t="str">
        <f t="shared" si="11"/>
        <v/>
      </c>
    </row>
    <row r="302" spans="1:6" ht="15" customHeight="1" x14ac:dyDescent="0.3">
      <c r="A302" t="s">
        <v>71</v>
      </c>
      <c r="B302" s="2">
        <v>45658</v>
      </c>
      <c r="C302" cm="1">
        <f t="array" ref="C302">IFERROR(IF(SUMPRODUCT((measured[Site Name]=A302)*(measured[Date]=B302)*ISNUMBER(measured[Measured Value (kWh)]))=0,"",SUMIFS(measured[Measured Value (kWh)],measured[Site Name],A302,measured[Date],B302)),"")</f>
        <v>31100</v>
      </c>
      <c r="D302" cm="1">
        <f t="array" ref="D302">IFERROR(IF(SUMPRODUCT((expected_production[Site Name]=A302)*(expected_production[Date]=B302)*ISNUMBER(expected_production[Expected Production (kWh)]))=0,"",SUMIFS(expected_production[Expected Production (kWh)],expected_production[Site Name],A302,expected_production[Date],B302)),"")</f>
        <v>26689.5</v>
      </c>
      <c r="E302" s="9">
        <f t="shared" si="10"/>
        <v>1.1652522527585756</v>
      </c>
      <c r="F302" t="str">
        <f t="shared" si="11"/>
        <v>Expected</v>
      </c>
    </row>
    <row r="303" spans="1:6" ht="15" customHeight="1" x14ac:dyDescent="0.3">
      <c r="A303" t="s">
        <v>71</v>
      </c>
      <c r="B303" s="2">
        <v>45689</v>
      </c>
      <c r="C303" cm="1">
        <f t="array" ref="C303">IFERROR(IF(SUMPRODUCT((measured[Site Name]=A303)*(measured[Date]=B303)*ISNUMBER(measured[Measured Value (kWh)]))=0,"",SUMIFS(measured[Measured Value (kWh)],measured[Site Name],A303,measured[Date],B303)),"")</f>
        <v>23180</v>
      </c>
      <c r="D303" cm="1">
        <f t="array" ref="D303">IFERROR(IF(SUMPRODUCT((expected_production[Site Name]=A303)*(expected_production[Date]=B303)*ISNUMBER(expected_production[Expected Production (kWh)]))=0,"",SUMIFS(expected_production[Expected Production (kWh)],expected_production[Site Name],A303,expected_production[Date],B303)),"")</f>
        <v>20674.8</v>
      </c>
      <c r="E303" s="9">
        <f t="shared" si="10"/>
        <v>1.1211716679242363</v>
      </c>
      <c r="F303" t="str">
        <f t="shared" si="11"/>
        <v>Expected</v>
      </c>
    </row>
    <row r="304" spans="1:6" ht="15" customHeight="1" x14ac:dyDescent="0.3">
      <c r="A304" t="s">
        <v>71</v>
      </c>
      <c r="B304" s="2">
        <v>45717</v>
      </c>
      <c r="C304" cm="1">
        <f t="array" ref="C304">IFERROR(IF(SUMPRODUCT((measured[Site Name]=A304)*(measured[Date]=B304)*ISNUMBER(measured[Measured Value (kWh)]))=0,"",SUMIFS(measured[Measured Value (kWh)],measured[Site Name],A304,measured[Date],B304)),"")</f>
        <v>20838</v>
      </c>
      <c r="D304" cm="1">
        <f t="array" ref="D304">IFERROR(IF(SUMPRODUCT((expected_production[Site Name]=A304)*(expected_production[Date]=B304)*ISNUMBER(expected_production[Expected Production (kWh)]))=0,"",SUMIFS(expected_production[Expected Production (kWh)],expected_production[Site Name],A304,expected_production[Date],B304)),"")</f>
        <v>20095.2</v>
      </c>
      <c r="E304" s="9">
        <f t="shared" si="10"/>
        <v>1.0369640511166844</v>
      </c>
      <c r="F304" t="str">
        <f t="shared" si="11"/>
        <v>Expected</v>
      </c>
    </row>
    <row r="305" spans="1:7" ht="15" customHeight="1" x14ac:dyDescent="0.3">
      <c r="A305" t="s">
        <v>71</v>
      </c>
      <c r="B305" s="2">
        <v>45748</v>
      </c>
      <c r="C305" cm="1">
        <f t="array" ref="C305">IFERROR(IF(SUMPRODUCT((measured[Site Name]=A305)*(measured[Date]=B305)*ISNUMBER(measured[Measured Value (kWh)]))=0,"",SUMIFS(measured[Measured Value (kWh)],measured[Site Name],A305,measured[Date],B305)),"")</f>
        <v>16626</v>
      </c>
      <c r="D305" cm="1">
        <f t="array" ref="D305">IFERROR(IF(SUMPRODUCT((expected_production[Site Name]=A305)*(expected_production[Date]=B305)*ISNUMBER(expected_production[Expected Production (kWh)]))=0,"",SUMIFS(expected_production[Expected Production (kWh)],expected_production[Site Name],A305,expected_production[Date],B305)),"")</f>
        <v>16286.4</v>
      </c>
      <c r="E305" s="9">
        <f t="shared" si="10"/>
        <v>1.0208517536103743</v>
      </c>
      <c r="F305" t="str">
        <f t="shared" si="11"/>
        <v>Expected</v>
      </c>
    </row>
    <row r="306" spans="1:7" ht="15" customHeight="1" x14ac:dyDescent="0.3">
      <c r="A306" t="s">
        <v>71</v>
      </c>
      <c r="B306" s="2">
        <v>45778</v>
      </c>
      <c r="C306" cm="1">
        <f t="array" ref="C306">IFERROR(IF(SUMPRODUCT((measured[Site Name]=A306)*(measured[Date]=B306)*ISNUMBER(measured[Measured Value (kWh)]))=0,"",SUMIFS(measured[Measured Value (kWh)],measured[Site Name],A306,measured[Date],B306)),"")</f>
        <v>15218</v>
      </c>
      <c r="D306" cm="1">
        <f t="array" ref="D306">IFERROR(IF(SUMPRODUCT((expected_production[Site Name]=A306)*(expected_production[Date]=B306)*ISNUMBER(expected_production[Expected Production (kWh)]))=0,"",SUMIFS(expected_production[Expected Production (kWh)],expected_production[Site Name],A306,expected_production[Date],B306)),"")</f>
        <v>13518.9</v>
      </c>
      <c r="E306" s="9">
        <f t="shared" si="10"/>
        <v>1.1256833026355695</v>
      </c>
      <c r="F306" t="str">
        <f t="shared" si="11"/>
        <v>Expected</v>
      </c>
    </row>
    <row r="307" spans="1:7" ht="15" customHeight="1" x14ac:dyDescent="0.3">
      <c r="A307" t="s">
        <v>71</v>
      </c>
      <c r="B307" s="2">
        <v>45809</v>
      </c>
      <c r="C307" cm="1">
        <f t="array" ref="C307">IFERROR(IF(SUMPRODUCT((measured[Site Name]=A307)*(measured[Date]=B307)*ISNUMBER(measured[Measured Value (kWh)]))=0,"",SUMIFS(measured[Measured Value (kWh)],measured[Site Name],A307,measured[Date],B307)),"")</f>
        <v>12425.8</v>
      </c>
      <c r="D307" cm="1">
        <f t="array" ref="D307">IFERROR(IF(SUMPRODUCT((expected_production[Site Name]=A307)*(expected_production[Date]=B307)*ISNUMBER(expected_production[Expected Production (kWh)]))=0,"",SUMIFS(expected_production[Expected Production (kWh)],expected_production[Site Name],A307,expected_production[Date],B307)),"")</f>
        <v>11864.7</v>
      </c>
      <c r="E307" s="9">
        <f t="shared" si="10"/>
        <v>1.0472915455089467</v>
      </c>
      <c r="F307" t="str">
        <f t="shared" si="11"/>
        <v>Expected</v>
      </c>
    </row>
    <row r="308" spans="1:7" ht="15" customHeight="1" x14ac:dyDescent="0.3">
      <c r="A308" t="s">
        <v>71</v>
      </c>
      <c r="B308" s="2">
        <v>45839</v>
      </c>
      <c r="C308" cm="1">
        <f t="array" ref="C308">IFERROR(IF(SUMPRODUCT((measured[Site Name]=A308)*(measured[Date]=B308)*ISNUMBER(measured[Measured Value (kWh)]))=0,"",SUMIFS(measured[Measured Value (kWh)],measured[Site Name],A308,measured[Date],B308)),"")</f>
        <v>13246</v>
      </c>
      <c r="D308" cm="1">
        <f t="array" ref="D308">IFERROR(IF(SUMPRODUCT((expected_production[Site Name]=A308)*(expected_production[Date]=B308)*ISNUMBER(expected_production[Expected Production (kWh)]))=0,"",SUMIFS(expected_production[Expected Production (kWh)],expected_production[Site Name],A308,expected_production[Date],B308)),"")</f>
        <v>13589.1</v>
      </c>
      <c r="E308" s="9">
        <f t="shared" si="10"/>
        <v>0.9747518231523794</v>
      </c>
      <c r="F308" t="str">
        <f t="shared" si="11"/>
        <v>Expected</v>
      </c>
    </row>
    <row r="309" spans="1:7" ht="15" customHeight="1" x14ac:dyDescent="0.3">
      <c r="A309" t="s">
        <v>71</v>
      </c>
      <c r="B309" s="2">
        <v>45870</v>
      </c>
      <c r="C309" cm="1">
        <f t="array" ref="C309">IFERROR(IF(SUMPRODUCT((measured[Site Name]=A309)*(measured[Date]=B309)*ISNUMBER(measured[Measured Value (kWh)]))=0,"",SUMIFS(measured[Measured Value (kWh)],measured[Site Name],A309,measured[Date],B309)),"")</f>
        <v>16953</v>
      </c>
      <c r="D309" cm="1">
        <f t="array" ref="D309">IFERROR(IF(SUMPRODUCT((expected_production[Site Name]=A309)*(expected_production[Date]=B309)*ISNUMBER(expected_production[Expected Production (kWh)]))=0,"",SUMIFS(expected_production[Expected Production (kWh)],expected_production[Site Name],A309,expected_production[Date],B309)),"")</f>
        <v>17109</v>
      </c>
      <c r="E309" s="9">
        <f t="shared" si="10"/>
        <v>0.99088199193406978</v>
      </c>
      <c r="F309" t="str">
        <f t="shared" si="11"/>
        <v>Expected</v>
      </c>
    </row>
    <row r="310" spans="1:7" ht="15" customHeight="1" x14ac:dyDescent="0.3">
      <c r="A310" t="s">
        <v>71</v>
      </c>
      <c r="B310" s="2">
        <v>45901</v>
      </c>
      <c r="C310" cm="1">
        <f t="array" ref="C310">IFERROR(IF(SUMPRODUCT((measured[Site Name]=A310)*(measured[Date]=B310)*ISNUMBER(measured[Measured Value (kWh)]))=0,"",SUMIFS(measured[Measured Value (kWh)],measured[Site Name],A310,measured[Date],B310)),"")</f>
        <v>19367</v>
      </c>
      <c r="D310" cm="1">
        <f t="array" ref="D310">IFERROR(IF(SUMPRODUCT((expected_production[Site Name]=A310)*(expected_production[Date]=B310)*ISNUMBER(expected_production[Expected Production (kWh)]))=0,"",SUMIFS(expected_production[Expected Production (kWh)],expected_production[Site Name],A310,expected_production[Date],B310)),"")</f>
        <v>19506.599999999999</v>
      </c>
      <c r="E310" s="9">
        <f t="shared" si="10"/>
        <v>0.99284344785867351</v>
      </c>
      <c r="F310" t="str">
        <f t="shared" si="11"/>
        <v>Expected</v>
      </c>
    </row>
    <row r="311" spans="1:7" ht="15" customHeight="1" x14ac:dyDescent="0.3">
      <c r="A311" t="s">
        <v>71</v>
      </c>
      <c r="B311" s="2">
        <v>45931</v>
      </c>
      <c r="C311" cm="1">
        <f t="array" ref="C311">IFERROR(IF(SUMPRODUCT((measured[Site Name]=A311)*(measured[Date]=B311)*ISNUMBER(measured[Measured Value (kWh)]))=0,"",SUMIFS(measured[Measured Value (kWh)],measured[Site Name],A311,measured[Date],B311)),"")</f>
        <v>25648.18</v>
      </c>
      <c r="D311" cm="1">
        <f t="array" ref="D311">IFERROR(IF(SUMPRODUCT((expected_production[Site Name]=A311)*(expected_production[Date]=B311)*ISNUMBER(expected_production[Expected Production (kWh)]))=0,"",SUMIFS(expected_production[Expected Production (kWh)],expected_production[Site Name],A311,expected_production[Date],B311)),"")</f>
        <v>24081.3</v>
      </c>
      <c r="E311" s="9">
        <f t="shared" si="10"/>
        <v>1.065066254728773</v>
      </c>
      <c r="F311" t="str">
        <f t="shared" si="11"/>
        <v>Expected</v>
      </c>
    </row>
    <row r="312" spans="1:7" ht="15" customHeight="1" x14ac:dyDescent="0.3">
      <c r="A312" t="s">
        <v>71</v>
      </c>
      <c r="B312" s="2">
        <v>45962</v>
      </c>
      <c r="C312" cm="1">
        <f t="array" ref="C312">IFERROR(IF(SUMPRODUCT((measured[Site Name]=A312)*(measured[Date]=B312)*ISNUMBER(measured[Measured Value (kWh)]))=0,"",SUMIFS(measured[Measured Value (kWh)],measured[Site Name],A312,measured[Date],B312)),"")</f>
        <v>26677</v>
      </c>
      <c r="D312" cm="1">
        <f t="array" ref="D312">IFERROR(IF(SUMPRODUCT((expected_production[Site Name]=A312)*(expected_production[Date]=B312)*ISNUMBER(expected_production[Expected Production (kWh)]))=0,"",SUMIFS(expected_production[Expected Production (kWh)],expected_production[Site Name],A312,expected_production[Date],B312)),"")</f>
        <v>25889.4</v>
      </c>
      <c r="E312" s="9">
        <f t="shared" si="10"/>
        <v>1.0304217169961452</v>
      </c>
      <c r="F312" t="str">
        <f t="shared" si="11"/>
        <v>Expected</v>
      </c>
    </row>
    <row r="313" spans="1:7" ht="15" customHeight="1" x14ac:dyDescent="0.3">
      <c r="A313" t="s">
        <v>71</v>
      </c>
      <c r="B313" s="2">
        <v>45992</v>
      </c>
      <c r="C313" cm="1">
        <f t="array" ref="C313">IFERROR(IF(SUMPRODUCT((measured[Site Name]=A313)*(measured[Date]=B313)*ISNUMBER(measured[Measured Value (kWh)]))=0,"",SUMIFS(measured[Measured Value (kWh)],measured[Site Name],A313,measured[Date],B313)),"")</f>
        <v>30286</v>
      </c>
      <c r="D313" cm="1">
        <f t="array" ref="D313">IFERROR(IF(SUMPRODUCT((expected_production[Site Name]=A313)*(expected_production[Date]=B313)*ISNUMBER(expected_production[Expected Production (kWh)]))=0,"",SUMIFS(expected_production[Expected Production (kWh)],expected_production[Site Name],A313,expected_production[Date],B313)),"")</f>
        <v>27992.7</v>
      </c>
      <c r="E313" s="9">
        <f t="shared" si="10"/>
        <v>1.0819249304282903</v>
      </c>
      <c r="F313" t="str">
        <f t="shared" si="11"/>
        <v>Expected</v>
      </c>
    </row>
    <row r="314" spans="1:7" ht="15" customHeight="1" x14ac:dyDescent="0.3">
      <c r="A314" t="s">
        <v>71</v>
      </c>
      <c r="B314" s="2">
        <v>46023</v>
      </c>
      <c r="C314" cm="1">
        <f t="array" ref="C314">IFERROR(IF(SUMPRODUCT((measured[Site Name]=A314)*(measured[Date]=B314)*ISNUMBER(measured[Measured Value (kWh)]))=0,"",SUMIFS(measured[Measured Value (kWh)],measured[Site Name],A314,measured[Date],B314)),"")</f>
        <v>30117</v>
      </c>
      <c r="D314" cm="1">
        <f t="array" ref="D314">IFERROR(IF(SUMPRODUCT((expected_production[Site Name]=A314)*(expected_production[Date]=B314)*ISNUMBER(expected_production[Expected Production (kWh)]))=0,"",SUMIFS(expected_production[Expected Production (kWh)],expected_production[Site Name],A314,expected_production[Date],B314)),"")</f>
        <v>26689.5</v>
      </c>
      <c r="E314" s="9">
        <f t="shared" si="10"/>
        <v>1.1284212892710617</v>
      </c>
      <c r="F314" t="str">
        <f t="shared" si="11"/>
        <v>Expected</v>
      </c>
    </row>
    <row r="315" spans="1:7" ht="15" customHeight="1" x14ac:dyDescent="0.3">
      <c r="A315" t="s">
        <v>71</v>
      </c>
      <c r="B315" s="2">
        <v>46054</v>
      </c>
      <c r="C315" cm="1">
        <f t="array" ref="C315">IFERROR(IF(SUMPRODUCT((measured[Site Name]=A315)*(measured[Date]=B315)*ISNUMBER(measured[Measured Value (kWh)]))=0,"",SUMIFS(measured[Measured Value (kWh)],measured[Site Name],A315,measured[Date],B315)),"")</f>
        <v>22084</v>
      </c>
      <c r="D315" cm="1">
        <f t="array" ref="D315">IFERROR(IF(SUMPRODUCT((expected_production[Site Name]=A315)*(expected_production[Date]=B315)*ISNUMBER(expected_production[Expected Production (kWh)]))=0,"",SUMIFS(expected_production[Expected Production (kWh)],expected_production[Site Name],A315,expected_production[Date],B315)),"")</f>
        <v>20674.8</v>
      </c>
      <c r="E315" s="9">
        <f t="shared" si="10"/>
        <v>1.068160272408923</v>
      </c>
      <c r="F315" t="str">
        <f t="shared" si="11"/>
        <v>Expected</v>
      </c>
    </row>
    <row r="316" spans="1:7" ht="15" customHeight="1" x14ac:dyDescent="0.3">
      <c r="A316" t="s">
        <v>71</v>
      </c>
      <c r="B316" s="2">
        <v>46082</v>
      </c>
      <c r="C316" cm="1">
        <f t="array" ref="C316">IFERROR(IF(SUMPRODUCT((measured[Site Name]=A316)*(measured[Date]=B316)*ISNUMBER(measured[Measured Value (kWh)]))=0,"",SUMIFS(measured[Measured Value (kWh)],measured[Site Name],A316,measured[Date],B316)),"")</f>
        <v>22201</v>
      </c>
      <c r="D316" cm="1">
        <f t="array" ref="D316">IFERROR(IF(SUMPRODUCT((expected_production[Site Name]=A316)*(expected_production[Date]=B316)*ISNUMBER(expected_production[Expected Production (kWh)]))=0,"",SUMIFS(expected_production[Expected Production (kWh)],expected_production[Site Name],A316,expected_production[Date],B316)),"")</f>
        <v>20095.2</v>
      </c>
      <c r="E316" s="9">
        <f t="shared" si="10"/>
        <v>1.1047911939169552</v>
      </c>
      <c r="F316" t="str">
        <f t="shared" si="11"/>
        <v>Expected</v>
      </c>
    </row>
    <row r="317" spans="1:7" ht="15" customHeight="1" x14ac:dyDescent="0.3">
      <c r="A317" t="s">
        <v>71</v>
      </c>
      <c r="B317" s="2">
        <v>46113</v>
      </c>
      <c r="C317" cm="1">
        <f t="array" ref="C317">IFERROR(IF(SUMPRODUCT((measured[Site Name]=A317)*(measured[Date]=B317)*ISNUMBER(measured[Measured Value (kWh)]))=0,"",SUMIFS(measured[Measured Value (kWh)],measured[Site Name],A317,measured[Date],B317)),"")</f>
        <v>16660.7</v>
      </c>
      <c r="D317" cm="1">
        <f t="array" ref="D317">IFERROR(IF(SUMPRODUCT((expected_production[Site Name]=A317)*(expected_production[Date]=B317)*ISNUMBER(expected_production[Expected Production (kWh)]))=0,"",SUMIFS(expected_production[Expected Production (kWh)],expected_production[Site Name],A317,expected_production[Date],B317)),"")</f>
        <v>16286.4</v>
      </c>
      <c r="E317" s="9">
        <f t="shared" si="10"/>
        <v>1.0229823656547796</v>
      </c>
      <c r="F317" t="str">
        <f t="shared" si="11"/>
        <v>Expected</v>
      </c>
    </row>
    <row r="318" spans="1:7" ht="15" customHeight="1" x14ac:dyDescent="0.3">
      <c r="A318" t="s">
        <v>71</v>
      </c>
      <c r="B318" s="2">
        <v>46143</v>
      </c>
      <c r="C318" cm="1">
        <f t="array" ref="C318">IFERROR(IF(SUMPRODUCT((measured[Site Name]=A318)*(measured[Date]=B318)*ISNUMBER(measured[Measured Value (kWh)]))=0,"",SUMIFS(measured[Measured Value (kWh)],measured[Site Name],A318,measured[Date],B318)),"")</f>
        <v>13372.29</v>
      </c>
      <c r="D318" cm="1">
        <f t="array" ref="D318">IFERROR(IF(SUMPRODUCT((expected_production[Site Name]=A318)*(expected_production[Date]=B318)*ISNUMBER(expected_production[Expected Production (kWh)]))=0,"",SUMIFS(expected_production[Expected Production (kWh)],expected_production[Site Name],A318,expected_production[Date],B318)),"")</f>
        <v>13518.9</v>
      </c>
      <c r="E318" s="9">
        <f t="shared" si="10"/>
        <v>0.98915518274415826</v>
      </c>
      <c r="F318" t="str">
        <f t="shared" si="11"/>
        <v>Expected</v>
      </c>
    </row>
    <row r="319" spans="1:7" ht="15" customHeight="1" x14ac:dyDescent="0.3">
      <c r="A319" t="s">
        <v>71</v>
      </c>
      <c r="B319" s="2">
        <v>46174</v>
      </c>
      <c r="C319" cm="1">
        <f t="array" ref="C319">IFERROR(IF(SUMPRODUCT((measured[Site Name]=A319)*(measured[Date]=B319)*ISNUMBER(measured[Measured Value (kWh)]))=0,"",SUMIFS(measured[Measured Value (kWh)],measured[Site Name],A319,measured[Date],B319)),"")</f>
        <v>9763.7000000000007</v>
      </c>
      <c r="D319" cm="1">
        <f t="array" ref="D319">IFERROR(IF(SUMPRODUCT((expected_production[Site Name]=A319)*(expected_production[Date]=B319)*ISNUMBER(expected_production[Expected Production (kWh)]))=0,"",SUMIFS(expected_production[Expected Production (kWh)],expected_production[Site Name],A319,expected_production[Date],B319)),"")</f>
        <v>11864.7</v>
      </c>
      <c r="E319" s="9">
        <f t="shared" si="10"/>
        <v>0.82292009068918726</v>
      </c>
      <c r="F319" t="str">
        <f t="shared" si="11"/>
        <v>Moderate</v>
      </c>
    </row>
    <row r="320" spans="1:7" ht="15" customHeight="1" x14ac:dyDescent="0.3">
      <c r="A320" t="s">
        <v>66</v>
      </c>
      <c r="B320" s="2">
        <v>46204</v>
      </c>
      <c r="C320" cm="1">
        <f t="array" ref="C320">IFERROR(IF(SUMPRODUCT((measured[Site Name]=A320)*(measured[Date]=B320)*ISNUMBER(measured[Measured Value (kWh)]))=0,"",SUMIFS(measured[Measured Value (kWh)],measured[Site Name],A320,measured[Date],B320)),"")</f>
        <v>719</v>
      </c>
      <c r="D320" cm="1">
        <f t="array" ref="D320">IFERROR(IF(SUMPRODUCT((expected_production[Site Name]=A320)*(expected_production[Date]=B320)*ISNUMBER(expected_production[Expected Production (kWh)]))=0,"",SUMIFS(expected_production[Expected Production (kWh)],expected_production[Site Name],A320,expected_production[Date],B320)),"")</f>
        <v>1612.8</v>
      </c>
      <c r="E320" s="9">
        <f t="shared" si="10"/>
        <v>0.44580853174603174</v>
      </c>
      <c r="F320" t="str">
        <f t="shared" si="11"/>
        <v>Poor</v>
      </c>
      <c r="G320" t="s">
        <v>874</v>
      </c>
    </row>
    <row r="321" spans="1:6" ht="15" customHeight="1" x14ac:dyDescent="0.3">
      <c r="A321" t="s">
        <v>71</v>
      </c>
      <c r="B321" s="2">
        <v>46235</v>
      </c>
      <c r="C321" t="str" cm="1">
        <f t="array" ref="C321">IFERROR(IF(SUMPRODUCT((measured[Site Name]=A321)*(measured[Date]=B321)*ISNUMBER(measured[Measured Value (kWh)]))=0,"",SUMIFS(measured[Measured Value (kWh)],measured[Site Name],A321,measured[Date],B321)),"")</f>
        <v/>
      </c>
      <c r="D321" cm="1">
        <f t="array" ref="D321">IFERROR(IF(SUMPRODUCT((expected_production[Site Name]=A321)*(expected_production[Date]=B321)*ISNUMBER(expected_production[Expected Production (kWh)]))=0,"",SUMIFS(expected_production[Expected Production (kWh)],expected_production[Site Name],A321,expected_production[Date],B321)),"")</f>
        <v>17109</v>
      </c>
      <c r="E321" s="9" t="str">
        <f t="shared" si="10"/>
        <v/>
      </c>
      <c r="F321" t="str">
        <f t="shared" si="11"/>
        <v/>
      </c>
    </row>
    <row r="322" spans="1:6" ht="15" customHeight="1" x14ac:dyDescent="0.3">
      <c r="A322" t="s">
        <v>71</v>
      </c>
      <c r="B322" s="2">
        <v>46266</v>
      </c>
      <c r="C322" t="str" cm="1">
        <f t="array" ref="C322">IFERROR(IF(SUMPRODUCT((measured[Site Name]=A322)*(measured[Date]=B322)*ISNUMBER(measured[Measured Value (kWh)]))=0,"",SUMIFS(measured[Measured Value (kWh)],measured[Site Name],A322,measured[Date],B322)),"")</f>
        <v/>
      </c>
      <c r="D322" cm="1">
        <f t="array" ref="D322">IFERROR(IF(SUMPRODUCT((expected_production[Site Name]=A322)*(expected_production[Date]=B322)*ISNUMBER(expected_production[Expected Production (kWh)]))=0,"",SUMIFS(expected_production[Expected Production (kWh)],expected_production[Site Name],A322,expected_production[Date],B322)),"")</f>
        <v>19506.599999999999</v>
      </c>
      <c r="E322" s="9" t="str">
        <f t="shared" si="10"/>
        <v/>
      </c>
      <c r="F322" t="str">
        <f t="shared" si="11"/>
        <v/>
      </c>
    </row>
    <row r="323" spans="1:6" ht="15" customHeight="1" x14ac:dyDescent="0.3">
      <c r="A323" t="s">
        <v>71</v>
      </c>
      <c r="B323" s="2">
        <v>46296</v>
      </c>
      <c r="C323" t="str" cm="1">
        <f t="array" ref="C323">IFERROR(IF(SUMPRODUCT((measured[Site Name]=A323)*(measured[Date]=B323)*ISNUMBER(measured[Measured Value (kWh)]))=0,"",SUMIFS(measured[Measured Value (kWh)],measured[Site Name],A323,measured[Date],B323)),"")</f>
        <v/>
      </c>
      <c r="D323" cm="1">
        <f t="array" ref="D323">IFERROR(IF(SUMPRODUCT((expected_production[Site Name]=A323)*(expected_production[Date]=B323)*ISNUMBER(expected_production[Expected Production (kWh)]))=0,"",SUMIFS(expected_production[Expected Production (kWh)],expected_production[Site Name],A323,expected_production[Date],B323)),"")</f>
        <v>24081.3</v>
      </c>
      <c r="E323" s="9" t="str">
        <f t="shared" si="10"/>
        <v/>
      </c>
      <c r="F323" t="str">
        <f t="shared" si="11"/>
        <v/>
      </c>
    </row>
    <row r="324" spans="1:6" ht="15" customHeight="1" x14ac:dyDescent="0.3">
      <c r="A324" t="s">
        <v>71</v>
      </c>
      <c r="B324" s="2">
        <v>46327</v>
      </c>
      <c r="C324" t="str" cm="1">
        <f t="array" ref="C324">IFERROR(IF(SUMPRODUCT((measured[Site Name]=A324)*(measured[Date]=B324)*ISNUMBER(measured[Measured Value (kWh)]))=0,"",SUMIFS(measured[Measured Value (kWh)],measured[Site Name],A324,measured[Date],B324)),"")</f>
        <v/>
      </c>
      <c r="D324" cm="1">
        <f t="array" ref="D324">IFERROR(IF(SUMPRODUCT((expected_production[Site Name]=A324)*(expected_production[Date]=B324)*ISNUMBER(expected_production[Expected Production (kWh)]))=0,"",SUMIFS(expected_production[Expected Production (kWh)],expected_production[Site Name],A324,expected_production[Date],B324)),"")</f>
        <v>25889.4</v>
      </c>
      <c r="E324" s="9" t="str">
        <f t="shared" si="10"/>
        <v/>
      </c>
      <c r="F324" t="str">
        <f t="shared" si="11"/>
        <v/>
      </c>
    </row>
    <row r="325" spans="1:6" ht="15" customHeight="1" x14ac:dyDescent="0.3">
      <c r="A325" t="s">
        <v>71</v>
      </c>
      <c r="B325" s="2">
        <v>46357</v>
      </c>
      <c r="C325" t="str" cm="1">
        <f t="array" ref="C325">IFERROR(IF(SUMPRODUCT((measured[Site Name]=A325)*(measured[Date]=B325)*ISNUMBER(measured[Measured Value (kWh)]))=0,"",SUMIFS(measured[Measured Value (kWh)],measured[Site Name],A325,measured[Date],B325)),"")</f>
        <v/>
      </c>
      <c r="D325" cm="1">
        <f t="array" ref="D325">IFERROR(IF(SUMPRODUCT((expected_production[Site Name]=A325)*(expected_production[Date]=B325)*ISNUMBER(expected_production[Expected Production (kWh)]))=0,"",SUMIFS(expected_production[Expected Production (kWh)],expected_production[Site Name],A325,expected_production[Date],B325)),"")</f>
        <v>27992.7</v>
      </c>
      <c r="E325" s="9" t="str">
        <f t="shared" si="10"/>
        <v/>
      </c>
      <c r="F325" t="str">
        <f t="shared" si="11"/>
        <v/>
      </c>
    </row>
    <row r="326" spans="1:6" ht="15" customHeight="1" x14ac:dyDescent="0.3">
      <c r="A326" t="s">
        <v>77</v>
      </c>
      <c r="B326" s="2">
        <v>45292</v>
      </c>
      <c r="C326" t="str" cm="1">
        <f t="array" ref="C326">IFERROR(IF(SUMPRODUCT((measured[Site Name]=A326)*(measured[Date]=B326)*ISNUMBER(measured[Measured Value (kWh)]))=0,"",SUMIFS(measured[Measured Value (kWh)],measured[Site Name],A326,measured[Date],B326)),"")</f>
        <v/>
      </c>
      <c r="D326" cm="1">
        <f t="array" ref="D326">IFERROR(IF(SUMPRODUCT((expected_production[Site Name]=A326)*(expected_production[Date]=B326)*ISNUMBER(expected_production[Expected Production (kWh)]))=0,"",SUMIFS(expected_production[Expected Production (kWh)],expected_production[Site Name],A326,expected_production[Date],B326)),"")</f>
        <v>21105</v>
      </c>
      <c r="E326" s="9" t="str">
        <f t="shared" si="10"/>
        <v/>
      </c>
      <c r="F326" t="str">
        <f t="shared" si="11"/>
        <v/>
      </c>
    </row>
    <row r="327" spans="1:6" ht="15" customHeight="1" x14ac:dyDescent="0.3">
      <c r="A327" t="s">
        <v>77</v>
      </c>
      <c r="B327" s="2">
        <v>45323</v>
      </c>
      <c r="C327" t="str" cm="1">
        <f t="array" ref="C327">IFERROR(IF(SUMPRODUCT((measured[Site Name]=A327)*(measured[Date]=B327)*ISNUMBER(measured[Measured Value (kWh)]))=0,"",SUMIFS(measured[Measured Value (kWh)],measured[Site Name],A327,measured[Date],B327)),"")</f>
        <v/>
      </c>
      <c r="D327" cm="1">
        <f t="array" ref="D327">IFERROR(IF(SUMPRODUCT((expected_production[Site Name]=A327)*(expected_production[Date]=B327)*ISNUMBER(expected_production[Expected Production (kWh)]))=0,"",SUMIFS(expected_production[Expected Production (kWh)],expected_production[Site Name],A327,expected_production[Date],B327)),"")</f>
        <v>18220.5</v>
      </c>
      <c r="E327" s="9" t="str">
        <f t="shared" si="10"/>
        <v/>
      </c>
      <c r="F327" t="str">
        <f t="shared" si="11"/>
        <v/>
      </c>
    </row>
    <row r="328" spans="1:6" ht="15" customHeight="1" x14ac:dyDescent="0.3">
      <c r="A328" t="s">
        <v>77</v>
      </c>
      <c r="B328" s="2">
        <v>45352</v>
      </c>
      <c r="C328" t="str" cm="1">
        <f t="array" ref="C328">IFERROR(IF(SUMPRODUCT((measured[Site Name]=A328)*(measured[Date]=B328)*ISNUMBER(measured[Measured Value (kWh)]))=0,"",SUMIFS(measured[Measured Value (kWh)],measured[Site Name],A328,measured[Date],B328)),"")</f>
        <v/>
      </c>
      <c r="D328" cm="1">
        <f t="array" ref="D328">IFERROR(IF(SUMPRODUCT((expected_production[Site Name]=A328)*(expected_production[Date]=B328)*ISNUMBER(expected_production[Expected Production (kWh)]))=0,"",SUMIFS(expected_production[Expected Production (kWh)],expected_production[Site Name],A328,expected_production[Date],B328)),"")</f>
        <v>18368.099999999999</v>
      </c>
      <c r="E328" s="9" t="str">
        <f t="shared" si="10"/>
        <v/>
      </c>
      <c r="F328" t="str">
        <f t="shared" si="11"/>
        <v/>
      </c>
    </row>
    <row r="329" spans="1:6" ht="15" customHeight="1" x14ac:dyDescent="0.3">
      <c r="A329" t="s">
        <v>77</v>
      </c>
      <c r="B329" s="2">
        <v>45383</v>
      </c>
      <c r="C329" t="str" cm="1">
        <f t="array" ref="C329">IFERROR(IF(SUMPRODUCT((measured[Site Name]=A329)*(measured[Date]=B329)*ISNUMBER(measured[Measured Value (kWh)]))=0,"",SUMIFS(measured[Measured Value (kWh)],measured[Site Name],A329,measured[Date],B329)),"")</f>
        <v/>
      </c>
      <c r="D329" cm="1">
        <f t="array" ref="D329">IFERROR(IF(SUMPRODUCT((expected_production[Site Name]=A329)*(expected_production[Date]=B329)*ISNUMBER(expected_production[Expected Production (kWh)]))=0,"",SUMIFS(expected_production[Expected Production (kWh)],expected_production[Site Name],A329,expected_production[Date],B329)),"")</f>
        <v>15103.8</v>
      </c>
      <c r="E329" s="9" t="str">
        <f t="shared" si="10"/>
        <v/>
      </c>
      <c r="F329" t="str">
        <f t="shared" si="11"/>
        <v/>
      </c>
    </row>
    <row r="330" spans="1:6" ht="15" customHeight="1" x14ac:dyDescent="0.3">
      <c r="A330" t="s">
        <v>77</v>
      </c>
      <c r="B330" s="2">
        <v>45413</v>
      </c>
      <c r="C330" t="str" cm="1">
        <f t="array" ref="C330">IFERROR(IF(SUMPRODUCT((measured[Site Name]=A330)*(measured[Date]=B330)*ISNUMBER(measured[Measured Value (kWh)]))=0,"",SUMIFS(measured[Measured Value (kWh)],measured[Site Name],A330,measured[Date],B330)),"")</f>
        <v/>
      </c>
      <c r="D330" cm="1">
        <f t="array" ref="D330">IFERROR(IF(SUMPRODUCT((expected_production[Site Name]=A330)*(expected_production[Date]=B330)*ISNUMBER(expected_production[Expected Production (kWh)]))=0,"",SUMIFS(expected_production[Expected Production (kWh)],expected_production[Site Name],A330,expected_production[Date],B330)),"")</f>
        <v>14130</v>
      </c>
      <c r="E330" s="9" t="str">
        <f t="shared" si="10"/>
        <v/>
      </c>
      <c r="F330" t="str">
        <f t="shared" si="11"/>
        <v/>
      </c>
    </row>
    <row r="331" spans="1:6" ht="15" customHeight="1" x14ac:dyDescent="0.3">
      <c r="A331" t="s">
        <v>77</v>
      </c>
      <c r="B331" s="2">
        <v>45444</v>
      </c>
      <c r="C331" t="str" cm="1">
        <f t="array" ref="C331">IFERROR(IF(SUMPRODUCT((measured[Site Name]=A331)*(measured[Date]=B331)*ISNUMBER(measured[Measured Value (kWh)]))=0,"",SUMIFS(measured[Measured Value (kWh)],measured[Site Name],A331,measured[Date],B331)),"")</f>
        <v/>
      </c>
      <c r="D331" cm="1">
        <f t="array" ref="D331">IFERROR(IF(SUMPRODUCT((expected_production[Site Name]=A331)*(expected_production[Date]=B331)*ISNUMBER(expected_production[Expected Production (kWh)]))=0,"",SUMIFS(expected_production[Expected Production (kWh)],expected_production[Site Name],A331,expected_production[Date],B331)),"")</f>
        <v>12619.8</v>
      </c>
      <c r="E331" s="9" t="str">
        <f t="shared" si="10"/>
        <v/>
      </c>
      <c r="F331" t="str">
        <f t="shared" si="11"/>
        <v/>
      </c>
    </row>
    <row r="332" spans="1:6" ht="15" customHeight="1" x14ac:dyDescent="0.3">
      <c r="A332" t="s">
        <v>77</v>
      </c>
      <c r="B332" s="2">
        <v>45474</v>
      </c>
      <c r="C332" t="str" cm="1">
        <f t="array" ref="C332">IFERROR(IF(SUMPRODUCT((measured[Site Name]=A332)*(measured[Date]=B332)*ISNUMBER(measured[Measured Value (kWh)]))=0,"",SUMIFS(measured[Measured Value (kWh)],measured[Site Name],A332,measured[Date],B332)),"")</f>
        <v/>
      </c>
      <c r="D332" cm="1">
        <f t="array" ref="D332">IFERROR(IF(SUMPRODUCT((expected_production[Site Name]=A332)*(expected_production[Date]=B332)*ISNUMBER(expected_production[Expected Production (kWh)]))=0,"",SUMIFS(expected_production[Expected Production (kWh)],expected_production[Site Name],A332,expected_production[Date],B332)),"")</f>
        <v>14002.2</v>
      </c>
      <c r="E332" s="9" t="str">
        <f t="shared" si="10"/>
        <v/>
      </c>
      <c r="F332" t="str">
        <f t="shared" si="11"/>
        <v/>
      </c>
    </row>
    <row r="333" spans="1:6" ht="15" customHeight="1" x14ac:dyDescent="0.3">
      <c r="A333" t="s">
        <v>77</v>
      </c>
      <c r="B333" s="2">
        <v>45505</v>
      </c>
      <c r="C333" t="str" cm="1">
        <f t="array" ref="C333">IFERROR(IF(SUMPRODUCT((measured[Site Name]=A333)*(measured[Date]=B333)*ISNUMBER(measured[Measured Value (kWh)]))=0,"",SUMIFS(measured[Measured Value (kWh)],measured[Site Name],A333,measured[Date],B333)),"")</f>
        <v/>
      </c>
      <c r="D333" cm="1">
        <f t="array" ref="D333">IFERROR(IF(SUMPRODUCT((expected_production[Site Name]=A333)*(expected_production[Date]=B333)*ISNUMBER(expected_production[Expected Production (kWh)]))=0,"",SUMIFS(expected_production[Expected Production (kWh)],expected_production[Site Name],A333,expected_production[Date],B333)),"")</f>
        <v>16641.900000000001</v>
      </c>
      <c r="E333" s="9" t="str">
        <f t="shared" si="10"/>
        <v/>
      </c>
      <c r="F333" t="str">
        <f t="shared" si="11"/>
        <v/>
      </c>
    </row>
    <row r="334" spans="1:6" ht="15" customHeight="1" x14ac:dyDescent="0.3">
      <c r="A334" t="s">
        <v>77</v>
      </c>
      <c r="B334" s="2">
        <v>45536</v>
      </c>
      <c r="C334" t="str" cm="1">
        <f t="array" ref="C334">IFERROR(IF(SUMPRODUCT((measured[Site Name]=A334)*(measured[Date]=B334)*ISNUMBER(measured[Measured Value (kWh)]))=0,"",SUMIFS(measured[Measured Value (kWh)],measured[Site Name],A334,measured[Date],B334)),"")</f>
        <v/>
      </c>
      <c r="D334" cm="1">
        <f t="array" ref="D334">IFERROR(IF(SUMPRODUCT((expected_production[Site Name]=A334)*(expected_production[Date]=B334)*ISNUMBER(expected_production[Expected Production (kWh)]))=0,"",SUMIFS(expected_production[Expected Production (kWh)],expected_production[Site Name],A334,expected_production[Date],B334)),"")</f>
        <v>18626.400000000001</v>
      </c>
      <c r="E334" s="9" t="str">
        <f t="shared" si="10"/>
        <v/>
      </c>
      <c r="F334" t="str">
        <f t="shared" si="11"/>
        <v/>
      </c>
    </row>
    <row r="335" spans="1:6" ht="15" customHeight="1" x14ac:dyDescent="0.3">
      <c r="A335" t="s">
        <v>77</v>
      </c>
      <c r="B335" s="2">
        <v>45566</v>
      </c>
      <c r="C335" t="str" cm="1">
        <f t="array" ref="C335">IFERROR(IF(SUMPRODUCT((measured[Site Name]=A335)*(measured[Date]=B335)*ISNUMBER(measured[Measured Value (kWh)]))=0,"",SUMIFS(measured[Measured Value (kWh)],measured[Site Name],A335,measured[Date],B335)),"")</f>
        <v/>
      </c>
      <c r="D335" cm="1">
        <f t="array" ref="D335">IFERROR(IF(SUMPRODUCT((expected_production[Site Name]=A335)*(expected_production[Date]=B335)*ISNUMBER(expected_production[Expected Production (kWh)]))=0,"",SUMIFS(expected_production[Expected Production (kWh)],expected_production[Site Name],A335,expected_production[Date],B335)),"")</f>
        <v>20503.8</v>
      </c>
      <c r="E335" s="9" t="str">
        <f t="shared" si="10"/>
        <v/>
      </c>
      <c r="F335" t="str">
        <f t="shared" si="11"/>
        <v/>
      </c>
    </row>
    <row r="336" spans="1:6" ht="15" customHeight="1" x14ac:dyDescent="0.3">
      <c r="A336" t="s">
        <v>77</v>
      </c>
      <c r="B336" s="2">
        <v>45597</v>
      </c>
      <c r="C336" t="str" cm="1">
        <f t="array" ref="C336">IFERROR(IF(SUMPRODUCT((measured[Site Name]=A336)*(measured[Date]=B336)*ISNUMBER(measured[Measured Value (kWh)]))=0,"",SUMIFS(measured[Measured Value (kWh)],measured[Site Name],A336,measured[Date],B336)),"")</f>
        <v/>
      </c>
      <c r="D336" cm="1">
        <f t="array" ref="D336">IFERROR(IF(SUMPRODUCT((expected_production[Site Name]=A336)*(expected_production[Date]=B336)*ISNUMBER(expected_production[Expected Production (kWh)]))=0,"",SUMIFS(expected_production[Expected Production (kWh)],expected_production[Site Name],A336,expected_production[Date],B336)),"")</f>
        <v>20601</v>
      </c>
      <c r="E336" s="9" t="str">
        <f t="shared" si="10"/>
        <v/>
      </c>
      <c r="F336" t="str">
        <f t="shared" si="11"/>
        <v/>
      </c>
    </row>
    <row r="337" spans="1:6" ht="15" customHeight="1" x14ac:dyDescent="0.3">
      <c r="A337" t="s">
        <v>77</v>
      </c>
      <c r="B337" s="2">
        <v>45627</v>
      </c>
      <c r="C337" t="str" cm="1">
        <f t="array" ref="C337">IFERROR(IF(SUMPRODUCT((measured[Site Name]=A337)*(measured[Date]=B337)*ISNUMBER(measured[Measured Value (kWh)]))=0,"",SUMIFS(measured[Measured Value (kWh)],measured[Site Name],A337,measured[Date],B337)),"")</f>
        <v/>
      </c>
      <c r="D337" cm="1">
        <f t="array" ref="D337">IFERROR(IF(SUMPRODUCT((expected_production[Site Name]=A337)*(expected_production[Date]=B337)*ISNUMBER(expected_production[Expected Production (kWh)]))=0,"",SUMIFS(expected_production[Expected Production (kWh)],expected_production[Site Name],A337,expected_production[Date],B337)),"")</f>
        <v>22024.799999999999</v>
      </c>
      <c r="E337" s="9" t="str">
        <f t="shared" si="10"/>
        <v/>
      </c>
      <c r="F337" t="str">
        <f t="shared" si="11"/>
        <v/>
      </c>
    </row>
    <row r="338" spans="1:6" ht="15" customHeight="1" x14ac:dyDescent="0.3">
      <c r="A338" t="s">
        <v>77</v>
      </c>
      <c r="B338" s="2">
        <v>45658</v>
      </c>
      <c r="C338" t="str" cm="1">
        <f t="array" ref="C338">IFERROR(IF(SUMPRODUCT((measured[Site Name]=A338)*(measured[Date]=B338)*ISNUMBER(measured[Measured Value (kWh)]))=0,"",SUMIFS(measured[Measured Value (kWh)],measured[Site Name],A338,measured[Date],B338)),"")</f>
        <v/>
      </c>
      <c r="D338" cm="1">
        <f t="array" ref="D338">IFERROR(IF(SUMPRODUCT((expected_production[Site Name]=A338)*(expected_production[Date]=B338)*ISNUMBER(expected_production[Expected Production (kWh)]))=0,"",SUMIFS(expected_production[Expected Production (kWh)],expected_production[Site Name],A338,expected_production[Date],B338)),"")</f>
        <v>21105</v>
      </c>
      <c r="E338" s="9" t="str">
        <f t="shared" si="10"/>
        <v/>
      </c>
      <c r="F338" t="str">
        <f t="shared" si="11"/>
        <v/>
      </c>
    </row>
    <row r="339" spans="1:6" ht="15" customHeight="1" x14ac:dyDescent="0.3">
      <c r="A339" t="s">
        <v>77</v>
      </c>
      <c r="B339" s="2">
        <v>45689</v>
      </c>
      <c r="C339" t="str" cm="1">
        <f t="array" ref="C339">IFERROR(IF(SUMPRODUCT((measured[Site Name]=A339)*(measured[Date]=B339)*ISNUMBER(measured[Measured Value (kWh)]))=0,"",SUMIFS(measured[Measured Value (kWh)],measured[Site Name],A339,measured[Date],B339)),"")</f>
        <v/>
      </c>
      <c r="D339" cm="1">
        <f t="array" ref="D339">IFERROR(IF(SUMPRODUCT((expected_production[Site Name]=A339)*(expected_production[Date]=B339)*ISNUMBER(expected_production[Expected Production (kWh)]))=0,"",SUMIFS(expected_production[Expected Production (kWh)],expected_production[Site Name],A339,expected_production[Date],B339)),"")</f>
        <v>18220.5</v>
      </c>
      <c r="E339" s="9" t="str">
        <f t="shared" si="10"/>
        <v/>
      </c>
      <c r="F339" t="str">
        <f t="shared" si="11"/>
        <v/>
      </c>
    </row>
    <row r="340" spans="1:6" ht="15" customHeight="1" x14ac:dyDescent="0.3">
      <c r="A340" t="s">
        <v>77</v>
      </c>
      <c r="B340" s="2">
        <v>45717</v>
      </c>
      <c r="C340" cm="1">
        <f t="array" ref="C340">IFERROR(IF(SUMPRODUCT((measured[Site Name]=A340)*(measured[Date]=B340)*ISNUMBER(measured[Measured Value (kWh)]))=0,"",SUMIFS(measured[Measured Value (kWh)],measured[Site Name],A340,measured[Date],B340)),"")</f>
        <v>17913</v>
      </c>
      <c r="D340" cm="1">
        <f t="array" ref="D340">IFERROR(IF(SUMPRODUCT((expected_production[Site Name]=A340)*(expected_production[Date]=B340)*ISNUMBER(expected_production[Expected Production (kWh)]))=0,"",SUMIFS(expected_production[Expected Production (kWh)],expected_production[Site Name],A340,expected_production[Date],B340)),"")</f>
        <v>18368.099999999999</v>
      </c>
      <c r="E340" s="9">
        <f t="shared" si="10"/>
        <v>0.97522334917601716</v>
      </c>
      <c r="F340" t="str">
        <f t="shared" si="11"/>
        <v>Expected</v>
      </c>
    </row>
    <row r="341" spans="1:6" ht="15" customHeight="1" x14ac:dyDescent="0.3">
      <c r="A341" t="s">
        <v>77</v>
      </c>
      <c r="B341" s="2">
        <v>45748</v>
      </c>
      <c r="C341" cm="1">
        <f t="array" ref="C341">IFERROR(IF(SUMPRODUCT((measured[Site Name]=A341)*(measured[Date]=B341)*ISNUMBER(measured[Measured Value (kWh)]))=0,"",SUMIFS(measured[Measured Value (kWh)],measured[Site Name],A341,measured[Date],B341)),"")</f>
        <v>14938</v>
      </c>
      <c r="D341" cm="1">
        <f t="array" ref="D341">IFERROR(IF(SUMPRODUCT((expected_production[Site Name]=A341)*(expected_production[Date]=B341)*ISNUMBER(expected_production[Expected Production (kWh)]))=0,"",SUMIFS(expected_production[Expected Production (kWh)],expected_production[Site Name],A341,expected_production[Date],B341)),"")</f>
        <v>15103.8</v>
      </c>
      <c r="E341" s="9">
        <f t="shared" si="10"/>
        <v>0.98902263006660585</v>
      </c>
      <c r="F341" t="str">
        <f t="shared" si="11"/>
        <v>Expected</v>
      </c>
    </row>
    <row r="342" spans="1:6" ht="15" customHeight="1" x14ac:dyDescent="0.3">
      <c r="A342" t="s">
        <v>77</v>
      </c>
      <c r="B342" s="2">
        <v>45778</v>
      </c>
      <c r="C342" cm="1">
        <f t="array" ref="C342">IFERROR(IF(SUMPRODUCT((measured[Site Name]=A342)*(measured[Date]=B342)*ISNUMBER(measured[Measured Value (kWh)]))=0,"",SUMIFS(measured[Measured Value (kWh)],measured[Site Name],A342,measured[Date],B342)),"")</f>
        <v>18066</v>
      </c>
      <c r="D342" cm="1">
        <f t="array" ref="D342">IFERROR(IF(SUMPRODUCT((expected_production[Site Name]=A342)*(expected_production[Date]=B342)*ISNUMBER(expected_production[Expected Production (kWh)]))=0,"",SUMIFS(expected_production[Expected Production (kWh)],expected_production[Site Name],A342,expected_production[Date],B342)),"")</f>
        <v>14130</v>
      </c>
      <c r="E342" s="9">
        <f t="shared" si="10"/>
        <v>1.278556263269639</v>
      </c>
      <c r="F342" t="str">
        <f t="shared" si="11"/>
        <v>Expected</v>
      </c>
    </row>
    <row r="343" spans="1:6" ht="15" customHeight="1" x14ac:dyDescent="0.3">
      <c r="A343" t="s">
        <v>77</v>
      </c>
      <c r="B343" s="2">
        <v>45809</v>
      </c>
      <c r="C343" cm="1">
        <f t="array" ref="C343">IFERROR(IF(SUMPRODUCT((measured[Site Name]=A343)*(measured[Date]=B343)*ISNUMBER(measured[Measured Value (kWh)]))=0,"",SUMIFS(measured[Measured Value (kWh)],measured[Site Name],A343,measured[Date],B343)),"")</f>
        <v>12974.1</v>
      </c>
      <c r="D343" cm="1">
        <f t="array" ref="D343">IFERROR(IF(SUMPRODUCT((expected_production[Site Name]=A343)*(expected_production[Date]=B343)*ISNUMBER(expected_production[Expected Production (kWh)]))=0,"",SUMIFS(expected_production[Expected Production (kWh)],expected_production[Site Name],A343,expected_production[Date],B343)),"")</f>
        <v>12619.8</v>
      </c>
      <c r="E343" s="9">
        <f t="shared" si="10"/>
        <v>1.0280749298721059</v>
      </c>
      <c r="F343" t="str">
        <f t="shared" si="11"/>
        <v>Expected</v>
      </c>
    </row>
    <row r="344" spans="1:6" ht="15" customHeight="1" x14ac:dyDescent="0.3">
      <c r="A344" t="s">
        <v>77</v>
      </c>
      <c r="B344" s="2">
        <v>45839</v>
      </c>
      <c r="C344" cm="1">
        <f t="array" ref="C344">IFERROR(IF(SUMPRODUCT((measured[Site Name]=A344)*(measured[Date]=B344)*ISNUMBER(measured[Measured Value (kWh)]))=0,"",SUMIFS(measured[Measured Value (kWh)],measured[Site Name],A344,measured[Date],B344)),"")</f>
        <v>13938</v>
      </c>
      <c r="D344" cm="1">
        <f t="array" ref="D344">IFERROR(IF(SUMPRODUCT((expected_production[Site Name]=A344)*(expected_production[Date]=B344)*ISNUMBER(expected_production[Expected Production (kWh)]))=0,"",SUMIFS(expected_production[Expected Production (kWh)],expected_production[Site Name],A344,expected_production[Date],B344)),"")</f>
        <v>14002.2</v>
      </c>
      <c r="E344" s="9">
        <f t="shared" si="10"/>
        <v>0.99541500621330925</v>
      </c>
      <c r="F344" t="str">
        <f t="shared" si="11"/>
        <v>Expected</v>
      </c>
    </row>
    <row r="345" spans="1:6" ht="15" customHeight="1" x14ac:dyDescent="0.3">
      <c r="A345" t="s">
        <v>77</v>
      </c>
      <c r="B345" s="2">
        <v>45870</v>
      </c>
      <c r="C345" cm="1">
        <f t="array" ref="C345">IFERROR(IF(SUMPRODUCT((measured[Site Name]=A345)*(measured[Date]=B345)*ISNUMBER(measured[Measured Value (kWh)]))=0,"",SUMIFS(measured[Measured Value (kWh)],measured[Site Name],A345,measured[Date],B345)),"")</f>
        <v>18460</v>
      </c>
      <c r="D345" cm="1">
        <f t="array" ref="D345">IFERROR(IF(SUMPRODUCT((expected_production[Site Name]=A345)*(expected_production[Date]=B345)*ISNUMBER(expected_production[Expected Production (kWh)]))=0,"",SUMIFS(expected_production[Expected Production (kWh)],expected_production[Site Name],A345,expected_production[Date],B345)),"")</f>
        <v>16641.900000000001</v>
      </c>
      <c r="E345" s="9">
        <f t="shared" si="10"/>
        <v>1.109248343037754</v>
      </c>
      <c r="F345" t="str">
        <f t="shared" si="11"/>
        <v>Expected</v>
      </c>
    </row>
    <row r="346" spans="1:6" ht="15" customHeight="1" x14ac:dyDescent="0.3">
      <c r="A346" t="s">
        <v>77</v>
      </c>
      <c r="B346" s="2">
        <v>45901</v>
      </c>
      <c r="C346" cm="1">
        <f t="array" ref="C346">IFERROR(IF(SUMPRODUCT((measured[Site Name]=A346)*(measured[Date]=B346)*ISNUMBER(measured[Measured Value (kWh)]))=0,"",SUMIFS(measured[Measured Value (kWh)],measured[Site Name],A346,measured[Date],B346)),"")</f>
        <v>17970</v>
      </c>
      <c r="D346" cm="1">
        <f t="array" ref="D346">IFERROR(IF(SUMPRODUCT((expected_production[Site Name]=A346)*(expected_production[Date]=B346)*ISNUMBER(expected_production[Expected Production (kWh)]))=0,"",SUMIFS(expected_production[Expected Production (kWh)],expected_production[Site Name],A346,expected_production[Date],B346)),"")</f>
        <v>18626.400000000001</v>
      </c>
      <c r="E346" s="9">
        <f t="shared" si="10"/>
        <v>0.96475969591547472</v>
      </c>
      <c r="F346" t="str">
        <f t="shared" si="11"/>
        <v>Expected</v>
      </c>
    </row>
    <row r="347" spans="1:6" ht="15" customHeight="1" x14ac:dyDescent="0.3">
      <c r="A347" t="s">
        <v>77</v>
      </c>
      <c r="B347" s="2">
        <v>45931</v>
      </c>
      <c r="C347" cm="1">
        <f t="array" ref="C347">IFERROR(IF(SUMPRODUCT((measured[Site Name]=A347)*(measured[Date]=B347)*ISNUMBER(measured[Measured Value (kWh)]))=0,"",SUMIFS(measured[Measured Value (kWh)],measured[Site Name],A347,measured[Date],B347)),"")</f>
        <v>22232</v>
      </c>
      <c r="D347" cm="1">
        <f t="array" ref="D347">IFERROR(IF(SUMPRODUCT((expected_production[Site Name]=A347)*(expected_production[Date]=B347)*ISNUMBER(expected_production[Expected Production (kWh)]))=0,"",SUMIFS(expected_production[Expected Production (kWh)],expected_production[Site Name],A347,expected_production[Date],B347)),"")</f>
        <v>20503.8</v>
      </c>
      <c r="E347" s="9">
        <f t="shared" si="10"/>
        <v>1.084286815126952</v>
      </c>
      <c r="F347" t="str">
        <f t="shared" si="11"/>
        <v>Expected</v>
      </c>
    </row>
    <row r="348" spans="1:6" ht="15" customHeight="1" x14ac:dyDescent="0.3">
      <c r="A348" t="s">
        <v>77</v>
      </c>
      <c r="B348" s="2">
        <v>45962</v>
      </c>
      <c r="C348" cm="1">
        <f t="array" ref="C348">IFERROR(IF(SUMPRODUCT((measured[Site Name]=A348)*(measured[Date]=B348)*ISNUMBER(measured[Measured Value (kWh)]))=0,"",SUMIFS(measured[Measured Value (kWh)],measured[Site Name],A348,measured[Date],B348)),"")</f>
        <v>17351</v>
      </c>
      <c r="D348" cm="1">
        <f t="array" ref="D348">IFERROR(IF(SUMPRODUCT((expected_production[Site Name]=A348)*(expected_production[Date]=B348)*ISNUMBER(expected_production[Expected Production (kWh)]))=0,"",SUMIFS(expected_production[Expected Production (kWh)],expected_production[Site Name],A348,expected_production[Date],B348)),"")</f>
        <v>20601</v>
      </c>
      <c r="E348" s="9">
        <f t="shared" si="10"/>
        <v>0.8422406679287413</v>
      </c>
      <c r="F348" t="str">
        <f t="shared" si="11"/>
        <v>Moderate</v>
      </c>
    </row>
    <row r="349" spans="1:6" ht="15" customHeight="1" x14ac:dyDescent="0.3">
      <c r="A349" t="s">
        <v>77</v>
      </c>
      <c r="B349" s="2">
        <v>45992</v>
      </c>
      <c r="C349" cm="1">
        <f t="array" ref="C349">IFERROR(IF(SUMPRODUCT((measured[Site Name]=A349)*(measured[Date]=B349)*ISNUMBER(measured[Measured Value (kWh)]))=0,"",SUMIFS(measured[Measured Value (kWh)],measured[Site Name],A349,measured[Date],B349)),"")</f>
        <v>21073</v>
      </c>
      <c r="D349" cm="1">
        <f t="array" ref="D349">IFERROR(IF(SUMPRODUCT((expected_production[Site Name]=A349)*(expected_production[Date]=B349)*ISNUMBER(expected_production[Expected Production (kWh)]))=0,"",SUMIFS(expected_production[Expected Production (kWh)],expected_production[Site Name],A349,expected_production[Date],B349)),"")</f>
        <v>22024.799999999999</v>
      </c>
      <c r="E349" s="9">
        <f t="shared" si="10"/>
        <v>0.95678507863862561</v>
      </c>
      <c r="F349" t="str">
        <f t="shared" si="11"/>
        <v>Expected</v>
      </c>
    </row>
    <row r="350" spans="1:6" ht="15" customHeight="1" x14ac:dyDescent="0.3">
      <c r="A350" t="s">
        <v>77</v>
      </c>
      <c r="B350" s="2">
        <v>46023</v>
      </c>
      <c r="C350" cm="1">
        <f t="array" ref="C350">IFERROR(IF(SUMPRODUCT((measured[Site Name]=A350)*(measured[Date]=B350)*ISNUMBER(measured[Measured Value (kWh)]))=0,"",SUMIFS(measured[Measured Value (kWh)],measured[Site Name],A350,measured[Date],B350)),"")</f>
        <v>22123</v>
      </c>
      <c r="D350" cm="1">
        <f t="array" ref="D350">IFERROR(IF(SUMPRODUCT((expected_production[Site Name]=A350)*(expected_production[Date]=B350)*ISNUMBER(expected_production[Expected Production (kWh)]))=0,"",SUMIFS(expected_production[Expected Production (kWh)],expected_production[Site Name],A350,expected_production[Date],B350)),"")</f>
        <v>21105</v>
      </c>
      <c r="E350" s="9">
        <f t="shared" si="10"/>
        <v>1.0482350153991946</v>
      </c>
      <c r="F350" t="str">
        <f t="shared" si="11"/>
        <v>Expected</v>
      </c>
    </row>
    <row r="351" spans="1:6" ht="15" customHeight="1" x14ac:dyDescent="0.3">
      <c r="A351" t="s">
        <v>77</v>
      </c>
      <c r="B351" s="2">
        <v>46054</v>
      </c>
      <c r="C351" cm="1">
        <f t="array" ref="C351">IFERROR(IF(SUMPRODUCT((measured[Site Name]=A351)*(measured[Date]=B351)*ISNUMBER(measured[Measured Value (kWh)]))=0,"",SUMIFS(measured[Measured Value (kWh)],measured[Site Name],A351,measured[Date],B351)),"")</f>
        <v>16600</v>
      </c>
      <c r="D351" cm="1">
        <f t="array" ref="D351">IFERROR(IF(SUMPRODUCT((expected_production[Site Name]=A351)*(expected_production[Date]=B351)*ISNUMBER(expected_production[Expected Production (kWh)]))=0,"",SUMIFS(expected_production[Expected Production (kWh)],expected_production[Site Name],A351,expected_production[Date],B351)),"")</f>
        <v>18220.5</v>
      </c>
      <c r="E351" s="9">
        <f t="shared" si="10"/>
        <v>0.91106171619878706</v>
      </c>
      <c r="F351" t="str">
        <f t="shared" si="11"/>
        <v>Expected</v>
      </c>
    </row>
    <row r="352" spans="1:6" ht="15" customHeight="1" x14ac:dyDescent="0.3">
      <c r="A352" t="s">
        <v>77</v>
      </c>
      <c r="B352" s="2">
        <v>46082</v>
      </c>
      <c r="C352" cm="1">
        <f t="array" ref="C352">IFERROR(IF(SUMPRODUCT((measured[Site Name]=A352)*(measured[Date]=B352)*ISNUMBER(measured[Measured Value (kWh)]))=0,"",SUMIFS(measured[Measured Value (kWh)],measured[Site Name],A352,measured[Date],B352)),"")</f>
        <v>17500</v>
      </c>
      <c r="D352" cm="1">
        <f t="array" ref="D352">IFERROR(IF(SUMPRODUCT((expected_production[Site Name]=A352)*(expected_production[Date]=B352)*ISNUMBER(expected_production[Expected Production (kWh)]))=0,"",SUMIFS(expected_production[Expected Production (kWh)],expected_production[Site Name],A352,expected_production[Date],B352)),"")</f>
        <v>18368.099999999999</v>
      </c>
      <c r="E352" s="9">
        <f t="shared" ref="E352:E415" si="12">IF(OR(C352="",D352="",D352=0),"",C352/D352)</f>
        <v>0.95273871549044276</v>
      </c>
      <c r="F352" t="str">
        <f t="shared" ref="F352:F415" si="13">IF(E352="","",IF(E352&gt;=0.9,"Expected",IF(E352&gt;=0.7,"Moderate","Poor")))</f>
        <v>Expected</v>
      </c>
    </row>
    <row r="353" spans="1:7" ht="15" customHeight="1" x14ac:dyDescent="0.3">
      <c r="A353" t="s">
        <v>77</v>
      </c>
      <c r="B353" s="2">
        <v>46113</v>
      </c>
      <c r="C353" cm="1">
        <f t="array" ref="C353">IFERROR(IF(SUMPRODUCT((measured[Site Name]=A353)*(measured[Date]=B353)*ISNUMBER(measured[Measured Value (kWh)]))=0,"",SUMIFS(measured[Measured Value (kWh)],measured[Site Name],A353,measured[Date],B353)),"")</f>
        <v>15400</v>
      </c>
      <c r="D353" cm="1">
        <f t="array" ref="D353">IFERROR(IF(SUMPRODUCT((expected_production[Site Name]=A353)*(expected_production[Date]=B353)*ISNUMBER(expected_production[Expected Production (kWh)]))=0,"",SUMIFS(expected_production[Expected Production (kWh)],expected_production[Site Name],A353,expected_production[Date],B353)),"")</f>
        <v>15103.8</v>
      </c>
      <c r="E353" s="9">
        <f t="shared" si="12"/>
        <v>1.0196109588315523</v>
      </c>
      <c r="F353" t="str">
        <f t="shared" si="13"/>
        <v>Expected</v>
      </c>
    </row>
    <row r="354" spans="1:7" ht="15" customHeight="1" x14ac:dyDescent="0.3">
      <c r="A354" t="s">
        <v>77</v>
      </c>
      <c r="B354" s="2">
        <v>46143</v>
      </c>
      <c r="C354" cm="1">
        <f t="array" ref="C354">IFERROR(IF(SUMPRODUCT((measured[Site Name]=A354)*(measured[Date]=B354)*ISNUMBER(measured[Measured Value (kWh)]))=0,"",SUMIFS(measured[Measured Value (kWh)],measured[Site Name],A354,measured[Date],B354)),"")</f>
        <v>15615</v>
      </c>
      <c r="D354" cm="1">
        <f t="array" ref="D354">IFERROR(IF(SUMPRODUCT((expected_production[Site Name]=A354)*(expected_production[Date]=B354)*ISNUMBER(expected_production[Expected Production (kWh)]))=0,"",SUMIFS(expected_production[Expected Production (kWh)],expected_production[Site Name],A354,expected_production[Date],B354)),"")</f>
        <v>14130</v>
      </c>
      <c r="E354" s="9">
        <f t="shared" si="12"/>
        <v>1.105095541401274</v>
      </c>
      <c r="F354" t="str">
        <f t="shared" si="13"/>
        <v>Expected</v>
      </c>
    </row>
    <row r="355" spans="1:7" ht="15" customHeight="1" x14ac:dyDescent="0.3">
      <c r="A355" t="s">
        <v>77</v>
      </c>
      <c r="B355" s="2">
        <v>46174</v>
      </c>
      <c r="C355" cm="1">
        <f t="array" ref="C355">IFERROR(IF(SUMPRODUCT((measured[Site Name]=A355)*(measured[Date]=B355)*ISNUMBER(measured[Measured Value (kWh)]))=0,"",SUMIFS(measured[Measured Value (kWh)],measured[Site Name],A355,measured[Date],B355)),"")</f>
        <v>12373.57</v>
      </c>
      <c r="D355" cm="1">
        <f t="array" ref="D355">IFERROR(IF(SUMPRODUCT((expected_production[Site Name]=A355)*(expected_production[Date]=B355)*ISNUMBER(expected_production[Expected Production (kWh)]))=0,"",SUMIFS(expected_production[Expected Production (kWh)],expected_production[Site Name],A355,expected_production[Date],B355)),"")</f>
        <v>12619.8</v>
      </c>
      <c r="E355" s="9">
        <f t="shared" si="12"/>
        <v>0.98048859728363369</v>
      </c>
      <c r="F355" t="str">
        <f t="shared" si="13"/>
        <v>Expected</v>
      </c>
    </row>
    <row r="356" spans="1:7" ht="15" customHeight="1" x14ac:dyDescent="0.3">
      <c r="A356" t="s">
        <v>71</v>
      </c>
      <c r="B356" s="2">
        <v>46204</v>
      </c>
      <c r="C356" cm="1">
        <f t="array" ref="C356">IFERROR(IF(SUMPRODUCT((measured[Site Name]=A356)*(measured[Date]=B356)*ISNUMBER(measured[Measured Value (kWh)]))=0,"",SUMIFS(measured[Measured Value (kWh)],measured[Site Name],A356,measured[Date],B356)),"")</f>
        <v>8756.0499999999993</v>
      </c>
      <c r="D356" cm="1">
        <f t="array" ref="D356">IFERROR(IF(SUMPRODUCT((expected_production[Site Name]=A356)*(expected_production[Date]=B356)*ISNUMBER(expected_production[Expected Production (kWh)]))=0,"",SUMIFS(expected_production[Expected Production (kWh)],expected_production[Site Name],A356,expected_production[Date],B356)),"")</f>
        <v>13589.1</v>
      </c>
      <c r="E356" s="9">
        <f t="shared" si="12"/>
        <v>0.64434362834919157</v>
      </c>
      <c r="F356" t="str">
        <f t="shared" si="13"/>
        <v>Poor</v>
      </c>
      <c r="G356" t="s">
        <v>875</v>
      </c>
    </row>
    <row r="357" spans="1:7" ht="15" customHeight="1" x14ac:dyDescent="0.3">
      <c r="A357" t="s">
        <v>77</v>
      </c>
      <c r="B357" s="2">
        <v>46235</v>
      </c>
      <c r="C357" t="str" cm="1">
        <f t="array" ref="C357">IFERROR(IF(SUMPRODUCT((measured[Site Name]=A357)*(measured[Date]=B357)*ISNUMBER(measured[Measured Value (kWh)]))=0,"",SUMIFS(measured[Measured Value (kWh)],measured[Site Name],A357,measured[Date],B357)),"")</f>
        <v/>
      </c>
      <c r="D357" cm="1">
        <f t="array" ref="D357">IFERROR(IF(SUMPRODUCT((expected_production[Site Name]=A357)*(expected_production[Date]=B357)*ISNUMBER(expected_production[Expected Production (kWh)]))=0,"",SUMIFS(expected_production[Expected Production (kWh)],expected_production[Site Name],A357,expected_production[Date],B357)),"")</f>
        <v>16641.900000000001</v>
      </c>
      <c r="E357" s="9" t="str">
        <f t="shared" si="12"/>
        <v/>
      </c>
      <c r="F357" t="str">
        <f t="shared" si="13"/>
        <v/>
      </c>
    </row>
    <row r="358" spans="1:7" ht="15" customHeight="1" x14ac:dyDescent="0.3">
      <c r="A358" t="s">
        <v>77</v>
      </c>
      <c r="B358" s="2">
        <v>46266</v>
      </c>
      <c r="C358" t="str" cm="1">
        <f t="array" ref="C358">IFERROR(IF(SUMPRODUCT((measured[Site Name]=A358)*(measured[Date]=B358)*ISNUMBER(measured[Measured Value (kWh)]))=0,"",SUMIFS(measured[Measured Value (kWh)],measured[Site Name],A358,measured[Date],B358)),"")</f>
        <v/>
      </c>
      <c r="D358" cm="1">
        <f t="array" ref="D358">IFERROR(IF(SUMPRODUCT((expected_production[Site Name]=A358)*(expected_production[Date]=B358)*ISNUMBER(expected_production[Expected Production (kWh)]))=0,"",SUMIFS(expected_production[Expected Production (kWh)],expected_production[Site Name],A358,expected_production[Date],B358)),"")</f>
        <v>18626.400000000001</v>
      </c>
      <c r="E358" s="9" t="str">
        <f t="shared" si="12"/>
        <v/>
      </c>
      <c r="F358" t="str">
        <f t="shared" si="13"/>
        <v/>
      </c>
    </row>
    <row r="359" spans="1:7" ht="15" customHeight="1" x14ac:dyDescent="0.3">
      <c r="A359" t="s">
        <v>77</v>
      </c>
      <c r="B359" s="2">
        <v>46296</v>
      </c>
      <c r="C359" t="str" cm="1">
        <f t="array" ref="C359">IFERROR(IF(SUMPRODUCT((measured[Site Name]=A359)*(measured[Date]=B359)*ISNUMBER(measured[Measured Value (kWh)]))=0,"",SUMIFS(measured[Measured Value (kWh)],measured[Site Name],A359,measured[Date],B359)),"")</f>
        <v/>
      </c>
      <c r="D359" cm="1">
        <f t="array" ref="D359">IFERROR(IF(SUMPRODUCT((expected_production[Site Name]=A359)*(expected_production[Date]=B359)*ISNUMBER(expected_production[Expected Production (kWh)]))=0,"",SUMIFS(expected_production[Expected Production (kWh)],expected_production[Site Name],A359,expected_production[Date],B359)),"")</f>
        <v>20503.8</v>
      </c>
      <c r="E359" s="9" t="str">
        <f t="shared" si="12"/>
        <v/>
      </c>
      <c r="F359" t="str">
        <f t="shared" si="13"/>
        <v/>
      </c>
    </row>
    <row r="360" spans="1:7" ht="15" customHeight="1" x14ac:dyDescent="0.3">
      <c r="A360" t="s">
        <v>77</v>
      </c>
      <c r="B360" s="2">
        <v>46327</v>
      </c>
      <c r="C360" t="str" cm="1">
        <f t="array" ref="C360">IFERROR(IF(SUMPRODUCT((measured[Site Name]=A360)*(measured[Date]=B360)*ISNUMBER(measured[Measured Value (kWh)]))=0,"",SUMIFS(measured[Measured Value (kWh)],measured[Site Name],A360,measured[Date],B360)),"")</f>
        <v/>
      </c>
      <c r="D360" cm="1">
        <f t="array" ref="D360">IFERROR(IF(SUMPRODUCT((expected_production[Site Name]=A360)*(expected_production[Date]=B360)*ISNUMBER(expected_production[Expected Production (kWh)]))=0,"",SUMIFS(expected_production[Expected Production (kWh)],expected_production[Site Name],A360,expected_production[Date],B360)),"")</f>
        <v>20601</v>
      </c>
      <c r="E360" s="9" t="str">
        <f t="shared" si="12"/>
        <v/>
      </c>
      <c r="F360" t="str">
        <f t="shared" si="13"/>
        <v/>
      </c>
    </row>
    <row r="361" spans="1:7" ht="15" customHeight="1" x14ac:dyDescent="0.3">
      <c r="A361" t="s">
        <v>77</v>
      </c>
      <c r="B361" s="2">
        <v>46357</v>
      </c>
      <c r="C361" t="str" cm="1">
        <f t="array" ref="C361">IFERROR(IF(SUMPRODUCT((measured[Site Name]=A361)*(measured[Date]=B361)*ISNUMBER(measured[Measured Value (kWh)]))=0,"",SUMIFS(measured[Measured Value (kWh)],measured[Site Name],A361,measured[Date],B361)),"")</f>
        <v/>
      </c>
      <c r="D361" cm="1">
        <f t="array" ref="D361">IFERROR(IF(SUMPRODUCT((expected_production[Site Name]=A361)*(expected_production[Date]=B361)*ISNUMBER(expected_production[Expected Production (kWh)]))=0,"",SUMIFS(expected_production[Expected Production (kWh)],expected_production[Site Name],A361,expected_production[Date],B361)),"")</f>
        <v>22024.799999999999</v>
      </c>
      <c r="E361" s="9" t="str">
        <f t="shared" si="12"/>
        <v/>
      </c>
      <c r="F361" t="str">
        <f t="shared" si="13"/>
        <v/>
      </c>
    </row>
    <row r="362" spans="1:7" ht="15" customHeight="1" x14ac:dyDescent="0.3">
      <c r="A362" t="s">
        <v>80</v>
      </c>
      <c r="B362" s="2">
        <v>45292</v>
      </c>
      <c r="C362" t="str" cm="1">
        <f t="array" ref="C362">IFERROR(IF(SUMPRODUCT((measured[Site Name]=A362)*(measured[Date]=B362)*ISNUMBER(measured[Measured Value (kWh)]))=0,"",SUMIFS(measured[Measured Value (kWh)],measured[Site Name],A362,measured[Date],B362)),"")</f>
        <v/>
      </c>
      <c r="D362" cm="1">
        <f t="array" ref="D362">IFERROR(IF(SUMPRODUCT((expected_production[Site Name]=A362)*(expected_production[Date]=B362)*ISNUMBER(expected_production[Expected Production (kWh)]))=0,"",SUMIFS(expected_production[Expected Production (kWh)],expected_production[Site Name],A362,expected_production[Date],B362)),"")</f>
        <v>21105</v>
      </c>
      <c r="E362" s="9" t="str">
        <f t="shared" si="12"/>
        <v/>
      </c>
      <c r="F362" t="str">
        <f t="shared" si="13"/>
        <v/>
      </c>
    </row>
    <row r="363" spans="1:7" ht="15" customHeight="1" x14ac:dyDescent="0.3">
      <c r="A363" t="s">
        <v>80</v>
      </c>
      <c r="B363" s="2">
        <v>45323</v>
      </c>
      <c r="C363" t="str" cm="1">
        <f t="array" ref="C363">IFERROR(IF(SUMPRODUCT((measured[Site Name]=A363)*(measured[Date]=B363)*ISNUMBER(measured[Measured Value (kWh)]))=0,"",SUMIFS(measured[Measured Value (kWh)],measured[Site Name],A363,measured[Date],B363)),"")</f>
        <v/>
      </c>
      <c r="D363" cm="1">
        <f t="array" ref="D363">IFERROR(IF(SUMPRODUCT((expected_production[Site Name]=A363)*(expected_production[Date]=B363)*ISNUMBER(expected_production[Expected Production (kWh)]))=0,"",SUMIFS(expected_production[Expected Production (kWh)],expected_production[Site Name],A363,expected_production[Date],B363)),"")</f>
        <v>18220.5</v>
      </c>
      <c r="E363" s="9" t="str">
        <f t="shared" si="12"/>
        <v/>
      </c>
      <c r="F363" t="str">
        <f t="shared" si="13"/>
        <v/>
      </c>
    </row>
    <row r="364" spans="1:7" ht="15" customHeight="1" x14ac:dyDescent="0.3">
      <c r="A364" t="s">
        <v>80</v>
      </c>
      <c r="B364" s="2">
        <v>45352</v>
      </c>
      <c r="C364" t="str" cm="1">
        <f t="array" ref="C364">IFERROR(IF(SUMPRODUCT((measured[Site Name]=A364)*(measured[Date]=B364)*ISNUMBER(measured[Measured Value (kWh)]))=0,"",SUMIFS(measured[Measured Value (kWh)],measured[Site Name],A364,measured[Date],B364)),"")</f>
        <v/>
      </c>
      <c r="D364" cm="1">
        <f t="array" ref="D364">IFERROR(IF(SUMPRODUCT((expected_production[Site Name]=A364)*(expected_production[Date]=B364)*ISNUMBER(expected_production[Expected Production (kWh)]))=0,"",SUMIFS(expected_production[Expected Production (kWh)],expected_production[Site Name],A364,expected_production[Date],B364)),"")</f>
        <v>18368.099999999999</v>
      </c>
      <c r="E364" s="9" t="str">
        <f t="shared" si="12"/>
        <v/>
      </c>
      <c r="F364" t="str">
        <f t="shared" si="13"/>
        <v/>
      </c>
    </row>
    <row r="365" spans="1:7" ht="15" customHeight="1" x14ac:dyDescent="0.3">
      <c r="A365" t="s">
        <v>80</v>
      </c>
      <c r="B365" s="2">
        <v>45383</v>
      </c>
      <c r="C365" t="str" cm="1">
        <f t="array" ref="C365">IFERROR(IF(SUMPRODUCT((measured[Site Name]=A365)*(measured[Date]=B365)*ISNUMBER(measured[Measured Value (kWh)]))=0,"",SUMIFS(measured[Measured Value (kWh)],measured[Site Name],A365,measured[Date],B365)),"")</f>
        <v/>
      </c>
      <c r="D365" cm="1">
        <f t="array" ref="D365">IFERROR(IF(SUMPRODUCT((expected_production[Site Name]=A365)*(expected_production[Date]=B365)*ISNUMBER(expected_production[Expected Production (kWh)]))=0,"",SUMIFS(expected_production[Expected Production (kWh)],expected_production[Site Name],A365,expected_production[Date],B365)),"")</f>
        <v>15103.8</v>
      </c>
      <c r="E365" s="9" t="str">
        <f t="shared" si="12"/>
        <v/>
      </c>
      <c r="F365" t="str">
        <f t="shared" si="13"/>
        <v/>
      </c>
    </row>
    <row r="366" spans="1:7" ht="15" customHeight="1" x14ac:dyDescent="0.3">
      <c r="A366" t="s">
        <v>80</v>
      </c>
      <c r="B366" s="2">
        <v>45413</v>
      </c>
      <c r="C366" t="str" cm="1">
        <f t="array" ref="C366">IFERROR(IF(SUMPRODUCT((measured[Site Name]=A366)*(measured[Date]=B366)*ISNUMBER(measured[Measured Value (kWh)]))=0,"",SUMIFS(measured[Measured Value (kWh)],measured[Site Name],A366,measured[Date],B366)),"")</f>
        <v/>
      </c>
      <c r="D366" cm="1">
        <f t="array" ref="D366">IFERROR(IF(SUMPRODUCT((expected_production[Site Name]=A366)*(expected_production[Date]=B366)*ISNUMBER(expected_production[Expected Production (kWh)]))=0,"",SUMIFS(expected_production[Expected Production (kWh)],expected_production[Site Name],A366,expected_production[Date],B366)),"")</f>
        <v>14130</v>
      </c>
      <c r="E366" s="9" t="str">
        <f t="shared" si="12"/>
        <v/>
      </c>
      <c r="F366" t="str">
        <f t="shared" si="13"/>
        <v/>
      </c>
    </row>
    <row r="367" spans="1:7" ht="15" customHeight="1" x14ac:dyDescent="0.3">
      <c r="A367" t="s">
        <v>80</v>
      </c>
      <c r="B367" s="2">
        <v>45444</v>
      </c>
      <c r="C367" t="str" cm="1">
        <f t="array" ref="C367">IFERROR(IF(SUMPRODUCT((measured[Site Name]=A367)*(measured[Date]=B367)*ISNUMBER(measured[Measured Value (kWh)]))=0,"",SUMIFS(measured[Measured Value (kWh)],measured[Site Name],A367,measured[Date],B367)),"")</f>
        <v/>
      </c>
      <c r="D367" cm="1">
        <f t="array" ref="D367">IFERROR(IF(SUMPRODUCT((expected_production[Site Name]=A367)*(expected_production[Date]=B367)*ISNUMBER(expected_production[Expected Production (kWh)]))=0,"",SUMIFS(expected_production[Expected Production (kWh)],expected_production[Site Name],A367,expected_production[Date],B367)),"")</f>
        <v>12619.8</v>
      </c>
      <c r="E367" s="9" t="str">
        <f t="shared" si="12"/>
        <v/>
      </c>
      <c r="F367" t="str">
        <f t="shared" si="13"/>
        <v/>
      </c>
    </row>
    <row r="368" spans="1:7" ht="15" customHeight="1" x14ac:dyDescent="0.3">
      <c r="A368" t="s">
        <v>80</v>
      </c>
      <c r="B368" s="2">
        <v>45474</v>
      </c>
      <c r="C368" t="str" cm="1">
        <f t="array" ref="C368">IFERROR(IF(SUMPRODUCT((measured[Site Name]=A368)*(measured[Date]=B368)*ISNUMBER(measured[Measured Value (kWh)]))=0,"",SUMIFS(measured[Measured Value (kWh)],measured[Site Name],A368,measured[Date],B368)),"")</f>
        <v/>
      </c>
      <c r="D368" cm="1">
        <f t="array" ref="D368">IFERROR(IF(SUMPRODUCT((expected_production[Site Name]=A368)*(expected_production[Date]=B368)*ISNUMBER(expected_production[Expected Production (kWh)]))=0,"",SUMIFS(expected_production[Expected Production (kWh)],expected_production[Site Name],A368,expected_production[Date],B368)),"")</f>
        <v>14002.2</v>
      </c>
      <c r="E368" s="9" t="str">
        <f t="shared" si="12"/>
        <v/>
      </c>
      <c r="F368" t="str">
        <f t="shared" si="13"/>
        <v/>
      </c>
    </row>
    <row r="369" spans="1:6" ht="15" customHeight="1" x14ac:dyDescent="0.3">
      <c r="A369" t="s">
        <v>80</v>
      </c>
      <c r="B369" s="2">
        <v>45505</v>
      </c>
      <c r="C369" t="str" cm="1">
        <f t="array" ref="C369">IFERROR(IF(SUMPRODUCT((measured[Site Name]=A369)*(measured[Date]=B369)*ISNUMBER(measured[Measured Value (kWh)]))=0,"",SUMIFS(measured[Measured Value (kWh)],measured[Site Name],A369,measured[Date],B369)),"")</f>
        <v/>
      </c>
      <c r="D369" cm="1">
        <f t="array" ref="D369">IFERROR(IF(SUMPRODUCT((expected_production[Site Name]=A369)*(expected_production[Date]=B369)*ISNUMBER(expected_production[Expected Production (kWh)]))=0,"",SUMIFS(expected_production[Expected Production (kWh)],expected_production[Site Name],A369,expected_production[Date],B369)),"")</f>
        <v>16641.900000000001</v>
      </c>
      <c r="E369" s="9" t="str">
        <f t="shared" si="12"/>
        <v/>
      </c>
      <c r="F369" t="str">
        <f t="shared" si="13"/>
        <v/>
      </c>
    </row>
    <row r="370" spans="1:6" ht="15" customHeight="1" x14ac:dyDescent="0.3">
      <c r="A370" t="s">
        <v>80</v>
      </c>
      <c r="B370" s="2">
        <v>45536</v>
      </c>
      <c r="C370" t="str" cm="1">
        <f t="array" ref="C370">IFERROR(IF(SUMPRODUCT((measured[Site Name]=A370)*(measured[Date]=B370)*ISNUMBER(measured[Measured Value (kWh)]))=0,"",SUMIFS(measured[Measured Value (kWh)],measured[Site Name],A370,measured[Date],B370)),"")</f>
        <v/>
      </c>
      <c r="D370" cm="1">
        <f t="array" ref="D370">IFERROR(IF(SUMPRODUCT((expected_production[Site Name]=A370)*(expected_production[Date]=B370)*ISNUMBER(expected_production[Expected Production (kWh)]))=0,"",SUMIFS(expected_production[Expected Production (kWh)],expected_production[Site Name],A370,expected_production[Date],B370)),"")</f>
        <v>18626.400000000001</v>
      </c>
      <c r="E370" s="9" t="str">
        <f t="shared" si="12"/>
        <v/>
      </c>
      <c r="F370" t="str">
        <f t="shared" si="13"/>
        <v/>
      </c>
    </row>
    <row r="371" spans="1:6" ht="15" customHeight="1" x14ac:dyDescent="0.3">
      <c r="A371" t="s">
        <v>80</v>
      </c>
      <c r="B371" s="2">
        <v>45566</v>
      </c>
      <c r="C371" t="str" cm="1">
        <f t="array" ref="C371">IFERROR(IF(SUMPRODUCT((measured[Site Name]=A371)*(measured[Date]=B371)*ISNUMBER(measured[Measured Value (kWh)]))=0,"",SUMIFS(measured[Measured Value (kWh)],measured[Site Name],A371,measured[Date],B371)),"")</f>
        <v/>
      </c>
      <c r="D371" cm="1">
        <f t="array" ref="D371">IFERROR(IF(SUMPRODUCT((expected_production[Site Name]=A371)*(expected_production[Date]=B371)*ISNUMBER(expected_production[Expected Production (kWh)]))=0,"",SUMIFS(expected_production[Expected Production (kWh)],expected_production[Site Name],A371,expected_production[Date],B371)),"")</f>
        <v>20503.8</v>
      </c>
      <c r="E371" s="9" t="str">
        <f t="shared" si="12"/>
        <v/>
      </c>
      <c r="F371" t="str">
        <f t="shared" si="13"/>
        <v/>
      </c>
    </row>
    <row r="372" spans="1:6" ht="15" customHeight="1" x14ac:dyDescent="0.3">
      <c r="A372" t="s">
        <v>80</v>
      </c>
      <c r="B372" s="2">
        <v>45597</v>
      </c>
      <c r="C372" t="str" cm="1">
        <f t="array" ref="C372">IFERROR(IF(SUMPRODUCT((measured[Site Name]=A372)*(measured[Date]=B372)*ISNUMBER(measured[Measured Value (kWh)]))=0,"",SUMIFS(measured[Measured Value (kWh)],measured[Site Name],A372,measured[Date],B372)),"")</f>
        <v/>
      </c>
      <c r="D372" cm="1">
        <f t="array" ref="D372">IFERROR(IF(SUMPRODUCT((expected_production[Site Name]=A372)*(expected_production[Date]=B372)*ISNUMBER(expected_production[Expected Production (kWh)]))=0,"",SUMIFS(expected_production[Expected Production (kWh)],expected_production[Site Name],A372,expected_production[Date],B372)),"")</f>
        <v>20601</v>
      </c>
      <c r="E372" s="9" t="str">
        <f t="shared" si="12"/>
        <v/>
      </c>
      <c r="F372" t="str">
        <f t="shared" si="13"/>
        <v/>
      </c>
    </row>
    <row r="373" spans="1:6" ht="15" customHeight="1" x14ac:dyDescent="0.3">
      <c r="A373" t="s">
        <v>80</v>
      </c>
      <c r="B373" s="2">
        <v>45627</v>
      </c>
      <c r="C373" t="str" cm="1">
        <f t="array" ref="C373">IFERROR(IF(SUMPRODUCT((measured[Site Name]=A373)*(measured[Date]=B373)*ISNUMBER(measured[Measured Value (kWh)]))=0,"",SUMIFS(measured[Measured Value (kWh)],measured[Site Name],A373,measured[Date],B373)),"")</f>
        <v/>
      </c>
      <c r="D373" cm="1">
        <f t="array" ref="D373">IFERROR(IF(SUMPRODUCT((expected_production[Site Name]=A373)*(expected_production[Date]=B373)*ISNUMBER(expected_production[Expected Production (kWh)]))=0,"",SUMIFS(expected_production[Expected Production (kWh)],expected_production[Site Name],A373,expected_production[Date],B373)),"")</f>
        <v>22024.799999999999</v>
      </c>
      <c r="E373" s="9" t="str">
        <f t="shared" si="12"/>
        <v/>
      </c>
      <c r="F373" t="str">
        <f t="shared" si="13"/>
        <v/>
      </c>
    </row>
    <row r="374" spans="1:6" ht="15" customHeight="1" x14ac:dyDescent="0.3">
      <c r="A374" t="s">
        <v>80</v>
      </c>
      <c r="B374" s="2">
        <v>45658</v>
      </c>
      <c r="C374" t="str" cm="1">
        <f t="array" ref="C374">IFERROR(IF(SUMPRODUCT((measured[Site Name]=A374)*(measured[Date]=B374)*ISNUMBER(measured[Measured Value (kWh)]))=0,"",SUMIFS(measured[Measured Value (kWh)],measured[Site Name],A374,measured[Date],B374)),"")</f>
        <v/>
      </c>
      <c r="D374" cm="1">
        <f t="array" ref="D374">IFERROR(IF(SUMPRODUCT((expected_production[Site Name]=A374)*(expected_production[Date]=B374)*ISNUMBER(expected_production[Expected Production (kWh)]))=0,"",SUMIFS(expected_production[Expected Production (kWh)],expected_production[Site Name],A374,expected_production[Date],B374)),"")</f>
        <v>21105</v>
      </c>
      <c r="E374" s="9" t="str">
        <f t="shared" si="12"/>
        <v/>
      </c>
      <c r="F374" t="str">
        <f t="shared" si="13"/>
        <v/>
      </c>
    </row>
    <row r="375" spans="1:6" ht="15" customHeight="1" x14ac:dyDescent="0.3">
      <c r="A375" t="s">
        <v>80</v>
      </c>
      <c r="B375" s="2">
        <v>45689</v>
      </c>
      <c r="C375" t="str" cm="1">
        <f t="array" ref="C375">IFERROR(IF(SUMPRODUCT((measured[Site Name]=A375)*(measured[Date]=B375)*ISNUMBER(measured[Measured Value (kWh)]))=0,"",SUMIFS(measured[Measured Value (kWh)],measured[Site Name],A375,measured[Date],B375)),"")</f>
        <v/>
      </c>
      <c r="D375" cm="1">
        <f t="array" ref="D375">IFERROR(IF(SUMPRODUCT((expected_production[Site Name]=A375)*(expected_production[Date]=B375)*ISNUMBER(expected_production[Expected Production (kWh)]))=0,"",SUMIFS(expected_production[Expected Production (kWh)],expected_production[Site Name],A375,expected_production[Date],B375)),"")</f>
        <v>18220.5</v>
      </c>
      <c r="E375" s="9" t="str">
        <f t="shared" si="12"/>
        <v/>
      </c>
      <c r="F375" t="str">
        <f t="shared" si="13"/>
        <v/>
      </c>
    </row>
    <row r="376" spans="1:6" ht="15" customHeight="1" x14ac:dyDescent="0.3">
      <c r="A376" t="s">
        <v>80</v>
      </c>
      <c r="B376" s="2">
        <v>45717</v>
      </c>
      <c r="C376" cm="1">
        <f t="array" ref="C376">IFERROR(IF(SUMPRODUCT((measured[Site Name]=A376)*(measured[Date]=B376)*ISNUMBER(measured[Measured Value (kWh)]))=0,"",SUMIFS(measured[Measured Value (kWh)],measured[Site Name],A376,measured[Date],B376)),"")</f>
        <v>16558</v>
      </c>
      <c r="D376" cm="1">
        <f t="array" ref="D376">IFERROR(IF(SUMPRODUCT((expected_production[Site Name]=A376)*(expected_production[Date]=B376)*ISNUMBER(expected_production[Expected Production (kWh)]))=0,"",SUMIFS(expected_production[Expected Production (kWh)],expected_production[Site Name],A376,expected_production[Date],B376)),"")</f>
        <v>18368.099999999999</v>
      </c>
      <c r="E376" s="9">
        <f t="shared" si="12"/>
        <v>0.90145415149090002</v>
      </c>
      <c r="F376" t="str">
        <f t="shared" si="13"/>
        <v>Expected</v>
      </c>
    </row>
    <row r="377" spans="1:6" ht="15" customHeight="1" x14ac:dyDescent="0.3">
      <c r="A377" t="s">
        <v>80</v>
      </c>
      <c r="B377" s="2">
        <v>45748</v>
      </c>
      <c r="C377" cm="1">
        <f t="array" ref="C377">IFERROR(IF(SUMPRODUCT((measured[Site Name]=A377)*(measured[Date]=B377)*ISNUMBER(measured[Measured Value (kWh)]))=0,"",SUMIFS(measured[Measured Value (kWh)],measured[Site Name],A377,measured[Date],B377)),"")</f>
        <v>13087</v>
      </c>
      <c r="D377" cm="1">
        <f t="array" ref="D377">IFERROR(IF(SUMPRODUCT((expected_production[Site Name]=A377)*(expected_production[Date]=B377)*ISNUMBER(expected_production[Expected Production (kWh)]))=0,"",SUMIFS(expected_production[Expected Production (kWh)],expected_production[Site Name],A377,expected_production[Date],B377)),"")</f>
        <v>15103.8</v>
      </c>
      <c r="E377" s="9">
        <f t="shared" si="12"/>
        <v>0.86647068949535888</v>
      </c>
      <c r="F377" t="str">
        <f t="shared" si="13"/>
        <v>Moderate</v>
      </c>
    </row>
    <row r="378" spans="1:6" ht="15" customHeight="1" x14ac:dyDescent="0.3">
      <c r="A378" t="s">
        <v>80</v>
      </c>
      <c r="B378" s="2">
        <v>45778</v>
      </c>
      <c r="C378" cm="1">
        <f t="array" ref="C378">IFERROR(IF(SUMPRODUCT((measured[Site Name]=A378)*(measured[Date]=B378)*ISNUMBER(measured[Measured Value (kWh)]))=0,"",SUMIFS(measured[Measured Value (kWh)],measured[Site Name],A378,measured[Date],B378)),"")</f>
        <v>15171</v>
      </c>
      <c r="D378" cm="1">
        <f t="array" ref="D378">IFERROR(IF(SUMPRODUCT((expected_production[Site Name]=A378)*(expected_production[Date]=B378)*ISNUMBER(expected_production[Expected Production (kWh)]))=0,"",SUMIFS(expected_production[Expected Production (kWh)],expected_production[Site Name],A378,expected_production[Date],B378)),"")</f>
        <v>14130</v>
      </c>
      <c r="E378" s="9">
        <f t="shared" si="12"/>
        <v>1.0736730360934184</v>
      </c>
      <c r="F378" t="str">
        <f t="shared" si="13"/>
        <v>Expected</v>
      </c>
    </row>
    <row r="379" spans="1:6" ht="15" customHeight="1" x14ac:dyDescent="0.3">
      <c r="A379" t="s">
        <v>80</v>
      </c>
      <c r="B379" s="2">
        <v>45809</v>
      </c>
      <c r="C379" cm="1">
        <f t="array" ref="C379">IFERROR(IF(SUMPRODUCT((measured[Site Name]=A379)*(measured[Date]=B379)*ISNUMBER(measured[Measured Value (kWh)]))=0,"",SUMIFS(measured[Measured Value (kWh)],measured[Site Name],A379,measured[Date],B379)),"")</f>
        <v>9655.7000000000007</v>
      </c>
      <c r="D379" cm="1">
        <f t="array" ref="D379">IFERROR(IF(SUMPRODUCT((expected_production[Site Name]=A379)*(expected_production[Date]=B379)*ISNUMBER(expected_production[Expected Production (kWh)]))=0,"",SUMIFS(expected_production[Expected Production (kWh)],expected_production[Site Name],A379,expected_production[Date],B379)),"")</f>
        <v>12619.8</v>
      </c>
      <c r="E379" s="9">
        <f t="shared" si="12"/>
        <v>0.76512306058733115</v>
      </c>
      <c r="F379" t="str">
        <f t="shared" si="13"/>
        <v>Moderate</v>
      </c>
    </row>
    <row r="380" spans="1:6" ht="15" customHeight="1" x14ac:dyDescent="0.3">
      <c r="A380" t="s">
        <v>80</v>
      </c>
      <c r="B380" s="2">
        <v>45839</v>
      </c>
      <c r="C380" cm="1">
        <f t="array" ref="C380">IFERROR(IF(SUMPRODUCT((measured[Site Name]=A380)*(measured[Date]=B380)*ISNUMBER(measured[Measured Value (kWh)]))=0,"",SUMIFS(measured[Measured Value (kWh)],measured[Site Name],A380,measured[Date],B380)),"")</f>
        <v>10531.6</v>
      </c>
      <c r="D380" cm="1">
        <f t="array" ref="D380">IFERROR(IF(SUMPRODUCT((expected_production[Site Name]=A380)*(expected_production[Date]=B380)*ISNUMBER(expected_production[Expected Production (kWh)]))=0,"",SUMIFS(expected_production[Expected Production (kWh)],expected_production[Site Name],A380,expected_production[Date],B380)),"")</f>
        <v>14002.2</v>
      </c>
      <c r="E380" s="9">
        <f t="shared" si="12"/>
        <v>0.75213894959363525</v>
      </c>
      <c r="F380" t="str">
        <f t="shared" si="13"/>
        <v>Moderate</v>
      </c>
    </row>
    <row r="381" spans="1:6" ht="15" customHeight="1" x14ac:dyDescent="0.3">
      <c r="A381" t="s">
        <v>80</v>
      </c>
      <c r="B381" s="2">
        <v>45870</v>
      </c>
      <c r="C381" cm="1">
        <f t="array" ref="C381">IFERROR(IF(SUMPRODUCT((measured[Site Name]=A381)*(measured[Date]=B381)*ISNUMBER(measured[Measured Value (kWh)]))=0,"",SUMIFS(measured[Measured Value (kWh)],measured[Site Name],A381,measured[Date],B381)),"")</f>
        <v>14730</v>
      </c>
      <c r="D381" cm="1">
        <f t="array" ref="D381">IFERROR(IF(SUMPRODUCT((expected_production[Site Name]=A381)*(expected_production[Date]=B381)*ISNUMBER(expected_production[Expected Production (kWh)]))=0,"",SUMIFS(expected_production[Expected Production (kWh)],expected_production[Site Name],A381,expected_production[Date],B381)),"")</f>
        <v>16641.900000000001</v>
      </c>
      <c r="E381" s="9">
        <f t="shared" si="12"/>
        <v>0.88511528130802364</v>
      </c>
      <c r="F381" t="str">
        <f t="shared" si="13"/>
        <v>Moderate</v>
      </c>
    </row>
    <row r="382" spans="1:6" ht="15" customHeight="1" x14ac:dyDescent="0.3">
      <c r="A382" t="s">
        <v>80</v>
      </c>
      <c r="B382" s="2">
        <v>45901</v>
      </c>
      <c r="C382" cm="1">
        <f t="array" ref="C382">IFERROR(IF(SUMPRODUCT((measured[Site Name]=A382)*(measured[Date]=B382)*ISNUMBER(measured[Measured Value (kWh)]))=0,"",SUMIFS(measured[Measured Value (kWh)],measured[Site Name],A382,measured[Date],B382)),"")</f>
        <v>12165</v>
      </c>
      <c r="D382" cm="1">
        <f t="array" ref="D382">IFERROR(IF(SUMPRODUCT((expected_production[Site Name]=A382)*(expected_production[Date]=B382)*ISNUMBER(expected_production[Expected Production (kWh)]))=0,"",SUMIFS(expected_production[Expected Production (kWh)],expected_production[Site Name],A382,expected_production[Date],B382)),"")</f>
        <v>18626.400000000001</v>
      </c>
      <c r="E382" s="9">
        <f t="shared" si="12"/>
        <v>0.65310526993944074</v>
      </c>
      <c r="F382" t="str">
        <f t="shared" si="13"/>
        <v>Poor</v>
      </c>
    </row>
    <row r="383" spans="1:6" ht="15" customHeight="1" x14ac:dyDescent="0.3">
      <c r="A383" t="s">
        <v>80</v>
      </c>
      <c r="B383" s="2">
        <v>45931</v>
      </c>
      <c r="C383" cm="1">
        <f t="array" ref="C383">IFERROR(IF(SUMPRODUCT((measured[Site Name]=A383)*(measured[Date]=B383)*ISNUMBER(measured[Measured Value (kWh)]))=0,"",SUMIFS(measured[Measured Value (kWh)],measured[Site Name],A383,measured[Date],B383)),"")</f>
        <v>20277</v>
      </c>
      <c r="D383" cm="1">
        <f t="array" ref="D383">IFERROR(IF(SUMPRODUCT((expected_production[Site Name]=A383)*(expected_production[Date]=B383)*ISNUMBER(expected_production[Expected Production (kWh)]))=0,"",SUMIFS(expected_production[Expected Production (kWh)],expected_production[Site Name],A383,expected_production[Date],B383)),"")</f>
        <v>20503.8</v>
      </c>
      <c r="E383" s="9">
        <f t="shared" si="12"/>
        <v>0.98893863576507768</v>
      </c>
      <c r="F383" t="str">
        <f t="shared" si="13"/>
        <v>Expected</v>
      </c>
    </row>
    <row r="384" spans="1:6" ht="15" customHeight="1" x14ac:dyDescent="0.3">
      <c r="A384" t="s">
        <v>80</v>
      </c>
      <c r="B384" s="2">
        <v>45962</v>
      </c>
      <c r="C384" cm="1">
        <f t="array" ref="C384">IFERROR(IF(SUMPRODUCT((measured[Site Name]=A384)*(measured[Date]=B384)*ISNUMBER(measured[Measured Value (kWh)]))=0,"",SUMIFS(measured[Measured Value (kWh)],measured[Site Name],A384,measured[Date],B384)),"")</f>
        <v>15371</v>
      </c>
      <c r="D384" cm="1">
        <f t="array" ref="D384">IFERROR(IF(SUMPRODUCT((expected_production[Site Name]=A384)*(expected_production[Date]=B384)*ISNUMBER(expected_production[Expected Production (kWh)]))=0,"",SUMIFS(expected_production[Expected Production (kWh)],expected_production[Site Name],A384,expected_production[Date],B384)),"")</f>
        <v>20601</v>
      </c>
      <c r="E384" s="9">
        <f t="shared" si="12"/>
        <v>0.74612882869763608</v>
      </c>
      <c r="F384" t="str">
        <f t="shared" si="13"/>
        <v>Moderate</v>
      </c>
    </row>
    <row r="385" spans="1:7" ht="15" customHeight="1" x14ac:dyDescent="0.3">
      <c r="A385" t="s">
        <v>80</v>
      </c>
      <c r="B385" s="2">
        <v>45992</v>
      </c>
      <c r="C385" cm="1">
        <f t="array" ref="C385">IFERROR(IF(SUMPRODUCT((measured[Site Name]=A385)*(measured[Date]=B385)*ISNUMBER(measured[Measured Value (kWh)]))=0,"",SUMIFS(measured[Measured Value (kWh)],measured[Site Name],A385,measured[Date],B385)),"")</f>
        <v>13568</v>
      </c>
      <c r="D385" cm="1">
        <f t="array" ref="D385">IFERROR(IF(SUMPRODUCT((expected_production[Site Name]=A385)*(expected_production[Date]=B385)*ISNUMBER(expected_production[Expected Production (kWh)]))=0,"",SUMIFS(expected_production[Expected Production (kWh)],expected_production[Site Name],A385,expected_production[Date],B385)),"")</f>
        <v>22024.799999999999</v>
      </c>
      <c r="E385" s="9">
        <f t="shared" si="12"/>
        <v>0.61603283571246958</v>
      </c>
      <c r="F385" t="str">
        <f t="shared" si="13"/>
        <v>Poor</v>
      </c>
    </row>
    <row r="386" spans="1:7" ht="15" customHeight="1" x14ac:dyDescent="0.3">
      <c r="A386" t="s">
        <v>80</v>
      </c>
      <c r="B386" s="2">
        <v>46023</v>
      </c>
      <c r="C386" cm="1">
        <f t="array" ref="C386">IFERROR(IF(SUMPRODUCT((measured[Site Name]=A386)*(measured[Date]=B386)*ISNUMBER(measured[Measured Value (kWh)]))=0,"",SUMIFS(measured[Measured Value (kWh)],measured[Site Name],A386,measured[Date],B386)),"")</f>
        <v>21287</v>
      </c>
      <c r="D386" cm="1">
        <f t="array" ref="D386">IFERROR(IF(SUMPRODUCT((expected_production[Site Name]=A386)*(expected_production[Date]=B386)*ISNUMBER(expected_production[Expected Production (kWh)]))=0,"",SUMIFS(expected_production[Expected Production (kWh)],expected_production[Site Name],A386,expected_production[Date],B386)),"")</f>
        <v>21105</v>
      </c>
      <c r="E386" s="9">
        <f t="shared" si="12"/>
        <v>1.0086235489220563</v>
      </c>
      <c r="F386" t="str">
        <f t="shared" si="13"/>
        <v>Expected</v>
      </c>
    </row>
    <row r="387" spans="1:7" ht="15" customHeight="1" x14ac:dyDescent="0.3">
      <c r="A387" t="s">
        <v>80</v>
      </c>
      <c r="B387" s="2">
        <v>46054</v>
      </c>
      <c r="C387" cm="1">
        <f t="array" ref="C387">IFERROR(IF(SUMPRODUCT((measured[Site Name]=A387)*(measured[Date]=B387)*ISNUMBER(measured[Measured Value (kWh)]))=0,"",SUMIFS(measured[Measured Value (kWh)],measured[Site Name],A387,measured[Date],B387)),"")</f>
        <v>19200</v>
      </c>
      <c r="D387" cm="1">
        <f t="array" ref="D387">IFERROR(IF(SUMPRODUCT((expected_production[Site Name]=A387)*(expected_production[Date]=B387)*ISNUMBER(expected_production[Expected Production (kWh)]))=0,"",SUMIFS(expected_production[Expected Production (kWh)],expected_production[Site Name],A387,expected_production[Date],B387)),"")</f>
        <v>18220.5</v>
      </c>
      <c r="E387" s="9">
        <f t="shared" si="12"/>
        <v>1.0537581295793199</v>
      </c>
      <c r="F387" t="str">
        <f t="shared" si="13"/>
        <v>Expected</v>
      </c>
    </row>
    <row r="388" spans="1:7" ht="15" customHeight="1" x14ac:dyDescent="0.3">
      <c r="A388" t="s">
        <v>80</v>
      </c>
      <c r="B388" s="2">
        <v>46082</v>
      </c>
      <c r="C388" cm="1">
        <f t="array" ref="C388">IFERROR(IF(SUMPRODUCT((measured[Site Name]=A388)*(measured[Date]=B388)*ISNUMBER(measured[Measured Value (kWh)]))=0,"",SUMIFS(measured[Measured Value (kWh)],measured[Site Name],A388,measured[Date],B388)),"")</f>
        <v>16030</v>
      </c>
      <c r="D388" cm="1">
        <f t="array" ref="D388">IFERROR(IF(SUMPRODUCT((expected_production[Site Name]=A388)*(expected_production[Date]=B388)*ISNUMBER(expected_production[Expected Production (kWh)]))=0,"",SUMIFS(expected_production[Expected Production (kWh)],expected_production[Site Name],A388,expected_production[Date],B388)),"")</f>
        <v>18368.099999999999</v>
      </c>
      <c r="E388" s="9">
        <f t="shared" si="12"/>
        <v>0.87270866338924558</v>
      </c>
      <c r="F388" t="str">
        <f t="shared" si="13"/>
        <v>Moderate</v>
      </c>
    </row>
    <row r="389" spans="1:7" ht="15" customHeight="1" x14ac:dyDescent="0.3">
      <c r="A389" t="s">
        <v>80</v>
      </c>
      <c r="B389" s="2">
        <v>46113</v>
      </c>
      <c r="C389" cm="1">
        <f t="array" ref="C389">IFERROR(IF(SUMPRODUCT((measured[Site Name]=A389)*(measured[Date]=B389)*ISNUMBER(measured[Measured Value (kWh)]))=0,"",SUMIFS(measured[Measured Value (kWh)],measured[Site Name],A389,measured[Date],B389)),"")</f>
        <v>13700</v>
      </c>
      <c r="D389" cm="1">
        <f t="array" ref="D389">IFERROR(IF(SUMPRODUCT((expected_production[Site Name]=A389)*(expected_production[Date]=B389)*ISNUMBER(expected_production[Expected Production (kWh)]))=0,"",SUMIFS(expected_production[Expected Production (kWh)],expected_production[Site Name],A389,expected_production[Date],B389)),"")</f>
        <v>15103.8</v>
      </c>
      <c r="E389" s="9">
        <f t="shared" si="12"/>
        <v>0.90705650233716018</v>
      </c>
      <c r="F389" t="str">
        <f t="shared" si="13"/>
        <v>Expected</v>
      </c>
    </row>
    <row r="390" spans="1:7" ht="15" customHeight="1" x14ac:dyDescent="0.3">
      <c r="A390" t="s">
        <v>80</v>
      </c>
      <c r="B390" s="2">
        <v>46143</v>
      </c>
      <c r="C390" cm="1">
        <f t="array" ref="C390">IFERROR(IF(SUMPRODUCT((measured[Site Name]=A390)*(measured[Date]=B390)*ISNUMBER(measured[Measured Value (kWh)]))=0,"",SUMIFS(measured[Measured Value (kWh)],measured[Site Name],A390,measured[Date],B390)),"")</f>
        <v>13287</v>
      </c>
      <c r="D390" cm="1">
        <f t="array" ref="D390">IFERROR(IF(SUMPRODUCT((expected_production[Site Name]=A390)*(expected_production[Date]=B390)*ISNUMBER(expected_production[Expected Production (kWh)]))=0,"",SUMIFS(expected_production[Expected Production (kWh)],expected_production[Site Name],A390,expected_production[Date],B390)),"")</f>
        <v>14130</v>
      </c>
      <c r="E390" s="9">
        <f t="shared" si="12"/>
        <v>0.94033970276008494</v>
      </c>
      <c r="F390" t="str">
        <f t="shared" si="13"/>
        <v>Expected</v>
      </c>
    </row>
    <row r="391" spans="1:7" ht="15" customHeight="1" x14ac:dyDescent="0.3">
      <c r="A391" t="s">
        <v>80</v>
      </c>
      <c r="B391" s="2">
        <v>46174</v>
      </c>
      <c r="C391" cm="1">
        <f t="array" ref="C391">IFERROR(IF(SUMPRODUCT((measured[Site Name]=A391)*(measured[Date]=B391)*ISNUMBER(measured[Measured Value (kWh)]))=0,"",SUMIFS(measured[Measured Value (kWh)],measured[Site Name],A391,measured[Date],B391)),"")</f>
        <v>10602.24</v>
      </c>
      <c r="D391" cm="1">
        <f t="array" ref="D391">IFERROR(IF(SUMPRODUCT((expected_production[Site Name]=A391)*(expected_production[Date]=B391)*ISNUMBER(expected_production[Expected Production (kWh)]))=0,"",SUMIFS(expected_production[Expected Production (kWh)],expected_production[Site Name],A391,expected_production[Date],B391)),"")</f>
        <v>12619.8</v>
      </c>
      <c r="E391" s="9">
        <f t="shared" si="12"/>
        <v>0.84012741881804787</v>
      </c>
      <c r="F391" t="str">
        <f t="shared" si="13"/>
        <v>Moderate</v>
      </c>
    </row>
    <row r="392" spans="1:7" ht="15" customHeight="1" x14ac:dyDescent="0.3">
      <c r="A392" t="s">
        <v>251</v>
      </c>
      <c r="B392" s="2">
        <v>46204</v>
      </c>
      <c r="C392" cm="1">
        <f t="array" ref="C392">IFERROR(IF(SUMPRODUCT((measured[Site Name]=A392)*(measured[Date]=B392)*ISNUMBER(measured[Measured Value (kWh)]))=0,"",SUMIFS(measured[Measured Value (kWh)],measured[Site Name],A392,measured[Date],B392)),"")</f>
        <v>16617.160800000001</v>
      </c>
      <c r="D392" cm="1">
        <f t="array" ref="D392">IFERROR(IF(SUMPRODUCT((expected_production[Site Name]=A392)*(expected_production[Date]=B392)*ISNUMBER(expected_production[Expected Production (kWh)]))=0,"",SUMIFS(expected_production[Expected Production (kWh)],expected_production[Site Name],A392,expected_production[Date],B392)),"")</f>
        <v>18261</v>
      </c>
      <c r="E392" s="9">
        <f t="shared" si="12"/>
        <v>0.9099808772794481</v>
      </c>
      <c r="F392" t="str">
        <f t="shared" si="13"/>
        <v>Expected</v>
      </c>
      <c r="G392" t="s">
        <v>875</v>
      </c>
    </row>
    <row r="393" spans="1:7" ht="15" customHeight="1" x14ac:dyDescent="0.3">
      <c r="A393" t="s">
        <v>80</v>
      </c>
      <c r="B393" s="2">
        <v>46235</v>
      </c>
      <c r="C393" t="str" cm="1">
        <f t="array" ref="C393">IFERROR(IF(SUMPRODUCT((measured[Site Name]=A393)*(measured[Date]=B393)*ISNUMBER(measured[Measured Value (kWh)]))=0,"",SUMIFS(measured[Measured Value (kWh)],measured[Site Name],A393,measured[Date],B393)),"")</f>
        <v/>
      </c>
      <c r="D393" cm="1">
        <f t="array" ref="D393">IFERROR(IF(SUMPRODUCT((expected_production[Site Name]=A393)*(expected_production[Date]=B393)*ISNUMBER(expected_production[Expected Production (kWh)]))=0,"",SUMIFS(expected_production[Expected Production (kWh)],expected_production[Site Name],A393,expected_production[Date],B393)),"")</f>
        <v>16641.900000000001</v>
      </c>
      <c r="E393" s="9" t="str">
        <f t="shared" si="12"/>
        <v/>
      </c>
      <c r="F393" t="str">
        <f t="shared" si="13"/>
        <v/>
      </c>
    </row>
    <row r="394" spans="1:7" ht="15" customHeight="1" x14ac:dyDescent="0.3">
      <c r="A394" t="s">
        <v>80</v>
      </c>
      <c r="B394" s="2">
        <v>46266</v>
      </c>
      <c r="C394" t="str" cm="1">
        <f t="array" ref="C394">IFERROR(IF(SUMPRODUCT((measured[Site Name]=A394)*(measured[Date]=B394)*ISNUMBER(measured[Measured Value (kWh)]))=0,"",SUMIFS(measured[Measured Value (kWh)],measured[Site Name],A394,measured[Date],B394)),"")</f>
        <v/>
      </c>
      <c r="D394" cm="1">
        <f t="array" ref="D394">IFERROR(IF(SUMPRODUCT((expected_production[Site Name]=A394)*(expected_production[Date]=B394)*ISNUMBER(expected_production[Expected Production (kWh)]))=0,"",SUMIFS(expected_production[Expected Production (kWh)],expected_production[Site Name],A394,expected_production[Date],B394)),"")</f>
        <v>18626.400000000001</v>
      </c>
      <c r="E394" s="9" t="str">
        <f t="shared" si="12"/>
        <v/>
      </c>
      <c r="F394" t="str">
        <f t="shared" si="13"/>
        <v/>
      </c>
    </row>
    <row r="395" spans="1:7" ht="15" customHeight="1" x14ac:dyDescent="0.3">
      <c r="A395" t="s">
        <v>80</v>
      </c>
      <c r="B395" s="2">
        <v>46296</v>
      </c>
      <c r="C395" t="str" cm="1">
        <f t="array" ref="C395">IFERROR(IF(SUMPRODUCT((measured[Site Name]=A395)*(measured[Date]=B395)*ISNUMBER(measured[Measured Value (kWh)]))=0,"",SUMIFS(measured[Measured Value (kWh)],measured[Site Name],A395,measured[Date],B395)),"")</f>
        <v/>
      </c>
      <c r="D395" cm="1">
        <f t="array" ref="D395">IFERROR(IF(SUMPRODUCT((expected_production[Site Name]=A395)*(expected_production[Date]=B395)*ISNUMBER(expected_production[Expected Production (kWh)]))=0,"",SUMIFS(expected_production[Expected Production (kWh)],expected_production[Site Name],A395,expected_production[Date],B395)),"")</f>
        <v>20503.8</v>
      </c>
      <c r="E395" s="9" t="str">
        <f t="shared" si="12"/>
        <v/>
      </c>
      <c r="F395" t="str">
        <f t="shared" si="13"/>
        <v/>
      </c>
    </row>
    <row r="396" spans="1:7" ht="15" customHeight="1" x14ac:dyDescent="0.3">
      <c r="A396" t="s">
        <v>80</v>
      </c>
      <c r="B396" s="2">
        <v>46327</v>
      </c>
      <c r="C396" t="str" cm="1">
        <f t="array" ref="C396">IFERROR(IF(SUMPRODUCT((measured[Site Name]=A396)*(measured[Date]=B396)*ISNUMBER(measured[Measured Value (kWh)]))=0,"",SUMIFS(measured[Measured Value (kWh)],measured[Site Name],A396,measured[Date],B396)),"")</f>
        <v/>
      </c>
      <c r="D396" cm="1">
        <f t="array" ref="D396">IFERROR(IF(SUMPRODUCT((expected_production[Site Name]=A396)*(expected_production[Date]=B396)*ISNUMBER(expected_production[Expected Production (kWh)]))=0,"",SUMIFS(expected_production[Expected Production (kWh)],expected_production[Site Name],A396,expected_production[Date],B396)),"")</f>
        <v>20601</v>
      </c>
      <c r="E396" s="9" t="str">
        <f t="shared" si="12"/>
        <v/>
      </c>
      <c r="F396" t="str">
        <f t="shared" si="13"/>
        <v/>
      </c>
    </row>
    <row r="397" spans="1:7" ht="15" customHeight="1" x14ac:dyDescent="0.3">
      <c r="A397" t="s">
        <v>80</v>
      </c>
      <c r="B397" s="2">
        <v>46357</v>
      </c>
      <c r="C397" t="str" cm="1">
        <f t="array" ref="C397">IFERROR(IF(SUMPRODUCT((measured[Site Name]=A397)*(measured[Date]=B397)*ISNUMBER(measured[Measured Value (kWh)]))=0,"",SUMIFS(measured[Measured Value (kWh)],measured[Site Name],A397,measured[Date],B397)),"")</f>
        <v/>
      </c>
      <c r="D397" cm="1">
        <f t="array" ref="D397">IFERROR(IF(SUMPRODUCT((expected_production[Site Name]=A397)*(expected_production[Date]=B397)*ISNUMBER(expected_production[Expected Production (kWh)]))=0,"",SUMIFS(expected_production[Expected Production (kWh)],expected_production[Site Name],A397,expected_production[Date],B397)),"")</f>
        <v>22024.799999999999</v>
      </c>
      <c r="E397" s="9" t="str">
        <f t="shared" si="12"/>
        <v/>
      </c>
      <c r="F397" t="str">
        <f t="shared" si="13"/>
        <v/>
      </c>
    </row>
    <row r="398" spans="1:7" ht="15" customHeight="1" x14ac:dyDescent="0.3">
      <c r="A398" t="s">
        <v>81</v>
      </c>
      <c r="B398" s="2">
        <v>45292</v>
      </c>
      <c r="C398" t="str" cm="1">
        <f t="array" ref="C398">IFERROR(IF(SUMPRODUCT((measured[Site Name]=A398)*(measured[Date]=B398)*ISNUMBER(measured[Measured Value (kWh)]))=0,"",SUMIFS(measured[Measured Value (kWh)],measured[Site Name],A398,measured[Date],B398)),"")</f>
        <v/>
      </c>
      <c r="D398" cm="1">
        <f t="array" ref="D398">IFERROR(IF(SUMPRODUCT((expected_production[Site Name]=A398)*(expected_production[Date]=B398)*ISNUMBER(expected_production[Expected Production (kWh)]))=0,"",SUMIFS(expected_production[Expected Production (kWh)],expected_production[Site Name],A398,expected_production[Date],B398)),"")</f>
        <v>8664.2999999999993</v>
      </c>
      <c r="E398" s="9" t="str">
        <f t="shared" si="12"/>
        <v/>
      </c>
      <c r="F398" t="str">
        <f t="shared" si="13"/>
        <v/>
      </c>
    </row>
    <row r="399" spans="1:7" ht="15" customHeight="1" x14ac:dyDescent="0.3">
      <c r="A399" t="s">
        <v>81</v>
      </c>
      <c r="B399" s="2">
        <v>45323</v>
      </c>
      <c r="C399" t="str" cm="1">
        <f t="array" ref="C399">IFERROR(IF(SUMPRODUCT((measured[Site Name]=A399)*(measured[Date]=B399)*ISNUMBER(measured[Measured Value (kWh)]))=0,"",SUMIFS(measured[Measured Value (kWh)],measured[Site Name],A399,measured[Date],B399)),"")</f>
        <v/>
      </c>
      <c r="D399" cm="1">
        <f t="array" ref="D399">IFERROR(IF(SUMPRODUCT((expected_production[Site Name]=A399)*(expected_production[Date]=B399)*ISNUMBER(expected_production[Expected Production (kWh)]))=0,"",SUMIFS(expected_production[Expected Production (kWh)],expected_production[Site Name],A399,expected_production[Date],B399)),"")</f>
        <v>8100</v>
      </c>
      <c r="E399" s="9" t="str">
        <f t="shared" si="12"/>
        <v/>
      </c>
      <c r="F399" t="str">
        <f t="shared" si="13"/>
        <v/>
      </c>
    </row>
    <row r="400" spans="1:7" ht="15" customHeight="1" x14ac:dyDescent="0.3">
      <c r="A400" t="s">
        <v>81</v>
      </c>
      <c r="B400" s="2">
        <v>45352</v>
      </c>
      <c r="C400" t="str" cm="1">
        <f t="array" ref="C400">IFERROR(IF(SUMPRODUCT((measured[Site Name]=A400)*(measured[Date]=B400)*ISNUMBER(measured[Measured Value (kWh)]))=0,"",SUMIFS(measured[Measured Value (kWh)],measured[Site Name],A400,measured[Date],B400)),"")</f>
        <v/>
      </c>
      <c r="D400" cm="1">
        <f t="array" ref="D400">IFERROR(IF(SUMPRODUCT((expected_production[Site Name]=A400)*(expected_production[Date]=B400)*ISNUMBER(expected_production[Expected Production (kWh)]))=0,"",SUMIFS(expected_production[Expected Production (kWh)],expected_production[Site Name],A400,expected_production[Date],B400)),"")</f>
        <v>7805.7</v>
      </c>
      <c r="E400" s="9" t="str">
        <f t="shared" si="12"/>
        <v/>
      </c>
      <c r="F400" t="str">
        <f t="shared" si="13"/>
        <v/>
      </c>
    </row>
    <row r="401" spans="1:6" ht="15" customHeight="1" x14ac:dyDescent="0.3">
      <c r="A401" t="s">
        <v>81</v>
      </c>
      <c r="B401" s="2">
        <v>45383</v>
      </c>
      <c r="C401" t="str" cm="1">
        <f t="array" ref="C401">IFERROR(IF(SUMPRODUCT((measured[Site Name]=A401)*(measured[Date]=B401)*ISNUMBER(measured[Measured Value (kWh)]))=0,"",SUMIFS(measured[Measured Value (kWh)],measured[Site Name],A401,measured[Date],B401)),"")</f>
        <v/>
      </c>
      <c r="D401" cm="1">
        <f t="array" ref="D401">IFERROR(IF(SUMPRODUCT((expected_production[Site Name]=A401)*(expected_production[Date]=B401)*ISNUMBER(expected_production[Expected Production (kWh)]))=0,"",SUMIFS(expected_production[Expected Production (kWh)],expected_production[Site Name],A401,expected_production[Date],B401)),"")</f>
        <v>6534</v>
      </c>
      <c r="E401" s="9" t="str">
        <f t="shared" si="12"/>
        <v/>
      </c>
      <c r="F401" t="str">
        <f t="shared" si="13"/>
        <v/>
      </c>
    </row>
    <row r="402" spans="1:6" ht="15" customHeight="1" x14ac:dyDescent="0.3">
      <c r="A402" t="s">
        <v>81</v>
      </c>
      <c r="B402" s="2">
        <v>45413</v>
      </c>
      <c r="C402" t="str" cm="1">
        <f t="array" ref="C402">IFERROR(IF(SUMPRODUCT((measured[Site Name]=A402)*(measured[Date]=B402)*ISNUMBER(measured[Measured Value (kWh)]))=0,"",SUMIFS(measured[Measured Value (kWh)],measured[Site Name],A402,measured[Date],B402)),"")</f>
        <v/>
      </c>
      <c r="D402" cm="1">
        <f t="array" ref="D402">IFERROR(IF(SUMPRODUCT((expected_production[Site Name]=A402)*(expected_production[Date]=B402)*ISNUMBER(expected_production[Expected Production (kWh)]))=0,"",SUMIFS(expected_production[Expected Production (kWh)],expected_production[Site Name],A402,expected_production[Date],B402)),"")</f>
        <v>5592.6</v>
      </c>
      <c r="E402" s="9" t="str">
        <f t="shared" si="12"/>
        <v/>
      </c>
      <c r="F402" t="str">
        <f t="shared" si="13"/>
        <v/>
      </c>
    </row>
    <row r="403" spans="1:6" ht="15" customHeight="1" x14ac:dyDescent="0.3">
      <c r="A403" t="s">
        <v>81</v>
      </c>
      <c r="B403" s="2">
        <v>45444</v>
      </c>
      <c r="C403" t="str" cm="1">
        <f t="array" ref="C403">IFERROR(IF(SUMPRODUCT((measured[Site Name]=A403)*(measured[Date]=B403)*ISNUMBER(measured[Measured Value (kWh)]))=0,"",SUMIFS(measured[Measured Value (kWh)],measured[Site Name],A403,measured[Date],B403)),"")</f>
        <v/>
      </c>
      <c r="D403" cm="1">
        <f t="array" ref="D403">IFERROR(IF(SUMPRODUCT((expected_production[Site Name]=A403)*(expected_production[Date]=B403)*ISNUMBER(expected_production[Expected Production (kWh)]))=0,"",SUMIFS(expected_production[Expected Production (kWh)],expected_production[Site Name],A403,expected_production[Date],B403)),"")</f>
        <v>5059.8</v>
      </c>
      <c r="E403" s="9" t="str">
        <f t="shared" si="12"/>
        <v/>
      </c>
      <c r="F403" t="str">
        <f t="shared" si="13"/>
        <v/>
      </c>
    </row>
    <row r="404" spans="1:6" ht="15" customHeight="1" x14ac:dyDescent="0.3">
      <c r="A404" t="s">
        <v>81</v>
      </c>
      <c r="B404" s="2">
        <v>45474</v>
      </c>
      <c r="C404" t="str" cm="1">
        <f t="array" ref="C404">IFERROR(IF(SUMPRODUCT((measured[Site Name]=A404)*(measured[Date]=B404)*ISNUMBER(measured[Measured Value (kWh)]))=0,"",SUMIFS(measured[Measured Value (kWh)],measured[Site Name],A404,measured[Date],B404)),"")</f>
        <v/>
      </c>
      <c r="D404" cm="1">
        <f t="array" ref="D404">IFERROR(IF(SUMPRODUCT((expected_production[Site Name]=A404)*(expected_production[Date]=B404)*ISNUMBER(expected_production[Expected Production (kWh)]))=0,"",SUMIFS(expected_production[Expected Production (kWh)],expected_production[Site Name],A404,expected_production[Date],B404)),"")</f>
        <v>5372.1</v>
      </c>
      <c r="E404" s="9" t="str">
        <f t="shared" si="12"/>
        <v/>
      </c>
      <c r="F404" t="str">
        <f t="shared" si="13"/>
        <v/>
      </c>
    </row>
    <row r="405" spans="1:6" ht="15" customHeight="1" x14ac:dyDescent="0.3">
      <c r="A405" t="s">
        <v>81</v>
      </c>
      <c r="B405" s="2">
        <v>45505</v>
      </c>
      <c r="C405" t="str" cm="1">
        <f t="array" ref="C405">IFERROR(IF(SUMPRODUCT((measured[Site Name]=A405)*(measured[Date]=B405)*ISNUMBER(measured[Measured Value (kWh)]))=0,"",SUMIFS(measured[Measured Value (kWh)],measured[Site Name],A405,measured[Date],B405)),"")</f>
        <v/>
      </c>
      <c r="D405" cm="1">
        <f t="array" ref="D405">IFERROR(IF(SUMPRODUCT((expected_production[Site Name]=A405)*(expected_production[Date]=B405)*ISNUMBER(expected_production[Expected Production (kWh)]))=0,"",SUMIFS(expected_production[Expected Production (kWh)],expected_production[Site Name],A405,expected_production[Date],B405)),"")</f>
        <v>6485.4</v>
      </c>
      <c r="E405" s="9" t="str">
        <f t="shared" si="12"/>
        <v/>
      </c>
      <c r="F405" t="str">
        <f t="shared" si="13"/>
        <v/>
      </c>
    </row>
    <row r="406" spans="1:6" ht="15" customHeight="1" x14ac:dyDescent="0.3">
      <c r="A406" t="s">
        <v>81</v>
      </c>
      <c r="B406" s="2">
        <v>45536</v>
      </c>
      <c r="C406" t="str" cm="1">
        <f t="array" ref="C406">IFERROR(IF(SUMPRODUCT((measured[Site Name]=A406)*(measured[Date]=B406)*ISNUMBER(measured[Measured Value (kWh)]))=0,"",SUMIFS(measured[Measured Value (kWh)],measured[Site Name],A406,measured[Date],B406)),"")</f>
        <v/>
      </c>
      <c r="D406" cm="1">
        <f t="array" ref="D406">IFERROR(IF(SUMPRODUCT((expected_production[Site Name]=A406)*(expected_production[Date]=B406)*ISNUMBER(expected_production[Expected Production (kWh)]))=0,"",SUMIFS(expected_production[Expected Production (kWh)],expected_production[Site Name],A406,expected_production[Date],B406)),"")</f>
        <v>6914.7</v>
      </c>
      <c r="E406" s="9" t="str">
        <f t="shared" si="12"/>
        <v/>
      </c>
      <c r="F406" t="str">
        <f t="shared" si="13"/>
        <v/>
      </c>
    </row>
    <row r="407" spans="1:6" ht="15" customHeight="1" x14ac:dyDescent="0.3">
      <c r="A407" t="s">
        <v>81</v>
      </c>
      <c r="B407" s="2">
        <v>45566</v>
      </c>
      <c r="C407" t="str" cm="1">
        <f t="array" ref="C407">IFERROR(IF(SUMPRODUCT((measured[Site Name]=A407)*(measured[Date]=B407)*ISNUMBER(measured[Measured Value (kWh)]))=0,"",SUMIFS(measured[Measured Value (kWh)],measured[Site Name],A407,measured[Date],B407)),"")</f>
        <v/>
      </c>
      <c r="D407" cm="1">
        <f t="array" ref="D407">IFERROR(IF(SUMPRODUCT((expected_production[Site Name]=A407)*(expected_production[Date]=B407)*ISNUMBER(expected_production[Expected Production (kWh)]))=0,"",SUMIFS(expected_production[Expected Production (kWh)],expected_production[Site Name],A407,expected_production[Date],B407)),"")</f>
        <v>8033.4</v>
      </c>
      <c r="E407" s="9" t="str">
        <f t="shared" si="12"/>
        <v/>
      </c>
      <c r="F407" t="str">
        <f t="shared" si="13"/>
        <v/>
      </c>
    </row>
    <row r="408" spans="1:6" ht="15" customHeight="1" x14ac:dyDescent="0.3">
      <c r="A408" t="s">
        <v>81</v>
      </c>
      <c r="B408" s="2">
        <v>45597</v>
      </c>
      <c r="C408" t="str" cm="1">
        <f t="array" ref="C408">IFERROR(IF(SUMPRODUCT((measured[Site Name]=A408)*(measured[Date]=B408)*ISNUMBER(measured[Measured Value (kWh)]))=0,"",SUMIFS(measured[Measured Value (kWh)],measured[Site Name],A408,measured[Date],B408)),"")</f>
        <v/>
      </c>
      <c r="D408" cm="1">
        <f t="array" ref="D408">IFERROR(IF(SUMPRODUCT((expected_production[Site Name]=A408)*(expected_production[Date]=B408)*ISNUMBER(expected_production[Expected Production (kWh)]))=0,"",SUMIFS(expected_production[Expected Production (kWh)],expected_production[Site Name],A408,expected_production[Date],B408)),"")</f>
        <v>8012.7</v>
      </c>
      <c r="E408" s="9" t="str">
        <f t="shared" si="12"/>
        <v/>
      </c>
      <c r="F408" t="str">
        <f t="shared" si="13"/>
        <v/>
      </c>
    </row>
    <row r="409" spans="1:6" ht="15" customHeight="1" x14ac:dyDescent="0.3">
      <c r="A409" t="s">
        <v>81</v>
      </c>
      <c r="B409" s="2">
        <v>45627</v>
      </c>
      <c r="C409" t="str" cm="1">
        <f t="array" ref="C409">IFERROR(IF(SUMPRODUCT((measured[Site Name]=A409)*(measured[Date]=B409)*ISNUMBER(measured[Measured Value (kWh)]))=0,"",SUMIFS(measured[Measured Value (kWh)],measured[Site Name],A409,measured[Date],B409)),"")</f>
        <v/>
      </c>
      <c r="D409" cm="1">
        <f t="array" ref="D409">IFERROR(IF(SUMPRODUCT((expected_production[Site Name]=A409)*(expected_production[Date]=B409)*ISNUMBER(expected_production[Expected Production (kWh)]))=0,"",SUMIFS(expected_production[Expected Production (kWh)],expected_production[Site Name],A409,expected_production[Date],B409)),"")</f>
        <v>8547.2999999999993</v>
      </c>
      <c r="E409" s="9" t="str">
        <f t="shared" si="12"/>
        <v/>
      </c>
      <c r="F409" t="str">
        <f t="shared" si="13"/>
        <v/>
      </c>
    </row>
    <row r="410" spans="1:6" ht="15" customHeight="1" x14ac:dyDescent="0.3">
      <c r="A410" t="s">
        <v>81</v>
      </c>
      <c r="B410" s="2">
        <v>45658</v>
      </c>
      <c r="C410" cm="1">
        <f t="array" ref="C410">IFERROR(IF(SUMPRODUCT((measured[Site Name]=A410)*(measured[Date]=B410)*ISNUMBER(measured[Measured Value (kWh)]))=0,"",SUMIFS(measured[Measured Value (kWh)],measured[Site Name],A410,measured[Date],B410)),"")</f>
        <v>8900</v>
      </c>
      <c r="D410" cm="1">
        <f t="array" ref="D410">IFERROR(IF(SUMPRODUCT((expected_production[Site Name]=A410)*(expected_production[Date]=B410)*ISNUMBER(expected_production[Expected Production (kWh)]))=0,"",SUMIFS(expected_production[Expected Production (kWh)],expected_production[Site Name],A410,expected_production[Date],B410)),"")</f>
        <v>8664.2999999999993</v>
      </c>
      <c r="E410" s="9">
        <f t="shared" si="12"/>
        <v>1.0272035825167642</v>
      </c>
      <c r="F410" t="str">
        <f t="shared" si="13"/>
        <v>Expected</v>
      </c>
    </row>
    <row r="411" spans="1:6" ht="15" customHeight="1" x14ac:dyDescent="0.3">
      <c r="A411" t="s">
        <v>81</v>
      </c>
      <c r="B411" s="2">
        <v>45689</v>
      </c>
      <c r="C411" cm="1">
        <f t="array" ref="C411">IFERROR(IF(SUMPRODUCT((measured[Site Name]=A411)*(measured[Date]=B411)*ISNUMBER(measured[Measured Value (kWh)]))=0,"",SUMIFS(measured[Measured Value (kWh)],measured[Site Name],A411,measured[Date],B411)),"")</f>
        <v>5390</v>
      </c>
      <c r="D411" cm="1">
        <f t="array" ref="D411">IFERROR(IF(SUMPRODUCT((expected_production[Site Name]=A411)*(expected_production[Date]=B411)*ISNUMBER(expected_production[Expected Production (kWh)]))=0,"",SUMIFS(expected_production[Expected Production (kWh)],expected_production[Site Name],A411,expected_production[Date],B411)),"")</f>
        <v>8100</v>
      </c>
      <c r="E411" s="9">
        <f t="shared" si="12"/>
        <v>0.66543209876543208</v>
      </c>
      <c r="F411" t="str">
        <f t="shared" si="13"/>
        <v>Poor</v>
      </c>
    </row>
    <row r="412" spans="1:6" ht="15" customHeight="1" x14ac:dyDescent="0.3">
      <c r="A412" t="s">
        <v>81</v>
      </c>
      <c r="B412" s="2">
        <v>45717</v>
      </c>
      <c r="C412" cm="1">
        <f t="array" ref="C412">IFERROR(IF(SUMPRODUCT((measured[Site Name]=A412)*(measured[Date]=B412)*ISNUMBER(measured[Measured Value (kWh)]))=0,"",SUMIFS(measured[Measured Value (kWh)],measured[Site Name],A412,measured[Date],B412)),"")</f>
        <v>5378</v>
      </c>
      <c r="D412" cm="1">
        <f t="array" ref="D412">IFERROR(IF(SUMPRODUCT((expected_production[Site Name]=A412)*(expected_production[Date]=B412)*ISNUMBER(expected_production[Expected Production (kWh)]))=0,"",SUMIFS(expected_production[Expected Production (kWh)],expected_production[Site Name],A412,expected_production[Date],B412)),"")</f>
        <v>7805.7</v>
      </c>
      <c r="E412" s="9">
        <f t="shared" si="12"/>
        <v>0.68898369140499893</v>
      </c>
      <c r="F412" t="str">
        <f t="shared" si="13"/>
        <v>Poor</v>
      </c>
    </row>
    <row r="413" spans="1:6" ht="15" customHeight="1" x14ac:dyDescent="0.3">
      <c r="A413" t="s">
        <v>81</v>
      </c>
      <c r="B413" s="2">
        <v>45748</v>
      </c>
      <c r="C413" cm="1">
        <f t="array" ref="C413">IFERROR(IF(SUMPRODUCT((measured[Site Name]=A413)*(measured[Date]=B413)*ISNUMBER(measured[Measured Value (kWh)]))=0,"",SUMIFS(measured[Measured Value (kWh)],measured[Site Name],A413,measured[Date],B413)),"")</f>
        <v>3410</v>
      </c>
      <c r="D413" cm="1">
        <f t="array" ref="D413">IFERROR(IF(SUMPRODUCT((expected_production[Site Name]=A413)*(expected_production[Date]=B413)*ISNUMBER(expected_production[Expected Production (kWh)]))=0,"",SUMIFS(expected_production[Expected Production (kWh)],expected_production[Site Name],A413,expected_production[Date],B413)),"")</f>
        <v>6534</v>
      </c>
      <c r="E413" s="9">
        <f t="shared" si="12"/>
        <v>0.52188552188552184</v>
      </c>
      <c r="F413" t="str">
        <f t="shared" si="13"/>
        <v>Poor</v>
      </c>
    </row>
    <row r="414" spans="1:6" ht="15" customHeight="1" x14ac:dyDescent="0.3">
      <c r="A414" t="s">
        <v>81</v>
      </c>
      <c r="B414" s="2">
        <v>45778</v>
      </c>
      <c r="C414" cm="1">
        <f t="array" ref="C414">IFERROR(IF(SUMPRODUCT((measured[Site Name]=A414)*(measured[Date]=B414)*ISNUMBER(measured[Measured Value (kWh)]))=0,"",SUMIFS(measured[Measured Value (kWh)],measured[Site Name],A414,measured[Date],B414)),"")</f>
        <v>3628</v>
      </c>
      <c r="D414" cm="1">
        <f t="array" ref="D414">IFERROR(IF(SUMPRODUCT((expected_production[Site Name]=A414)*(expected_production[Date]=B414)*ISNUMBER(expected_production[Expected Production (kWh)]))=0,"",SUMIFS(expected_production[Expected Production (kWh)],expected_production[Site Name],A414,expected_production[Date],B414)),"")</f>
        <v>5592.6</v>
      </c>
      <c r="E414" s="9">
        <f t="shared" si="12"/>
        <v>0.64871437256374487</v>
      </c>
      <c r="F414" t="str">
        <f t="shared" si="13"/>
        <v>Poor</v>
      </c>
    </row>
    <row r="415" spans="1:6" ht="15" customHeight="1" x14ac:dyDescent="0.3">
      <c r="A415" t="s">
        <v>81</v>
      </c>
      <c r="B415" s="2">
        <v>45809</v>
      </c>
      <c r="C415" cm="1">
        <f t="array" ref="C415">IFERROR(IF(SUMPRODUCT((measured[Site Name]=A415)*(measured[Date]=B415)*ISNUMBER(measured[Measured Value (kWh)]))=0,"",SUMIFS(measured[Measured Value (kWh)],measured[Site Name],A415,measured[Date],B415)),"")</f>
        <v>5836</v>
      </c>
      <c r="D415" cm="1">
        <f t="array" ref="D415">IFERROR(IF(SUMPRODUCT((expected_production[Site Name]=A415)*(expected_production[Date]=B415)*ISNUMBER(expected_production[Expected Production (kWh)]))=0,"",SUMIFS(expected_production[Expected Production (kWh)],expected_production[Site Name],A415,expected_production[Date],B415)),"")</f>
        <v>5059.8</v>
      </c>
      <c r="E415" s="9">
        <f t="shared" si="12"/>
        <v>1.1534052729356892</v>
      </c>
      <c r="F415" t="str">
        <f t="shared" si="13"/>
        <v>Expected</v>
      </c>
    </row>
    <row r="416" spans="1:6" ht="15" customHeight="1" x14ac:dyDescent="0.3">
      <c r="A416" t="s">
        <v>81</v>
      </c>
      <c r="B416" s="2">
        <v>45839</v>
      </c>
      <c r="C416" cm="1">
        <f t="array" ref="C416">IFERROR(IF(SUMPRODUCT((measured[Site Name]=A416)*(measured[Date]=B416)*ISNUMBER(measured[Measured Value (kWh)]))=0,"",SUMIFS(measured[Measured Value (kWh)],measured[Site Name],A416,measured[Date],B416)),"")</f>
        <v>6830</v>
      </c>
      <c r="D416" cm="1">
        <f t="array" ref="D416">IFERROR(IF(SUMPRODUCT((expected_production[Site Name]=A416)*(expected_production[Date]=B416)*ISNUMBER(expected_production[Expected Production (kWh)]))=0,"",SUMIFS(expected_production[Expected Production (kWh)],expected_production[Site Name],A416,expected_production[Date],B416)),"")</f>
        <v>5372.1</v>
      </c>
      <c r="E416" s="9">
        <f t="shared" ref="E416:E479" si="14">IF(OR(C416="",D416="",D416=0),"",C416/D416)</f>
        <v>1.2713836302377095</v>
      </c>
      <c r="F416" t="str">
        <f t="shared" ref="F416:F479" si="15">IF(E416="","",IF(E416&gt;=0.9,"Expected",IF(E416&gt;=0.7,"Moderate","Poor")))</f>
        <v>Expected</v>
      </c>
    </row>
    <row r="417" spans="1:7" ht="15" customHeight="1" x14ac:dyDescent="0.3">
      <c r="A417" t="s">
        <v>81</v>
      </c>
      <c r="B417" s="2">
        <v>45870</v>
      </c>
      <c r="C417" cm="1">
        <f t="array" ref="C417">IFERROR(IF(SUMPRODUCT((measured[Site Name]=A417)*(measured[Date]=B417)*ISNUMBER(measured[Measured Value (kWh)]))=0,"",SUMIFS(measured[Measured Value (kWh)],measured[Site Name],A417,measured[Date],B417)),"")</f>
        <v>7659</v>
      </c>
      <c r="D417" cm="1">
        <f t="array" ref="D417">IFERROR(IF(SUMPRODUCT((expected_production[Site Name]=A417)*(expected_production[Date]=B417)*ISNUMBER(expected_production[Expected Production (kWh)]))=0,"",SUMIFS(expected_production[Expected Production (kWh)],expected_production[Site Name],A417,expected_production[Date],B417)),"")</f>
        <v>6485.4</v>
      </c>
      <c r="E417" s="9">
        <f t="shared" si="14"/>
        <v>1.1809603108520679</v>
      </c>
      <c r="F417" t="str">
        <f t="shared" si="15"/>
        <v>Expected</v>
      </c>
    </row>
    <row r="418" spans="1:7" ht="15" customHeight="1" x14ac:dyDescent="0.3">
      <c r="A418" t="s">
        <v>81</v>
      </c>
      <c r="B418" s="2">
        <v>45901</v>
      </c>
      <c r="C418" cm="1">
        <f t="array" ref="C418">IFERROR(IF(SUMPRODUCT((measured[Site Name]=A418)*(measured[Date]=B418)*ISNUMBER(measured[Measured Value (kWh)]))=0,"",SUMIFS(measured[Measured Value (kWh)],measured[Site Name],A418,measured[Date],B418)),"")</f>
        <v>5799</v>
      </c>
      <c r="D418" cm="1">
        <f t="array" ref="D418">IFERROR(IF(SUMPRODUCT((expected_production[Site Name]=A418)*(expected_production[Date]=B418)*ISNUMBER(expected_production[Expected Production (kWh)]))=0,"",SUMIFS(expected_production[Expected Production (kWh)],expected_production[Site Name],A418,expected_production[Date],B418)),"")</f>
        <v>6914.7</v>
      </c>
      <c r="E418" s="9">
        <f t="shared" si="14"/>
        <v>0.83864809753134628</v>
      </c>
      <c r="F418" t="str">
        <f t="shared" si="15"/>
        <v>Moderate</v>
      </c>
    </row>
    <row r="419" spans="1:7" ht="15" customHeight="1" x14ac:dyDescent="0.3">
      <c r="A419" t="s">
        <v>81</v>
      </c>
      <c r="B419" s="2">
        <v>45931</v>
      </c>
      <c r="C419" cm="1">
        <f t="array" ref="C419">IFERROR(IF(SUMPRODUCT((measured[Site Name]=A419)*(measured[Date]=B419)*ISNUMBER(measured[Measured Value (kWh)]))=0,"",SUMIFS(measured[Measured Value (kWh)],measured[Site Name],A419,measured[Date],B419)),"")</f>
        <v>6484.6</v>
      </c>
      <c r="D419" cm="1">
        <f t="array" ref="D419">IFERROR(IF(SUMPRODUCT((expected_production[Site Name]=A419)*(expected_production[Date]=B419)*ISNUMBER(expected_production[Expected Production (kWh)]))=0,"",SUMIFS(expected_production[Expected Production (kWh)],expected_production[Site Name],A419,expected_production[Date],B419)),"")</f>
        <v>8033.4</v>
      </c>
      <c r="E419" s="9">
        <f t="shared" si="14"/>
        <v>0.80720491946124939</v>
      </c>
      <c r="F419" t="str">
        <f t="shared" si="15"/>
        <v>Moderate</v>
      </c>
    </row>
    <row r="420" spans="1:7" ht="15" customHeight="1" x14ac:dyDescent="0.3">
      <c r="A420" t="s">
        <v>81</v>
      </c>
      <c r="B420" s="2">
        <v>45962</v>
      </c>
      <c r="C420" cm="1">
        <f t="array" ref="C420">IFERROR(IF(SUMPRODUCT((measured[Site Name]=A420)*(measured[Date]=B420)*ISNUMBER(measured[Measured Value (kWh)]))=0,"",SUMIFS(measured[Measured Value (kWh)],measured[Site Name],A420,measured[Date],B420)),"")</f>
        <v>7636</v>
      </c>
      <c r="D420" cm="1">
        <f t="array" ref="D420">IFERROR(IF(SUMPRODUCT((expected_production[Site Name]=A420)*(expected_production[Date]=B420)*ISNUMBER(expected_production[Expected Production (kWh)]))=0,"",SUMIFS(expected_production[Expected Production (kWh)],expected_production[Site Name],A420,expected_production[Date],B420)),"")</f>
        <v>8012.7</v>
      </c>
      <c r="E420" s="9">
        <f t="shared" si="14"/>
        <v>0.95298713292647919</v>
      </c>
      <c r="F420" t="str">
        <f t="shared" si="15"/>
        <v>Expected</v>
      </c>
    </row>
    <row r="421" spans="1:7" ht="15" customHeight="1" x14ac:dyDescent="0.3">
      <c r="A421" t="s">
        <v>81</v>
      </c>
      <c r="B421" s="2">
        <v>45992</v>
      </c>
      <c r="C421" cm="1">
        <f t="array" ref="C421">IFERROR(IF(SUMPRODUCT((measured[Site Name]=A421)*(measured[Date]=B421)*ISNUMBER(measured[Measured Value (kWh)]))=0,"",SUMIFS(measured[Measured Value (kWh)],measured[Site Name],A421,measured[Date],B421)),"")</f>
        <v>7000</v>
      </c>
      <c r="D421" cm="1">
        <f t="array" ref="D421">IFERROR(IF(SUMPRODUCT((expected_production[Site Name]=A421)*(expected_production[Date]=B421)*ISNUMBER(expected_production[Expected Production (kWh)]))=0,"",SUMIFS(expected_production[Expected Production (kWh)],expected_production[Site Name],A421,expected_production[Date],B421)),"")</f>
        <v>8547.2999999999993</v>
      </c>
      <c r="E421" s="9">
        <f t="shared" si="14"/>
        <v>0.81897207305230901</v>
      </c>
      <c r="F421" t="str">
        <f t="shared" si="15"/>
        <v>Moderate</v>
      </c>
    </row>
    <row r="422" spans="1:7" ht="15" customHeight="1" x14ac:dyDescent="0.3">
      <c r="A422" t="s">
        <v>81</v>
      </c>
      <c r="B422" s="2">
        <v>46023</v>
      </c>
      <c r="C422" cm="1">
        <f t="array" ref="C422">IFERROR(IF(SUMPRODUCT((measured[Site Name]=A422)*(measured[Date]=B422)*ISNUMBER(measured[Measured Value (kWh)]))=0,"",SUMIFS(measured[Measured Value (kWh)],measured[Site Name],A422,measured[Date],B422)),"")</f>
        <v>6305</v>
      </c>
      <c r="D422" cm="1">
        <f t="array" ref="D422">IFERROR(IF(SUMPRODUCT((expected_production[Site Name]=A422)*(expected_production[Date]=B422)*ISNUMBER(expected_production[Expected Production (kWh)]))=0,"",SUMIFS(expected_production[Expected Production (kWh)],expected_production[Site Name],A422,expected_production[Date],B422)),"")</f>
        <v>8664.2999999999993</v>
      </c>
      <c r="E422" s="9">
        <f t="shared" si="14"/>
        <v>0.72769871772676387</v>
      </c>
      <c r="F422" t="str">
        <f t="shared" si="15"/>
        <v>Moderate</v>
      </c>
    </row>
    <row r="423" spans="1:7" ht="15" customHeight="1" x14ac:dyDescent="0.3">
      <c r="A423" t="s">
        <v>81</v>
      </c>
      <c r="B423" s="2">
        <v>46054</v>
      </c>
      <c r="C423" cm="1">
        <f t="array" ref="C423">IFERROR(IF(SUMPRODUCT((measured[Site Name]=A423)*(measured[Date]=B423)*ISNUMBER(measured[Measured Value (kWh)]))=0,"",SUMIFS(measured[Measured Value (kWh)],measured[Site Name],A423,measured[Date],B423)),"")</f>
        <v>4373.4359000000004</v>
      </c>
      <c r="D423" cm="1">
        <f t="array" ref="D423">IFERROR(IF(SUMPRODUCT((expected_production[Site Name]=A423)*(expected_production[Date]=B423)*ISNUMBER(expected_production[Expected Production (kWh)]))=0,"",SUMIFS(expected_production[Expected Production (kWh)],expected_production[Site Name],A423,expected_production[Date],B423)),"")</f>
        <v>8100</v>
      </c>
      <c r="E423" s="9">
        <f t="shared" si="14"/>
        <v>0.53993035802469136</v>
      </c>
      <c r="F423" t="str">
        <f t="shared" si="15"/>
        <v>Poor</v>
      </c>
    </row>
    <row r="424" spans="1:7" ht="15" customHeight="1" x14ac:dyDescent="0.3">
      <c r="A424" t="s">
        <v>81</v>
      </c>
      <c r="B424" s="2">
        <v>46082</v>
      </c>
      <c r="C424" cm="1">
        <f t="array" ref="C424">IFERROR(IF(SUMPRODUCT((measured[Site Name]=A424)*(measured[Date]=B424)*ISNUMBER(measured[Measured Value (kWh)]))=0,"",SUMIFS(measured[Measured Value (kWh)],measured[Site Name],A424,measured[Date],B424)),"")</f>
        <v>4958</v>
      </c>
      <c r="D424" cm="1">
        <f t="array" ref="D424">IFERROR(IF(SUMPRODUCT((expected_production[Site Name]=A424)*(expected_production[Date]=B424)*ISNUMBER(expected_production[Expected Production (kWh)]))=0,"",SUMIFS(expected_production[Expected Production (kWh)],expected_production[Site Name],A424,expected_production[Date],B424)),"")</f>
        <v>7805.7</v>
      </c>
      <c r="E424" s="9">
        <f t="shared" si="14"/>
        <v>0.63517685793714851</v>
      </c>
      <c r="F424" t="str">
        <f t="shared" si="15"/>
        <v>Poor</v>
      </c>
    </row>
    <row r="425" spans="1:7" ht="15" customHeight="1" x14ac:dyDescent="0.3">
      <c r="A425" t="s">
        <v>81</v>
      </c>
      <c r="B425" s="2">
        <v>46113</v>
      </c>
      <c r="C425" cm="1">
        <f t="array" ref="C425">IFERROR(IF(SUMPRODUCT((measured[Site Name]=A425)*(measured[Date]=B425)*ISNUMBER(measured[Measured Value (kWh)]))=0,"",SUMIFS(measured[Measured Value (kWh)],measured[Site Name],A425,measured[Date],B425)),"")</f>
        <v>6980.52</v>
      </c>
      <c r="D425" cm="1">
        <f t="array" ref="D425">IFERROR(IF(SUMPRODUCT((expected_production[Site Name]=A425)*(expected_production[Date]=B425)*ISNUMBER(expected_production[Expected Production (kWh)]))=0,"",SUMIFS(expected_production[Expected Production (kWh)],expected_production[Site Name],A425,expected_production[Date],B425)),"")</f>
        <v>6534</v>
      </c>
      <c r="E425" s="9">
        <f t="shared" si="14"/>
        <v>1.0683379247015612</v>
      </c>
      <c r="F425" t="str">
        <f t="shared" si="15"/>
        <v>Expected</v>
      </c>
    </row>
    <row r="426" spans="1:7" ht="15" customHeight="1" x14ac:dyDescent="0.3">
      <c r="A426" t="s">
        <v>81</v>
      </c>
      <c r="B426" s="2">
        <v>46143</v>
      </c>
      <c r="C426" cm="1">
        <f t="array" ref="C426">IFERROR(IF(SUMPRODUCT((measured[Site Name]=A426)*(measured[Date]=B426)*ISNUMBER(measured[Measured Value (kWh)]))=0,"",SUMIFS(measured[Measured Value (kWh)],measured[Site Name],A426,measured[Date],B426)),"")</f>
        <v>6633.98</v>
      </c>
      <c r="D426" cm="1">
        <f t="array" ref="D426">IFERROR(IF(SUMPRODUCT((expected_production[Site Name]=A426)*(expected_production[Date]=B426)*ISNUMBER(expected_production[Expected Production (kWh)]))=0,"",SUMIFS(expected_production[Expected Production (kWh)],expected_production[Site Name],A426,expected_production[Date],B426)),"")</f>
        <v>5592.6</v>
      </c>
      <c r="E426" s="9">
        <f t="shared" si="14"/>
        <v>1.1862067732360617</v>
      </c>
      <c r="F426" t="str">
        <f t="shared" si="15"/>
        <v>Expected</v>
      </c>
    </row>
    <row r="427" spans="1:7" ht="15" customHeight="1" x14ac:dyDescent="0.3">
      <c r="A427" t="s">
        <v>81</v>
      </c>
      <c r="B427" s="2">
        <v>46174</v>
      </c>
      <c r="C427" cm="1">
        <f t="array" ref="C427">IFERROR(IF(SUMPRODUCT((measured[Site Name]=A427)*(measured[Date]=B427)*ISNUMBER(measured[Measured Value (kWh)]))=0,"",SUMIFS(measured[Measured Value (kWh)],measured[Site Name],A427,measured[Date],B427)),"")</f>
        <v>5387.22</v>
      </c>
      <c r="D427" cm="1">
        <f t="array" ref="D427">IFERROR(IF(SUMPRODUCT((expected_production[Site Name]=A427)*(expected_production[Date]=B427)*ISNUMBER(expected_production[Expected Production (kWh)]))=0,"",SUMIFS(expected_production[Expected Production (kWh)],expected_production[Site Name],A427,expected_production[Date],B427)),"")</f>
        <v>5059.8</v>
      </c>
      <c r="E427" s="9">
        <f t="shared" si="14"/>
        <v>1.0647100675916044</v>
      </c>
      <c r="F427" t="str">
        <f t="shared" si="15"/>
        <v>Expected</v>
      </c>
    </row>
    <row r="428" spans="1:7" ht="15" customHeight="1" x14ac:dyDescent="0.3">
      <c r="A428" t="s">
        <v>77</v>
      </c>
      <c r="B428" s="2">
        <v>46204</v>
      </c>
      <c r="C428" cm="1">
        <f t="array" ref="C428">IFERROR(IF(SUMPRODUCT((measured[Site Name]=A428)*(measured[Date]=B428)*ISNUMBER(measured[Measured Value (kWh)]))=0,"",SUMIFS(measured[Measured Value (kWh)],measured[Site Name],A428,measured[Date],B428)),"")</f>
        <v>16600</v>
      </c>
      <c r="D428" cm="1">
        <f t="array" ref="D428">IFERROR(IF(SUMPRODUCT((expected_production[Site Name]=A428)*(expected_production[Date]=B428)*ISNUMBER(expected_production[Expected Production (kWh)]))=0,"",SUMIFS(expected_production[Expected Production (kWh)],expected_production[Site Name],A428,expected_production[Date],B428)),"")</f>
        <v>14002.2</v>
      </c>
      <c r="E428" s="9">
        <f t="shared" si="14"/>
        <v>1.1855279884589565</v>
      </c>
      <c r="F428" t="str">
        <f t="shared" si="15"/>
        <v>Expected</v>
      </c>
      <c r="G428" t="s">
        <v>874</v>
      </c>
    </row>
    <row r="429" spans="1:7" ht="15" customHeight="1" x14ac:dyDescent="0.3">
      <c r="A429" t="s">
        <v>81</v>
      </c>
      <c r="B429" s="2">
        <v>46235</v>
      </c>
      <c r="C429" t="str" cm="1">
        <f t="array" ref="C429">IFERROR(IF(SUMPRODUCT((measured[Site Name]=A429)*(measured[Date]=B429)*ISNUMBER(measured[Measured Value (kWh)]))=0,"",SUMIFS(measured[Measured Value (kWh)],measured[Site Name],A429,measured[Date],B429)),"")</f>
        <v/>
      </c>
      <c r="D429" cm="1">
        <f t="array" ref="D429">IFERROR(IF(SUMPRODUCT((expected_production[Site Name]=A429)*(expected_production[Date]=B429)*ISNUMBER(expected_production[Expected Production (kWh)]))=0,"",SUMIFS(expected_production[Expected Production (kWh)],expected_production[Site Name],A429,expected_production[Date],B429)),"")</f>
        <v>6485.4</v>
      </c>
      <c r="E429" s="9" t="str">
        <f t="shared" si="14"/>
        <v/>
      </c>
      <c r="F429" t="str">
        <f t="shared" si="15"/>
        <v/>
      </c>
    </row>
    <row r="430" spans="1:7" ht="15" customHeight="1" x14ac:dyDescent="0.3">
      <c r="A430" t="s">
        <v>81</v>
      </c>
      <c r="B430" s="2">
        <v>46266</v>
      </c>
      <c r="C430" t="str" cm="1">
        <f t="array" ref="C430">IFERROR(IF(SUMPRODUCT((measured[Site Name]=A430)*(measured[Date]=B430)*ISNUMBER(measured[Measured Value (kWh)]))=0,"",SUMIFS(measured[Measured Value (kWh)],measured[Site Name],A430,measured[Date],B430)),"")</f>
        <v/>
      </c>
      <c r="D430" cm="1">
        <f t="array" ref="D430">IFERROR(IF(SUMPRODUCT((expected_production[Site Name]=A430)*(expected_production[Date]=B430)*ISNUMBER(expected_production[Expected Production (kWh)]))=0,"",SUMIFS(expected_production[Expected Production (kWh)],expected_production[Site Name],A430,expected_production[Date],B430)),"")</f>
        <v>6914.7</v>
      </c>
      <c r="E430" s="9" t="str">
        <f t="shared" si="14"/>
        <v/>
      </c>
      <c r="F430" t="str">
        <f t="shared" si="15"/>
        <v/>
      </c>
    </row>
    <row r="431" spans="1:7" ht="15" customHeight="1" x14ac:dyDescent="0.3">
      <c r="A431" t="s">
        <v>81</v>
      </c>
      <c r="B431" s="2">
        <v>46296</v>
      </c>
      <c r="C431" t="str" cm="1">
        <f t="array" ref="C431">IFERROR(IF(SUMPRODUCT((measured[Site Name]=A431)*(measured[Date]=B431)*ISNUMBER(measured[Measured Value (kWh)]))=0,"",SUMIFS(measured[Measured Value (kWh)],measured[Site Name],A431,measured[Date],B431)),"")</f>
        <v/>
      </c>
      <c r="D431" cm="1">
        <f t="array" ref="D431">IFERROR(IF(SUMPRODUCT((expected_production[Site Name]=A431)*(expected_production[Date]=B431)*ISNUMBER(expected_production[Expected Production (kWh)]))=0,"",SUMIFS(expected_production[Expected Production (kWh)],expected_production[Site Name],A431,expected_production[Date],B431)),"")</f>
        <v>8033.4</v>
      </c>
      <c r="E431" s="9" t="str">
        <f t="shared" si="14"/>
        <v/>
      </c>
      <c r="F431" t="str">
        <f t="shared" si="15"/>
        <v/>
      </c>
    </row>
    <row r="432" spans="1:7" ht="15" customHeight="1" x14ac:dyDescent="0.3">
      <c r="A432" t="s">
        <v>81</v>
      </c>
      <c r="B432" s="2">
        <v>46327</v>
      </c>
      <c r="C432" t="str" cm="1">
        <f t="array" ref="C432">IFERROR(IF(SUMPRODUCT((measured[Site Name]=A432)*(measured[Date]=B432)*ISNUMBER(measured[Measured Value (kWh)]))=0,"",SUMIFS(measured[Measured Value (kWh)],measured[Site Name],A432,measured[Date],B432)),"")</f>
        <v/>
      </c>
      <c r="D432" cm="1">
        <f t="array" ref="D432">IFERROR(IF(SUMPRODUCT((expected_production[Site Name]=A432)*(expected_production[Date]=B432)*ISNUMBER(expected_production[Expected Production (kWh)]))=0,"",SUMIFS(expected_production[Expected Production (kWh)],expected_production[Site Name],A432,expected_production[Date],B432)),"")</f>
        <v>8012.7</v>
      </c>
      <c r="E432" s="9" t="str">
        <f t="shared" si="14"/>
        <v/>
      </c>
      <c r="F432" t="str">
        <f t="shared" si="15"/>
        <v/>
      </c>
    </row>
    <row r="433" spans="1:6" ht="15" customHeight="1" x14ac:dyDescent="0.3">
      <c r="A433" t="s">
        <v>81</v>
      </c>
      <c r="B433" s="2">
        <v>46357</v>
      </c>
      <c r="C433" t="str" cm="1">
        <f t="array" ref="C433">IFERROR(IF(SUMPRODUCT((measured[Site Name]=A433)*(measured[Date]=B433)*ISNUMBER(measured[Measured Value (kWh)]))=0,"",SUMIFS(measured[Measured Value (kWh)],measured[Site Name],A433,measured[Date],B433)),"")</f>
        <v/>
      </c>
      <c r="D433" cm="1">
        <f t="array" ref="D433">IFERROR(IF(SUMPRODUCT((expected_production[Site Name]=A433)*(expected_production[Date]=B433)*ISNUMBER(expected_production[Expected Production (kWh)]))=0,"",SUMIFS(expected_production[Expected Production (kWh)],expected_production[Site Name],A433,expected_production[Date],B433)),"")</f>
        <v>8547.2999999999993</v>
      </c>
      <c r="E433" s="9" t="str">
        <f t="shared" si="14"/>
        <v/>
      </c>
      <c r="F433" t="str">
        <f t="shared" si="15"/>
        <v/>
      </c>
    </row>
    <row r="434" spans="1:6" ht="15" customHeight="1" x14ac:dyDescent="0.3">
      <c r="A434" t="s">
        <v>85</v>
      </c>
      <c r="B434" s="2">
        <v>45292</v>
      </c>
      <c r="C434" cm="1">
        <f t="array" ref="C434">IFERROR(IF(SUMPRODUCT((measured[Site Name]=A434)*(measured[Date]=B434)*ISNUMBER(measured[Measured Value (kWh)]))=0,"",SUMIFS(measured[Measured Value (kWh)],measured[Site Name],A434,measured[Date],B434)),"")</f>
        <v>3578</v>
      </c>
      <c r="D434" cm="1">
        <f t="array" ref="D434">IFERROR(IF(SUMPRODUCT((expected_production[Site Name]=A434)*(expected_production[Date]=B434)*ISNUMBER(expected_production[Expected Production (kWh)]))=0,"",SUMIFS(expected_production[Expected Production (kWh)],expected_production[Site Name],A434,expected_production[Date],B434)),"")</f>
        <v>5767.2</v>
      </c>
      <c r="E434" s="9">
        <f t="shared" si="14"/>
        <v>0.62040504924400053</v>
      </c>
      <c r="F434" t="str">
        <f t="shared" si="15"/>
        <v>Poor</v>
      </c>
    </row>
    <row r="435" spans="1:6" ht="15" customHeight="1" x14ac:dyDescent="0.3">
      <c r="A435" t="s">
        <v>85</v>
      </c>
      <c r="B435" s="2">
        <v>45323</v>
      </c>
      <c r="C435" cm="1">
        <f t="array" ref="C435">IFERROR(IF(SUMPRODUCT((measured[Site Name]=A435)*(measured[Date]=B435)*ISNUMBER(measured[Measured Value (kWh)]))=0,"",SUMIFS(measured[Measured Value (kWh)],measured[Site Name],A435,measured[Date],B435)),"")</f>
        <v>3594</v>
      </c>
      <c r="D435" cm="1">
        <f t="array" ref="D435">IFERROR(IF(SUMPRODUCT((expected_production[Site Name]=A435)*(expected_production[Date]=B435)*ISNUMBER(expected_production[Expected Production (kWh)]))=0,"",SUMIFS(expected_production[Expected Production (kWh)],expected_production[Site Name],A435,expected_production[Date],B435)),"")</f>
        <v>4828.5</v>
      </c>
      <c r="E435" s="9">
        <f t="shared" si="14"/>
        <v>0.7443305374339857</v>
      </c>
      <c r="F435" t="str">
        <f t="shared" si="15"/>
        <v>Moderate</v>
      </c>
    </row>
    <row r="436" spans="1:6" ht="15" customHeight="1" x14ac:dyDescent="0.3">
      <c r="A436" t="s">
        <v>85</v>
      </c>
      <c r="B436" s="2">
        <v>45352</v>
      </c>
      <c r="C436" cm="1">
        <f t="array" ref="C436">IFERROR(IF(SUMPRODUCT((measured[Site Name]=A436)*(measured[Date]=B436)*ISNUMBER(measured[Measured Value (kWh)]))=0,"",SUMIFS(measured[Measured Value (kWh)],measured[Site Name],A436,measured[Date],B436)),"")</f>
        <v>3674</v>
      </c>
      <c r="D436" cm="1">
        <f t="array" ref="D436">IFERROR(IF(SUMPRODUCT((expected_production[Site Name]=A436)*(expected_production[Date]=B436)*ISNUMBER(expected_production[Expected Production (kWh)]))=0,"",SUMIFS(expected_production[Expected Production (kWh)],expected_production[Site Name],A436,expected_production[Date],B436)),"")</f>
        <v>4913.1000000000004</v>
      </c>
      <c r="E436" s="9">
        <f t="shared" si="14"/>
        <v>0.74779670676355048</v>
      </c>
      <c r="F436" t="str">
        <f t="shared" si="15"/>
        <v>Moderate</v>
      </c>
    </row>
    <row r="437" spans="1:6" ht="15" customHeight="1" x14ac:dyDescent="0.3">
      <c r="A437" t="s">
        <v>85</v>
      </c>
      <c r="B437" s="2">
        <v>45383</v>
      </c>
      <c r="C437" cm="1">
        <f t="array" ref="C437">IFERROR(IF(SUMPRODUCT((measured[Site Name]=A437)*(measured[Date]=B437)*ISNUMBER(measured[Measured Value (kWh)]))=0,"",SUMIFS(measured[Measured Value (kWh)],measured[Site Name],A437,measured[Date],B437)),"")</f>
        <v>3533</v>
      </c>
      <c r="D437" cm="1">
        <f t="array" ref="D437">IFERROR(IF(SUMPRODUCT((expected_production[Site Name]=A437)*(expected_production[Date]=B437)*ISNUMBER(expected_production[Expected Production (kWh)]))=0,"",SUMIFS(expected_production[Expected Production (kWh)],expected_production[Site Name],A437,expected_production[Date],B437)),"")</f>
        <v>4149.8999999999996</v>
      </c>
      <c r="E437" s="9">
        <f t="shared" si="14"/>
        <v>0.85134581556182087</v>
      </c>
      <c r="F437" t="str">
        <f t="shared" si="15"/>
        <v>Moderate</v>
      </c>
    </row>
    <row r="438" spans="1:6" ht="15" customHeight="1" x14ac:dyDescent="0.3">
      <c r="A438" t="s">
        <v>85</v>
      </c>
      <c r="B438" s="2">
        <v>45413</v>
      </c>
      <c r="C438" cm="1">
        <f t="array" ref="C438">IFERROR(IF(SUMPRODUCT((measured[Site Name]=A438)*(measured[Date]=B438)*ISNUMBER(measured[Measured Value (kWh)]))=0,"",SUMIFS(measured[Measured Value (kWh)],measured[Site Name],A438,measured[Date],B438)),"")</f>
        <v>3191</v>
      </c>
      <c r="D438" cm="1">
        <f t="array" ref="D438">IFERROR(IF(SUMPRODUCT((expected_production[Site Name]=A438)*(expected_production[Date]=B438)*ISNUMBER(expected_production[Expected Production (kWh)]))=0,"",SUMIFS(expected_production[Expected Production (kWh)],expected_production[Site Name],A438,expected_production[Date],B438)),"")</f>
        <v>3937.5</v>
      </c>
      <c r="E438" s="9">
        <f t="shared" si="14"/>
        <v>0.81041269841269836</v>
      </c>
      <c r="F438" t="str">
        <f t="shared" si="15"/>
        <v>Moderate</v>
      </c>
    </row>
    <row r="439" spans="1:6" ht="15" customHeight="1" x14ac:dyDescent="0.3">
      <c r="A439" t="s">
        <v>85</v>
      </c>
      <c r="B439" s="2">
        <v>45444</v>
      </c>
      <c r="C439" cm="1">
        <f t="array" ref="C439">IFERROR(IF(SUMPRODUCT((measured[Site Name]=A439)*(measured[Date]=B439)*ISNUMBER(measured[Measured Value (kWh)]))=0,"",SUMIFS(measured[Measured Value (kWh)],measured[Site Name],A439,measured[Date],B439)),"")</f>
        <v>2884</v>
      </c>
      <c r="D439" cm="1">
        <f t="array" ref="D439">IFERROR(IF(SUMPRODUCT((expected_production[Site Name]=A439)*(expected_production[Date]=B439)*ISNUMBER(expected_production[Expected Production (kWh)]))=0,"",SUMIFS(expected_production[Expected Production (kWh)],expected_production[Site Name],A439,expected_production[Date],B439)),"")</f>
        <v>3463.2</v>
      </c>
      <c r="E439" s="9">
        <f t="shared" si="14"/>
        <v>0.83275583275583276</v>
      </c>
      <c r="F439" t="str">
        <f t="shared" si="15"/>
        <v>Moderate</v>
      </c>
    </row>
    <row r="440" spans="1:6" ht="15" customHeight="1" x14ac:dyDescent="0.3">
      <c r="A440" t="s">
        <v>85</v>
      </c>
      <c r="B440" s="2">
        <v>45474</v>
      </c>
      <c r="C440" cm="1">
        <f t="array" ref="C440">IFERROR(IF(SUMPRODUCT((measured[Site Name]=A440)*(measured[Date]=B440)*ISNUMBER(measured[Measured Value (kWh)]))=0,"",SUMIFS(measured[Measured Value (kWh)],measured[Site Name],A440,measured[Date],B440)),"")</f>
        <v>3894</v>
      </c>
      <c r="D440" cm="1">
        <f t="array" ref="D440">IFERROR(IF(SUMPRODUCT((expected_production[Site Name]=A440)*(expected_production[Date]=B440)*ISNUMBER(expected_production[Expected Production (kWh)]))=0,"",SUMIFS(expected_production[Expected Production (kWh)],expected_production[Site Name],A440,expected_production[Date],B440)),"")</f>
        <v>3874.5</v>
      </c>
      <c r="E440" s="9">
        <f t="shared" si="14"/>
        <v>1.005032907471932</v>
      </c>
      <c r="F440" t="str">
        <f t="shared" si="15"/>
        <v>Expected</v>
      </c>
    </row>
    <row r="441" spans="1:6" ht="15" customHeight="1" x14ac:dyDescent="0.3">
      <c r="A441" t="s">
        <v>85</v>
      </c>
      <c r="B441" s="2">
        <v>45505</v>
      </c>
      <c r="C441" cm="1">
        <f t="array" ref="C441">IFERROR(IF(SUMPRODUCT((measured[Site Name]=A441)*(measured[Date]=B441)*ISNUMBER(measured[Measured Value (kWh)]))=0,"",SUMIFS(measured[Measured Value (kWh)],measured[Site Name],A441,measured[Date],B441)),"")</f>
        <v>4058</v>
      </c>
      <c r="D441" cm="1">
        <f t="array" ref="D441">IFERROR(IF(SUMPRODUCT((expected_production[Site Name]=A441)*(expected_production[Date]=B441)*ISNUMBER(expected_production[Expected Production (kWh)]))=0,"",SUMIFS(expected_production[Expected Production (kWh)],expected_production[Site Name],A441,expected_production[Date],B441)),"")</f>
        <v>4560.3</v>
      </c>
      <c r="E441" s="9">
        <f t="shared" si="14"/>
        <v>0.8898537376926956</v>
      </c>
      <c r="F441" t="str">
        <f t="shared" si="15"/>
        <v>Moderate</v>
      </c>
    </row>
    <row r="442" spans="1:6" ht="15" customHeight="1" x14ac:dyDescent="0.3">
      <c r="A442" t="s">
        <v>85</v>
      </c>
      <c r="B442" s="2">
        <v>45536</v>
      </c>
      <c r="C442" cm="1">
        <f t="array" ref="C442">IFERROR(IF(SUMPRODUCT((measured[Site Name]=A442)*(measured[Date]=B442)*ISNUMBER(measured[Measured Value (kWh)]))=0,"",SUMIFS(measured[Measured Value (kWh)],measured[Site Name],A442,measured[Date],B442)),"")</f>
        <v>3726</v>
      </c>
      <c r="D442" cm="1">
        <f t="array" ref="D442">IFERROR(IF(SUMPRODUCT((expected_production[Site Name]=A442)*(expected_production[Date]=B442)*ISNUMBER(expected_production[Expected Production (kWh)]))=0,"",SUMIFS(expected_production[Expected Production (kWh)],expected_production[Site Name],A442,expected_production[Date],B442)),"")</f>
        <v>5033.7</v>
      </c>
      <c r="E442" s="9">
        <f t="shared" si="14"/>
        <v>0.74021097800822455</v>
      </c>
      <c r="F442" t="str">
        <f t="shared" si="15"/>
        <v>Moderate</v>
      </c>
    </row>
    <row r="443" spans="1:6" ht="15" customHeight="1" x14ac:dyDescent="0.3">
      <c r="A443" t="s">
        <v>85</v>
      </c>
      <c r="B443" s="2">
        <v>45566</v>
      </c>
      <c r="C443" cm="1">
        <f t="array" ref="C443">IFERROR(IF(SUMPRODUCT((measured[Site Name]=A443)*(measured[Date]=B443)*ISNUMBER(measured[Measured Value (kWh)]))=0,"",SUMIFS(measured[Measured Value (kWh)],measured[Site Name],A443,measured[Date],B443)),"")</f>
        <v>4063</v>
      </c>
      <c r="D443" cm="1">
        <f t="array" ref="D443">IFERROR(IF(SUMPRODUCT((expected_production[Site Name]=A443)*(expected_production[Date]=B443)*ISNUMBER(expected_production[Expected Production (kWh)]))=0,"",SUMIFS(expected_production[Expected Production (kWh)],expected_production[Site Name],A443,expected_production[Date],B443)),"")</f>
        <v>5613.3</v>
      </c>
      <c r="E443" s="9">
        <f t="shared" si="14"/>
        <v>0.72381664974257565</v>
      </c>
      <c r="F443" t="str">
        <f t="shared" si="15"/>
        <v>Moderate</v>
      </c>
    </row>
    <row r="444" spans="1:6" ht="15" customHeight="1" x14ac:dyDescent="0.3">
      <c r="A444" t="s">
        <v>85</v>
      </c>
      <c r="B444" s="2">
        <v>45597</v>
      </c>
      <c r="C444" cm="1">
        <f t="array" ref="C444">IFERROR(IF(SUMPRODUCT((measured[Site Name]=A444)*(measured[Date]=B444)*ISNUMBER(measured[Measured Value (kWh)]))=0,"",SUMIFS(measured[Measured Value (kWh)],measured[Site Name],A444,measured[Date],B444)),"")</f>
        <v>3998</v>
      </c>
      <c r="D444" cm="1">
        <f t="array" ref="D444">IFERROR(IF(SUMPRODUCT((expected_production[Site Name]=A444)*(expected_production[Date]=B444)*ISNUMBER(expected_production[Expected Production (kWh)]))=0,"",SUMIFS(expected_production[Expected Production (kWh)],expected_production[Site Name],A444,expected_production[Date],B444)),"")</f>
        <v>5712.3</v>
      </c>
      <c r="E444" s="9">
        <f t="shared" si="14"/>
        <v>0.69989321289147977</v>
      </c>
      <c r="F444" t="str">
        <f t="shared" si="15"/>
        <v>Poor</v>
      </c>
    </row>
    <row r="445" spans="1:6" ht="15" customHeight="1" x14ac:dyDescent="0.3">
      <c r="A445" t="s">
        <v>85</v>
      </c>
      <c r="B445" s="2">
        <v>45627</v>
      </c>
      <c r="C445" cm="1">
        <f t="array" ref="C445">IFERROR(IF(SUMPRODUCT((measured[Site Name]=A445)*(measured[Date]=B445)*ISNUMBER(measured[Measured Value (kWh)]))=0,"",SUMIFS(measured[Measured Value (kWh)],measured[Site Name],A445,measured[Date],B445)),"")</f>
        <v>3593</v>
      </c>
      <c r="D445" cm="1">
        <f t="array" ref="D445">IFERROR(IF(SUMPRODUCT((expected_production[Site Name]=A445)*(expected_production[Date]=B445)*ISNUMBER(expected_production[Expected Production (kWh)]))=0,"",SUMIFS(expected_production[Expected Production (kWh)],expected_production[Site Name],A445,expected_production[Date],B445)),"")</f>
        <v>6027.3</v>
      </c>
      <c r="E445" s="9">
        <f t="shared" si="14"/>
        <v>0.59612098286131432</v>
      </c>
      <c r="F445" t="str">
        <f t="shared" si="15"/>
        <v>Poor</v>
      </c>
    </row>
    <row r="446" spans="1:6" ht="15" customHeight="1" x14ac:dyDescent="0.3">
      <c r="A446" t="s">
        <v>85</v>
      </c>
      <c r="B446" s="2">
        <v>45658</v>
      </c>
      <c r="C446" cm="1">
        <f t="array" ref="C446">IFERROR(IF(SUMPRODUCT((measured[Site Name]=A446)*(measured[Date]=B446)*ISNUMBER(measured[Measured Value (kWh)]))=0,"",SUMIFS(measured[Measured Value (kWh)],measured[Site Name],A446,measured[Date],B446)),"")</f>
        <v>3726</v>
      </c>
      <c r="D446" cm="1">
        <f t="array" ref="D446">IFERROR(IF(SUMPRODUCT((expected_production[Site Name]=A446)*(expected_production[Date]=B446)*ISNUMBER(expected_production[Expected Production (kWh)]))=0,"",SUMIFS(expected_production[Expected Production (kWh)],expected_production[Site Name],A446,expected_production[Date],B446)),"")</f>
        <v>5767.2</v>
      </c>
      <c r="E446" s="9">
        <f t="shared" si="14"/>
        <v>0.6460674157303371</v>
      </c>
      <c r="F446" t="str">
        <f t="shared" si="15"/>
        <v>Poor</v>
      </c>
    </row>
    <row r="447" spans="1:6" ht="15" customHeight="1" x14ac:dyDescent="0.3">
      <c r="A447" t="s">
        <v>85</v>
      </c>
      <c r="B447" s="2">
        <v>45689</v>
      </c>
      <c r="C447" cm="1">
        <f t="array" ref="C447">IFERROR(IF(SUMPRODUCT((measured[Site Name]=A447)*(measured[Date]=B447)*ISNUMBER(measured[Measured Value (kWh)]))=0,"",SUMIFS(measured[Measured Value (kWh)],measured[Site Name],A447,measured[Date],B447)),"")</f>
        <v>3060</v>
      </c>
      <c r="D447" cm="1">
        <f t="array" ref="D447">IFERROR(IF(SUMPRODUCT((expected_production[Site Name]=A447)*(expected_production[Date]=B447)*ISNUMBER(expected_production[Expected Production (kWh)]))=0,"",SUMIFS(expected_production[Expected Production (kWh)],expected_production[Site Name],A447,expected_production[Date],B447)),"")</f>
        <v>4828.5</v>
      </c>
      <c r="E447" s="9">
        <f t="shared" si="14"/>
        <v>0.6337371854613234</v>
      </c>
      <c r="F447" t="str">
        <f t="shared" si="15"/>
        <v>Poor</v>
      </c>
    </row>
    <row r="448" spans="1:6" ht="15" customHeight="1" x14ac:dyDescent="0.3">
      <c r="A448" t="s">
        <v>85</v>
      </c>
      <c r="B448" s="2">
        <v>45717</v>
      </c>
      <c r="C448" cm="1">
        <f t="array" ref="C448">IFERROR(IF(SUMPRODUCT((measured[Site Name]=A448)*(measured[Date]=B448)*ISNUMBER(measured[Measured Value (kWh)]))=0,"",SUMIFS(measured[Measured Value (kWh)],measured[Site Name],A448,measured[Date],B448)),"")</f>
        <v>3350</v>
      </c>
      <c r="D448" cm="1">
        <f t="array" ref="D448">IFERROR(IF(SUMPRODUCT((expected_production[Site Name]=A448)*(expected_production[Date]=B448)*ISNUMBER(expected_production[Expected Production (kWh)]))=0,"",SUMIFS(expected_production[Expected Production (kWh)],expected_production[Site Name],A448,expected_production[Date],B448)),"")</f>
        <v>4913.1000000000004</v>
      </c>
      <c r="E448" s="9">
        <f t="shared" si="14"/>
        <v>0.68185056278113609</v>
      </c>
      <c r="F448" t="str">
        <f t="shared" si="15"/>
        <v>Poor</v>
      </c>
    </row>
    <row r="449" spans="1:7" ht="15" customHeight="1" x14ac:dyDescent="0.3">
      <c r="A449" t="s">
        <v>85</v>
      </c>
      <c r="B449" s="2">
        <v>45748</v>
      </c>
      <c r="C449" cm="1">
        <f t="array" ref="C449">IFERROR(IF(SUMPRODUCT((measured[Site Name]=A449)*(measured[Date]=B449)*ISNUMBER(measured[Measured Value (kWh)]))=0,"",SUMIFS(measured[Measured Value (kWh)],measured[Site Name],A449,measured[Date],B449)),"")</f>
        <v>2383</v>
      </c>
      <c r="D449" cm="1">
        <f t="array" ref="D449">IFERROR(IF(SUMPRODUCT((expected_production[Site Name]=A449)*(expected_production[Date]=B449)*ISNUMBER(expected_production[Expected Production (kWh)]))=0,"",SUMIFS(expected_production[Expected Production (kWh)],expected_production[Site Name],A449,expected_production[Date],B449)),"")</f>
        <v>4149.8999999999996</v>
      </c>
      <c r="E449" s="9">
        <f t="shared" si="14"/>
        <v>0.57423070435432189</v>
      </c>
      <c r="F449" t="str">
        <f t="shared" si="15"/>
        <v>Poor</v>
      </c>
    </row>
    <row r="450" spans="1:7" ht="15" customHeight="1" x14ac:dyDescent="0.3">
      <c r="A450" t="s">
        <v>85</v>
      </c>
      <c r="B450" s="2">
        <v>45778</v>
      </c>
      <c r="C450" cm="1">
        <f t="array" ref="C450">IFERROR(IF(SUMPRODUCT((measured[Site Name]=A450)*(measured[Date]=B450)*ISNUMBER(measured[Measured Value (kWh)]))=0,"",SUMIFS(measured[Measured Value (kWh)],measured[Site Name],A450,measured[Date],B450)),"")</f>
        <v>3026</v>
      </c>
      <c r="D450" cm="1">
        <f t="array" ref="D450">IFERROR(IF(SUMPRODUCT((expected_production[Site Name]=A450)*(expected_production[Date]=B450)*ISNUMBER(expected_production[Expected Production (kWh)]))=0,"",SUMIFS(expected_production[Expected Production (kWh)],expected_production[Site Name],A450,expected_production[Date],B450)),"")</f>
        <v>3937.5</v>
      </c>
      <c r="E450" s="9">
        <f t="shared" si="14"/>
        <v>0.76850793650793647</v>
      </c>
      <c r="F450" t="str">
        <f t="shared" si="15"/>
        <v>Moderate</v>
      </c>
    </row>
    <row r="451" spans="1:7" ht="15" customHeight="1" x14ac:dyDescent="0.3">
      <c r="A451" t="s">
        <v>85</v>
      </c>
      <c r="B451" s="2">
        <v>45809</v>
      </c>
      <c r="C451" cm="1">
        <f t="array" ref="C451">IFERROR(IF(SUMPRODUCT((measured[Site Name]=A451)*(measured[Date]=B451)*ISNUMBER(measured[Measured Value (kWh)]))=0,"",SUMIFS(measured[Measured Value (kWh)],measured[Site Name],A451,measured[Date],B451)),"")</f>
        <v>2637.9</v>
      </c>
      <c r="D451" cm="1">
        <f t="array" ref="D451">IFERROR(IF(SUMPRODUCT((expected_production[Site Name]=A451)*(expected_production[Date]=B451)*ISNUMBER(expected_production[Expected Production (kWh)]))=0,"",SUMIFS(expected_production[Expected Production (kWh)],expected_production[Site Name],A451,expected_production[Date],B451)),"")</f>
        <v>3463.2</v>
      </c>
      <c r="E451" s="9">
        <f t="shared" si="14"/>
        <v>0.76169438669438672</v>
      </c>
      <c r="F451" t="str">
        <f t="shared" si="15"/>
        <v>Moderate</v>
      </c>
    </row>
    <row r="452" spans="1:7" ht="15" customHeight="1" x14ac:dyDescent="0.3">
      <c r="A452" t="s">
        <v>85</v>
      </c>
      <c r="B452" s="2">
        <v>45839</v>
      </c>
      <c r="C452" cm="1">
        <f t="array" ref="C452">IFERROR(IF(SUMPRODUCT((measured[Site Name]=A452)*(measured[Date]=B452)*ISNUMBER(measured[Measured Value (kWh)]))=0,"",SUMIFS(measured[Measured Value (kWh)],measured[Site Name],A452,measured[Date],B452)),"")</f>
        <v>2506</v>
      </c>
      <c r="D452" cm="1">
        <f t="array" ref="D452">IFERROR(IF(SUMPRODUCT((expected_production[Site Name]=A452)*(expected_production[Date]=B452)*ISNUMBER(expected_production[Expected Production (kWh)]))=0,"",SUMIFS(expected_production[Expected Production (kWh)],expected_production[Site Name],A452,expected_production[Date],B452)),"")</f>
        <v>3874.5</v>
      </c>
      <c r="E452" s="9">
        <f t="shared" si="14"/>
        <v>0.64679313459801269</v>
      </c>
      <c r="F452" t="str">
        <f t="shared" si="15"/>
        <v>Poor</v>
      </c>
    </row>
    <row r="453" spans="1:7" ht="15" customHeight="1" x14ac:dyDescent="0.3">
      <c r="A453" t="s">
        <v>85</v>
      </c>
      <c r="B453" s="2">
        <v>45870</v>
      </c>
      <c r="C453" cm="1">
        <f t="array" ref="C453">IFERROR(IF(SUMPRODUCT((measured[Site Name]=A453)*(measured[Date]=B453)*ISNUMBER(measured[Measured Value (kWh)]))=0,"",SUMIFS(measured[Measured Value (kWh)],measured[Site Name],A453,measured[Date],B453)),"")</f>
        <v>2144</v>
      </c>
      <c r="D453" cm="1">
        <f t="array" ref="D453">IFERROR(IF(SUMPRODUCT((expected_production[Site Name]=A453)*(expected_production[Date]=B453)*ISNUMBER(expected_production[Expected Production (kWh)]))=0,"",SUMIFS(expected_production[Expected Production (kWh)],expected_production[Site Name],A453,expected_production[Date],B453)),"")</f>
        <v>4560.3</v>
      </c>
      <c r="E453" s="9">
        <f t="shared" si="14"/>
        <v>0.47014450803675195</v>
      </c>
      <c r="F453" t="str">
        <f t="shared" si="15"/>
        <v>Poor</v>
      </c>
    </row>
    <row r="454" spans="1:7" ht="15" customHeight="1" x14ac:dyDescent="0.3">
      <c r="A454" t="s">
        <v>85</v>
      </c>
      <c r="B454" s="2">
        <v>45901</v>
      </c>
      <c r="C454" cm="1">
        <f t="array" ref="C454">IFERROR(IF(SUMPRODUCT((measured[Site Name]=A454)*(measured[Date]=B454)*ISNUMBER(measured[Measured Value (kWh)]))=0,"",SUMIFS(measured[Measured Value (kWh)],measured[Site Name],A454,measured[Date],B454)),"")</f>
        <v>2520</v>
      </c>
      <c r="D454" cm="1">
        <f t="array" ref="D454">IFERROR(IF(SUMPRODUCT((expected_production[Site Name]=A454)*(expected_production[Date]=B454)*ISNUMBER(expected_production[Expected Production (kWh)]))=0,"",SUMIFS(expected_production[Expected Production (kWh)],expected_production[Site Name],A454,expected_production[Date],B454)),"")</f>
        <v>5033.7</v>
      </c>
      <c r="E454" s="9">
        <f t="shared" si="14"/>
        <v>0.50062578222778475</v>
      </c>
      <c r="F454" t="str">
        <f t="shared" si="15"/>
        <v>Poor</v>
      </c>
    </row>
    <row r="455" spans="1:7" ht="15" customHeight="1" x14ac:dyDescent="0.3">
      <c r="A455" t="s">
        <v>85</v>
      </c>
      <c r="B455" s="2">
        <v>45931</v>
      </c>
      <c r="C455" cm="1">
        <f t="array" ref="C455">IFERROR(IF(SUMPRODUCT((measured[Site Name]=A455)*(measured[Date]=B455)*ISNUMBER(measured[Measured Value (kWh)]))=0,"",SUMIFS(measured[Measured Value (kWh)],measured[Site Name],A455,measured[Date],B455)),"")</f>
        <v>2989</v>
      </c>
      <c r="D455" cm="1">
        <f t="array" ref="D455">IFERROR(IF(SUMPRODUCT((expected_production[Site Name]=A455)*(expected_production[Date]=B455)*ISNUMBER(expected_production[Expected Production (kWh)]))=0,"",SUMIFS(expected_production[Expected Production (kWh)],expected_production[Site Name],A455,expected_production[Date],B455)),"")</f>
        <v>5613.3</v>
      </c>
      <c r="E455" s="9">
        <f t="shared" si="14"/>
        <v>0.53248534730016206</v>
      </c>
      <c r="F455" t="str">
        <f t="shared" si="15"/>
        <v>Poor</v>
      </c>
    </row>
    <row r="456" spans="1:7" ht="15" customHeight="1" x14ac:dyDescent="0.3">
      <c r="A456" t="s">
        <v>85</v>
      </c>
      <c r="B456" s="2">
        <v>45962</v>
      </c>
      <c r="C456" cm="1">
        <f t="array" ref="C456">IFERROR(IF(SUMPRODUCT((measured[Site Name]=A456)*(measured[Date]=B456)*ISNUMBER(measured[Measured Value (kWh)]))=0,"",SUMIFS(measured[Measured Value (kWh)],measured[Site Name],A456,measured[Date],B456)),"")</f>
        <v>2384</v>
      </c>
      <c r="D456" cm="1">
        <f t="array" ref="D456">IFERROR(IF(SUMPRODUCT((expected_production[Site Name]=A456)*(expected_production[Date]=B456)*ISNUMBER(expected_production[Expected Production (kWh)]))=0,"",SUMIFS(expected_production[Expected Production (kWh)],expected_production[Site Name],A456,expected_production[Date],B456)),"")</f>
        <v>5712.3</v>
      </c>
      <c r="E456" s="9">
        <f t="shared" si="14"/>
        <v>0.41734502739702045</v>
      </c>
      <c r="F456" t="str">
        <f t="shared" si="15"/>
        <v>Poor</v>
      </c>
    </row>
    <row r="457" spans="1:7" ht="15" customHeight="1" x14ac:dyDescent="0.3">
      <c r="A457" t="s">
        <v>85</v>
      </c>
      <c r="B457" s="2">
        <v>45992</v>
      </c>
      <c r="C457" cm="1">
        <f t="array" ref="C457">IFERROR(IF(SUMPRODUCT((measured[Site Name]=A457)*(measured[Date]=B457)*ISNUMBER(measured[Measured Value (kWh)]))=0,"",SUMIFS(measured[Measured Value (kWh)],measured[Site Name],A457,measured[Date],B457)),"")</f>
        <v>2166</v>
      </c>
      <c r="D457" cm="1">
        <f t="array" ref="D457">IFERROR(IF(SUMPRODUCT((expected_production[Site Name]=A457)*(expected_production[Date]=B457)*ISNUMBER(expected_production[Expected Production (kWh)]))=0,"",SUMIFS(expected_production[Expected Production (kWh)],expected_production[Site Name],A457,expected_production[Date],B457)),"")</f>
        <v>6027.3</v>
      </c>
      <c r="E457" s="9">
        <f t="shared" si="14"/>
        <v>0.35936488975163006</v>
      </c>
      <c r="F457" t="str">
        <f t="shared" si="15"/>
        <v>Poor</v>
      </c>
    </row>
    <row r="458" spans="1:7" ht="15" customHeight="1" x14ac:dyDescent="0.3">
      <c r="A458" t="s">
        <v>85</v>
      </c>
      <c r="B458" s="2">
        <v>46023</v>
      </c>
      <c r="C458" cm="1">
        <f t="array" ref="C458">IFERROR(IF(SUMPRODUCT((measured[Site Name]=A458)*(measured[Date]=B458)*ISNUMBER(measured[Measured Value (kWh)]))=0,"",SUMIFS(measured[Measured Value (kWh)],measured[Site Name],A458,measured[Date],B458)),"")</f>
        <v>2756</v>
      </c>
      <c r="D458" cm="1">
        <f t="array" ref="D458">IFERROR(IF(SUMPRODUCT((expected_production[Site Name]=A458)*(expected_production[Date]=B458)*ISNUMBER(expected_production[Expected Production (kWh)]))=0,"",SUMIFS(expected_production[Expected Production (kWh)],expected_production[Site Name],A458,expected_production[Date],B458)),"")</f>
        <v>5767.2</v>
      </c>
      <c r="E458" s="9">
        <f t="shared" si="14"/>
        <v>0.47787487862394229</v>
      </c>
      <c r="F458" t="str">
        <f t="shared" si="15"/>
        <v>Poor</v>
      </c>
    </row>
    <row r="459" spans="1:7" ht="15" customHeight="1" x14ac:dyDescent="0.3">
      <c r="A459" t="s">
        <v>85</v>
      </c>
      <c r="B459" s="2">
        <v>46054</v>
      </c>
      <c r="C459" cm="1">
        <f t="array" ref="C459">IFERROR(IF(SUMPRODUCT((measured[Site Name]=A459)*(measured[Date]=B459)*ISNUMBER(measured[Measured Value (kWh)]))=0,"",SUMIFS(measured[Measured Value (kWh)],measured[Site Name],A459,measured[Date],B459)),"")</f>
        <v>1526</v>
      </c>
      <c r="D459" cm="1">
        <f t="array" ref="D459">IFERROR(IF(SUMPRODUCT((expected_production[Site Name]=A459)*(expected_production[Date]=B459)*ISNUMBER(expected_production[Expected Production (kWh)]))=0,"",SUMIFS(expected_production[Expected Production (kWh)],expected_production[Site Name],A459,expected_production[Date],B459)),"")</f>
        <v>4828.5</v>
      </c>
      <c r="E459" s="9">
        <f t="shared" si="14"/>
        <v>0.31604017810914364</v>
      </c>
      <c r="F459" t="str">
        <f t="shared" si="15"/>
        <v>Poor</v>
      </c>
    </row>
    <row r="460" spans="1:7" ht="15" customHeight="1" x14ac:dyDescent="0.3">
      <c r="A460" t="s">
        <v>85</v>
      </c>
      <c r="B460" s="2">
        <v>46082</v>
      </c>
      <c r="C460" cm="1">
        <f t="array" ref="C460">IFERROR(IF(SUMPRODUCT((measured[Site Name]=A460)*(measured[Date]=B460)*ISNUMBER(measured[Measured Value (kWh)]))=0,"",SUMIFS(measured[Measured Value (kWh)],measured[Site Name],A460,measured[Date],B460)),"")</f>
        <v>1909</v>
      </c>
      <c r="D460" cm="1">
        <f t="array" ref="D460">IFERROR(IF(SUMPRODUCT((expected_production[Site Name]=A460)*(expected_production[Date]=B460)*ISNUMBER(expected_production[Expected Production (kWh)]))=0,"",SUMIFS(expected_production[Expected Production (kWh)],expected_production[Site Name],A460,expected_production[Date],B460)),"")</f>
        <v>4913.1000000000004</v>
      </c>
      <c r="E460" s="9">
        <f t="shared" si="14"/>
        <v>0.388553052044534</v>
      </c>
      <c r="F460" t="str">
        <f t="shared" si="15"/>
        <v>Poor</v>
      </c>
    </row>
    <row r="461" spans="1:7" ht="15" customHeight="1" x14ac:dyDescent="0.3">
      <c r="A461" t="s">
        <v>85</v>
      </c>
      <c r="B461" s="2">
        <v>46113</v>
      </c>
      <c r="C461" s="5" cm="1">
        <f t="array" ref="C461">IFERROR(IF(SUMPRODUCT((measured[Site Name]=A461)*(measured[Date]=B461)*ISNUMBER(measured[Measured Value (kWh)]))=0,"",SUMIFS(measured[Measured Value (kWh)],measured[Site Name],A461,measured[Date],B461)),"")</f>
        <v>2190.9</v>
      </c>
      <c r="D461" cm="1">
        <f t="array" ref="D461">IFERROR(IF(SUMPRODUCT((expected_production[Site Name]=A461)*(expected_production[Date]=B461)*ISNUMBER(expected_production[Expected Production (kWh)]))=0,"",SUMIFS(expected_production[Expected Production (kWh)],expected_production[Site Name],A461,expected_production[Date],B461)),"")</f>
        <v>4149.8999999999996</v>
      </c>
      <c r="E461" s="9">
        <f t="shared" si="14"/>
        <v>0.52794043229957355</v>
      </c>
      <c r="F461" t="str">
        <f t="shared" si="15"/>
        <v>Poor</v>
      </c>
    </row>
    <row r="462" spans="1:7" ht="15" customHeight="1" x14ac:dyDescent="0.3">
      <c r="A462" t="s">
        <v>85</v>
      </c>
      <c r="B462" s="2">
        <v>46143</v>
      </c>
      <c r="C462" s="5" cm="1">
        <f t="array" ref="C462">IFERROR(IF(SUMPRODUCT((measured[Site Name]=A462)*(measured[Date]=B462)*ISNUMBER(measured[Measured Value (kWh)]))=0,"",SUMIFS(measured[Measured Value (kWh)],measured[Site Name],A462,measured[Date],B462)),"")</f>
        <v>2313.3000000000002</v>
      </c>
      <c r="D462" cm="1">
        <f t="array" ref="D462">IFERROR(IF(SUMPRODUCT((expected_production[Site Name]=A462)*(expected_production[Date]=B462)*ISNUMBER(expected_production[Expected Production (kWh)]))=0,"",SUMIFS(expected_production[Expected Production (kWh)],expected_production[Site Name],A462,expected_production[Date],B462)),"")</f>
        <v>3937.5</v>
      </c>
      <c r="E462" s="9">
        <f t="shared" si="14"/>
        <v>0.58750476190476197</v>
      </c>
      <c r="F462" t="str">
        <f t="shared" si="15"/>
        <v>Poor</v>
      </c>
    </row>
    <row r="463" spans="1:7" ht="15" customHeight="1" x14ac:dyDescent="0.3">
      <c r="A463" t="s">
        <v>85</v>
      </c>
      <c r="B463" s="2">
        <v>46174</v>
      </c>
      <c r="C463" cm="1">
        <f t="array" ref="C463">IFERROR(IF(SUMPRODUCT((measured[Site Name]=A463)*(measured[Date]=B463)*ISNUMBER(measured[Measured Value (kWh)]))=0,"",SUMIFS(measured[Measured Value (kWh)],measured[Site Name],A463,measured[Date],B463)),"")</f>
        <v>1184</v>
      </c>
      <c r="D463" cm="1">
        <f t="array" ref="D463">IFERROR(IF(SUMPRODUCT((expected_production[Site Name]=A463)*(expected_production[Date]=B463)*ISNUMBER(expected_production[Expected Production (kWh)]))=0,"",SUMIFS(expected_production[Expected Production (kWh)],expected_production[Site Name],A463,expected_production[Date],B463)),"")</f>
        <v>3463.2</v>
      </c>
      <c r="E463" s="9">
        <f t="shared" si="14"/>
        <v>0.34188034188034189</v>
      </c>
      <c r="F463" t="str">
        <f t="shared" si="15"/>
        <v>Poor</v>
      </c>
    </row>
    <row r="464" spans="1:7" ht="15" customHeight="1" x14ac:dyDescent="0.3">
      <c r="A464" t="s">
        <v>80</v>
      </c>
      <c r="B464" s="2">
        <v>46204</v>
      </c>
      <c r="C464" cm="1">
        <f t="array" ref="C464">IFERROR(IF(SUMPRODUCT((measured[Site Name]=A464)*(measured[Date]=B464)*ISNUMBER(measured[Measured Value (kWh)]))=0,"",SUMIFS(measured[Measured Value (kWh)],measured[Site Name],A464,measured[Date],B464)),"")</f>
        <v>14345</v>
      </c>
      <c r="D464" cm="1">
        <f t="array" ref="D464">IFERROR(IF(SUMPRODUCT((expected_production[Site Name]=A464)*(expected_production[Date]=B464)*ISNUMBER(expected_production[Expected Production (kWh)]))=0,"",SUMIFS(expected_production[Expected Production (kWh)],expected_production[Site Name],A464,expected_production[Date],B464)),"")</f>
        <v>14002.2</v>
      </c>
      <c r="E464" s="9">
        <f t="shared" si="14"/>
        <v>1.0244818671351643</v>
      </c>
      <c r="F464" t="str">
        <f t="shared" si="15"/>
        <v>Expected</v>
      </c>
      <c r="G464" t="s">
        <v>874</v>
      </c>
    </row>
    <row r="465" spans="1:6" ht="15" customHeight="1" x14ac:dyDescent="0.3">
      <c r="A465" t="s">
        <v>85</v>
      </c>
      <c r="B465" s="2">
        <v>46235</v>
      </c>
      <c r="C465" t="str" cm="1">
        <f t="array" ref="C465">IFERROR(IF(SUMPRODUCT((measured[Site Name]=A465)*(measured[Date]=B465)*ISNUMBER(measured[Measured Value (kWh)]))=0,"",SUMIFS(measured[Measured Value (kWh)],measured[Site Name],A465,measured[Date],B465)),"")</f>
        <v/>
      </c>
      <c r="D465" cm="1">
        <f t="array" ref="D465">IFERROR(IF(SUMPRODUCT((expected_production[Site Name]=A465)*(expected_production[Date]=B465)*ISNUMBER(expected_production[Expected Production (kWh)]))=0,"",SUMIFS(expected_production[Expected Production (kWh)],expected_production[Site Name],A465,expected_production[Date],B465)),"")</f>
        <v>4560.3</v>
      </c>
      <c r="E465" s="9" t="str">
        <f t="shared" si="14"/>
        <v/>
      </c>
      <c r="F465" t="str">
        <f t="shared" si="15"/>
        <v/>
      </c>
    </row>
    <row r="466" spans="1:6" ht="15" customHeight="1" x14ac:dyDescent="0.3">
      <c r="A466" t="s">
        <v>85</v>
      </c>
      <c r="B466" s="2">
        <v>46266</v>
      </c>
      <c r="C466" t="str" cm="1">
        <f t="array" ref="C466">IFERROR(IF(SUMPRODUCT((measured[Site Name]=A466)*(measured[Date]=B466)*ISNUMBER(measured[Measured Value (kWh)]))=0,"",SUMIFS(measured[Measured Value (kWh)],measured[Site Name],A466,measured[Date],B466)),"")</f>
        <v/>
      </c>
      <c r="D466" cm="1">
        <f t="array" ref="D466">IFERROR(IF(SUMPRODUCT((expected_production[Site Name]=A466)*(expected_production[Date]=B466)*ISNUMBER(expected_production[Expected Production (kWh)]))=0,"",SUMIFS(expected_production[Expected Production (kWh)],expected_production[Site Name],A466,expected_production[Date],B466)),"")</f>
        <v>5033.7</v>
      </c>
      <c r="E466" s="9" t="str">
        <f t="shared" si="14"/>
        <v/>
      </c>
      <c r="F466" t="str">
        <f t="shared" si="15"/>
        <v/>
      </c>
    </row>
    <row r="467" spans="1:6" ht="15" customHeight="1" x14ac:dyDescent="0.3">
      <c r="A467" t="s">
        <v>85</v>
      </c>
      <c r="B467" s="2">
        <v>46296</v>
      </c>
      <c r="C467" t="str" cm="1">
        <f t="array" ref="C467">IFERROR(IF(SUMPRODUCT((measured[Site Name]=A467)*(measured[Date]=B467)*ISNUMBER(measured[Measured Value (kWh)]))=0,"",SUMIFS(measured[Measured Value (kWh)],measured[Site Name],A467,measured[Date],B467)),"")</f>
        <v/>
      </c>
      <c r="D467" cm="1">
        <f t="array" ref="D467">IFERROR(IF(SUMPRODUCT((expected_production[Site Name]=A467)*(expected_production[Date]=B467)*ISNUMBER(expected_production[Expected Production (kWh)]))=0,"",SUMIFS(expected_production[Expected Production (kWh)],expected_production[Site Name],A467,expected_production[Date],B467)),"")</f>
        <v>5613.3</v>
      </c>
      <c r="E467" s="9" t="str">
        <f t="shared" si="14"/>
        <v/>
      </c>
      <c r="F467" t="str">
        <f t="shared" si="15"/>
        <v/>
      </c>
    </row>
    <row r="468" spans="1:6" ht="15" customHeight="1" x14ac:dyDescent="0.3">
      <c r="A468" t="s">
        <v>85</v>
      </c>
      <c r="B468" s="2">
        <v>46327</v>
      </c>
      <c r="C468" t="str" cm="1">
        <f t="array" ref="C468">IFERROR(IF(SUMPRODUCT((measured[Site Name]=A468)*(measured[Date]=B468)*ISNUMBER(measured[Measured Value (kWh)]))=0,"",SUMIFS(measured[Measured Value (kWh)],measured[Site Name],A468,measured[Date],B468)),"")</f>
        <v/>
      </c>
      <c r="D468" cm="1">
        <f t="array" ref="D468">IFERROR(IF(SUMPRODUCT((expected_production[Site Name]=A468)*(expected_production[Date]=B468)*ISNUMBER(expected_production[Expected Production (kWh)]))=0,"",SUMIFS(expected_production[Expected Production (kWh)],expected_production[Site Name],A468,expected_production[Date],B468)),"")</f>
        <v>5712.3</v>
      </c>
      <c r="E468" s="9" t="str">
        <f t="shared" si="14"/>
        <v/>
      </c>
      <c r="F468" t="str">
        <f t="shared" si="15"/>
        <v/>
      </c>
    </row>
    <row r="469" spans="1:6" ht="15" customHeight="1" x14ac:dyDescent="0.3">
      <c r="A469" t="s">
        <v>85</v>
      </c>
      <c r="B469" s="2">
        <v>46357</v>
      </c>
      <c r="C469" t="str" cm="1">
        <f t="array" ref="C469">IFERROR(IF(SUMPRODUCT((measured[Site Name]=A469)*(measured[Date]=B469)*ISNUMBER(measured[Measured Value (kWh)]))=0,"",SUMIFS(measured[Measured Value (kWh)],measured[Site Name],A469,measured[Date],B469)),"")</f>
        <v/>
      </c>
      <c r="D469" cm="1">
        <f t="array" ref="D469">IFERROR(IF(SUMPRODUCT((expected_production[Site Name]=A469)*(expected_production[Date]=B469)*ISNUMBER(expected_production[Expected Production (kWh)]))=0,"",SUMIFS(expected_production[Expected Production (kWh)],expected_production[Site Name],A469,expected_production[Date],B469)),"")</f>
        <v>6027.3</v>
      </c>
      <c r="E469" s="9" t="str">
        <f t="shared" si="14"/>
        <v/>
      </c>
      <c r="F469" t="str">
        <f t="shared" si="15"/>
        <v/>
      </c>
    </row>
    <row r="470" spans="1:6" ht="15" customHeight="1" x14ac:dyDescent="0.3">
      <c r="A470" t="s">
        <v>90</v>
      </c>
      <c r="B470" s="2">
        <v>45292</v>
      </c>
      <c r="C470" cm="1">
        <f t="array" ref="C470">IFERROR(IF(SUMPRODUCT((measured[Site Name]=A470)*(measured[Date]=B470)*ISNUMBER(measured[Measured Value (kWh)]))=0,"",SUMIFS(measured[Measured Value (kWh)],measured[Site Name],A470,measured[Date],B470)),"")</f>
        <v>5665</v>
      </c>
      <c r="D470" cm="1">
        <f t="array" ref="D470">IFERROR(IF(SUMPRODUCT((expected_production[Site Name]=A470)*(expected_production[Date]=B470)*ISNUMBER(expected_production[Expected Production (kWh)]))=0,"",SUMIFS(expected_production[Expected Production (kWh)],expected_production[Site Name],A470,expected_production[Date],B470)),"")</f>
        <v>4897.0200000000004</v>
      </c>
      <c r="E470" s="9">
        <f t="shared" si="14"/>
        <v>1.156825988049875</v>
      </c>
      <c r="F470" t="str">
        <f t="shared" si="15"/>
        <v>Expected</v>
      </c>
    </row>
    <row r="471" spans="1:6" ht="15" customHeight="1" x14ac:dyDescent="0.3">
      <c r="A471" t="s">
        <v>90</v>
      </c>
      <c r="B471" s="2">
        <v>45323</v>
      </c>
      <c r="C471" cm="1">
        <f t="array" ref="C471">IFERROR(IF(SUMPRODUCT((measured[Site Name]=A471)*(measured[Date]=B471)*ISNUMBER(measured[Measured Value (kWh)]))=0,"",SUMIFS(measured[Measured Value (kWh)],measured[Site Name],A471,measured[Date],B471)),"")</f>
        <v>3554</v>
      </c>
      <c r="D471" cm="1">
        <f t="array" ref="D471">IFERROR(IF(SUMPRODUCT((expected_production[Site Name]=A471)*(expected_production[Date]=B471)*ISNUMBER(expected_production[Expected Production (kWh)]))=0,"",SUMIFS(expected_production[Expected Production (kWh)],expected_production[Site Name],A471,expected_production[Date],B471)),"")</f>
        <v>4496.2449999999999</v>
      </c>
      <c r="E471" s="9">
        <f t="shared" si="14"/>
        <v>0.79043735383636793</v>
      </c>
      <c r="F471" t="str">
        <f t="shared" si="15"/>
        <v>Moderate</v>
      </c>
    </row>
    <row r="472" spans="1:6" ht="15" customHeight="1" x14ac:dyDescent="0.3">
      <c r="A472" t="s">
        <v>90</v>
      </c>
      <c r="B472" s="2">
        <v>45352</v>
      </c>
      <c r="C472" cm="1">
        <f t="array" ref="C472">IFERROR(IF(SUMPRODUCT((measured[Site Name]=A472)*(measured[Date]=B472)*ISNUMBER(measured[Measured Value (kWh)]))=0,"",SUMIFS(measured[Measured Value (kWh)],measured[Site Name],A472,measured[Date],B472)),"")</f>
        <v>1</v>
      </c>
      <c r="D472" cm="1">
        <f t="array" ref="D472">IFERROR(IF(SUMPRODUCT((expected_production[Site Name]=A472)*(expected_production[Date]=B472)*ISNUMBER(expected_production[Expected Production (kWh)]))=0,"",SUMIFS(expected_production[Expected Production (kWh)],expected_production[Site Name],A472,expected_production[Date],B472)),"")</f>
        <v>4548.6049999999996</v>
      </c>
      <c r="E472" s="9">
        <f t="shared" si="14"/>
        <v>2.1984762361207448E-4</v>
      </c>
      <c r="F472" t="str">
        <f t="shared" si="15"/>
        <v>Poor</v>
      </c>
    </row>
    <row r="473" spans="1:6" ht="15" customHeight="1" x14ac:dyDescent="0.3">
      <c r="A473" t="s">
        <v>90</v>
      </c>
      <c r="B473" s="2">
        <v>45383</v>
      </c>
      <c r="C473" cm="1">
        <f t="array" ref="C473">IFERROR(IF(SUMPRODUCT((measured[Site Name]=A473)*(measured[Date]=B473)*ISNUMBER(measured[Measured Value (kWh)]))=0,"",SUMIFS(measured[Measured Value (kWh)],measured[Site Name],A473,measured[Date],B473)),"")</f>
        <v>1</v>
      </c>
      <c r="D473" cm="1">
        <f t="array" ref="D473">IFERROR(IF(SUMPRODUCT((expected_production[Site Name]=A473)*(expected_production[Date]=B473)*ISNUMBER(expected_production[Expected Production (kWh)]))=0,"",SUMIFS(expected_production[Expected Production (kWh)],expected_production[Site Name],A473,expected_production[Date],B473)),"")</f>
        <v>3805.1950000000002</v>
      </c>
      <c r="E473" s="9">
        <f t="shared" si="14"/>
        <v>2.6279862135843233E-4</v>
      </c>
      <c r="F473" t="str">
        <f t="shared" si="15"/>
        <v>Poor</v>
      </c>
    </row>
    <row r="474" spans="1:6" ht="15" customHeight="1" x14ac:dyDescent="0.3">
      <c r="A474" t="s">
        <v>90</v>
      </c>
      <c r="B474" s="2">
        <v>45413</v>
      </c>
      <c r="C474" cm="1">
        <f t="array" ref="C474">IFERROR(IF(SUMPRODUCT((measured[Site Name]=A474)*(measured[Date]=B474)*ISNUMBER(measured[Measured Value (kWh)]))=0,"",SUMIFS(measured[Measured Value (kWh)],measured[Site Name],A474,measured[Date],B474)),"")</f>
        <v>1</v>
      </c>
      <c r="D474" cm="1">
        <f t="array" ref="D474">IFERROR(IF(SUMPRODUCT((expected_production[Site Name]=A474)*(expected_production[Date]=B474)*ISNUMBER(expected_production[Expected Production (kWh)]))=0,"",SUMIFS(expected_production[Expected Production (kWh)],expected_production[Site Name],A474,expected_production[Date],B474)),"")</f>
        <v>3522.57</v>
      </c>
      <c r="E474" s="9">
        <f t="shared" si="14"/>
        <v>2.8388364177291012E-4</v>
      </c>
      <c r="F474" t="str">
        <f t="shared" si="15"/>
        <v>Poor</v>
      </c>
    </row>
    <row r="475" spans="1:6" ht="15" customHeight="1" x14ac:dyDescent="0.3">
      <c r="A475" t="s">
        <v>90</v>
      </c>
      <c r="B475" s="2">
        <v>45444</v>
      </c>
      <c r="C475" cm="1">
        <f t="array" ref="C475">IFERROR(IF(SUMPRODUCT((measured[Site Name]=A475)*(measured[Date]=B475)*ISNUMBER(measured[Measured Value (kWh)]))=0,"",SUMIFS(measured[Measured Value (kWh)],measured[Site Name],A475,measured[Date],B475)),"")</f>
        <v>3309</v>
      </c>
      <c r="D475" cm="1">
        <f t="array" ref="D475">IFERROR(IF(SUMPRODUCT((expected_production[Site Name]=A475)*(expected_production[Date]=B475)*ISNUMBER(expected_production[Expected Production (kWh)]))=0,"",SUMIFS(expected_production[Expected Production (kWh)],expected_production[Site Name],A475,expected_production[Date],B475)),"")</f>
        <v>3187.9250000000002</v>
      </c>
      <c r="E475" s="9">
        <f t="shared" si="14"/>
        <v>1.0379792498255134</v>
      </c>
      <c r="F475" t="str">
        <f t="shared" si="15"/>
        <v>Expected</v>
      </c>
    </row>
    <row r="476" spans="1:6" ht="15" customHeight="1" x14ac:dyDescent="0.3">
      <c r="A476" t="s">
        <v>90</v>
      </c>
      <c r="B476" s="2">
        <v>45474</v>
      </c>
      <c r="C476" cm="1">
        <f t="array" ref="C476">IFERROR(IF(SUMPRODUCT((measured[Site Name]=A476)*(measured[Date]=B476)*ISNUMBER(measured[Measured Value (kWh)]))=0,"",SUMIFS(measured[Measured Value (kWh)],measured[Site Name],A476,measured[Date],B476)),"")</f>
        <v>2293</v>
      </c>
      <c r="D476" cm="1">
        <f t="array" ref="D476">IFERROR(IF(SUMPRODUCT((expected_production[Site Name]=A476)*(expected_production[Date]=B476)*ISNUMBER(expected_production[Expected Production (kWh)]))=0,"",SUMIFS(expected_production[Expected Production (kWh)],expected_production[Site Name],A476,expected_production[Date],B476)),"")</f>
        <v>3416.15</v>
      </c>
      <c r="E476" s="9">
        <f t="shared" si="14"/>
        <v>0.67122345330269451</v>
      </c>
      <c r="F476" t="str">
        <f t="shared" si="15"/>
        <v>Poor</v>
      </c>
    </row>
    <row r="477" spans="1:6" ht="15" customHeight="1" x14ac:dyDescent="0.3">
      <c r="A477" t="s">
        <v>90</v>
      </c>
      <c r="B477" s="2">
        <v>45505</v>
      </c>
      <c r="C477" cm="1">
        <f t="array" ref="C477">IFERROR(IF(SUMPRODUCT((measured[Site Name]=A477)*(measured[Date]=B477)*ISNUMBER(measured[Measured Value (kWh)]))=0,"",SUMIFS(measured[Measured Value (kWh)],measured[Site Name],A477,measured[Date],B477)),"")</f>
        <v>1967</v>
      </c>
      <c r="D477" cm="1">
        <f t="array" ref="D477">IFERROR(IF(SUMPRODUCT((expected_production[Site Name]=A477)*(expected_production[Date]=B477)*ISNUMBER(expected_production[Expected Production (kWh)]))=0,"",SUMIFS(expected_production[Expected Production (kWh)],expected_production[Site Name],A477,expected_production[Date],B477)),"")</f>
        <v>3857.0450000000001</v>
      </c>
      <c r="E477" s="9">
        <f t="shared" si="14"/>
        <v>0.50997590124045744</v>
      </c>
      <c r="F477" t="str">
        <f t="shared" si="15"/>
        <v>Poor</v>
      </c>
    </row>
    <row r="478" spans="1:6" ht="15" customHeight="1" x14ac:dyDescent="0.3">
      <c r="A478" t="s">
        <v>90</v>
      </c>
      <c r="B478" s="2">
        <v>45536</v>
      </c>
      <c r="C478" cm="1">
        <f t="array" ref="C478">IFERROR(IF(SUMPRODUCT((measured[Site Name]=A478)*(measured[Date]=B478)*ISNUMBER(measured[Measured Value (kWh)]))=0,"",SUMIFS(measured[Measured Value (kWh)],measured[Site Name],A478,measured[Date],B478)),"")</f>
        <v>3009</v>
      </c>
      <c r="D478" cm="1">
        <f t="array" ref="D478">IFERROR(IF(SUMPRODUCT((expected_production[Site Name]=A478)*(expected_production[Date]=B478)*ISNUMBER(expected_production[Expected Production (kWh)]))=0,"",SUMIFS(expected_production[Expected Production (kWh)],expected_production[Site Name],A478,expected_production[Date],B478)),"")</f>
        <v>3805.7049999999999</v>
      </c>
      <c r="E478" s="9">
        <f t="shared" si="14"/>
        <v>0.79065508230406722</v>
      </c>
      <c r="F478" t="str">
        <f t="shared" si="15"/>
        <v>Moderate</v>
      </c>
    </row>
    <row r="479" spans="1:6" ht="15" customHeight="1" x14ac:dyDescent="0.3">
      <c r="A479" t="s">
        <v>90</v>
      </c>
      <c r="B479" s="2">
        <v>45566</v>
      </c>
      <c r="C479" cm="1">
        <f t="array" ref="C479">IFERROR(IF(SUMPRODUCT((measured[Site Name]=A479)*(measured[Date]=B479)*ISNUMBER(measured[Measured Value (kWh)]))=0,"",SUMIFS(measured[Measured Value (kWh)],measured[Site Name],A479,measured[Date],B479)),"")</f>
        <v>4500</v>
      </c>
      <c r="D479" cm="1">
        <f t="array" ref="D479">IFERROR(IF(SUMPRODUCT((expected_production[Site Name]=A479)*(expected_production[Date]=B479)*ISNUMBER(expected_production[Expected Production (kWh)]))=0,"",SUMIFS(expected_production[Expected Production (kWh)],expected_production[Site Name],A479,expected_production[Date],B479)),"")</f>
        <v>4238.6949999999997</v>
      </c>
      <c r="E479" s="9">
        <f t="shared" si="14"/>
        <v>1.0616475117931345</v>
      </c>
      <c r="F479" t="str">
        <f t="shared" si="15"/>
        <v>Expected</v>
      </c>
    </row>
    <row r="480" spans="1:6" ht="15" customHeight="1" x14ac:dyDescent="0.3">
      <c r="A480" t="s">
        <v>90</v>
      </c>
      <c r="B480" s="2">
        <v>45597</v>
      </c>
      <c r="C480" cm="1">
        <f t="array" ref="C480">IFERROR(IF(SUMPRODUCT((measured[Site Name]=A480)*(measured[Date]=B480)*ISNUMBER(measured[Measured Value (kWh)]))=0,"",SUMIFS(measured[Measured Value (kWh)],measured[Site Name],A480,measured[Date],B480)),"")</f>
        <v>3918</v>
      </c>
      <c r="D480" cm="1">
        <f t="array" ref="D480">IFERROR(IF(SUMPRODUCT((expected_production[Site Name]=A480)*(expected_production[Date]=B480)*ISNUMBER(expected_production[Expected Production (kWh)]))=0,"",SUMIFS(expected_production[Expected Production (kWh)],expected_production[Site Name],A480,expected_production[Date],B480)),"")</f>
        <v>4335.34</v>
      </c>
      <c r="E480" s="9">
        <f t="shared" ref="E480:E543" si="16">IF(OR(C480="",D480="",D480=0),"",C480/D480)</f>
        <v>0.90373534717000281</v>
      </c>
      <c r="F480" t="str">
        <f t="shared" ref="F480:F543" si="17">IF(E480="","",IF(E480&gt;=0.9,"Expected",IF(E480&gt;=0.7,"Moderate","Poor")))</f>
        <v>Expected</v>
      </c>
    </row>
    <row r="481" spans="1:6" ht="15" customHeight="1" x14ac:dyDescent="0.3">
      <c r="A481" t="s">
        <v>90</v>
      </c>
      <c r="B481" s="2">
        <v>45627</v>
      </c>
      <c r="C481" cm="1">
        <f t="array" ref="C481">IFERROR(IF(SUMPRODUCT((measured[Site Name]=A481)*(measured[Date]=B481)*ISNUMBER(measured[Measured Value (kWh)]))=0,"",SUMIFS(measured[Measured Value (kWh)],measured[Site Name],A481,measured[Date],B481)),"")</f>
        <v>2583</v>
      </c>
      <c r="D481" cm="1">
        <f t="array" ref="D481">IFERROR(IF(SUMPRODUCT((expected_production[Site Name]=A481)*(expected_production[Date]=B481)*ISNUMBER(expected_production[Expected Production (kWh)]))=0,"",SUMIFS(expected_production[Expected Production (kWh)],expected_production[Site Name],A481,expected_production[Date],B481)),"")</f>
        <v>5058.01</v>
      </c>
      <c r="E481" s="9">
        <f t="shared" si="16"/>
        <v>0.51067514694514249</v>
      </c>
      <c r="F481" t="str">
        <f t="shared" si="17"/>
        <v>Poor</v>
      </c>
    </row>
    <row r="482" spans="1:6" ht="15" customHeight="1" x14ac:dyDescent="0.3">
      <c r="A482" t="s">
        <v>90</v>
      </c>
      <c r="B482" s="2">
        <v>45658</v>
      </c>
      <c r="C482" cm="1">
        <f t="array" ref="C482">IFERROR(IF(SUMPRODUCT((measured[Site Name]=A482)*(measured[Date]=B482)*ISNUMBER(measured[Measured Value (kWh)]))=0,"",SUMIFS(measured[Measured Value (kWh)],measured[Site Name],A482,measured[Date],B482)),"")</f>
        <v>3426</v>
      </c>
      <c r="D482" cm="1">
        <f t="array" ref="D482">IFERROR(IF(SUMPRODUCT((expected_production[Site Name]=A482)*(expected_production[Date]=B482)*ISNUMBER(expected_production[Expected Production (kWh)]))=0,"",SUMIFS(expected_production[Expected Production (kWh)],expected_production[Site Name],A482,expected_production[Date],B482)),"")</f>
        <v>4897.0200000000004</v>
      </c>
      <c r="E482" s="9">
        <f t="shared" si="16"/>
        <v>0.69960915005452284</v>
      </c>
      <c r="F482" t="str">
        <f t="shared" si="17"/>
        <v>Poor</v>
      </c>
    </row>
    <row r="483" spans="1:6" ht="15" customHeight="1" x14ac:dyDescent="0.3">
      <c r="A483" t="s">
        <v>90</v>
      </c>
      <c r="B483" s="2">
        <v>45689</v>
      </c>
      <c r="C483" cm="1">
        <f t="array" ref="C483">IFERROR(IF(SUMPRODUCT((measured[Site Name]=A483)*(measured[Date]=B483)*ISNUMBER(measured[Measured Value (kWh)]))=0,"",SUMIFS(measured[Measured Value (kWh)],measured[Site Name],A483,measured[Date],B483)),"")</f>
        <v>3380.46</v>
      </c>
      <c r="D483" cm="1">
        <f t="array" ref="D483">IFERROR(IF(SUMPRODUCT((expected_production[Site Name]=A483)*(expected_production[Date]=B483)*ISNUMBER(expected_production[Expected Production (kWh)]))=0,"",SUMIFS(expected_production[Expected Production (kWh)],expected_production[Site Name],A483,expected_production[Date],B483)),"")</f>
        <v>4496.2449999999999</v>
      </c>
      <c r="E483" s="9">
        <f t="shared" si="16"/>
        <v>0.75184070263075076</v>
      </c>
      <c r="F483" t="str">
        <f t="shared" si="17"/>
        <v>Moderate</v>
      </c>
    </row>
    <row r="484" spans="1:6" ht="15" customHeight="1" x14ac:dyDescent="0.3">
      <c r="A484" t="s">
        <v>90</v>
      </c>
      <c r="B484" s="2">
        <v>45717</v>
      </c>
      <c r="C484" cm="1">
        <f t="array" ref="C484">IFERROR(IF(SUMPRODUCT((measured[Site Name]=A484)*(measured[Date]=B484)*ISNUMBER(measured[Measured Value (kWh)]))=0,"",SUMIFS(measured[Measured Value (kWh)],measured[Site Name],A484,measured[Date],B484)),"")</f>
        <v>3717</v>
      </c>
      <c r="D484" cm="1">
        <f t="array" ref="D484">IFERROR(IF(SUMPRODUCT((expected_production[Site Name]=A484)*(expected_production[Date]=B484)*ISNUMBER(expected_production[Expected Production (kWh)]))=0,"",SUMIFS(expected_production[Expected Production (kWh)],expected_production[Site Name],A484,expected_production[Date],B484)),"")</f>
        <v>4548.6049999999996</v>
      </c>
      <c r="E484" s="9">
        <f t="shared" si="16"/>
        <v>0.81717361696608093</v>
      </c>
      <c r="F484" t="str">
        <f t="shared" si="17"/>
        <v>Moderate</v>
      </c>
    </row>
    <row r="485" spans="1:6" ht="15" customHeight="1" x14ac:dyDescent="0.3">
      <c r="A485" t="s">
        <v>90</v>
      </c>
      <c r="B485" s="2">
        <v>45748</v>
      </c>
      <c r="C485" cm="1">
        <f t="array" ref="C485">IFERROR(IF(SUMPRODUCT((measured[Site Name]=A485)*(measured[Date]=B485)*ISNUMBER(measured[Measured Value (kWh)]))=0,"",SUMIFS(measured[Measured Value (kWh)],measured[Site Name],A485,measured[Date],B485)),"")</f>
        <v>2027</v>
      </c>
      <c r="D485" cm="1">
        <f t="array" ref="D485">IFERROR(IF(SUMPRODUCT((expected_production[Site Name]=A485)*(expected_production[Date]=B485)*ISNUMBER(expected_production[Expected Production (kWh)]))=0,"",SUMIFS(expected_production[Expected Production (kWh)],expected_production[Site Name],A485,expected_production[Date],B485)),"")</f>
        <v>3805.1950000000002</v>
      </c>
      <c r="E485" s="9">
        <f t="shared" si="16"/>
        <v>0.53269280549354237</v>
      </c>
      <c r="F485" t="str">
        <f t="shared" si="17"/>
        <v>Poor</v>
      </c>
    </row>
    <row r="486" spans="1:6" ht="15" customHeight="1" x14ac:dyDescent="0.3">
      <c r="A486" t="s">
        <v>90</v>
      </c>
      <c r="B486" s="2">
        <v>45778</v>
      </c>
      <c r="C486" cm="1">
        <f t="array" ref="C486">IFERROR(IF(SUMPRODUCT((measured[Site Name]=A486)*(measured[Date]=B486)*ISNUMBER(measured[Measured Value (kWh)]))=0,"",SUMIFS(measured[Measured Value (kWh)],measured[Site Name],A486,measured[Date],B486)),"")</f>
        <v>3199</v>
      </c>
      <c r="D486" cm="1">
        <f t="array" ref="D486">IFERROR(IF(SUMPRODUCT((expected_production[Site Name]=A486)*(expected_production[Date]=B486)*ISNUMBER(expected_production[Expected Production (kWh)]))=0,"",SUMIFS(expected_production[Expected Production (kWh)],expected_production[Site Name],A486,expected_production[Date],B486)),"")</f>
        <v>3522.57</v>
      </c>
      <c r="E486" s="9">
        <f t="shared" si="16"/>
        <v>0.90814377003153945</v>
      </c>
      <c r="F486" t="str">
        <f t="shared" si="17"/>
        <v>Expected</v>
      </c>
    </row>
    <row r="487" spans="1:6" ht="15" customHeight="1" x14ac:dyDescent="0.3">
      <c r="A487" t="s">
        <v>90</v>
      </c>
      <c r="B487" s="2">
        <v>45809</v>
      </c>
      <c r="C487" cm="1">
        <f t="array" ref="C487">IFERROR(IF(SUMPRODUCT((measured[Site Name]=A487)*(measured[Date]=B487)*ISNUMBER(measured[Measured Value (kWh)]))=0,"",SUMIFS(measured[Measured Value (kWh)],measured[Site Name],A487,measured[Date],B487)),"")</f>
        <v>2899.41</v>
      </c>
      <c r="D487" cm="1">
        <f t="array" ref="D487">IFERROR(IF(SUMPRODUCT((expected_production[Site Name]=A487)*(expected_production[Date]=B487)*ISNUMBER(expected_production[Expected Production (kWh)]))=0,"",SUMIFS(expected_production[Expected Production (kWh)],expected_production[Site Name],A487,expected_production[Date],B487)),"")</f>
        <v>3187.9250000000002</v>
      </c>
      <c r="E487" s="9">
        <f t="shared" si="16"/>
        <v>0.90949755718845315</v>
      </c>
      <c r="F487" t="str">
        <f t="shared" si="17"/>
        <v>Expected</v>
      </c>
    </row>
    <row r="488" spans="1:6" ht="15" customHeight="1" x14ac:dyDescent="0.3">
      <c r="A488" t="s">
        <v>90</v>
      </c>
      <c r="B488" s="2">
        <v>45839</v>
      </c>
      <c r="C488" cm="1">
        <f t="array" ref="C488">IFERROR(IF(SUMPRODUCT((measured[Site Name]=A488)*(measured[Date]=B488)*ISNUMBER(measured[Measured Value (kWh)]))=0,"",SUMIFS(measured[Measured Value (kWh)],measured[Site Name],A488,measured[Date],B488)),"")</f>
        <v>3705</v>
      </c>
      <c r="D488" cm="1">
        <f t="array" ref="D488">IFERROR(IF(SUMPRODUCT((expected_production[Site Name]=A488)*(expected_production[Date]=B488)*ISNUMBER(expected_production[Expected Production (kWh)]))=0,"",SUMIFS(expected_production[Expected Production (kWh)],expected_production[Site Name],A488,expected_production[Date],B488)),"")</f>
        <v>3416.15</v>
      </c>
      <c r="E488" s="9">
        <f t="shared" si="16"/>
        <v>1.0845542496670229</v>
      </c>
      <c r="F488" t="str">
        <f t="shared" si="17"/>
        <v>Expected</v>
      </c>
    </row>
    <row r="489" spans="1:6" ht="15" customHeight="1" x14ac:dyDescent="0.3">
      <c r="A489" t="s">
        <v>90</v>
      </c>
      <c r="B489" s="2">
        <v>45870</v>
      </c>
      <c r="C489" cm="1">
        <f t="array" ref="C489">IFERROR(IF(SUMPRODUCT((measured[Site Name]=A489)*(measured[Date]=B489)*ISNUMBER(measured[Measured Value (kWh)]))=0,"",SUMIFS(measured[Measured Value (kWh)],measured[Site Name],A489,measured[Date],B489)),"")</f>
        <v>4242</v>
      </c>
      <c r="D489" cm="1">
        <f t="array" ref="D489">IFERROR(IF(SUMPRODUCT((expected_production[Site Name]=A489)*(expected_production[Date]=B489)*ISNUMBER(expected_production[Expected Production (kWh)]))=0,"",SUMIFS(expected_production[Expected Production (kWh)],expected_production[Site Name],A489,expected_production[Date],B489)),"")</f>
        <v>3857.0450000000001</v>
      </c>
      <c r="E489" s="9">
        <f t="shared" si="16"/>
        <v>1.0998056802552212</v>
      </c>
      <c r="F489" t="str">
        <f t="shared" si="17"/>
        <v>Expected</v>
      </c>
    </row>
    <row r="490" spans="1:6" ht="15" customHeight="1" x14ac:dyDescent="0.3">
      <c r="A490" t="s">
        <v>90</v>
      </c>
      <c r="B490" s="2">
        <v>45901</v>
      </c>
      <c r="C490" cm="1">
        <f t="array" ref="C490">IFERROR(IF(SUMPRODUCT((measured[Site Name]=A490)*(measured[Date]=B490)*ISNUMBER(measured[Measured Value (kWh)]))=0,"",SUMIFS(measured[Measured Value (kWh)],measured[Site Name],A490,measured[Date],B490)),"")</f>
        <v>3928</v>
      </c>
      <c r="D490" cm="1">
        <f t="array" ref="D490">IFERROR(IF(SUMPRODUCT((expected_production[Site Name]=A490)*(expected_production[Date]=B490)*ISNUMBER(expected_production[Expected Production (kWh)]))=0,"",SUMIFS(expected_production[Expected Production (kWh)],expected_production[Site Name],A490,expected_production[Date],B490)),"")</f>
        <v>3805.7049999999999</v>
      </c>
      <c r="E490" s="9">
        <f t="shared" si="16"/>
        <v>1.0321346504786892</v>
      </c>
      <c r="F490" t="str">
        <f t="shared" si="17"/>
        <v>Expected</v>
      </c>
    </row>
    <row r="491" spans="1:6" ht="15" customHeight="1" x14ac:dyDescent="0.3">
      <c r="A491" t="s">
        <v>90</v>
      </c>
      <c r="B491" s="2">
        <v>45931</v>
      </c>
      <c r="C491" cm="1">
        <f t="array" ref="C491">IFERROR(IF(SUMPRODUCT((measured[Site Name]=A491)*(measured[Date]=B491)*ISNUMBER(measured[Measured Value (kWh)]))=0,"",SUMIFS(measured[Measured Value (kWh)],measured[Site Name],A491,measured[Date],B491)),"")</f>
        <v>4810</v>
      </c>
      <c r="D491" cm="1">
        <f t="array" ref="D491">IFERROR(IF(SUMPRODUCT((expected_production[Site Name]=A491)*(expected_production[Date]=B491)*ISNUMBER(expected_production[Expected Production (kWh)]))=0,"",SUMIFS(expected_production[Expected Production (kWh)],expected_production[Site Name],A491,expected_production[Date],B491)),"")</f>
        <v>4238.6949999999997</v>
      </c>
      <c r="E491" s="9">
        <f t="shared" si="16"/>
        <v>1.1347832292722171</v>
      </c>
      <c r="F491" t="str">
        <f t="shared" si="17"/>
        <v>Expected</v>
      </c>
    </row>
    <row r="492" spans="1:6" ht="15" customHeight="1" x14ac:dyDescent="0.3">
      <c r="A492" t="s">
        <v>90</v>
      </c>
      <c r="B492" s="2">
        <v>45962</v>
      </c>
      <c r="C492" cm="1">
        <f t="array" ref="C492">IFERROR(IF(SUMPRODUCT((measured[Site Name]=A492)*(measured[Date]=B492)*ISNUMBER(measured[Measured Value (kWh)]))=0,"",SUMIFS(measured[Measured Value (kWh)],measured[Site Name],A492,measured[Date],B492)),"")</f>
        <v>5556</v>
      </c>
      <c r="D492" cm="1">
        <f t="array" ref="D492">IFERROR(IF(SUMPRODUCT((expected_production[Site Name]=A492)*(expected_production[Date]=B492)*ISNUMBER(expected_production[Expected Production (kWh)]))=0,"",SUMIFS(expected_production[Expected Production (kWh)],expected_production[Site Name],A492,expected_production[Date],B492)),"")</f>
        <v>4335.34</v>
      </c>
      <c r="E492" s="9">
        <f t="shared" si="16"/>
        <v>1.2815603851139703</v>
      </c>
      <c r="F492" t="str">
        <f t="shared" si="17"/>
        <v>Expected</v>
      </c>
    </row>
    <row r="493" spans="1:6" ht="15" customHeight="1" x14ac:dyDescent="0.3">
      <c r="A493" t="s">
        <v>90</v>
      </c>
      <c r="B493" s="2">
        <v>45992</v>
      </c>
      <c r="C493" cm="1">
        <f t="array" ref="C493">IFERROR(IF(SUMPRODUCT((measured[Site Name]=A493)*(measured[Date]=B493)*ISNUMBER(measured[Measured Value (kWh)]))=0,"",SUMIFS(measured[Measured Value (kWh)],measured[Site Name],A493,measured[Date],B493)),"")</f>
        <v>5696</v>
      </c>
      <c r="D493" cm="1">
        <f t="array" ref="D493">IFERROR(IF(SUMPRODUCT((expected_production[Site Name]=A493)*(expected_production[Date]=B493)*ISNUMBER(expected_production[Expected Production (kWh)]))=0,"",SUMIFS(expected_production[Expected Production (kWh)],expected_production[Site Name],A493,expected_production[Date],B493)),"")</f>
        <v>5058.01</v>
      </c>
      <c r="E493" s="9">
        <f t="shared" si="16"/>
        <v>1.1261345865271124</v>
      </c>
      <c r="F493" t="str">
        <f t="shared" si="17"/>
        <v>Expected</v>
      </c>
    </row>
    <row r="494" spans="1:6" ht="15" customHeight="1" x14ac:dyDescent="0.3">
      <c r="A494" t="s">
        <v>90</v>
      </c>
      <c r="B494" s="2">
        <v>46023</v>
      </c>
      <c r="C494" cm="1">
        <f t="array" ref="C494">IFERROR(IF(SUMPRODUCT((measured[Site Name]=A494)*(measured[Date]=B494)*ISNUMBER(measured[Measured Value (kWh)]))=0,"",SUMIFS(measured[Measured Value (kWh)],measured[Site Name],A494,measured[Date],B494)),"")</f>
        <v>5960</v>
      </c>
      <c r="D494" cm="1">
        <f t="array" ref="D494">IFERROR(IF(SUMPRODUCT((expected_production[Site Name]=A494)*(expected_production[Date]=B494)*ISNUMBER(expected_production[Expected Production (kWh)]))=0,"",SUMIFS(expected_production[Expected Production (kWh)],expected_production[Site Name],A494,expected_production[Date],B494)),"")</f>
        <v>4897.0200000000004</v>
      </c>
      <c r="E494" s="9">
        <f t="shared" si="16"/>
        <v>1.2170667058741846</v>
      </c>
      <c r="F494" t="str">
        <f t="shared" si="17"/>
        <v>Expected</v>
      </c>
    </row>
    <row r="495" spans="1:6" ht="15" customHeight="1" x14ac:dyDescent="0.3">
      <c r="A495" t="s">
        <v>90</v>
      </c>
      <c r="B495" s="2">
        <v>46054</v>
      </c>
      <c r="C495" cm="1">
        <f t="array" ref="C495">IFERROR(IF(SUMPRODUCT((measured[Site Name]=A495)*(measured[Date]=B495)*ISNUMBER(measured[Measured Value (kWh)]))=0,"",SUMIFS(measured[Measured Value (kWh)],measured[Site Name],A495,measured[Date],B495)),"")</f>
        <v>5548</v>
      </c>
      <c r="D495" cm="1">
        <f t="array" ref="D495">IFERROR(IF(SUMPRODUCT((expected_production[Site Name]=A495)*(expected_production[Date]=B495)*ISNUMBER(expected_production[Expected Production (kWh)]))=0,"",SUMIFS(expected_production[Expected Production (kWh)],expected_production[Site Name],A495,expected_production[Date],B495)),"")</f>
        <v>4496.2449999999999</v>
      </c>
      <c r="E495" s="9">
        <f t="shared" si="16"/>
        <v>1.233918525347262</v>
      </c>
      <c r="F495" t="str">
        <f t="shared" si="17"/>
        <v>Expected</v>
      </c>
    </row>
    <row r="496" spans="1:6" ht="15" customHeight="1" x14ac:dyDescent="0.3">
      <c r="A496" t="s">
        <v>90</v>
      </c>
      <c r="B496" s="2">
        <v>46082</v>
      </c>
      <c r="C496" cm="1">
        <f t="array" ref="C496">IFERROR(IF(SUMPRODUCT((measured[Site Name]=A496)*(measured[Date]=B496)*ISNUMBER(measured[Measured Value (kWh)]))=0,"",SUMIFS(measured[Measured Value (kWh)],measured[Site Name],A496,measured[Date],B496)),"")</f>
        <v>5036</v>
      </c>
      <c r="D496" cm="1">
        <f t="array" ref="D496">IFERROR(IF(SUMPRODUCT((expected_production[Site Name]=A496)*(expected_production[Date]=B496)*ISNUMBER(expected_production[Expected Production (kWh)]))=0,"",SUMIFS(expected_production[Expected Production (kWh)],expected_production[Site Name],A496,expected_production[Date],B496)),"")</f>
        <v>4548.6049999999996</v>
      </c>
      <c r="E496" s="9">
        <f t="shared" si="16"/>
        <v>1.1071526325104071</v>
      </c>
      <c r="F496" t="str">
        <f t="shared" si="17"/>
        <v>Expected</v>
      </c>
    </row>
    <row r="497" spans="1:7" ht="15" customHeight="1" x14ac:dyDescent="0.3">
      <c r="A497" t="s">
        <v>90</v>
      </c>
      <c r="B497" s="2">
        <v>46113</v>
      </c>
      <c r="C497" s="5" cm="1">
        <f t="array" ref="C497">IFERROR(IF(SUMPRODUCT((measured[Site Name]=A497)*(measured[Date]=B497)*ISNUMBER(measured[Measured Value (kWh)]))=0,"",SUMIFS(measured[Measured Value (kWh)],measured[Site Name],A497,measured[Date],B497)),"")</f>
        <v>4183.2700000000004</v>
      </c>
      <c r="D497" cm="1">
        <f t="array" ref="D497">IFERROR(IF(SUMPRODUCT((expected_production[Site Name]=A497)*(expected_production[Date]=B497)*ISNUMBER(expected_production[Expected Production (kWh)]))=0,"",SUMIFS(expected_production[Expected Production (kWh)],expected_production[Site Name],A497,expected_production[Date],B497)),"")</f>
        <v>3805.1950000000002</v>
      </c>
      <c r="E497" s="9">
        <f t="shared" si="16"/>
        <v>1.0993575887700895</v>
      </c>
      <c r="F497" t="str">
        <f t="shared" si="17"/>
        <v>Expected</v>
      </c>
    </row>
    <row r="498" spans="1:7" ht="15" customHeight="1" x14ac:dyDescent="0.3">
      <c r="A498" t="s">
        <v>90</v>
      </c>
      <c r="B498" s="2">
        <v>46143</v>
      </c>
      <c r="C498" s="5" cm="1">
        <f t="array" ref="C498">IFERROR(IF(SUMPRODUCT((measured[Site Name]=A498)*(measured[Date]=B498)*ISNUMBER(measured[Measured Value (kWh)]))=0,"",SUMIFS(measured[Measured Value (kWh)],measured[Site Name],A498,measured[Date],B498)),"")</f>
        <v>4320</v>
      </c>
      <c r="D498" cm="1">
        <f t="array" ref="D498">IFERROR(IF(SUMPRODUCT((expected_production[Site Name]=A498)*(expected_production[Date]=B498)*ISNUMBER(expected_production[Expected Production (kWh)]))=0,"",SUMIFS(expected_production[Expected Production (kWh)],expected_production[Site Name],A498,expected_production[Date],B498)),"")</f>
        <v>3522.57</v>
      </c>
      <c r="E498" s="9">
        <f t="shared" si="16"/>
        <v>1.2263773324589717</v>
      </c>
      <c r="F498" t="str">
        <f t="shared" si="17"/>
        <v>Expected</v>
      </c>
    </row>
    <row r="499" spans="1:7" ht="15" customHeight="1" x14ac:dyDescent="0.3">
      <c r="A499" t="s">
        <v>90</v>
      </c>
      <c r="B499" s="2">
        <v>46174</v>
      </c>
      <c r="C499" cm="1">
        <f t="array" ref="C499">IFERROR(IF(SUMPRODUCT((measured[Site Name]=A499)*(measured[Date]=B499)*ISNUMBER(measured[Measured Value (kWh)]))=0,"",SUMIFS(measured[Measured Value (kWh)],measured[Site Name],A499,measured[Date],B499)),"")</f>
        <v>3510</v>
      </c>
      <c r="D499" cm="1">
        <f t="array" ref="D499">IFERROR(IF(SUMPRODUCT((expected_production[Site Name]=A499)*(expected_production[Date]=B499)*ISNUMBER(expected_production[Expected Production (kWh)]))=0,"",SUMIFS(expected_production[Expected Production (kWh)],expected_production[Site Name],A499,expected_production[Date],B499)),"")</f>
        <v>3187.9250000000002</v>
      </c>
      <c r="E499" s="9">
        <f t="shared" si="16"/>
        <v>1.1010296666326842</v>
      </c>
      <c r="F499" t="str">
        <f t="shared" si="17"/>
        <v>Expected</v>
      </c>
    </row>
    <row r="500" spans="1:7" ht="15" customHeight="1" x14ac:dyDescent="0.3">
      <c r="A500" t="s">
        <v>81</v>
      </c>
      <c r="B500" s="2">
        <v>46204</v>
      </c>
      <c r="C500" cm="1">
        <f t="array" ref="C500">IFERROR(IF(SUMPRODUCT((measured[Site Name]=A500)*(measured[Date]=B500)*ISNUMBER(measured[Measured Value (kWh)]))=0,"",SUMIFS(measured[Measured Value (kWh)],measured[Site Name],A500,measured[Date],B500)),"")</f>
        <v>5573.8</v>
      </c>
      <c r="D500" cm="1">
        <f t="array" ref="D500">IFERROR(IF(SUMPRODUCT((expected_production[Site Name]=A500)*(expected_production[Date]=B500)*ISNUMBER(expected_production[Expected Production (kWh)]))=0,"",SUMIFS(expected_production[Expected Production (kWh)],expected_production[Site Name],A500,expected_production[Date],B500)),"")</f>
        <v>5372.1</v>
      </c>
      <c r="E500" s="9">
        <f t="shared" si="16"/>
        <v>1.037545838685058</v>
      </c>
      <c r="F500" t="str">
        <f t="shared" si="17"/>
        <v>Expected</v>
      </c>
      <c r="G500" t="s">
        <v>874</v>
      </c>
    </row>
    <row r="501" spans="1:7" ht="15" customHeight="1" x14ac:dyDescent="0.3">
      <c r="A501" t="s">
        <v>90</v>
      </c>
      <c r="B501" s="2">
        <v>46235</v>
      </c>
      <c r="C501" t="str" cm="1">
        <f t="array" ref="C501">IFERROR(IF(SUMPRODUCT((measured[Site Name]=A501)*(measured[Date]=B501)*ISNUMBER(measured[Measured Value (kWh)]))=0,"",SUMIFS(measured[Measured Value (kWh)],measured[Site Name],A501,measured[Date],B501)),"")</f>
        <v/>
      </c>
      <c r="D501" cm="1">
        <f t="array" ref="D501">IFERROR(IF(SUMPRODUCT((expected_production[Site Name]=A501)*(expected_production[Date]=B501)*ISNUMBER(expected_production[Expected Production (kWh)]))=0,"",SUMIFS(expected_production[Expected Production (kWh)],expected_production[Site Name],A501,expected_production[Date],B501)),"")</f>
        <v>3857.0450000000001</v>
      </c>
      <c r="E501" s="9" t="str">
        <f t="shared" si="16"/>
        <v/>
      </c>
      <c r="F501" t="str">
        <f t="shared" si="17"/>
        <v/>
      </c>
    </row>
    <row r="502" spans="1:7" ht="15" customHeight="1" x14ac:dyDescent="0.3">
      <c r="A502" t="s">
        <v>90</v>
      </c>
      <c r="B502" s="2">
        <v>46266</v>
      </c>
      <c r="C502" t="str" cm="1">
        <f t="array" ref="C502">IFERROR(IF(SUMPRODUCT((measured[Site Name]=A502)*(measured[Date]=B502)*ISNUMBER(measured[Measured Value (kWh)]))=0,"",SUMIFS(measured[Measured Value (kWh)],measured[Site Name],A502,measured[Date],B502)),"")</f>
        <v/>
      </c>
      <c r="D502" cm="1">
        <f t="array" ref="D502">IFERROR(IF(SUMPRODUCT((expected_production[Site Name]=A502)*(expected_production[Date]=B502)*ISNUMBER(expected_production[Expected Production (kWh)]))=0,"",SUMIFS(expected_production[Expected Production (kWh)],expected_production[Site Name],A502,expected_production[Date],B502)),"")</f>
        <v>3805.7049999999999</v>
      </c>
      <c r="E502" s="9" t="str">
        <f t="shared" si="16"/>
        <v/>
      </c>
      <c r="F502" t="str">
        <f t="shared" si="17"/>
        <v/>
      </c>
    </row>
    <row r="503" spans="1:7" ht="15" customHeight="1" x14ac:dyDescent="0.3">
      <c r="A503" t="s">
        <v>90</v>
      </c>
      <c r="B503" s="2">
        <v>46296</v>
      </c>
      <c r="C503" t="str" cm="1">
        <f t="array" ref="C503">IFERROR(IF(SUMPRODUCT((measured[Site Name]=A503)*(measured[Date]=B503)*ISNUMBER(measured[Measured Value (kWh)]))=0,"",SUMIFS(measured[Measured Value (kWh)],measured[Site Name],A503,measured[Date],B503)),"")</f>
        <v/>
      </c>
      <c r="D503" cm="1">
        <f t="array" ref="D503">IFERROR(IF(SUMPRODUCT((expected_production[Site Name]=A503)*(expected_production[Date]=B503)*ISNUMBER(expected_production[Expected Production (kWh)]))=0,"",SUMIFS(expected_production[Expected Production (kWh)],expected_production[Site Name],A503,expected_production[Date],B503)),"")</f>
        <v>4238.6949999999997</v>
      </c>
      <c r="E503" s="9" t="str">
        <f t="shared" si="16"/>
        <v/>
      </c>
      <c r="F503" t="str">
        <f t="shared" si="17"/>
        <v/>
      </c>
    </row>
    <row r="504" spans="1:7" ht="15" customHeight="1" x14ac:dyDescent="0.3">
      <c r="A504" t="s">
        <v>90</v>
      </c>
      <c r="B504" s="2">
        <v>46327</v>
      </c>
      <c r="C504" t="str" cm="1">
        <f t="array" ref="C504">IFERROR(IF(SUMPRODUCT((measured[Site Name]=A504)*(measured[Date]=B504)*ISNUMBER(measured[Measured Value (kWh)]))=0,"",SUMIFS(measured[Measured Value (kWh)],measured[Site Name],A504,measured[Date],B504)),"")</f>
        <v/>
      </c>
      <c r="D504" cm="1">
        <f t="array" ref="D504">IFERROR(IF(SUMPRODUCT((expected_production[Site Name]=A504)*(expected_production[Date]=B504)*ISNUMBER(expected_production[Expected Production (kWh)]))=0,"",SUMIFS(expected_production[Expected Production (kWh)],expected_production[Site Name],A504,expected_production[Date],B504)),"")</f>
        <v>4335.34</v>
      </c>
      <c r="E504" s="9" t="str">
        <f t="shared" si="16"/>
        <v/>
      </c>
      <c r="F504" t="str">
        <f t="shared" si="17"/>
        <v/>
      </c>
    </row>
    <row r="505" spans="1:7" ht="15" customHeight="1" x14ac:dyDescent="0.3">
      <c r="A505" t="s">
        <v>90</v>
      </c>
      <c r="B505" s="2">
        <v>46357</v>
      </c>
      <c r="C505" t="str" cm="1">
        <f t="array" ref="C505">IFERROR(IF(SUMPRODUCT((measured[Site Name]=A505)*(measured[Date]=B505)*ISNUMBER(measured[Measured Value (kWh)]))=0,"",SUMIFS(measured[Measured Value (kWh)],measured[Site Name],A505,measured[Date],B505)),"")</f>
        <v/>
      </c>
      <c r="D505" cm="1">
        <f t="array" ref="D505">IFERROR(IF(SUMPRODUCT((expected_production[Site Name]=A505)*(expected_production[Date]=B505)*ISNUMBER(expected_production[Expected Production (kWh)]))=0,"",SUMIFS(expected_production[Expected Production (kWh)],expected_production[Site Name],A505,expected_production[Date],B505)),"")</f>
        <v>5058.01</v>
      </c>
      <c r="E505" s="9" t="str">
        <f t="shared" si="16"/>
        <v/>
      </c>
      <c r="F505" t="str">
        <f t="shared" si="17"/>
        <v/>
      </c>
    </row>
    <row r="506" spans="1:7" ht="15" customHeight="1" x14ac:dyDescent="0.3">
      <c r="A506" t="s">
        <v>93</v>
      </c>
      <c r="B506" s="2">
        <v>45292</v>
      </c>
      <c r="C506" t="str" cm="1">
        <f t="array" ref="C506">IFERROR(IF(SUMPRODUCT((measured[Site Name]=A506)*(measured[Date]=B506)*ISNUMBER(measured[Measured Value (kWh)]))=0,"",SUMIFS(measured[Measured Value (kWh)],measured[Site Name],A506,measured[Date],B506)),"")</f>
        <v/>
      </c>
      <c r="D506" cm="1">
        <f t="array" ref="D506">IFERROR(IF(SUMPRODUCT((expected_production[Site Name]=A506)*(expected_production[Date]=B506)*ISNUMBER(expected_production[Expected Production (kWh)]))=0,"",SUMIFS(expected_production[Expected Production (kWh)],expected_production[Site Name],A506,expected_production[Date],B506)),"")</f>
        <v>11798.1</v>
      </c>
      <c r="E506" s="9" t="str">
        <f t="shared" si="16"/>
        <v/>
      </c>
      <c r="F506" t="str">
        <f t="shared" si="17"/>
        <v/>
      </c>
    </row>
    <row r="507" spans="1:7" ht="15" customHeight="1" x14ac:dyDescent="0.3">
      <c r="A507" t="s">
        <v>93</v>
      </c>
      <c r="B507" s="2">
        <v>45323</v>
      </c>
      <c r="C507" t="str" cm="1">
        <f t="array" ref="C507">IFERROR(IF(SUMPRODUCT((measured[Site Name]=A507)*(measured[Date]=B507)*ISNUMBER(measured[Measured Value (kWh)]))=0,"",SUMIFS(measured[Measured Value (kWh)],measured[Site Name],A507,measured[Date],B507)),"")</f>
        <v/>
      </c>
      <c r="D507" cm="1">
        <f t="array" ref="D507">IFERROR(IF(SUMPRODUCT((expected_production[Site Name]=A507)*(expected_production[Date]=B507)*ISNUMBER(expected_production[Expected Production (kWh)]))=0,"",SUMIFS(expected_production[Expected Production (kWh)],expected_production[Site Name],A507,expected_production[Date],B507)),"")</f>
        <v>10269.9</v>
      </c>
      <c r="E507" s="9" t="str">
        <f t="shared" si="16"/>
        <v/>
      </c>
      <c r="F507" t="str">
        <f t="shared" si="17"/>
        <v/>
      </c>
    </row>
    <row r="508" spans="1:7" ht="15" customHeight="1" x14ac:dyDescent="0.3">
      <c r="A508" t="s">
        <v>93</v>
      </c>
      <c r="B508" s="2">
        <v>45352</v>
      </c>
      <c r="C508" t="str" cm="1">
        <f t="array" ref="C508">IFERROR(IF(SUMPRODUCT((measured[Site Name]=A508)*(measured[Date]=B508)*ISNUMBER(measured[Measured Value (kWh)]))=0,"",SUMIFS(measured[Measured Value (kWh)],measured[Site Name],A508,measured[Date],B508)),"")</f>
        <v/>
      </c>
      <c r="D508" cm="1">
        <f t="array" ref="D508">IFERROR(IF(SUMPRODUCT((expected_production[Site Name]=A508)*(expected_production[Date]=B508)*ISNUMBER(expected_production[Expected Production (kWh)]))=0,"",SUMIFS(expected_production[Expected Production (kWh)],expected_production[Site Name],A508,expected_production[Date],B508)),"")</f>
        <v>10571.4</v>
      </c>
      <c r="E508" s="9" t="str">
        <f t="shared" si="16"/>
        <v/>
      </c>
      <c r="F508" t="str">
        <f t="shared" si="17"/>
        <v/>
      </c>
    </row>
    <row r="509" spans="1:7" ht="15" customHeight="1" x14ac:dyDescent="0.3">
      <c r="A509" t="s">
        <v>93</v>
      </c>
      <c r="B509" s="2">
        <v>45383</v>
      </c>
      <c r="C509" t="str" cm="1">
        <f t="array" ref="C509">IFERROR(IF(SUMPRODUCT((measured[Site Name]=A509)*(measured[Date]=B509)*ISNUMBER(measured[Measured Value (kWh)]))=0,"",SUMIFS(measured[Measured Value (kWh)],measured[Site Name],A509,measured[Date],B509)),"")</f>
        <v/>
      </c>
      <c r="D509" cm="1">
        <f t="array" ref="D509">IFERROR(IF(SUMPRODUCT((expected_production[Site Name]=A509)*(expected_production[Date]=B509)*ISNUMBER(expected_production[Expected Production (kWh)]))=0,"",SUMIFS(expected_production[Expected Production (kWh)],expected_production[Site Name],A509,expected_production[Date],B509)),"")</f>
        <v>8335.7999999999993</v>
      </c>
      <c r="E509" s="9" t="str">
        <f t="shared" si="16"/>
        <v/>
      </c>
      <c r="F509" t="str">
        <f t="shared" si="17"/>
        <v/>
      </c>
    </row>
    <row r="510" spans="1:7" ht="15" customHeight="1" x14ac:dyDescent="0.3">
      <c r="A510" t="s">
        <v>93</v>
      </c>
      <c r="B510" s="2">
        <v>45413</v>
      </c>
      <c r="C510" t="str" cm="1">
        <f t="array" ref="C510">IFERROR(IF(SUMPRODUCT((measured[Site Name]=A510)*(measured[Date]=B510)*ISNUMBER(measured[Measured Value (kWh)]))=0,"",SUMIFS(measured[Measured Value (kWh)],measured[Site Name],A510,measured[Date],B510)),"")</f>
        <v/>
      </c>
      <c r="D510" cm="1">
        <f t="array" ref="D510">IFERROR(IF(SUMPRODUCT((expected_production[Site Name]=A510)*(expected_production[Date]=B510)*ISNUMBER(expected_production[Expected Production (kWh)]))=0,"",SUMIFS(expected_production[Expected Production (kWh)],expected_production[Site Name],A510,expected_production[Date],B510)),"")</f>
        <v>6723.9</v>
      </c>
      <c r="E510" s="9" t="str">
        <f t="shared" si="16"/>
        <v/>
      </c>
      <c r="F510" t="str">
        <f t="shared" si="17"/>
        <v/>
      </c>
    </row>
    <row r="511" spans="1:7" ht="15" customHeight="1" x14ac:dyDescent="0.3">
      <c r="A511" t="s">
        <v>93</v>
      </c>
      <c r="B511" s="2">
        <v>45444</v>
      </c>
      <c r="C511" t="str" cm="1">
        <f t="array" ref="C511">IFERROR(IF(SUMPRODUCT((measured[Site Name]=A511)*(measured[Date]=B511)*ISNUMBER(measured[Measured Value (kWh)]))=0,"",SUMIFS(measured[Measured Value (kWh)],measured[Site Name],A511,measured[Date],B511)),"")</f>
        <v/>
      </c>
      <c r="D511" cm="1">
        <f t="array" ref="D511">IFERROR(IF(SUMPRODUCT((expected_production[Site Name]=A511)*(expected_production[Date]=B511)*ISNUMBER(expected_production[Expected Production (kWh)]))=0,"",SUMIFS(expected_production[Expected Production (kWh)],expected_production[Site Name],A511,expected_production[Date],B511)),"")</f>
        <v>5859.9</v>
      </c>
      <c r="E511" s="9" t="str">
        <f t="shared" si="16"/>
        <v/>
      </c>
      <c r="F511" t="str">
        <f t="shared" si="17"/>
        <v/>
      </c>
    </row>
    <row r="512" spans="1:7" ht="15" customHeight="1" x14ac:dyDescent="0.3">
      <c r="A512" t="s">
        <v>93</v>
      </c>
      <c r="B512" s="2">
        <v>45474</v>
      </c>
      <c r="C512" t="str" cm="1">
        <f t="array" ref="C512">IFERROR(IF(SUMPRODUCT((measured[Site Name]=A512)*(measured[Date]=B512)*ISNUMBER(measured[Measured Value (kWh)]))=0,"",SUMIFS(measured[Measured Value (kWh)],measured[Site Name],A512,measured[Date],B512)),"")</f>
        <v/>
      </c>
      <c r="D512" cm="1">
        <f t="array" ref="D512">IFERROR(IF(SUMPRODUCT((expected_production[Site Name]=A512)*(expected_production[Date]=B512)*ISNUMBER(expected_production[Expected Production (kWh)]))=0,"",SUMIFS(expected_production[Expected Production (kWh)],expected_production[Site Name],A512,expected_production[Date],B512)),"")</f>
        <v>6453</v>
      </c>
      <c r="E512" s="9" t="str">
        <f t="shared" si="16"/>
        <v/>
      </c>
      <c r="F512" t="str">
        <f t="shared" si="17"/>
        <v/>
      </c>
    </row>
    <row r="513" spans="1:6" ht="15" customHeight="1" x14ac:dyDescent="0.3">
      <c r="A513" t="s">
        <v>93</v>
      </c>
      <c r="B513" s="2">
        <v>45505</v>
      </c>
      <c r="C513" t="str" cm="1">
        <f t="array" ref="C513">IFERROR(IF(SUMPRODUCT((measured[Site Name]=A513)*(measured[Date]=B513)*ISNUMBER(measured[Measured Value (kWh)]))=0,"",SUMIFS(measured[Measured Value (kWh)],measured[Site Name],A513,measured[Date],B513)),"")</f>
        <v/>
      </c>
      <c r="D513" cm="1">
        <f t="array" ref="D513">IFERROR(IF(SUMPRODUCT((expected_production[Site Name]=A513)*(expected_production[Date]=B513)*ISNUMBER(expected_production[Expected Production (kWh)]))=0,"",SUMIFS(expected_production[Expected Production (kWh)],expected_production[Site Name],A513,expected_production[Date],B513)),"")</f>
        <v>7491.6</v>
      </c>
      <c r="E513" s="9" t="str">
        <f t="shared" si="16"/>
        <v/>
      </c>
      <c r="F513" t="str">
        <f t="shared" si="17"/>
        <v/>
      </c>
    </row>
    <row r="514" spans="1:6" ht="15" customHeight="1" x14ac:dyDescent="0.3">
      <c r="A514" t="s">
        <v>93</v>
      </c>
      <c r="B514" s="2">
        <v>45536</v>
      </c>
      <c r="C514" t="str" cm="1">
        <f t="array" ref="C514">IFERROR(IF(SUMPRODUCT((measured[Site Name]=A514)*(measured[Date]=B514)*ISNUMBER(measured[Measured Value (kWh)]))=0,"",SUMIFS(measured[Measured Value (kWh)],measured[Site Name],A514,measured[Date],B514)),"")</f>
        <v/>
      </c>
      <c r="D514" cm="1">
        <f t="array" ref="D514">IFERROR(IF(SUMPRODUCT((expected_production[Site Name]=A514)*(expected_production[Date]=B514)*ISNUMBER(expected_production[Expected Production (kWh)]))=0,"",SUMIFS(expected_production[Expected Production (kWh)],expected_production[Site Name],A514,expected_production[Date],B514)),"")</f>
        <v>8864.1</v>
      </c>
      <c r="E514" s="9" t="str">
        <f t="shared" si="16"/>
        <v/>
      </c>
      <c r="F514" t="str">
        <f t="shared" si="17"/>
        <v/>
      </c>
    </row>
    <row r="515" spans="1:6" ht="15" customHeight="1" x14ac:dyDescent="0.3">
      <c r="A515" t="s">
        <v>93</v>
      </c>
      <c r="B515" s="2">
        <v>45566</v>
      </c>
      <c r="C515" t="str" cm="1">
        <f t="array" ref="C515">IFERROR(IF(SUMPRODUCT((measured[Site Name]=A515)*(measured[Date]=B515)*ISNUMBER(measured[Measured Value (kWh)]))=0,"",SUMIFS(measured[Measured Value (kWh)],measured[Site Name],A515,measured[Date],B515)),"")</f>
        <v/>
      </c>
      <c r="D515" cm="1">
        <f t="array" ref="D515">IFERROR(IF(SUMPRODUCT((expected_production[Site Name]=A515)*(expected_production[Date]=B515)*ISNUMBER(expected_production[Expected Production (kWh)]))=0,"",SUMIFS(expected_production[Expected Production (kWh)],expected_production[Site Name],A515,expected_production[Date],B515)),"")</f>
        <v>10361.700000000001</v>
      </c>
      <c r="E515" s="9" t="str">
        <f t="shared" si="16"/>
        <v/>
      </c>
      <c r="F515" t="str">
        <f t="shared" si="17"/>
        <v/>
      </c>
    </row>
    <row r="516" spans="1:6" ht="15" customHeight="1" x14ac:dyDescent="0.3">
      <c r="A516" t="s">
        <v>93</v>
      </c>
      <c r="B516" s="2">
        <v>45597</v>
      </c>
      <c r="C516" t="str" cm="1">
        <f t="array" ref="C516">IFERROR(IF(SUMPRODUCT((measured[Site Name]=A516)*(measured[Date]=B516)*ISNUMBER(measured[Measured Value (kWh)]))=0,"",SUMIFS(measured[Measured Value (kWh)],measured[Site Name],A516,measured[Date],B516)),"")</f>
        <v/>
      </c>
      <c r="D516" cm="1">
        <f t="array" ref="D516">IFERROR(IF(SUMPRODUCT((expected_production[Site Name]=A516)*(expected_production[Date]=B516)*ISNUMBER(expected_production[Expected Production (kWh)]))=0,"",SUMIFS(expected_production[Expected Production (kWh)],expected_production[Site Name],A516,expected_production[Date],B516)),"")</f>
        <v>10972.8</v>
      </c>
      <c r="E516" s="9" t="str">
        <f t="shared" si="16"/>
        <v/>
      </c>
      <c r="F516" t="str">
        <f t="shared" si="17"/>
        <v/>
      </c>
    </row>
    <row r="517" spans="1:6" ht="15" customHeight="1" x14ac:dyDescent="0.3">
      <c r="A517" t="s">
        <v>93</v>
      </c>
      <c r="B517" s="2">
        <v>45627</v>
      </c>
      <c r="C517" t="str" cm="1">
        <f t="array" ref="C517">IFERROR(IF(SUMPRODUCT((measured[Site Name]=A517)*(measured[Date]=B517)*ISNUMBER(measured[Measured Value (kWh)]))=0,"",SUMIFS(measured[Measured Value (kWh)],measured[Site Name],A517,measured[Date],B517)),"")</f>
        <v/>
      </c>
      <c r="D517" cm="1">
        <f t="array" ref="D517">IFERROR(IF(SUMPRODUCT((expected_production[Site Name]=A517)*(expected_production[Date]=B517)*ISNUMBER(expected_production[Expected Production (kWh)]))=0,"",SUMIFS(expected_production[Expected Production (kWh)],expected_production[Site Name],A517,expected_production[Date],B517)),"")</f>
        <v>11630.7</v>
      </c>
      <c r="E517" s="9" t="str">
        <f t="shared" si="16"/>
        <v/>
      </c>
      <c r="F517" t="str">
        <f t="shared" si="17"/>
        <v/>
      </c>
    </row>
    <row r="518" spans="1:6" ht="15" customHeight="1" x14ac:dyDescent="0.3">
      <c r="A518" t="s">
        <v>93</v>
      </c>
      <c r="B518" s="2">
        <v>45658</v>
      </c>
      <c r="C518" t="str" cm="1">
        <f t="array" ref="C518">IFERROR(IF(SUMPRODUCT((measured[Site Name]=A518)*(measured[Date]=B518)*ISNUMBER(measured[Measured Value (kWh)]))=0,"",SUMIFS(measured[Measured Value (kWh)],measured[Site Name],A518,measured[Date],B518)),"")</f>
        <v/>
      </c>
      <c r="D518" cm="1">
        <f t="array" ref="D518">IFERROR(IF(SUMPRODUCT((expected_production[Site Name]=A518)*(expected_production[Date]=B518)*ISNUMBER(expected_production[Expected Production (kWh)]))=0,"",SUMIFS(expected_production[Expected Production (kWh)],expected_production[Site Name],A518,expected_production[Date],B518)),"")</f>
        <v>11798.1</v>
      </c>
      <c r="E518" s="9" t="str">
        <f t="shared" si="16"/>
        <v/>
      </c>
      <c r="F518" t="str">
        <f t="shared" si="17"/>
        <v/>
      </c>
    </row>
    <row r="519" spans="1:6" ht="15" customHeight="1" x14ac:dyDescent="0.3">
      <c r="A519" t="s">
        <v>93</v>
      </c>
      <c r="B519" s="2">
        <v>45689</v>
      </c>
      <c r="C519" t="str" cm="1">
        <f t="array" ref="C519">IFERROR(IF(SUMPRODUCT((measured[Site Name]=A519)*(measured[Date]=B519)*ISNUMBER(measured[Measured Value (kWh)]))=0,"",SUMIFS(measured[Measured Value (kWh)],measured[Site Name],A519,measured[Date],B519)),"")</f>
        <v/>
      </c>
      <c r="D519" cm="1">
        <f t="array" ref="D519">IFERROR(IF(SUMPRODUCT((expected_production[Site Name]=A519)*(expected_production[Date]=B519)*ISNUMBER(expected_production[Expected Production (kWh)]))=0,"",SUMIFS(expected_production[Expected Production (kWh)],expected_production[Site Name],A519,expected_production[Date],B519)),"")</f>
        <v>10269.9</v>
      </c>
      <c r="E519" s="9" t="str">
        <f t="shared" si="16"/>
        <v/>
      </c>
      <c r="F519" t="str">
        <f t="shared" si="17"/>
        <v/>
      </c>
    </row>
    <row r="520" spans="1:6" ht="15" customHeight="1" x14ac:dyDescent="0.3">
      <c r="A520" t="s">
        <v>93</v>
      </c>
      <c r="B520" s="2">
        <v>45717</v>
      </c>
      <c r="C520" t="str" cm="1">
        <f t="array" ref="C520">IFERROR(IF(SUMPRODUCT((measured[Site Name]=A520)*(measured[Date]=B520)*ISNUMBER(measured[Measured Value (kWh)]))=0,"",SUMIFS(measured[Measured Value (kWh)],measured[Site Name],A520,measured[Date],B520)),"")</f>
        <v/>
      </c>
      <c r="D520" cm="1">
        <f t="array" ref="D520">IFERROR(IF(SUMPRODUCT((expected_production[Site Name]=A520)*(expected_production[Date]=B520)*ISNUMBER(expected_production[Expected Production (kWh)]))=0,"",SUMIFS(expected_production[Expected Production (kWh)],expected_production[Site Name],A520,expected_production[Date],B520)),"")</f>
        <v>10571.4</v>
      </c>
      <c r="E520" s="9" t="str">
        <f t="shared" si="16"/>
        <v/>
      </c>
      <c r="F520" t="str">
        <f t="shared" si="17"/>
        <v/>
      </c>
    </row>
    <row r="521" spans="1:6" ht="15" customHeight="1" x14ac:dyDescent="0.3">
      <c r="A521" t="s">
        <v>93</v>
      </c>
      <c r="B521" s="2">
        <v>45748</v>
      </c>
      <c r="C521" t="str" cm="1">
        <f t="array" ref="C521">IFERROR(IF(SUMPRODUCT((measured[Site Name]=A521)*(measured[Date]=B521)*ISNUMBER(measured[Measured Value (kWh)]))=0,"",SUMIFS(measured[Measured Value (kWh)],measured[Site Name],A521,measured[Date],B521)),"")</f>
        <v/>
      </c>
      <c r="D521" cm="1">
        <f t="array" ref="D521">IFERROR(IF(SUMPRODUCT((expected_production[Site Name]=A521)*(expected_production[Date]=B521)*ISNUMBER(expected_production[Expected Production (kWh)]))=0,"",SUMIFS(expected_production[Expected Production (kWh)],expected_production[Site Name],A521,expected_production[Date],B521)),"")</f>
        <v>8335.7999999999993</v>
      </c>
      <c r="E521" s="9" t="str">
        <f t="shared" si="16"/>
        <v/>
      </c>
      <c r="F521" t="str">
        <f t="shared" si="17"/>
        <v/>
      </c>
    </row>
    <row r="522" spans="1:6" ht="15" customHeight="1" x14ac:dyDescent="0.3">
      <c r="A522" t="s">
        <v>93</v>
      </c>
      <c r="B522" s="2">
        <v>45778</v>
      </c>
      <c r="C522" t="str" cm="1">
        <f t="array" ref="C522">IFERROR(IF(SUMPRODUCT((measured[Site Name]=A522)*(measured[Date]=B522)*ISNUMBER(measured[Measured Value (kWh)]))=0,"",SUMIFS(measured[Measured Value (kWh)],measured[Site Name],A522,measured[Date],B522)),"")</f>
        <v/>
      </c>
      <c r="D522" cm="1">
        <f t="array" ref="D522">IFERROR(IF(SUMPRODUCT((expected_production[Site Name]=A522)*(expected_production[Date]=B522)*ISNUMBER(expected_production[Expected Production (kWh)]))=0,"",SUMIFS(expected_production[Expected Production (kWh)],expected_production[Site Name],A522,expected_production[Date],B522)),"")</f>
        <v>6723.9</v>
      </c>
      <c r="E522" s="9" t="str">
        <f t="shared" si="16"/>
        <v/>
      </c>
      <c r="F522" t="str">
        <f t="shared" si="17"/>
        <v/>
      </c>
    </row>
    <row r="523" spans="1:6" ht="15" customHeight="1" x14ac:dyDescent="0.3">
      <c r="A523" t="s">
        <v>93</v>
      </c>
      <c r="B523" s="2">
        <v>45809</v>
      </c>
      <c r="C523" t="str" cm="1">
        <f t="array" ref="C523">IFERROR(IF(SUMPRODUCT((measured[Site Name]=A523)*(measured[Date]=B523)*ISNUMBER(measured[Measured Value (kWh)]))=0,"",SUMIFS(measured[Measured Value (kWh)],measured[Site Name],A523,measured[Date],B523)),"")</f>
        <v/>
      </c>
      <c r="D523" cm="1">
        <f t="array" ref="D523">IFERROR(IF(SUMPRODUCT((expected_production[Site Name]=A523)*(expected_production[Date]=B523)*ISNUMBER(expected_production[Expected Production (kWh)]))=0,"",SUMIFS(expected_production[Expected Production (kWh)],expected_production[Site Name],A523,expected_production[Date],B523)),"")</f>
        <v>5859.9</v>
      </c>
      <c r="E523" s="9" t="str">
        <f t="shared" si="16"/>
        <v/>
      </c>
      <c r="F523" t="str">
        <f t="shared" si="17"/>
        <v/>
      </c>
    </row>
    <row r="524" spans="1:6" ht="15" customHeight="1" x14ac:dyDescent="0.3">
      <c r="A524" t="s">
        <v>93</v>
      </c>
      <c r="B524" s="2">
        <v>45839</v>
      </c>
      <c r="C524" t="str" cm="1">
        <f t="array" ref="C524">IFERROR(IF(SUMPRODUCT((measured[Site Name]=A524)*(measured[Date]=B524)*ISNUMBER(measured[Measured Value (kWh)]))=0,"",SUMIFS(measured[Measured Value (kWh)],measured[Site Name],A524,measured[Date],B524)),"")</f>
        <v/>
      </c>
      <c r="D524" cm="1">
        <f t="array" ref="D524">IFERROR(IF(SUMPRODUCT((expected_production[Site Name]=A524)*(expected_production[Date]=B524)*ISNUMBER(expected_production[Expected Production (kWh)]))=0,"",SUMIFS(expected_production[Expected Production (kWh)],expected_production[Site Name],A524,expected_production[Date],B524)),"")</f>
        <v>6453</v>
      </c>
      <c r="E524" s="9" t="str">
        <f t="shared" si="16"/>
        <v/>
      </c>
      <c r="F524" t="str">
        <f t="shared" si="17"/>
        <v/>
      </c>
    </row>
    <row r="525" spans="1:6" ht="15" customHeight="1" x14ac:dyDescent="0.3">
      <c r="A525" t="s">
        <v>93</v>
      </c>
      <c r="B525" s="2">
        <v>45870</v>
      </c>
      <c r="C525" t="str" cm="1">
        <f t="array" ref="C525">IFERROR(IF(SUMPRODUCT((measured[Site Name]=A525)*(measured[Date]=B525)*ISNUMBER(measured[Measured Value (kWh)]))=0,"",SUMIFS(measured[Measured Value (kWh)],measured[Site Name],A525,measured[Date],B525)),"")</f>
        <v/>
      </c>
      <c r="D525" cm="1">
        <f t="array" ref="D525">IFERROR(IF(SUMPRODUCT((expected_production[Site Name]=A525)*(expected_production[Date]=B525)*ISNUMBER(expected_production[Expected Production (kWh)]))=0,"",SUMIFS(expected_production[Expected Production (kWh)],expected_production[Site Name],A525,expected_production[Date],B525)),"")</f>
        <v>7491.6</v>
      </c>
      <c r="E525" s="9" t="str">
        <f t="shared" si="16"/>
        <v/>
      </c>
      <c r="F525" t="str">
        <f t="shared" si="17"/>
        <v/>
      </c>
    </row>
    <row r="526" spans="1:6" ht="15" customHeight="1" x14ac:dyDescent="0.3">
      <c r="A526" t="s">
        <v>93</v>
      </c>
      <c r="B526" s="2">
        <v>45901</v>
      </c>
      <c r="C526" cm="1">
        <f t="array" ref="C526">IFERROR(IF(SUMPRODUCT((measured[Site Name]=A526)*(measured[Date]=B526)*ISNUMBER(measured[Measured Value (kWh)]))=0,"",SUMIFS(measured[Measured Value (kWh)],measured[Site Name],A526,measured[Date],B526)),"")</f>
        <v>8715</v>
      </c>
      <c r="D526" cm="1">
        <f t="array" ref="D526">IFERROR(IF(SUMPRODUCT((expected_production[Site Name]=A526)*(expected_production[Date]=B526)*ISNUMBER(expected_production[Expected Production (kWh)]))=0,"",SUMIFS(expected_production[Expected Production (kWh)],expected_production[Site Name],A526,expected_production[Date],B526)),"")</f>
        <v>8864.1</v>
      </c>
      <c r="E526" s="9">
        <f t="shared" si="16"/>
        <v>0.98317934138829655</v>
      </c>
      <c r="F526" t="str">
        <f t="shared" si="17"/>
        <v>Expected</v>
      </c>
    </row>
    <row r="527" spans="1:6" ht="15" customHeight="1" x14ac:dyDescent="0.3">
      <c r="A527" t="s">
        <v>93</v>
      </c>
      <c r="B527" s="2">
        <v>45931</v>
      </c>
      <c r="C527" cm="1">
        <f t="array" ref="C527">IFERROR(IF(SUMPRODUCT((measured[Site Name]=A527)*(measured[Date]=B527)*ISNUMBER(measured[Measured Value (kWh)]))=0,"",SUMIFS(measured[Measured Value (kWh)],measured[Site Name],A527,measured[Date],B527)),"")</f>
        <v>11487.6</v>
      </c>
      <c r="D527" cm="1">
        <f t="array" ref="D527">IFERROR(IF(SUMPRODUCT((expected_production[Site Name]=A527)*(expected_production[Date]=B527)*ISNUMBER(expected_production[Expected Production (kWh)]))=0,"",SUMIFS(expected_production[Expected Production (kWh)],expected_production[Site Name],A527,expected_production[Date],B527)),"")</f>
        <v>10361.700000000001</v>
      </c>
      <c r="E527" s="9">
        <f t="shared" si="16"/>
        <v>1.1086597759054981</v>
      </c>
      <c r="F527" t="str">
        <f t="shared" si="17"/>
        <v>Expected</v>
      </c>
    </row>
    <row r="528" spans="1:6" ht="15" customHeight="1" x14ac:dyDescent="0.3">
      <c r="A528" t="s">
        <v>93</v>
      </c>
      <c r="B528" s="2">
        <v>45962</v>
      </c>
      <c r="C528" cm="1">
        <f t="array" ref="C528">IFERROR(IF(SUMPRODUCT((measured[Site Name]=A528)*(measured[Date]=B528)*ISNUMBER(measured[Measured Value (kWh)]))=0,"",SUMIFS(measured[Measured Value (kWh)],measured[Site Name],A528,measured[Date],B528)),"")</f>
        <v>11643</v>
      </c>
      <c r="D528" cm="1">
        <f t="array" ref="D528">IFERROR(IF(SUMPRODUCT((expected_production[Site Name]=A528)*(expected_production[Date]=B528)*ISNUMBER(expected_production[Expected Production (kWh)]))=0,"",SUMIFS(expected_production[Expected Production (kWh)],expected_production[Site Name],A528,expected_production[Date],B528)),"")</f>
        <v>10972.8</v>
      </c>
      <c r="E528" s="9">
        <f t="shared" si="16"/>
        <v>1.0610783027121611</v>
      </c>
      <c r="F528" t="str">
        <f t="shared" si="17"/>
        <v>Expected</v>
      </c>
    </row>
    <row r="529" spans="1:7" ht="15" customHeight="1" x14ac:dyDescent="0.3">
      <c r="A529" t="s">
        <v>93</v>
      </c>
      <c r="B529" s="2">
        <v>45992</v>
      </c>
      <c r="C529" cm="1">
        <f t="array" ref="C529">IFERROR(IF(SUMPRODUCT((measured[Site Name]=A529)*(measured[Date]=B529)*ISNUMBER(measured[Measured Value (kWh)]))=0,"",SUMIFS(measured[Measured Value (kWh)],measured[Site Name],A529,measured[Date],B529)),"")</f>
        <v>11559</v>
      </c>
      <c r="D529" cm="1">
        <f t="array" ref="D529">IFERROR(IF(SUMPRODUCT((expected_production[Site Name]=A529)*(expected_production[Date]=B529)*ISNUMBER(expected_production[Expected Production (kWh)]))=0,"",SUMIFS(expected_production[Expected Production (kWh)],expected_production[Site Name],A529,expected_production[Date],B529)),"")</f>
        <v>11630.7</v>
      </c>
      <c r="E529" s="9">
        <f t="shared" si="16"/>
        <v>0.99383528076556005</v>
      </c>
      <c r="F529" t="str">
        <f t="shared" si="17"/>
        <v>Expected</v>
      </c>
    </row>
    <row r="530" spans="1:7" ht="15" customHeight="1" x14ac:dyDescent="0.3">
      <c r="A530" t="s">
        <v>93</v>
      </c>
      <c r="B530" s="2">
        <v>46023</v>
      </c>
      <c r="C530" cm="1">
        <f t="array" ref="C530">IFERROR(IF(SUMPRODUCT((measured[Site Name]=A530)*(measured[Date]=B530)*ISNUMBER(measured[Measured Value (kWh)]))=0,"",SUMIFS(measured[Measured Value (kWh)],measured[Site Name],A530,measured[Date],B530)),"")</f>
        <v>12880</v>
      </c>
      <c r="D530" cm="1">
        <f t="array" ref="D530">IFERROR(IF(SUMPRODUCT((expected_production[Site Name]=A530)*(expected_production[Date]=B530)*ISNUMBER(expected_production[Expected Production (kWh)]))=0,"",SUMIFS(expected_production[Expected Production (kWh)],expected_production[Site Name],A530,expected_production[Date],B530)),"")</f>
        <v>11798.1</v>
      </c>
      <c r="E530" s="9">
        <f t="shared" si="16"/>
        <v>1.0917012061264102</v>
      </c>
      <c r="F530" t="str">
        <f t="shared" si="17"/>
        <v>Expected</v>
      </c>
    </row>
    <row r="531" spans="1:7" ht="15" customHeight="1" x14ac:dyDescent="0.3">
      <c r="A531" t="s">
        <v>93</v>
      </c>
      <c r="B531" s="2">
        <v>46054</v>
      </c>
      <c r="C531" cm="1">
        <f t="array" ref="C531">IFERROR(IF(SUMPRODUCT((measured[Site Name]=A531)*(measured[Date]=B531)*ISNUMBER(measured[Measured Value (kWh)]))=0,"",SUMIFS(measured[Measured Value (kWh)],measured[Site Name],A531,measured[Date],B531)),"")</f>
        <v>9660</v>
      </c>
      <c r="D531" cm="1">
        <f t="array" ref="D531">IFERROR(IF(SUMPRODUCT((expected_production[Site Name]=A531)*(expected_production[Date]=B531)*ISNUMBER(expected_production[Expected Production (kWh)]))=0,"",SUMIFS(expected_production[Expected Production (kWh)],expected_production[Site Name],A531,expected_production[Date],B531)),"")</f>
        <v>10269.9</v>
      </c>
      <c r="E531" s="9">
        <f t="shared" si="16"/>
        <v>0.94061285893728275</v>
      </c>
      <c r="F531" t="str">
        <f t="shared" si="17"/>
        <v>Expected</v>
      </c>
    </row>
    <row r="532" spans="1:7" ht="15" customHeight="1" x14ac:dyDescent="0.3">
      <c r="A532" t="s">
        <v>93</v>
      </c>
      <c r="B532" s="2">
        <v>46082</v>
      </c>
      <c r="C532" cm="1">
        <f t="array" ref="C532">IFERROR(IF(SUMPRODUCT((measured[Site Name]=A532)*(measured[Date]=B532)*ISNUMBER(measured[Measured Value (kWh)]))=0,"",SUMIFS(measured[Measured Value (kWh)],measured[Site Name],A532,measured[Date],B532)),"")</f>
        <v>9967</v>
      </c>
      <c r="D532" cm="1">
        <f t="array" ref="D532">IFERROR(IF(SUMPRODUCT((expected_production[Site Name]=A532)*(expected_production[Date]=B532)*ISNUMBER(expected_production[Expected Production (kWh)]))=0,"",SUMIFS(expected_production[Expected Production (kWh)],expected_production[Site Name],A532,expected_production[Date],B532)),"")</f>
        <v>10571.4</v>
      </c>
      <c r="E532" s="9">
        <f t="shared" si="16"/>
        <v>0.94282687250506081</v>
      </c>
      <c r="F532" t="str">
        <f t="shared" si="17"/>
        <v>Expected</v>
      </c>
    </row>
    <row r="533" spans="1:7" ht="15" customHeight="1" x14ac:dyDescent="0.3">
      <c r="A533" t="s">
        <v>93</v>
      </c>
      <c r="B533" s="2">
        <v>46113</v>
      </c>
      <c r="C533" cm="1">
        <f t="array" ref="C533">IFERROR(IF(SUMPRODUCT((measured[Site Name]=A533)*(measured[Date]=B533)*ISNUMBER(measured[Measured Value (kWh)]))=0,"",SUMIFS(measured[Measured Value (kWh)],measured[Site Name],A533,measured[Date],B533)),"")</f>
        <v>4183</v>
      </c>
      <c r="D533" cm="1">
        <f t="array" ref="D533">IFERROR(IF(SUMPRODUCT((expected_production[Site Name]=A533)*(expected_production[Date]=B533)*ISNUMBER(expected_production[Expected Production (kWh)]))=0,"",SUMIFS(expected_production[Expected Production (kWh)],expected_production[Site Name],A533,expected_production[Date],B533)),"")</f>
        <v>8335.7999999999993</v>
      </c>
      <c r="E533" s="9">
        <f t="shared" si="16"/>
        <v>0.50181146380671326</v>
      </c>
      <c r="F533" t="str">
        <f t="shared" si="17"/>
        <v>Poor</v>
      </c>
    </row>
    <row r="534" spans="1:7" ht="15" customHeight="1" x14ac:dyDescent="0.3">
      <c r="A534" t="s">
        <v>93</v>
      </c>
      <c r="B534" s="2">
        <v>46143</v>
      </c>
      <c r="C534" t="str" cm="1">
        <f t="array" ref="C534">IFERROR(IF(SUMPRODUCT((measured[Site Name]=A534)*(measured[Date]=B534)*ISNUMBER(measured[Measured Value (kWh)]))=0,"",SUMIFS(measured[Measured Value (kWh)],measured[Site Name],A534,measured[Date],B534)),"")</f>
        <v/>
      </c>
      <c r="D534" cm="1">
        <f t="array" ref="D534">IFERROR(IF(SUMPRODUCT((expected_production[Site Name]=A534)*(expected_production[Date]=B534)*ISNUMBER(expected_production[Expected Production (kWh)]))=0,"",SUMIFS(expected_production[Expected Production (kWh)],expected_production[Site Name],A534,expected_production[Date],B534)),"")</f>
        <v>6723.9</v>
      </c>
      <c r="E534" s="9" t="str">
        <f t="shared" si="16"/>
        <v/>
      </c>
      <c r="F534" t="str">
        <f t="shared" si="17"/>
        <v/>
      </c>
    </row>
    <row r="535" spans="1:7" ht="15" customHeight="1" x14ac:dyDescent="0.3">
      <c r="A535" t="s">
        <v>93</v>
      </c>
      <c r="B535" s="2">
        <v>46174</v>
      </c>
      <c r="C535" t="str" cm="1">
        <f t="array" ref="C535">IFERROR(IF(SUMPRODUCT((measured[Site Name]=A535)*(measured[Date]=B535)*ISNUMBER(measured[Measured Value (kWh)]))=0,"",SUMIFS(measured[Measured Value (kWh)],measured[Site Name],A535,measured[Date],B535)),"")</f>
        <v/>
      </c>
      <c r="D535" cm="1">
        <f t="array" ref="D535">IFERROR(IF(SUMPRODUCT((expected_production[Site Name]=A535)*(expected_production[Date]=B535)*ISNUMBER(expected_production[Expected Production (kWh)]))=0,"",SUMIFS(expected_production[Expected Production (kWh)],expected_production[Site Name],A535,expected_production[Date],B535)),"")</f>
        <v>5859.9</v>
      </c>
      <c r="E535" s="9" t="str">
        <f t="shared" si="16"/>
        <v/>
      </c>
      <c r="F535" t="str">
        <f t="shared" si="17"/>
        <v/>
      </c>
    </row>
    <row r="536" spans="1:7" ht="15" customHeight="1" x14ac:dyDescent="0.3">
      <c r="A536" t="s">
        <v>85</v>
      </c>
      <c r="B536" s="2">
        <v>46204</v>
      </c>
      <c r="C536" cm="1">
        <f t="array" ref="C536">IFERROR(IF(SUMPRODUCT((measured[Site Name]=A536)*(measured[Date]=B536)*ISNUMBER(measured[Measured Value (kWh)]))=0,"",SUMIFS(measured[Measured Value (kWh)],measured[Site Name],A536,measured[Date],B536)),"")</f>
        <v>3646</v>
      </c>
      <c r="D536" cm="1">
        <f t="array" ref="D536">IFERROR(IF(SUMPRODUCT((expected_production[Site Name]=A536)*(expected_production[Date]=B536)*ISNUMBER(expected_production[Expected Production (kWh)]))=0,"",SUMIFS(expected_production[Expected Production (kWh)],expected_production[Site Name],A536,expected_production[Date],B536)),"")</f>
        <v>3874.5</v>
      </c>
      <c r="E536" s="9">
        <f t="shared" si="16"/>
        <v>0.9410246483417215</v>
      </c>
      <c r="F536" t="str">
        <f t="shared" si="17"/>
        <v>Expected</v>
      </c>
      <c r="G536" t="s">
        <v>874</v>
      </c>
    </row>
    <row r="537" spans="1:7" ht="15" customHeight="1" x14ac:dyDescent="0.3">
      <c r="A537" t="s">
        <v>93</v>
      </c>
      <c r="B537" s="2">
        <v>46235</v>
      </c>
      <c r="C537" t="str" cm="1">
        <f t="array" ref="C537">IFERROR(IF(SUMPRODUCT((measured[Site Name]=A537)*(measured[Date]=B537)*ISNUMBER(measured[Measured Value (kWh)]))=0,"",SUMIFS(measured[Measured Value (kWh)],measured[Site Name],A537,measured[Date],B537)),"")</f>
        <v/>
      </c>
      <c r="D537" cm="1">
        <f t="array" ref="D537">IFERROR(IF(SUMPRODUCT((expected_production[Site Name]=A537)*(expected_production[Date]=B537)*ISNUMBER(expected_production[Expected Production (kWh)]))=0,"",SUMIFS(expected_production[Expected Production (kWh)],expected_production[Site Name],A537,expected_production[Date],B537)),"")</f>
        <v>7491.6</v>
      </c>
      <c r="E537" s="9" t="str">
        <f t="shared" si="16"/>
        <v/>
      </c>
      <c r="F537" t="str">
        <f t="shared" si="17"/>
        <v/>
      </c>
    </row>
    <row r="538" spans="1:7" ht="15" customHeight="1" x14ac:dyDescent="0.3">
      <c r="A538" t="s">
        <v>93</v>
      </c>
      <c r="B538" s="2">
        <v>46266</v>
      </c>
      <c r="C538" t="str" cm="1">
        <f t="array" ref="C538">IFERROR(IF(SUMPRODUCT((measured[Site Name]=A538)*(measured[Date]=B538)*ISNUMBER(measured[Measured Value (kWh)]))=0,"",SUMIFS(measured[Measured Value (kWh)],measured[Site Name],A538,measured[Date],B538)),"")</f>
        <v/>
      </c>
      <c r="D538" cm="1">
        <f t="array" ref="D538">IFERROR(IF(SUMPRODUCT((expected_production[Site Name]=A538)*(expected_production[Date]=B538)*ISNUMBER(expected_production[Expected Production (kWh)]))=0,"",SUMIFS(expected_production[Expected Production (kWh)],expected_production[Site Name],A538,expected_production[Date],B538)),"")</f>
        <v>8864.1</v>
      </c>
      <c r="E538" s="9" t="str">
        <f t="shared" si="16"/>
        <v/>
      </c>
      <c r="F538" t="str">
        <f t="shared" si="17"/>
        <v/>
      </c>
    </row>
    <row r="539" spans="1:7" ht="15" customHeight="1" x14ac:dyDescent="0.3">
      <c r="A539" t="s">
        <v>93</v>
      </c>
      <c r="B539" s="2">
        <v>46296</v>
      </c>
      <c r="C539" t="str" cm="1">
        <f t="array" ref="C539">IFERROR(IF(SUMPRODUCT((measured[Site Name]=A539)*(measured[Date]=B539)*ISNUMBER(measured[Measured Value (kWh)]))=0,"",SUMIFS(measured[Measured Value (kWh)],measured[Site Name],A539,measured[Date],B539)),"")</f>
        <v/>
      </c>
      <c r="D539" cm="1">
        <f t="array" ref="D539">IFERROR(IF(SUMPRODUCT((expected_production[Site Name]=A539)*(expected_production[Date]=B539)*ISNUMBER(expected_production[Expected Production (kWh)]))=0,"",SUMIFS(expected_production[Expected Production (kWh)],expected_production[Site Name],A539,expected_production[Date],B539)),"")</f>
        <v>10361.700000000001</v>
      </c>
      <c r="E539" s="9" t="str">
        <f t="shared" si="16"/>
        <v/>
      </c>
      <c r="F539" t="str">
        <f t="shared" si="17"/>
        <v/>
      </c>
    </row>
    <row r="540" spans="1:7" ht="15" customHeight="1" x14ac:dyDescent="0.3">
      <c r="A540" t="s">
        <v>93</v>
      </c>
      <c r="B540" s="2">
        <v>46327</v>
      </c>
      <c r="C540" t="str" cm="1">
        <f t="array" ref="C540">IFERROR(IF(SUMPRODUCT((measured[Site Name]=A540)*(measured[Date]=B540)*ISNUMBER(measured[Measured Value (kWh)]))=0,"",SUMIFS(measured[Measured Value (kWh)],measured[Site Name],A540,measured[Date],B540)),"")</f>
        <v/>
      </c>
      <c r="D540" cm="1">
        <f t="array" ref="D540">IFERROR(IF(SUMPRODUCT((expected_production[Site Name]=A540)*(expected_production[Date]=B540)*ISNUMBER(expected_production[Expected Production (kWh)]))=0,"",SUMIFS(expected_production[Expected Production (kWh)],expected_production[Site Name],A540,expected_production[Date],B540)),"")</f>
        <v>10972.8</v>
      </c>
      <c r="E540" s="9" t="str">
        <f t="shared" si="16"/>
        <v/>
      </c>
      <c r="F540" t="str">
        <f t="shared" si="17"/>
        <v/>
      </c>
    </row>
    <row r="541" spans="1:7" ht="15" customHeight="1" x14ac:dyDescent="0.3">
      <c r="A541" t="s">
        <v>93</v>
      </c>
      <c r="B541" s="2">
        <v>46357</v>
      </c>
      <c r="C541" t="str" cm="1">
        <f t="array" ref="C541">IFERROR(IF(SUMPRODUCT((measured[Site Name]=A541)*(measured[Date]=B541)*ISNUMBER(measured[Measured Value (kWh)]))=0,"",SUMIFS(measured[Measured Value (kWh)],measured[Site Name],A541,measured[Date],B541)),"")</f>
        <v/>
      </c>
      <c r="D541" cm="1">
        <f t="array" ref="D541">IFERROR(IF(SUMPRODUCT((expected_production[Site Name]=A541)*(expected_production[Date]=B541)*ISNUMBER(expected_production[Expected Production (kWh)]))=0,"",SUMIFS(expected_production[Expected Production (kWh)],expected_production[Site Name],A541,expected_production[Date],B541)),"")</f>
        <v>11630.7</v>
      </c>
      <c r="E541" s="9" t="str">
        <f t="shared" si="16"/>
        <v/>
      </c>
      <c r="F541" t="str">
        <f t="shared" si="17"/>
        <v/>
      </c>
    </row>
    <row r="542" spans="1:7" ht="15" customHeight="1" x14ac:dyDescent="0.3">
      <c r="A542" t="s">
        <v>95</v>
      </c>
      <c r="B542" s="2">
        <v>45292</v>
      </c>
      <c r="C542" t="str" cm="1">
        <f t="array" ref="C542">IFERROR(IF(SUMPRODUCT((measured[Site Name]=A542)*(measured[Date]=B542)*ISNUMBER(measured[Measured Value (kWh)]))=0,"",SUMIFS(measured[Measured Value (kWh)],measured[Site Name],A542,measured[Date],B542)),"")</f>
        <v/>
      </c>
      <c r="D542" cm="1">
        <f t="array" ref="D542">IFERROR(IF(SUMPRODUCT((expected_production[Site Name]=A542)*(expected_production[Date]=B542)*ISNUMBER(expected_production[Expected Production (kWh)]))=0,"",SUMIFS(expected_production[Expected Production (kWh)],expected_production[Site Name],A542,expected_production[Date],B542)),"")</f>
        <v>33516</v>
      </c>
      <c r="E542" s="9" t="str">
        <f t="shared" si="16"/>
        <v/>
      </c>
      <c r="F542" t="str">
        <f t="shared" si="17"/>
        <v/>
      </c>
    </row>
    <row r="543" spans="1:7" ht="15" customHeight="1" x14ac:dyDescent="0.3">
      <c r="A543" t="s">
        <v>95</v>
      </c>
      <c r="B543" s="2">
        <v>45323</v>
      </c>
      <c r="C543" t="str" cm="1">
        <f t="array" ref="C543">IFERROR(IF(SUMPRODUCT((measured[Site Name]=A543)*(measured[Date]=B543)*ISNUMBER(measured[Measured Value (kWh)]))=0,"",SUMIFS(measured[Measured Value (kWh)],measured[Site Name],A543,measured[Date],B543)),"")</f>
        <v/>
      </c>
      <c r="D543" cm="1">
        <f t="array" ref="D543">IFERROR(IF(SUMPRODUCT((expected_production[Site Name]=A543)*(expected_production[Date]=B543)*ISNUMBER(expected_production[Expected Production (kWh)]))=0,"",SUMIFS(expected_production[Expected Production (kWh)],expected_production[Site Name],A543,expected_production[Date],B543)),"")</f>
        <v>28776.799999999999</v>
      </c>
      <c r="E543" s="9" t="str">
        <f t="shared" si="16"/>
        <v/>
      </c>
      <c r="F543" t="str">
        <f t="shared" si="17"/>
        <v/>
      </c>
    </row>
    <row r="544" spans="1:7" ht="15" customHeight="1" x14ac:dyDescent="0.3">
      <c r="A544" t="s">
        <v>95</v>
      </c>
      <c r="B544" s="2">
        <v>45352</v>
      </c>
      <c r="C544" t="str" cm="1">
        <f t="array" ref="C544">IFERROR(IF(SUMPRODUCT((measured[Site Name]=A544)*(measured[Date]=B544)*ISNUMBER(measured[Measured Value (kWh)]))=0,"",SUMIFS(measured[Measured Value (kWh)],measured[Site Name],A544,measured[Date],B544)),"")</f>
        <v/>
      </c>
      <c r="D544" cm="1">
        <f t="array" ref="D544">IFERROR(IF(SUMPRODUCT((expected_production[Site Name]=A544)*(expected_production[Date]=B544)*ISNUMBER(expected_production[Expected Production (kWh)]))=0,"",SUMIFS(expected_production[Expected Production (kWh)],expected_production[Site Name],A544,expected_production[Date],B544)),"")</f>
        <v>29186.400000000001</v>
      </c>
      <c r="E544" s="9" t="str">
        <f t="shared" ref="E544:E607" si="18">IF(OR(C544="",D544="",D544=0),"",C544/D544)</f>
        <v/>
      </c>
      <c r="F544" t="str">
        <f t="shared" ref="F544:F607" si="19">IF(E544="","",IF(E544&gt;=0.9,"Expected",IF(E544&gt;=0.7,"Moderate","Poor")))</f>
        <v/>
      </c>
    </row>
    <row r="545" spans="1:6" ht="15" customHeight="1" x14ac:dyDescent="0.3">
      <c r="A545" t="s">
        <v>95</v>
      </c>
      <c r="B545" s="2">
        <v>45383</v>
      </c>
      <c r="C545" t="str" cm="1">
        <f t="array" ref="C545">IFERROR(IF(SUMPRODUCT((measured[Site Name]=A545)*(measured[Date]=B545)*ISNUMBER(measured[Measured Value (kWh)]))=0,"",SUMIFS(measured[Measured Value (kWh)],measured[Site Name],A545,measured[Date],B545)),"")</f>
        <v/>
      </c>
      <c r="D545" cm="1">
        <f t="array" ref="D545">IFERROR(IF(SUMPRODUCT((expected_production[Site Name]=A545)*(expected_production[Date]=B545)*ISNUMBER(expected_production[Expected Production (kWh)]))=0,"",SUMIFS(expected_production[Expected Production (kWh)],expected_production[Site Name],A545,expected_production[Date],B545)),"")</f>
        <v>24678.400000000001</v>
      </c>
      <c r="E545" s="9" t="str">
        <f t="shared" si="18"/>
        <v/>
      </c>
      <c r="F545" t="str">
        <f t="shared" si="19"/>
        <v/>
      </c>
    </row>
    <row r="546" spans="1:6" ht="15" customHeight="1" x14ac:dyDescent="0.3">
      <c r="A546" t="s">
        <v>95</v>
      </c>
      <c r="B546" s="2">
        <v>45413</v>
      </c>
      <c r="C546" t="str" cm="1">
        <f t="array" ref="C546">IFERROR(IF(SUMPRODUCT((measured[Site Name]=A546)*(measured[Date]=B546)*ISNUMBER(measured[Measured Value (kWh)]))=0,"",SUMIFS(measured[Measured Value (kWh)],measured[Site Name],A546,measured[Date],B546)),"")</f>
        <v/>
      </c>
      <c r="D546" cm="1">
        <f t="array" ref="D546">IFERROR(IF(SUMPRODUCT((expected_production[Site Name]=A546)*(expected_production[Date]=B546)*ISNUMBER(expected_production[Expected Production (kWh)]))=0,"",SUMIFS(expected_production[Expected Production (kWh)],expected_production[Site Name],A546,expected_production[Date],B546)),"")</f>
        <v>23380.799999999999</v>
      </c>
      <c r="E546" s="9" t="str">
        <f t="shared" si="18"/>
        <v/>
      </c>
      <c r="F546" t="str">
        <f t="shared" si="19"/>
        <v/>
      </c>
    </row>
    <row r="547" spans="1:6" ht="15" customHeight="1" x14ac:dyDescent="0.3">
      <c r="A547" t="s">
        <v>95</v>
      </c>
      <c r="B547" s="2">
        <v>45444</v>
      </c>
      <c r="C547" t="str" cm="1">
        <f t="array" ref="C547">IFERROR(IF(SUMPRODUCT((measured[Site Name]=A547)*(measured[Date]=B547)*ISNUMBER(measured[Measured Value (kWh)]))=0,"",SUMIFS(measured[Measured Value (kWh)],measured[Site Name],A547,measured[Date],B547)),"")</f>
        <v/>
      </c>
      <c r="D547" cm="1">
        <f t="array" ref="D547">IFERROR(IF(SUMPRODUCT((expected_production[Site Name]=A547)*(expected_production[Date]=B547)*ISNUMBER(expected_production[Expected Production (kWh)]))=0,"",SUMIFS(expected_production[Expected Production (kWh)],expected_production[Site Name],A547,expected_production[Date],B547)),"")</f>
        <v>20986.400000000001</v>
      </c>
      <c r="E547" s="9" t="str">
        <f t="shared" si="18"/>
        <v/>
      </c>
      <c r="F547" t="str">
        <f t="shared" si="19"/>
        <v/>
      </c>
    </row>
    <row r="548" spans="1:6" ht="15" customHeight="1" x14ac:dyDescent="0.3">
      <c r="A548" t="s">
        <v>95</v>
      </c>
      <c r="B548" s="2">
        <v>45474</v>
      </c>
      <c r="C548" t="str" cm="1">
        <f t="array" ref="C548">IFERROR(IF(SUMPRODUCT((measured[Site Name]=A548)*(measured[Date]=B548)*ISNUMBER(measured[Measured Value (kWh)]))=0,"",SUMIFS(measured[Measured Value (kWh)],measured[Site Name],A548,measured[Date],B548)),"")</f>
        <v/>
      </c>
      <c r="D548" cm="1">
        <f t="array" ref="D548">IFERROR(IF(SUMPRODUCT((expected_production[Site Name]=A548)*(expected_production[Date]=B548)*ISNUMBER(expected_production[Expected Production (kWh)]))=0,"",SUMIFS(expected_production[Expected Production (kWh)],expected_production[Site Name],A548,expected_production[Date],B548)),"")</f>
        <v>23255.200000000001</v>
      </c>
      <c r="E548" s="9" t="str">
        <f t="shared" si="18"/>
        <v/>
      </c>
      <c r="F548" t="str">
        <f t="shared" si="19"/>
        <v/>
      </c>
    </row>
    <row r="549" spans="1:6" ht="15" customHeight="1" x14ac:dyDescent="0.3">
      <c r="A549" t="s">
        <v>95</v>
      </c>
      <c r="B549" s="2">
        <v>45505</v>
      </c>
      <c r="C549" t="str" cm="1">
        <f t="array" ref="C549">IFERROR(IF(SUMPRODUCT((measured[Site Name]=A549)*(measured[Date]=B549)*ISNUMBER(measured[Measured Value (kWh)]))=0,"",SUMIFS(measured[Measured Value (kWh)],measured[Site Name],A549,measured[Date],B549)),"")</f>
        <v/>
      </c>
      <c r="D549" cm="1">
        <f t="array" ref="D549">IFERROR(IF(SUMPRODUCT((expected_production[Site Name]=A549)*(expected_production[Date]=B549)*ISNUMBER(expected_production[Expected Production (kWh)]))=0,"",SUMIFS(expected_production[Expected Production (kWh)],expected_production[Site Name],A549,expected_production[Date],B549)),"")</f>
        <v>27306.400000000001</v>
      </c>
      <c r="E549" s="9" t="str">
        <f t="shared" si="18"/>
        <v/>
      </c>
      <c r="F549" t="str">
        <f t="shared" si="19"/>
        <v/>
      </c>
    </row>
    <row r="550" spans="1:6" ht="15" customHeight="1" x14ac:dyDescent="0.3">
      <c r="A550" t="s">
        <v>95</v>
      </c>
      <c r="B550" s="2">
        <v>45536</v>
      </c>
      <c r="C550" t="str" cm="1">
        <f t="array" ref="C550">IFERROR(IF(SUMPRODUCT((measured[Site Name]=A550)*(measured[Date]=B550)*ISNUMBER(measured[Measured Value (kWh)]))=0,"",SUMIFS(measured[Measured Value (kWh)],measured[Site Name],A550,measured[Date],B550)),"")</f>
        <v/>
      </c>
      <c r="D550" cm="1">
        <f t="array" ref="D550">IFERROR(IF(SUMPRODUCT((expected_production[Site Name]=A550)*(expected_production[Date]=B550)*ISNUMBER(expected_production[Expected Production (kWh)]))=0,"",SUMIFS(expected_production[Expected Production (kWh)],expected_production[Site Name],A550,expected_production[Date],B550)),"")</f>
        <v>30312</v>
      </c>
      <c r="E550" s="9" t="str">
        <f t="shared" si="18"/>
        <v/>
      </c>
      <c r="F550" t="str">
        <f t="shared" si="19"/>
        <v/>
      </c>
    </row>
    <row r="551" spans="1:6" ht="15" customHeight="1" x14ac:dyDescent="0.3">
      <c r="A551" t="s">
        <v>95</v>
      </c>
      <c r="B551" s="2">
        <v>45566</v>
      </c>
      <c r="C551" t="str" cm="1">
        <f t="array" ref="C551">IFERROR(IF(SUMPRODUCT((measured[Site Name]=A551)*(measured[Date]=B551)*ISNUMBER(measured[Measured Value (kWh)]))=0,"",SUMIFS(measured[Measured Value (kWh)],measured[Site Name],A551,measured[Date],B551)),"")</f>
        <v/>
      </c>
      <c r="D551" cm="1">
        <f t="array" ref="D551">IFERROR(IF(SUMPRODUCT((expected_production[Site Name]=A551)*(expected_production[Date]=B551)*ISNUMBER(expected_production[Expected Production (kWh)]))=0,"",SUMIFS(expected_production[Expected Production (kWh)],expected_production[Site Name],A551,expected_production[Date],B551)),"")</f>
        <v>33024</v>
      </c>
      <c r="E551" s="9" t="str">
        <f t="shared" si="18"/>
        <v/>
      </c>
      <c r="F551" t="str">
        <f t="shared" si="19"/>
        <v/>
      </c>
    </row>
    <row r="552" spans="1:6" ht="15" customHeight="1" x14ac:dyDescent="0.3">
      <c r="A552" t="s">
        <v>95</v>
      </c>
      <c r="B552" s="2">
        <v>45597</v>
      </c>
      <c r="C552" t="str" cm="1">
        <f t="array" ref="C552">IFERROR(IF(SUMPRODUCT((measured[Site Name]=A552)*(measured[Date]=B552)*ISNUMBER(measured[Measured Value (kWh)]))=0,"",SUMIFS(measured[Measured Value (kWh)],measured[Site Name],A552,measured[Date],B552)),"")</f>
        <v/>
      </c>
      <c r="D552" cm="1">
        <f t="array" ref="D552">IFERROR(IF(SUMPRODUCT((expected_production[Site Name]=A552)*(expected_production[Date]=B552)*ISNUMBER(expected_production[Expected Production (kWh)]))=0,"",SUMIFS(expected_production[Expected Production (kWh)],expected_production[Site Name],A552,expected_production[Date],B552)),"")</f>
        <v>33214.400000000001</v>
      </c>
      <c r="E552" s="9" t="str">
        <f t="shared" si="18"/>
        <v/>
      </c>
      <c r="F552" t="str">
        <f t="shared" si="19"/>
        <v/>
      </c>
    </row>
    <row r="553" spans="1:6" ht="15" customHeight="1" x14ac:dyDescent="0.3">
      <c r="A553" t="s">
        <v>95</v>
      </c>
      <c r="B553" s="2">
        <v>45627</v>
      </c>
      <c r="C553" t="str" cm="1">
        <f t="array" ref="C553">IFERROR(IF(SUMPRODUCT((measured[Site Name]=A553)*(measured[Date]=B553)*ISNUMBER(measured[Measured Value (kWh)]))=0,"",SUMIFS(measured[Measured Value (kWh)],measured[Site Name],A553,measured[Date],B553)),"")</f>
        <v/>
      </c>
      <c r="D553" cm="1">
        <f t="array" ref="D553">IFERROR(IF(SUMPRODUCT((expected_production[Site Name]=A553)*(expected_production[Date]=B553)*ISNUMBER(expected_production[Expected Production (kWh)]))=0,"",SUMIFS(expected_production[Expected Production (kWh)],expected_production[Site Name],A553,expected_production[Date],B553)),"")</f>
        <v>35066.400000000001</v>
      </c>
      <c r="E553" s="9" t="str">
        <f t="shared" si="18"/>
        <v/>
      </c>
      <c r="F553" t="str">
        <f t="shared" si="19"/>
        <v/>
      </c>
    </row>
    <row r="554" spans="1:6" ht="15" customHeight="1" x14ac:dyDescent="0.3">
      <c r="A554" t="s">
        <v>95</v>
      </c>
      <c r="B554" s="2">
        <v>45658</v>
      </c>
      <c r="C554" cm="1">
        <f t="array" ref="C554">IFERROR(IF(SUMPRODUCT((measured[Site Name]=A554)*(measured[Date]=B554)*ISNUMBER(measured[Measured Value (kWh)]))=0,"",SUMIFS(measured[Measured Value (kWh)],measured[Site Name],A554,measured[Date],B554)),"")</f>
        <v>17200</v>
      </c>
      <c r="D554" cm="1">
        <f t="array" ref="D554">IFERROR(IF(SUMPRODUCT((expected_production[Site Name]=A554)*(expected_production[Date]=B554)*ISNUMBER(expected_production[Expected Production (kWh)]))=0,"",SUMIFS(expected_production[Expected Production (kWh)],expected_production[Site Name],A554,expected_production[Date],B554)),"")</f>
        <v>33516</v>
      </c>
      <c r="E554" s="9">
        <f t="shared" si="18"/>
        <v>0.513187731232844</v>
      </c>
      <c r="F554" t="str">
        <f t="shared" si="19"/>
        <v>Poor</v>
      </c>
    </row>
    <row r="555" spans="1:6" ht="15" customHeight="1" x14ac:dyDescent="0.3">
      <c r="A555" t="s">
        <v>95</v>
      </c>
      <c r="B555" s="2">
        <v>45689</v>
      </c>
      <c r="C555" cm="1">
        <f t="array" ref="C555">IFERROR(IF(SUMPRODUCT((measured[Site Name]=A555)*(measured[Date]=B555)*ISNUMBER(measured[Measured Value (kWh)]))=0,"",SUMIFS(measured[Measured Value (kWh)],measured[Site Name],A555,measured[Date],B555)),"")</f>
        <v>15760</v>
      </c>
      <c r="D555" cm="1">
        <f t="array" ref="D555">IFERROR(IF(SUMPRODUCT((expected_production[Site Name]=A555)*(expected_production[Date]=B555)*ISNUMBER(expected_production[Expected Production (kWh)]))=0,"",SUMIFS(expected_production[Expected Production (kWh)],expected_production[Site Name],A555,expected_production[Date],B555)),"")</f>
        <v>28776.799999999999</v>
      </c>
      <c r="E555" s="9">
        <f t="shared" si="18"/>
        <v>0.54766339551305221</v>
      </c>
      <c r="F555" t="str">
        <f t="shared" si="19"/>
        <v>Poor</v>
      </c>
    </row>
    <row r="556" spans="1:6" ht="15" customHeight="1" x14ac:dyDescent="0.3">
      <c r="A556" t="s">
        <v>95</v>
      </c>
      <c r="B556" s="2">
        <v>45717</v>
      </c>
      <c r="C556" cm="1">
        <f t="array" ref="C556">IFERROR(IF(SUMPRODUCT((measured[Site Name]=A556)*(measured[Date]=B556)*ISNUMBER(measured[Measured Value (kWh)]))=0,"",SUMIFS(measured[Measured Value (kWh)],measured[Site Name],A556,measured[Date],B556)),"")</f>
        <v>15700</v>
      </c>
      <c r="D556" cm="1">
        <f t="array" ref="D556">IFERROR(IF(SUMPRODUCT((expected_production[Site Name]=A556)*(expected_production[Date]=B556)*ISNUMBER(expected_production[Expected Production (kWh)]))=0,"",SUMIFS(expected_production[Expected Production (kWh)],expected_production[Site Name],A556,expected_production[Date],B556)),"")</f>
        <v>29186.400000000001</v>
      </c>
      <c r="E556" s="9">
        <f t="shared" si="18"/>
        <v>0.5379217717841186</v>
      </c>
      <c r="F556" t="str">
        <f t="shared" si="19"/>
        <v>Poor</v>
      </c>
    </row>
    <row r="557" spans="1:6" ht="15" customHeight="1" x14ac:dyDescent="0.3">
      <c r="A557" t="s">
        <v>95</v>
      </c>
      <c r="B557" s="2">
        <v>45748</v>
      </c>
      <c r="C557" cm="1">
        <f t="array" ref="C557">IFERROR(IF(SUMPRODUCT((measured[Site Name]=A557)*(measured[Date]=B557)*ISNUMBER(measured[Measured Value (kWh)]))=0,"",SUMIFS(measured[Measured Value (kWh)],measured[Site Name],A557,measured[Date],B557)),"")</f>
        <v>10223</v>
      </c>
      <c r="D557" cm="1">
        <f t="array" ref="D557">IFERROR(IF(SUMPRODUCT((expected_production[Site Name]=A557)*(expected_production[Date]=B557)*ISNUMBER(expected_production[Expected Production (kWh)]))=0,"",SUMIFS(expected_production[Expected Production (kWh)],expected_production[Site Name],A557,expected_production[Date],B557)),"")</f>
        <v>24678.400000000001</v>
      </c>
      <c r="E557" s="9">
        <f t="shared" si="18"/>
        <v>0.41424889782157676</v>
      </c>
      <c r="F557" t="str">
        <f t="shared" si="19"/>
        <v>Poor</v>
      </c>
    </row>
    <row r="558" spans="1:6" ht="15" customHeight="1" x14ac:dyDescent="0.3">
      <c r="A558" t="s">
        <v>95</v>
      </c>
      <c r="B558" s="2">
        <v>45778</v>
      </c>
      <c r="C558" cm="1">
        <f t="array" ref="C558">IFERROR(IF(SUMPRODUCT((measured[Site Name]=A558)*(measured[Date]=B558)*ISNUMBER(measured[Measured Value (kWh)]))=0,"",SUMIFS(measured[Measured Value (kWh)],measured[Site Name],A558,measured[Date],B558)),"")</f>
        <v>14225</v>
      </c>
      <c r="D558" cm="1">
        <f t="array" ref="D558">IFERROR(IF(SUMPRODUCT((expected_production[Site Name]=A558)*(expected_production[Date]=B558)*ISNUMBER(expected_production[Expected Production (kWh)]))=0,"",SUMIFS(expected_production[Expected Production (kWh)],expected_production[Site Name],A558,expected_production[Date],B558)),"")</f>
        <v>23380.799999999999</v>
      </c>
      <c r="E558" s="9">
        <f t="shared" si="18"/>
        <v>0.60840518716211589</v>
      </c>
      <c r="F558" t="str">
        <f t="shared" si="19"/>
        <v>Poor</v>
      </c>
    </row>
    <row r="559" spans="1:6" ht="15" customHeight="1" x14ac:dyDescent="0.3">
      <c r="A559" t="s">
        <v>95</v>
      </c>
      <c r="B559" s="2">
        <v>45809</v>
      </c>
      <c r="C559" cm="1">
        <f t="array" ref="C559">IFERROR(IF(SUMPRODUCT((measured[Site Name]=A559)*(measured[Date]=B559)*ISNUMBER(measured[Measured Value (kWh)]))=0,"",SUMIFS(measured[Measured Value (kWh)],measured[Site Name],A559,measured[Date],B559)),"")</f>
        <v>14376.5</v>
      </c>
      <c r="D559" cm="1">
        <f t="array" ref="D559">IFERROR(IF(SUMPRODUCT((expected_production[Site Name]=A559)*(expected_production[Date]=B559)*ISNUMBER(expected_production[Expected Production (kWh)]))=0,"",SUMIFS(expected_production[Expected Production (kWh)],expected_production[Site Name],A559,expected_production[Date],B559)),"")</f>
        <v>20986.400000000001</v>
      </c>
      <c r="E559" s="9">
        <f t="shared" si="18"/>
        <v>0.68503888232379062</v>
      </c>
      <c r="F559" t="str">
        <f t="shared" si="19"/>
        <v>Poor</v>
      </c>
    </row>
    <row r="560" spans="1:6" ht="15" customHeight="1" x14ac:dyDescent="0.3">
      <c r="A560" t="s">
        <v>95</v>
      </c>
      <c r="B560" s="2">
        <v>45839</v>
      </c>
      <c r="C560" cm="1">
        <f t="array" ref="C560">IFERROR(IF(SUMPRODUCT((measured[Site Name]=A560)*(measured[Date]=B560)*ISNUMBER(measured[Measured Value (kWh)]))=0,"",SUMIFS(measured[Measured Value (kWh)],measured[Site Name],A560,measured[Date],B560)),"")</f>
        <v>15177.99</v>
      </c>
      <c r="D560" cm="1">
        <f t="array" ref="D560">IFERROR(IF(SUMPRODUCT((expected_production[Site Name]=A560)*(expected_production[Date]=B560)*ISNUMBER(expected_production[Expected Production (kWh)]))=0,"",SUMIFS(expected_production[Expected Production (kWh)],expected_production[Site Name],A560,expected_production[Date],B560)),"")</f>
        <v>23255.200000000001</v>
      </c>
      <c r="E560" s="9">
        <f t="shared" si="18"/>
        <v>0.6526708005091334</v>
      </c>
      <c r="F560" t="str">
        <f t="shared" si="19"/>
        <v>Poor</v>
      </c>
    </row>
    <row r="561" spans="1:7" ht="15" customHeight="1" x14ac:dyDescent="0.3">
      <c r="A561" t="s">
        <v>95</v>
      </c>
      <c r="B561" s="2">
        <v>45870</v>
      </c>
      <c r="C561" cm="1">
        <f t="array" ref="C561">IFERROR(IF(SUMPRODUCT((measured[Site Name]=A561)*(measured[Date]=B561)*ISNUMBER(measured[Measured Value (kWh)]))=0,"",SUMIFS(measured[Measured Value (kWh)],measured[Site Name],A561,measured[Date],B561)),"")</f>
        <v>16924</v>
      </c>
      <c r="D561" cm="1">
        <f t="array" ref="D561">IFERROR(IF(SUMPRODUCT((expected_production[Site Name]=A561)*(expected_production[Date]=B561)*ISNUMBER(expected_production[Expected Production (kWh)]))=0,"",SUMIFS(expected_production[Expected Production (kWh)],expected_production[Site Name],A561,expected_production[Date],B561)),"")</f>
        <v>27306.400000000001</v>
      </c>
      <c r="E561" s="9">
        <f t="shared" si="18"/>
        <v>0.61978144317815598</v>
      </c>
      <c r="F561" t="str">
        <f t="shared" si="19"/>
        <v>Poor</v>
      </c>
    </row>
    <row r="562" spans="1:7" ht="15" customHeight="1" x14ac:dyDescent="0.3">
      <c r="A562" t="s">
        <v>95</v>
      </c>
      <c r="B562" s="2">
        <v>45901</v>
      </c>
      <c r="C562" cm="1">
        <f t="array" ref="C562">IFERROR(IF(SUMPRODUCT((measured[Site Name]=A562)*(measured[Date]=B562)*ISNUMBER(measured[Measured Value (kWh)]))=0,"",SUMIFS(measured[Measured Value (kWh)],measured[Site Name],A562,measured[Date],B562)),"")</f>
        <v>16705</v>
      </c>
      <c r="D562" cm="1">
        <f t="array" ref="D562">IFERROR(IF(SUMPRODUCT((expected_production[Site Name]=A562)*(expected_production[Date]=B562)*ISNUMBER(expected_production[Expected Production (kWh)]))=0,"",SUMIFS(expected_production[Expected Production (kWh)],expected_production[Site Name],A562,expected_production[Date],B562)),"")</f>
        <v>30312</v>
      </c>
      <c r="E562" s="9">
        <f t="shared" si="18"/>
        <v>0.55110187384534182</v>
      </c>
      <c r="F562" t="str">
        <f t="shared" si="19"/>
        <v>Poor</v>
      </c>
    </row>
    <row r="563" spans="1:7" ht="15" customHeight="1" x14ac:dyDescent="0.3">
      <c r="A563" t="s">
        <v>95</v>
      </c>
      <c r="B563" s="2">
        <v>45931</v>
      </c>
      <c r="C563" cm="1">
        <f t="array" ref="C563">IFERROR(IF(SUMPRODUCT((measured[Site Name]=A563)*(measured[Date]=B563)*ISNUMBER(measured[Measured Value (kWh)]))=0,"",SUMIFS(measured[Measured Value (kWh)],measured[Site Name],A563,measured[Date],B563)),"")</f>
        <v>21308.400000000001</v>
      </c>
      <c r="D563" cm="1">
        <f t="array" ref="D563">IFERROR(IF(SUMPRODUCT((expected_production[Site Name]=A563)*(expected_production[Date]=B563)*ISNUMBER(expected_production[Expected Production (kWh)]))=0,"",SUMIFS(expected_production[Expected Production (kWh)],expected_production[Site Name],A563,expected_production[Date],B563)),"")</f>
        <v>33024</v>
      </c>
      <c r="E563" s="9">
        <f t="shared" si="18"/>
        <v>0.64523982558139537</v>
      </c>
      <c r="F563" t="str">
        <f t="shared" si="19"/>
        <v>Poor</v>
      </c>
    </row>
    <row r="564" spans="1:7" ht="15" customHeight="1" x14ac:dyDescent="0.3">
      <c r="A564" t="s">
        <v>95</v>
      </c>
      <c r="B564" s="2">
        <v>45962</v>
      </c>
      <c r="C564" cm="1">
        <f t="array" ref="C564">IFERROR(IF(SUMPRODUCT((measured[Site Name]=A564)*(measured[Date]=B564)*ISNUMBER(measured[Measured Value (kWh)]))=0,"",SUMIFS(measured[Measured Value (kWh)],measured[Site Name],A564,measured[Date],B564)),"")</f>
        <v>12744</v>
      </c>
      <c r="D564" cm="1">
        <f t="array" ref="D564">IFERROR(IF(SUMPRODUCT((expected_production[Site Name]=A564)*(expected_production[Date]=B564)*ISNUMBER(expected_production[Expected Production (kWh)]))=0,"",SUMIFS(expected_production[Expected Production (kWh)],expected_production[Site Name],A564,expected_production[Date],B564)),"")</f>
        <v>33214.400000000001</v>
      </c>
      <c r="E564" s="9">
        <f t="shared" si="18"/>
        <v>0.38368900236042197</v>
      </c>
      <c r="F564" t="str">
        <f t="shared" si="19"/>
        <v>Poor</v>
      </c>
    </row>
    <row r="565" spans="1:7" ht="15" customHeight="1" x14ac:dyDescent="0.3">
      <c r="A565" t="s">
        <v>95</v>
      </c>
      <c r="B565" s="2">
        <v>45992</v>
      </c>
      <c r="C565" cm="1">
        <f t="array" ref="C565">IFERROR(IF(SUMPRODUCT((measured[Site Name]=A565)*(measured[Date]=B565)*ISNUMBER(measured[Measured Value (kWh)]))=0,"",SUMIFS(measured[Measured Value (kWh)],measured[Site Name],A565,measured[Date],B565)),"")</f>
        <v>7631</v>
      </c>
      <c r="D565" cm="1">
        <f t="array" ref="D565">IFERROR(IF(SUMPRODUCT((expected_production[Site Name]=A565)*(expected_production[Date]=B565)*ISNUMBER(expected_production[Expected Production (kWh)]))=0,"",SUMIFS(expected_production[Expected Production (kWh)],expected_production[Site Name],A565,expected_production[Date],B565)),"")</f>
        <v>35066.400000000001</v>
      </c>
      <c r="E565" s="9">
        <f t="shared" si="18"/>
        <v>0.21761572331348528</v>
      </c>
      <c r="F565" t="str">
        <f t="shared" si="19"/>
        <v>Poor</v>
      </c>
    </row>
    <row r="566" spans="1:7" ht="15" customHeight="1" x14ac:dyDescent="0.3">
      <c r="A566" t="s">
        <v>95</v>
      </c>
      <c r="B566" s="2">
        <v>46023</v>
      </c>
      <c r="C566" cm="1">
        <f t="array" ref="C566">IFERROR(IF(SUMPRODUCT((measured[Site Name]=A566)*(measured[Date]=B566)*ISNUMBER(measured[Measured Value (kWh)]))=0,"",SUMIFS(measured[Measured Value (kWh)],measured[Site Name],A566,measured[Date],B566)),"")</f>
        <v>7744.97</v>
      </c>
      <c r="D566" cm="1">
        <f t="array" ref="D566">IFERROR(IF(SUMPRODUCT((expected_production[Site Name]=A566)*(expected_production[Date]=B566)*ISNUMBER(expected_production[Expected Production (kWh)]))=0,"",SUMIFS(expected_production[Expected Production (kWh)],expected_production[Site Name],A566,expected_production[Date],B566)),"")</f>
        <v>33516</v>
      </c>
      <c r="E566" s="9">
        <f t="shared" si="18"/>
        <v>0.2310827664399093</v>
      </c>
      <c r="F566" t="str">
        <f t="shared" si="19"/>
        <v>Poor</v>
      </c>
    </row>
    <row r="567" spans="1:7" ht="15" customHeight="1" x14ac:dyDescent="0.3">
      <c r="A567" t="s">
        <v>95</v>
      </c>
      <c r="B567" s="2">
        <v>46054</v>
      </c>
      <c r="C567" cm="1">
        <f t="array" ref="C567">IFERROR(IF(SUMPRODUCT((measured[Site Name]=A567)*(measured[Date]=B567)*ISNUMBER(measured[Measured Value (kWh)]))=0,"",SUMIFS(measured[Measured Value (kWh)],measured[Site Name],A567,measured[Date],B567)),"")</f>
        <v>13221</v>
      </c>
      <c r="D567" cm="1">
        <f t="array" ref="D567">IFERROR(IF(SUMPRODUCT((expected_production[Site Name]=A567)*(expected_production[Date]=B567)*ISNUMBER(expected_production[Expected Production (kWh)]))=0,"",SUMIFS(expected_production[Expected Production (kWh)],expected_production[Site Name],A567,expected_production[Date],B567)),"")</f>
        <v>28776.799999999999</v>
      </c>
      <c r="E567" s="9">
        <f t="shared" si="18"/>
        <v>0.4594325984821106</v>
      </c>
      <c r="F567" t="str">
        <f t="shared" si="19"/>
        <v>Poor</v>
      </c>
    </row>
    <row r="568" spans="1:7" ht="15" customHeight="1" x14ac:dyDescent="0.3">
      <c r="A568" t="s">
        <v>95</v>
      </c>
      <c r="B568" s="2">
        <v>46082</v>
      </c>
      <c r="C568" cm="1">
        <f t="array" ref="C568">IFERROR(IF(SUMPRODUCT((measured[Site Name]=A568)*(measured[Date]=B568)*ISNUMBER(measured[Measured Value (kWh)]))=0,"",SUMIFS(measured[Measured Value (kWh)],measured[Site Name],A568,measured[Date],B568)),"")</f>
        <v>14695</v>
      </c>
      <c r="D568" cm="1">
        <f t="array" ref="D568">IFERROR(IF(SUMPRODUCT((expected_production[Site Name]=A568)*(expected_production[Date]=B568)*ISNUMBER(expected_production[Expected Production (kWh)]))=0,"",SUMIFS(expected_production[Expected Production (kWh)],expected_production[Site Name],A568,expected_production[Date],B568)),"")</f>
        <v>29186.400000000001</v>
      </c>
      <c r="E568" s="9">
        <f t="shared" si="18"/>
        <v>0.50348792588328806</v>
      </c>
      <c r="F568" t="str">
        <f t="shared" si="19"/>
        <v>Poor</v>
      </c>
    </row>
    <row r="569" spans="1:7" ht="15" customHeight="1" x14ac:dyDescent="0.3">
      <c r="A569" t="s">
        <v>95</v>
      </c>
      <c r="B569" s="2">
        <v>46113</v>
      </c>
      <c r="C569" cm="1">
        <f t="array" ref="C569">IFERROR(IF(SUMPRODUCT((measured[Site Name]=A569)*(measured[Date]=B569)*ISNUMBER(measured[Measured Value (kWh)]))=0,"",SUMIFS(measured[Measured Value (kWh)],measured[Site Name],A569,measured[Date],B569)),"")</f>
        <v>14798.11</v>
      </c>
      <c r="D569" cm="1">
        <f t="array" ref="D569">IFERROR(IF(SUMPRODUCT((expected_production[Site Name]=A569)*(expected_production[Date]=B569)*ISNUMBER(expected_production[Expected Production (kWh)]))=0,"",SUMIFS(expected_production[Expected Production (kWh)],expected_production[Site Name],A569,expected_production[Date],B569)),"")</f>
        <v>24678.400000000001</v>
      </c>
      <c r="E569" s="9">
        <f t="shared" si="18"/>
        <v>0.59963814509854774</v>
      </c>
      <c r="F569" t="str">
        <f t="shared" si="19"/>
        <v>Poor</v>
      </c>
    </row>
    <row r="570" spans="1:7" ht="15" customHeight="1" x14ac:dyDescent="0.3">
      <c r="A570" t="s">
        <v>95</v>
      </c>
      <c r="B570" s="2">
        <v>46143</v>
      </c>
      <c r="C570" cm="1">
        <f t="array" ref="C570">IFERROR(IF(SUMPRODUCT((measured[Site Name]=A570)*(measured[Date]=B570)*ISNUMBER(measured[Measured Value (kWh)]))=0,"",SUMIFS(measured[Measured Value (kWh)],measured[Site Name],A570,measured[Date],B570)),"")</f>
        <v>13154.32</v>
      </c>
      <c r="D570" cm="1">
        <f t="array" ref="D570">IFERROR(IF(SUMPRODUCT((expected_production[Site Name]=A570)*(expected_production[Date]=B570)*ISNUMBER(expected_production[Expected Production (kWh)]))=0,"",SUMIFS(expected_production[Expected Production (kWh)],expected_production[Site Name],A570,expected_production[Date],B570)),"")</f>
        <v>23380.799999999999</v>
      </c>
      <c r="E570" s="9">
        <f t="shared" si="18"/>
        <v>0.56261205775679191</v>
      </c>
      <c r="F570" t="str">
        <f t="shared" si="19"/>
        <v>Poor</v>
      </c>
    </row>
    <row r="571" spans="1:7" ht="15" customHeight="1" x14ac:dyDescent="0.3">
      <c r="A571" t="s">
        <v>95</v>
      </c>
      <c r="B571" s="2">
        <v>46174</v>
      </c>
      <c r="C571" cm="1">
        <f t="array" ref="C571">IFERROR(IF(SUMPRODUCT((measured[Site Name]=A571)*(measured[Date]=B571)*ISNUMBER(measured[Measured Value (kWh)]))=0,"",SUMIFS(measured[Measured Value (kWh)],measured[Site Name],A571,measured[Date],B571)),"")</f>
        <v>11956.63</v>
      </c>
      <c r="D571" cm="1">
        <f t="array" ref="D571">IFERROR(IF(SUMPRODUCT((expected_production[Site Name]=A571)*(expected_production[Date]=B571)*ISNUMBER(expected_production[Expected Production (kWh)]))=0,"",SUMIFS(expected_production[Expected Production (kWh)],expected_production[Site Name],A571,expected_production[Date],B571)),"")</f>
        <v>20986.400000000001</v>
      </c>
      <c r="E571" s="9">
        <f t="shared" si="18"/>
        <v>0.56973230282468634</v>
      </c>
      <c r="F571" t="str">
        <f t="shared" si="19"/>
        <v>Poor</v>
      </c>
    </row>
    <row r="572" spans="1:7" ht="15" customHeight="1" x14ac:dyDescent="0.3">
      <c r="A572" t="s">
        <v>90</v>
      </c>
      <c r="B572" s="2">
        <v>46204</v>
      </c>
      <c r="C572" cm="1">
        <f t="array" ref="C572">IFERROR(IF(SUMPRODUCT((measured[Site Name]=A572)*(measured[Date]=B572)*ISNUMBER(measured[Measured Value (kWh)]))=0,"",SUMIFS(measured[Measured Value (kWh)],measured[Site Name],A572,measured[Date],B572)),"")</f>
        <v>3547</v>
      </c>
      <c r="D572" cm="1">
        <f t="array" ref="D572">IFERROR(IF(SUMPRODUCT((expected_production[Site Name]=A572)*(expected_production[Date]=B572)*ISNUMBER(expected_production[Expected Production (kWh)]))=0,"",SUMIFS(expected_production[Expected Production (kWh)],expected_production[Site Name],A572,expected_production[Date],B572)),"")</f>
        <v>3416.15</v>
      </c>
      <c r="E572" s="9">
        <f t="shared" si="18"/>
        <v>1.0383033531899946</v>
      </c>
      <c r="F572" t="str">
        <f t="shared" si="19"/>
        <v>Expected</v>
      </c>
      <c r="G572" t="s">
        <v>874</v>
      </c>
    </row>
    <row r="573" spans="1:7" ht="15" customHeight="1" x14ac:dyDescent="0.3">
      <c r="A573" t="s">
        <v>95</v>
      </c>
      <c r="B573" s="2">
        <v>46235</v>
      </c>
      <c r="C573" t="str" cm="1">
        <f t="array" ref="C573">IFERROR(IF(SUMPRODUCT((measured[Site Name]=A573)*(measured[Date]=B573)*ISNUMBER(measured[Measured Value (kWh)]))=0,"",SUMIFS(measured[Measured Value (kWh)],measured[Site Name],A573,measured[Date],B573)),"")</f>
        <v/>
      </c>
      <c r="D573" cm="1">
        <f t="array" ref="D573">IFERROR(IF(SUMPRODUCT((expected_production[Site Name]=A573)*(expected_production[Date]=B573)*ISNUMBER(expected_production[Expected Production (kWh)]))=0,"",SUMIFS(expected_production[Expected Production (kWh)],expected_production[Site Name],A573,expected_production[Date],B573)),"")</f>
        <v>27306.400000000001</v>
      </c>
      <c r="E573" s="9" t="str">
        <f t="shared" si="18"/>
        <v/>
      </c>
      <c r="F573" t="str">
        <f t="shared" si="19"/>
        <v/>
      </c>
    </row>
    <row r="574" spans="1:7" ht="15" customHeight="1" x14ac:dyDescent="0.3">
      <c r="A574" t="s">
        <v>95</v>
      </c>
      <c r="B574" s="2">
        <v>46266</v>
      </c>
      <c r="C574" t="str" cm="1">
        <f t="array" ref="C574">IFERROR(IF(SUMPRODUCT((measured[Site Name]=A574)*(measured[Date]=B574)*ISNUMBER(measured[Measured Value (kWh)]))=0,"",SUMIFS(measured[Measured Value (kWh)],measured[Site Name],A574,measured[Date],B574)),"")</f>
        <v/>
      </c>
      <c r="D574" cm="1">
        <f t="array" ref="D574">IFERROR(IF(SUMPRODUCT((expected_production[Site Name]=A574)*(expected_production[Date]=B574)*ISNUMBER(expected_production[Expected Production (kWh)]))=0,"",SUMIFS(expected_production[Expected Production (kWh)],expected_production[Site Name],A574,expected_production[Date],B574)),"")</f>
        <v>30312</v>
      </c>
      <c r="E574" s="9" t="str">
        <f t="shared" si="18"/>
        <v/>
      </c>
      <c r="F574" t="str">
        <f t="shared" si="19"/>
        <v/>
      </c>
    </row>
    <row r="575" spans="1:7" ht="15" customHeight="1" x14ac:dyDescent="0.3">
      <c r="A575" t="s">
        <v>95</v>
      </c>
      <c r="B575" s="2">
        <v>46296</v>
      </c>
      <c r="C575" t="str" cm="1">
        <f t="array" ref="C575">IFERROR(IF(SUMPRODUCT((measured[Site Name]=A575)*(measured[Date]=B575)*ISNUMBER(measured[Measured Value (kWh)]))=0,"",SUMIFS(measured[Measured Value (kWh)],measured[Site Name],A575,measured[Date],B575)),"")</f>
        <v/>
      </c>
      <c r="D575" cm="1">
        <f t="array" ref="D575">IFERROR(IF(SUMPRODUCT((expected_production[Site Name]=A575)*(expected_production[Date]=B575)*ISNUMBER(expected_production[Expected Production (kWh)]))=0,"",SUMIFS(expected_production[Expected Production (kWh)],expected_production[Site Name],A575,expected_production[Date],B575)),"")</f>
        <v>33024</v>
      </c>
      <c r="E575" s="9" t="str">
        <f t="shared" si="18"/>
        <v/>
      </c>
      <c r="F575" t="str">
        <f t="shared" si="19"/>
        <v/>
      </c>
    </row>
    <row r="576" spans="1:7" ht="15" customHeight="1" x14ac:dyDescent="0.3">
      <c r="A576" t="s">
        <v>95</v>
      </c>
      <c r="B576" s="2">
        <v>46327</v>
      </c>
      <c r="C576" t="str" cm="1">
        <f t="array" ref="C576">IFERROR(IF(SUMPRODUCT((measured[Site Name]=A576)*(measured[Date]=B576)*ISNUMBER(measured[Measured Value (kWh)]))=0,"",SUMIFS(measured[Measured Value (kWh)],measured[Site Name],A576,measured[Date],B576)),"")</f>
        <v/>
      </c>
      <c r="D576" cm="1">
        <f t="array" ref="D576">IFERROR(IF(SUMPRODUCT((expected_production[Site Name]=A576)*(expected_production[Date]=B576)*ISNUMBER(expected_production[Expected Production (kWh)]))=0,"",SUMIFS(expected_production[Expected Production (kWh)],expected_production[Site Name],A576,expected_production[Date],B576)),"")</f>
        <v>33214.400000000001</v>
      </c>
      <c r="E576" s="9" t="str">
        <f t="shared" si="18"/>
        <v/>
      </c>
      <c r="F576" t="str">
        <f t="shared" si="19"/>
        <v/>
      </c>
    </row>
    <row r="577" spans="1:6" ht="15" customHeight="1" x14ac:dyDescent="0.3">
      <c r="A577" t="s">
        <v>95</v>
      </c>
      <c r="B577" s="2">
        <v>46357</v>
      </c>
      <c r="C577" t="str" cm="1">
        <f t="array" ref="C577">IFERROR(IF(SUMPRODUCT((measured[Site Name]=A577)*(measured[Date]=B577)*ISNUMBER(measured[Measured Value (kWh)]))=0,"",SUMIFS(measured[Measured Value (kWh)],measured[Site Name],A577,measured[Date],B577)),"")</f>
        <v/>
      </c>
      <c r="D577" cm="1">
        <f t="array" ref="D577">IFERROR(IF(SUMPRODUCT((expected_production[Site Name]=A577)*(expected_production[Date]=B577)*ISNUMBER(expected_production[Expected Production (kWh)]))=0,"",SUMIFS(expected_production[Expected Production (kWh)],expected_production[Site Name],A577,expected_production[Date],B577)),"")</f>
        <v>35066.400000000001</v>
      </c>
      <c r="E577" s="9" t="str">
        <f t="shared" si="18"/>
        <v/>
      </c>
      <c r="F577" t="str">
        <f t="shared" si="19"/>
        <v/>
      </c>
    </row>
    <row r="578" spans="1:6" ht="15" customHeight="1" x14ac:dyDescent="0.3">
      <c r="A578" t="s">
        <v>239</v>
      </c>
      <c r="B578" s="2">
        <v>45292</v>
      </c>
      <c r="C578" t="str" cm="1">
        <f t="array" ref="C578">IFERROR(IF(SUMPRODUCT((measured[Site Name]=A578)*(measured[Date]=B578)*ISNUMBER(measured[Measured Value (kWh)]))=0,"",SUMIFS(measured[Measured Value (kWh)],measured[Site Name],A578,measured[Date],B578)),"")</f>
        <v/>
      </c>
      <c r="D578" cm="1">
        <f t="array" ref="D578">IFERROR(IF(SUMPRODUCT((expected_production[Site Name]=A578)*(expected_production[Date]=B578)*ISNUMBER(expected_production[Expected Production (kWh)]))=0,"",SUMIFS(expected_production[Expected Production (kWh)],expected_production[Site Name],A578,expected_production[Date],B578)),"")</f>
        <v>2461.5</v>
      </c>
      <c r="E578" s="9" t="str">
        <f t="shared" si="18"/>
        <v/>
      </c>
      <c r="F578" t="str">
        <f t="shared" si="19"/>
        <v/>
      </c>
    </row>
    <row r="579" spans="1:6" ht="15" customHeight="1" x14ac:dyDescent="0.3">
      <c r="A579" t="s">
        <v>239</v>
      </c>
      <c r="B579" s="2">
        <v>45323</v>
      </c>
      <c r="C579" t="str" cm="1">
        <f t="array" ref="C579">IFERROR(IF(SUMPRODUCT((measured[Site Name]=A579)*(measured[Date]=B579)*ISNUMBER(measured[Measured Value (kWh)]))=0,"",SUMIFS(measured[Measured Value (kWh)],measured[Site Name],A579,measured[Date],B579)),"")</f>
        <v/>
      </c>
      <c r="D579" cm="1">
        <f t="array" ref="D579">IFERROR(IF(SUMPRODUCT((expected_production[Site Name]=A579)*(expected_production[Date]=B579)*ISNUMBER(expected_production[Expected Production (kWh)]))=0,"",SUMIFS(expected_production[Expected Production (kWh)],expected_production[Site Name],A579,expected_production[Date],B579)),"")</f>
        <v>2300.4</v>
      </c>
      <c r="E579" s="9" t="str">
        <f t="shared" si="18"/>
        <v/>
      </c>
      <c r="F579" t="str">
        <f t="shared" si="19"/>
        <v/>
      </c>
    </row>
    <row r="580" spans="1:6" ht="15" customHeight="1" x14ac:dyDescent="0.3">
      <c r="A580" t="s">
        <v>239</v>
      </c>
      <c r="B580" s="2">
        <v>45352</v>
      </c>
      <c r="C580" t="str" cm="1">
        <f t="array" ref="C580">IFERROR(IF(SUMPRODUCT((measured[Site Name]=A580)*(measured[Date]=B580)*ISNUMBER(measured[Measured Value (kWh)]))=0,"",SUMIFS(measured[Measured Value (kWh)],measured[Site Name],A580,measured[Date],B580)),"")</f>
        <v/>
      </c>
      <c r="D580" cm="1">
        <f t="array" ref="D580">IFERROR(IF(SUMPRODUCT((expected_production[Site Name]=A580)*(expected_production[Date]=B580)*ISNUMBER(expected_production[Expected Production (kWh)]))=0,"",SUMIFS(expected_production[Expected Production (kWh)],expected_production[Site Name],A580,expected_production[Date],B580)),"")</f>
        <v>2281.5</v>
      </c>
      <c r="E580" s="9" t="str">
        <f t="shared" si="18"/>
        <v/>
      </c>
      <c r="F580" t="str">
        <f t="shared" si="19"/>
        <v/>
      </c>
    </row>
    <row r="581" spans="1:6" ht="15" customHeight="1" x14ac:dyDescent="0.3">
      <c r="A581" t="s">
        <v>239</v>
      </c>
      <c r="B581" s="2">
        <v>45383</v>
      </c>
      <c r="C581" t="str" cm="1">
        <f t="array" ref="C581">IFERROR(IF(SUMPRODUCT((measured[Site Name]=A581)*(measured[Date]=B581)*ISNUMBER(measured[Measured Value (kWh)]))=0,"",SUMIFS(measured[Measured Value (kWh)],measured[Site Name],A581,measured[Date],B581)),"")</f>
        <v/>
      </c>
      <c r="D581" cm="1">
        <f t="array" ref="D581">IFERROR(IF(SUMPRODUCT((expected_production[Site Name]=A581)*(expected_production[Date]=B581)*ISNUMBER(expected_production[Expected Production (kWh)]))=0,"",SUMIFS(expected_production[Expected Production (kWh)],expected_production[Site Name],A581,expected_production[Date],B581)),"")</f>
        <v>2197.8000000000002</v>
      </c>
      <c r="E581" s="9" t="str">
        <f t="shared" si="18"/>
        <v/>
      </c>
      <c r="F581" t="str">
        <f t="shared" si="19"/>
        <v/>
      </c>
    </row>
    <row r="582" spans="1:6" ht="15" customHeight="1" x14ac:dyDescent="0.3">
      <c r="A582" t="s">
        <v>239</v>
      </c>
      <c r="B582" s="2">
        <v>45413</v>
      </c>
      <c r="C582" t="str" cm="1">
        <f t="array" ref="C582">IFERROR(IF(SUMPRODUCT((measured[Site Name]=A582)*(measured[Date]=B582)*ISNUMBER(measured[Measured Value (kWh)]))=0,"",SUMIFS(measured[Measured Value (kWh)],measured[Site Name],A582,measured[Date],B582)),"")</f>
        <v/>
      </c>
      <c r="D582" cm="1">
        <f t="array" ref="D582">IFERROR(IF(SUMPRODUCT((expected_production[Site Name]=A582)*(expected_production[Date]=B582)*ISNUMBER(expected_production[Expected Production (kWh)]))=0,"",SUMIFS(expected_production[Expected Production (kWh)],expected_production[Site Name],A582,expected_production[Date],B582)),"")</f>
        <v>2226.6</v>
      </c>
      <c r="E582" s="9" t="str">
        <f t="shared" si="18"/>
        <v/>
      </c>
      <c r="F582" t="str">
        <f t="shared" si="19"/>
        <v/>
      </c>
    </row>
    <row r="583" spans="1:6" ht="15" customHeight="1" x14ac:dyDescent="0.3">
      <c r="A583" t="s">
        <v>239</v>
      </c>
      <c r="B583" s="2">
        <v>45444</v>
      </c>
      <c r="C583" t="str" cm="1">
        <f t="array" ref="C583">IFERROR(IF(SUMPRODUCT((measured[Site Name]=A583)*(measured[Date]=B583)*ISNUMBER(measured[Measured Value (kWh)]))=0,"",SUMIFS(measured[Measured Value (kWh)],measured[Site Name],A583,measured[Date],B583)),"")</f>
        <v/>
      </c>
      <c r="D583" cm="1">
        <f t="array" ref="D583">IFERROR(IF(SUMPRODUCT((expected_production[Site Name]=A583)*(expected_production[Date]=B583)*ISNUMBER(expected_production[Expected Production (kWh)]))=0,"",SUMIFS(expected_production[Expected Production (kWh)],expected_production[Site Name],A583,expected_production[Date],B583)),"")</f>
        <v>2480.4</v>
      </c>
      <c r="E583" s="9" t="str">
        <f t="shared" si="18"/>
        <v/>
      </c>
      <c r="F583" t="str">
        <f t="shared" si="19"/>
        <v/>
      </c>
    </row>
    <row r="584" spans="1:6" ht="15" customHeight="1" x14ac:dyDescent="0.3">
      <c r="A584" t="s">
        <v>239</v>
      </c>
      <c r="B584" s="2">
        <v>45474</v>
      </c>
      <c r="C584" t="str" cm="1">
        <f t="array" ref="C584">IFERROR(IF(SUMPRODUCT((measured[Site Name]=A584)*(measured[Date]=B584)*ISNUMBER(measured[Measured Value (kWh)]))=0,"",SUMIFS(measured[Measured Value (kWh)],measured[Site Name],A584,measured[Date],B584)),"")</f>
        <v/>
      </c>
      <c r="D584" cm="1">
        <f t="array" ref="D584">IFERROR(IF(SUMPRODUCT((expected_production[Site Name]=A584)*(expected_production[Date]=B584)*ISNUMBER(expected_production[Expected Production (kWh)]))=0,"",SUMIFS(expected_production[Expected Production (kWh)],expected_production[Site Name],A584,expected_production[Date],B584)),"")</f>
        <v>2349.9</v>
      </c>
      <c r="E584" s="9" t="str">
        <f t="shared" si="18"/>
        <v/>
      </c>
      <c r="F584" t="str">
        <f t="shared" si="19"/>
        <v/>
      </c>
    </row>
    <row r="585" spans="1:6" ht="15" customHeight="1" x14ac:dyDescent="0.3">
      <c r="A585" t="s">
        <v>239</v>
      </c>
      <c r="B585" s="2">
        <v>45505</v>
      </c>
      <c r="C585" t="str" cm="1">
        <f t="array" ref="C585">IFERROR(IF(SUMPRODUCT((measured[Site Name]=A585)*(measured[Date]=B585)*ISNUMBER(measured[Measured Value (kWh)]))=0,"",SUMIFS(measured[Measured Value (kWh)],measured[Site Name],A585,measured[Date],B585)),"")</f>
        <v/>
      </c>
      <c r="D585" cm="1">
        <f t="array" ref="D585">IFERROR(IF(SUMPRODUCT((expected_production[Site Name]=A585)*(expected_production[Date]=B585)*ISNUMBER(expected_production[Expected Production (kWh)]))=0,"",SUMIFS(expected_production[Expected Production (kWh)],expected_production[Site Name],A585,expected_production[Date],B585)),"")</f>
        <v>2520</v>
      </c>
      <c r="E585" s="9" t="str">
        <f t="shared" si="18"/>
        <v/>
      </c>
      <c r="F585" t="str">
        <f t="shared" si="19"/>
        <v/>
      </c>
    </row>
    <row r="586" spans="1:6" ht="15" customHeight="1" x14ac:dyDescent="0.3">
      <c r="A586" t="s">
        <v>239</v>
      </c>
      <c r="B586" s="2">
        <v>45536</v>
      </c>
      <c r="C586" t="str" cm="1">
        <f t="array" ref="C586">IFERROR(IF(SUMPRODUCT((measured[Site Name]=A586)*(measured[Date]=B586)*ISNUMBER(measured[Measured Value (kWh)]))=0,"",SUMIFS(measured[Measured Value (kWh)],measured[Site Name],A586,measured[Date],B586)),"")</f>
        <v/>
      </c>
      <c r="D586" cm="1">
        <f t="array" ref="D586">IFERROR(IF(SUMPRODUCT((expected_production[Site Name]=A586)*(expected_production[Date]=B586)*ISNUMBER(expected_production[Expected Production (kWh)]))=0,"",SUMIFS(expected_production[Expected Production (kWh)],expected_production[Site Name],A586,expected_production[Date],B586)),"")</f>
        <v>2436.3000000000002</v>
      </c>
      <c r="E586" s="9" t="str">
        <f t="shared" si="18"/>
        <v/>
      </c>
      <c r="F586" t="str">
        <f t="shared" si="19"/>
        <v/>
      </c>
    </row>
    <row r="587" spans="1:6" ht="15" customHeight="1" x14ac:dyDescent="0.3">
      <c r="A587" t="s">
        <v>239</v>
      </c>
      <c r="B587" s="2">
        <v>45566</v>
      </c>
      <c r="C587" t="str" cm="1">
        <f t="array" ref="C587">IFERROR(IF(SUMPRODUCT((measured[Site Name]=A587)*(measured[Date]=B587)*ISNUMBER(measured[Measured Value (kWh)]))=0,"",SUMIFS(measured[Measured Value (kWh)],measured[Site Name],A587,measured[Date],B587)),"")</f>
        <v/>
      </c>
      <c r="D587" cm="1">
        <f t="array" ref="D587">IFERROR(IF(SUMPRODUCT((expected_production[Site Name]=A587)*(expected_production[Date]=B587)*ISNUMBER(expected_production[Expected Production (kWh)]))=0,"",SUMIFS(expected_production[Expected Production (kWh)],expected_production[Site Name],A587,expected_production[Date],B587)),"")</f>
        <v>2425.5</v>
      </c>
      <c r="E587" s="9" t="str">
        <f t="shared" si="18"/>
        <v/>
      </c>
      <c r="F587" t="str">
        <f t="shared" si="19"/>
        <v/>
      </c>
    </row>
    <row r="588" spans="1:6" ht="15" customHeight="1" x14ac:dyDescent="0.3">
      <c r="A588" t="s">
        <v>239</v>
      </c>
      <c r="B588" s="2">
        <v>45597</v>
      </c>
      <c r="C588" t="str" cm="1">
        <f t="array" ref="C588">IFERROR(IF(SUMPRODUCT((measured[Site Name]=A588)*(measured[Date]=B588)*ISNUMBER(measured[Measured Value (kWh)]))=0,"",SUMIFS(measured[Measured Value (kWh)],measured[Site Name],A588,measured[Date],B588)),"")</f>
        <v/>
      </c>
      <c r="D588" cm="1">
        <f t="array" ref="D588">IFERROR(IF(SUMPRODUCT((expected_production[Site Name]=A588)*(expected_production[Date]=B588)*ISNUMBER(expected_production[Expected Production (kWh)]))=0,"",SUMIFS(expected_production[Expected Production (kWh)],expected_production[Site Name],A588,expected_production[Date],B588)),"")</f>
        <v>2356.1999999999998</v>
      </c>
      <c r="E588" s="9" t="str">
        <f t="shared" si="18"/>
        <v/>
      </c>
      <c r="F588" t="str">
        <f t="shared" si="19"/>
        <v/>
      </c>
    </row>
    <row r="589" spans="1:6" ht="15" customHeight="1" x14ac:dyDescent="0.3">
      <c r="A589" t="s">
        <v>239</v>
      </c>
      <c r="B589" s="2">
        <v>45627</v>
      </c>
      <c r="C589" t="str" cm="1">
        <f t="array" ref="C589">IFERROR(IF(SUMPRODUCT((measured[Site Name]=A589)*(measured[Date]=B589)*ISNUMBER(measured[Measured Value (kWh)]))=0,"",SUMIFS(measured[Measured Value (kWh)],measured[Site Name],A589,measured[Date],B589)),"")</f>
        <v/>
      </c>
      <c r="D589" cm="1">
        <f t="array" ref="D589">IFERROR(IF(SUMPRODUCT((expected_production[Site Name]=A589)*(expected_production[Date]=B589)*ISNUMBER(expected_production[Expected Production (kWh)]))=0,"",SUMIFS(expected_production[Expected Production (kWh)],expected_production[Site Name],A589,expected_production[Date],B589)),"")</f>
        <v>2437.1999999999998</v>
      </c>
      <c r="E589" s="9" t="str">
        <f t="shared" si="18"/>
        <v/>
      </c>
      <c r="F589" t="str">
        <f t="shared" si="19"/>
        <v/>
      </c>
    </row>
    <row r="590" spans="1:6" ht="15" customHeight="1" x14ac:dyDescent="0.3">
      <c r="A590" t="s">
        <v>239</v>
      </c>
      <c r="B590" s="2">
        <v>45658</v>
      </c>
      <c r="C590" t="str" cm="1">
        <f t="array" ref="C590">IFERROR(IF(SUMPRODUCT((measured[Site Name]=A590)*(measured[Date]=B590)*ISNUMBER(measured[Measured Value (kWh)]))=0,"",SUMIFS(measured[Measured Value (kWh)],measured[Site Name],A590,measured[Date],B590)),"")</f>
        <v/>
      </c>
      <c r="D590" cm="1">
        <f t="array" ref="D590">IFERROR(IF(SUMPRODUCT((expected_production[Site Name]=A590)*(expected_production[Date]=B590)*ISNUMBER(expected_production[Expected Production (kWh)]))=0,"",SUMIFS(expected_production[Expected Production (kWh)],expected_production[Site Name],A590,expected_production[Date],B590)),"")</f>
        <v>2461.5</v>
      </c>
      <c r="E590" s="9" t="str">
        <f t="shared" si="18"/>
        <v/>
      </c>
      <c r="F590" t="str">
        <f t="shared" si="19"/>
        <v/>
      </c>
    </row>
    <row r="591" spans="1:6" ht="15" customHeight="1" x14ac:dyDescent="0.3">
      <c r="A591" t="s">
        <v>239</v>
      </c>
      <c r="B591" s="2">
        <v>45689</v>
      </c>
      <c r="C591" t="str" cm="1">
        <f t="array" ref="C591">IFERROR(IF(SUMPRODUCT((measured[Site Name]=A591)*(measured[Date]=B591)*ISNUMBER(measured[Measured Value (kWh)]))=0,"",SUMIFS(measured[Measured Value (kWh)],measured[Site Name],A591,measured[Date],B591)),"")</f>
        <v/>
      </c>
      <c r="D591" cm="1">
        <f t="array" ref="D591">IFERROR(IF(SUMPRODUCT((expected_production[Site Name]=A591)*(expected_production[Date]=B591)*ISNUMBER(expected_production[Expected Production (kWh)]))=0,"",SUMIFS(expected_production[Expected Production (kWh)],expected_production[Site Name],A591,expected_production[Date],B591)),"")</f>
        <v>2300.4</v>
      </c>
      <c r="E591" s="9" t="str">
        <f t="shared" si="18"/>
        <v/>
      </c>
      <c r="F591" t="str">
        <f t="shared" si="19"/>
        <v/>
      </c>
    </row>
    <row r="592" spans="1:6" ht="15" customHeight="1" x14ac:dyDescent="0.3">
      <c r="A592" t="s">
        <v>239</v>
      </c>
      <c r="B592" s="2">
        <v>45717</v>
      </c>
      <c r="C592" t="str" cm="1">
        <f t="array" ref="C592">IFERROR(IF(SUMPRODUCT((measured[Site Name]=A592)*(measured[Date]=B592)*ISNUMBER(measured[Measured Value (kWh)]))=0,"",SUMIFS(measured[Measured Value (kWh)],measured[Site Name],A592,measured[Date],B592)),"")</f>
        <v/>
      </c>
      <c r="D592" cm="1">
        <f t="array" ref="D592">IFERROR(IF(SUMPRODUCT((expected_production[Site Name]=A592)*(expected_production[Date]=B592)*ISNUMBER(expected_production[Expected Production (kWh)]))=0,"",SUMIFS(expected_production[Expected Production (kWh)],expected_production[Site Name],A592,expected_production[Date],B592)),"")</f>
        <v>2281.5</v>
      </c>
      <c r="E592" s="9" t="str">
        <f t="shared" si="18"/>
        <v/>
      </c>
      <c r="F592" t="str">
        <f t="shared" si="19"/>
        <v/>
      </c>
    </row>
    <row r="593" spans="1:7" ht="15" customHeight="1" x14ac:dyDescent="0.3">
      <c r="A593" t="s">
        <v>239</v>
      </c>
      <c r="B593" s="2">
        <v>45748</v>
      </c>
      <c r="C593" t="str" cm="1">
        <f t="array" ref="C593">IFERROR(IF(SUMPRODUCT((measured[Site Name]=A593)*(measured[Date]=B593)*ISNUMBER(measured[Measured Value (kWh)]))=0,"",SUMIFS(measured[Measured Value (kWh)],measured[Site Name],A593,measured[Date],B593)),"")</f>
        <v/>
      </c>
      <c r="D593" cm="1">
        <f t="array" ref="D593">IFERROR(IF(SUMPRODUCT((expected_production[Site Name]=A593)*(expected_production[Date]=B593)*ISNUMBER(expected_production[Expected Production (kWh)]))=0,"",SUMIFS(expected_production[Expected Production (kWh)],expected_production[Site Name],A593,expected_production[Date],B593)),"")</f>
        <v>2197.8000000000002</v>
      </c>
      <c r="E593" s="9" t="str">
        <f t="shared" si="18"/>
        <v/>
      </c>
      <c r="F593" t="str">
        <f t="shared" si="19"/>
        <v/>
      </c>
    </row>
    <row r="594" spans="1:7" ht="15" customHeight="1" x14ac:dyDescent="0.3">
      <c r="A594" t="s">
        <v>239</v>
      </c>
      <c r="B594" s="2">
        <v>45778</v>
      </c>
      <c r="C594" t="str" cm="1">
        <f t="array" ref="C594">IFERROR(IF(SUMPRODUCT((measured[Site Name]=A594)*(measured[Date]=B594)*ISNUMBER(measured[Measured Value (kWh)]))=0,"",SUMIFS(measured[Measured Value (kWh)],measured[Site Name],A594,measured[Date],B594)),"")</f>
        <v/>
      </c>
      <c r="D594" cm="1">
        <f t="array" ref="D594">IFERROR(IF(SUMPRODUCT((expected_production[Site Name]=A594)*(expected_production[Date]=B594)*ISNUMBER(expected_production[Expected Production (kWh)]))=0,"",SUMIFS(expected_production[Expected Production (kWh)],expected_production[Site Name],A594,expected_production[Date],B594)),"")</f>
        <v>2226.6</v>
      </c>
      <c r="E594" s="9" t="str">
        <f t="shared" si="18"/>
        <v/>
      </c>
      <c r="F594" t="str">
        <f t="shared" si="19"/>
        <v/>
      </c>
    </row>
    <row r="595" spans="1:7" ht="15" customHeight="1" x14ac:dyDescent="0.3">
      <c r="A595" t="s">
        <v>239</v>
      </c>
      <c r="B595" s="2">
        <v>45809</v>
      </c>
      <c r="C595" t="str" cm="1">
        <f t="array" ref="C595">IFERROR(IF(SUMPRODUCT((measured[Site Name]=A595)*(measured[Date]=B595)*ISNUMBER(measured[Measured Value (kWh)]))=0,"",SUMIFS(measured[Measured Value (kWh)],measured[Site Name],A595,measured[Date],B595)),"")</f>
        <v/>
      </c>
      <c r="D595" cm="1">
        <f t="array" ref="D595">IFERROR(IF(SUMPRODUCT((expected_production[Site Name]=A595)*(expected_production[Date]=B595)*ISNUMBER(expected_production[Expected Production (kWh)]))=0,"",SUMIFS(expected_production[Expected Production (kWh)],expected_production[Site Name],A595,expected_production[Date],B595)),"")</f>
        <v>2480.4</v>
      </c>
      <c r="E595" s="9" t="str">
        <f t="shared" si="18"/>
        <v/>
      </c>
      <c r="F595" t="str">
        <f t="shared" si="19"/>
        <v/>
      </c>
    </row>
    <row r="596" spans="1:7" ht="15" customHeight="1" x14ac:dyDescent="0.3">
      <c r="A596" t="s">
        <v>239</v>
      </c>
      <c r="B596" s="2">
        <v>45839</v>
      </c>
      <c r="C596" t="str" cm="1">
        <f t="array" ref="C596">IFERROR(IF(SUMPRODUCT((measured[Site Name]=A596)*(measured[Date]=B596)*ISNUMBER(measured[Measured Value (kWh)]))=0,"",SUMIFS(measured[Measured Value (kWh)],measured[Site Name],A596,measured[Date],B596)),"")</f>
        <v/>
      </c>
      <c r="D596" cm="1">
        <f t="array" ref="D596">IFERROR(IF(SUMPRODUCT((expected_production[Site Name]=A596)*(expected_production[Date]=B596)*ISNUMBER(expected_production[Expected Production (kWh)]))=0,"",SUMIFS(expected_production[Expected Production (kWh)],expected_production[Site Name],A596,expected_production[Date],B596)),"")</f>
        <v>2349.9</v>
      </c>
      <c r="E596" s="9" t="str">
        <f t="shared" si="18"/>
        <v/>
      </c>
      <c r="F596" t="str">
        <f t="shared" si="19"/>
        <v/>
      </c>
    </row>
    <row r="597" spans="1:7" ht="15" customHeight="1" x14ac:dyDescent="0.3">
      <c r="A597" t="s">
        <v>239</v>
      </c>
      <c r="B597" s="2">
        <v>45870</v>
      </c>
      <c r="C597" t="str" cm="1">
        <f t="array" ref="C597">IFERROR(IF(SUMPRODUCT((measured[Site Name]=A597)*(measured[Date]=B597)*ISNUMBER(measured[Measured Value (kWh)]))=0,"",SUMIFS(measured[Measured Value (kWh)],measured[Site Name],A597,measured[Date],B597)),"")</f>
        <v/>
      </c>
      <c r="D597" cm="1">
        <f t="array" ref="D597">IFERROR(IF(SUMPRODUCT((expected_production[Site Name]=A597)*(expected_production[Date]=B597)*ISNUMBER(expected_production[Expected Production (kWh)]))=0,"",SUMIFS(expected_production[Expected Production (kWh)],expected_production[Site Name],A597,expected_production[Date],B597)),"")</f>
        <v>2520</v>
      </c>
      <c r="E597" s="9" t="str">
        <f t="shared" si="18"/>
        <v/>
      </c>
      <c r="F597" t="str">
        <f t="shared" si="19"/>
        <v/>
      </c>
    </row>
    <row r="598" spans="1:7" ht="15" customHeight="1" x14ac:dyDescent="0.3">
      <c r="A598" t="s">
        <v>239</v>
      </c>
      <c r="B598" s="2">
        <v>45901</v>
      </c>
      <c r="C598" t="str" cm="1">
        <f t="array" ref="C598">IFERROR(IF(SUMPRODUCT((measured[Site Name]=A598)*(measured[Date]=B598)*ISNUMBER(measured[Measured Value (kWh)]))=0,"",SUMIFS(measured[Measured Value (kWh)],measured[Site Name],A598,measured[Date],B598)),"")</f>
        <v/>
      </c>
      <c r="D598" cm="1">
        <f t="array" ref="D598">IFERROR(IF(SUMPRODUCT((expected_production[Site Name]=A598)*(expected_production[Date]=B598)*ISNUMBER(expected_production[Expected Production (kWh)]))=0,"",SUMIFS(expected_production[Expected Production (kWh)],expected_production[Site Name],A598,expected_production[Date],B598)),"")</f>
        <v>2436.3000000000002</v>
      </c>
      <c r="E598" s="9" t="str">
        <f t="shared" si="18"/>
        <v/>
      </c>
      <c r="F598" t="str">
        <f t="shared" si="19"/>
        <v/>
      </c>
    </row>
    <row r="599" spans="1:7" ht="15" customHeight="1" x14ac:dyDescent="0.3">
      <c r="A599" t="s">
        <v>239</v>
      </c>
      <c r="B599" s="2">
        <v>45931</v>
      </c>
      <c r="C599" t="str" cm="1">
        <f t="array" ref="C599">IFERROR(IF(SUMPRODUCT((measured[Site Name]=A599)*(measured[Date]=B599)*ISNUMBER(measured[Measured Value (kWh)]))=0,"",SUMIFS(measured[Measured Value (kWh)],measured[Site Name],A599,measured[Date],B599)),"")</f>
        <v/>
      </c>
      <c r="D599" cm="1">
        <f t="array" ref="D599">IFERROR(IF(SUMPRODUCT((expected_production[Site Name]=A599)*(expected_production[Date]=B599)*ISNUMBER(expected_production[Expected Production (kWh)]))=0,"",SUMIFS(expected_production[Expected Production (kWh)],expected_production[Site Name],A599,expected_production[Date],B599)),"")</f>
        <v>2425.5</v>
      </c>
      <c r="E599" s="9" t="str">
        <f t="shared" si="18"/>
        <v/>
      </c>
      <c r="F599" t="str">
        <f t="shared" si="19"/>
        <v/>
      </c>
    </row>
    <row r="600" spans="1:7" ht="15" customHeight="1" x14ac:dyDescent="0.3">
      <c r="A600" t="s">
        <v>239</v>
      </c>
      <c r="B600" s="2">
        <v>45962</v>
      </c>
      <c r="C600" t="str" cm="1">
        <f t="array" ref="C600">IFERROR(IF(SUMPRODUCT((measured[Site Name]=A600)*(measured[Date]=B600)*ISNUMBER(measured[Measured Value (kWh)]))=0,"",SUMIFS(measured[Measured Value (kWh)],measured[Site Name],A600,measured[Date],B600)),"")</f>
        <v/>
      </c>
      <c r="D600" cm="1">
        <f t="array" ref="D600">IFERROR(IF(SUMPRODUCT((expected_production[Site Name]=A600)*(expected_production[Date]=B600)*ISNUMBER(expected_production[Expected Production (kWh)]))=0,"",SUMIFS(expected_production[Expected Production (kWh)],expected_production[Site Name],A600,expected_production[Date],B600)),"")</f>
        <v>2356.1999999999998</v>
      </c>
      <c r="E600" s="9" t="str">
        <f t="shared" si="18"/>
        <v/>
      </c>
      <c r="F600" t="str">
        <f t="shared" si="19"/>
        <v/>
      </c>
    </row>
    <row r="601" spans="1:7" ht="15" customHeight="1" x14ac:dyDescent="0.3">
      <c r="A601" t="s">
        <v>239</v>
      </c>
      <c r="B601" s="2">
        <v>45992</v>
      </c>
      <c r="C601" t="str" cm="1">
        <f t="array" ref="C601">IFERROR(IF(SUMPRODUCT((measured[Site Name]=A601)*(measured[Date]=B601)*ISNUMBER(measured[Measured Value (kWh)]))=0,"",SUMIFS(measured[Measured Value (kWh)],measured[Site Name],A601,measured[Date],B601)),"")</f>
        <v/>
      </c>
      <c r="D601" cm="1">
        <f t="array" ref="D601">IFERROR(IF(SUMPRODUCT((expected_production[Site Name]=A601)*(expected_production[Date]=B601)*ISNUMBER(expected_production[Expected Production (kWh)]))=0,"",SUMIFS(expected_production[Expected Production (kWh)],expected_production[Site Name],A601,expected_production[Date],B601)),"")</f>
        <v>2437.1999999999998</v>
      </c>
      <c r="E601" s="9" t="str">
        <f t="shared" si="18"/>
        <v/>
      </c>
      <c r="F601" t="str">
        <f t="shared" si="19"/>
        <v/>
      </c>
    </row>
    <row r="602" spans="1:7" ht="15" customHeight="1" x14ac:dyDescent="0.3">
      <c r="A602" t="s">
        <v>239</v>
      </c>
      <c r="B602" s="2">
        <v>46023</v>
      </c>
      <c r="C602" cm="1">
        <f t="array" ref="C602">IFERROR(IF(SUMPRODUCT((measured[Site Name]=A602)*(measured[Date]=B602)*ISNUMBER(measured[Measured Value (kWh)]))=0,"",SUMIFS(measured[Measured Value (kWh)],measured[Site Name],A602,measured[Date],B602)),"")</f>
        <v>3245</v>
      </c>
      <c r="D602" cm="1">
        <f t="array" ref="D602">IFERROR(IF(SUMPRODUCT((expected_production[Site Name]=A602)*(expected_production[Date]=B602)*ISNUMBER(expected_production[Expected Production (kWh)]))=0,"",SUMIFS(expected_production[Expected Production (kWh)],expected_production[Site Name],A602,expected_production[Date],B602)),"")</f>
        <v>2461.5</v>
      </c>
      <c r="E602" s="9">
        <f t="shared" si="18"/>
        <v>1.3183018484663822</v>
      </c>
      <c r="F602" t="str">
        <f t="shared" si="19"/>
        <v>Expected</v>
      </c>
    </row>
    <row r="603" spans="1:7" ht="15" customHeight="1" x14ac:dyDescent="0.3">
      <c r="A603" t="s">
        <v>239</v>
      </c>
      <c r="B603" s="2">
        <v>46054</v>
      </c>
      <c r="C603" cm="1">
        <f t="array" ref="C603">IFERROR(IF(SUMPRODUCT((measured[Site Name]=A603)*(measured[Date]=B603)*ISNUMBER(measured[Measured Value (kWh)]))=0,"",SUMIFS(measured[Measured Value (kWh)],measured[Site Name],A603,measured[Date],B603)),"")</f>
        <v>3122</v>
      </c>
      <c r="D603" cm="1">
        <f t="array" ref="D603">IFERROR(IF(SUMPRODUCT((expected_production[Site Name]=A603)*(expected_production[Date]=B603)*ISNUMBER(expected_production[Expected Production (kWh)]))=0,"",SUMIFS(expected_production[Expected Production (kWh)],expected_production[Site Name],A603,expected_production[Date],B603)),"")</f>
        <v>2300.4</v>
      </c>
      <c r="E603" s="9">
        <f t="shared" si="18"/>
        <v>1.3571552773430706</v>
      </c>
      <c r="F603" t="str">
        <f t="shared" si="19"/>
        <v>Expected</v>
      </c>
    </row>
    <row r="604" spans="1:7" ht="15" customHeight="1" x14ac:dyDescent="0.3">
      <c r="A604" t="s">
        <v>239</v>
      </c>
      <c r="B604" s="2">
        <v>46082</v>
      </c>
      <c r="C604" cm="1">
        <f t="array" ref="C604">IFERROR(IF(SUMPRODUCT((measured[Site Name]=A604)*(measured[Date]=B604)*ISNUMBER(measured[Measured Value (kWh)]))=0,"",SUMIFS(measured[Measured Value (kWh)],measured[Site Name],A604,measured[Date],B604)),"")</f>
        <v>2817</v>
      </c>
      <c r="D604" cm="1">
        <f t="array" ref="D604">IFERROR(IF(SUMPRODUCT((expected_production[Site Name]=A604)*(expected_production[Date]=B604)*ISNUMBER(expected_production[Expected Production (kWh)]))=0,"",SUMIFS(expected_production[Expected Production (kWh)],expected_production[Site Name],A604,expected_production[Date],B604)),"")</f>
        <v>2281.5</v>
      </c>
      <c r="E604" s="9">
        <f t="shared" si="18"/>
        <v>1.2347140039447733</v>
      </c>
      <c r="F604" t="str">
        <f t="shared" si="19"/>
        <v>Expected</v>
      </c>
    </row>
    <row r="605" spans="1:7" ht="15" customHeight="1" x14ac:dyDescent="0.3">
      <c r="A605" t="s">
        <v>239</v>
      </c>
      <c r="B605" s="2">
        <v>46113</v>
      </c>
      <c r="C605" cm="1">
        <f t="array" ref="C605">IFERROR(IF(SUMPRODUCT((measured[Site Name]=A605)*(measured[Date]=B605)*ISNUMBER(measured[Measured Value (kWh)]))=0,"",SUMIFS(measured[Measured Value (kWh)],measured[Site Name],A605,measured[Date],B605)),"")</f>
        <v>2735.53</v>
      </c>
      <c r="D605" cm="1">
        <f t="array" ref="D605">IFERROR(IF(SUMPRODUCT((expected_production[Site Name]=A605)*(expected_production[Date]=B605)*ISNUMBER(expected_production[Expected Production (kWh)]))=0,"",SUMIFS(expected_production[Expected Production (kWh)],expected_production[Site Name],A605,expected_production[Date],B605)),"")</f>
        <v>2197.8000000000002</v>
      </c>
      <c r="E605" s="9">
        <f t="shared" si="18"/>
        <v>1.2446673946673947</v>
      </c>
      <c r="F605" t="str">
        <f t="shared" si="19"/>
        <v>Expected</v>
      </c>
    </row>
    <row r="606" spans="1:7" ht="15" customHeight="1" x14ac:dyDescent="0.3">
      <c r="A606" t="s">
        <v>239</v>
      </c>
      <c r="B606" s="2">
        <v>46143</v>
      </c>
      <c r="C606" cm="1">
        <f t="array" ref="C606">IFERROR(IF(SUMPRODUCT((measured[Site Name]=A606)*(measured[Date]=B606)*ISNUMBER(measured[Measured Value (kWh)]))=0,"",SUMIFS(measured[Measured Value (kWh)],measured[Site Name],A606,measured[Date],B606)),"")</f>
        <v>3239.91</v>
      </c>
      <c r="D606" cm="1">
        <f t="array" ref="D606">IFERROR(IF(SUMPRODUCT((expected_production[Site Name]=A606)*(expected_production[Date]=B606)*ISNUMBER(expected_production[Expected Production (kWh)]))=0,"",SUMIFS(expected_production[Expected Production (kWh)],expected_production[Site Name],A606,expected_production[Date],B606)),"")</f>
        <v>2226.6</v>
      </c>
      <c r="E606" s="9">
        <f t="shared" si="18"/>
        <v>1.455092966855295</v>
      </c>
      <c r="F606" t="str">
        <f t="shared" si="19"/>
        <v>Expected</v>
      </c>
    </row>
    <row r="607" spans="1:7" ht="15" customHeight="1" x14ac:dyDescent="0.3">
      <c r="A607" t="s">
        <v>239</v>
      </c>
      <c r="B607" s="2">
        <v>46174</v>
      </c>
      <c r="C607" cm="1">
        <f t="array" ref="C607">IFERROR(IF(SUMPRODUCT((measured[Site Name]=A607)*(measured[Date]=B607)*ISNUMBER(measured[Measured Value (kWh)]))=0,"",SUMIFS(measured[Measured Value (kWh)],measured[Site Name],A607,measured[Date],B607)),"")</f>
        <v>2723</v>
      </c>
      <c r="D607" cm="1">
        <f t="array" ref="D607">IFERROR(IF(SUMPRODUCT((expected_production[Site Name]=A607)*(expected_production[Date]=B607)*ISNUMBER(expected_production[Expected Production (kWh)]))=0,"",SUMIFS(expected_production[Expected Production (kWh)],expected_production[Site Name],A607,expected_production[Date],B607)),"")</f>
        <v>2480.4</v>
      </c>
      <c r="E607" s="9">
        <f t="shared" si="18"/>
        <v>1.0978068053539751</v>
      </c>
      <c r="F607" t="str">
        <f t="shared" si="19"/>
        <v>Expected</v>
      </c>
    </row>
    <row r="608" spans="1:7" ht="15" customHeight="1" x14ac:dyDescent="0.3">
      <c r="A608" t="s">
        <v>93</v>
      </c>
      <c r="B608" s="2">
        <v>46204</v>
      </c>
      <c r="C608" cm="1">
        <f t="array" ref="C608">IFERROR(IF(SUMPRODUCT((measured[Site Name]=A608)*(measured[Date]=B608)*ISNUMBER(measured[Measured Value (kWh)]))=0,"",SUMIFS(measured[Measured Value (kWh)],measured[Site Name],A608,measured[Date],B608)),"")</f>
        <v>0</v>
      </c>
      <c r="D608" cm="1">
        <f t="array" ref="D608">IFERROR(IF(SUMPRODUCT((expected_production[Site Name]=A608)*(expected_production[Date]=B608)*ISNUMBER(expected_production[Expected Production (kWh)]))=0,"",SUMIFS(expected_production[Expected Production (kWh)],expected_production[Site Name],A608,expected_production[Date],B608)),"")</f>
        <v>6453</v>
      </c>
      <c r="E608" s="9">
        <f t="shared" ref="E608:E671" si="20">IF(OR(C608="",D608="",D608=0),"",C608/D608)</f>
        <v>0</v>
      </c>
      <c r="F608" t="str">
        <f t="shared" ref="F608:F671" si="21">IF(E608="","",IF(E608&gt;=0.9,"Expected",IF(E608&gt;=0.7,"Moderate","Poor")))</f>
        <v>Poor</v>
      </c>
      <c r="G608" t="s">
        <v>875</v>
      </c>
    </row>
    <row r="609" spans="1:6" ht="15" customHeight="1" x14ac:dyDescent="0.3">
      <c r="A609" t="s">
        <v>239</v>
      </c>
      <c r="B609" s="2">
        <v>46235</v>
      </c>
      <c r="C609" t="str" cm="1">
        <f t="array" ref="C609">IFERROR(IF(SUMPRODUCT((measured[Site Name]=A609)*(measured[Date]=B609)*ISNUMBER(measured[Measured Value (kWh)]))=0,"",SUMIFS(measured[Measured Value (kWh)],measured[Site Name],A609,measured[Date],B609)),"")</f>
        <v/>
      </c>
      <c r="D609" cm="1">
        <f t="array" ref="D609">IFERROR(IF(SUMPRODUCT((expected_production[Site Name]=A609)*(expected_production[Date]=B609)*ISNUMBER(expected_production[Expected Production (kWh)]))=0,"",SUMIFS(expected_production[Expected Production (kWh)],expected_production[Site Name],A609,expected_production[Date],B609)),"")</f>
        <v>2520</v>
      </c>
      <c r="E609" s="9" t="str">
        <f t="shared" si="20"/>
        <v/>
      </c>
      <c r="F609" t="str">
        <f t="shared" si="21"/>
        <v/>
      </c>
    </row>
    <row r="610" spans="1:6" ht="15" customHeight="1" x14ac:dyDescent="0.3">
      <c r="A610" t="s">
        <v>239</v>
      </c>
      <c r="B610" s="2">
        <v>46266</v>
      </c>
      <c r="C610" t="str" cm="1">
        <f t="array" ref="C610">IFERROR(IF(SUMPRODUCT((measured[Site Name]=A610)*(measured[Date]=B610)*ISNUMBER(measured[Measured Value (kWh)]))=0,"",SUMIFS(measured[Measured Value (kWh)],measured[Site Name],A610,measured[Date],B610)),"")</f>
        <v/>
      </c>
      <c r="D610" cm="1">
        <f t="array" ref="D610">IFERROR(IF(SUMPRODUCT((expected_production[Site Name]=A610)*(expected_production[Date]=B610)*ISNUMBER(expected_production[Expected Production (kWh)]))=0,"",SUMIFS(expected_production[Expected Production (kWh)],expected_production[Site Name],A610,expected_production[Date],B610)),"")</f>
        <v>2436.3000000000002</v>
      </c>
      <c r="E610" s="9" t="str">
        <f t="shared" si="20"/>
        <v/>
      </c>
      <c r="F610" t="str">
        <f t="shared" si="21"/>
        <v/>
      </c>
    </row>
    <row r="611" spans="1:6" ht="15" customHeight="1" x14ac:dyDescent="0.3">
      <c r="A611" t="s">
        <v>239</v>
      </c>
      <c r="B611" s="2">
        <v>46296</v>
      </c>
      <c r="C611" t="str" cm="1">
        <f t="array" ref="C611">IFERROR(IF(SUMPRODUCT((measured[Site Name]=A611)*(measured[Date]=B611)*ISNUMBER(measured[Measured Value (kWh)]))=0,"",SUMIFS(measured[Measured Value (kWh)],measured[Site Name],A611,measured[Date],B611)),"")</f>
        <v/>
      </c>
      <c r="D611" cm="1">
        <f t="array" ref="D611">IFERROR(IF(SUMPRODUCT((expected_production[Site Name]=A611)*(expected_production[Date]=B611)*ISNUMBER(expected_production[Expected Production (kWh)]))=0,"",SUMIFS(expected_production[Expected Production (kWh)],expected_production[Site Name],A611,expected_production[Date],B611)),"")</f>
        <v>2425.5</v>
      </c>
      <c r="E611" s="9" t="str">
        <f t="shared" si="20"/>
        <v/>
      </c>
      <c r="F611" t="str">
        <f t="shared" si="21"/>
        <v/>
      </c>
    </row>
    <row r="612" spans="1:6" ht="15" customHeight="1" x14ac:dyDescent="0.3">
      <c r="A612" t="s">
        <v>239</v>
      </c>
      <c r="B612" s="2">
        <v>46327</v>
      </c>
      <c r="C612" t="str" cm="1">
        <f t="array" ref="C612">IFERROR(IF(SUMPRODUCT((measured[Site Name]=A612)*(measured[Date]=B612)*ISNUMBER(measured[Measured Value (kWh)]))=0,"",SUMIFS(measured[Measured Value (kWh)],measured[Site Name],A612,measured[Date],B612)),"")</f>
        <v/>
      </c>
      <c r="D612" cm="1">
        <f t="array" ref="D612">IFERROR(IF(SUMPRODUCT((expected_production[Site Name]=A612)*(expected_production[Date]=B612)*ISNUMBER(expected_production[Expected Production (kWh)]))=0,"",SUMIFS(expected_production[Expected Production (kWh)],expected_production[Site Name],A612,expected_production[Date],B612)),"")</f>
        <v>2356.1999999999998</v>
      </c>
      <c r="E612" s="9" t="str">
        <f t="shared" si="20"/>
        <v/>
      </c>
      <c r="F612" t="str">
        <f t="shared" si="21"/>
        <v/>
      </c>
    </row>
    <row r="613" spans="1:6" ht="15" customHeight="1" x14ac:dyDescent="0.3">
      <c r="A613" t="s">
        <v>239</v>
      </c>
      <c r="B613" s="2">
        <v>46357</v>
      </c>
      <c r="C613" t="str" cm="1">
        <f t="array" ref="C613">IFERROR(IF(SUMPRODUCT((measured[Site Name]=A613)*(measured[Date]=B613)*ISNUMBER(measured[Measured Value (kWh)]))=0,"",SUMIFS(measured[Measured Value (kWh)],measured[Site Name],A613,measured[Date],B613)),"")</f>
        <v/>
      </c>
      <c r="D613" cm="1">
        <f t="array" ref="D613">IFERROR(IF(SUMPRODUCT((expected_production[Site Name]=A613)*(expected_production[Date]=B613)*ISNUMBER(expected_production[Expected Production (kWh)]))=0,"",SUMIFS(expected_production[Expected Production (kWh)],expected_production[Site Name],A613,expected_production[Date],B613)),"")</f>
        <v>2437.1999999999998</v>
      </c>
      <c r="E613" s="9" t="str">
        <f t="shared" si="20"/>
        <v/>
      </c>
      <c r="F613" t="str">
        <f t="shared" si="21"/>
        <v/>
      </c>
    </row>
    <row r="614" spans="1:6" ht="15" customHeight="1" x14ac:dyDescent="0.3">
      <c r="A614" t="s">
        <v>98</v>
      </c>
      <c r="B614" s="2">
        <v>45292</v>
      </c>
      <c r="C614" cm="1">
        <f t="array" ref="C614">IFERROR(IF(SUMPRODUCT((measured[Site Name]=A614)*(measured[Date]=B614)*ISNUMBER(measured[Measured Value (kWh)]))=0,"",SUMIFS(measured[Measured Value (kWh)],measured[Site Name],A614,measured[Date],B614)),"")</f>
        <v>9736</v>
      </c>
      <c r="D614" cm="1">
        <f t="array" ref="D614">IFERROR(IF(SUMPRODUCT((expected_production[Site Name]=A614)*(expected_production[Date]=B614)*ISNUMBER(expected_production[Expected Production (kWh)]))=0,"",SUMIFS(expected_production[Expected Production (kWh)],expected_production[Site Name],A614,expected_production[Date],B614)),"")</f>
        <v>13584</v>
      </c>
      <c r="E614" s="9">
        <f t="shared" si="20"/>
        <v>0.71672555948174321</v>
      </c>
      <c r="F614" t="str">
        <f t="shared" si="21"/>
        <v>Moderate</v>
      </c>
    </row>
    <row r="615" spans="1:6" ht="15" customHeight="1" x14ac:dyDescent="0.3">
      <c r="A615" t="s">
        <v>98</v>
      </c>
      <c r="B615" s="2">
        <v>45323</v>
      </c>
      <c r="C615" cm="1">
        <f t="array" ref="C615">IFERROR(IF(SUMPRODUCT((measured[Site Name]=A615)*(measured[Date]=B615)*ISNUMBER(measured[Measured Value (kWh)]))=0,"",SUMIFS(measured[Measured Value (kWh)],measured[Site Name],A615,measured[Date],B615)),"")</f>
        <v>8912</v>
      </c>
      <c r="D615" cm="1">
        <f t="array" ref="D615">IFERROR(IF(SUMPRODUCT((expected_production[Site Name]=A615)*(expected_production[Date]=B615)*ISNUMBER(expected_production[Expected Production (kWh)]))=0,"",SUMIFS(expected_production[Expected Production (kWh)],expected_production[Site Name],A615,expected_production[Date],B615)),"")</f>
        <v>12445.28</v>
      </c>
      <c r="E615" s="9">
        <f t="shared" si="20"/>
        <v>0.71609477649357822</v>
      </c>
      <c r="F615" t="str">
        <f t="shared" si="21"/>
        <v>Moderate</v>
      </c>
    </row>
    <row r="616" spans="1:6" ht="15" customHeight="1" x14ac:dyDescent="0.3">
      <c r="A616" t="s">
        <v>98</v>
      </c>
      <c r="B616" s="2">
        <v>45352</v>
      </c>
      <c r="C616" cm="1">
        <f t="array" ref="C616">IFERROR(IF(SUMPRODUCT((measured[Site Name]=A616)*(measured[Date]=B616)*ISNUMBER(measured[Measured Value (kWh)]))=0,"",SUMIFS(measured[Measured Value (kWh)],measured[Site Name],A616,measured[Date],B616)),"")</f>
        <v>9597</v>
      </c>
      <c r="D616" cm="1">
        <f t="array" ref="D616">IFERROR(IF(SUMPRODUCT((expected_production[Site Name]=A616)*(expected_production[Date]=B616)*ISNUMBER(expected_production[Expected Production (kWh)]))=0,"",SUMIFS(expected_production[Expected Production (kWh)],expected_production[Site Name],A616,expected_production[Date],B616)),"")</f>
        <v>12742.08</v>
      </c>
      <c r="E616" s="9">
        <f t="shared" si="20"/>
        <v>0.75317373615610639</v>
      </c>
      <c r="F616" t="str">
        <f t="shared" si="21"/>
        <v>Moderate</v>
      </c>
    </row>
    <row r="617" spans="1:6" ht="15" customHeight="1" x14ac:dyDescent="0.3">
      <c r="A617" t="s">
        <v>98</v>
      </c>
      <c r="B617" s="2">
        <v>45383</v>
      </c>
      <c r="C617" cm="1">
        <f t="array" ref="C617">IFERROR(IF(SUMPRODUCT((measured[Site Name]=A617)*(measured[Date]=B617)*ISNUMBER(measured[Measured Value (kWh)]))=0,"",SUMIFS(measured[Measured Value (kWh)],measured[Site Name],A617,measured[Date],B617)),"")</f>
        <v>7950</v>
      </c>
      <c r="D617" cm="1">
        <f t="array" ref="D617">IFERROR(IF(SUMPRODUCT((expected_production[Site Name]=A617)*(expected_production[Date]=B617)*ISNUMBER(expected_production[Expected Production (kWh)]))=0,"",SUMIFS(expected_production[Expected Production (kWh)],expected_production[Site Name],A617,expected_production[Date],B617)),"")</f>
        <v>10941.84</v>
      </c>
      <c r="E617" s="9">
        <f t="shared" si="20"/>
        <v>0.72656884034129543</v>
      </c>
      <c r="F617" t="str">
        <f t="shared" si="21"/>
        <v>Moderate</v>
      </c>
    </row>
    <row r="618" spans="1:6" ht="15" customHeight="1" x14ac:dyDescent="0.3">
      <c r="A618" t="s">
        <v>98</v>
      </c>
      <c r="B618" s="2">
        <v>45413</v>
      </c>
      <c r="C618" cm="1">
        <f t="array" ref="C618">IFERROR(IF(SUMPRODUCT((measured[Site Name]=A618)*(measured[Date]=B618)*ISNUMBER(measured[Measured Value (kWh)]))=0,"",SUMIFS(measured[Measured Value (kWh)],measured[Site Name],A618,measured[Date],B618)),"")</f>
        <v>7482</v>
      </c>
      <c r="D618" cm="1">
        <f t="array" ref="D618">IFERROR(IF(SUMPRODUCT((expected_production[Site Name]=A618)*(expected_production[Date]=B618)*ISNUMBER(expected_production[Expected Production (kWh)]))=0,"",SUMIFS(expected_production[Expected Production (kWh)],expected_production[Site Name],A618,expected_production[Date],B618)),"")</f>
        <v>9881.2800000000007</v>
      </c>
      <c r="E618" s="9">
        <f t="shared" si="20"/>
        <v>0.75718935198678705</v>
      </c>
      <c r="F618" t="str">
        <f t="shared" si="21"/>
        <v>Moderate</v>
      </c>
    </row>
    <row r="619" spans="1:6" ht="15" customHeight="1" x14ac:dyDescent="0.3">
      <c r="A619" t="s">
        <v>98</v>
      </c>
      <c r="B619" s="2">
        <v>45444</v>
      </c>
      <c r="C619" cm="1">
        <f t="array" ref="C619">IFERROR(IF(SUMPRODUCT((measured[Site Name]=A619)*(measured[Date]=B619)*ISNUMBER(measured[Measured Value (kWh)]))=0,"",SUMIFS(measured[Measured Value (kWh)],measured[Site Name],A619,measured[Date],B619)),"")</f>
        <v>6656</v>
      </c>
      <c r="D619" cm="1">
        <f t="array" ref="D619">IFERROR(IF(SUMPRODUCT((expected_production[Site Name]=A619)*(expected_production[Date]=B619)*ISNUMBER(expected_production[Expected Production (kWh)]))=0,"",SUMIFS(expected_production[Expected Production (kWh)],expected_production[Site Name],A619,expected_production[Date],B619)),"")</f>
        <v>9234.8799999999992</v>
      </c>
      <c r="E619" s="9">
        <f t="shared" si="20"/>
        <v>0.72074569458401194</v>
      </c>
      <c r="F619" t="str">
        <f t="shared" si="21"/>
        <v>Moderate</v>
      </c>
    </row>
    <row r="620" spans="1:6" ht="15" customHeight="1" x14ac:dyDescent="0.3">
      <c r="A620" t="s">
        <v>98</v>
      </c>
      <c r="B620" s="2">
        <v>45474</v>
      </c>
      <c r="C620" cm="1">
        <f t="array" ref="C620">IFERROR(IF(SUMPRODUCT((measured[Site Name]=A620)*(measured[Date]=B620)*ISNUMBER(measured[Measured Value (kWh)]))=0,"",SUMIFS(measured[Measured Value (kWh)],measured[Site Name],A620,measured[Date],B620)),"")</f>
        <v>11170</v>
      </c>
      <c r="D620" cm="1">
        <f t="array" ref="D620">IFERROR(IF(SUMPRODUCT((expected_production[Site Name]=A620)*(expected_production[Date]=B620)*ISNUMBER(expected_production[Expected Production (kWh)]))=0,"",SUMIFS(expected_production[Expected Production (kWh)],expected_production[Site Name],A620,expected_production[Date],B620)),"")</f>
        <v>9756.08</v>
      </c>
      <c r="E620" s="9">
        <f t="shared" si="20"/>
        <v>1.1449270608687097</v>
      </c>
      <c r="F620" t="str">
        <f t="shared" si="21"/>
        <v>Expected</v>
      </c>
    </row>
    <row r="621" spans="1:6" ht="15" customHeight="1" x14ac:dyDescent="0.3">
      <c r="A621" t="s">
        <v>98</v>
      </c>
      <c r="B621" s="2">
        <v>45505</v>
      </c>
      <c r="C621" cm="1">
        <f t="array" ref="C621">IFERROR(IF(SUMPRODUCT((measured[Site Name]=A621)*(measured[Date]=B621)*ISNUMBER(measured[Measured Value (kWh)]))=0,"",SUMIFS(measured[Measured Value (kWh)],measured[Site Name],A621,measured[Date],B621)),"")</f>
        <v>11290</v>
      </c>
      <c r="D621" cm="1">
        <f t="array" ref="D621">IFERROR(IF(SUMPRODUCT((expected_production[Site Name]=A621)*(expected_production[Date]=B621)*ISNUMBER(expected_production[Expected Production (kWh)]))=0,"",SUMIFS(expected_production[Expected Production (kWh)],expected_production[Site Name],A621,expected_production[Date],B621)),"")</f>
        <v>10822.4</v>
      </c>
      <c r="E621" s="9">
        <f t="shared" si="20"/>
        <v>1.0432066824364281</v>
      </c>
      <c r="F621" t="str">
        <f t="shared" si="21"/>
        <v>Expected</v>
      </c>
    </row>
    <row r="622" spans="1:6" ht="15" customHeight="1" x14ac:dyDescent="0.3">
      <c r="A622" t="s">
        <v>98</v>
      </c>
      <c r="B622" s="2">
        <v>45536</v>
      </c>
      <c r="C622" cm="1">
        <f t="array" ref="C622">IFERROR(IF(SUMPRODUCT((measured[Site Name]=A622)*(measured[Date]=B622)*ISNUMBER(measured[Measured Value (kWh)]))=0,"",SUMIFS(measured[Measured Value (kWh)],measured[Site Name],A622,measured[Date],B622)),"")</f>
        <v>8578</v>
      </c>
      <c r="D622" cm="1">
        <f t="array" ref="D622">IFERROR(IF(SUMPRODUCT((expected_production[Site Name]=A622)*(expected_production[Date]=B622)*ISNUMBER(expected_production[Expected Production (kWh)]))=0,"",SUMIFS(expected_production[Expected Production (kWh)],expected_production[Site Name],A622,expected_production[Date],B622)),"")</f>
        <v>10915.68</v>
      </c>
      <c r="E622" s="9">
        <f t="shared" si="20"/>
        <v>0.78584201808774168</v>
      </c>
      <c r="F622" t="str">
        <f t="shared" si="21"/>
        <v>Moderate</v>
      </c>
    </row>
    <row r="623" spans="1:6" ht="15" customHeight="1" x14ac:dyDescent="0.3">
      <c r="A623" t="s">
        <v>98</v>
      </c>
      <c r="B623" s="2">
        <v>45566</v>
      </c>
      <c r="C623" cm="1">
        <f t="array" ref="C623">IFERROR(IF(SUMPRODUCT((measured[Site Name]=A623)*(measured[Date]=B623)*ISNUMBER(measured[Measured Value (kWh)]))=0,"",SUMIFS(measured[Measured Value (kWh)],measured[Site Name],A623,measured[Date],B623)),"")</f>
        <v>12704</v>
      </c>
      <c r="D623" cm="1">
        <f t="array" ref="D623">IFERROR(IF(SUMPRODUCT((expected_production[Site Name]=A623)*(expected_production[Date]=B623)*ISNUMBER(expected_production[Expected Production (kWh)]))=0,"",SUMIFS(expected_production[Expected Production (kWh)],expected_production[Site Name],A623,expected_production[Date],B623)),"")</f>
        <v>12133.12</v>
      </c>
      <c r="E623" s="9">
        <f t="shared" si="20"/>
        <v>1.0470513767275029</v>
      </c>
      <c r="F623" t="str">
        <f t="shared" si="21"/>
        <v>Expected</v>
      </c>
    </row>
    <row r="624" spans="1:6" ht="15" customHeight="1" x14ac:dyDescent="0.3">
      <c r="A624" t="s">
        <v>98</v>
      </c>
      <c r="B624" s="2">
        <v>45597</v>
      </c>
      <c r="C624" cm="1">
        <f t="array" ref="C624">IFERROR(IF(SUMPRODUCT((measured[Site Name]=A624)*(measured[Date]=B624)*ISNUMBER(measured[Measured Value (kWh)]))=0,"",SUMIFS(measured[Measured Value (kWh)],measured[Site Name],A624,measured[Date],B624)),"")</f>
        <v>5700</v>
      </c>
      <c r="D624" cm="1">
        <f t="array" ref="D624">IFERROR(IF(SUMPRODUCT((expected_production[Site Name]=A624)*(expected_production[Date]=B624)*ISNUMBER(expected_production[Expected Production (kWh)]))=0,"",SUMIFS(expected_production[Expected Production (kWh)],expected_production[Site Name],A624,expected_production[Date],B624)),"")</f>
        <v>12325.98984</v>
      </c>
      <c r="E624" s="9">
        <f t="shared" si="20"/>
        <v>0.46243750595205746</v>
      </c>
      <c r="F624" t="str">
        <f t="shared" si="21"/>
        <v>Poor</v>
      </c>
    </row>
    <row r="625" spans="1:6" ht="15" customHeight="1" x14ac:dyDescent="0.3">
      <c r="A625" t="s">
        <v>98</v>
      </c>
      <c r="B625" s="2">
        <v>45627</v>
      </c>
      <c r="C625" t="str" cm="1">
        <f t="array" ref="C625">IFERROR(IF(SUMPRODUCT((measured[Site Name]=A625)*(measured[Date]=B625)*ISNUMBER(measured[Measured Value (kWh)]))=0,"",SUMIFS(measured[Measured Value (kWh)],measured[Site Name],A625,measured[Date],B625)),"")</f>
        <v/>
      </c>
      <c r="D625" cm="1">
        <f t="array" ref="D625">IFERROR(IF(SUMPRODUCT((expected_production[Site Name]=A625)*(expected_production[Date]=B625)*ISNUMBER(expected_production[Expected Production (kWh)]))=0,"",SUMIFS(expected_production[Expected Production (kWh)],expected_production[Site Name],A625,expected_production[Date],B625)),"")</f>
        <v>13473.89784</v>
      </c>
      <c r="E625" s="9" t="str">
        <f t="shared" si="20"/>
        <v/>
      </c>
      <c r="F625" t="str">
        <f t="shared" si="21"/>
        <v/>
      </c>
    </row>
    <row r="626" spans="1:6" ht="15" customHeight="1" x14ac:dyDescent="0.3">
      <c r="A626" t="s">
        <v>98</v>
      </c>
      <c r="B626" s="2">
        <v>45658</v>
      </c>
      <c r="C626" t="str" cm="1">
        <f t="array" ref="C626">IFERROR(IF(SUMPRODUCT((measured[Site Name]=A626)*(measured[Date]=B626)*ISNUMBER(measured[Measured Value (kWh)]))=0,"",SUMIFS(measured[Measured Value (kWh)],measured[Site Name],A626,measured[Date],B626)),"")</f>
        <v/>
      </c>
      <c r="D626" cm="1">
        <f t="array" ref="D626">IFERROR(IF(SUMPRODUCT((expected_production[Site Name]=A626)*(expected_production[Date]=B626)*ISNUMBER(expected_production[Expected Production (kWh)]))=0,"",SUMIFS(expected_production[Expected Production (kWh)],expected_production[Site Name],A626,expected_production[Date],B626)),"")</f>
        <v>13584</v>
      </c>
      <c r="E626" s="9" t="str">
        <f t="shared" si="20"/>
        <v/>
      </c>
      <c r="F626" t="str">
        <f t="shared" si="21"/>
        <v/>
      </c>
    </row>
    <row r="627" spans="1:6" ht="15" customHeight="1" x14ac:dyDescent="0.3">
      <c r="A627" t="s">
        <v>98</v>
      </c>
      <c r="B627" s="2">
        <v>45689</v>
      </c>
      <c r="C627" t="str" cm="1">
        <f t="array" ref="C627">IFERROR(IF(SUMPRODUCT((measured[Site Name]=A627)*(measured[Date]=B627)*ISNUMBER(measured[Measured Value (kWh)]))=0,"",SUMIFS(measured[Measured Value (kWh)],measured[Site Name],A627,measured[Date],B627)),"")</f>
        <v/>
      </c>
      <c r="D627" cm="1">
        <f t="array" ref="D627">IFERROR(IF(SUMPRODUCT((expected_production[Site Name]=A627)*(expected_production[Date]=B627)*ISNUMBER(expected_production[Expected Production (kWh)]))=0,"",SUMIFS(expected_production[Expected Production (kWh)],expected_production[Site Name],A627,expected_production[Date],B627)),"")</f>
        <v>12445.28</v>
      </c>
      <c r="E627" s="9" t="str">
        <f t="shared" si="20"/>
        <v/>
      </c>
      <c r="F627" t="str">
        <f t="shared" si="21"/>
        <v/>
      </c>
    </row>
    <row r="628" spans="1:6" ht="15" customHeight="1" x14ac:dyDescent="0.3">
      <c r="A628" t="s">
        <v>98</v>
      </c>
      <c r="B628" s="2">
        <v>45717</v>
      </c>
      <c r="C628" cm="1">
        <f t="array" ref="C628">IFERROR(IF(SUMPRODUCT((measured[Site Name]=A628)*(measured[Date]=B628)*ISNUMBER(measured[Measured Value (kWh)]))=0,"",SUMIFS(measured[Measured Value (kWh)],measured[Site Name],A628,measured[Date],B628)),"")</f>
        <v>6684</v>
      </c>
      <c r="D628" cm="1">
        <f t="array" ref="D628">IFERROR(IF(SUMPRODUCT((expected_production[Site Name]=A628)*(expected_production[Date]=B628)*ISNUMBER(expected_production[Expected Production (kWh)]))=0,"",SUMIFS(expected_production[Expected Production (kWh)],expected_production[Site Name],A628,expected_production[Date],B628)),"")</f>
        <v>12742.08</v>
      </c>
      <c r="E628" s="9">
        <f t="shared" si="20"/>
        <v>0.52456113915467495</v>
      </c>
      <c r="F628" t="str">
        <f t="shared" si="21"/>
        <v>Poor</v>
      </c>
    </row>
    <row r="629" spans="1:6" ht="15" customHeight="1" x14ac:dyDescent="0.3">
      <c r="A629" t="s">
        <v>98</v>
      </c>
      <c r="B629" s="2">
        <v>45748</v>
      </c>
      <c r="C629" cm="1">
        <f t="array" ref="C629">IFERROR(IF(SUMPRODUCT((measured[Site Name]=A629)*(measured[Date]=B629)*ISNUMBER(measured[Measured Value (kWh)]))=0,"",SUMIFS(measured[Measured Value (kWh)],measured[Site Name],A629,measured[Date],B629)),"")</f>
        <v>3992</v>
      </c>
      <c r="D629" cm="1">
        <f t="array" ref="D629">IFERROR(IF(SUMPRODUCT((expected_production[Site Name]=A629)*(expected_production[Date]=B629)*ISNUMBER(expected_production[Expected Production (kWh)]))=0,"",SUMIFS(expected_production[Expected Production (kWh)],expected_production[Site Name],A629,expected_production[Date],B629)),"")</f>
        <v>10941.84</v>
      </c>
      <c r="E629" s="9">
        <f t="shared" si="20"/>
        <v>0.3648380893889876</v>
      </c>
      <c r="F629" t="str">
        <f t="shared" si="21"/>
        <v>Poor</v>
      </c>
    </row>
    <row r="630" spans="1:6" ht="15" customHeight="1" x14ac:dyDescent="0.3">
      <c r="A630" t="s">
        <v>98</v>
      </c>
      <c r="B630" s="2">
        <v>45778</v>
      </c>
      <c r="C630" cm="1">
        <f t="array" ref="C630">IFERROR(IF(SUMPRODUCT((measured[Site Name]=A630)*(measured[Date]=B630)*ISNUMBER(measured[Measured Value (kWh)]))=0,"",SUMIFS(measured[Measured Value (kWh)],measured[Site Name],A630,measured[Date],B630)),"")</f>
        <v>6009</v>
      </c>
      <c r="D630" cm="1">
        <f t="array" ref="D630">IFERROR(IF(SUMPRODUCT((expected_production[Site Name]=A630)*(expected_production[Date]=B630)*ISNUMBER(expected_production[Expected Production (kWh)]))=0,"",SUMIFS(expected_production[Expected Production (kWh)],expected_production[Site Name],A630,expected_production[Date],B630)),"")</f>
        <v>9881.2800000000007</v>
      </c>
      <c r="E630" s="9">
        <f t="shared" si="20"/>
        <v>0.60811959584183417</v>
      </c>
      <c r="F630" t="str">
        <f t="shared" si="21"/>
        <v>Poor</v>
      </c>
    </row>
    <row r="631" spans="1:6" ht="15" customHeight="1" x14ac:dyDescent="0.3">
      <c r="A631" t="s">
        <v>98</v>
      </c>
      <c r="B631" s="2">
        <v>45809</v>
      </c>
      <c r="C631" cm="1">
        <f t="array" ref="C631">IFERROR(IF(SUMPRODUCT((measured[Site Name]=A631)*(measured[Date]=B631)*ISNUMBER(measured[Measured Value (kWh)]))=0,"",SUMIFS(measured[Measured Value (kWh)],measured[Site Name],A631,measured[Date],B631)),"")</f>
        <v>5530.9</v>
      </c>
      <c r="D631" cm="1">
        <f t="array" ref="D631">IFERROR(IF(SUMPRODUCT((expected_production[Site Name]=A631)*(expected_production[Date]=B631)*ISNUMBER(expected_production[Expected Production (kWh)]))=0,"",SUMIFS(expected_production[Expected Production (kWh)],expected_production[Site Name],A631,expected_production[Date],B631)),"")</f>
        <v>9234.8799999999992</v>
      </c>
      <c r="E631" s="9">
        <f t="shared" si="20"/>
        <v>0.59891411691326801</v>
      </c>
      <c r="F631" t="str">
        <f t="shared" si="21"/>
        <v>Poor</v>
      </c>
    </row>
    <row r="632" spans="1:6" ht="15" customHeight="1" x14ac:dyDescent="0.3">
      <c r="A632" t="s">
        <v>98</v>
      </c>
      <c r="B632" s="2">
        <v>45839</v>
      </c>
      <c r="C632" cm="1">
        <f t="array" ref="C632">IFERROR(IF(SUMPRODUCT((measured[Site Name]=A632)*(measured[Date]=B632)*ISNUMBER(measured[Measured Value (kWh)]))=0,"",SUMIFS(measured[Measured Value (kWh)],measured[Site Name],A632,measured[Date],B632)),"")</f>
        <v>6694</v>
      </c>
      <c r="D632" cm="1">
        <f t="array" ref="D632">IFERROR(IF(SUMPRODUCT((expected_production[Site Name]=A632)*(expected_production[Date]=B632)*ISNUMBER(expected_production[Expected Production (kWh)]))=0,"",SUMIFS(expected_production[Expected Production (kWh)],expected_production[Site Name],A632,expected_production[Date],B632)),"")</f>
        <v>9756.08</v>
      </c>
      <c r="E632" s="9">
        <f t="shared" si="20"/>
        <v>0.68613623504522314</v>
      </c>
      <c r="F632" t="str">
        <f t="shared" si="21"/>
        <v>Poor</v>
      </c>
    </row>
    <row r="633" spans="1:6" ht="15" customHeight="1" x14ac:dyDescent="0.3">
      <c r="A633" t="s">
        <v>98</v>
      </c>
      <c r="B633" s="2">
        <v>45870</v>
      </c>
      <c r="C633" cm="1">
        <f t="array" ref="C633">IFERROR(IF(SUMPRODUCT((measured[Site Name]=A633)*(measured[Date]=B633)*ISNUMBER(measured[Measured Value (kWh)]))=0,"",SUMIFS(measured[Measured Value (kWh)],measured[Site Name],A633,measured[Date],B633)),"")</f>
        <v>7750</v>
      </c>
      <c r="D633" cm="1">
        <f t="array" ref="D633">IFERROR(IF(SUMPRODUCT((expected_production[Site Name]=A633)*(expected_production[Date]=B633)*ISNUMBER(expected_production[Expected Production (kWh)]))=0,"",SUMIFS(expected_production[Expected Production (kWh)],expected_production[Site Name],A633,expected_production[Date],B633)),"")</f>
        <v>10822.4</v>
      </c>
      <c r="E633" s="9">
        <f t="shared" si="20"/>
        <v>0.71610733293908935</v>
      </c>
      <c r="F633" t="str">
        <f t="shared" si="21"/>
        <v>Moderate</v>
      </c>
    </row>
    <row r="634" spans="1:6" ht="15" customHeight="1" x14ac:dyDescent="0.3">
      <c r="A634" t="s">
        <v>98</v>
      </c>
      <c r="B634" s="2">
        <v>45901</v>
      </c>
      <c r="C634" cm="1">
        <f t="array" ref="C634">IFERROR(IF(SUMPRODUCT((measured[Site Name]=A634)*(measured[Date]=B634)*ISNUMBER(measured[Measured Value (kWh)]))=0,"",SUMIFS(measured[Measured Value (kWh)],measured[Site Name],A634,measured[Date],B634)),"")</f>
        <v>7031</v>
      </c>
      <c r="D634" cm="1">
        <f t="array" ref="D634">IFERROR(IF(SUMPRODUCT((expected_production[Site Name]=A634)*(expected_production[Date]=B634)*ISNUMBER(expected_production[Expected Production (kWh)]))=0,"",SUMIFS(expected_production[Expected Production (kWh)],expected_production[Site Name],A634,expected_production[Date],B634)),"")</f>
        <v>10915.68</v>
      </c>
      <c r="E634" s="9">
        <f t="shared" si="20"/>
        <v>0.64411928528502116</v>
      </c>
      <c r="F634" t="str">
        <f t="shared" si="21"/>
        <v>Poor</v>
      </c>
    </row>
    <row r="635" spans="1:6" ht="15" customHeight="1" x14ac:dyDescent="0.3">
      <c r="A635" t="s">
        <v>98</v>
      </c>
      <c r="B635" s="2">
        <v>45931</v>
      </c>
      <c r="C635" cm="1">
        <f t="array" ref="C635">IFERROR(IF(SUMPRODUCT((measured[Site Name]=A635)*(measured[Date]=B635)*ISNUMBER(measured[Measured Value (kWh)]))=0,"",SUMIFS(measured[Measured Value (kWh)],measured[Site Name],A635,measured[Date],B635)),"")</f>
        <v>9805</v>
      </c>
      <c r="D635" cm="1">
        <f t="array" ref="D635">IFERROR(IF(SUMPRODUCT((expected_production[Site Name]=A635)*(expected_production[Date]=B635)*ISNUMBER(expected_production[Expected Production (kWh)]))=0,"",SUMIFS(expected_production[Expected Production (kWh)],expected_production[Site Name],A635,expected_production[Date],B635)),"")</f>
        <v>12133.12</v>
      </c>
      <c r="E635" s="9">
        <f t="shared" si="20"/>
        <v>0.80811860428315219</v>
      </c>
      <c r="F635" t="str">
        <f t="shared" si="21"/>
        <v>Moderate</v>
      </c>
    </row>
    <row r="636" spans="1:6" ht="15" customHeight="1" x14ac:dyDescent="0.3">
      <c r="A636" t="s">
        <v>98</v>
      </c>
      <c r="B636" s="2">
        <v>45962</v>
      </c>
      <c r="C636" cm="1">
        <f t="array" ref="C636">IFERROR(IF(SUMPRODUCT((measured[Site Name]=A636)*(measured[Date]=B636)*ISNUMBER(measured[Measured Value (kWh)]))=0,"",SUMIFS(measured[Measured Value (kWh)],measured[Site Name],A636,measured[Date],B636)),"")</f>
        <v>9365</v>
      </c>
      <c r="D636" cm="1">
        <f t="array" ref="D636">IFERROR(IF(SUMPRODUCT((expected_production[Site Name]=A636)*(expected_production[Date]=B636)*ISNUMBER(expected_production[Expected Production (kWh)]))=0,"",SUMIFS(expected_production[Expected Production (kWh)],expected_production[Site Name],A636,expected_production[Date],B636)),"")</f>
        <v>12325.98984</v>
      </c>
      <c r="E636" s="9">
        <f t="shared" si="20"/>
        <v>0.75977670934052954</v>
      </c>
      <c r="F636" t="str">
        <f t="shared" si="21"/>
        <v>Moderate</v>
      </c>
    </row>
    <row r="637" spans="1:6" ht="15" customHeight="1" x14ac:dyDescent="0.3">
      <c r="A637" t="s">
        <v>98</v>
      </c>
      <c r="B637" s="2">
        <v>45992</v>
      </c>
      <c r="C637" cm="1">
        <f t="array" ref="C637">IFERROR(IF(SUMPRODUCT((measured[Site Name]=A637)*(measured[Date]=B637)*ISNUMBER(measured[Measured Value (kWh)]))=0,"",SUMIFS(measured[Measured Value (kWh)],measured[Site Name],A637,measured[Date],B637)),"")</f>
        <v>5379</v>
      </c>
      <c r="D637" cm="1">
        <f t="array" ref="D637">IFERROR(IF(SUMPRODUCT((expected_production[Site Name]=A637)*(expected_production[Date]=B637)*ISNUMBER(expected_production[Expected Production (kWh)]))=0,"",SUMIFS(expected_production[Expected Production (kWh)],expected_production[Site Name],A637,expected_production[Date],B637)),"")</f>
        <v>13473.89784</v>
      </c>
      <c r="E637" s="9">
        <f t="shared" si="20"/>
        <v>0.39921632655038747</v>
      </c>
      <c r="F637" t="str">
        <f t="shared" si="21"/>
        <v>Poor</v>
      </c>
    </row>
    <row r="638" spans="1:6" ht="15" customHeight="1" x14ac:dyDescent="0.3">
      <c r="A638" t="s">
        <v>98</v>
      </c>
      <c r="B638" s="2">
        <v>46023</v>
      </c>
      <c r="C638" cm="1">
        <f t="array" ref="C638">IFERROR(IF(SUMPRODUCT((measured[Site Name]=A638)*(measured[Date]=B638)*ISNUMBER(measured[Measured Value (kWh)]))=0,"",SUMIFS(measured[Measured Value (kWh)],measured[Site Name],A638,measured[Date],B638)),"")</f>
        <v>4979.16</v>
      </c>
      <c r="D638" cm="1">
        <f t="array" ref="D638">IFERROR(IF(SUMPRODUCT((expected_production[Site Name]=A638)*(expected_production[Date]=B638)*ISNUMBER(expected_production[Expected Production (kWh)]))=0,"",SUMIFS(expected_production[Expected Production (kWh)],expected_production[Site Name],A638,expected_production[Date],B638)),"")</f>
        <v>13584</v>
      </c>
      <c r="E638" s="9">
        <f t="shared" si="20"/>
        <v>0.36654593639575972</v>
      </c>
      <c r="F638" t="str">
        <f t="shared" si="21"/>
        <v>Poor</v>
      </c>
    </row>
    <row r="639" spans="1:6" ht="15" customHeight="1" x14ac:dyDescent="0.3">
      <c r="A639" t="s">
        <v>98</v>
      </c>
      <c r="B639" s="2">
        <v>46054</v>
      </c>
      <c r="C639" cm="1">
        <f t="array" ref="C639">IFERROR(IF(SUMPRODUCT((measured[Site Name]=A639)*(measured[Date]=B639)*ISNUMBER(measured[Measured Value (kWh)]))=0,"",SUMIFS(measured[Measured Value (kWh)],measured[Site Name],A639,measured[Date],B639)),"")</f>
        <v>2172.67</v>
      </c>
      <c r="D639" cm="1">
        <f t="array" ref="D639">IFERROR(IF(SUMPRODUCT((expected_production[Site Name]=A639)*(expected_production[Date]=B639)*ISNUMBER(expected_production[Expected Production (kWh)]))=0,"",SUMIFS(expected_production[Expected Production (kWh)],expected_production[Site Name],A639,expected_production[Date],B639)),"")</f>
        <v>12445.28</v>
      </c>
      <c r="E639" s="9">
        <f t="shared" si="20"/>
        <v>0.17457783191699985</v>
      </c>
      <c r="F639" t="str">
        <f t="shared" si="21"/>
        <v>Poor</v>
      </c>
    </row>
    <row r="640" spans="1:6" ht="15" customHeight="1" x14ac:dyDescent="0.3">
      <c r="A640" t="s">
        <v>98</v>
      </c>
      <c r="B640" s="2">
        <v>46082</v>
      </c>
      <c r="C640" cm="1">
        <f t="array" ref="C640">IFERROR(IF(SUMPRODUCT((measured[Site Name]=A640)*(measured[Date]=B640)*ISNUMBER(measured[Measured Value (kWh)]))=0,"",SUMIFS(measured[Measured Value (kWh)],measured[Site Name],A640,measured[Date],B640)),"")</f>
        <v>350</v>
      </c>
      <c r="D640" cm="1">
        <f t="array" ref="D640">IFERROR(IF(SUMPRODUCT((expected_production[Site Name]=A640)*(expected_production[Date]=B640)*ISNUMBER(expected_production[Expected Production (kWh)]))=0,"",SUMIFS(expected_production[Expected Production (kWh)],expected_production[Site Name],A640,expected_production[Date],B640)),"")</f>
        <v>12742.08</v>
      </c>
      <c r="E640" s="9">
        <f t="shared" si="20"/>
        <v>2.7468042894095785E-2</v>
      </c>
      <c r="F640" t="str">
        <f t="shared" si="21"/>
        <v>Poor</v>
      </c>
    </row>
    <row r="641" spans="1:7" ht="15" customHeight="1" x14ac:dyDescent="0.3">
      <c r="A641" t="s">
        <v>98</v>
      </c>
      <c r="B641" s="2">
        <v>46113</v>
      </c>
      <c r="C641" cm="1">
        <f t="array" ref="C641">IFERROR(IF(SUMPRODUCT((measured[Site Name]=A641)*(measured[Date]=B641)*ISNUMBER(measured[Measured Value (kWh)]))=0,"",SUMIFS(measured[Measured Value (kWh)],measured[Site Name],A641,measured[Date],B641)),"")</f>
        <v>194.99</v>
      </c>
      <c r="D641" cm="1">
        <f t="array" ref="D641">IFERROR(IF(SUMPRODUCT((expected_production[Site Name]=A641)*(expected_production[Date]=B641)*ISNUMBER(expected_production[Expected Production (kWh)]))=0,"",SUMIFS(expected_production[Expected Production (kWh)],expected_production[Site Name],A641,expected_production[Date],B641)),"")</f>
        <v>10941.84</v>
      </c>
      <c r="E641" s="9">
        <f t="shared" si="20"/>
        <v>1.7820585934358389E-2</v>
      </c>
      <c r="F641" t="str">
        <f t="shared" si="21"/>
        <v>Poor</v>
      </c>
    </row>
    <row r="642" spans="1:7" ht="15" customHeight="1" x14ac:dyDescent="0.3">
      <c r="A642" t="s">
        <v>98</v>
      </c>
      <c r="B642" s="2">
        <v>46143</v>
      </c>
      <c r="C642" t="str" cm="1">
        <f t="array" ref="C642">IFERROR(IF(SUMPRODUCT((measured[Site Name]=A642)*(measured[Date]=B642)*ISNUMBER(measured[Measured Value (kWh)]))=0,"",SUMIFS(measured[Measured Value (kWh)],measured[Site Name],A642,measured[Date],B642)),"")</f>
        <v/>
      </c>
      <c r="D642" cm="1">
        <f t="array" ref="D642">IFERROR(IF(SUMPRODUCT((expected_production[Site Name]=A642)*(expected_production[Date]=B642)*ISNUMBER(expected_production[Expected Production (kWh)]))=0,"",SUMIFS(expected_production[Expected Production (kWh)],expected_production[Site Name],A642,expected_production[Date],B642)),"")</f>
        <v>9881.2800000000007</v>
      </c>
      <c r="E642" s="9" t="str">
        <f t="shared" si="20"/>
        <v/>
      </c>
      <c r="F642" t="str">
        <f t="shared" si="21"/>
        <v/>
      </c>
    </row>
    <row r="643" spans="1:7" ht="15" customHeight="1" x14ac:dyDescent="0.3">
      <c r="A643" t="s">
        <v>98</v>
      </c>
      <c r="B643" s="2">
        <v>46174</v>
      </c>
      <c r="C643" cm="1">
        <f t="array" ref="C643">IFERROR(IF(SUMPRODUCT((measured[Site Name]=A643)*(measured[Date]=B643)*ISNUMBER(measured[Measured Value (kWh)]))=0,"",SUMIFS(measured[Measured Value (kWh)],measured[Site Name],A643,measured[Date],B643)),"")</f>
        <v>3521</v>
      </c>
      <c r="D643" cm="1">
        <f t="array" ref="D643">IFERROR(IF(SUMPRODUCT((expected_production[Site Name]=A643)*(expected_production[Date]=B643)*ISNUMBER(expected_production[Expected Production (kWh)]))=0,"",SUMIFS(expected_production[Expected Production (kWh)],expected_production[Site Name],A643,expected_production[Date],B643)),"")</f>
        <v>9234.8799999999992</v>
      </c>
      <c r="E643" s="9">
        <f t="shared" si="20"/>
        <v>0.38127187359229359</v>
      </c>
      <c r="F643" t="str">
        <f t="shared" si="21"/>
        <v>Poor</v>
      </c>
    </row>
    <row r="644" spans="1:7" ht="15" customHeight="1" x14ac:dyDescent="0.3">
      <c r="A644" t="s">
        <v>95</v>
      </c>
      <c r="B644" s="2">
        <v>46204</v>
      </c>
      <c r="C644" cm="1">
        <f t="array" ref="C644">IFERROR(IF(SUMPRODUCT((measured[Site Name]=A644)*(measured[Date]=B644)*ISNUMBER(measured[Measured Value (kWh)]))=0,"",SUMIFS(measured[Measured Value (kWh)],measured[Site Name],A644,measured[Date],B644)),"")</f>
        <v>12633</v>
      </c>
      <c r="D644" cm="1">
        <f t="array" ref="D644">IFERROR(IF(SUMPRODUCT((expected_production[Site Name]=A644)*(expected_production[Date]=B644)*ISNUMBER(expected_production[Expected Production (kWh)]))=0,"",SUMIFS(expected_production[Expected Production (kWh)],expected_production[Site Name],A644,expected_production[Date],B644)),"")</f>
        <v>23255.200000000001</v>
      </c>
      <c r="E644" s="9">
        <f t="shared" si="20"/>
        <v>0.54323334136021184</v>
      </c>
      <c r="F644" t="str">
        <f t="shared" si="21"/>
        <v>Poor</v>
      </c>
      <c r="G644" t="s">
        <v>874</v>
      </c>
    </row>
    <row r="645" spans="1:7" ht="15" customHeight="1" x14ac:dyDescent="0.3">
      <c r="A645" t="s">
        <v>98</v>
      </c>
      <c r="B645" s="2">
        <v>46235</v>
      </c>
      <c r="C645" t="str" cm="1">
        <f t="array" ref="C645">IFERROR(IF(SUMPRODUCT((measured[Site Name]=A645)*(measured[Date]=B645)*ISNUMBER(measured[Measured Value (kWh)]))=0,"",SUMIFS(measured[Measured Value (kWh)],measured[Site Name],A645,measured[Date],B645)),"")</f>
        <v/>
      </c>
      <c r="D645" cm="1">
        <f t="array" ref="D645">IFERROR(IF(SUMPRODUCT((expected_production[Site Name]=A645)*(expected_production[Date]=B645)*ISNUMBER(expected_production[Expected Production (kWh)]))=0,"",SUMIFS(expected_production[Expected Production (kWh)],expected_production[Site Name],A645,expected_production[Date],B645)),"")</f>
        <v>10822.4</v>
      </c>
      <c r="E645" s="9" t="str">
        <f t="shared" si="20"/>
        <v/>
      </c>
      <c r="F645" t="str">
        <f t="shared" si="21"/>
        <v/>
      </c>
    </row>
    <row r="646" spans="1:7" ht="15" customHeight="1" x14ac:dyDescent="0.3">
      <c r="A646" t="s">
        <v>98</v>
      </c>
      <c r="B646" s="2">
        <v>46266</v>
      </c>
      <c r="C646" t="str" cm="1">
        <f t="array" ref="C646">IFERROR(IF(SUMPRODUCT((measured[Site Name]=A646)*(measured[Date]=B646)*ISNUMBER(measured[Measured Value (kWh)]))=0,"",SUMIFS(measured[Measured Value (kWh)],measured[Site Name],A646,measured[Date],B646)),"")</f>
        <v/>
      </c>
      <c r="D646" cm="1">
        <f t="array" ref="D646">IFERROR(IF(SUMPRODUCT((expected_production[Site Name]=A646)*(expected_production[Date]=B646)*ISNUMBER(expected_production[Expected Production (kWh)]))=0,"",SUMIFS(expected_production[Expected Production (kWh)],expected_production[Site Name],A646,expected_production[Date],B646)),"")</f>
        <v>10915.68</v>
      </c>
      <c r="E646" s="9" t="str">
        <f t="shared" si="20"/>
        <v/>
      </c>
      <c r="F646" t="str">
        <f t="shared" si="21"/>
        <v/>
      </c>
    </row>
    <row r="647" spans="1:7" ht="15" customHeight="1" x14ac:dyDescent="0.3">
      <c r="A647" t="s">
        <v>98</v>
      </c>
      <c r="B647" s="2">
        <v>46296</v>
      </c>
      <c r="C647" t="str" cm="1">
        <f t="array" ref="C647">IFERROR(IF(SUMPRODUCT((measured[Site Name]=A647)*(measured[Date]=B647)*ISNUMBER(measured[Measured Value (kWh)]))=0,"",SUMIFS(measured[Measured Value (kWh)],measured[Site Name],A647,measured[Date],B647)),"")</f>
        <v/>
      </c>
      <c r="D647" cm="1">
        <f t="array" ref="D647">IFERROR(IF(SUMPRODUCT((expected_production[Site Name]=A647)*(expected_production[Date]=B647)*ISNUMBER(expected_production[Expected Production (kWh)]))=0,"",SUMIFS(expected_production[Expected Production (kWh)],expected_production[Site Name],A647,expected_production[Date],B647)),"")</f>
        <v>12133.12</v>
      </c>
      <c r="E647" s="9" t="str">
        <f t="shared" si="20"/>
        <v/>
      </c>
      <c r="F647" t="str">
        <f t="shared" si="21"/>
        <v/>
      </c>
    </row>
    <row r="648" spans="1:7" ht="15" customHeight="1" x14ac:dyDescent="0.3">
      <c r="A648" t="s">
        <v>98</v>
      </c>
      <c r="B648" s="2">
        <v>46327</v>
      </c>
      <c r="C648" t="str" cm="1">
        <f t="array" ref="C648">IFERROR(IF(SUMPRODUCT((measured[Site Name]=A648)*(measured[Date]=B648)*ISNUMBER(measured[Measured Value (kWh)]))=0,"",SUMIFS(measured[Measured Value (kWh)],measured[Site Name],A648,measured[Date],B648)),"")</f>
        <v/>
      </c>
      <c r="D648" cm="1">
        <f t="array" ref="D648">IFERROR(IF(SUMPRODUCT((expected_production[Site Name]=A648)*(expected_production[Date]=B648)*ISNUMBER(expected_production[Expected Production (kWh)]))=0,"",SUMIFS(expected_production[Expected Production (kWh)],expected_production[Site Name],A648,expected_production[Date],B648)),"")</f>
        <v>12325.98984</v>
      </c>
      <c r="E648" s="9" t="str">
        <f t="shared" si="20"/>
        <v/>
      </c>
      <c r="F648" t="str">
        <f t="shared" si="21"/>
        <v/>
      </c>
    </row>
    <row r="649" spans="1:7" ht="15" customHeight="1" x14ac:dyDescent="0.3">
      <c r="A649" t="s">
        <v>98</v>
      </c>
      <c r="B649" s="2">
        <v>46357</v>
      </c>
      <c r="C649" t="str" cm="1">
        <f t="array" ref="C649">IFERROR(IF(SUMPRODUCT((measured[Site Name]=A649)*(measured[Date]=B649)*ISNUMBER(measured[Measured Value (kWh)]))=0,"",SUMIFS(measured[Measured Value (kWh)],measured[Site Name],A649,measured[Date],B649)),"")</f>
        <v/>
      </c>
      <c r="D649" cm="1">
        <f t="array" ref="D649">IFERROR(IF(SUMPRODUCT((expected_production[Site Name]=A649)*(expected_production[Date]=B649)*ISNUMBER(expected_production[Expected Production (kWh)]))=0,"",SUMIFS(expected_production[Expected Production (kWh)],expected_production[Site Name],A649,expected_production[Date],B649)),"")</f>
        <v>13473.89784</v>
      </c>
      <c r="E649" s="9" t="str">
        <f t="shared" si="20"/>
        <v/>
      </c>
      <c r="F649" t="str">
        <f t="shared" si="21"/>
        <v/>
      </c>
    </row>
    <row r="650" spans="1:7" ht="15" customHeight="1" x14ac:dyDescent="0.3">
      <c r="A650" t="s">
        <v>102</v>
      </c>
      <c r="B650" s="2">
        <v>45292</v>
      </c>
      <c r="C650" cm="1">
        <f t="array" ref="C650">IFERROR(IF(SUMPRODUCT((measured[Site Name]=A650)*(measured[Date]=B650)*ISNUMBER(measured[Measured Value (kWh)]))=0,"",SUMIFS(measured[Measured Value (kWh)],measured[Site Name],A650,measured[Date],B650)),"")</f>
        <v>4830</v>
      </c>
      <c r="D650" cm="1">
        <f t="array" ref="D650">IFERROR(IF(SUMPRODUCT((expected_production[Site Name]=A650)*(expected_production[Date]=B650)*ISNUMBER(expected_production[Expected Production (kWh)]))=0,"",SUMIFS(expected_production[Expected Production (kWh)],expected_production[Site Name],A650,expected_production[Date],B650)),"")</f>
        <v>11384.625</v>
      </c>
      <c r="E650" s="9">
        <f t="shared" si="20"/>
        <v>0.42425639843209589</v>
      </c>
      <c r="F650" t="str">
        <f t="shared" si="21"/>
        <v>Poor</v>
      </c>
    </row>
    <row r="651" spans="1:7" ht="15" customHeight="1" x14ac:dyDescent="0.3">
      <c r="A651" t="s">
        <v>102</v>
      </c>
      <c r="B651" s="2">
        <v>45323</v>
      </c>
      <c r="C651" cm="1">
        <f t="array" ref="C651">IFERROR(IF(SUMPRODUCT((measured[Site Name]=A651)*(measured[Date]=B651)*ISNUMBER(measured[Measured Value (kWh)]))=0,"",SUMIFS(measured[Measured Value (kWh)],measured[Site Name],A651,measured[Date],B651)),"")</f>
        <v>7231</v>
      </c>
      <c r="D651" cm="1">
        <f t="array" ref="D651">IFERROR(IF(SUMPRODUCT((expected_production[Site Name]=A651)*(expected_production[Date]=B651)*ISNUMBER(expected_production[Expected Production (kWh)]))=0,"",SUMIFS(expected_production[Expected Production (kWh)],expected_production[Site Name],A651,expected_production[Date],B651)),"")</f>
        <v>10143.6</v>
      </c>
      <c r="E651" s="9">
        <f t="shared" si="20"/>
        <v>0.71286328325249415</v>
      </c>
      <c r="F651" t="str">
        <f t="shared" si="21"/>
        <v>Moderate</v>
      </c>
    </row>
    <row r="652" spans="1:7" ht="15" customHeight="1" x14ac:dyDescent="0.3">
      <c r="A652" t="s">
        <v>102</v>
      </c>
      <c r="B652" s="2">
        <v>45352</v>
      </c>
      <c r="C652" cm="1">
        <f t="array" ref="C652">IFERROR(IF(SUMPRODUCT((measured[Site Name]=A652)*(measured[Date]=B652)*ISNUMBER(measured[Measured Value (kWh)]))=0,"",SUMIFS(measured[Measured Value (kWh)],measured[Site Name],A652,measured[Date],B652)),"")</f>
        <v>5436</v>
      </c>
      <c r="D652" cm="1">
        <f t="array" ref="D652">IFERROR(IF(SUMPRODUCT((expected_production[Site Name]=A652)*(expected_production[Date]=B652)*ISNUMBER(expected_production[Expected Production (kWh)]))=0,"",SUMIFS(expected_production[Expected Production (kWh)],expected_production[Site Name],A652,expected_production[Date],B652)),"")</f>
        <v>10396.424999999999</v>
      </c>
      <c r="E652" s="9">
        <f t="shared" si="20"/>
        <v>0.52287204495776196</v>
      </c>
      <c r="F652" t="str">
        <f t="shared" si="21"/>
        <v>Poor</v>
      </c>
    </row>
    <row r="653" spans="1:7" ht="15" customHeight="1" x14ac:dyDescent="0.3">
      <c r="A653" t="s">
        <v>102</v>
      </c>
      <c r="B653" s="2">
        <v>45383</v>
      </c>
      <c r="C653" cm="1">
        <f t="array" ref="C653">IFERROR(IF(SUMPRODUCT((measured[Site Name]=A653)*(measured[Date]=B653)*ISNUMBER(measured[Measured Value (kWh)]))=0,"",SUMIFS(measured[Measured Value (kWh)],measured[Site Name],A653,measured[Date],B653)),"")</f>
        <v>5158</v>
      </c>
      <c r="D653" cm="1">
        <f t="array" ref="D653">IFERROR(IF(SUMPRODUCT((expected_production[Site Name]=A653)*(expected_production[Date]=B653)*ISNUMBER(expected_production[Expected Production (kWh)]))=0,"",SUMIFS(expected_production[Expected Production (kWh)],expected_production[Site Name],A653,expected_production[Date],B653)),"")</f>
        <v>8842.2749999999996</v>
      </c>
      <c r="E653" s="9">
        <f t="shared" si="20"/>
        <v>0.58333404016500279</v>
      </c>
      <c r="F653" t="str">
        <f t="shared" si="21"/>
        <v>Poor</v>
      </c>
    </row>
    <row r="654" spans="1:7" ht="15" customHeight="1" x14ac:dyDescent="0.3">
      <c r="A654" t="s">
        <v>102</v>
      </c>
      <c r="B654" s="2">
        <v>45413</v>
      </c>
      <c r="C654" cm="1">
        <f t="array" ref="C654">IFERROR(IF(SUMPRODUCT((measured[Site Name]=A654)*(measured[Date]=B654)*ISNUMBER(measured[Measured Value (kWh)]))=0,"",SUMIFS(measured[Measured Value (kWh)],measured[Site Name],A654,measured[Date],B654)),"")</f>
        <v>3827</v>
      </c>
      <c r="D654" cm="1">
        <f t="array" ref="D654">IFERROR(IF(SUMPRODUCT((expected_production[Site Name]=A654)*(expected_production[Date]=B654)*ISNUMBER(expected_production[Expected Production (kWh)]))=0,"",SUMIFS(expected_production[Expected Production (kWh)],expected_production[Site Name],A654,expected_production[Date],B654)),"")</f>
        <v>7963.7250000000004</v>
      </c>
      <c r="E654" s="9">
        <f t="shared" si="20"/>
        <v>0.4805540120986096</v>
      </c>
      <c r="F654" t="str">
        <f t="shared" si="21"/>
        <v>Poor</v>
      </c>
    </row>
    <row r="655" spans="1:7" ht="15" customHeight="1" x14ac:dyDescent="0.3">
      <c r="A655" t="s">
        <v>102</v>
      </c>
      <c r="B655" s="2">
        <v>45444</v>
      </c>
      <c r="C655" cm="1">
        <f t="array" ref="C655">IFERROR(IF(SUMPRODUCT((measured[Site Name]=A655)*(measured[Date]=B655)*ISNUMBER(measured[Measured Value (kWh)]))=0,"",SUMIFS(measured[Measured Value (kWh)],measured[Site Name],A655,measured[Date],B655)),"")</f>
        <v>3220</v>
      </c>
      <c r="D655" cm="1">
        <f t="array" ref="D655">IFERROR(IF(SUMPRODUCT((expected_production[Site Name]=A655)*(expected_production[Date]=B655)*ISNUMBER(expected_production[Expected Production (kWh)]))=0,"",SUMIFS(expected_production[Expected Production (kWh)],expected_production[Site Name],A655,expected_production[Date],B655)),"")</f>
        <v>7364.3249999999998</v>
      </c>
      <c r="E655" s="9">
        <f t="shared" si="20"/>
        <v>0.43724306029405274</v>
      </c>
      <c r="F655" t="str">
        <f t="shared" si="21"/>
        <v>Poor</v>
      </c>
    </row>
    <row r="656" spans="1:7" ht="15" customHeight="1" x14ac:dyDescent="0.3">
      <c r="A656" t="s">
        <v>102</v>
      </c>
      <c r="B656" s="2">
        <v>45474</v>
      </c>
      <c r="C656" cm="1">
        <f t="array" ref="C656">IFERROR(IF(SUMPRODUCT((measured[Site Name]=A656)*(measured[Date]=B656)*ISNUMBER(measured[Measured Value (kWh)]))=0,"",SUMIFS(measured[Measured Value (kWh)],measured[Site Name],A656,measured[Date],B656)),"")</f>
        <v>5497</v>
      </c>
      <c r="D656" cm="1">
        <f t="array" ref="D656">IFERROR(IF(SUMPRODUCT((expected_production[Site Name]=A656)*(expected_production[Date]=B656)*ISNUMBER(expected_production[Expected Production (kWh)]))=0,"",SUMIFS(expected_production[Expected Production (kWh)],expected_production[Site Name],A656,expected_production[Date],B656)),"")</f>
        <v>7865.1750000000002</v>
      </c>
      <c r="E656" s="9">
        <f t="shared" si="20"/>
        <v>0.69890371161480835</v>
      </c>
      <c r="F656" t="str">
        <f t="shared" si="21"/>
        <v>Poor</v>
      </c>
    </row>
    <row r="657" spans="1:6" ht="15" customHeight="1" x14ac:dyDescent="0.3">
      <c r="A657" t="s">
        <v>102</v>
      </c>
      <c r="B657" s="2">
        <v>45505</v>
      </c>
      <c r="C657" cm="1">
        <f t="array" ref="C657">IFERROR(IF(SUMPRODUCT((measured[Site Name]=A657)*(measured[Date]=B657)*ISNUMBER(measured[Measured Value (kWh)]))=0,"",SUMIFS(measured[Measured Value (kWh)],measured[Site Name],A657,measured[Date],B657)),"")</f>
        <v>4475</v>
      </c>
      <c r="D657" cm="1">
        <f t="array" ref="D657">IFERROR(IF(SUMPRODUCT((expected_production[Site Name]=A657)*(expected_production[Date]=B657)*ISNUMBER(expected_production[Expected Production (kWh)]))=0,"",SUMIFS(expected_production[Expected Production (kWh)],expected_production[Site Name],A657,expected_production[Date],B657)),"")</f>
        <v>8758.7250000000004</v>
      </c>
      <c r="E657" s="9">
        <f t="shared" si="20"/>
        <v>0.51091911208537766</v>
      </c>
      <c r="F657" t="str">
        <f t="shared" si="21"/>
        <v>Poor</v>
      </c>
    </row>
    <row r="658" spans="1:6" ht="15" customHeight="1" x14ac:dyDescent="0.3">
      <c r="A658" t="s">
        <v>102</v>
      </c>
      <c r="B658" s="2">
        <v>45536</v>
      </c>
      <c r="C658" cm="1">
        <f t="array" ref="C658">IFERROR(IF(SUMPRODUCT((measured[Site Name]=A658)*(measured[Date]=B658)*ISNUMBER(measured[Measured Value (kWh)]))=0,"",SUMIFS(measured[Measured Value (kWh)],measured[Site Name],A658,measured[Date],B658)),"")</f>
        <v>1847</v>
      </c>
      <c r="D658" cm="1">
        <f t="array" ref="D658">IFERROR(IF(SUMPRODUCT((expected_production[Site Name]=A658)*(expected_production[Date]=B658)*ISNUMBER(expected_production[Expected Production (kWh)]))=0,"",SUMIFS(expected_production[Expected Production (kWh)],expected_production[Site Name],A658,expected_production[Date],B658)),"")</f>
        <v>8956.35</v>
      </c>
      <c r="E658" s="9">
        <f t="shared" si="20"/>
        <v>0.20622240086642438</v>
      </c>
      <c r="F658" t="str">
        <f t="shared" si="21"/>
        <v>Poor</v>
      </c>
    </row>
    <row r="659" spans="1:6" ht="15" customHeight="1" x14ac:dyDescent="0.3">
      <c r="A659" t="s">
        <v>102</v>
      </c>
      <c r="B659" s="2">
        <v>45566</v>
      </c>
      <c r="C659" cm="1">
        <f t="array" ref="C659">IFERROR(IF(SUMPRODUCT((measured[Site Name]=A659)*(measured[Date]=B659)*ISNUMBER(measured[Measured Value (kWh)]))=0,"",SUMIFS(measured[Measured Value (kWh)],measured[Site Name],A659,measured[Date],B659)),"")</f>
        <v>1575</v>
      </c>
      <c r="D659" cm="1">
        <f t="array" ref="D659">IFERROR(IF(SUMPRODUCT((expected_production[Site Name]=A659)*(expected_production[Date]=B659)*ISNUMBER(expected_production[Expected Production (kWh)]))=0,"",SUMIFS(expected_production[Expected Production (kWh)],expected_production[Site Name],A659,expected_production[Date],B659)),"")</f>
        <v>9957.75</v>
      </c>
      <c r="E659" s="9">
        <f t="shared" si="20"/>
        <v>0.15816826090231226</v>
      </c>
      <c r="F659" t="str">
        <f t="shared" si="21"/>
        <v>Poor</v>
      </c>
    </row>
    <row r="660" spans="1:6" ht="15" customHeight="1" x14ac:dyDescent="0.3">
      <c r="A660" t="s">
        <v>102</v>
      </c>
      <c r="B660" s="2">
        <v>45597</v>
      </c>
      <c r="C660" cm="1">
        <f t="array" ref="C660">IFERROR(IF(SUMPRODUCT((measured[Site Name]=A660)*(measured[Date]=B660)*ISNUMBER(measured[Measured Value (kWh)]))=0,"",SUMIFS(measured[Measured Value (kWh)],measured[Site Name],A660,measured[Date],B660)),"")</f>
        <v>5700</v>
      </c>
      <c r="D660" cm="1">
        <f t="array" ref="D660">IFERROR(IF(SUMPRODUCT((expected_production[Site Name]=A660)*(expected_production[Date]=B660)*ISNUMBER(expected_production[Expected Production (kWh)]))=0,"",SUMIFS(expected_production[Expected Production (kWh)],expected_production[Site Name],A660,expected_production[Date],B660)),"")</f>
        <v>10009.663425000001</v>
      </c>
      <c r="E660" s="9">
        <f t="shared" si="20"/>
        <v>0.56944971653729703</v>
      </c>
      <c r="F660" t="str">
        <f t="shared" si="21"/>
        <v>Poor</v>
      </c>
    </row>
    <row r="661" spans="1:6" ht="15" customHeight="1" x14ac:dyDescent="0.3">
      <c r="A661" t="s">
        <v>102</v>
      </c>
      <c r="B661" s="2">
        <v>45627</v>
      </c>
      <c r="C661" cm="1">
        <f t="array" ref="C661">IFERROR(IF(SUMPRODUCT((measured[Site Name]=A661)*(measured[Date]=B661)*ISNUMBER(measured[Measured Value (kWh)]))=0,"",SUMIFS(measured[Measured Value (kWh)],measured[Site Name],A661,measured[Date],B661)),"")</f>
        <v>1938</v>
      </c>
      <c r="D661" cm="1">
        <f t="array" ref="D661">IFERROR(IF(SUMPRODUCT((expected_production[Site Name]=A661)*(expected_production[Date]=B661)*ISNUMBER(expected_production[Expected Production (kWh)]))=0,"",SUMIFS(expected_production[Expected Production (kWh)],expected_production[Site Name],A661,expected_production[Date],B661)),"")</f>
        <v>11121.500700000001</v>
      </c>
      <c r="E661" s="9">
        <f t="shared" si="20"/>
        <v>0.17425705867194702</v>
      </c>
      <c r="F661" t="str">
        <f t="shared" si="21"/>
        <v>Poor</v>
      </c>
    </row>
    <row r="662" spans="1:6" ht="15" customHeight="1" x14ac:dyDescent="0.3">
      <c r="A662" t="s">
        <v>102</v>
      </c>
      <c r="B662" s="2">
        <v>45658</v>
      </c>
      <c r="C662" cm="1">
        <f t="array" ref="C662">IFERROR(IF(SUMPRODUCT((measured[Site Name]=A662)*(measured[Date]=B662)*ISNUMBER(measured[Measured Value (kWh)]))=0,"",SUMIFS(measured[Measured Value (kWh)],measured[Site Name],A662,measured[Date],B662)),"")</f>
        <v>5227</v>
      </c>
      <c r="D662" cm="1">
        <f t="array" ref="D662">IFERROR(IF(SUMPRODUCT((expected_production[Site Name]=A662)*(expected_production[Date]=B662)*ISNUMBER(expected_production[Expected Production (kWh)]))=0,"",SUMIFS(expected_production[Expected Production (kWh)],expected_production[Site Name],A662,expected_production[Date],B662)),"")</f>
        <v>11384.625</v>
      </c>
      <c r="E662" s="9">
        <f t="shared" si="20"/>
        <v>0.45912799060135928</v>
      </c>
      <c r="F662" t="str">
        <f t="shared" si="21"/>
        <v>Poor</v>
      </c>
    </row>
    <row r="663" spans="1:6" ht="15" customHeight="1" x14ac:dyDescent="0.3">
      <c r="A663" t="s">
        <v>102</v>
      </c>
      <c r="B663" s="2">
        <v>45689</v>
      </c>
      <c r="C663" cm="1">
        <f t="array" ref="C663">IFERROR(IF(SUMPRODUCT((measured[Site Name]=A663)*(measured[Date]=B663)*ISNUMBER(measured[Measured Value (kWh)]))=0,"",SUMIFS(measured[Measured Value (kWh)],measured[Site Name],A663,measured[Date],B663)),"")</f>
        <v>5137</v>
      </c>
      <c r="D663" cm="1">
        <f t="array" ref="D663">IFERROR(IF(SUMPRODUCT((expected_production[Site Name]=A663)*(expected_production[Date]=B663)*ISNUMBER(expected_production[Expected Production (kWh)]))=0,"",SUMIFS(expected_production[Expected Production (kWh)],expected_production[Site Name],A663,expected_production[Date],B663)),"")</f>
        <v>10143.6</v>
      </c>
      <c r="E663" s="9">
        <f t="shared" si="20"/>
        <v>0.50642769825308565</v>
      </c>
      <c r="F663" t="str">
        <f t="shared" si="21"/>
        <v>Poor</v>
      </c>
    </row>
    <row r="664" spans="1:6" ht="15" customHeight="1" x14ac:dyDescent="0.3">
      <c r="A664" t="s">
        <v>102</v>
      </c>
      <c r="B664" s="2">
        <v>45717</v>
      </c>
      <c r="C664" cm="1">
        <f t="array" ref="C664">IFERROR(IF(SUMPRODUCT((measured[Site Name]=A664)*(measured[Date]=B664)*ISNUMBER(measured[Measured Value (kWh)]))=0,"",SUMIFS(measured[Measured Value (kWh)],measured[Site Name],A664,measured[Date],B664)),"")</f>
        <v>5031</v>
      </c>
      <c r="D664" cm="1">
        <f t="array" ref="D664">IFERROR(IF(SUMPRODUCT((expected_production[Site Name]=A664)*(expected_production[Date]=B664)*ISNUMBER(expected_production[Expected Production (kWh)]))=0,"",SUMIFS(expected_production[Expected Production (kWh)],expected_production[Site Name],A664,expected_production[Date],B664)),"")</f>
        <v>10396.424999999999</v>
      </c>
      <c r="E664" s="9">
        <f t="shared" si="20"/>
        <v>0.48391634624402141</v>
      </c>
      <c r="F664" t="str">
        <f t="shared" si="21"/>
        <v>Poor</v>
      </c>
    </row>
    <row r="665" spans="1:6" ht="15" customHeight="1" x14ac:dyDescent="0.3">
      <c r="A665" t="s">
        <v>102</v>
      </c>
      <c r="B665" s="2">
        <v>45748</v>
      </c>
      <c r="C665" cm="1">
        <f t="array" ref="C665">IFERROR(IF(SUMPRODUCT((measured[Site Name]=A665)*(measured[Date]=B665)*ISNUMBER(measured[Measured Value (kWh)]))=0,"",SUMIFS(measured[Measured Value (kWh)],measured[Site Name],A665,measured[Date],B665)),"")</f>
        <v>3147</v>
      </c>
      <c r="D665" cm="1">
        <f t="array" ref="D665">IFERROR(IF(SUMPRODUCT((expected_production[Site Name]=A665)*(expected_production[Date]=B665)*ISNUMBER(expected_production[Expected Production (kWh)]))=0,"",SUMIFS(expected_production[Expected Production (kWh)],expected_production[Site Name],A665,expected_production[Date],B665)),"")</f>
        <v>8842.2749999999996</v>
      </c>
      <c r="E665" s="9">
        <f t="shared" si="20"/>
        <v>0.35590388220226132</v>
      </c>
      <c r="F665" t="str">
        <f t="shared" si="21"/>
        <v>Poor</v>
      </c>
    </row>
    <row r="666" spans="1:6" ht="15" customHeight="1" x14ac:dyDescent="0.3">
      <c r="A666" t="s">
        <v>102</v>
      </c>
      <c r="B666" s="2">
        <v>45778</v>
      </c>
      <c r="C666" cm="1">
        <f t="array" ref="C666">IFERROR(IF(SUMPRODUCT((measured[Site Name]=A666)*(measured[Date]=B666)*ISNUMBER(measured[Measured Value (kWh)]))=0,"",SUMIFS(measured[Measured Value (kWh)],measured[Site Name],A666,measured[Date],B666)),"")</f>
        <v>4797</v>
      </c>
      <c r="D666" cm="1">
        <f t="array" ref="D666">IFERROR(IF(SUMPRODUCT((expected_production[Site Name]=A666)*(expected_production[Date]=B666)*ISNUMBER(expected_production[Expected Production (kWh)]))=0,"",SUMIFS(expected_production[Expected Production (kWh)],expected_production[Site Name],A666,expected_production[Date],B666)),"")</f>
        <v>7963.7250000000004</v>
      </c>
      <c r="E666" s="9">
        <f t="shared" si="20"/>
        <v>0.60235630939039209</v>
      </c>
      <c r="F666" t="str">
        <f t="shared" si="21"/>
        <v>Poor</v>
      </c>
    </row>
    <row r="667" spans="1:6" ht="15" customHeight="1" x14ac:dyDescent="0.3">
      <c r="A667" t="s">
        <v>102</v>
      </c>
      <c r="B667" s="2">
        <v>45809</v>
      </c>
      <c r="C667" cm="1">
        <f t="array" ref="C667">IFERROR(IF(SUMPRODUCT((measured[Site Name]=A667)*(measured[Date]=B667)*ISNUMBER(measured[Measured Value (kWh)]))=0,"",SUMIFS(measured[Measured Value (kWh)],measured[Site Name],A667,measured[Date],B667)),"")</f>
        <v>3255.49</v>
      </c>
      <c r="D667" cm="1">
        <f t="array" ref="D667">IFERROR(IF(SUMPRODUCT((expected_production[Site Name]=A667)*(expected_production[Date]=B667)*ISNUMBER(expected_production[Expected Production (kWh)]))=0,"",SUMIFS(expected_production[Expected Production (kWh)],expected_production[Site Name],A667,expected_production[Date],B667)),"")</f>
        <v>7364.3249999999998</v>
      </c>
      <c r="E667" s="9">
        <f t="shared" si="20"/>
        <v>0.44206223924120674</v>
      </c>
      <c r="F667" t="str">
        <f t="shared" si="21"/>
        <v>Poor</v>
      </c>
    </row>
    <row r="668" spans="1:6" ht="15" customHeight="1" x14ac:dyDescent="0.3">
      <c r="A668" t="s">
        <v>102</v>
      </c>
      <c r="B668" s="2">
        <v>45839</v>
      </c>
      <c r="C668" cm="1">
        <f t="array" ref="C668">IFERROR(IF(SUMPRODUCT((measured[Site Name]=A668)*(measured[Date]=B668)*ISNUMBER(measured[Measured Value (kWh)]))=0,"",SUMIFS(measured[Measured Value (kWh)],measured[Site Name],A668,measured[Date],B668)),"")</f>
        <v>5212</v>
      </c>
      <c r="D668" cm="1">
        <f t="array" ref="D668">IFERROR(IF(SUMPRODUCT((expected_production[Site Name]=A668)*(expected_production[Date]=B668)*ISNUMBER(expected_production[Expected Production (kWh)]))=0,"",SUMIFS(expected_production[Expected Production (kWh)],expected_production[Site Name],A668,expected_production[Date],B668)),"")</f>
        <v>7865.1750000000002</v>
      </c>
      <c r="E668" s="9">
        <f t="shared" si="20"/>
        <v>0.66266802709412054</v>
      </c>
      <c r="F668" t="str">
        <f t="shared" si="21"/>
        <v>Poor</v>
      </c>
    </row>
    <row r="669" spans="1:6" ht="15" customHeight="1" x14ac:dyDescent="0.3">
      <c r="A669" t="s">
        <v>102</v>
      </c>
      <c r="B669" s="2">
        <v>45870</v>
      </c>
      <c r="C669" cm="1">
        <f t="array" ref="C669">IFERROR(IF(SUMPRODUCT((measured[Site Name]=A669)*(measured[Date]=B669)*ISNUMBER(measured[Measured Value (kWh)]))=0,"",SUMIFS(measured[Measured Value (kWh)],measured[Site Name],A669,measured[Date],B669)),"")</f>
        <v>1743.88</v>
      </c>
      <c r="D669" cm="1">
        <f t="array" ref="D669">IFERROR(IF(SUMPRODUCT((expected_production[Site Name]=A669)*(expected_production[Date]=B669)*ISNUMBER(expected_production[Expected Production (kWh)]))=0,"",SUMIFS(expected_production[Expected Production (kWh)],expected_production[Site Name],A669,expected_production[Date],B669)),"")</f>
        <v>8758.7250000000004</v>
      </c>
      <c r="E669" s="9">
        <f t="shared" si="20"/>
        <v>0.1991020382532846</v>
      </c>
      <c r="F669" t="str">
        <f t="shared" si="21"/>
        <v>Poor</v>
      </c>
    </row>
    <row r="670" spans="1:6" ht="15" customHeight="1" x14ac:dyDescent="0.3">
      <c r="A670" t="s">
        <v>102</v>
      </c>
      <c r="B670" s="2">
        <v>45901</v>
      </c>
      <c r="C670" cm="1">
        <f t="array" ref="C670">IFERROR(IF(SUMPRODUCT((measured[Site Name]=A670)*(measured[Date]=B670)*ISNUMBER(measured[Measured Value (kWh)]))=0,"",SUMIFS(measured[Measured Value (kWh)],measured[Site Name],A670,measured[Date],B670)),"")</f>
        <v>4503</v>
      </c>
      <c r="D670" cm="1">
        <f t="array" ref="D670">IFERROR(IF(SUMPRODUCT((expected_production[Site Name]=A670)*(expected_production[Date]=B670)*ISNUMBER(expected_production[Expected Production (kWh)]))=0,"",SUMIFS(expected_production[Expected Production (kWh)],expected_production[Site Name],A670,expected_production[Date],B670)),"")</f>
        <v>8956.35</v>
      </c>
      <c r="E670" s="9">
        <f t="shared" si="20"/>
        <v>0.50277177644911153</v>
      </c>
      <c r="F670" t="str">
        <f t="shared" si="21"/>
        <v>Poor</v>
      </c>
    </row>
    <row r="671" spans="1:6" ht="15" customHeight="1" x14ac:dyDescent="0.3">
      <c r="A671" t="s">
        <v>102</v>
      </c>
      <c r="B671" s="2">
        <v>45931</v>
      </c>
      <c r="C671" cm="1">
        <f t="array" ref="C671">IFERROR(IF(SUMPRODUCT((measured[Site Name]=A671)*(measured[Date]=B671)*ISNUMBER(measured[Measured Value (kWh)]))=0,"",SUMIFS(measured[Measured Value (kWh)],measured[Site Name],A671,measured[Date],B671)),"")</f>
        <v>6159</v>
      </c>
      <c r="D671" cm="1">
        <f t="array" ref="D671">IFERROR(IF(SUMPRODUCT((expected_production[Site Name]=A671)*(expected_production[Date]=B671)*ISNUMBER(expected_production[Expected Production (kWh)]))=0,"",SUMIFS(expected_production[Expected Production (kWh)],expected_production[Site Name],A671,expected_production[Date],B671)),"")</f>
        <v>9957.75</v>
      </c>
      <c r="E671" s="9">
        <f t="shared" si="20"/>
        <v>0.61851321834751827</v>
      </c>
      <c r="F671" t="str">
        <f t="shared" si="21"/>
        <v>Poor</v>
      </c>
    </row>
    <row r="672" spans="1:6" ht="15" customHeight="1" x14ac:dyDescent="0.3">
      <c r="A672" t="s">
        <v>102</v>
      </c>
      <c r="B672" s="2">
        <v>45962</v>
      </c>
      <c r="C672" cm="1">
        <f t="array" ref="C672">IFERROR(IF(SUMPRODUCT((measured[Site Name]=A672)*(measured[Date]=B672)*ISNUMBER(measured[Measured Value (kWh)]))=0,"",SUMIFS(measured[Measured Value (kWh)],measured[Site Name],A672,measured[Date],B672)),"")</f>
        <v>6232</v>
      </c>
      <c r="D672" cm="1">
        <f t="array" ref="D672">IFERROR(IF(SUMPRODUCT((expected_production[Site Name]=A672)*(expected_production[Date]=B672)*ISNUMBER(expected_production[Expected Production (kWh)]))=0,"",SUMIFS(expected_production[Expected Production (kWh)],expected_production[Site Name],A672,expected_production[Date],B672)),"")</f>
        <v>10009.663425000001</v>
      </c>
      <c r="E672" s="9">
        <f t="shared" ref="E672:E735" si="22">IF(OR(C672="",D672="",D672=0),"",C672/D672)</f>
        <v>0.62259835674744479</v>
      </c>
      <c r="F672" t="str">
        <f t="shared" ref="F672:F735" si="23">IF(E672="","",IF(E672&gt;=0.9,"Expected",IF(E672&gt;=0.7,"Moderate","Poor")))</f>
        <v>Poor</v>
      </c>
    </row>
    <row r="673" spans="1:7" ht="15" customHeight="1" x14ac:dyDescent="0.3">
      <c r="A673" t="s">
        <v>102</v>
      </c>
      <c r="B673" s="2">
        <v>45992</v>
      </c>
      <c r="C673" cm="1">
        <f t="array" ref="C673">IFERROR(IF(SUMPRODUCT((measured[Site Name]=A673)*(measured[Date]=B673)*ISNUMBER(measured[Measured Value (kWh)]))=0,"",SUMIFS(measured[Measured Value (kWh)],measured[Site Name],A673,measured[Date],B673)),"")</f>
        <v>5380</v>
      </c>
      <c r="D673" cm="1">
        <f t="array" ref="D673">IFERROR(IF(SUMPRODUCT((expected_production[Site Name]=A673)*(expected_production[Date]=B673)*ISNUMBER(expected_production[Expected Production (kWh)]))=0,"",SUMIFS(expected_production[Expected Production (kWh)],expected_production[Site Name],A673,expected_production[Date],B673)),"")</f>
        <v>11121.500700000001</v>
      </c>
      <c r="E673" s="9">
        <f t="shared" si="22"/>
        <v>0.48374766545669506</v>
      </c>
      <c r="F673" t="str">
        <f t="shared" si="23"/>
        <v>Poor</v>
      </c>
    </row>
    <row r="674" spans="1:7" ht="15" customHeight="1" x14ac:dyDescent="0.3">
      <c r="A674" t="s">
        <v>102</v>
      </c>
      <c r="B674" s="2">
        <v>46023</v>
      </c>
      <c r="C674" cm="1">
        <f t="array" ref="C674">IFERROR(IF(SUMPRODUCT((measured[Site Name]=A674)*(measured[Date]=B674)*ISNUMBER(measured[Measured Value (kWh)]))=0,"",SUMIFS(measured[Measured Value (kWh)],measured[Site Name],A674,measured[Date],B674)),"")</f>
        <v>7601.5</v>
      </c>
      <c r="D674" cm="1">
        <f t="array" ref="D674">IFERROR(IF(SUMPRODUCT((expected_production[Site Name]=A674)*(expected_production[Date]=B674)*ISNUMBER(expected_production[Expected Production (kWh)]))=0,"",SUMIFS(expected_production[Expected Production (kWh)],expected_production[Site Name],A674,expected_production[Date],B674)),"")</f>
        <v>11384.625</v>
      </c>
      <c r="E674" s="9">
        <f t="shared" si="22"/>
        <v>0.66769876038956044</v>
      </c>
      <c r="F674" t="str">
        <f t="shared" si="23"/>
        <v>Poor</v>
      </c>
    </row>
    <row r="675" spans="1:7" ht="15" customHeight="1" x14ac:dyDescent="0.3">
      <c r="A675" t="s">
        <v>102</v>
      </c>
      <c r="B675" s="2">
        <v>46054</v>
      </c>
      <c r="C675" cm="1">
        <f t="array" ref="C675">IFERROR(IF(SUMPRODUCT((measured[Site Name]=A675)*(measured[Date]=B675)*ISNUMBER(measured[Measured Value (kWh)]))=0,"",SUMIFS(measured[Measured Value (kWh)],measured[Site Name],A675,measured[Date],B675)),"")</f>
        <v>6347.07</v>
      </c>
      <c r="D675" cm="1">
        <f t="array" ref="D675">IFERROR(IF(SUMPRODUCT((expected_production[Site Name]=A675)*(expected_production[Date]=B675)*ISNUMBER(expected_production[Expected Production (kWh)]))=0,"",SUMIFS(expected_production[Expected Production (kWh)],expected_production[Site Name],A675,expected_production[Date],B675)),"")</f>
        <v>10143.6</v>
      </c>
      <c r="E675" s="9">
        <f t="shared" si="22"/>
        <v>0.62572163728853658</v>
      </c>
      <c r="F675" t="str">
        <f t="shared" si="23"/>
        <v>Poor</v>
      </c>
    </row>
    <row r="676" spans="1:7" ht="15" customHeight="1" x14ac:dyDescent="0.3">
      <c r="A676" t="s">
        <v>102</v>
      </c>
      <c r="B676" s="2">
        <v>46082</v>
      </c>
      <c r="C676" cm="1">
        <f t="array" ref="C676">IFERROR(IF(SUMPRODUCT((measured[Site Name]=A676)*(measured[Date]=B676)*ISNUMBER(measured[Measured Value (kWh)]))=0,"",SUMIFS(measured[Measured Value (kWh)],measured[Site Name],A676,measured[Date],B676)),"")</f>
        <v>7063</v>
      </c>
      <c r="D676" cm="1">
        <f t="array" ref="D676">IFERROR(IF(SUMPRODUCT((expected_production[Site Name]=A676)*(expected_production[Date]=B676)*ISNUMBER(expected_production[Expected Production (kWh)]))=0,"",SUMIFS(expected_production[Expected Production (kWh)],expected_production[Site Name],A676,expected_production[Date],B676)),"")</f>
        <v>10396.424999999999</v>
      </c>
      <c r="E676" s="9">
        <f t="shared" si="22"/>
        <v>0.67936814818555424</v>
      </c>
      <c r="F676" t="str">
        <f t="shared" si="23"/>
        <v>Poor</v>
      </c>
    </row>
    <row r="677" spans="1:7" ht="15" customHeight="1" x14ac:dyDescent="0.3">
      <c r="A677" t="s">
        <v>102</v>
      </c>
      <c r="B677" s="2">
        <v>46113</v>
      </c>
      <c r="C677" cm="1">
        <f t="array" ref="C677">IFERROR(IF(SUMPRODUCT((measured[Site Name]=A677)*(measured[Date]=B677)*ISNUMBER(measured[Measured Value (kWh)]))=0,"",SUMIFS(measured[Measured Value (kWh)],measured[Site Name],A677,measured[Date],B677)),"")</f>
        <v>4736.87</v>
      </c>
      <c r="D677" cm="1">
        <f t="array" ref="D677">IFERROR(IF(SUMPRODUCT((expected_production[Site Name]=A677)*(expected_production[Date]=B677)*ISNUMBER(expected_production[Expected Production (kWh)]))=0,"",SUMIFS(expected_production[Expected Production (kWh)],expected_production[Site Name],A677,expected_production[Date],B677)),"")</f>
        <v>8842.2749999999996</v>
      </c>
      <c r="E677" s="9">
        <f t="shared" si="22"/>
        <v>0.53570715681201952</v>
      </c>
      <c r="F677" t="str">
        <f t="shared" si="23"/>
        <v>Poor</v>
      </c>
    </row>
    <row r="678" spans="1:7" ht="15" customHeight="1" x14ac:dyDescent="0.3">
      <c r="A678" t="s">
        <v>102</v>
      </c>
      <c r="B678" s="2">
        <v>46143</v>
      </c>
      <c r="C678" cm="1">
        <f t="array" ref="C678">IFERROR(IF(SUMPRODUCT((measured[Site Name]=A678)*(measured[Date]=B678)*ISNUMBER(measured[Measured Value (kWh)]))=0,"",SUMIFS(measured[Measured Value (kWh)],measured[Site Name],A678,measured[Date],B678)),"")</f>
        <v>4375.54</v>
      </c>
      <c r="D678" cm="1">
        <f t="array" ref="D678">IFERROR(IF(SUMPRODUCT((expected_production[Site Name]=A678)*(expected_production[Date]=B678)*ISNUMBER(expected_production[Expected Production (kWh)]))=0,"",SUMIFS(expected_production[Expected Production (kWh)],expected_production[Site Name],A678,expected_production[Date],B678)),"")</f>
        <v>7963.7250000000004</v>
      </c>
      <c r="E678" s="9">
        <f t="shared" si="22"/>
        <v>0.54943383906400578</v>
      </c>
      <c r="F678" t="str">
        <f t="shared" si="23"/>
        <v>Poor</v>
      </c>
    </row>
    <row r="679" spans="1:7" ht="15" customHeight="1" x14ac:dyDescent="0.3">
      <c r="A679" t="s">
        <v>102</v>
      </c>
      <c r="B679" s="2">
        <v>46174</v>
      </c>
      <c r="C679" cm="1">
        <f t="array" ref="C679">IFERROR(IF(SUMPRODUCT((measured[Site Name]=A679)*(measured[Date]=B679)*ISNUMBER(measured[Measured Value (kWh)]))=0,"",SUMIFS(measured[Measured Value (kWh)],measured[Site Name],A679,measured[Date],B679)),"")</f>
        <v>3483</v>
      </c>
      <c r="D679" cm="1">
        <f t="array" ref="D679">IFERROR(IF(SUMPRODUCT((expected_production[Site Name]=A679)*(expected_production[Date]=B679)*ISNUMBER(expected_production[Expected Production (kWh)]))=0,"",SUMIFS(expected_production[Expected Production (kWh)],expected_production[Site Name],A679,expected_production[Date],B679)),"")</f>
        <v>7364.3249999999998</v>
      </c>
      <c r="E679" s="9">
        <f t="shared" si="22"/>
        <v>0.47295576987707633</v>
      </c>
      <c r="F679" t="str">
        <f t="shared" si="23"/>
        <v>Poor</v>
      </c>
    </row>
    <row r="680" spans="1:7" ht="15" customHeight="1" x14ac:dyDescent="0.3">
      <c r="A680" t="s">
        <v>271</v>
      </c>
      <c r="B680" s="2">
        <v>46204</v>
      </c>
      <c r="C680" cm="1">
        <f t="array" ref="C680">IFERROR(IF(SUMPRODUCT((measured[Site Name]=A680)*(measured[Date]=B680)*ISNUMBER(measured[Measured Value (kWh)]))=0,"",SUMIFS(measured[Measured Value (kWh)],measured[Site Name],A680,measured[Date],B680)),"")</f>
        <v>6140</v>
      </c>
      <c r="D680" cm="1">
        <f t="array" ref="D680">IFERROR(IF(SUMPRODUCT((expected_production[Site Name]=A680)*(expected_production[Date]=B680)*ISNUMBER(expected_production[Expected Production (kWh)]))=0,"",SUMIFS(expected_production[Expected Production (kWh)],expected_production[Site Name],A680,expected_production[Date],B680)),"")</f>
        <v>10986.300000000001</v>
      </c>
      <c r="E680" s="9">
        <f t="shared" si="22"/>
        <v>0.55887787517180487</v>
      </c>
      <c r="F680" t="str">
        <f t="shared" si="23"/>
        <v>Poor</v>
      </c>
      <c r="G680" t="s">
        <v>875</v>
      </c>
    </row>
    <row r="681" spans="1:7" ht="15" customHeight="1" x14ac:dyDescent="0.3">
      <c r="A681" t="s">
        <v>102</v>
      </c>
      <c r="B681" s="2">
        <v>46235</v>
      </c>
      <c r="C681" t="str" cm="1">
        <f t="array" ref="C681">IFERROR(IF(SUMPRODUCT((measured[Site Name]=A681)*(measured[Date]=B681)*ISNUMBER(measured[Measured Value (kWh)]))=0,"",SUMIFS(measured[Measured Value (kWh)],measured[Site Name],A681,measured[Date],B681)),"")</f>
        <v/>
      </c>
      <c r="D681" cm="1">
        <f t="array" ref="D681">IFERROR(IF(SUMPRODUCT((expected_production[Site Name]=A681)*(expected_production[Date]=B681)*ISNUMBER(expected_production[Expected Production (kWh)]))=0,"",SUMIFS(expected_production[Expected Production (kWh)],expected_production[Site Name],A681,expected_production[Date],B681)),"")</f>
        <v>8758.7250000000004</v>
      </c>
      <c r="E681" s="9" t="str">
        <f t="shared" si="22"/>
        <v/>
      </c>
      <c r="F681" t="str">
        <f t="shared" si="23"/>
        <v/>
      </c>
    </row>
    <row r="682" spans="1:7" ht="15" customHeight="1" x14ac:dyDescent="0.3">
      <c r="A682" t="s">
        <v>102</v>
      </c>
      <c r="B682" s="2">
        <v>46266</v>
      </c>
      <c r="C682" t="str" cm="1">
        <f t="array" ref="C682">IFERROR(IF(SUMPRODUCT((measured[Site Name]=A682)*(measured[Date]=B682)*ISNUMBER(measured[Measured Value (kWh)]))=0,"",SUMIFS(measured[Measured Value (kWh)],measured[Site Name],A682,measured[Date],B682)),"")</f>
        <v/>
      </c>
      <c r="D682" cm="1">
        <f t="array" ref="D682">IFERROR(IF(SUMPRODUCT((expected_production[Site Name]=A682)*(expected_production[Date]=B682)*ISNUMBER(expected_production[Expected Production (kWh)]))=0,"",SUMIFS(expected_production[Expected Production (kWh)],expected_production[Site Name],A682,expected_production[Date],B682)),"")</f>
        <v>8956.35</v>
      </c>
      <c r="E682" s="9" t="str">
        <f t="shared" si="22"/>
        <v/>
      </c>
      <c r="F682" t="str">
        <f t="shared" si="23"/>
        <v/>
      </c>
    </row>
    <row r="683" spans="1:7" ht="15" customHeight="1" x14ac:dyDescent="0.3">
      <c r="A683" t="s">
        <v>102</v>
      </c>
      <c r="B683" s="2">
        <v>46296</v>
      </c>
      <c r="C683" t="str" cm="1">
        <f t="array" ref="C683">IFERROR(IF(SUMPRODUCT((measured[Site Name]=A683)*(measured[Date]=B683)*ISNUMBER(measured[Measured Value (kWh)]))=0,"",SUMIFS(measured[Measured Value (kWh)],measured[Site Name],A683,measured[Date],B683)),"")</f>
        <v/>
      </c>
      <c r="D683" cm="1">
        <f t="array" ref="D683">IFERROR(IF(SUMPRODUCT((expected_production[Site Name]=A683)*(expected_production[Date]=B683)*ISNUMBER(expected_production[Expected Production (kWh)]))=0,"",SUMIFS(expected_production[Expected Production (kWh)],expected_production[Site Name],A683,expected_production[Date],B683)),"")</f>
        <v>9957.75</v>
      </c>
      <c r="E683" s="9" t="str">
        <f t="shared" si="22"/>
        <v/>
      </c>
      <c r="F683" t="str">
        <f t="shared" si="23"/>
        <v/>
      </c>
    </row>
    <row r="684" spans="1:7" ht="15" customHeight="1" x14ac:dyDescent="0.3">
      <c r="A684" t="s">
        <v>102</v>
      </c>
      <c r="B684" s="2">
        <v>46327</v>
      </c>
      <c r="C684" t="str" cm="1">
        <f t="array" ref="C684">IFERROR(IF(SUMPRODUCT((measured[Site Name]=A684)*(measured[Date]=B684)*ISNUMBER(measured[Measured Value (kWh)]))=0,"",SUMIFS(measured[Measured Value (kWh)],measured[Site Name],A684,measured[Date],B684)),"")</f>
        <v/>
      </c>
      <c r="D684" cm="1">
        <f t="array" ref="D684">IFERROR(IF(SUMPRODUCT((expected_production[Site Name]=A684)*(expected_production[Date]=B684)*ISNUMBER(expected_production[Expected Production (kWh)]))=0,"",SUMIFS(expected_production[Expected Production (kWh)],expected_production[Site Name],A684,expected_production[Date],B684)),"")</f>
        <v>10009.663425000001</v>
      </c>
      <c r="E684" s="9" t="str">
        <f t="shared" si="22"/>
        <v/>
      </c>
      <c r="F684" t="str">
        <f t="shared" si="23"/>
        <v/>
      </c>
    </row>
    <row r="685" spans="1:7" ht="15" customHeight="1" x14ac:dyDescent="0.3">
      <c r="A685" t="s">
        <v>102</v>
      </c>
      <c r="B685" s="2">
        <v>46357</v>
      </c>
      <c r="C685" t="str" cm="1">
        <f t="array" ref="C685">IFERROR(IF(SUMPRODUCT((measured[Site Name]=A685)*(measured[Date]=B685)*ISNUMBER(measured[Measured Value (kWh)]))=0,"",SUMIFS(measured[Measured Value (kWh)],measured[Site Name],A685,measured[Date],B685)),"")</f>
        <v/>
      </c>
      <c r="D685" cm="1">
        <f t="array" ref="D685">IFERROR(IF(SUMPRODUCT((expected_production[Site Name]=A685)*(expected_production[Date]=B685)*ISNUMBER(expected_production[Expected Production (kWh)]))=0,"",SUMIFS(expected_production[Expected Production (kWh)],expected_production[Site Name],A685,expected_production[Date],B685)),"")</f>
        <v>11121.500700000001</v>
      </c>
      <c r="E685" s="9" t="str">
        <f t="shared" si="22"/>
        <v/>
      </c>
      <c r="F685" t="str">
        <f t="shared" si="23"/>
        <v/>
      </c>
    </row>
    <row r="686" spans="1:7" ht="15" customHeight="1" x14ac:dyDescent="0.3">
      <c r="A686" t="s">
        <v>104</v>
      </c>
      <c r="B686" s="2">
        <v>45292</v>
      </c>
      <c r="C686" cm="1">
        <f t="array" ref="C686">IFERROR(IF(SUMPRODUCT((measured[Site Name]=A686)*(measured[Date]=B686)*ISNUMBER(measured[Measured Value (kWh)]))=0,"",SUMIFS(measured[Measured Value (kWh)],measured[Site Name],A686,measured[Date],B686)),"")</f>
        <v>961</v>
      </c>
      <c r="D686" cm="1">
        <f t="array" ref="D686">IFERROR(IF(SUMPRODUCT((expected_production[Site Name]=A686)*(expected_production[Date]=B686)*ISNUMBER(expected_production[Expected Production (kWh)]))=0,"",SUMIFS(expected_production[Expected Production (kWh)],expected_production[Site Name],A686,expected_production[Date],B686)),"")</f>
        <v>4042.8</v>
      </c>
      <c r="E686" s="9">
        <f t="shared" si="22"/>
        <v>0.23770654002176708</v>
      </c>
      <c r="F686" t="str">
        <f t="shared" si="23"/>
        <v>Poor</v>
      </c>
    </row>
    <row r="687" spans="1:7" ht="15" customHeight="1" x14ac:dyDescent="0.3">
      <c r="A687" t="s">
        <v>104</v>
      </c>
      <c r="B687" s="2">
        <v>45323</v>
      </c>
      <c r="C687" cm="1">
        <f t="array" ref="C687">IFERROR(IF(SUMPRODUCT((measured[Site Name]=A687)*(measured[Date]=B687)*ISNUMBER(measured[Measured Value (kWh)]))=0,"",SUMIFS(measured[Measured Value (kWh)],measured[Site Name],A687,measured[Date],B687)),"")</f>
        <v>798</v>
      </c>
      <c r="D687" cm="1">
        <f t="array" ref="D687">IFERROR(IF(SUMPRODUCT((expected_production[Site Name]=A687)*(expected_production[Date]=B687)*ISNUMBER(expected_production[Expected Production (kWh)]))=0,"",SUMIFS(expected_production[Expected Production (kWh)],expected_production[Site Name],A687,expected_production[Date],B687)),"")</f>
        <v>3650.4</v>
      </c>
      <c r="E687" s="9">
        <f t="shared" si="22"/>
        <v>0.21860618014464167</v>
      </c>
      <c r="F687" t="str">
        <f t="shared" si="23"/>
        <v>Poor</v>
      </c>
    </row>
    <row r="688" spans="1:7" ht="15" customHeight="1" x14ac:dyDescent="0.3">
      <c r="A688" t="s">
        <v>104</v>
      </c>
      <c r="B688" s="2">
        <v>45352</v>
      </c>
      <c r="C688" cm="1">
        <f t="array" ref="C688">IFERROR(IF(SUMPRODUCT((measured[Site Name]=A688)*(measured[Date]=B688)*ISNUMBER(measured[Measured Value (kWh)]))=0,"",SUMIFS(measured[Measured Value (kWh)],measured[Site Name],A688,measured[Date],B688)),"")</f>
        <v>398</v>
      </c>
      <c r="D688" cm="1">
        <f t="array" ref="D688">IFERROR(IF(SUMPRODUCT((expected_production[Site Name]=A688)*(expected_production[Date]=B688)*ISNUMBER(expected_production[Expected Production (kWh)]))=0,"",SUMIFS(expected_production[Expected Production (kWh)],expected_production[Site Name],A688,expected_production[Date],B688)),"")</f>
        <v>3957.3</v>
      </c>
      <c r="E688" s="9">
        <f t="shared" si="22"/>
        <v>0.10057362343011648</v>
      </c>
      <c r="F688" t="str">
        <f t="shared" si="23"/>
        <v>Poor</v>
      </c>
    </row>
    <row r="689" spans="1:6" ht="15" customHeight="1" x14ac:dyDescent="0.3">
      <c r="A689" t="s">
        <v>104</v>
      </c>
      <c r="B689" s="2">
        <v>45383</v>
      </c>
      <c r="C689" cm="1">
        <f t="array" ref="C689">IFERROR(IF(SUMPRODUCT((measured[Site Name]=A689)*(measured[Date]=B689)*ISNUMBER(measured[Measured Value (kWh)]))=0,"",SUMIFS(measured[Measured Value (kWh)],measured[Site Name],A689,measured[Date],B689)),"")</f>
        <v>1334</v>
      </c>
      <c r="D689" cm="1">
        <f t="array" ref="D689">IFERROR(IF(SUMPRODUCT((expected_production[Site Name]=A689)*(expected_production[Date]=B689)*ISNUMBER(expected_production[Expected Production (kWh)]))=0,"",SUMIFS(expected_production[Expected Production (kWh)],expected_production[Site Name],A689,expected_production[Date],B689)),"")</f>
        <v>3279.6</v>
      </c>
      <c r="E689" s="9">
        <f t="shared" si="22"/>
        <v>0.40675692157580196</v>
      </c>
      <c r="F689" t="str">
        <f t="shared" si="23"/>
        <v>Poor</v>
      </c>
    </row>
    <row r="690" spans="1:6" ht="15" customHeight="1" x14ac:dyDescent="0.3">
      <c r="A690" t="s">
        <v>104</v>
      </c>
      <c r="B690" s="2">
        <v>45413</v>
      </c>
      <c r="C690" cm="1">
        <f t="array" ref="C690">IFERROR(IF(SUMPRODUCT((measured[Site Name]=A690)*(measured[Date]=B690)*ISNUMBER(measured[Measured Value (kWh)]))=0,"",SUMIFS(measured[Measured Value (kWh)],measured[Site Name],A690,measured[Date],B690)),"")</f>
        <v>1953</v>
      </c>
      <c r="D690" cm="1">
        <f t="array" ref="D690">IFERROR(IF(SUMPRODUCT((expected_production[Site Name]=A690)*(expected_production[Date]=B690)*ISNUMBER(expected_production[Expected Production (kWh)]))=0,"",SUMIFS(expected_production[Expected Production (kWh)],expected_production[Site Name],A690,expected_production[Date],B690)),"")</f>
        <v>3050.1</v>
      </c>
      <c r="E690" s="9">
        <f t="shared" si="22"/>
        <v>0.6403068751844202</v>
      </c>
      <c r="F690" t="str">
        <f t="shared" si="23"/>
        <v>Poor</v>
      </c>
    </row>
    <row r="691" spans="1:6" ht="15" customHeight="1" x14ac:dyDescent="0.3">
      <c r="A691" t="s">
        <v>104</v>
      </c>
      <c r="B691" s="2">
        <v>45444</v>
      </c>
      <c r="C691" cm="1">
        <f t="array" ref="C691">IFERROR(IF(SUMPRODUCT((measured[Site Name]=A691)*(measured[Date]=B691)*ISNUMBER(measured[Measured Value (kWh)]))=0,"",SUMIFS(measured[Measured Value (kWh)],measured[Site Name],A691,measured[Date],B691)),"")</f>
        <v>1657</v>
      </c>
      <c r="D691" cm="1">
        <f t="array" ref="D691">IFERROR(IF(SUMPRODUCT((expected_production[Site Name]=A691)*(expected_production[Date]=B691)*ISNUMBER(expected_production[Expected Production (kWh)]))=0,"",SUMIFS(expected_production[Expected Production (kWh)],expected_production[Site Name],A691,expected_production[Date],B691)),"")</f>
        <v>2790</v>
      </c>
      <c r="E691" s="9">
        <f t="shared" si="22"/>
        <v>0.59390681003584234</v>
      </c>
      <c r="F691" t="str">
        <f t="shared" si="23"/>
        <v>Poor</v>
      </c>
    </row>
    <row r="692" spans="1:6" ht="15" customHeight="1" x14ac:dyDescent="0.3">
      <c r="A692" t="s">
        <v>104</v>
      </c>
      <c r="B692" s="2">
        <v>45474</v>
      </c>
      <c r="C692" cm="1">
        <f t="array" ref="C692">IFERROR(IF(SUMPRODUCT((measured[Site Name]=A692)*(measured[Date]=B692)*ISNUMBER(measured[Measured Value (kWh)]))=0,"",SUMIFS(measured[Measured Value (kWh)],measured[Site Name],A692,measured[Date],B692)),"")</f>
        <v>1845</v>
      </c>
      <c r="D692" cm="1">
        <f t="array" ref="D692">IFERROR(IF(SUMPRODUCT((expected_production[Site Name]=A692)*(expected_production[Date]=B692)*ISNUMBER(expected_production[Expected Production (kWh)]))=0,"",SUMIFS(expected_production[Expected Production (kWh)],expected_production[Site Name],A692,expected_production[Date],B692)),"")</f>
        <v>3044.7</v>
      </c>
      <c r="E692" s="9">
        <f t="shared" si="22"/>
        <v>0.60597103162873189</v>
      </c>
      <c r="F692" t="str">
        <f t="shared" si="23"/>
        <v>Poor</v>
      </c>
    </row>
    <row r="693" spans="1:6" ht="15" customHeight="1" x14ac:dyDescent="0.3">
      <c r="A693" t="s">
        <v>104</v>
      </c>
      <c r="B693" s="2">
        <v>45505</v>
      </c>
      <c r="C693" cm="1">
        <f t="array" ref="C693">IFERROR(IF(SUMPRODUCT((measured[Site Name]=A693)*(measured[Date]=B693)*ISNUMBER(measured[Measured Value (kWh)]))=0,"",SUMIFS(measured[Measured Value (kWh)],measured[Site Name],A693,measured[Date],B693)),"")</f>
        <v>2034</v>
      </c>
      <c r="D693" cm="1">
        <f t="array" ref="D693">IFERROR(IF(SUMPRODUCT((expected_production[Site Name]=A693)*(expected_production[Date]=B693)*ISNUMBER(expected_production[Expected Production (kWh)]))=0,"",SUMIFS(expected_production[Expected Production (kWh)],expected_production[Site Name],A693,expected_production[Date],B693)),"")</f>
        <v>3298.5</v>
      </c>
      <c r="E693" s="9">
        <f t="shared" si="22"/>
        <v>0.61664392905866305</v>
      </c>
      <c r="F693" t="str">
        <f t="shared" si="23"/>
        <v>Poor</v>
      </c>
    </row>
    <row r="694" spans="1:6" ht="15" customHeight="1" x14ac:dyDescent="0.3">
      <c r="A694" t="s">
        <v>104</v>
      </c>
      <c r="B694" s="2">
        <v>45536</v>
      </c>
      <c r="C694" cm="1">
        <f t="array" ref="C694">IFERROR(IF(SUMPRODUCT((measured[Site Name]=A694)*(measured[Date]=B694)*ISNUMBER(measured[Measured Value (kWh)]))=0,"",SUMIFS(measured[Measured Value (kWh)],measured[Site Name],A694,measured[Date],B694)),"")</f>
        <v>1982</v>
      </c>
      <c r="D694" cm="1">
        <f t="array" ref="D694">IFERROR(IF(SUMPRODUCT((expected_production[Site Name]=A694)*(expected_production[Date]=B694)*ISNUMBER(expected_production[Expected Production (kWh)]))=0,"",SUMIFS(expected_production[Expected Production (kWh)],expected_production[Site Name],A694,expected_production[Date],B694)),"")</f>
        <v>3492.9</v>
      </c>
      <c r="E694" s="9">
        <f t="shared" si="22"/>
        <v>0.56743680036645761</v>
      </c>
      <c r="F694" t="str">
        <f t="shared" si="23"/>
        <v>Poor</v>
      </c>
    </row>
    <row r="695" spans="1:6" ht="15" customHeight="1" x14ac:dyDescent="0.3">
      <c r="A695" t="s">
        <v>104</v>
      </c>
      <c r="B695" s="2">
        <v>45566</v>
      </c>
      <c r="C695" cm="1">
        <f t="array" ref="C695">IFERROR(IF(SUMPRODUCT((measured[Site Name]=A695)*(measured[Date]=B695)*ISNUMBER(measured[Measured Value (kWh)]))=0,"",SUMIFS(measured[Measured Value (kWh)],measured[Site Name],A695,measured[Date],B695)),"")</f>
        <v>2181</v>
      </c>
      <c r="D695" cm="1">
        <f t="array" ref="D695">IFERROR(IF(SUMPRODUCT((expected_production[Site Name]=A695)*(expected_production[Date]=B695)*ISNUMBER(expected_production[Expected Production (kWh)]))=0,"",SUMIFS(expected_production[Expected Production (kWh)],expected_production[Site Name],A695,expected_production[Date],B695)),"")</f>
        <v>3509.1</v>
      </c>
      <c r="E695" s="9">
        <f t="shared" si="22"/>
        <v>0.62152688723604343</v>
      </c>
      <c r="F695" t="str">
        <f t="shared" si="23"/>
        <v>Poor</v>
      </c>
    </row>
    <row r="696" spans="1:6" ht="15" customHeight="1" x14ac:dyDescent="0.3">
      <c r="A696" t="s">
        <v>104</v>
      </c>
      <c r="B696" s="2">
        <v>45597</v>
      </c>
      <c r="C696" cm="1">
        <f t="array" ref="C696">IFERROR(IF(SUMPRODUCT((measured[Site Name]=A696)*(measured[Date]=B696)*ISNUMBER(measured[Measured Value (kWh)]))=0,"",SUMIFS(measured[Measured Value (kWh)],measured[Site Name],A696,measured[Date],B696)),"")</f>
        <v>1783</v>
      </c>
      <c r="D696" cm="1">
        <f t="array" ref="D696">IFERROR(IF(SUMPRODUCT((expected_production[Site Name]=A696)*(expected_production[Date]=B696)*ISNUMBER(expected_production[Expected Production (kWh)]))=0,"",SUMIFS(expected_production[Expected Production (kWh)],expected_production[Site Name],A696,expected_production[Date],B696)),"")</f>
        <v>3348</v>
      </c>
      <c r="E696" s="9">
        <f t="shared" si="22"/>
        <v>0.53255675029868577</v>
      </c>
      <c r="F696" t="str">
        <f t="shared" si="23"/>
        <v>Poor</v>
      </c>
    </row>
    <row r="697" spans="1:6" ht="15" customHeight="1" x14ac:dyDescent="0.3">
      <c r="A697" t="s">
        <v>104</v>
      </c>
      <c r="B697" s="2">
        <v>45627</v>
      </c>
      <c r="C697" cm="1">
        <f t="array" ref="C697">IFERROR(IF(SUMPRODUCT((measured[Site Name]=A697)*(measured[Date]=B697)*ISNUMBER(measured[Measured Value (kWh)]))=0,"",SUMIFS(measured[Measured Value (kWh)],measured[Site Name],A697,measured[Date],B697)),"")</f>
        <v>2366</v>
      </c>
      <c r="D697" cm="1">
        <f t="array" ref="D697">IFERROR(IF(SUMPRODUCT((expected_production[Site Name]=A697)*(expected_production[Date]=B697)*ISNUMBER(expected_production[Expected Production (kWh)]))=0,"",SUMIFS(expected_production[Expected Production (kWh)],expected_production[Site Name],A697,expected_production[Date],B697)),"")</f>
        <v>3591.9</v>
      </c>
      <c r="E697" s="9">
        <f t="shared" si="22"/>
        <v>0.65870430691277593</v>
      </c>
      <c r="F697" t="str">
        <f t="shared" si="23"/>
        <v>Poor</v>
      </c>
    </row>
    <row r="698" spans="1:6" ht="15" customHeight="1" x14ac:dyDescent="0.3">
      <c r="A698" t="s">
        <v>104</v>
      </c>
      <c r="B698" s="2">
        <v>45658</v>
      </c>
      <c r="C698" cm="1">
        <f t="array" ref="C698">IFERROR(IF(SUMPRODUCT((measured[Site Name]=A698)*(measured[Date]=B698)*ISNUMBER(measured[Measured Value (kWh)]))=0,"",SUMIFS(measured[Measured Value (kWh)],measured[Site Name],A698,measured[Date],B698)),"")</f>
        <v>2514</v>
      </c>
      <c r="D698" cm="1">
        <f t="array" ref="D698">IFERROR(IF(SUMPRODUCT((expected_production[Site Name]=A698)*(expected_production[Date]=B698)*ISNUMBER(expected_production[Expected Production (kWh)]))=0,"",SUMIFS(expected_production[Expected Production (kWh)],expected_production[Site Name],A698,expected_production[Date],B698)),"")</f>
        <v>4042.8</v>
      </c>
      <c r="E698" s="9">
        <f t="shared" si="22"/>
        <v>0.62184624517661025</v>
      </c>
      <c r="F698" t="str">
        <f t="shared" si="23"/>
        <v>Poor</v>
      </c>
    </row>
    <row r="699" spans="1:6" ht="15" customHeight="1" x14ac:dyDescent="0.3">
      <c r="A699" t="s">
        <v>104</v>
      </c>
      <c r="B699" s="2">
        <v>45689</v>
      </c>
      <c r="C699" cm="1">
        <f t="array" ref="C699">IFERROR(IF(SUMPRODUCT((measured[Site Name]=A699)*(measured[Date]=B699)*ISNUMBER(measured[Measured Value (kWh)]))=0,"",SUMIFS(measured[Measured Value (kWh)],measured[Site Name],A699,measured[Date],B699)),"")</f>
        <v>2930</v>
      </c>
      <c r="D699" cm="1">
        <f t="array" ref="D699">IFERROR(IF(SUMPRODUCT((expected_production[Site Name]=A699)*(expected_production[Date]=B699)*ISNUMBER(expected_production[Expected Production (kWh)]))=0,"",SUMIFS(expected_production[Expected Production (kWh)],expected_production[Site Name],A699,expected_production[Date],B699)),"")</f>
        <v>3650.4</v>
      </c>
      <c r="E699" s="9">
        <f t="shared" si="22"/>
        <v>0.80265176419022566</v>
      </c>
      <c r="F699" t="str">
        <f t="shared" si="23"/>
        <v>Moderate</v>
      </c>
    </row>
    <row r="700" spans="1:6" ht="15" customHeight="1" x14ac:dyDescent="0.3">
      <c r="A700" t="s">
        <v>104</v>
      </c>
      <c r="B700" s="2">
        <v>45717</v>
      </c>
      <c r="C700" cm="1">
        <f t="array" ref="C700">IFERROR(IF(SUMPRODUCT((measured[Site Name]=A700)*(measured[Date]=B700)*ISNUMBER(measured[Measured Value (kWh)]))=0,"",SUMIFS(measured[Measured Value (kWh)],measured[Site Name],A700,measured[Date],B700)),"")</f>
        <v>1758</v>
      </c>
      <c r="D700" cm="1">
        <f t="array" ref="D700">IFERROR(IF(SUMPRODUCT((expected_production[Site Name]=A700)*(expected_production[Date]=B700)*ISNUMBER(expected_production[Expected Production (kWh)]))=0,"",SUMIFS(expected_production[Expected Production (kWh)],expected_production[Site Name],A700,expected_production[Date],B700)),"")</f>
        <v>3957.3</v>
      </c>
      <c r="E700" s="9">
        <f t="shared" si="22"/>
        <v>0.44424228640739899</v>
      </c>
      <c r="F700" t="str">
        <f t="shared" si="23"/>
        <v>Poor</v>
      </c>
    </row>
    <row r="701" spans="1:6" ht="15" customHeight="1" x14ac:dyDescent="0.3">
      <c r="A701" t="s">
        <v>104</v>
      </c>
      <c r="B701" s="2">
        <v>45748</v>
      </c>
      <c r="C701" cm="1">
        <f t="array" ref="C701">IFERROR(IF(SUMPRODUCT((measured[Site Name]=A701)*(measured[Date]=B701)*ISNUMBER(measured[Measured Value (kWh)]))=0,"",SUMIFS(measured[Measured Value (kWh)],measured[Site Name],A701,measured[Date],B701)),"")</f>
        <v>1646</v>
      </c>
      <c r="D701" cm="1">
        <f t="array" ref="D701">IFERROR(IF(SUMPRODUCT((expected_production[Site Name]=A701)*(expected_production[Date]=B701)*ISNUMBER(expected_production[Expected Production (kWh)]))=0,"",SUMIFS(expected_production[Expected Production (kWh)],expected_production[Site Name],A701,expected_production[Date],B701)),"")</f>
        <v>3279.6</v>
      </c>
      <c r="E701" s="9">
        <f t="shared" si="22"/>
        <v>0.50189047444810342</v>
      </c>
      <c r="F701" t="str">
        <f t="shared" si="23"/>
        <v>Poor</v>
      </c>
    </row>
    <row r="702" spans="1:6" ht="15" customHeight="1" x14ac:dyDescent="0.3">
      <c r="A702" t="s">
        <v>104</v>
      </c>
      <c r="B702" s="2">
        <v>45778</v>
      </c>
      <c r="C702" cm="1">
        <f t="array" ref="C702">IFERROR(IF(SUMPRODUCT((measured[Site Name]=A702)*(measured[Date]=B702)*ISNUMBER(measured[Measured Value (kWh)]))=0,"",SUMIFS(measured[Measured Value (kWh)],measured[Site Name],A702,measured[Date],B702)),"")</f>
        <v>2386</v>
      </c>
      <c r="D702" cm="1">
        <f t="array" ref="D702">IFERROR(IF(SUMPRODUCT((expected_production[Site Name]=A702)*(expected_production[Date]=B702)*ISNUMBER(expected_production[Expected Production (kWh)]))=0,"",SUMIFS(expected_production[Expected Production (kWh)],expected_production[Site Name],A702,expected_production[Date],B702)),"")</f>
        <v>3050.1</v>
      </c>
      <c r="E702" s="9">
        <f t="shared" si="22"/>
        <v>0.78226943378905611</v>
      </c>
      <c r="F702" t="str">
        <f t="shared" si="23"/>
        <v>Moderate</v>
      </c>
    </row>
    <row r="703" spans="1:6" ht="15" customHeight="1" x14ac:dyDescent="0.3">
      <c r="A703" t="s">
        <v>104</v>
      </c>
      <c r="B703" s="2">
        <v>45809</v>
      </c>
      <c r="C703" cm="1">
        <f t="array" ref="C703">IFERROR(IF(SUMPRODUCT((measured[Site Name]=A703)*(measured[Date]=B703)*ISNUMBER(measured[Measured Value (kWh)]))=0,"",SUMIFS(measured[Measured Value (kWh)],measured[Site Name],A703,measured[Date],B703)),"")</f>
        <v>1228</v>
      </c>
      <c r="D703" cm="1">
        <f t="array" ref="D703">IFERROR(IF(SUMPRODUCT((expected_production[Site Name]=A703)*(expected_production[Date]=B703)*ISNUMBER(expected_production[Expected Production (kWh)]))=0,"",SUMIFS(expected_production[Expected Production (kWh)],expected_production[Site Name],A703,expected_production[Date],B703)),"")</f>
        <v>2790</v>
      </c>
      <c r="E703" s="9">
        <f t="shared" si="22"/>
        <v>0.44014336917562724</v>
      </c>
      <c r="F703" t="str">
        <f t="shared" si="23"/>
        <v>Poor</v>
      </c>
    </row>
    <row r="704" spans="1:6" ht="15" customHeight="1" x14ac:dyDescent="0.3">
      <c r="A704" t="s">
        <v>104</v>
      </c>
      <c r="B704" s="2">
        <v>45839</v>
      </c>
      <c r="C704" cm="1">
        <f t="array" ref="C704">IFERROR(IF(SUMPRODUCT((measured[Site Name]=A704)*(measured[Date]=B704)*ISNUMBER(measured[Measured Value (kWh)]))=0,"",SUMIFS(measured[Measured Value (kWh)],measured[Site Name],A704,measured[Date],B704)),"")</f>
        <v>1684</v>
      </c>
      <c r="D704" cm="1">
        <f t="array" ref="D704">IFERROR(IF(SUMPRODUCT((expected_production[Site Name]=A704)*(expected_production[Date]=B704)*ISNUMBER(expected_production[Expected Production (kWh)]))=0,"",SUMIFS(expected_production[Expected Production (kWh)],expected_production[Site Name],A704,expected_production[Date],B704)),"")</f>
        <v>3044.7</v>
      </c>
      <c r="E704" s="9">
        <f t="shared" si="22"/>
        <v>0.55309225867901601</v>
      </c>
      <c r="F704" t="str">
        <f t="shared" si="23"/>
        <v>Poor</v>
      </c>
    </row>
    <row r="705" spans="1:7" ht="15" customHeight="1" x14ac:dyDescent="0.3">
      <c r="A705" t="s">
        <v>104</v>
      </c>
      <c r="B705" s="2">
        <v>45870</v>
      </c>
      <c r="C705" cm="1">
        <f t="array" ref="C705">IFERROR(IF(SUMPRODUCT((measured[Site Name]=A705)*(measured[Date]=B705)*ISNUMBER(measured[Measured Value (kWh)]))=0,"",SUMIFS(measured[Measured Value (kWh)],measured[Site Name],A705,measured[Date],B705)),"")</f>
        <v>1766.1</v>
      </c>
      <c r="D705" cm="1">
        <f t="array" ref="D705">IFERROR(IF(SUMPRODUCT((expected_production[Site Name]=A705)*(expected_production[Date]=B705)*ISNUMBER(expected_production[Expected Production (kWh)]))=0,"",SUMIFS(expected_production[Expected Production (kWh)],expected_production[Site Name],A705,expected_production[Date],B705)),"")</f>
        <v>3298.5</v>
      </c>
      <c r="E705" s="9">
        <f t="shared" si="22"/>
        <v>0.53542519326966798</v>
      </c>
      <c r="F705" t="str">
        <f t="shared" si="23"/>
        <v>Poor</v>
      </c>
    </row>
    <row r="706" spans="1:7" ht="15" customHeight="1" x14ac:dyDescent="0.3">
      <c r="A706" t="s">
        <v>104</v>
      </c>
      <c r="B706" s="2">
        <v>45901</v>
      </c>
      <c r="C706" cm="1">
        <f t="array" ref="C706">IFERROR(IF(SUMPRODUCT((measured[Site Name]=A706)*(measured[Date]=B706)*ISNUMBER(measured[Measured Value (kWh)]))=0,"",SUMIFS(measured[Measured Value (kWh)],measured[Site Name],A706,measured[Date],B706)),"")</f>
        <v>1960</v>
      </c>
      <c r="D706" cm="1">
        <f t="array" ref="D706">IFERROR(IF(SUMPRODUCT((expected_production[Site Name]=A706)*(expected_production[Date]=B706)*ISNUMBER(expected_production[Expected Production (kWh)]))=0,"",SUMIFS(expected_production[Expected Production (kWh)],expected_production[Site Name],A706,expected_production[Date],B706)),"")</f>
        <v>3492.9</v>
      </c>
      <c r="E706" s="9">
        <f t="shared" si="22"/>
        <v>0.56113830914140106</v>
      </c>
      <c r="F706" t="str">
        <f t="shared" si="23"/>
        <v>Poor</v>
      </c>
    </row>
    <row r="707" spans="1:7" ht="15" customHeight="1" x14ac:dyDescent="0.3">
      <c r="A707" t="s">
        <v>104</v>
      </c>
      <c r="B707" s="2">
        <v>45931</v>
      </c>
      <c r="C707" cm="1">
        <f t="array" ref="C707">IFERROR(IF(SUMPRODUCT((measured[Site Name]=A707)*(measured[Date]=B707)*ISNUMBER(measured[Measured Value (kWh)]))=0,"",SUMIFS(measured[Measured Value (kWh)],measured[Site Name],A707,measured[Date],B707)),"")</f>
        <v>2119</v>
      </c>
      <c r="D707" cm="1">
        <f t="array" ref="D707">IFERROR(IF(SUMPRODUCT((expected_production[Site Name]=A707)*(expected_production[Date]=B707)*ISNUMBER(expected_production[Expected Production (kWh)]))=0,"",SUMIFS(expected_production[Expected Production (kWh)],expected_production[Site Name],A707,expected_production[Date],B707)),"")</f>
        <v>3509.1</v>
      </c>
      <c r="E707" s="9">
        <f t="shared" si="22"/>
        <v>0.60385853922658228</v>
      </c>
      <c r="F707" t="str">
        <f t="shared" si="23"/>
        <v>Poor</v>
      </c>
    </row>
    <row r="708" spans="1:7" ht="15" customHeight="1" x14ac:dyDescent="0.3">
      <c r="A708" t="s">
        <v>104</v>
      </c>
      <c r="B708" s="2">
        <v>45962</v>
      </c>
      <c r="C708" cm="1">
        <f t="array" ref="C708">IFERROR(IF(SUMPRODUCT((measured[Site Name]=A708)*(measured[Date]=B708)*ISNUMBER(measured[Measured Value (kWh)]))=0,"",SUMIFS(measured[Measured Value (kWh)],measured[Site Name],A708,measured[Date],B708)),"")</f>
        <v>1774</v>
      </c>
      <c r="D708" cm="1">
        <f t="array" ref="D708">IFERROR(IF(SUMPRODUCT((expected_production[Site Name]=A708)*(expected_production[Date]=B708)*ISNUMBER(expected_production[Expected Production (kWh)]))=0,"",SUMIFS(expected_production[Expected Production (kWh)],expected_production[Site Name],A708,expected_production[Date],B708)),"")</f>
        <v>3348</v>
      </c>
      <c r="E708" s="9">
        <f t="shared" si="22"/>
        <v>0.52986857825567502</v>
      </c>
      <c r="F708" t="str">
        <f t="shared" si="23"/>
        <v>Poor</v>
      </c>
    </row>
    <row r="709" spans="1:7" ht="15" customHeight="1" x14ac:dyDescent="0.3">
      <c r="A709" t="s">
        <v>104</v>
      </c>
      <c r="B709" s="2">
        <v>45992</v>
      </c>
      <c r="C709" cm="1">
        <f t="array" ref="C709">IFERROR(IF(SUMPRODUCT((measured[Site Name]=A709)*(measured[Date]=B709)*ISNUMBER(measured[Measured Value (kWh)]))=0,"",SUMIFS(measured[Measured Value (kWh)],measured[Site Name],A709,measured[Date],B709)),"")</f>
        <v>2120</v>
      </c>
      <c r="D709" cm="1">
        <f t="array" ref="D709">IFERROR(IF(SUMPRODUCT((expected_production[Site Name]=A709)*(expected_production[Date]=B709)*ISNUMBER(expected_production[Expected Production (kWh)]))=0,"",SUMIFS(expected_production[Expected Production (kWh)],expected_production[Site Name],A709,expected_production[Date],B709)),"")</f>
        <v>3591.9</v>
      </c>
      <c r="E709" s="9">
        <f t="shared" si="22"/>
        <v>0.590216876861828</v>
      </c>
      <c r="F709" t="str">
        <f t="shared" si="23"/>
        <v>Poor</v>
      </c>
    </row>
    <row r="710" spans="1:7" ht="15" customHeight="1" x14ac:dyDescent="0.3">
      <c r="A710" t="s">
        <v>104</v>
      </c>
      <c r="B710" s="2">
        <v>46023</v>
      </c>
      <c r="C710" cm="1">
        <f t="array" ref="C710">IFERROR(IF(SUMPRODUCT((measured[Site Name]=A710)*(measured[Date]=B710)*ISNUMBER(measured[Measured Value (kWh)]))=0,"",SUMIFS(measured[Measured Value (kWh)],measured[Site Name],A710,measured[Date],B710)),"")</f>
        <v>647</v>
      </c>
      <c r="D710" cm="1">
        <f t="array" ref="D710">IFERROR(IF(SUMPRODUCT((expected_production[Site Name]=A710)*(expected_production[Date]=B710)*ISNUMBER(expected_production[Expected Production (kWh)]))=0,"",SUMIFS(expected_production[Expected Production (kWh)],expected_production[Site Name],A710,expected_production[Date],B710)),"")</f>
        <v>4042.8</v>
      </c>
      <c r="E710" s="9">
        <f t="shared" si="22"/>
        <v>0.16003759770456119</v>
      </c>
      <c r="F710" t="str">
        <f t="shared" si="23"/>
        <v>Poor</v>
      </c>
    </row>
    <row r="711" spans="1:7" ht="15" customHeight="1" x14ac:dyDescent="0.3">
      <c r="A711" t="s">
        <v>104</v>
      </c>
      <c r="B711" s="2">
        <v>46054</v>
      </c>
      <c r="C711" cm="1">
        <f t="array" ref="C711">IFERROR(IF(SUMPRODUCT((measured[Site Name]=A711)*(measured[Date]=B711)*ISNUMBER(measured[Measured Value (kWh)]))=0,"",SUMIFS(measured[Measured Value (kWh)],measured[Site Name],A711,measured[Date],B711)),"")</f>
        <v>1429</v>
      </c>
      <c r="D711" cm="1">
        <f t="array" ref="D711">IFERROR(IF(SUMPRODUCT((expected_production[Site Name]=A711)*(expected_production[Date]=B711)*ISNUMBER(expected_production[Expected Production (kWh)]))=0,"",SUMIFS(expected_production[Expected Production (kWh)],expected_production[Site Name],A711,expected_production[Date],B711)),"")</f>
        <v>3650.4</v>
      </c>
      <c r="E711" s="9">
        <f t="shared" si="22"/>
        <v>0.39146394915625682</v>
      </c>
      <c r="F711" t="str">
        <f t="shared" si="23"/>
        <v>Poor</v>
      </c>
    </row>
    <row r="712" spans="1:7" ht="15" customHeight="1" x14ac:dyDescent="0.3">
      <c r="A712" t="s">
        <v>104</v>
      </c>
      <c r="B712" s="2">
        <v>46082</v>
      </c>
      <c r="C712" cm="1">
        <f t="array" ref="C712">IFERROR(IF(SUMPRODUCT((measured[Site Name]=A712)*(measured[Date]=B712)*ISNUMBER(measured[Measured Value (kWh)]))=0,"",SUMIFS(measured[Measured Value (kWh)],measured[Site Name],A712,measured[Date],B712)),"")</f>
        <v>1816</v>
      </c>
      <c r="D712" cm="1">
        <f t="array" ref="D712">IFERROR(IF(SUMPRODUCT((expected_production[Site Name]=A712)*(expected_production[Date]=B712)*ISNUMBER(expected_production[Expected Production (kWh)]))=0,"",SUMIFS(expected_production[Expected Production (kWh)],expected_production[Site Name],A712,expected_production[Date],B712)),"")</f>
        <v>3957.3</v>
      </c>
      <c r="E712" s="9">
        <f t="shared" si="22"/>
        <v>0.45889874409319481</v>
      </c>
      <c r="F712" t="str">
        <f t="shared" si="23"/>
        <v>Poor</v>
      </c>
    </row>
    <row r="713" spans="1:7" ht="15" customHeight="1" x14ac:dyDescent="0.3">
      <c r="A713" t="s">
        <v>104</v>
      </c>
      <c r="B713" s="2">
        <v>46113</v>
      </c>
      <c r="C713" cm="1">
        <f t="array" ref="C713">IFERROR(IF(SUMPRODUCT((measured[Site Name]=A713)*(measured[Date]=B713)*ISNUMBER(measured[Measured Value (kWh)]))=0,"",SUMIFS(measured[Measured Value (kWh)],measured[Site Name],A713,measured[Date],B713)),"")</f>
        <v>3513.5</v>
      </c>
      <c r="D713" cm="1">
        <f t="array" ref="D713">IFERROR(IF(SUMPRODUCT((expected_production[Site Name]=A713)*(expected_production[Date]=B713)*ISNUMBER(expected_production[Expected Production (kWh)]))=0,"",SUMIFS(expected_production[Expected Production (kWh)],expected_production[Site Name],A713,expected_production[Date],B713)),"")</f>
        <v>3279.6</v>
      </c>
      <c r="E713" s="9">
        <f t="shared" si="22"/>
        <v>1.0713196731308696</v>
      </c>
      <c r="F713" t="str">
        <f t="shared" si="23"/>
        <v>Expected</v>
      </c>
    </row>
    <row r="714" spans="1:7" ht="15" customHeight="1" x14ac:dyDescent="0.3">
      <c r="A714" t="s">
        <v>104</v>
      </c>
      <c r="B714" s="2">
        <v>46143</v>
      </c>
      <c r="C714" cm="1">
        <f t="array" ref="C714">IFERROR(IF(SUMPRODUCT((measured[Site Name]=A714)*(measured[Date]=B714)*ISNUMBER(measured[Measured Value (kWh)]))=0,"",SUMIFS(measured[Measured Value (kWh)],measured[Site Name],A714,measured[Date],B714)),"")</f>
        <v>3029</v>
      </c>
      <c r="D714" cm="1">
        <f t="array" ref="D714">IFERROR(IF(SUMPRODUCT((expected_production[Site Name]=A714)*(expected_production[Date]=B714)*ISNUMBER(expected_production[Expected Production (kWh)]))=0,"",SUMIFS(expected_production[Expected Production (kWh)],expected_production[Site Name],A714,expected_production[Date],B714)),"")</f>
        <v>3050.1</v>
      </c>
      <c r="E714" s="9">
        <f t="shared" si="22"/>
        <v>0.99308219402642539</v>
      </c>
      <c r="F714" t="str">
        <f t="shared" si="23"/>
        <v>Expected</v>
      </c>
    </row>
    <row r="715" spans="1:7" ht="15" customHeight="1" x14ac:dyDescent="0.3">
      <c r="A715" t="s">
        <v>104</v>
      </c>
      <c r="B715" s="2">
        <v>46174</v>
      </c>
      <c r="C715" cm="1">
        <f t="array" ref="C715">IFERROR(IF(SUMPRODUCT((measured[Site Name]=A715)*(measured[Date]=B715)*ISNUMBER(measured[Measured Value (kWh)]))=0,"",SUMIFS(measured[Measured Value (kWh)],measured[Site Name],A715,measured[Date],B715)),"")</f>
        <v>2484</v>
      </c>
      <c r="D715" cm="1">
        <f t="array" ref="D715">IFERROR(IF(SUMPRODUCT((expected_production[Site Name]=A715)*(expected_production[Date]=B715)*ISNUMBER(expected_production[Expected Production (kWh)]))=0,"",SUMIFS(expected_production[Expected Production (kWh)],expected_production[Site Name],A715,expected_production[Date],B715)),"")</f>
        <v>2790</v>
      </c>
      <c r="E715" s="9">
        <f t="shared" si="22"/>
        <v>0.89032258064516134</v>
      </c>
      <c r="F715" t="str">
        <f t="shared" si="23"/>
        <v>Moderate</v>
      </c>
    </row>
    <row r="716" spans="1:7" ht="15" customHeight="1" x14ac:dyDescent="0.3">
      <c r="A716" t="s">
        <v>239</v>
      </c>
      <c r="B716" s="2">
        <v>46204</v>
      </c>
      <c r="C716" cm="1">
        <f t="array" ref="C716">IFERROR(IF(SUMPRODUCT((measured[Site Name]=A716)*(measured[Date]=B716)*ISNUMBER(measured[Measured Value (kWh)]))=0,"",SUMIFS(measured[Measured Value (kWh)],measured[Site Name],A716,measured[Date],B716)),"")</f>
        <v>3388.4247999999998</v>
      </c>
      <c r="D716" cm="1">
        <f t="array" ref="D716">IFERROR(IF(SUMPRODUCT((expected_production[Site Name]=A716)*(expected_production[Date]=B716)*ISNUMBER(expected_production[Expected Production (kWh)]))=0,"",SUMIFS(expected_production[Expected Production (kWh)],expected_production[Site Name],A716,expected_production[Date],B716)),"")</f>
        <v>2349.9</v>
      </c>
      <c r="E716" s="9">
        <f t="shared" si="22"/>
        <v>1.4419442529469337</v>
      </c>
      <c r="F716" t="str">
        <f t="shared" si="23"/>
        <v>Expected</v>
      </c>
      <c r="G716" t="s">
        <v>874</v>
      </c>
    </row>
    <row r="717" spans="1:7" ht="15" customHeight="1" x14ac:dyDescent="0.3">
      <c r="A717" t="s">
        <v>104</v>
      </c>
      <c r="B717" s="2">
        <v>46235</v>
      </c>
      <c r="C717" t="str" cm="1">
        <f t="array" ref="C717">IFERROR(IF(SUMPRODUCT((measured[Site Name]=A717)*(measured[Date]=B717)*ISNUMBER(measured[Measured Value (kWh)]))=0,"",SUMIFS(measured[Measured Value (kWh)],measured[Site Name],A717,measured[Date],B717)),"")</f>
        <v/>
      </c>
      <c r="D717" cm="1">
        <f t="array" ref="D717">IFERROR(IF(SUMPRODUCT((expected_production[Site Name]=A717)*(expected_production[Date]=B717)*ISNUMBER(expected_production[Expected Production (kWh)]))=0,"",SUMIFS(expected_production[Expected Production (kWh)],expected_production[Site Name],A717,expected_production[Date],B717)),"")</f>
        <v>3298.5</v>
      </c>
      <c r="E717" s="9" t="str">
        <f t="shared" si="22"/>
        <v/>
      </c>
      <c r="F717" t="str">
        <f t="shared" si="23"/>
        <v/>
      </c>
    </row>
    <row r="718" spans="1:7" ht="15" customHeight="1" x14ac:dyDescent="0.3">
      <c r="A718" t="s">
        <v>104</v>
      </c>
      <c r="B718" s="2">
        <v>46266</v>
      </c>
      <c r="C718" t="str" cm="1">
        <f t="array" ref="C718">IFERROR(IF(SUMPRODUCT((measured[Site Name]=A718)*(measured[Date]=B718)*ISNUMBER(measured[Measured Value (kWh)]))=0,"",SUMIFS(measured[Measured Value (kWh)],measured[Site Name],A718,measured[Date],B718)),"")</f>
        <v/>
      </c>
      <c r="D718" cm="1">
        <f t="array" ref="D718">IFERROR(IF(SUMPRODUCT((expected_production[Site Name]=A718)*(expected_production[Date]=B718)*ISNUMBER(expected_production[Expected Production (kWh)]))=0,"",SUMIFS(expected_production[Expected Production (kWh)],expected_production[Site Name],A718,expected_production[Date],B718)),"")</f>
        <v>3492.9</v>
      </c>
      <c r="E718" s="9" t="str">
        <f t="shared" si="22"/>
        <v/>
      </c>
      <c r="F718" t="str">
        <f t="shared" si="23"/>
        <v/>
      </c>
    </row>
    <row r="719" spans="1:7" ht="15" customHeight="1" x14ac:dyDescent="0.3">
      <c r="A719" t="s">
        <v>104</v>
      </c>
      <c r="B719" s="2">
        <v>46296</v>
      </c>
      <c r="C719" t="str" cm="1">
        <f t="array" ref="C719">IFERROR(IF(SUMPRODUCT((measured[Site Name]=A719)*(measured[Date]=B719)*ISNUMBER(measured[Measured Value (kWh)]))=0,"",SUMIFS(measured[Measured Value (kWh)],measured[Site Name],A719,measured[Date],B719)),"")</f>
        <v/>
      </c>
      <c r="D719" cm="1">
        <f t="array" ref="D719">IFERROR(IF(SUMPRODUCT((expected_production[Site Name]=A719)*(expected_production[Date]=B719)*ISNUMBER(expected_production[Expected Production (kWh)]))=0,"",SUMIFS(expected_production[Expected Production (kWh)],expected_production[Site Name],A719,expected_production[Date],B719)),"")</f>
        <v>3509.1</v>
      </c>
      <c r="E719" s="9" t="str">
        <f t="shared" si="22"/>
        <v/>
      </c>
      <c r="F719" t="str">
        <f t="shared" si="23"/>
        <v/>
      </c>
    </row>
    <row r="720" spans="1:7" ht="15" customHeight="1" x14ac:dyDescent="0.3">
      <c r="A720" t="s">
        <v>104</v>
      </c>
      <c r="B720" s="2">
        <v>46327</v>
      </c>
      <c r="C720" t="str" cm="1">
        <f t="array" ref="C720">IFERROR(IF(SUMPRODUCT((measured[Site Name]=A720)*(measured[Date]=B720)*ISNUMBER(measured[Measured Value (kWh)]))=0,"",SUMIFS(measured[Measured Value (kWh)],measured[Site Name],A720,measured[Date],B720)),"")</f>
        <v/>
      </c>
      <c r="D720" cm="1">
        <f t="array" ref="D720">IFERROR(IF(SUMPRODUCT((expected_production[Site Name]=A720)*(expected_production[Date]=B720)*ISNUMBER(expected_production[Expected Production (kWh)]))=0,"",SUMIFS(expected_production[Expected Production (kWh)],expected_production[Site Name],A720,expected_production[Date],B720)),"")</f>
        <v>3348</v>
      </c>
      <c r="E720" s="9" t="str">
        <f t="shared" si="22"/>
        <v/>
      </c>
      <c r="F720" t="str">
        <f t="shared" si="23"/>
        <v/>
      </c>
    </row>
    <row r="721" spans="1:6" ht="15" customHeight="1" x14ac:dyDescent="0.3">
      <c r="A721" t="s">
        <v>104</v>
      </c>
      <c r="B721" s="2">
        <v>46357</v>
      </c>
      <c r="C721" t="str" cm="1">
        <f t="array" ref="C721">IFERROR(IF(SUMPRODUCT((measured[Site Name]=A721)*(measured[Date]=B721)*ISNUMBER(measured[Measured Value (kWh)]))=0,"",SUMIFS(measured[Measured Value (kWh)],measured[Site Name],A721,measured[Date],B721)),"")</f>
        <v/>
      </c>
      <c r="D721" cm="1">
        <f t="array" ref="D721">IFERROR(IF(SUMPRODUCT((expected_production[Site Name]=A721)*(expected_production[Date]=B721)*ISNUMBER(expected_production[Expected Production (kWh)]))=0,"",SUMIFS(expected_production[Expected Production (kWh)],expected_production[Site Name],A721,expected_production[Date],B721)),"")</f>
        <v>3591.9</v>
      </c>
      <c r="E721" s="9" t="str">
        <f t="shared" si="22"/>
        <v/>
      </c>
      <c r="F721" t="str">
        <f t="shared" si="23"/>
        <v/>
      </c>
    </row>
    <row r="722" spans="1:6" ht="15" customHeight="1" x14ac:dyDescent="0.3">
      <c r="A722" t="s">
        <v>107</v>
      </c>
      <c r="B722" s="2">
        <v>45292</v>
      </c>
      <c r="C722" cm="1">
        <f t="array" ref="C722">IFERROR(IF(SUMPRODUCT((measured[Site Name]=A722)*(measured[Date]=B722)*ISNUMBER(measured[Measured Value (kWh)]))=0,"",SUMIFS(measured[Measured Value (kWh)],measured[Site Name],A722,measured[Date],B722)),"")</f>
        <v>1880</v>
      </c>
      <c r="D722" cm="1">
        <f t="array" ref="D722">IFERROR(IF(SUMPRODUCT((expected_production[Site Name]=A722)*(expected_production[Date]=B722)*ISNUMBER(expected_production[Expected Production (kWh)]))=0,"",SUMIFS(expected_production[Expected Production (kWh)],expected_production[Site Name],A722,expected_production[Date],B722)),"")</f>
        <v>3618</v>
      </c>
      <c r="E722" s="9">
        <f t="shared" si="22"/>
        <v>0.51962410171365392</v>
      </c>
      <c r="F722" t="str">
        <f t="shared" si="23"/>
        <v>Poor</v>
      </c>
    </row>
    <row r="723" spans="1:6" ht="15" customHeight="1" x14ac:dyDescent="0.3">
      <c r="A723" t="s">
        <v>107</v>
      </c>
      <c r="B723" s="2">
        <v>45323</v>
      </c>
      <c r="C723" cm="1">
        <f t="array" ref="C723">IFERROR(IF(SUMPRODUCT((measured[Site Name]=A723)*(measured[Date]=B723)*ISNUMBER(measured[Measured Value (kWh)]))=0,"",SUMIFS(measured[Measured Value (kWh)],measured[Site Name],A723,measured[Date],B723)),"")</f>
        <v>1559</v>
      </c>
      <c r="D723" cm="1">
        <f t="array" ref="D723">IFERROR(IF(SUMPRODUCT((expected_production[Site Name]=A723)*(expected_production[Date]=B723)*ISNUMBER(expected_production[Expected Production (kWh)]))=0,"",SUMIFS(expected_production[Expected Production (kWh)],expected_production[Site Name],A723,expected_production[Date],B723)),"")</f>
        <v>3254.4</v>
      </c>
      <c r="E723" s="9">
        <f t="shared" si="22"/>
        <v>0.47904375614552602</v>
      </c>
      <c r="F723" t="str">
        <f t="shared" si="23"/>
        <v>Poor</v>
      </c>
    </row>
    <row r="724" spans="1:6" ht="15" customHeight="1" x14ac:dyDescent="0.3">
      <c r="A724" t="s">
        <v>107</v>
      </c>
      <c r="B724" s="2">
        <v>45352</v>
      </c>
      <c r="C724" cm="1">
        <f t="array" ref="C724">IFERROR(IF(SUMPRODUCT((measured[Site Name]=A724)*(measured[Date]=B724)*ISNUMBER(measured[Measured Value (kWh)]))=0,"",SUMIFS(measured[Measured Value (kWh)],measured[Site Name],A724,measured[Date],B724)),"")</f>
        <v>1596</v>
      </c>
      <c r="D724" cm="1">
        <f t="array" ref="D724">IFERROR(IF(SUMPRODUCT((expected_production[Site Name]=A724)*(expected_production[Date]=B724)*ISNUMBER(expected_production[Expected Production (kWh)]))=0,"",SUMIFS(expected_production[Expected Production (kWh)],expected_production[Site Name],A724,expected_production[Date],B724)),"")</f>
        <v>3608.1</v>
      </c>
      <c r="E724" s="9">
        <f t="shared" si="22"/>
        <v>0.44233807266982622</v>
      </c>
      <c r="F724" t="str">
        <f t="shared" si="23"/>
        <v>Poor</v>
      </c>
    </row>
    <row r="725" spans="1:6" ht="15" customHeight="1" x14ac:dyDescent="0.3">
      <c r="A725" t="s">
        <v>107</v>
      </c>
      <c r="B725" s="2">
        <v>45383</v>
      </c>
      <c r="C725" cm="1">
        <f t="array" ref="C725">IFERROR(IF(SUMPRODUCT((measured[Site Name]=A725)*(measured[Date]=B725)*ISNUMBER(measured[Measured Value (kWh)]))=0,"",SUMIFS(measured[Measured Value (kWh)],measured[Site Name],A725,measured[Date],B725)),"")</f>
        <v>2170</v>
      </c>
      <c r="D725" cm="1">
        <f t="array" ref="D725">IFERROR(IF(SUMPRODUCT((expected_production[Site Name]=A725)*(expected_production[Date]=B725)*ISNUMBER(expected_production[Expected Production (kWh)]))=0,"",SUMIFS(expected_production[Expected Production (kWh)],expected_production[Site Name],A725,expected_production[Date],B725)),"")</f>
        <v>2962.8</v>
      </c>
      <c r="E725" s="9">
        <f t="shared" si="22"/>
        <v>0.73241528284055624</v>
      </c>
      <c r="F725" t="str">
        <f t="shared" si="23"/>
        <v>Moderate</v>
      </c>
    </row>
    <row r="726" spans="1:6" ht="15" customHeight="1" x14ac:dyDescent="0.3">
      <c r="A726" t="s">
        <v>107</v>
      </c>
      <c r="B726" s="2">
        <v>45413</v>
      </c>
      <c r="C726" cm="1">
        <f t="array" ref="C726">IFERROR(IF(SUMPRODUCT((measured[Site Name]=A726)*(measured[Date]=B726)*ISNUMBER(measured[Measured Value (kWh)]))=0,"",SUMIFS(measured[Measured Value (kWh)],measured[Site Name],A726,measured[Date],B726)),"")</f>
        <v>2876</v>
      </c>
      <c r="D726" cm="1">
        <f t="array" ref="D726">IFERROR(IF(SUMPRODUCT((expected_production[Site Name]=A726)*(expected_production[Date]=B726)*ISNUMBER(expected_production[Expected Production (kWh)]))=0,"",SUMIFS(expected_production[Expected Production (kWh)],expected_production[Site Name],A726,expected_production[Date],B726)),"")</f>
        <v>2723.4</v>
      </c>
      <c r="E726" s="9">
        <f t="shared" si="22"/>
        <v>1.0560329000514064</v>
      </c>
      <c r="F726" t="str">
        <f t="shared" si="23"/>
        <v>Expected</v>
      </c>
    </row>
    <row r="727" spans="1:6" ht="15" customHeight="1" x14ac:dyDescent="0.3">
      <c r="A727" t="s">
        <v>107</v>
      </c>
      <c r="B727" s="2">
        <v>45444</v>
      </c>
      <c r="C727" cm="1">
        <f t="array" ref="C727">IFERROR(IF(SUMPRODUCT((measured[Site Name]=A727)*(measured[Date]=B727)*ISNUMBER(measured[Measured Value (kWh)]))=0,"",SUMIFS(measured[Measured Value (kWh)],measured[Site Name],A727,measured[Date],B727)),"")</f>
        <v>2499</v>
      </c>
      <c r="D727" cm="1">
        <f t="array" ref="D727">IFERROR(IF(SUMPRODUCT((expected_production[Site Name]=A727)*(expected_production[Date]=B727)*ISNUMBER(expected_production[Expected Production (kWh)]))=0,"",SUMIFS(expected_production[Expected Production (kWh)],expected_production[Site Name],A727,expected_production[Date],B727)),"")</f>
        <v>2461.5</v>
      </c>
      <c r="E727" s="9">
        <f t="shared" si="22"/>
        <v>1.0152346130408287</v>
      </c>
      <c r="F727" t="str">
        <f t="shared" si="23"/>
        <v>Expected</v>
      </c>
    </row>
    <row r="728" spans="1:6" ht="15" customHeight="1" x14ac:dyDescent="0.3">
      <c r="A728" t="s">
        <v>107</v>
      </c>
      <c r="B728" s="2">
        <v>45474</v>
      </c>
      <c r="C728" cm="1">
        <f t="array" ref="C728">IFERROR(IF(SUMPRODUCT((measured[Site Name]=A728)*(measured[Date]=B728)*ISNUMBER(measured[Measured Value (kWh)]))=0,"",SUMIFS(measured[Measured Value (kWh)],measured[Site Name],A728,measured[Date],B728)),"")</f>
        <v>2895</v>
      </c>
      <c r="D728" cm="1">
        <f t="array" ref="D728">IFERROR(IF(SUMPRODUCT((expected_production[Site Name]=A728)*(expected_production[Date]=B728)*ISNUMBER(expected_production[Expected Production (kWh)]))=0,"",SUMIFS(expected_production[Expected Production (kWh)],expected_production[Site Name],A728,expected_production[Date],B728)),"")</f>
        <v>2701.8</v>
      </c>
      <c r="E728" s="9">
        <f t="shared" si="22"/>
        <v>1.0715078836331333</v>
      </c>
      <c r="F728" t="str">
        <f t="shared" si="23"/>
        <v>Expected</v>
      </c>
    </row>
    <row r="729" spans="1:6" ht="15" customHeight="1" x14ac:dyDescent="0.3">
      <c r="A729" t="s">
        <v>107</v>
      </c>
      <c r="B729" s="2">
        <v>45505</v>
      </c>
      <c r="C729" cm="1">
        <f t="array" ref="C729">IFERROR(IF(SUMPRODUCT((measured[Site Name]=A729)*(measured[Date]=B729)*ISNUMBER(measured[Measured Value (kWh)]))=0,"",SUMIFS(measured[Measured Value (kWh)],measured[Site Name],A729,measured[Date],B729)),"")</f>
        <v>3177</v>
      </c>
      <c r="D729" cm="1">
        <f t="array" ref="D729">IFERROR(IF(SUMPRODUCT((expected_production[Site Name]=A729)*(expected_production[Date]=B729)*ISNUMBER(expected_production[Expected Production (kWh)]))=0,"",SUMIFS(expected_production[Expected Production (kWh)],expected_production[Site Name],A729,expected_production[Date],B729)),"")</f>
        <v>2973.6</v>
      </c>
      <c r="E729" s="9">
        <f t="shared" si="22"/>
        <v>1.0684019370460049</v>
      </c>
      <c r="F729" t="str">
        <f t="shared" si="23"/>
        <v>Expected</v>
      </c>
    </row>
    <row r="730" spans="1:6" ht="15" customHeight="1" x14ac:dyDescent="0.3">
      <c r="A730" t="s">
        <v>107</v>
      </c>
      <c r="B730" s="2">
        <v>45536</v>
      </c>
      <c r="C730" cm="1">
        <f t="array" ref="C730">IFERROR(IF(SUMPRODUCT((measured[Site Name]=A730)*(measured[Date]=B730)*ISNUMBER(measured[Measured Value (kWh)]))=0,"",SUMIFS(measured[Measured Value (kWh)],measured[Site Name],A730,measured[Date],B730)),"")</f>
        <v>3048</v>
      </c>
      <c r="D730" cm="1">
        <f t="array" ref="D730">IFERROR(IF(SUMPRODUCT((expected_production[Site Name]=A730)*(expected_production[Date]=B730)*ISNUMBER(expected_production[Expected Production (kWh)]))=0,"",SUMIFS(expected_production[Expected Production (kWh)],expected_production[Site Name],A730,expected_production[Date],B730)),"")</f>
        <v>3147.3</v>
      </c>
      <c r="E730" s="9">
        <f t="shared" si="22"/>
        <v>0.96844914688780859</v>
      </c>
      <c r="F730" t="str">
        <f t="shared" si="23"/>
        <v>Expected</v>
      </c>
    </row>
    <row r="731" spans="1:6" ht="15" customHeight="1" x14ac:dyDescent="0.3">
      <c r="A731" t="s">
        <v>107</v>
      </c>
      <c r="B731" s="2">
        <v>45566</v>
      </c>
      <c r="C731" cm="1">
        <f t="array" ref="C731">IFERROR(IF(SUMPRODUCT((measured[Site Name]=A731)*(measured[Date]=B731)*ISNUMBER(measured[Measured Value (kWh)]))=0,"",SUMIFS(measured[Measured Value (kWh)],measured[Site Name],A731,measured[Date],B731)),"")</f>
        <v>3449</v>
      </c>
      <c r="D731" cm="1">
        <f t="array" ref="D731">IFERROR(IF(SUMPRODUCT((expected_production[Site Name]=A731)*(expected_production[Date]=B731)*ISNUMBER(expected_production[Expected Production (kWh)]))=0,"",SUMIFS(expected_production[Expected Production (kWh)],expected_production[Site Name],A731,expected_production[Date],B731)),"")</f>
        <v>3179.7</v>
      </c>
      <c r="E731" s="9">
        <f t="shared" si="22"/>
        <v>1.0846935245463409</v>
      </c>
      <c r="F731" t="str">
        <f t="shared" si="23"/>
        <v>Expected</v>
      </c>
    </row>
    <row r="732" spans="1:6" ht="15" customHeight="1" x14ac:dyDescent="0.3">
      <c r="A732" t="s">
        <v>107</v>
      </c>
      <c r="B732" s="2">
        <v>45597</v>
      </c>
      <c r="C732" cm="1">
        <f t="array" ref="C732">IFERROR(IF(SUMPRODUCT((measured[Site Name]=A732)*(measured[Date]=B732)*ISNUMBER(measured[Measured Value (kWh)]))=0,"",SUMIFS(measured[Measured Value (kWh)],measured[Site Name],A732,measured[Date],B732)),"")</f>
        <v>3441</v>
      </c>
      <c r="D732" cm="1">
        <f t="array" ref="D732">IFERROR(IF(SUMPRODUCT((expected_production[Site Name]=A732)*(expected_production[Date]=B732)*ISNUMBER(expected_production[Expected Production (kWh)]))=0,"",SUMIFS(expected_production[Expected Production (kWh)],expected_production[Site Name],A732,expected_production[Date],B732)),"")</f>
        <v>3013.2</v>
      </c>
      <c r="E732" s="9">
        <f t="shared" si="22"/>
        <v>1.1419753086419753</v>
      </c>
      <c r="F732" t="str">
        <f t="shared" si="23"/>
        <v>Expected</v>
      </c>
    </row>
    <row r="733" spans="1:6" ht="15" customHeight="1" x14ac:dyDescent="0.3">
      <c r="A733" t="s">
        <v>107</v>
      </c>
      <c r="B733" s="2">
        <v>45627</v>
      </c>
      <c r="C733" cm="1">
        <f t="array" ref="C733">IFERROR(IF(SUMPRODUCT((measured[Site Name]=A733)*(measured[Date]=B733)*ISNUMBER(measured[Measured Value (kWh)]))=0,"",SUMIFS(measured[Measured Value (kWh)],measured[Site Name],A733,measured[Date],B733)),"")</f>
        <v>3537</v>
      </c>
      <c r="D733" cm="1">
        <f t="array" ref="D733">IFERROR(IF(SUMPRODUCT((expected_production[Site Name]=A733)*(expected_production[Date]=B733)*ISNUMBER(expected_production[Expected Production (kWh)]))=0,"",SUMIFS(expected_production[Expected Production (kWh)],expected_production[Site Name],A733,expected_production[Date],B733)),"")</f>
        <v>3204</v>
      </c>
      <c r="E733" s="9">
        <f t="shared" si="22"/>
        <v>1.103932584269663</v>
      </c>
      <c r="F733" t="str">
        <f t="shared" si="23"/>
        <v>Expected</v>
      </c>
    </row>
    <row r="734" spans="1:6" ht="15" customHeight="1" x14ac:dyDescent="0.3">
      <c r="A734" t="s">
        <v>107</v>
      </c>
      <c r="B734" s="2">
        <v>45658</v>
      </c>
      <c r="C734" cm="1">
        <f t="array" ref="C734">IFERROR(IF(SUMPRODUCT((measured[Site Name]=A734)*(measured[Date]=B734)*ISNUMBER(measured[Measured Value (kWh)]))=0,"",SUMIFS(measured[Measured Value (kWh)],measured[Site Name],A734,measured[Date],B734)),"")</f>
        <v>3700</v>
      </c>
      <c r="D734" cm="1">
        <f t="array" ref="D734">IFERROR(IF(SUMPRODUCT((expected_production[Site Name]=A734)*(expected_production[Date]=B734)*ISNUMBER(expected_production[Expected Production (kWh)]))=0,"",SUMIFS(expected_production[Expected Production (kWh)],expected_production[Site Name],A734,expected_production[Date],B734)),"")</f>
        <v>3618</v>
      </c>
      <c r="E734" s="9">
        <f t="shared" si="22"/>
        <v>1.0226644555002764</v>
      </c>
      <c r="F734" t="str">
        <f t="shared" si="23"/>
        <v>Expected</v>
      </c>
    </row>
    <row r="735" spans="1:6" ht="15" customHeight="1" x14ac:dyDescent="0.3">
      <c r="A735" t="s">
        <v>107</v>
      </c>
      <c r="B735" s="2">
        <v>45689</v>
      </c>
      <c r="C735" cm="1">
        <f t="array" ref="C735">IFERROR(IF(SUMPRODUCT((measured[Site Name]=A735)*(measured[Date]=B735)*ISNUMBER(measured[Measured Value (kWh)]))=0,"",SUMIFS(measured[Measured Value (kWh)],measured[Site Name],A735,measured[Date],B735)),"")</f>
        <v>2900</v>
      </c>
      <c r="D735" cm="1">
        <f t="array" ref="D735">IFERROR(IF(SUMPRODUCT((expected_production[Site Name]=A735)*(expected_production[Date]=B735)*ISNUMBER(expected_production[Expected Production (kWh)]))=0,"",SUMIFS(expected_production[Expected Production (kWh)],expected_production[Site Name],A735,expected_production[Date],B735)),"")</f>
        <v>3254.4</v>
      </c>
      <c r="E735" s="9">
        <f t="shared" si="22"/>
        <v>0.89110127826941987</v>
      </c>
      <c r="F735" t="str">
        <f t="shared" si="23"/>
        <v>Moderate</v>
      </c>
    </row>
    <row r="736" spans="1:6" ht="15" customHeight="1" x14ac:dyDescent="0.3">
      <c r="A736" t="s">
        <v>107</v>
      </c>
      <c r="B736" s="2">
        <v>45717</v>
      </c>
      <c r="C736" cm="1">
        <f t="array" ref="C736">IFERROR(IF(SUMPRODUCT((measured[Site Name]=A736)*(measured[Date]=B736)*ISNUMBER(measured[Measured Value (kWh)]))=0,"",SUMIFS(measured[Measured Value (kWh)],measured[Site Name],A736,measured[Date],B736)),"")</f>
        <v>3471</v>
      </c>
      <c r="D736" cm="1">
        <f t="array" ref="D736">IFERROR(IF(SUMPRODUCT((expected_production[Site Name]=A736)*(expected_production[Date]=B736)*ISNUMBER(expected_production[Expected Production (kWh)]))=0,"",SUMIFS(expected_production[Expected Production (kWh)],expected_production[Site Name],A736,expected_production[Date],B736)),"")</f>
        <v>3608.1</v>
      </c>
      <c r="E736" s="9">
        <f t="shared" ref="E736:E778" si="24">IF(OR(C736="",D736="",D736=0),"",C736/D736)</f>
        <v>0.96200216180261078</v>
      </c>
      <c r="F736" t="str">
        <f t="shared" ref="F736:F778" si="25">IF(E736="","",IF(E736&gt;=0.9,"Expected",IF(E736&gt;=0.7,"Moderate","Poor")))</f>
        <v>Expected</v>
      </c>
    </row>
    <row r="737" spans="1:7" ht="15" customHeight="1" x14ac:dyDescent="0.3">
      <c r="A737" t="s">
        <v>107</v>
      </c>
      <c r="B737" s="2">
        <v>45748</v>
      </c>
      <c r="C737" cm="1">
        <f t="array" ref="C737">IFERROR(IF(SUMPRODUCT((measured[Site Name]=A737)*(measured[Date]=B737)*ISNUMBER(measured[Measured Value (kWh)]))=0,"",SUMIFS(measured[Measured Value (kWh)],measured[Site Name],A737,measured[Date],B737)),"")</f>
        <v>2668</v>
      </c>
      <c r="D737" cm="1">
        <f t="array" ref="D737">IFERROR(IF(SUMPRODUCT((expected_production[Site Name]=A737)*(expected_production[Date]=B737)*ISNUMBER(expected_production[Expected Production (kWh)]))=0,"",SUMIFS(expected_production[Expected Production (kWh)],expected_production[Site Name],A737,expected_production[Date],B737)),"")</f>
        <v>2962.8</v>
      </c>
      <c r="E737" s="9">
        <f t="shared" si="24"/>
        <v>0.90049952747401096</v>
      </c>
      <c r="F737" t="str">
        <f t="shared" si="25"/>
        <v>Expected</v>
      </c>
    </row>
    <row r="738" spans="1:7" ht="15" customHeight="1" x14ac:dyDescent="0.3">
      <c r="A738" t="s">
        <v>107</v>
      </c>
      <c r="B738" s="2">
        <v>45778</v>
      </c>
      <c r="C738" cm="1">
        <f t="array" ref="C738">IFERROR(IF(SUMPRODUCT((measured[Site Name]=A738)*(measured[Date]=B738)*ISNUMBER(measured[Measured Value (kWh)]))=0,"",SUMIFS(measured[Measured Value (kWh)],measured[Site Name],A738,measured[Date],B738)),"")</f>
        <v>3127</v>
      </c>
      <c r="D738" cm="1">
        <f t="array" ref="D738">IFERROR(IF(SUMPRODUCT((expected_production[Site Name]=A738)*(expected_production[Date]=B738)*ISNUMBER(expected_production[Expected Production (kWh)]))=0,"",SUMIFS(expected_production[Expected Production (kWh)],expected_production[Site Name],A738,expected_production[Date],B738)),"")</f>
        <v>2723.4</v>
      </c>
      <c r="E738" s="9">
        <f t="shared" si="24"/>
        <v>1.148197106557979</v>
      </c>
      <c r="F738" t="str">
        <f t="shared" si="25"/>
        <v>Expected</v>
      </c>
    </row>
    <row r="739" spans="1:7" ht="15" customHeight="1" x14ac:dyDescent="0.3">
      <c r="A739" t="s">
        <v>107</v>
      </c>
      <c r="B739" s="2">
        <v>45809</v>
      </c>
      <c r="C739" cm="1">
        <f t="array" ref="C739">IFERROR(IF(SUMPRODUCT((measured[Site Name]=A739)*(measured[Date]=B739)*ISNUMBER(measured[Measured Value (kWh)]))=0,"",SUMIFS(measured[Measured Value (kWh)],measured[Site Name],A739,measured[Date],B739)),"")</f>
        <v>2748.4</v>
      </c>
      <c r="D739" cm="1">
        <f t="array" ref="D739">IFERROR(IF(SUMPRODUCT((expected_production[Site Name]=A739)*(expected_production[Date]=B739)*ISNUMBER(expected_production[Expected Production (kWh)]))=0,"",SUMIFS(expected_production[Expected Production (kWh)],expected_production[Site Name],A739,expected_production[Date],B739)),"")</f>
        <v>2461.5</v>
      </c>
      <c r="E739" s="9">
        <f t="shared" si="24"/>
        <v>1.116554946171034</v>
      </c>
      <c r="F739" t="str">
        <f t="shared" si="25"/>
        <v>Expected</v>
      </c>
    </row>
    <row r="740" spans="1:7" ht="15" customHeight="1" x14ac:dyDescent="0.3">
      <c r="A740" t="s">
        <v>107</v>
      </c>
      <c r="B740" s="2">
        <v>45839</v>
      </c>
      <c r="C740" cm="1">
        <f t="array" ref="C740">IFERROR(IF(SUMPRODUCT((measured[Site Name]=A740)*(measured[Date]=B740)*ISNUMBER(measured[Measured Value (kWh)]))=0,"",SUMIFS(measured[Measured Value (kWh)],measured[Site Name],A740,measured[Date],B740)),"")</f>
        <v>2501</v>
      </c>
      <c r="D740" cm="1">
        <f t="array" ref="D740">IFERROR(IF(SUMPRODUCT((expected_production[Site Name]=A740)*(expected_production[Date]=B740)*ISNUMBER(expected_production[Expected Production (kWh)]))=0,"",SUMIFS(expected_production[Expected Production (kWh)],expected_production[Site Name],A740,expected_production[Date],B740)),"")</f>
        <v>2701.8</v>
      </c>
      <c r="E740" s="9">
        <f t="shared" si="24"/>
        <v>0.92567917684506618</v>
      </c>
      <c r="F740" t="str">
        <f t="shared" si="25"/>
        <v>Expected</v>
      </c>
    </row>
    <row r="741" spans="1:7" ht="15" customHeight="1" x14ac:dyDescent="0.3">
      <c r="A741" t="s">
        <v>107</v>
      </c>
      <c r="B741" s="2">
        <v>45870</v>
      </c>
      <c r="C741" cm="1">
        <f t="array" ref="C741">IFERROR(IF(SUMPRODUCT((measured[Site Name]=A741)*(measured[Date]=B741)*ISNUMBER(measured[Measured Value (kWh)]))=0,"",SUMIFS(measured[Measured Value (kWh)],measured[Site Name],A741,measured[Date],B741)),"")</f>
        <v>299.8</v>
      </c>
      <c r="D741" cm="1">
        <f t="array" ref="D741">IFERROR(IF(SUMPRODUCT((expected_production[Site Name]=A741)*(expected_production[Date]=B741)*ISNUMBER(expected_production[Expected Production (kWh)]))=0,"",SUMIFS(expected_production[Expected Production (kWh)],expected_production[Site Name],A741,expected_production[Date],B741)),"")</f>
        <v>2973.6</v>
      </c>
      <c r="E741" s="9">
        <f t="shared" si="24"/>
        <v>0.10082055421038473</v>
      </c>
      <c r="F741" t="str">
        <f t="shared" si="25"/>
        <v>Poor</v>
      </c>
    </row>
    <row r="742" spans="1:7" ht="15" customHeight="1" x14ac:dyDescent="0.3">
      <c r="A742" t="s">
        <v>107</v>
      </c>
      <c r="B742" s="2">
        <v>45901</v>
      </c>
      <c r="C742" cm="1">
        <f t="array" ref="C742">IFERROR(IF(SUMPRODUCT((measured[Site Name]=A742)*(measured[Date]=B742)*ISNUMBER(measured[Measured Value (kWh)]))=0,"",SUMIFS(measured[Measured Value (kWh)],measured[Site Name],A742,measured[Date],B742)),"")</f>
        <v>2705</v>
      </c>
      <c r="D742" cm="1">
        <f t="array" ref="D742">IFERROR(IF(SUMPRODUCT((expected_production[Site Name]=A742)*(expected_production[Date]=B742)*ISNUMBER(expected_production[Expected Production (kWh)]))=0,"",SUMIFS(expected_production[Expected Production (kWh)],expected_production[Site Name],A742,expected_production[Date],B742)),"")</f>
        <v>3147.3</v>
      </c>
      <c r="E742" s="9">
        <f t="shared" si="24"/>
        <v>0.8594668445969561</v>
      </c>
      <c r="F742" t="str">
        <f t="shared" si="25"/>
        <v>Moderate</v>
      </c>
    </row>
    <row r="743" spans="1:7" ht="15" customHeight="1" x14ac:dyDescent="0.3">
      <c r="A743" t="s">
        <v>107</v>
      </c>
      <c r="B743" s="2">
        <v>45931</v>
      </c>
      <c r="C743" cm="1">
        <f t="array" ref="C743">IFERROR(IF(SUMPRODUCT((measured[Site Name]=A743)*(measured[Date]=B743)*ISNUMBER(measured[Measured Value (kWh)]))=0,"",SUMIFS(measured[Measured Value (kWh)],measured[Site Name],A743,measured[Date],B743)),"")</f>
        <v>2939</v>
      </c>
      <c r="D743" cm="1">
        <f t="array" ref="D743">IFERROR(IF(SUMPRODUCT((expected_production[Site Name]=A743)*(expected_production[Date]=B743)*ISNUMBER(expected_production[Expected Production (kWh)]))=0,"",SUMIFS(expected_production[Expected Production (kWh)],expected_production[Site Name],A743,expected_production[Date],B743)),"")</f>
        <v>3179.7</v>
      </c>
      <c r="E743" s="9">
        <f t="shared" si="24"/>
        <v>0.9243010346888072</v>
      </c>
      <c r="F743" t="str">
        <f t="shared" si="25"/>
        <v>Expected</v>
      </c>
    </row>
    <row r="744" spans="1:7" ht="15" customHeight="1" x14ac:dyDescent="0.3">
      <c r="A744" t="s">
        <v>107</v>
      </c>
      <c r="B744" s="2">
        <v>45962</v>
      </c>
      <c r="C744" cm="1">
        <f t="array" ref="C744">IFERROR(IF(SUMPRODUCT((measured[Site Name]=A744)*(measured[Date]=B744)*ISNUMBER(measured[Measured Value (kWh)]))=0,"",SUMIFS(measured[Measured Value (kWh)],measured[Site Name],A744,measured[Date],B744)),"")</f>
        <v>2609</v>
      </c>
      <c r="D744" cm="1">
        <f t="array" ref="D744">IFERROR(IF(SUMPRODUCT((expected_production[Site Name]=A744)*(expected_production[Date]=B744)*ISNUMBER(expected_production[Expected Production (kWh)]))=0,"",SUMIFS(expected_production[Expected Production (kWh)],expected_production[Site Name],A744,expected_production[Date],B744)),"")</f>
        <v>3013.2</v>
      </c>
      <c r="E744" s="9">
        <f t="shared" si="24"/>
        <v>0.86585689632284624</v>
      </c>
      <c r="F744" t="str">
        <f t="shared" si="25"/>
        <v>Moderate</v>
      </c>
    </row>
    <row r="745" spans="1:7" ht="15" customHeight="1" x14ac:dyDescent="0.3">
      <c r="A745" t="s">
        <v>107</v>
      </c>
      <c r="B745" s="2">
        <v>45992</v>
      </c>
      <c r="C745" cm="1">
        <f t="array" ref="C745">IFERROR(IF(SUMPRODUCT((measured[Site Name]=A745)*(measured[Date]=B745)*ISNUMBER(measured[Measured Value (kWh)]))=0,"",SUMIFS(measured[Measured Value (kWh)],measured[Site Name],A745,measured[Date],B745)),"")</f>
        <v>3364</v>
      </c>
      <c r="D745" cm="1">
        <f t="array" ref="D745">IFERROR(IF(SUMPRODUCT((expected_production[Site Name]=A745)*(expected_production[Date]=B745)*ISNUMBER(expected_production[Expected Production (kWh)]))=0,"",SUMIFS(expected_production[Expected Production (kWh)],expected_production[Site Name],A745,expected_production[Date],B745)),"")</f>
        <v>3204</v>
      </c>
      <c r="E745" s="9">
        <f t="shared" si="24"/>
        <v>1.0499375780274656</v>
      </c>
      <c r="F745" t="str">
        <f t="shared" si="25"/>
        <v>Expected</v>
      </c>
    </row>
    <row r="746" spans="1:7" ht="15" customHeight="1" x14ac:dyDescent="0.3">
      <c r="A746" t="s">
        <v>107</v>
      </c>
      <c r="B746" s="2">
        <v>46023</v>
      </c>
      <c r="C746" cm="1">
        <f t="array" ref="C746">IFERROR(IF(SUMPRODUCT((measured[Site Name]=A746)*(measured[Date]=B746)*ISNUMBER(measured[Measured Value (kWh)]))=0,"",SUMIFS(measured[Measured Value (kWh)],measured[Site Name],A746,measured[Date],B746)),"")</f>
        <v>3086</v>
      </c>
      <c r="D746" cm="1">
        <f t="array" ref="D746">IFERROR(IF(SUMPRODUCT((expected_production[Site Name]=A746)*(expected_production[Date]=B746)*ISNUMBER(expected_production[Expected Production (kWh)]))=0,"",SUMIFS(expected_production[Expected Production (kWh)],expected_production[Site Name],A746,expected_production[Date],B746)),"")</f>
        <v>3618</v>
      </c>
      <c r="E746" s="9">
        <f t="shared" si="24"/>
        <v>0.85295743504698729</v>
      </c>
      <c r="F746" t="str">
        <f t="shared" si="25"/>
        <v>Moderate</v>
      </c>
    </row>
    <row r="747" spans="1:7" ht="15" customHeight="1" x14ac:dyDescent="0.3">
      <c r="A747" t="s">
        <v>107</v>
      </c>
      <c r="B747" s="2">
        <v>46054</v>
      </c>
      <c r="C747" cm="1">
        <f t="array" ref="C747">IFERROR(IF(SUMPRODUCT((measured[Site Name]=A747)*(measured[Date]=B747)*ISNUMBER(measured[Measured Value (kWh)]))=0,"",SUMIFS(measured[Measured Value (kWh)],measured[Site Name],A747,measured[Date],B747)),"")</f>
        <v>3628</v>
      </c>
      <c r="D747" cm="1">
        <f t="array" ref="D747">IFERROR(IF(SUMPRODUCT((expected_production[Site Name]=A747)*(expected_production[Date]=B747)*ISNUMBER(expected_production[Expected Production (kWh)]))=0,"",SUMIFS(expected_production[Expected Production (kWh)],expected_production[Site Name],A747,expected_production[Date],B747)),"")</f>
        <v>3254.4</v>
      </c>
      <c r="E747" s="9">
        <f t="shared" si="24"/>
        <v>1.1147984267453295</v>
      </c>
      <c r="F747" t="str">
        <f t="shared" si="25"/>
        <v>Expected</v>
      </c>
    </row>
    <row r="748" spans="1:7" ht="15" customHeight="1" x14ac:dyDescent="0.3">
      <c r="A748" t="s">
        <v>107</v>
      </c>
      <c r="B748" s="2">
        <v>46082</v>
      </c>
      <c r="C748" cm="1">
        <f t="array" ref="C748">IFERROR(IF(SUMPRODUCT((measured[Site Name]=A748)*(measured[Date]=B748)*ISNUMBER(measured[Measured Value (kWh)]))=0,"",SUMIFS(measured[Measured Value (kWh)],measured[Site Name],A748,measured[Date],B748)),"")</f>
        <v>2909</v>
      </c>
      <c r="D748" cm="1">
        <f t="array" ref="D748">IFERROR(IF(SUMPRODUCT((expected_production[Site Name]=A748)*(expected_production[Date]=B748)*ISNUMBER(expected_production[Expected Production (kWh)]))=0,"",SUMIFS(expected_production[Expected Production (kWh)],expected_production[Site Name],A748,expected_production[Date],B748)),"")</f>
        <v>3608.1</v>
      </c>
      <c r="E748" s="9">
        <f t="shared" si="24"/>
        <v>0.80624151215321083</v>
      </c>
      <c r="F748" t="str">
        <f t="shared" si="25"/>
        <v>Moderate</v>
      </c>
    </row>
    <row r="749" spans="1:7" ht="15" customHeight="1" x14ac:dyDescent="0.3">
      <c r="A749" t="s">
        <v>107</v>
      </c>
      <c r="B749" s="2">
        <v>46113</v>
      </c>
      <c r="C749" cm="1">
        <f t="array" ref="C749">IFERROR(IF(SUMPRODUCT((measured[Site Name]=A749)*(measured[Date]=B749)*ISNUMBER(measured[Measured Value (kWh)]))=0,"",SUMIFS(measured[Measured Value (kWh)],measured[Site Name],A749,measured[Date],B749)),"")</f>
        <v>2558.1</v>
      </c>
      <c r="D749" cm="1">
        <f t="array" ref="D749">IFERROR(IF(SUMPRODUCT((expected_production[Site Name]=A749)*(expected_production[Date]=B749)*ISNUMBER(expected_production[Expected Production (kWh)]))=0,"",SUMIFS(expected_production[Expected Production (kWh)],expected_production[Site Name],A749,expected_production[Date],B749)),"")</f>
        <v>2962.8</v>
      </c>
      <c r="E749" s="9">
        <f t="shared" si="24"/>
        <v>0.86340623734305377</v>
      </c>
      <c r="F749" t="str">
        <f t="shared" si="25"/>
        <v>Moderate</v>
      </c>
    </row>
    <row r="750" spans="1:7" ht="15" customHeight="1" x14ac:dyDescent="0.3">
      <c r="A750" t="s">
        <v>107</v>
      </c>
      <c r="B750" s="2">
        <v>46143</v>
      </c>
      <c r="C750" cm="1">
        <f t="array" ref="C750">IFERROR(IF(SUMPRODUCT((measured[Site Name]=A750)*(measured[Date]=B750)*ISNUMBER(measured[Measured Value (kWh)]))=0,"",SUMIFS(measured[Measured Value (kWh)],measured[Site Name],A750,measured[Date],B750)),"")</f>
        <v>3029.6</v>
      </c>
      <c r="D750" cm="1">
        <f t="array" ref="D750">IFERROR(IF(SUMPRODUCT((expected_production[Site Name]=A750)*(expected_production[Date]=B750)*ISNUMBER(expected_production[Expected Production (kWh)]))=0,"",SUMIFS(expected_production[Expected Production (kWh)],expected_production[Site Name],A750,expected_production[Date],B750)),"")</f>
        <v>2723.4</v>
      </c>
      <c r="E750" s="9">
        <f t="shared" si="24"/>
        <v>1.112432988176544</v>
      </c>
      <c r="F750" t="str">
        <f t="shared" si="25"/>
        <v>Expected</v>
      </c>
    </row>
    <row r="751" spans="1:7" ht="15" customHeight="1" x14ac:dyDescent="0.3">
      <c r="A751" t="s">
        <v>107</v>
      </c>
      <c r="B751" s="2">
        <v>46174</v>
      </c>
      <c r="C751" cm="1">
        <f t="array" ref="C751">IFERROR(IF(SUMPRODUCT((measured[Site Name]=A751)*(measured[Date]=B751)*ISNUMBER(measured[Measured Value (kWh)]))=0,"",SUMIFS(measured[Measured Value (kWh)],measured[Site Name],A751,measured[Date],B751)),"")</f>
        <v>2477</v>
      </c>
      <c r="D751" cm="1">
        <f t="array" ref="D751">IFERROR(IF(SUMPRODUCT((expected_production[Site Name]=A751)*(expected_production[Date]=B751)*ISNUMBER(expected_production[Expected Production (kWh)]))=0,"",SUMIFS(expected_production[Expected Production (kWh)],expected_production[Site Name],A751,expected_production[Date],B751)),"")</f>
        <v>2461.5</v>
      </c>
      <c r="E751" s="9">
        <f t="shared" si="24"/>
        <v>1.0062969733902092</v>
      </c>
      <c r="F751" t="str">
        <f t="shared" si="25"/>
        <v>Expected</v>
      </c>
    </row>
    <row r="752" spans="1:7" ht="15" customHeight="1" x14ac:dyDescent="0.3">
      <c r="A752" t="s">
        <v>98</v>
      </c>
      <c r="B752" s="2">
        <v>46204</v>
      </c>
      <c r="C752" cm="1">
        <f t="array" ref="C752">IFERROR(IF(SUMPRODUCT((measured[Site Name]=A752)*(measured[Date]=B752)*ISNUMBER(measured[Measured Value (kWh)]))=0,"",SUMIFS(measured[Measured Value (kWh)],measured[Site Name],A752,measured[Date],B752)),"")</f>
        <v>5136</v>
      </c>
      <c r="D752" cm="1">
        <f t="array" ref="D752">IFERROR(IF(SUMPRODUCT((expected_production[Site Name]=A752)*(expected_production[Date]=B752)*ISNUMBER(expected_production[Expected Production (kWh)]))=0,"",SUMIFS(expected_production[Expected Production (kWh)],expected_production[Site Name],A752,expected_production[Date],B752)),"")</f>
        <v>9756.08</v>
      </c>
      <c r="E752" s="9">
        <f t="shared" si="24"/>
        <v>0.52644094759370563</v>
      </c>
      <c r="F752" t="str">
        <f t="shared" si="25"/>
        <v>Poor</v>
      </c>
      <c r="G752" t="s">
        <v>874</v>
      </c>
    </row>
    <row r="753" spans="1:6" ht="15" customHeight="1" x14ac:dyDescent="0.3">
      <c r="A753" t="s">
        <v>107</v>
      </c>
      <c r="B753" s="2">
        <v>46235</v>
      </c>
      <c r="C753" t="str" cm="1">
        <f t="array" ref="C753">IFERROR(IF(SUMPRODUCT((measured[Site Name]=A753)*(measured[Date]=B753)*ISNUMBER(measured[Measured Value (kWh)]))=0,"",SUMIFS(measured[Measured Value (kWh)],measured[Site Name],A753,measured[Date],B753)),"")</f>
        <v/>
      </c>
      <c r="D753" cm="1">
        <f t="array" ref="D753">IFERROR(IF(SUMPRODUCT((expected_production[Site Name]=A753)*(expected_production[Date]=B753)*ISNUMBER(expected_production[Expected Production (kWh)]))=0,"",SUMIFS(expected_production[Expected Production (kWh)],expected_production[Site Name],A753,expected_production[Date],B753)),"")</f>
        <v>2973.6</v>
      </c>
      <c r="E753" s="9" t="str">
        <f t="shared" si="24"/>
        <v/>
      </c>
      <c r="F753" t="str">
        <f t="shared" si="25"/>
        <v/>
      </c>
    </row>
    <row r="754" spans="1:6" ht="15" customHeight="1" x14ac:dyDescent="0.3">
      <c r="A754" t="s">
        <v>107</v>
      </c>
      <c r="B754" s="2">
        <v>46266</v>
      </c>
      <c r="C754" t="str" cm="1">
        <f t="array" ref="C754">IFERROR(IF(SUMPRODUCT((measured[Site Name]=A754)*(measured[Date]=B754)*ISNUMBER(measured[Measured Value (kWh)]))=0,"",SUMIFS(measured[Measured Value (kWh)],measured[Site Name],A754,measured[Date],B754)),"")</f>
        <v/>
      </c>
      <c r="D754" cm="1">
        <f t="array" ref="D754">IFERROR(IF(SUMPRODUCT((expected_production[Site Name]=A754)*(expected_production[Date]=B754)*ISNUMBER(expected_production[Expected Production (kWh)]))=0,"",SUMIFS(expected_production[Expected Production (kWh)],expected_production[Site Name],A754,expected_production[Date],B754)),"")</f>
        <v>3147.3</v>
      </c>
      <c r="E754" s="9" t="str">
        <f t="shared" si="24"/>
        <v/>
      </c>
      <c r="F754" t="str">
        <f t="shared" si="25"/>
        <v/>
      </c>
    </row>
    <row r="755" spans="1:6" ht="15" customHeight="1" x14ac:dyDescent="0.3">
      <c r="A755" t="s">
        <v>107</v>
      </c>
      <c r="B755" s="2">
        <v>46296</v>
      </c>
      <c r="C755" t="str" cm="1">
        <f t="array" ref="C755">IFERROR(IF(SUMPRODUCT((measured[Site Name]=A755)*(measured[Date]=B755)*ISNUMBER(measured[Measured Value (kWh)]))=0,"",SUMIFS(measured[Measured Value (kWh)],measured[Site Name],A755,measured[Date],B755)),"")</f>
        <v/>
      </c>
      <c r="D755" cm="1">
        <f t="array" ref="D755">IFERROR(IF(SUMPRODUCT((expected_production[Site Name]=A755)*(expected_production[Date]=B755)*ISNUMBER(expected_production[Expected Production (kWh)]))=0,"",SUMIFS(expected_production[Expected Production (kWh)],expected_production[Site Name],A755,expected_production[Date],B755)),"")</f>
        <v>3179.7</v>
      </c>
      <c r="E755" s="9" t="str">
        <f t="shared" si="24"/>
        <v/>
      </c>
      <c r="F755" t="str">
        <f t="shared" si="25"/>
        <v/>
      </c>
    </row>
    <row r="756" spans="1:6" ht="15" customHeight="1" x14ac:dyDescent="0.3">
      <c r="A756" t="s">
        <v>107</v>
      </c>
      <c r="B756" s="2">
        <v>46327</v>
      </c>
      <c r="C756" t="str" cm="1">
        <f t="array" ref="C756">IFERROR(IF(SUMPRODUCT((measured[Site Name]=A756)*(measured[Date]=B756)*ISNUMBER(measured[Measured Value (kWh)]))=0,"",SUMIFS(measured[Measured Value (kWh)],measured[Site Name],A756,measured[Date],B756)),"")</f>
        <v/>
      </c>
      <c r="D756" cm="1">
        <f t="array" ref="D756">IFERROR(IF(SUMPRODUCT((expected_production[Site Name]=A756)*(expected_production[Date]=B756)*ISNUMBER(expected_production[Expected Production (kWh)]))=0,"",SUMIFS(expected_production[Expected Production (kWh)],expected_production[Site Name],A756,expected_production[Date],B756)),"")</f>
        <v>3013.2</v>
      </c>
      <c r="E756" s="9" t="str">
        <f t="shared" si="24"/>
        <v/>
      </c>
      <c r="F756" t="str">
        <f t="shared" si="25"/>
        <v/>
      </c>
    </row>
    <row r="757" spans="1:6" ht="15" customHeight="1" x14ac:dyDescent="0.3">
      <c r="A757" t="s">
        <v>107</v>
      </c>
      <c r="B757" s="2">
        <v>46357</v>
      </c>
      <c r="C757" t="str" cm="1">
        <f t="array" ref="C757">IFERROR(IF(SUMPRODUCT((measured[Site Name]=A757)*(measured[Date]=B757)*ISNUMBER(measured[Measured Value (kWh)]))=0,"",SUMIFS(measured[Measured Value (kWh)],measured[Site Name],A757,measured[Date],B757)),"")</f>
        <v/>
      </c>
      <c r="D757" cm="1">
        <f t="array" ref="D757">IFERROR(IF(SUMPRODUCT((expected_production[Site Name]=A757)*(expected_production[Date]=B757)*ISNUMBER(expected_production[Expected Production (kWh)]))=0,"",SUMIFS(expected_production[Expected Production (kWh)],expected_production[Site Name],A757,expected_production[Date],B757)),"")</f>
        <v>3204</v>
      </c>
      <c r="E757" s="9" t="str">
        <f t="shared" si="24"/>
        <v/>
      </c>
      <c r="F757" t="str">
        <f t="shared" si="25"/>
        <v/>
      </c>
    </row>
    <row r="758" spans="1:6" ht="15" customHeight="1" x14ac:dyDescent="0.3">
      <c r="A758" t="s">
        <v>228</v>
      </c>
      <c r="B758" s="2">
        <v>45292</v>
      </c>
      <c r="C758" t="str" cm="1">
        <f t="array" ref="C758">IFERROR(IF(SUMPRODUCT((measured[Site Name]=A758)*(measured[Date]=B758)*ISNUMBER(measured[Measured Value (kWh)]))=0,"",SUMIFS(measured[Measured Value (kWh)],measured[Site Name],A758,measured[Date],B758)),"")</f>
        <v/>
      </c>
      <c r="D758" cm="1">
        <f t="array" ref="D758">IFERROR(IF(SUMPRODUCT((expected_production[Site Name]=A758)*(expected_production[Date]=B758)*ISNUMBER(expected_production[Expected Production (kWh)]))=0,"",SUMIFS(expected_production[Expected Production (kWh)],expected_production[Site Name],A758,expected_production[Date],B758)),"")</f>
        <v>29074.5</v>
      </c>
      <c r="E758" s="9" t="str">
        <f t="shared" si="24"/>
        <v/>
      </c>
      <c r="F758" t="str">
        <f t="shared" si="25"/>
        <v/>
      </c>
    </row>
    <row r="759" spans="1:6" ht="15" customHeight="1" x14ac:dyDescent="0.3">
      <c r="A759" t="s">
        <v>228</v>
      </c>
      <c r="B759" s="2">
        <v>45323</v>
      </c>
      <c r="C759" t="str" cm="1">
        <f t="array" ref="C759">IFERROR(IF(SUMPRODUCT((measured[Site Name]=A759)*(measured[Date]=B759)*ISNUMBER(measured[Measured Value (kWh)]))=0,"",SUMIFS(measured[Measured Value (kWh)],measured[Site Name],A759,measured[Date],B759)),"")</f>
        <v/>
      </c>
      <c r="D759" cm="1">
        <f t="array" ref="D759">IFERROR(IF(SUMPRODUCT((expected_production[Site Name]=A759)*(expected_production[Date]=B759)*ISNUMBER(expected_production[Expected Production (kWh)]))=0,"",SUMIFS(expected_production[Expected Production (kWh)],expected_production[Site Name],A759,expected_production[Date],B759)),"")</f>
        <v>26716.5</v>
      </c>
      <c r="E759" s="9" t="str">
        <f t="shared" si="24"/>
        <v/>
      </c>
      <c r="F759" t="str">
        <f t="shared" si="25"/>
        <v/>
      </c>
    </row>
    <row r="760" spans="1:6" ht="15" customHeight="1" x14ac:dyDescent="0.3">
      <c r="A760" t="s">
        <v>228</v>
      </c>
      <c r="B760" s="2">
        <v>45352</v>
      </c>
      <c r="C760" t="str" cm="1">
        <f t="array" ref="C760">IFERROR(IF(SUMPRODUCT((measured[Site Name]=A760)*(measured[Date]=B760)*ISNUMBER(measured[Measured Value (kWh)]))=0,"",SUMIFS(measured[Measured Value (kWh)],measured[Site Name],A760,measured[Date],B760)),"")</f>
        <v/>
      </c>
      <c r="D760" cm="1">
        <f t="array" ref="D760">IFERROR(IF(SUMPRODUCT((expected_production[Site Name]=A760)*(expected_production[Date]=B760)*ISNUMBER(expected_production[Expected Production (kWh)]))=0,"",SUMIFS(expected_production[Expected Production (kWh)],expected_production[Site Name],A760,expected_production[Date],B760)),"")</f>
        <v>27941.4</v>
      </c>
      <c r="E760" s="9" t="str">
        <f t="shared" si="24"/>
        <v/>
      </c>
      <c r="F760" t="str">
        <f t="shared" si="25"/>
        <v/>
      </c>
    </row>
    <row r="761" spans="1:6" ht="15" customHeight="1" x14ac:dyDescent="0.3">
      <c r="A761" t="s">
        <v>228</v>
      </c>
      <c r="B761" s="2">
        <v>45383</v>
      </c>
      <c r="C761" t="str" cm="1">
        <f t="array" ref="C761">IFERROR(IF(SUMPRODUCT((measured[Site Name]=A761)*(measured[Date]=B761)*ISNUMBER(measured[Measured Value (kWh)]))=0,"",SUMIFS(measured[Measured Value (kWh)],measured[Site Name],A761,measured[Date],B761)),"")</f>
        <v/>
      </c>
      <c r="D761" cm="1">
        <f t="array" ref="D761">IFERROR(IF(SUMPRODUCT((expected_production[Site Name]=A761)*(expected_production[Date]=B761)*ISNUMBER(expected_production[Expected Production (kWh)]))=0,"",SUMIFS(expected_production[Expected Production (kWh)],expected_production[Site Name],A761,expected_production[Date],B761)),"")</f>
        <v>25610.400000000001</v>
      </c>
      <c r="E761" s="9" t="str">
        <f t="shared" si="24"/>
        <v/>
      </c>
      <c r="F761" t="str">
        <f t="shared" si="25"/>
        <v/>
      </c>
    </row>
    <row r="762" spans="1:6" ht="15" customHeight="1" x14ac:dyDescent="0.3">
      <c r="A762" t="s">
        <v>228</v>
      </c>
      <c r="B762" s="2">
        <v>45413</v>
      </c>
      <c r="C762" t="str" cm="1">
        <f t="array" ref="C762">IFERROR(IF(SUMPRODUCT((measured[Site Name]=A762)*(measured[Date]=B762)*ISNUMBER(measured[Measured Value (kWh)]))=0,"",SUMIFS(measured[Measured Value (kWh)],measured[Site Name],A762,measured[Date],B762)),"")</f>
        <v/>
      </c>
      <c r="D762" cm="1">
        <f t="array" ref="D762">IFERROR(IF(SUMPRODUCT((expected_production[Site Name]=A762)*(expected_production[Date]=B762)*ISNUMBER(expected_production[Expected Production (kWh)]))=0,"",SUMIFS(expected_production[Expected Production (kWh)],expected_production[Site Name],A762,expected_production[Date],B762)),"")</f>
        <v>25802.1</v>
      </c>
      <c r="E762" s="9" t="str">
        <f t="shared" si="24"/>
        <v/>
      </c>
      <c r="F762" t="str">
        <f t="shared" si="25"/>
        <v/>
      </c>
    </row>
    <row r="763" spans="1:6" ht="15" customHeight="1" x14ac:dyDescent="0.3">
      <c r="A763" t="s">
        <v>228</v>
      </c>
      <c r="B763" s="2">
        <v>45444</v>
      </c>
      <c r="C763" t="str" cm="1">
        <f t="array" ref="C763">IFERROR(IF(SUMPRODUCT((measured[Site Name]=A763)*(measured[Date]=B763)*ISNUMBER(measured[Measured Value (kWh)]))=0,"",SUMIFS(measured[Measured Value (kWh)],measured[Site Name],A763,measured[Date],B763)),"")</f>
        <v/>
      </c>
      <c r="D763" cm="1">
        <f t="array" ref="D763">IFERROR(IF(SUMPRODUCT((expected_production[Site Name]=A763)*(expected_production[Date]=B763)*ISNUMBER(expected_production[Expected Production (kWh)]))=0,"",SUMIFS(expected_production[Expected Production (kWh)],expected_production[Site Name],A763,expected_production[Date],B763)),"")</f>
        <v>23428.799999999999</v>
      </c>
      <c r="E763" s="9" t="str">
        <f t="shared" si="24"/>
        <v/>
      </c>
      <c r="F763" t="str">
        <f t="shared" si="25"/>
        <v/>
      </c>
    </row>
    <row r="764" spans="1:6" ht="15" customHeight="1" x14ac:dyDescent="0.3">
      <c r="A764" t="s">
        <v>228</v>
      </c>
      <c r="B764" s="2">
        <v>45474</v>
      </c>
      <c r="C764" t="str" cm="1">
        <f t="array" ref="C764">IFERROR(IF(SUMPRODUCT((measured[Site Name]=A764)*(measured[Date]=B764)*ISNUMBER(measured[Measured Value (kWh)]))=0,"",SUMIFS(measured[Measured Value (kWh)],measured[Site Name],A764,measured[Date],B764)),"")</f>
        <v/>
      </c>
      <c r="D764" cm="1">
        <f t="array" ref="D764">IFERROR(IF(SUMPRODUCT((expected_production[Site Name]=A764)*(expected_production[Date]=B764)*ISNUMBER(expected_production[Expected Production (kWh)]))=0,"",SUMIFS(expected_production[Expected Production (kWh)],expected_production[Site Name],A764,expected_production[Date],B764)),"")</f>
        <v>25632</v>
      </c>
      <c r="E764" s="9" t="str">
        <f t="shared" si="24"/>
        <v/>
      </c>
      <c r="F764" t="str">
        <f t="shared" si="25"/>
        <v/>
      </c>
    </row>
    <row r="765" spans="1:6" ht="15" customHeight="1" x14ac:dyDescent="0.3">
      <c r="A765" t="s">
        <v>228</v>
      </c>
      <c r="B765" s="2">
        <v>45505</v>
      </c>
      <c r="C765" t="str" cm="1">
        <f t="array" ref="C765">IFERROR(IF(SUMPRODUCT((measured[Site Name]=A765)*(measured[Date]=B765)*ISNUMBER(measured[Measured Value (kWh)]))=0,"",SUMIFS(measured[Measured Value (kWh)],measured[Site Name],A765,measured[Date],B765)),"")</f>
        <v/>
      </c>
      <c r="D765" cm="1">
        <f t="array" ref="D765">IFERROR(IF(SUMPRODUCT((expected_production[Site Name]=A765)*(expected_production[Date]=B765)*ISNUMBER(expected_production[Expected Production (kWh)]))=0,"",SUMIFS(expected_production[Expected Production (kWh)],expected_production[Site Name],A765,expected_production[Date],B765)),"")</f>
        <v>28549.8</v>
      </c>
      <c r="E765" s="9" t="str">
        <f t="shared" si="24"/>
        <v/>
      </c>
      <c r="F765" t="str">
        <f t="shared" si="25"/>
        <v/>
      </c>
    </row>
    <row r="766" spans="1:6" ht="15" customHeight="1" x14ac:dyDescent="0.3">
      <c r="A766" t="s">
        <v>228</v>
      </c>
      <c r="B766" s="2">
        <v>45536</v>
      </c>
      <c r="C766" t="str" cm="1">
        <f t="array" ref="C766">IFERROR(IF(SUMPRODUCT((measured[Site Name]=A766)*(measured[Date]=B766)*ISNUMBER(measured[Measured Value (kWh)]))=0,"",SUMIFS(measured[Measured Value (kWh)],measured[Site Name],A766,measured[Date],B766)),"")</f>
        <v/>
      </c>
      <c r="D766" cm="1">
        <f t="array" ref="D766">IFERROR(IF(SUMPRODUCT((expected_production[Site Name]=A766)*(expected_production[Date]=B766)*ISNUMBER(expected_production[Expected Production (kWh)]))=0,"",SUMIFS(expected_production[Expected Production (kWh)],expected_production[Site Name],A766,expected_production[Date],B766)),"")</f>
        <v>29561.4</v>
      </c>
      <c r="E766" s="9" t="str">
        <f t="shared" si="24"/>
        <v/>
      </c>
      <c r="F766" t="str">
        <f t="shared" si="25"/>
        <v/>
      </c>
    </row>
    <row r="767" spans="1:6" ht="15" customHeight="1" x14ac:dyDescent="0.3">
      <c r="A767" t="s">
        <v>228</v>
      </c>
      <c r="B767" s="2">
        <v>45566</v>
      </c>
      <c r="C767" t="str" cm="1">
        <f t="array" ref="C767">IFERROR(IF(SUMPRODUCT((measured[Site Name]=A767)*(measured[Date]=B767)*ISNUMBER(measured[Measured Value (kWh)]))=0,"",SUMIFS(measured[Measured Value (kWh)],measured[Site Name],A767,measured[Date],B767)),"")</f>
        <v/>
      </c>
      <c r="D767" cm="1">
        <f t="array" ref="D767">IFERROR(IF(SUMPRODUCT((expected_production[Site Name]=A767)*(expected_production[Date]=B767)*ISNUMBER(expected_production[Expected Production (kWh)]))=0,"",SUMIFS(expected_production[Expected Production (kWh)],expected_production[Site Name],A767,expected_production[Date],B767)),"")</f>
        <v>31417.200000000001</v>
      </c>
      <c r="E767" s="9" t="str">
        <f t="shared" si="24"/>
        <v/>
      </c>
      <c r="F767" t="str">
        <f t="shared" si="25"/>
        <v/>
      </c>
    </row>
    <row r="768" spans="1:6" ht="15" customHeight="1" x14ac:dyDescent="0.3">
      <c r="A768" t="s">
        <v>228</v>
      </c>
      <c r="B768" s="2">
        <v>45597</v>
      </c>
      <c r="C768" t="str" cm="1">
        <f t="array" ref="C768">IFERROR(IF(SUMPRODUCT((measured[Site Name]=A768)*(measured[Date]=B768)*ISNUMBER(measured[Measured Value (kWh)]))=0,"",SUMIFS(measured[Measured Value (kWh)],measured[Site Name],A768,measured[Date],B768)),"")</f>
        <v/>
      </c>
      <c r="D768" cm="1">
        <f t="array" ref="D768">IFERROR(IF(SUMPRODUCT((expected_production[Site Name]=A768)*(expected_production[Date]=B768)*ISNUMBER(expected_production[Expected Production (kWh)]))=0,"",SUMIFS(expected_production[Expected Production (kWh)],expected_production[Site Name],A768,expected_production[Date],B768)),"")</f>
        <v>30121.200000000001</v>
      </c>
      <c r="E768" s="9" t="str">
        <f t="shared" si="24"/>
        <v/>
      </c>
      <c r="F768" t="str">
        <f t="shared" si="25"/>
        <v/>
      </c>
    </row>
    <row r="769" spans="1:6" ht="15" customHeight="1" x14ac:dyDescent="0.3">
      <c r="A769" t="s">
        <v>228</v>
      </c>
      <c r="B769" s="2">
        <v>45627</v>
      </c>
      <c r="C769" t="str" cm="1">
        <f t="array" ref="C769">IFERROR(IF(SUMPRODUCT((measured[Site Name]=A769)*(measured[Date]=B769)*ISNUMBER(measured[Measured Value (kWh)]))=0,"",SUMIFS(measured[Measured Value (kWh)],measured[Site Name],A769,measured[Date],B769)),"")</f>
        <v/>
      </c>
      <c r="D769" cm="1">
        <f t="array" ref="D769">IFERROR(IF(SUMPRODUCT((expected_production[Site Name]=A769)*(expected_production[Date]=B769)*ISNUMBER(expected_production[Expected Production (kWh)]))=0,"",SUMIFS(expected_production[Expected Production (kWh)],expected_production[Site Name],A769,expected_production[Date],B769)),"")</f>
        <v>29445.3</v>
      </c>
      <c r="E769" s="9" t="str">
        <f t="shared" si="24"/>
        <v/>
      </c>
      <c r="F769" t="str">
        <f t="shared" si="25"/>
        <v/>
      </c>
    </row>
    <row r="770" spans="1:6" ht="15" customHeight="1" x14ac:dyDescent="0.3">
      <c r="A770" t="s">
        <v>228</v>
      </c>
      <c r="B770" s="2">
        <v>45658</v>
      </c>
      <c r="C770" t="str" cm="1">
        <f t="array" ref="C770">IFERROR(IF(SUMPRODUCT((measured[Site Name]=A770)*(measured[Date]=B770)*ISNUMBER(measured[Measured Value (kWh)]))=0,"",SUMIFS(measured[Measured Value (kWh)],measured[Site Name],A770,measured[Date],B770)),"")</f>
        <v/>
      </c>
      <c r="D770" cm="1">
        <f t="array" ref="D770">IFERROR(IF(SUMPRODUCT((expected_production[Site Name]=A770)*(expected_production[Date]=B770)*ISNUMBER(expected_production[Expected Production (kWh)]))=0,"",SUMIFS(expected_production[Expected Production (kWh)],expected_production[Site Name],A770,expected_production[Date],B770)),"")</f>
        <v>29074.5</v>
      </c>
      <c r="E770" s="9" t="str">
        <f t="shared" si="24"/>
        <v/>
      </c>
      <c r="F770" t="str">
        <f t="shared" si="25"/>
        <v/>
      </c>
    </row>
    <row r="771" spans="1:6" ht="15" customHeight="1" x14ac:dyDescent="0.3">
      <c r="A771" t="s">
        <v>228</v>
      </c>
      <c r="B771" s="2">
        <v>45689</v>
      </c>
      <c r="C771" t="str" cm="1">
        <f t="array" ref="C771">IFERROR(IF(SUMPRODUCT((measured[Site Name]=A771)*(measured[Date]=B771)*ISNUMBER(measured[Measured Value (kWh)]))=0,"",SUMIFS(measured[Measured Value (kWh)],measured[Site Name],A771,measured[Date],B771)),"")</f>
        <v/>
      </c>
      <c r="D771" cm="1">
        <f t="array" ref="D771">IFERROR(IF(SUMPRODUCT((expected_production[Site Name]=A771)*(expected_production[Date]=B771)*ISNUMBER(expected_production[Expected Production (kWh)]))=0,"",SUMIFS(expected_production[Expected Production (kWh)],expected_production[Site Name],A771,expected_production[Date],B771)),"")</f>
        <v>26716.5</v>
      </c>
      <c r="E771" s="9" t="str">
        <f t="shared" si="24"/>
        <v/>
      </c>
      <c r="F771" t="str">
        <f t="shared" si="25"/>
        <v/>
      </c>
    </row>
    <row r="772" spans="1:6" ht="15" customHeight="1" x14ac:dyDescent="0.3">
      <c r="A772" t="s">
        <v>228</v>
      </c>
      <c r="B772" s="2">
        <v>45717</v>
      </c>
      <c r="C772" t="str" cm="1">
        <f t="array" ref="C772">IFERROR(IF(SUMPRODUCT((measured[Site Name]=A772)*(measured[Date]=B772)*ISNUMBER(measured[Measured Value (kWh)]))=0,"",SUMIFS(measured[Measured Value (kWh)],measured[Site Name],A772,measured[Date],B772)),"")</f>
        <v/>
      </c>
      <c r="D772" cm="1">
        <f t="array" ref="D772">IFERROR(IF(SUMPRODUCT((expected_production[Site Name]=A772)*(expected_production[Date]=B772)*ISNUMBER(expected_production[Expected Production (kWh)]))=0,"",SUMIFS(expected_production[Expected Production (kWh)],expected_production[Site Name],A772,expected_production[Date],B772)),"")</f>
        <v>27941.4</v>
      </c>
      <c r="E772" s="9" t="str">
        <f t="shared" si="24"/>
        <v/>
      </c>
      <c r="F772" t="str">
        <f t="shared" si="25"/>
        <v/>
      </c>
    </row>
    <row r="773" spans="1:6" ht="15" customHeight="1" x14ac:dyDescent="0.3">
      <c r="A773" t="s">
        <v>228</v>
      </c>
      <c r="B773" s="2">
        <v>45748</v>
      </c>
      <c r="C773" t="str" cm="1">
        <f t="array" ref="C773">IFERROR(IF(SUMPRODUCT((measured[Site Name]=A773)*(measured[Date]=B773)*ISNUMBER(measured[Measured Value (kWh)]))=0,"",SUMIFS(measured[Measured Value (kWh)],measured[Site Name],A773,measured[Date],B773)),"")</f>
        <v/>
      </c>
      <c r="D773" cm="1">
        <f t="array" ref="D773">IFERROR(IF(SUMPRODUCT((expected_production[Site Name]=A773)*(expected_production[Date]=B773)*ISNUMBER(expected_production[Expected Production (kWh)]))=0,"",SUMIFS(expected_production[Expected Production (kWh)],expected_production[Site Name],A773,expected_production[Date],B773)),"")</f>
        <v>25610.400000000001</v>
      </c>
      <c r="E773" s="9" t="str">
        <f t="shared" si="24"/>
        <v/>
      </c>
      <c r="F773" t="str">
        <f t="shared" si="25"/>
        <v/>
      </c>
    </row>
    <row r="774" spans="1:6" ht="15" customHeight="1" x14ac:dyDescent="0.3">
      <c r="A774" t="s">
        <v>228</v>
      </c>
      <c r="B774" s="2">
        <v>45778</v>
      </c>
      <c r="C774" t="str" cm="1">
        <f t="array" ref="C774">IFERROR(IF(SUMPRODUCT((measured[Site Name]=A774)*(measured[Date]=B774)*ISNUMBER(measured[Measured Value (kWh)]))=0,"",SUMIFS(measured[Measured Value (kWh)],measured[Site Name],A774,measured[Date],B774)),"")</f>
        <v/>
      </c>
      <c r="D774" cm="1">
        <f t="array" ref="D774">IFERROR(IF(SUMPRODUCT((expected_production[Site Name]=A774)*(expected_production[Date]=B774)*ISNUMBER(expected_production[Expected Production (kWh)]))=0,"",SUMIFS(expected_production[Expected Production (kWh)],expected_production[Site Name],A774,expected_production[Date],B774)),"")</f>
        <v>25802.1</v>
      </c>
      <c r="E774" s="9" t="str">
        <f t="shared" si="24"/>
        <v/>
      </c>
      <c r="F774" t="str">
        <f t="shared" si="25"/>
        <v/>
      </c>
    </row>
    <row r="775" spans="1:6" ht="15" customHeight="1" x14ac:dyDescent="0.3">
      <c r="A775" t="s">
        <v>228</v>
      </c>
      <c r="B775" s="2">
        <v>45809</v>
      </c>
      <c r="C775" t="str" cm="1">
        <f t="array" ref="C775">IFERROR(IF(SUMPRODUCT((measured[Site Name]=A775)*(measured[Date]=B775)*ISNUMBER(measured[Measured Value (kWh)]))=0,"",SUMIFS(measured[Measured Value (kWh)],measured[Site Name],A775,measured[Date],B775)),"")</f>
        <v/>
      </c>
      <c r="D775" cm="1">
        <f t="array" ref="D775">IFERROR(IF(SUMPRODUCT((expected_production[Site Name]=A775)*(expected_production[Date]=B775)*ISNUMBER(expected_production[Expected Production (kWh)]))=0,"",SUMIFS(expected_production[Expected Production (kWh)],expected_production[Site Name],A775,expected_production[Date],B775)),"")</f>
        <v>23428.799999999999</v>
      </c>
      <c r="E775" s="9" t="str">
        <f t="shared" si="24"/>
        <v/>
      </c>
      <c r="F775" t="str">
        <f t="shared" si="25"/>
        <v/>
      </c>
    </row>
    <row r="776" spans="1:6" ht="15" customHeight="1" x14ac:dyDescent="0.3">
      <c r="A776" t="s">
        <v>228</v>
      </c>
      <c r="B776" s="2">
        <v>45839</v>
      </c>
      <c r="C776" t="str" cm="1">
        <f t="array" ref="C776">IFERROR(IF(SUMPRODUCT((measured[Site Name]=A776)*(measured[Date]=B776)*ISNUMBER(measured[Measured Value (kWh)]))=0,"",SUMIFS(measured[Measured Value (kWh)],measured[Site Name],A776,measured[Date],B776)),"")</f>
        <v/>
      </c>
      <c r="D776" cm="1">
        <f t="array" ref="D776">IFERROR(IF(SUMPRODUCT((expected_production[Site Name]=A776)*(expected_production[Date]=B776)*ISNUMBER(expected_production[Expected Production (kWh)]))=0,"",SUMIFS(expected_production[Expected Production (kWh)],expected_production[Site Name],A776,expected_production[Date],B776)),"")</f>
        <v>25632</v>
      </c>
      <c r="E776" s="9" t="str">
        <f t="shared" si="24"/>
        <v/>
      </c>
      <c r="F776" t="str">
        <f t="shared" si="25"/>
        <v/>
      </c>
    </row>
    <row r="777" spans="1:6" ht="15" customHeight="1" x14ac:dyDescent="0.3">
      <c r="A777" t="s">
        <v>228</v>
      </c>
      <c r="B777" s="2">
        <v>45870</v>
      </c>
      <c r="C777" t="str" cm="1">
        <f t="array" ref="C777">IFERROR(IF(SUMPRODUCT((measured[Site Name]=A777)*(measured[Date]=B777)*ISNUMBER(measured[Measured Value (kWh)]))=0,"",SUMIFS(measured[Measured Value (kWh)],measured[Site Name],A777,measured[Date],B777)),"")</f>
        <v/>
      </c>
      <c r="D777" cm="1">
        <f t="array" ref="D777">IFERROR(IF(SUMPRODUCT((expected_production[Site Name]=A777)*(expected_production[Date]=B777)*ISNUMBER(expected_production[Expected Production (kWh)]))=0,"",SUMIFS(expected_production[Expected Production (kWh)],expected_production[Site Name],A777,expected_production[Date],B777)),"")</f>
        <v>28549.8</v>
      </c>
      <c r="E777" s="9" t="str">
        <f t="shared" si="24"/>
        <v/>
      </c>
      <c r="F777" t="str">
        <f t="shared" si="25"/>
        <v/>
      </c>
    </row>
    <row r="778" spans="1:6" ht="15" customHeight="1" x14ac:dyDescent="0.3">
      <c r="A778" t="s">
        <v>228</v>
      </c>
      <c r="B778" s="2">
        <v>45901</v>
      </c>
      <c r="C778" t="str" cm="1">
        <f t="array" ref="C778">IFERROR(IF(SUMPRODUCT((measured[Site Name]=A778)*(measured[Date]=B778)*ISNUMBER(measured[Measured Value (kWh)]))=0,"",SUMIFS(measured[Measured Value (kWh)],measured[Site Name],A778,measured[Date],B778)),"")</f>
        <v/>
      </c>
      <c r="D778" cm="1">
        <f t="array" ref="D778">IFERROR(IF(SUMPRODUCT((expected_production[Site Name]=A778)*(expected_production[Date]=B778)*ISNUMBER(expected_production[Expected Production (kWh)]))=0,"",SUMIFS(expected_production[Expected Production (kWh)],expected_production[Site Name],A778,expected_production[Date],B778)),"")</f>
        <v>29561.4</v>
      </c>
      <c r="E778" s="9" t="str">
        <f t="shared" si="24"/>
        <v/>
      </c>
      <c r="F778" t="str">
        <f t="shared" si="25"/>
        <v/>
      </c>
    </row>
    <row r="779" spans="1:6" ht="15" customHeight="1" x14ac:dyDescent="0.3">
      <c r="A779" t="s">
        <v>228</v>
      </c>
      <c r="B779" s="2">
        <v>45931</v>
      </c>
      <c r="C779" t="str" cm="1">
        <f t="array" ref="C779">IFERROR(IF(SUMPRODUCT((measured[Site Name]=A779)*(measured[Date]=B779)*ISNUMBER(measured[Measured Value (kWh)]))=0,"",SUMIFS(measured[Measured Value (kWh)],measured[Site Name],A779,measured[Date],B779)),"")</f>
        <v/>
      </c>
      <c r="D779" cm="1">
        <f t="array" ref="D779">IFERROR(IF(SUMPRODUCT((expected_production[Site Name]=A779)*(expected_production[Date]=B779)*ISNUMBER(expected_production[Expected Production (kWh)]))=0,"",SUMIFS(expected_production[Expected Production (kWh)],expected_production[Site Name],A779,expected_production[Date],B779)),"")</f>
        <v>31417.200000000001</v>
      </c>
      <c r="E779" s="9" t="str">
        <f t="shared" ref="E779:E828" si="26">IF(OR(C779="",D779="",D779=0),"",C779/D779)</f>
        <v/>
      </c>
      <c r="F779" t="str">
        <f t="shared" ref="F779:F828" si="27">IF(E779="","",IF(E779&gt;=0.9,"Expected",IF(E779&gt;=0.7,"Moderate","Poor")))</f>
        <v/>
      </c>
    </row>
    <row r="780" spans="1:6" ht="15" customHeight="1" x14ac:dyDescent="0.3">
      <c r="A780" t="s">
        <v>228</v>
      </c>
      <c r="B780" s="2">
        <v>45962</v>
      </c>
      <c r="C780" t="str" cm="1">
        <f t="array" ref="C780">IFERROR(IF(SUMPRODUCT((measured[Site Name]=A780)*(measured[Date]=B780)*ISNUMBER(measured[Measured Value (kWh)]))=0,"",SUMIFS(measured[Measured Value (kWh)],measured[Site Name],A780,measured[Date],B780)),"")</f>
        <v/>
      </c>
      <c r="D780" cm="1">
        <f t="array" ref="D780">IFERROR(IF(SUMPRODUCT((expected_production[Site Name]=A780)*(expected_production[Date]=B780)*ISNUMBER(expected_production[Expected Production (kWh)]))=0,"",SUMIFS(expected_production[Expected Production (kWh)],expected_production[Site Name],A780,expected_production[Date],B780)),"")</f>
        <v>30121.200000000001</v>
      </c>
      <c r="E780" s="9" t="str">
        <f t="shared" si="26"/>
        <v/>
      </c>
      <c r="F780" t="str">
        <f t="shared" si="27"/>
        <v/>
      </c>
    </row>
    <row r="781" spans="1:6" ht="15" customHeight="1" x14ac:dyDescent="0.3">
      <c r="A781" t="s">
        <v>228</v>
      </c>
      <c r="B781" s="2">
        <v>45992</v>
      </c>
      <c r="C781" t="str" cm="1">
        <f t="array" ref="C781">IFERROR(IF(SUMPRODUCT((measured[Site Name]=A781)*(measured[Date]=B781)*ISNUMBER(measured[Measured Value (kWh)]))=0,"",SUMIFS(measured[Measured Value (kWh)],measured[Site Name],A781,measured[Date],B781)),"")</f>
        <v/>
      </c>
      <c r="D781" cm="1">
        <f t="array" ref="D781">IFERROR(IF(SUMPRODUCT((expected_production[Site Name]=A781)*(expected_production[Date]=B781)*ISNUMBER(expected_production[Expected Production (kWh)]))=0,"",SUMIFS(expected_production[Expected Production (kWh)],expected_production[Site Name],A781,expected_production[Date],B781)),"")</f>
        <v>29445.3</v>
      </c>
      <c r="E781" s="9" t="str">
        <f t="shared" si="26"/>
        <v/>
      </c>
      <c r="F781" t="str">
        <f t="shared" si="27"/>
        <v/>
      </c>
    </row>
    <row r="782" spans="1:6" ht="15" customHeight="1" x14ac:dyDescent="0.3">
      <c r="A782" t="s">
        <v>228</v>
      </c>
      <c r="B782" s="2">
        <v>46023</v>
      </c>
      <c r="C782" t="str" cm="1">
        <f t="array" ref="C782">IFERROR(IF(SUMPRODUCT((measured[Site Name]=A782)*(measured[Date]=B782)*ISNUMBER(measured[Measured Value (kWh)]))=0,"",SUMIFS(measured[Measured Value (kWh)],measured[Site Name],A782,measured[Date],B782)),"")</f>
        <v/>
      </c>
      <c r="D782" cm="1">
        <f t="array" ref="D782">IFERROR(IF(SUMPRODUCT((expected_production[Site Name]=A782)*(expected_production[Date]=B782)*ISNUMBER(expected_production[Expected Production (kWh)]))=0,"",SUMIFS(expected_production[Expected Production (kWh)],expected_production[Site Name],A782,expected_production[Date],B782)),"")</f>
        <v>29074.5</v>
      </c>
      <c r="E782" s="9" t="str">
        <f t="shared" si="26"/>
        <v/>
      </c>
      <c r="F782" t="str">
        <f t="shared" si="27"/>
        <v/>
      </c>
    </row>
    <row r="783" spans="1:6" ht="15" customHeight="1" x14ac:dyDescent="0.3">
      <c r="A783" t="s">
        <v>228</v>
      </c>
      <c r="B783" s="2">
        <v>46054</v>
      </c>
      <c r="C783" t="str" cm="1">
        <f t="array" ref="C783">IFERROR(IF(SUMPRODUCT((measured[Site Name]=A783)*(measured[Date]=B783)*ISNUMBER(measured[Measured Value (kWh)]))=0,"",SUMIFS(measured[Measured Value (kWh)],measured[Site Name],A783,measured[Date],B783)),"")</f>
        <v/>
      </c>
      <c r="D783" cm="1">
        <f t="array" ref="D783">IFERROR(IF(SUMPRODUCT((expected_production[Site Name]=A783)*(expected_production[Date]=B783)*ISNUMBER(expected_production[Expected Production (kWh)]))=0,"",SUMIFS(expected_production[Expected Production (kWh)],expected_production[Site Name],A783,expected_production[Date],B783)),"")</f>
        <v>26716.5</v>
      </c>
      <c r="E783" s="9" t="str">
        <f t="shared" si="26"/>
        <v/>
      </c>
      <c r="F783" t="str">
        <f t="shared" si="27"/>
        <v/>
      </c>
    </row>
    <row r="784" spans="1:6" ht="15" customHeight="1" x14ac:dyDescent="0.3">
      <c r="A784" t="s">
        <v>228</v>
      </c>
      <c r="B784" s="2">
        <v>46082</v>
      </c>
      <c r="C784" cm="1">
        <f t="array" ref="C784">IFERROR(IF(SUMPRODUCT((measured[Site Name]=A784)*(measured[Date]=B784)*ISNUMBER(measured[Measured Value (kWh)]))=0,"",SUMIFS(measured[Measured Value (kWh)],measured[Site Name],A784,measured[Date],B784)),"")</f>
        <v>2780</v>
      </c>
      <c r="D784" cm="1">
        <f t="array" ref="D784">IFERROR(IF(SUMPRODUCT((expected_production[Site Name]=A784)*(expected_production[Date]=B784)*ISNUMBER(expected_production[Expected Production (kWh)]))=0,"",SUMIFS(expected_production[Expected Production (kWh)],expected_production[Site Name],A784,expected_production[Date],B784)),"")</f>
        <v>27941.4</v>
      </c>
      <c r="E784" s="9">
        <f t="shared" si="26"/>
        <v>9.9493940890578128E-2</v>
      </c>
      <c r="F784" t="str">
        <f t="shared" si="27"/>
        <v>Poor</v>
      </c>
    </row>
    <row r="785" spans="1:7" ht="15" customHeight="1" x14ac:dyDescent="0.3">
      <c r="A785" t="s">
        <v>228</v>
      </c>
      <c r="B785" s="2">
        <v>46113</v>
      </c>
      <c r="C785" cm="1">
        <f t="array" ref="C785">IFERROR(IF(SUMPRODUCT((measured[Site Name]=A785)*(measured[Date]=B785)*ISNUMBER(measured[Measured Value (kWh)]))=0,"",SUMIFS(measured[Measured Value (kWh)],measured[Site Name],A785,measured[Date],B785)),"")</f>
        <v>14950</v>
      </c>
      <c r="D785" cm="1">
        <f t="array" ref="D785">IFERROR(IF(SUMPRODUCT((expected_production[Site Name]=A785)*(expected_production[Date]=B785)*ISNUMBER(expected_production[Expected Production (kWh)]))=0,"",SUMIFS(expected_production[Expected Production (kWh)],expected_production[Site Name],A785,expected_production[Date],B785)),"")</f>
        <v>51220.800000000003</v>
      </c>
      <c r="E785" s="9">
        <f t="shared" si="26"/>
        <v>0.29187361384437571</v>
      </c>
      <c r="F785" t="str">
        <f t="shared" si="27"/>
        <v>Poor</v>
      </c>
    </row>
    <row r="786" spans="1:7" ht="15" customHeight="1" x14ac:dyDescent="0.3">
      <c r="A786" t="s">
        <v>228</v>
      </c>
      <c r="B786" s="2">
        <v>46143</v>
      </c>
      <c r="C786" cm="1">
        <f t="array" ref="C786">IFERROR(IF(SUMPRODUCT((measured[Site Name]=A786)*(measured[Date]=B786)*ISNUMBER(measured[Measured Value (kWh)]))=0,"",SUMIFS(measured[Measured Value (kWh)],measured[Site Name],A786,measured[Date],B786)),"")</f>
        <v>6540</v>
      </c>
      <c r="D786" cm="1">
        <f t="array" ref="D786">IFERROR(IF(SUMPRODUCT((expected_production[Site Name]=A786)*(expected_production[Date]=B786)*ISNUMBER(expected_production[Expected Production (kWh)]))=0,"",SUMIFS(expected_production[Expected Production (kWh)],expected_production[Site Name],A786,expected_production[Date],B786)),"")</f>
        <v>25802.1</v>
      </c>
      <c r="E786" s="9">
        <f t="shared" si="26"/>
        <v>0.25346774099782576</v>
      </c>
      <c r="F786" t="str">
        <f t="shared" si="27"/>
        <v>Poor</v>
      </c>
    </row>
    <row r="787" spans="1:7" ht="15" customHeight="1" x14ac:dyDescent="0.3">
      <c r="A787" t="s">
        <v>228</v>
      </c>
      <c r="B787" s="2">
        <v>46174</v>
      </c>
      <c r="C787" cm="1">
        <f t="array" ref="C787">IFERROR(IF(SUMPRODUCT((measured[Site Name]=A787)*(measured[Date]=B787)*ISNUMBER(measured[Measured Value (kWh)]))=0,"",SUMIFS(measured[Measured Value (kWh)],measured[Site Name],A787,measured[Date],B787)),"")</f>
        <v>7560</v>
      </c>
      <c r="D787" cm="1">
        <f t="array" ref="D787">IFERROR(IF(SUMPRODUCT((expected_production[Site Name]=A787)*(expected_production[Date]=B787)*ISNUMBER(expected_production[Expected Production (kWh)]))=0,"",SUMIFS(expected_production[Expected Production (kWh)],expected_production[Site Name],A787,expected_production[Date],B787)),"")</f>
        <v>23428.799999999999</v>
      </c>
      <c r="E787" s="9">
        <f t="shared" si="26"/>
        <v>0.322679778733866</v>
      </c>
      <c r="F787" t="str">
        <f t="shared" si="27"/>
        <v>Poor</v>
      </c>
    </row>
    <row r="788" spans="1:7" ht="15" customHeight="1" x14ac:dyDescent="0.3">
      <c r="A788" t="s">
        <v>102</v>
      </c>
      <c r="B788" s="2">
        <v>46204</v>
      </c>
      <c r="C788" cm="1">
        <f t="array" ref="C788">IFERROR(IF(SUMPRODUCT((measured[Site Name]=A788)*(measured[Date]=B788)*ISNUMBER(measured[Measured Value (kWh)]))=0,"",SUMIFS(measured[Measured Value (kWh)],measured[Site Name],A788,measured[Date],B788)),"")</f>
        <v>4112</v>
      </c>
      <c r="D788" cm="1">
        <f t="array" ref="D788">IFERROR(IF(SUMPRODUCT((expected_production[Site Name]=A788)*(expected_production[Date]=B788)*ISNUMBER(expected_production[Expected Production (kWh)]))=0,"",SUMIFS(expected_production[Expected Production (kWh)],expected_production[Site Name],A788,expected_production[Date],B788)),"")</f>
        <v>7865.1750000000002</v>
      </c>
      <c r="E788" s="9">
        <f t="shared" si="26"/>
        <v>0.52281099911953643</v>
      </c>
      <c r="F788" t="str">
        <f t="shared" si="27"/>
        <v>Poor</v>
      </c>
      <c r="G788" t="s">
        <v>874</v>
      </c>
    </row>
    <row r="789" spans="1:7" ht="15" customHeight="1" x14ac:dyDescent="0.3">
      <c r="A789" t="s">
        <v>104</v>
      </c>
      <c r="B789" s="2">
        <v>46204</v>
      </c>
      <c r="C789" cm="1">
        <f t="array" ref="C789">IFERROR(IF(SUMPRODUCT((measured[Site Name]=A789)*(measured[Date]=B789)*ISNUMBER(measured[Measured Value (kWh)]))=0,"",SUMIFS(measured[Measured Value (kWh)],measured[Site Name],A789,measured[Date],B789)),"")</f>
        <v>857</v>
      </c>
      <c r="D789" cm="1">
        <f t="array" ref="D789">IFERROR(IF(SUMPRODUCT((expected_production[Site Name]=A789)*(expected_production[Date]=B789)*ISNUMBER(expected_production[Expected Production (kWh)]))=0,"",SUMIFS(expected_production[Expected Production (kWh)],expected_production[Site Name],A789,expected_production[Date],B789)),"")</f>
        <v>3044.7</v>
      </c>
      <c r="E789" s="9">
        <f t="shared" si="26"/>
        <v>0.28147272309258714</v>
      </c>
      <c r="F789" t="str">
        <f t="shared" si="27"/>
        <v>Poor</v>
      </c>
      <c r="G789" t="s">
        <v>875</v>
      </c>
    </row>
    <row r="790" spans="1:7" ht="15" customHeight="1" x14ac:dyDescent="0.3">
      <c r="A790" t="s">
        <v>228</v>
      </c>
      <c r="B790" s="2">
        <v>46235</v>
      </c>
      <c r="C790" t="str" cm="1">
        <f t="array" ref="C790">IFERROR(IF(SUMPRODUCT((measured[Site Name]=A790)*(measured[Date]=B790)*ISNUMBER(measured[Measured Value (kWh)]))=0,"",SUMIFS(measured[Measured Value (kWh)],measured[Site Name],A790,measured[Date],B790)),"")</f>
        <v/>
      </c>
      <c r="D790" cm="1">
        <f t="array" ref="D790">IFERROR(IF(SUMPRODUCT((expected_production[Site Name]=A790)*(expected_production[Date]=B790)*ISNUMBER(expected_production[Expected Production (kWh)]))=0,"",SUMIFS(expected_production[Expected Production (kWh)],expected_production[Site Name],A790,expected_production[Date],B790)),"")</f>
        <v>28549.8</v>
      </c>
      <c r="E790" s="9" t="str">
        <f t="shared" si="26"/>
        <v/>
      </c>
      <c r="F790" t="str">
        <f t="shared" si="27"/>
        <v/>
      </c>
    </row>
    <row r="791" spans="1:7" ht="15" customHeight="1" x14ac:dyDescent="0.3">
      <c r="A791" t="s">
        <v>228</v>
      </c>
      <c r="B791" s="2">
        <v>46266</v>
      </c>
      <c r="C791" t="str" cm="1">
        <f t="array" ref="C791">IFERROR(IF(SUMPRODUCT((measured[Site Name]=A791)*(measured[Date]=B791)*ISNUMBER(measured[Measured Value (kWh)]))=0,"",SUMIFS(measured[Measured Value (kWh)],measured[Site Name],A791,measured[Date],B791)),"")</f>
        <v/>
      </c>
      <c r="D791" cm="1">
        <f t="array" ref="D791">IFERROR(IF(SUMPRODUCT((expected_production[Site Name]=A791)*(expected_production[Date]=B791)*ISNUMBER(expected_production[Expected Production (kWh)]))=0,"",SUMIFS(expected_production[Expected Production (kWh)],expected_production[Site Name],A791,expected_production[Date],B791)),"")</f>
        <v>29561.4</v>
      </c>
      <c r="E791" s="9" t="str">
        <f t="shared" si="26"/>
        <v/>
      </c>
      <c r="F791" t="str">
        <f t="shared" si="27"/>
        <v/>
      </c>
    </row>
    <row r="792" spans="1:7" ht="15" customHeight="1" x14ac:dyDescent="0.3">
      <c r="A792" t="s">
        <v>228</v>
      </c>
      <c r="B792" s="2">
        <v>46296</v>
      </c>
      <c r="C792" t="str" cm="1">
        <f t="array" ref="C792">IFERROR(IF(SUMPRODUCT((measured[Site Name]=A792)*(measured[Date]=B792)*ISNUMBER(measured[Measured Value (kWh)]))=0,"",SUMIFS(measured[Measured Value (kWh)],measured[Site Name],A792,measured[Date],B792)),"")</f>
        <v/>
      </c>
      <c r="D792" cm="1">
        <f t="array" ref="D792">IFERROR(IF(SUMPRODUCT((expected_production[Site Name]=A792)*(expected_production[Date]=B792)*ISNUMBER(expected_production[Expected Production (kWh)]))=0,"",SUMIFS(expected_production[Expected Production (kWh)],expected_production[Site Name],A792,expected_production[Date],B792)),"")</f>
        <v>31417.200000000001</v>
      </c>
      <c r="E792" s="9" t="str">
        <f t="shared" si="26"/>
        <v/>
      </c>
      <c r="F792" t="str">
        <f t="shared" si="27"/>
        <v/>
      </c>
    </row>
    <row r="793" spans="1:7" ht="15" customHeight="1" x14ac:dyDescent="0.3">
      <c r="A793" t="s">
        <v>228</v>
      </c>
      <c r="B793" s="2">
        <v>46327</v>
      </c>
      <c r="C793" t="str" cm="1">
        <f t="array" ref="C793">IFERROR(IF(SUMPRODUCT((measured[Site Name]=A793)*(measured[Date]=B793)*ISNUMBER(measured[Measured Value (kWh)]))=0,"",SUMIFS(measured[Measured Value (kWh)],measured[Site Name],A793,measured[Date],B793)),"")</f>
        <v/>
      </c>
      <c r="D793" cm="1">
        <f t="array" ref="D793">IFERROR(IF(SUMPRODUCT((expected_production[Site Name]=A793)*(expected_production[Date]=B793)*ISNUMBER(expected_production[Expected Production (kWh)]))=0,"",SUMIFS(expected_production[Expected Production (kWh)],expected_production[Site Name],A793,expected_production[Date],B793)),"")</f>
        <v>30121.200000000001</v>
      </c>
      <c r="E793" s="9" t="str">
        <f t="shared" si="26"/>
        <v/>
      </c>
      <c r="F793" t="str">
        <f t="shared" si="27"/>
        <v/>
      </c>
    </row>
    <row r="794" spans="1:7" ht="15" customHeight="1" x14ac:dyDescent="0.3">
      <c r="A794" t="s">
        <v>228</v>
      </c>
      <c r="B794" s="2">
        <v>46357</v>
      </c>
      <c r="C794" t="str" cm="1">
        <f t="array" ref="C794">IFERROR(IF(SUMPRODUCT((measured[Site Name]=A794)*(measured[Date]=B794)*ISNUMBER(measured[Measured Value (kWh)]))=0,"",SUMIFS(measured[Measured Value (kWh)],measured[Site Name],A794,measured[Date],B794)),"")</f>
        <v/>
      </c>
      <c r="D794" cm="1">
        <f t="array" ref="D794">IFERROR(IF(SUMPRODUCT((expected_production[Site Name]=A794)*(expected_production[Date]=B794)*ISNUMBER(expected_production[Expected Production (kWh)]))=0,"",SUMIFS(expected_production[Expected Production (kWh)],expected_production[Site Name],A794,expected_production[Date],B794)),"")</f>
        <v>29445.3</v>
      </c>
      <c r="E794" s="9" t="str">
        <f t="shared" si="26"/>
        <v/>
      </c>
      <c r="F794" t="str">
        <f t="shared" si="27"/>
        <v/>
      </c>
    </row>
    <row r="795" spans="1:7" ht="15" customHeight="1" x14ac:dyDescent="0.3">
      <c r="A795" t="s">
        <v>109</v>
      </c>
      <c r="B795" s="2">
        <v>45292</v>
      </c>
      <c r="C795" t="str" cm="1">
        <f t="array" ref="C795">IFERROR(IF(SUMPRODUCT((measured[Site Name]=A795)*(measured[Date]=B795)*ISNUMBER(measured[Measured Value (kWh)]))=0,"",SUMIFS(measured[Measured Value (kWh)],measured[Site Name],A795,measured[Date],B795)),"")</f>
        <v/>
      </c>
      <c r="D795" cm="1">
        <f t="array" ref="D795">IFERROR(IF(SUMPRODUCT((expected_production[Site Name]=A795)*(expected_production[Date]=B795)*ISNUMBER(expected_production[Expected Production (kWh)]))=0,"",SUMIFS(expected_production[Expected Production (kWh)],expected_production[Site Name],A795,expected_production[Date],B795)),"")</f>
        <v>4235.3999999999996</v>
      </c>
      <c r="E795" s="9" t="str">
        <f t="shared" si="26"/>
        <v/>
      </c>
      <c r="F795" t="str">
        <f t="shared" si="27"/>
        <v/>
      </c>
    </row>
    <row r="796" spans="1:7" ht="15" customHeight="1" x14ac:dyDescent="0.3">
      <c r="A796" t="s">
        <v>109</v>
      </c>
      <c r="B796" s="2">
        <v>45323</v>
      </c>
      <c r="C796" t="str" cm="1">
        <f t="array" ref="C796">IFERROR(IF(SUMPRODUCT((measured[Site Name]=A796)*(measured[Date]=B796)*ISNUMBER(measured[Measured Value (kWh)]))=0,"",SUMIFS(measured[Measured Value (kWh)],measured[Site Name],A796,measured[Date],B796)),"")</f>
        <v/>
      </c>
      <c r="D796" cm="1">
        <f t="array" ref="D796">IFERROR(IF(SUMPRODUCT((expected_production[Site Name]=A796)*(expected_production[Date]=B796)*ISNUMBER(expected_production[Expected Production (kWh)]))=0,"",SUMIFS(expected_production[Expected Production (kWh)],expected_production[Site Name],A796,expected_production[Date],B796)),"")</f>
        <v>3699</v>
      </c>
      <c r="E796" s="9" t="str">
        <f t="shared" si="26"/>
        <v/>
      </c>
      <c r="F796" t="str">
        <f t="shared" si="27"/>
        <v/>
      </c>
    </row>
    <row r="797" spans="1:7" ht="15" customHeight="1" x14ac:dyDescent="0.3">
      <c r="A797" t="s">
        <v>109</v>
      </c>
      <c r="B797" s="2">
        <v>45352</v>
      </c>
      <c r="C797" t="str" cm="1">
        <f t="array" ref="C797">IFERROR(IF(SUMPRODUCT((measured[Site Name]=A797)*(measured[Date]=B797)*ISNUMBER(measured[Measured Value (kWh)]))=0,"",SUMIFS(measured[Measured Value (kWh)],measured[Site Name],A797,measured[Date],B797)),"")</f>
        <v/>
      </c>
      <c r="D797" cm="1">
        <f t="array" ref="D797">IFERROR(IF(SUMPRODUCT((expected_production[Site Name]=A797)*(expected_production[Date]=B797)*ISNUMBER(expected_production[Expected Production (kWh)]))=0,"",SUMIFS(expected_production[Expected Production (kWh)],expected_production[Site Name],A797,expected_production[Date],B797)),"")</f>
        <v>3788.1</v>
      </c>
      <c r="E797" s="9" t="str">
        <f t="shared" si="26"/>
        <v/>
      </c>
      <c r="F797" t="str">
        <f t="shared" si="27"/>
        <v/>
      </c>
    </row>
    <row r="798" spans="1:7" ht="15" customHeight="1" x14ac:dyDescent="0.3">
      <c r="A798" t="s">
        <v>109</v>
      </c>
      <c r="B798" s="2">
        <v>45383</v>
      </c>
      <c r="C798" t="str" cm="1">
        <f t="array" ref="C798">IFERROR(IF(SUMPRODUCT((measured[Site Name]=A798)*(measured[Date]=B798)*ISNUMBER(measured[Measured Value (kWh)]))=0,"",SUMIFS(measured[Measured Value (kWh)],measured[Site Name],A798,measured[Date],B798)),"")</f>
        <v/>
      </c>
      <c r="D798" cm="1">
        <f t="array" ref="D798">IFERROR(IF(SUMPRODUCT((expected_production[Site Name]=A798)*(expected_production[Date]=B798)*ISNUMBER(expected_production[Expected Production (kWh)]))=0,"",SUMIFS(expected_production[Expected Production (kWh)],expected_production[Site Name],A798,expected_production[Date],B798)),"")</f>
        <v>3184.2</v>
      </c>
      <c r="E798" s="9" t="str">
        <f t="shared" si="26"/>
        <v/>
      </c>
      <c r="F798" t="str">
        <f t="shared" si="27"/>
        <v/>
      </c>
    </row>
    <row r="799" spans="1:7" ht="15" customHeight="1" x14ac:dyDescent="0.3">
      <c r="A799" t="s">
        <v>109</v>
      </c>
      <c r="B799" s="2">
        <v>45413</v>
      </c>
      <c r="C799" t="str" cm="1">
        <f t="array" ref="C799">IFERROR(IF(SUMPRODUCT((measured[Site Name]=A799)*(measured[Date]=B799)*ISNUMBER(measured[Measured Value (kWh)]))=0,"",SUMIFS(measured[Measured Value (kWh)],measured[Site Name],A799,measured[Date],B799)),"")</f>
        <v/>
      </c>
      <c r="D799" cm="1">
        <f t="array" ref="D799">IFERROR(IF(SUMPRODUCT((expected_production[Site Name]=A799)*(expected_production[Date]=B799)*ISNUMBER(expected_production[Expected Production (kWh)]))=0,"",SUMIFS(expected_production[Expected Production (kWh)],expected_production[Site Name],A799,expected_production[Date],B799)),"")</f>
        <v>3052.8</v>
      </c>
      <c r="E799" s="9" t="str">
        <f t="shared" si="26"/>
        <v/>
      </c>
      <c r="F799" t="str">
        <f t="shared" si="27"/>
        <v/>
      </c>
    </row>
    <row r="800" spans="1:7" ht="15" customHeight="1" x14ac:dyDescent="0.3">
      <c r="A800" t="s">
        <v>109</v>
      </c>
      <c r="B800" s="2">
        <v>45444</v>
      </c>
      <c r="C800" cm="1">
        <f t="array" ref="C800">IFERROR(IF(SUMPRODUCT((measured[Site Name]=A800)*(measured[Date]=B800)*ISNUMBER(measured[Measured Value (kWh)]))=0,"",SUMIFS(measured[Measured Value (kWh)],measured[Site Name],A800,measured[Date],B800)),"")</f>
        <v>1659</v>
      </c>
      <c r="D800" cm="1">
        <f t="array" ref="D800">IFERROR(IF(SUMPRODUCT((expected_production[Site Name]=A800)*(expected_production[Date]=B800)*ISNUMBER(expected_production[Expected Production (kWh)]))=0,"",SUMIFS(expected_production[Expected Production (kWh)],expected_production[Site Name],A800,expected_production[Date],B800)),"")</f>
        <v>2752.2</v>
      </c>
      <c r="E800" s="9">
        <f t="shared" si="26"/>
        <v>0.6027904948768259</v>
      </c>
      <c r="F800" t="str">
        <f t="shared" si="27"/>
        <v>Poor</v>
      </c>
    </row>
    <row r="801" spans="1:6" ht="15" customHeight="1" x14ac:dyDescent="0.3">
      <c r="A801" t="s">
        <v>109</v>
      </c>
      <c r="B801" s="2">
        <v>45474</v>
      </c>
      <c r="C801" cm="1">
        <f t="array" ref="C801">IFERROR(IF(SUMPRODUCT((measured[Site Name]=A801)*(measured[Date]=B801)*ISNUMBER(measured[Measured Value (kWh)]))=0,"",SUMIFS(measured[Measured Value (kWh)],measured[Site Name],A801,measured[Date],B801)),"")</f>
        <v>2542</v>
      </c>
      <c r="D801" cm="1">
        <f t="array" ref="D801">IFERROR(IF(SUMPRODUCT((expected_production[Site Name]=A801)*(expected_production[Date]=B801)*ISNUMBER(expected_production[Expected Production (kWh)]))=0,"",SUMIFS(expected_production[Expected Production (kWh)],expected_production[Site Name],A801,expected_production[Date],B801)),"")</f>
        <v>3029.4</v>
      </c>
      <c r="E801" s="9">
        <f t="shared" si="26"/>
        <v>0.83911005479632927</v>
      </c>
      <c r="F801" t="str">
        <f t="shared" si="27"/>
        <v>Moderate</v>
      </c>
    </row>
    <row r="802" spans="1:6" ht="15" customHeight="1" x14ac:dyDescent="0.3">
      <c r="A802" t="s">
        <v>109</v>
      </c>
      <c r="B802" s="2">
        <v>45505</v>
      </c>
      <c r="C802" cm="1">
        <f t="array" ref="C802">IFERROR(IF(SUMPRODUCT((measured[Site Name]=A802)*(measured[Date]=B802)*ISNUMBER(measured[Measured Value (kWh)]))=0,"",SUMIFS(measured[Measured Value (kWh)],measured[Site Name],A802,measured[Date],B802)),"")</f>
        <v>2833</v>
      </c>
      <c r="D802" cm="1">
        <f t="array" ref="D802">IFERROR(IF(SUMPRODUCT((expected_production[Site Name]=A802)*(expected_production[Date]=B802)*ISNUMBER(expected_production[Expected Production (kWh)]))=0,"",SUMIFS(expected_production[Expected Production (kWh)],expected_production[Site Name],A802,expected_production[Date],B802)),"")</f>
        <v>3546.9</v>
      </c>
      <c r="E802" s="9">
        <f t="shared" si="26"/>
        <v>0.79872564774873833</v>
      </c>
      <c r="F802" t="str">
        <f t="shared" si="27"/>
        <v>Moderate</v>
      </c>
    </row>
    <row r="803" spans="1:6" ht="15" customHeight="1" x14ac:dyDescent="0.3">
      <c r="A803" t="s">
        <v>109</v>
      </c>
      <c r="B803" s="2">
        <v>45536</v>
      </c>
      <c r="C803" cm="1">
        <f t="array" ref="C803">IFERROR(IF(SUMPRODUCT((measured[Site Name]=A803)*(measured[Date]=B803)*ISNUMBER(measured[Measured Value (kWh)]))=0,"",SUMIFS(measured[Measured Value (kWh)],measured[Site Name],A803,measured[Date],B803)),"")</f>
        <v>2688</v>
      </c>
      <c r="D803" cm="1">
        <f t="array" ref="D803">IFERROR(IF(SUMPRODUCT((expected_production[Site Name]=A803)*(expected_production[Date]=B803)*ISNUMBER(expected_production[Expected Production (kWh)]))=0,"",SUMIFS(expected_production[Expected Production (kWh)],expected_production[Site Name],A803,expected_production[Date],B803)),"")</f>
        <v>3911.4</v>
      </c>
      <c r="E803" s="9">
        <f t="shared" si="26"/>
        <v>0.68722196655928824</v>
      </c>
      <c r="F803" t="str">
        <f t="shared" si="27"/>
        <v>Poor</v>
      </c>
    </row>
    <row r="804" spans="1:6" ht="15" customHeight="1" x14ac:dyDescent="0.3">
      <c r="A804" t="s">
        <v>109</v>
      </c>
      <c r="B804" s="2">
        <v>45566</v>
      </c>
      <c r="C804" cm="1">
        <f t="array" ref="C804">IFERROR(IF(SUMPRODUCT((measured[Site Name]=A804)*(measured[Date]=B804)*ISNUMBER(measured[Measured Value (kWh)]))=0,"",SUMIFS(measured[Measured Value (kWh)],measured[Site Name],A804,measured[Date],B804)),"")</f>
        <v>3664</v>
      </c>
      <c r="D804" cm="1">
        <f t="array" ref="D804">IFERROR(IF(SUMPRODUCT((expected_production[Site Name]=A804)*(expected_production[Date]=B804)*ISNUMBER(expected_production[Expected Production (kWh)]))=0,"",SUMIFS(expected_production[Expected Production (kWh)],expected_production[Site Name],A804,expected_production[Date],B804)),"")</f>
        <v>4103.1000000000004</v>
      </c>
      <c r="E804" s="9">
        <f t="shared" si="26"/>
        <v>0.89298335404937723</v>
      </c>
      <c r="F804" t="str">
        <f t="shared" si="27"/>
        <v>Moderate</v>
      </c>
    </row>
    <row r="805" spans="1:6" ht="15" customHeight="1" x14ac:dyDescent="0.3">
      <c r="A805" t="s">
        <v>109</v>
      </c>
      <c r="B805" s="2">
        <v>45597</v>
      </c>
      <c r="C805" cm="1">
        <f t="array" ref="C805">IFERROR(IF(SUMPRODUCT((measured[Site Name]=A805)*(measured[Date]=B805)*ISNUMBER(measured[Measured Value (kWh)]))=0,"",SUMIFS(measured[Measured Value (kWh)],measured[Site Name],A805,measured[Date],B805)),"")</f>
        <v>3499</v>
      </c>
      <c r="D805" cm="1">
        <f t="array" ref="D805">IFERROR(IF(SUMPRODUCT((expected_production[Site Name]=A805)*(expected_production[Date]=B805)*ISNUMBER(expected_production[Expected Production (kWh)]))=0,"",SUMIFS(expected_production[Expected Production (kWh)],expected_production[Site Name],A805,expected_production[Date],B805)),"")</f>
        <v>4120.2</v>
      </c>
      <c r="E805" s="9">
        <f t="shared" si="26"/>
        <v>0.84923061987282178</v>
      </c>
      <c r="F805" t="str">
        <f t="shared" si="27"/>
        <v>Moderate</v>
      </c>
    </row>
    <row r="806" spans="1:6" ht="15" customHeight="1" x14ac:dyDescent="0.3">
      <c r="A806" t="s">
        <v>109</v>
      </c>
      <c r="B806" s="2">
        <v>45627</v>
      </c>
      <c r="C806" cm="1">
        <f t="array" ref="C806">IFERROR(IF(SUMPRODUCT((measured[Site Name]=A806)*(measured[Date]=B806)*ISNUMBER(measured[Measured Value (kWh)]))=0,"",SUMIFS(measured[Measured Value (kWh)],measured[Site Name],A806,measured[Date],B806)),"")</f>
        <v>2842</v>
      </c>
      <c r="D806" cm="1">
        <f t="array" ref="D806">IFERROR(IF(SUMPRODUCT((expected_production[Site Name]=A806)*(expected_production[Date]=B806)*ISNUMBER(expected_production[Expected Production (kWh)]))=0,"",SUMIFS(expected_production[Expected Production (kWh)],expected_production[Site Name],A806,expected_production[Date],B806)),"")</f>
        <v>4377.6000000000004</v>
      </c>
      <c r="E806" s="9">
        <f t="shared" si="26"/>
        <v>0.64921418128654962</v>
      </c>
      <c r="F806" t="str">
        <f t="shared" si="27"/>
        <v>Poor</v>
      </c>
    </row>
    <row r="807" spans="1:6" ht="15" customHeight="1" x14ac:dyDescent="0.3">
      <c r="A807" t="s">
        <v>109</v>
      </c>
      <c r="B807" s="2">
        <v>45658</v>
      </c>
      <c r="C807" cm="1">
        <f t="array" ref="C807">IFERROR(IF(SUMPRODUCT((measured[Site Name]=A807)*(measured[Date]=B807)*ISNUMBER(measured[Measured Value (kWh)]))=0,"",SUMIFS(measured[Measured Value (kWh)],measured[Site Name],A807,measured[Date],B807)),"")</f>
        <v>3075</v>
      </c>
      <c r="D807" cm="1">
        <f t="array" ref="D807">IFERROR(IF(SUMPRODUCT((expected_production[Site Name]=A807)*(expected_production[Date]=B807)*ISNUMBER(expected_production[Expected Production (kWh)]))=0,"",SUMIFS(expected_production[Expected Production (kWh)],expected_production[Site Name],A807,expected_production[Date],B807)),"")</f>
        <v>4235.3999999999996</v>
      </c>
      <c r="E807" s="9">
        <f t="shared" si="26"/>
        <v>0.72602351607876481</v>
      </c>
      <c r="F807" t="str">
        <f t="shared" si="27"/>
        <v>Moderate</v>
      </c>
    </row>
    <row r="808" spans="1:6" ht="15" customHeight="1" x14ac:dyDescent="0.3">
      <c r="A808" t="s">
        <v>109</v>
      </c>
      <c r="B808" s="2">
        <v>45689</v>
      </c>
      <c r="C808" cm="1">
        <f t="array" ref="C808">IFERROR(IF(SUMPRODUCT((measured[Site Name]=A808)*(measured[Date]=B808)*ISNUMBER(measured[Measured Value (kWh)]))=0,"",SUMIFS(measured[Measured Value (kWh)],measured[Site Name],A808,measured[Date],B808)),"")</f>
        <v>3328</v>
      </c>
      <c r="D808" cm="1">
        <f t="array" ref="D808">IFERROR(IF(SUMPRODUCT((expected_production[Site Name]=A808)*(expected_production[Date]=B808)*ISNUMBER(expected_production[Expected Production (kWh)]))=0,"",SUMIFS(expected_production[Expected Production (kWh)],expected_production[Site Name],A808,expected_production[Date],B808)),"")</f>
        <v>3699</v>
      </c>
      <c r="E808" s="9">
        <f t="shared" si="26"/>
        <v>0.89970262233035958</v>
      </c>
      <c r="F808" t="str">
        <f t="shared" si="27"/>
        <v>Moderate</v>
      </c>
    </row>
    <row r="809" spans="1:6" ht="15" customHeight="1" x14ac:dyDescent="0.3">
      <c r="A809" t="s">
        <v>109</v>
      </c>
      <c r="B809" s="2">
        <v>45717</v>
      </c>
      <c r="C809" cm="1">
        <f t="array" ref="C809">IFERROR(IF(SUMPRODUCT((measured[Site Name]=A809)*(measured[Date]=B809)*ISNUMBER(measured[Measured Value (kWh)]))=0,"",SUMIFS(measured[Measured Value (kWh)],measured[Site Name],A809,measured[Date],B809)),"")</f>
        <v>2317</v>
      </c>
      <c r="D809" cm="1">
        <f t="array" ref="D809">IFERROR(IF(SUMPRODUCT((expected_production[Site Name]=A809)*(expected_production[Date]=B809)*ISNUMBER(expected_production[Expected Production (kWh)]))=0,"",SUMIFS(expected_production[Expected Production (kWh)],expected_production[Site Name],A809,expected_production[Date],B809)),"")</f>
        <v>3788.1</v>
      </c>
      <c r="E809" s="9">
        <f t="shared" si="26"/>
        <v>0.61165227950687684</v>
      </c>
      <c r="F809" t="str">
        <f t="shared" si="27"/>
        <v>Poor</v>
      </c>
    </row>
    <row r="810" spans="1:6" ht="15" customHeight="1" x14ac:dyDescent="0.3">
      <c r="A810" t="s">
        <v>109</v>
      </c>
      <c r="B810" s="2">
        <v>45748</v>
      </c>
      <c r="C810" cm="1">
        <f t="array" ref="C810">IFERROR(IF(SUMPRODUCT((measured[Site Name]=A810)*(measured[Date]=B810)*ISNUMBER(measured[Measured Value (kWh)]))=0,"",SUMIFS(measured[Measured Value (kWh)],measured[Site Name],A810,measured[Date],B810)),"")</f>
        <v>3007</v>
      </c>
      <c r="D810" cm="1">
        <f t="array" ref="D810">IFERROR(IF(SUMPRODUCT((expected_production[Site Name]=A810)*(expected_production[Date]=B810)*ISNUMBER(expected_production[Expected Production (kWh)]))=0,"",SUMIFS(expected_production[Expected Production (kWh)],expected_production[Site Name],A810,expected_production[Date],B810)),"")</f>
        <v>3184.2</v>
      </c>
      <c r="E810" s="9">
        <f t="shared" si="26"/>
        <v>0.94435022925695633</v>
      </c>
      <c r="F810" t="str">
        <f t="shared" si="27"/>
        <v>Expected</v>
      </c>
    </row>
    <row r="811" spans="1:6" ht="15" customHeight="1" x14ac:dyDescent="0.3">
      <c r="A811" t="s">
        <v>109</v>
      </c>
      <c r="B811" s="2">
        <v>45778</v>
      </c>
      <c r="C811" cm="1">
        <f t="array" ref="C811">IFERROR(IF(SUMPRODUCT((measured[Site Name]=A811)*(measured[Date]=B811)*ISNUMBER(measured[Measured Value (kWh)]))=0,"",SUMIFS(measured[Measured Value (kWh)],measured[Site Name],A811,measured[Date],B811)),"")</f>
        <v>3516</v>
      </c>
      <c r="D811" cm="1">
        <f t="array" ref="D811">IFERROR(IF(SUMPRODUCT((expected_production[Site Name]=A811)*(expected_production[Date]=B811)*ISNUMBER(expected_production[Expected Production (kWh)]))=0,"",SUMIFS(expected_production[Expected Production (kWh)],expected_production[Site Name],A811,expected_production[Date],B811)),"")</f>
        <v>3052.8</v>
      </c>
      <c r="E811" s="9">
        <f t="shared" si="26"/>
        <v>1.1517295597484276</v>
      </c>
      <c r="F811" t="str">
        <f t="shared" si="27"/>
        <v>Expected</v>
      </c>
    </row>
    <row r="812" spans="1:6" ht="15" customHeight="1" x14ac:dyDescent="0.3">
      <c r="A812" t="s">
        <v>109</v>
      </c>
      <c r="B812" s="2">
        <v>45809</v>
      </c>
      <c r="C812" cm="1">
        <f t="array" ref="C812">IFERROR(IF(SUMPRODUCT((measured[Site Name]=A812)*(measured[Date]=B812)*ISNUMBER(measured[Measured Value (kWh)]))=0,"",SUMIFS(measured[Measured Value (kWh)],measured[Site Name],A812,measured[Date],B812)),"")</f>
        <v>2912.8</v>
      </c>
      <c r="D812" cm="1">
        <f t="array" ref="D812">IFERROR(IF(SUMPRODUCT((expected_production[Site Name]=A812)*(expected_production[Date]=B812)*ISNUMBER(expected_production[Expected Production (kWh)]))=0,"",SUMIFS(expected_production[Expected Production (kWh)],expected_production[Site Name],A812,expected_production[Date],B812)),"")</f>
        <v>2752.2</v>
      </c>
      <c r="E812" s="9">
        <f t="shared" si="26"/>
        <v>1.0583533173461233</v>
      </c>
      <c r="F812" t="str">
        <f t="shared" si="27"/>
        <v>Expected</v>
      </c>
    </row>
    <row r="813" spans="1:6" ht="15" customHeight="1" x14ac:dyDescent="0.3">
      <c r="A813" t="s">
        <v>109</v>
      </c>
      <c r="B813" s="2">
        <v>45839</v>
      </c>
      <c r="C813" cm="1">
        <f t="array" ref="C813">IFERROR(IF(SUMPRODUCT((measured[Site Name]=A813)*(measured[Date]=B813)*ISNUMBER(measured[Measured Value (kWh)]))=0,"",SUMIFS(measured[Measured Value (kWh)],measured[Site Name],A813,measured[Date],B813)),"")</f>
        <v>2789</v>
      </c>
      <c r="D813" cm="1">
        <f t="array" ref="D813">IFERROR(IF(SUMPRODUCT((expected_production[Site Name]=A813)*(expected_production[Date]=B813)*ISNUMBER(expected_production[Expected Production (kWh)]))=0,"",SUMIFS(expected_production[Expected Production (kWh)],expected_production[Site Name],A813,expected_production[Date],B813)),"")</f>
        <v>3029.4</v>
      </c>
      <c r="E813" s="9">
        <f t="shared" si="26"/>
        <v>0.92064435201690098</v>
      </c>
      <c r="F813" t="str">
        <f t="shared" si="27"/>
        <v>Expected</v>
      </c>
    </row>
    <row r="814" spans="1:6" ht="15" customHeight="1" x14ac:dyDescent="0.3">
      <c r="A814" t="s">
        <v>109</v>
      </c>
      <c r="B814" s="2">
        <v>45870</v>
      </c>
      <c r="C814" cm="1">
        <f t="array" ref="C814">IFERROR(IF(SUMPRODUCT((measured[Site Name]=A814)*(measured[Date]=B814)*ISNUMBER(measured[Measured Value (kWh)]))=0,"",SUMIFS(measured[Measured Value (kWh)],measured[Site Name],A814,measured[Date],B814)),"")</f>
        <v>3342</v>
      </c>
      <c r="D814" cm="1">
        <f t="array" ref="D814">IFERROR(IF(SUMPRODUCT((expected_production[Site Name]=A814)*(expected_production[Date]=B814)*ISNUMBER(expected_production[Expected Production (kWh)]))=0,"",SUMIFS(expected_production[Expected Production (kWh)],expected_production[Site Name],A814,expected_production[Date],B814)),"")</f>
        <v>3546.9</v>
      </c>
      <c r="E814" s="9">
        <f t="shared" si="26"/>
        <v>0.94223124418506299</v>
      </c>
      <c r="F814" t="str">
        <f t="shared" si="27"/>
        <v>Expected</v>
      </c>
    </row>
    <row r="815" spans="1:6" ht="15" customHeight="1" x14ac:dyDescent="0.3">
      <c r="A815" t="s">
        <v>109</v>
      </c>
      <c r="B815" s="2">
        <v>45901</v>
      </c>
      <c r="C815" cm="1">
        <f t="array" ref="C815">IFERROR(IF(SUMPRODUCT((measured[Site Name]=A815)*(measured[Date]=B815)*ISNUMBER(measured[Measured Value (kWh)]))=0,"",SUMIFS(measured[Measured Value (kWh)],measured[Site Name],A815,measured[Date],B815)),"")</f>
        <v>3079</v>
      </c>
      <c r="D815" cm="1">
        <f t="array" ref="D815">IFERROR(IF(SUMPRODUCT((expected_production[Site Name]=A815)*(expected_production[Date]=B815)*ISNUMBER(expected_production[Expected Production (kWh)]))=0,"",SUMIFS(expected_production[Expected Production (kWh)],expected_production[Site Name],A815,expected_production[Date],B815)),"")</f>
        <v>3911.4</v>
      </c>
      <c r="E815" s="9">
        <f t="shared" si="26"/>
        <v>0.78718617374852995</v>
      </c>
      <c r="F815" t="str">
        <f t="shared" si="27"/>
        <v>Moderate</v>
      </c>
    </row>
    <row r="816" spans="1:6" ht="15" customHeight="1" x14ac:dyDescent="0.3">
      <c r="A816" t="s">
        <v>109</v>
      </c>
      <c r="B816" s="2">
        <v>45931</v>
      </c>
      <c r="C816" cm="1">
        <f t="array" ref="C816">IFERROR(IF(SUMPRODUCT((measured[Site Name]=A816)*(measured[Date]=B816)*ISNUMBER(measured[Measured Value (kWh)]))=0,"",SUMIFS(measured[Measured Value (kWh)],measured[Site Name],A816,measured[Date],B816)),"")</f>
        <v>3708</v>
      </c>
      <c r="D816" cm="1">
        <f t="array" ref="D816">IFERROR(IF(SUMPRODUCT((expected_production[Site Name]=A816)*(expected_production[Date]=B816)*ISNUMBER(expected_production[Expected Production (kWh)]))=0,"",SUMIFS(expected_production[Expected Production (kWh)],expected_production[Site Name],A816,expected_production[Date],B816)),"")</f>
        <v>4103.1000000000004</v>
      </c>
      <c r="E816" s="9">
        <f t="shared" si="26"/>
        <v>0.90370695327922779</v>
      </c>
      <c r="F816" t="str">
        <f t="shared" si="27"/>
        <v>Expected</v>
      </c>
    </row>
    <row r="817" spans="1:7" ht="15" customHeight="1" x14ac:dyDescent="0.3">
      <c r="A817" t="s">
        <v>109</v>
      </c>
      <c r="B817" s="2">
        <v>45962</v>
      </c>
      <c r="C817" cm="1">
        <f t="array" ref="C817">IFERROR(IF(SUMPRODUCT((measured[Site Name]=A817)*(measured[Date]=B817)*ISNUMBER(measured[Measured Value (kWh)]))=0,"",SUMIFS(measured[Measured Value (kWh)],measured[Site Name],A817,measured[Date],B817)),"")</f>
        <v>2852</v>
      </c>
      <c r="D817" cm="1">
        <f t="array" ref="D817">IFERROR(IF(SUMPRODUCT((expected_production[Site Name]=A817)*(expected_production[Date]=B817)*ISNUMBER(expected_production[Expected Production (kWh)]))=0,"",SUMIFS(expected_production[Expected Production (kWh)],expected_production[Site Name],A817,expected_production[Date],B817)),"")</f>
        <v>4120.2</v>
      </c>
      <c r="E817" s="9">
        <f t="shared" si="26"/>
        <v>0.69219940779573808</v>
      </c>
      <c r="F817" t="str">
        <f t="shared" si="27"/>
        <v>Poor</v>
      </c>
    </row>
    <row r="818" spans="1:7" ht="15" customHeight="1" x14ac:dyDescent="0.3">
      <c r="A818" t="s">
        <v>109</v>
      </c>
      <c r="B818" s="2">
        <v>45992</v>
      </c>
      <c r="C818" cm="1">
        <f t="array" ref="C818">IFERROR(IF(SUMPRODUCT((measured[Site Name]=A818)*(measured[Date]=B818)*ISNUMBER(measured[Measured Value (kWh)]))=0,"",SUMIFS(measured[Measured Value (kWh)],measured[Site Name],A818,measured[Date],B818)),"")</f>
        <v>2386</v>
      </c>
      <c r="D818" cm="1">
        <f t="array" ref="D818">IFERROR(IF(SUMPRODUCT((expected_production[Site Name]=A818)*(expected_production[Date]=B818)*ISNUMBER(expected_production[Expected Production (kWh)]))=0,"",SUMIFS(expected_production[Expected Production (kWh)],expected_production[Site Name],A818,expected_production[Date],B818)),"")</f>
        <v>4377.6000000000004</v>
      </c>
      <c r="E818" s="9">
        <f t="shared" si="26"/>
        <v>0.54504751461988299</v>
      </c>
      <c r="F818" t="str">
        <f t="shared" si="27"/>
        <v>Poor</v>
      </c>
    </row>
    <row r="819" spans="1:7" ht="15" customHeight="1" x14ac:dyDescent="0.3">
      <c r="A819" t="s">
        <v>109</v>
      </c>
      <c r="B819" s="2">
        <v>46023</v>
      </c>
      <c r="C819" cm="1">
        <f t="array" ref="C819">IFERROR(IF(SUMPRODUCT((measured[Site Name]=A819)*(measured[Date]=B819)*ISNUMBER(measured[Measured Value (kWh)]))=0,"",SUMIFS(measured[Measured Value (kWh)],measured[Site Name],A819,measured[Date],B819)),"")</f>
        <v>1855</v>
      </c>
      <c r="D819" cm="1">
        <f t="array" ref="D819">IFERROR(IF(SUMPRODUCT((expected_production[Site Name]=A819)*(expected_production[Date]=B819)*ISNUMBER(expected_production[Expected Production (kWh)]))=0,"",SUMIFS(expected_production[Expected Production (kWh)],expected_production[Site Name],A819,expected_production[Date],B819)),"")</f>
        <v>4235.3999999999996</v>
      </c>
      <c r="E819" s="9">
        <f t="shared" si="26"/>
        <v>0.43797516173206785</v>
      </c>
      <c r="F819" t="str">
        <f t="shared" si="27"/>
        <v>Poor</v>
      </c>
    </row>
    <row r="820" spans="1:7" ht="15" customHeight="1" x14ac:dyDescent="0.3">
      <c r="A820" t="s">
        <v>109</v>
      </c>
      <c r="B820" s="2">
        <v>46054</v>
      </c>
      <c r="C820" cm="1">
        <f t="array" ref="C820">IFERROR(IF(SUMPRODUCT((measured[Site Name]=A820)*(measured[Date]=B820)*ISNUMBER(measured[Measured Value (kWh)]))=0,"",SUMIFS(measured[Measured Value (kWh)],measured[Site Name],A820,measured[Date],B820)),"")</f>
        <v>3786</v>
      </c>
      <c r="D820" cm="1">
        <f t="array" ref="D820">IFERROR(IF(SUMPRODUCT((expected_production[Site Name]=A820)*(expected_production[Date]=B820)*ISNUMBER(expected_production[Expected Production (kWh)]))=0,"",SUMIFS(expected_production[Expected Production (kWh)],expected_production[Site Name],A820,expected_production[Date],B820)),"")</f>
        <v>3699</v>
      </c>
      <c r="E820" s="9">
        <f t="shared" si="26"/>
        <v>1.0235198702351986</v>
      </c>
      <c r="F820" t="str">
        <f t="shared" si="27"/>
        <v>Expected</v>
      </c>
    </row>
    <row r="821" spans="1:7" ht="15" customHeight="1" x14ac:dyDescent="0.3">
      <c r="A821" t="s">
        <v>109</v>
      </c>
      <c r="B821" s="2">
        <v>46082</v>
      </c>
      <c r="C821" cm="1">
        <f t="array" ref="C821">IFERROR(IF(SUMPRODUCT((measured[Site Name]=A821)*(measured[Date]=B821)*ISNUMBER(measured[Measured Value (kWh)]))=0,"",SUMIFS(measured[Measured Value (kWh)],measured[Site Name],A821,measured[Date],B821)),"")</f>
        <v>2926</v>
      </c>
      <c r="D821" cm="1">
        <f t="array" ref="D821">IFERROR(IF(SUMPRODUCT((expected_production[Site Name]=A821)*(expected_production[Date]=B821)*ISNUMBER(expected_production[Expected Production (kWh)]))=0,"",SUMIFS(expected_production[Expected Production (kWh)],expected_production[Site Name],A821,expected_production[Date],B821)),"")</f>
        <v>3788.1</v>
      </c>
      <c r="E821" s="9">
        <f t="shared" si="26"/>
        <v>0.77241889073678094</v>
      </c>
      <c r="F821" t="str">
        <f t="shared" si="27"/>
        <v>Moderate</v>
      </c>
    </row>
    <row r="822" spans="1:7" ht="15" customHeight="1" x14ac:dyDescent="0.3">
      <c r="A822" t="s">
        <v>109</v>
      </c>
      <c r="B822" s="2">
        <v>46113</v>
      </c>
      <c r="C822" cm="1">
        <f t="array" ref="C822">IFERROR(IF(SUMPRODUCT((measured[Site Name]=A822)*(measured[Date]=B822)*ISNUMBER(measured[Measured Value (kWh)]))=0,"",SUMIFS(measured[Measured Value (kWh)],measured[Site Name],A822,measured[Date],B822)),"")</f>
        <v>1520</v>
      </c>
      <c r="D822" cm="1">
        <f t="array" ref="D822">IFERROR(IF(SUMPRODUCT((expected_production[Site Name]=A822)*(expected_production[Date]=B822)*ISNUMBER(expected_production[Expected Production (kWh)]))=0,"",SUMIFS(expected_production[Expected Production (kWh)],expected_production[Site Name],A822,expected_production[Date],B822)),"")</f>
        <v>3184.2</v>
      </c>
      <c r="E822" s="9">
        <f t="shared" si="26"/>
        <v>0.4773569499403304</v>
      </c>
      <c r="F822" t="str">
        <f t="shared" si="27"/>
        <v>Poor</v>
      </c>
    </row>
    <row r="823" spans="1:7" ht="15" customHeight="1" x14ac:dyDescent="0.3">
      <c r="A823" t="s">
        <v>109</v>
      </c>
      <c r="B823" s="2">
        <v>46143</v>
      </c>
      <c r="C823" cm="1">
        <f t="array" ref="C823">IFERROR(IF(SUMPRODUCT((measured[Site Name]=A823)*(measured[Date]=B823)*ISNUMBER(measured[Measured Value (kWh)]))=0,"",SUMIFS(measured[Measured Value (kWh)],measured[Site Name],A823,measured[Date],B823)),"")</f>
        <v>2675.6</v>
      </c>
      <c r="D823" cm="1">
        <f t="array" ref="D823">IFERROR(IF(SUMPRODUCT((expected_production[Site Name]=A823)*(expected_production[Date]=B823)*ISNUMBER(expected_production[Expected Production (kWh)]))=0,"",SUMIFS(expected_production[Expected Production (kWh)],expected_production[Site Name],A823,expected_production[Date],B823)),"")</f>
        <v>3052.8</v>
      </c>
      <c r="E823" s="9">
        <f t="shared" si="26"/>
        <v>0.87644129979035634</v>
      </c>
      <c r="F823" t="str">
        <f t="shared" si="27"/>
        <v>Moderate</v>
      </c>
    </row>
    <row r="824" spans="1:7" ht="15" customHeight="1" x14ac:dyDescent="0.3">
      <c r="A824" t="s">
        <v>109</v>
      </c>
      <c r="B824" s="2">
        <v>46174</v>
      </c>
      <c r="C824" cm="1">
        <f t="array" ref="C824">IFERROR(IF(SUMPRODUCT((measured[Site Name]=A824)*(measured[Date]=B824)*ISNUMBER(measured[Measured Value (kWh)]))=0,"",SUMIFS(measured[Measured Value (kWh)],measured[Site Name],A824,measured[Date],B824)),"")</f>
        <v>2896</v>
      </c>
      <c r="D824" cm="1">
        <f t="array" ref="D824">IFERROR(IF(SUMPRODUCT((expected_production[Site Name]=A824)*(expected_production[Date]=B824)*ISNUMBER(expected_production[Expected Production (kWh)]))=0,"",SUMIFS(expected_production[Expected Production (kWh)],expected_production[Site Name],A824,expected_production[Date],B824)),"")</f>
        <v>2752.2</v>
      </c>
      <c r="E824" s="9">
        <f t="shared" si="26"/>
        <v>1.0522491098030666</v>
      </c>
      <c r="F824" t="str">
        <f t="shared" si="27"/>
        <v>Expected</v>
      </c>
    </row>
    <row r="825" spans="1:7" ht="15" customHeight="1" x14ac:dyDescent="0.3">
      <c r="A825" t="s">
        <v>107</v>
      </c>
      <c r="B825" s="2">
        <v>46204</v>
      </c>
      <c r="C825" cm="1">
        <f t="array" ref="C825">IFERROR(IF(SUMPRODUCT((measured[Site Name]=A825)*(measured[Date]=B825)*ISNUMBER(measured[Measured Value (kWh)]))=0,"",SUMIFS(measured[Measured Value (kWh)],measured[Site Name],A825,measured[Date],B825)),"")</f>
        <v>1400</v>
      </c>
      <c r="D825" cm="1">
        <f t="array" ref="D825">IFERROR(IF(SUMPRODUCT((expected_production[Site Name]=A825)*(expected_production[Date]=B825)*ISNUMBER(expected_production[Expected Production (kWh)]))=0,"",SUMIFS(expected_production[Expected Production (kWh)],expected_production[Site Name],A825,expected_production[Date],B825)),"")</f>
        <v>2701.8</v>
      </c>
      <c r="E825" s="9">
        <f t="shared" si="26"/>
        <v>0.51817306980531497</v>
      </c>
      <c r="F825" t="str">
        <f t="shared" si="27"/>
        <v>Poor</v>
      </c>
      <c r="G825" t="s">
        <v>874</v>
      </c>
    </row>
    <row r="826" spans="1:7" ht="15" customHeight="1" x14ac:dyDescent="0.3">
      <c r="A826" t="s">
        <v>109</v>
      </c>
      <c r="B826" s="2">
        <v>46235</v>
      </c>
      <c r="C826" t="str" cm="1">
        <f t="array" ref="C826">IFERROR(IF(SUMPRODUCT((measured[Site Name]=A826)*(measured[Date]=B826)*ISNUMBER(measured[Measured Value (kWh)]))=0,"",SUMIFS(measured[Measured Value (kWh)],measured[Site Name],A826,measured[Date],B826)),"")</f>
        <v/>
      </c>
      <c r="D826" cm="1">
        <f t="array" ref="D826">IFERROR(IF(SUMPRODUCT((expected_production[Site Name]=A826)*(expected_production[Date]=B826)*ISNUMBER(expected_production[Expected Production (kWh)]))=0,"",SUMIFS(expected_production[Expected Production (kWh)],expected_production[Site Name],A826,expected_production[Date],B826)),"")</f>
        <v>3546.9</v>
      </c>
      <c r="E826" s="9" t="str">
        <f t="shared" si="26"/>
        <v/>
      </c>
      <c r="F826" t="str">
        <f t="shared" si="27"/>
        <v/>
      </c>
    </row>
    <row r="827" spans="1:7" ht="15" customHeight="1" x14ac:dyDescent="0.3">
      <c r="A827" t="s">
        <v>109</v>
      </c>
      <c r="B827" s="2">
        <v>46266</v>
      </c>
      <c r="C827" t="str" cm="1">
        <f t="array" ref="C827">IFERROR(IF(SUMPRODUCT((measured[Site Name]=A827)*(measured[Date]=B827)*ISNUMBER(measured[Measured Value (kWh)]))=0,"",SUMIFS(measured[Measured Value (kWh)],measured[Site Name],A827,measured[Date],B827)),"")</f>
        <v/>
      </c>
      <c r="D827" cm="1">
        <f t="array" ref="D827">IFERROR(IF(SUMPRODUCT((expected_production[Site Name]=A827)*(expected_production[Date]=B827)*ISNUMBER(expected_production[Expected Production (kWh)]))=0,"",SUMIFS(expected_production[Expected Production (kWh)],expected_production[Site Name],A827,expected_production[Date],B827)),"")</f>
        <v>3911.4</v>
      </c>
      <c r="E827" s="9" t="str">
        <f t="shared" si="26"/>
        <v/>
      </c>
      <c r="F827" t="str">
        <f t="shared" si="27"/>
        <v/>
      </c>
    </row>
    <row r="828" spans="1:7" ht="15" customHeight="1" x14ac:dyDescent="0.3">
      <c r="A828" t="s">
        <v>109</v>
      </c>
      <c r="B828" s="2">
        <v>46296</v>
      </c>
      <c r="C828" t="str" cm="1">
        <f t="array" ref="C828">IFERROR(IF(SUMPRODUCT((measured[Site Name]=A828)*(measured[Date]=B828)*ISNUMBER(measured[Measured Value (kWh)]))=0,"",SUMIFS(measured[Measured Value (kWh)],measured[Site Name],A828,measured[Date],B828)),"")</f>
        <v/>
      </c>
      <c r="D828" cm="1">
        <f t="array" ref="D828">IFERROR(IF(SUMPRODUCT((expected_production[Site Name]=A828)*(expected_production[Date]=B828)*ISNUMBER(expected_production[Expected Production (kWh)]))=0,"",SUMIFS(expected_production[Expected Production (kWh)],expected_production[Site Name],A828,expected_production[Date],B828)),"")</f>
        <v>4103.1000000000004</v>
      </c>
      <c r="E828" s="9" t="str">
        <f t="shared" si="26"/>
        <v/>
      </c>
      <c r="F828" t="str">
        <f t="shared" si="27"/>
        <v/>
      </c>
    </row>
    <row r="829" spans="1:7" ht="15" customHeight="1" x14ac:dyDescent="0.3">
      <c r="A829" t="s">
        <v>109</v>
      </c>
      <c r="B829" s="2">
        <v>46327</v>
      </c>
      <c r="C829" t="str" cm="1">
        <f t="array" ref="C829">IFERROR(IF(SUMPRODUCT((measured[Site Name]=A829)*(measured[Date]=B829)*ISNUMBER(measured[Measured Value (kWh)]))=0,"",SUMIFS(measured[Measured Value (kWh)],measured[Site Name],A829,measured[Date],B829)),"")</f>
        <v/>
      </c>
      <c r="D829" cm="1">
        <f t="array" ref="D829">IFERROR(IF(SUMPRODUCT((expected_production[Site Name]=A829)*(expected_production[Date]=B829)*ISNUMBER(expected_production[Expected Production (kWh)]))=0,"",SUMIFS(expected_production[Expected Production (kWh)],expected_production[Site Name],A829,expected_production[Date],B829)),"")</f>
        <v>4120.2</v>
      </c>
      <c r="E829" s="9" t="str">
        <f t="shared" ref="E829:E892" si="28">IF(OR(C829="",D829="",D829=0),"",C829/D829)</f>
        <v/>
      </c>
      <c r="F829" t="str">
        <f t="shared" ref="F829:F892" si="29">IF(E829="","",IF(E829&gt;=0.9,"Expected",IF(E829&gt;=0.7,"Moderate","Poor")))</f>
        <v/>
      </c>
    </row>
    <row r="830" spans="1:7" ht="15" customHeight="1" x14ac:dyDescent="0.3">
      <c r="A830" t="s">
        <v>109</v>
      </c>
      <c r="B830" s="2">
        <v>46357</v>
      </c>
      <c r="C830" t="str" cm="1">
        <f t="array" ref="C830">IFERROR(IF(SUMPRODUCT((measured[Site Name]=A830)*(measured[Date]=B830)*ISNUMBER(measured[Measured Value (kWh)]))=0,"",SUMIFS(measured[Measured Value (kWh)],measured[Site Name],A830,measured[Date],B830)),"")</f>
        <v/>
      </c>
      <c r="D830" cm="1">
        <f t="array" ref="D830">IFERROR(IF(SUMPRODUCT((expected_production[Site Name]=A830)*(expected_production[Date]=B830)*ISNUMBER(expected_production[Expected Production (kWh)]))=0,"",SUMIFS(expected_production[Expected Production (kWh)],expected_production[Site Name],A830,expected_production[Date],B830)),"")</f>
        <v>4377.6000000000004</v>
      </c>
      <c r="E830" s="9" t="str">
        <f t="shared" si="28"/>
        <v/>
      </c>
      <c r="F830" t="str">
        <f t="shared" si="29"/>
        <v/>
      </c>
    </row>
    <row r="831" spans="1:7" ht="15" customHeight="1" x14ac:dyDescent="0.3">
      <c r="A831" t="s">
        <v>113</v>
      </c>
      <c r="B831" s="2">
        <v>45292</v>
      </c>
      <c r="C831" cm="1">
        <f t="array" ref="C831">IFERROR(IF(SUMPRODUCT((measured[Site Name]=A831)*(measured[Date]=B831)*ISNUMBER(measured[Measured Value (kWh)]))=0,"",SUMIFS(measured[Measured Value (kWh)],measured[Site Name],A831,measured[Date],B831)),"")</f>
        <v>32658</v>
      </c>
      <c r="D831" cm="1">
        <f t="array" ref="D831">IFERROR(IF(SUMPRODUCT((expected_production[Site Name]=A831)*(expected_production[Date]=B831)*ISNUMBER(expected_production[Expected Production (kWh)]))=0,"",SUMIFS(expected_production[Expected Production (kWh)],expected_production[Site Name],A831,expected_production[Date],B831)),"")</f>
        <v>39600.81</v>
      </c>
      <c r="E831" s="9">
        <f t="shared" si="28"/>
        <v>0.82468010124035351</v>
      </c>
      <c r="F831" t="str">
        <f t="shared" si="29"/>
        <v>Moderate</v>
      </c>
    </row>
    <row r="832" spans="1:7" ht="15" customHeight="1" x14ac:dyDescent="0.3">
      <c r="A832" t="s">
        <v>113</v>
      </c>
      <c r="B832" s="2">
        <v>45323</v>
      </c>
      <c r="C832" cm="1">
        <f t="array" ref="C832">IFERROR(IF(SUMPRODUCT((measured[Site Name]=A832)*(measured[Date]=B832)*ISNUMBER(measured[Measured Value (kWh)]))=0,"",SUMIFS(measured[Measured Value (kWh)],measured[Site Name],A832,measured[Date],B832)),"")</f>
        <v>26200</v>
      </c>
      <c r="D832" cm="1">
        <f t="array" ref="D832">IFERROR(IF(SUMPRODUCT((expected_production[Site Name]=A832)*(expected_production[Date]=B832)*ISNUMBER(expected_production[Expected Production (kWh)]))=0,"",SUMIFS(expected_production[Expected Production (kWh)],expected_production[Site Name],A832,expected_production[Date],B832)),"")</f>
        <v>33064.92</v>
      </c>
      <c r="E832" s="9">
        <f t="shared" si="28"/>
        <v>0.79238056526372969</v>
      </c>
      <c r="F832" t="str">
        <f t="shared" si="29"/>
        <v>Moderate</v>
      </c>
    </row>
    <row r="833" spans="1:6" ht="15" customHeight="1" x14ac:dyDescent="0.3">
      <c r="A833" t="s">
        <v>113</v>
      </c>
      <c r="B833" s="2">
        <v>45352</v>
      </c>
      <c r="C833" cm="1">
        <f t="array" ref="C833">IFERROR(IF(SUMPRODUCT((measured[Site Name]=A833)*(measured[Date]=B833)*ISNUMBER(measured[Measured Value (kWh)]))=0,"",SUMIFS(measured[Measured Value (kWh)],measured[Site Name],A833,measured[Date],B833)),"")</f>
        <v>23764</v>
      </c>
      <c r="D833" cm="1">
        <f t="array" ref="D833">IFERROR(IF(SUMPRODUCT((expected_production[Site Name]=A833)*(expected_production[Date]=B833)*ISNUMBER(expected_production[Expected Production (kWh)]))=0,"",SUMIFS(expected_production[Expected Production (kWh)],expected_production[Site Name],A833,expected_production[Date],B833)),"")</f>
        <v>32219.55</v>
      </c>
      <c r="E833" s="9">
        <f t="shared" si="28"/>
        <v>0.73756461527240447</v>
      </c>
      <c r="F833" t="str">
        <f t="shared" si="29"/>
        <v>Moderate</v>
      </c>
    </row>
    <row r="834" spans="1:6" ht="15" customHeight="1" x14ac:dyDescent="0.3">
      <c r="A834" t="s">
        <v>113</v>
      </c>
      <c r="B834" s="2">
        <v>45383</v>
      </c>
      <c r="C834" cm="1">
        <f t="array" ref="C834">IFERROR(IF(SUMPRODUCT((measured[Site Name]=A834)*(measured[Date]=B834)*ISNUMBER(measured[Measured Value (kWh)]))=0,"",SUMIFS(measured[Measured Value (kWh)],measured[Site Name],A834,measured[Date],B834)),"")</f>
        <v>17748</v>
      </c>
      <c r="D834" cm="1">
        <f t="array" ref="D834">IFERROR(IF(SUMPRODUCT((expected_production[Site Name]=A834)*(expected_production[Date]=B834)*ISNUMBER(expected_production[Expected Production (kWh)]))=0,"",SUMIFS(expected_production[Expected Production (kWh)],expected_production[Site Name],A834,expected_production[Date],B834)),"")</f>
        <v>23614.38</v>
      </c>
      <c r="E834" s="9">
        <f t="shared" si="28"/>
        <v>0.75157594652072168</v>
      </c>
      <c r="F834" t="str">
        <f t="shared" si="29"/>
        <v>Moderate</v>
      </c>
    </row>
    <row r="835" spans="1:6" ht="15" customHeight="1" x14ac:dyDescent="0.3">
      <c r="A835" t="s">
        <v>113</v>
      </c>
      <c r="B835" s="2">
        <v>45413</v>
      </c>
      <c r="C835" cm="1">
        <f t="array" ref="C835">IFERROR(IF(SUMPRODUCT((measured[Site Name]=A835)*(measured[Date]=B835)*ISNUMBER(measured[Measured Value (kWh)]))=0,"",SUMIFS(measured[Measured Value (kWh)],measured[Site Name],A835,measured[Date],B835)),"")</f>
        <v>12623</v>
      </c>
      <c r="D835" cm="1">
        <f t="array" ref="D835">IFERROR(IF(SUMPRODUCT((expected_production[Site Name]=A835)*(expected_production[Date]=B835)*ISNUMBER(expected_production[Expected Production (kWh)]))=0,"",SUMIFS(expected_production[Expected Production (kWh)],expected_production[Site Name],A835,expected_production[Date],B835)),"")</f>
        <v>17952.57</v>
      </c>
      <c r="E835" s="9">
        <f t="shared" si="28"/>
        <v>0.70313052671567355</v>
      </c>
      <c r="F835" t="str">
        <f t="shared" si="29"/>
        <v>Moderate</v>
      </c>
    </row>
    <row r="836" spans="1:6" ht="15" customHeight="1" x14ac:dyDescent="0.3">
      <c r="A836" t="s">
        <v>113</v>
      </c>
      <c r="B836" s="2">
        <v>45444</v>
      </c>
      <c r="C836" cm="1">
        <f t="array" ref="C836">IFERROR(IF(SUMPRODUCT((measured[Site Name]=A836)*(measured[Date]=B836)*ISNUMBER(measured[Measured Value (kWh)]))=0,"",SUMIFS(measured[Measured Value (kWh)],measured[Site Name],A836,measured[Date],B836)),"")</f>
        <v>9466</v>
      </c>
      <c r="D836" cm="1">
        <f t="array" ref="D836">IFERROR(IF(SUMPRODUCT((expected_production[Site Name]=A836)*(expected_production[Date]=B836)*ISNUMBER(expected_production[Expected Production (kWh)]))=0,"",SUMIFS(expected_production[Expected Production (kWh)],expected_production[Site Name],A836,expected_production[Date],B836)),"")</f>
        <v>14925.6</v>
      </c>
      <c r="E836" s="9">
        <f t="shared" si="28"/>
        <v>0.63421235997212844</v>
      </c>
      <c r="F836" t="str">
        <f t="shared" si="29"/>
        <v>Poor</v>
      </c>
    </row>
    <row r="837" spans="1:6" ht="15" customHeight="1" x14ac:dyDescent="0.3">
      <c r="A837" t="s">
        <v>113</v>
      </c>
      <c r="B837" s="2">
        <v>45474</v>
      </c>
      <c r="C837" cm="1">
        <f t="array" ref="C837">IFERROR(IF(SUMPRODUCT((measured[Site Name]=A837)*(measured[Date]=B837)*ISNUMBER(measured[Measured Value (kWh)]))=0,"",SUMIFS(measured[Measured Value (kWh)],measured[Site Name],A837,measured[Date],B837)),"")</f>
        <v>8265</v>
      </c>
      <c r="D837" cm="1">
        <f t="array" ref="D837">IFERROR(IF(SUMPRODUCT((expected_production[Site Name]=A837)*(expected_production[Date]=B837)*ISNUMBER(expected_production[Expected Production (kWh)]))=0,"",SUMIFS(expected_production[Expected Production (kWh)],expected_production[Site Name],A837,expected_production[Date],B837)),"")</f>
        <v>16774.830000000002</v>
      </c>
      <c r="E837" s="9">
        <f t="shared" si="28"/>
        <v>0.49270245957783171</v>
      </c>
      <c r="F837" t="str">
        <f t="shared" si="29"/>
        <v>Poor</v>
      </c>
    </row>
    <row r="838" spans="1:6" ht="15" customHeight="1" x14ac:dyDescent="0.3">
      <c r="A838" t="s">
        <v>113</v>
      </c>
      <c r="B838" s="2">
        <v>45505</v>
      </c>
      <c r="C838" cm="1">
        <f t="array" ref="C838">IFERROR(IF(SUMPRODUCT((measured[Site Name]=A838)*(measured[Date]=B838)*ISNUMBER(measured[Measured Value (kWh)]))=0,"",SUMIFS(measured[Measured Value (kWh)],measured[Site Name],A838,measured[Date],B838)),"")</f>
        <v>14669</v>
      </c>
      <c r="D838" cm="1">
        <f t="array" ref="D838">IFERROR(IF(SUMPRODUCT((expected_production[Site Name]=A838)*(expected_production[Date]=B838)*ISNUMBER(expected_production[Expected Production (kWh)]))=0,"",SUMIFS(expected_production[Expected Production (kWh)],expected_production[Site Name],A838,expected_production[Date],B838)),"")</f>
        <v>20886.75</v>
      </c>
      <c r="E838" s="9">
        <f t="shared" si="28"/>
        <v>0.70231127389373649</v>
      </c>
      <c r="F838" t="str">
        <f t="shared" si="29"/>
        <v>Moderate</v>
      </c>
    </row>
    <row r="839" spans="1:6" ht="15" customHeight="1" x14ac:dyDescent="0.3">
      <c r="A839" t="s">
        <v>113</v>
      </c>
      <c r="B839" s="2">
        <v>45536</v>
      </c>
      <c r="C839" cm="1">
        <f t="array" ref="C839">IFERROR(IF(SUMPRODUCT((measured[Site Name]=A839)*(measured[Date]=B839)*ISNUMBER(measured[Measured Value (kWh)]))=0,"",SUMIFS(measured[Measured Value (kWh)],measured[Site Name],A839,measured[Date],B839)),"")</f>
        <v>20334</v>
      </c>
      <c r="D839" cm="1">
        <f t="array" ref="D839">IFERROR(IF(SUMPRODUCT((expected_production[Site Name]=A839)*(expected_production[Date]=B839)*ISNUMBER(expected_production[Expected Production (kWh)]))=0,"",SUMIFS(expected_production[Expected Production (kWh)],expected_production[Site Name],A839,expected_production[Date],B839)),"")</f>
        <v>26689.95</v>
      </c>
      <c r="E839" s="9">
        <f t="shared" si="28"/>
        <v>0.76185980116111118</v>
      </c>
      <c r="F839" t="str">
        <f t="shared" si="29"/>
        <v>Moderate</v>
      </c>
    </row>
    <row r="840" spans="1:6" ht="15" customHeight="1" x14ac:dyDescent="0.3">
      <c r="A840" t="s">
        <v>113</v>
      </c>
      <c r="B840" s="2">
        <v>45566</v>
      </c>
      <c r="C840" cm="1">
        <f t="array" ref="C840">IFERROR(IF(SUMPRODUCT((measured[Site Name]=A840)*(measured[Date]=B840)*ISNUMBER(measured[Measured Value (kWh)]))=0,"",SUMIFS(measured[Measured Value (kWh)],measured[Site Name],A840,measured[Date],B840)),"")</f>
        <v>26318</v>
      </c>
      <c r="D840" cm="1">
        <f t="array" ref="D840">IFERROR(IF(SUMPRODUCT((expected_production[Site Name]=A840)*(expected_production[Date]=B840)*ISNUMBER(expected_production[Expected Production (kWh)]))=0,"",SUMIFS(expected_production[Expected Production (kWh)],expected_production[Site Name],A840,expected_production[Date],B840)),"")</f>
        <v>33024.69</v>
      </c>
      <c r="E840" s="9">
        <f t="shared" si="28"/>
        <v>0.79691891127517012</v>
      </c>
      <c r="F840" t="str">
        <f t="shared" si="29"/>
        <v>Moderate</v>
      </c>
    </row>
    <row r="841" spans="1:6" ht="15" customHeight="1" x14ac:dyDescent="0.3">
      <c r="A841" t="s">
        <v>113</v>
      </c>
      <c r="B841" s="2">
        <v>45597</v>
      </c>
      <c r="C841" cm="1">
        <f t="array" ref="C841">IFERROR(IF(SUMPRODUCT((measured[Site Name]=A841)*(measured[Date]=B841)*ISNUMBER(measured[Measured Value (kWh)]))=0,"",SUMIFS(measured[Measured Value (kWh)],measured[Site Name],A841,measured[Date],B841)),"")</f>
        <v>29589</v>
      </c>
      <c r="D841" cm="1">
        <f t="array" ref="D841">IFERROR(IF(SUMPRODUCT((expected_production[Site Name]=A841)*(expected_production[Date]=B841)*ISNUMBER(expected_production[Expected Production (kWh)]))=0,"",SUMIFS(expected_production[Expected Production (kWh)],expected_production[Site Name],A841,expected_production[Date],B841)),"")</f>
        <v>37111.769999999997</v>
      </c>
      <c r="E841" s="9">
        <f t="shared" si="28"/>
        <v>0.79729422768032898</v>
      </c>
      <c r="F841" t="str">
        <f t="shared" si="29"/>
        <v>Moderate</v>
      </c>
    </row>
    <row r="842" spans="1:6" ht="15" customHeight="1" x14ac:dyDescent="0.3">
      <c r="A842" t="s">
        <v>113</v>
      </c>
      <c r="B842" s="2">
        <v>45627</v>
      </c>
      <c r="C842" cm="1">
        <f t="array" ref="C842">IFERROR(IF(SUMPRODUCT((measured[Site Name]=A842)*(measured[Date]=B842)*ISNUMBER(measured[Measured Value (kWh)]))=0,"",SUMIFS(measured[Measured Value (kWh)],measured[Site Name],A842,measured[Date],B842)),"")</f>
        <v>31807</v>
      </c>
      <c r="D842" cm="1">
        <f t="array" ref="D842">IFERROR(IF(SUMPRODUCT((expected_production[Site Name]=A842)*(expected_production[Date]=B842)*ISNUMBER(expected_production[Expected Production (kWh)]))=0,"",SUMIFS(expected_production[Expected Production (kWh)],expected_production[Site Name],A842,expected_production[Date],B842)),"")</f>
        <v>40125.69</v>
      </c>
      <c r="E842" s="9">
        <f t="shared" si="28"/>
        <v>0.79268418810991159</v>
      </c>
      <c r="F842" t="str">
        <f t="shared" si="29"/>
        <v>Moderate</v>
      </c>
    </row>
    <row r="843" spans="1:6" ht="15" customHeight="1" x14ac:dyDescent="0.3">
      <c r="A843" t="s">
        <v>113</v>
      </c>
      <c r="B843" s="2">
        <v>45658</v>
      </c>
      <c r="C843" cm="1">
        <f t="array" ref="C843">IFERROR(IF(SUMPRODUCT((measured[Site Name]=A843)*(measured[Date]=B843)*ISNUMBER(measured[Measured Value (kWh)]))=0,"",SUMIFS(measured[Measured Value (kWh)],measured[Site Name],A843,measured[Date],B843)),"")</f>
        <v>32545</v>
      </c>
      <c r="D843" cm="1">
        <f t="array" ref="D843">IFERROR(IF(SUMPRODUCT((expected_production[Site Name]=A843)*(expected_production[Date]=B843)*ISNUMBER(expected_production[Expected Production (kWh)]))=0,"",SUMIFS(expected_production[Expected Production (kWh)],expected_production[Site Name],A843,expected_production[Date],B843)),"")</f>
        <v>39600.81</v>
      </c>
      <c r="E843" s="9">
        <f t="shared" si="28"/>
        <v>0.82182662425339281</v>
      </c>
      <c r="F843" t="str">
        <f t="shared" si="29"/>
        <v>Moderate</v>
      </c>
    </row>
    <row r="844" spans="1:6" ht="15" customHeight="1" x14ac:dyDescent="0.3">
      <c r="A844" t="s">
        <v>113</v>
      </c>
      <c r="B844" s="2">
        <v>45689</v>
      </c>
      <c r="C844" cm="1">
        <f t="array" ref="C844">IFERROR(IF(SUMPRODUCT((measured[Site Name]=A844)*(measured[Date]=B844)*ISNUMBER(measured[Measured Value (kWh)]))=0,"",SUMIFS(measured[Measured Value (kWh)],measured[Site Name],A844,measured[Date],B844)),"")</f>
        <v>20706</v>
      </c>
      <c r="D844" cm="1">
        <f t="array" ref="D844">IFERROR(IF(SUMPRODUCT((expected_production[Site Name]=A844)*(expected_production[Date]=B844)*ISNUMBER(expected_production[Expected Production (kWh)]))=0,"",SUMIFS(expected_production[Expected Production (kWh)],expected_production[Site Name],A844,expected_production[Date],B844)),"")</f>
        <v>33064.92</v>
      </c>
      <c r="E844" s="9">
        <f t="shared" si="28"/>
        <v>0.62622259482254916</v>
      </c>
      <c r="F844" t="str">
        <f t="shared" si="29"/>
        <v>Poor</v>
      </c>
    </row>
    <row r="845" spans="1:6" ht="15" customHeight="1" x14ac:dyDescent="0.3">
      <c r="A845" t="s">
        <v>113</v>
      </c>
      <c r="B845" s="2">
        <v>45717</v>
      </c>
      <c r="C845" cm="1">
        <f t="array" ref="C845">IFERROR(IF(SUMPRODUCT((measured[Site Name]=A845)*(measured[Date]=B845)*ISNUMBER(measured[Measured Value (kWh)]))=0,"",SUMIFS(measured[Measured Value (kWh)],measured[Site Name],A845,measured[Date],B845)),"")</f>
        <v>16650</v>
      </c>
      <c r="D845" cm="1">
        <f t="array" ref="D845">IFERROR(IF(SUMPRODUCT((expected_production[Site Name]=A845)*(expected_production[Date]=B845)*ISNUMBER(expected_production[Expected Production (kWh)]))=0,"",SUMIFS(expected_production[Expected Production (kWh)],expected_production[Site Name],A845,expected_production[Date],B845)),"")</f>
        <v>32219.55</v>
      </c>
      <c r="E845" s="9">
        <f t="shared" si="28"/>
        <v>0.51676699395242953</v>
      </c>
      <c r="F845" t="str">
        <f t="shared" si="29"/>
        <v>Poor</v>
      </c>
    </row>
    <row r="846" spans="1:6" ht="15" customHeight="1" x14ac:dyDescent="0.3">
      <c r="A846" t="s">
        <v>113</v>
      </c>
      <c r="B846" s="2">
        <v>45748</v>
      </c>
      <c r="C846" cm="1">
        <f t="array" ref="C846">IFERROR(IF(SUMPRODUCT((measured[Site Name]=A846)*(measured[Date]=B846)*ISNUMBER(measured[Measured Value (kWh)]))=0,"",SUMIFS(measured[Measured Value (kWh)],measured[Site Name],A846,measured[Date],B846)),"")</f>
        <v>13216</v>
      </c>
      <c r="D846" cm="1">
        <f t="array" ref="D846">IFERROR(IF(SUMPRODUCT((expected_production[Site Name]=A846)*(expected_production[Date]=B846)*ISNUMBER(expected_production[Expected Production (kWh)]))=0,"",SUMIFS(expected_production[Expected Production (kWh)],expected_production[Site Name],A846,expected_production[Date],B846)),"")</f>
        <v>23614.38</v>
      </c>
      <c r="E846" s="9">
        <f t="shared" si="28"/>
        <v>0.55965898744747899</v>
      </c>
      <c r="F846" t="str">
        <f t="shared" si="29"/>
        <v>Poor</v>
      </c>
    </row>
    <row r="847" spans="1:6" ht="15" customHeight="1" x14ac:dyDescent="0.3">
      <c r="A847" t="s">
        <v>113</v>
      </c>
      <c r="B847" s="2">
        <v>45778</v>
      </c>
      <c r="C847" cm="1">
        <f t="array" ref="C847">IFERROR(IF(SUMPRODUCT((measured[Site Name]=A847)*(measured[Date]=B847)*ISNUMBER(measured[Measured Value (kWh)]))=0,"",SUMIFS(measured[Measured Value (kWh)],measured[Site Name],A847,measured[Date],B847)),"")</f>
        <v>8710</v>
      </c>
      <c r="D847" cm="1">
        <f t="array" ref="D847">IFERROR(IF(SUMPRODUCT((expected_production[Site Name]=A847)*(expected_production[Date]=B847)*ISNUMBER(expected_production[Expected Production (kWh)]))=0,"",SUMIFS(expected_production[Expected Production (kWh)],expected_production[Site Name],A847,expected_production[Date],B847)),"")</f>
        <v>17952.57</v>
      </c>
      <c r="E847" s="9">
        <f t="shared" si="28"/>
        <v>0.48516730473687053</v>
      </c>
      <c r="F847" t="str">
        <f t="shared" si="29"/>
        <v>Poor</v>
      </c>
    </row>
    <row r="848" spans="1:6" ht="15" customHeight="1" x14ac:dyDescent="0.3">
      <c r="A848" t="s">
        <v>113</v>
      </c>
      <c r="B848" s="2">
        <v>45809</v>
      </c>
      <c r="C848" cm="1">
        <f t="array" ref="C848">IFERROR(IF(SUMPRODUCT((measured[Site Name]=A848)*(measured[Date]=B848)*ISNUMBER(measured[Measured Value (kWh)]))=0,"",SUMIFS(measured[Measured Value (kWh)],measured[Site Name],A848,measured[Date],B848)),"")</f>
        <v>7500.92</v>
      </c>
      <c r="D848" cm="1">
        <f t="array" ref="D848">IFERROR(IF(SUMPRODUCT((expected_production[Site Name]=A848)*(expected_production[Date]=B848)*ISNUMBER(expected_production[Expected Production (kWh)]))=0,"",SUMIFS(expected_production[Expected Production (kWh)],expected_production[Site Name],A848,expected_production[Date],B848)),"")</f>
        <v>14925.6</v>
      </c>
      <c r="E848" s="9">
        <f t="shared" si="28"/>
        <v>0.50255400117918203</v>
      </c>
      <c r="F848" t="str">
        <f t="shared" si="29"/>
        <v>Poor</v>
      </c>
    </row>
    <row r="849" spans="1:7" ht="15" customHeight="1" x14ac:dyDescent="0.3">
      <c r="A849" t="s">
        <v>113</v>
      </c>
      <c r="B849" s="2">
        <v>45839</v>
      </c>
      <c r="C849" cm="1">
        <f t="array" ref="C849">IFERROR(IF(SUMPRODUCT((measured[Site Name]=A849)*(measured[Date]=B849)*ISNUMBER(measured[Measured Value (kWh)]))=0,"",SUMIFS(measured[Measured Value (kWh)],measured[Site Name],A849,measured[Date],B849)),"")</f>
        <v>9649</v>
      </c>
      <c r="D849" cm="1">
        <f t="array" ref="D849">IFERROR(IF(SUMPRODUCT((expected_production[Site Name]=A849)*(expected_production[Date]=B849)*ISNUMBER(expected_production[Expected Production (kWh)]))=0,"",SUMIFS(expected_production[Expected Production (kWh)],expected_production[Site Name],A849,expected_production[Date],B849)),"")</f>
        <v>16774.830000000002</v>
      </c>
      <c r="E849" s="9">
        <f t="shared" si="28"/>
        <v>0.57520702147205061</v>
      </c>
      <c r="F849" t="str">
        <f t="shared" si="29"/>
        <v>Poor</v>
      </c>
    </row>
    <row r="850" spans="1:7" ht="15" customHeight="1" x14ac:dyDescent="0.3">
      <c r="A850" t="s">
        <v>113</v>
      </c>
      <c r="B850" s="2">
        <v>45870</v>
      </c>
      <c r="C850" cm="1">
        <f t="array" ref="C850">IFERROR(IF(SUMPRODUCT((measured[Site Name]=A850)*(measured[Date]=B850)*ISNUMBER(measured[Measured Value (kWh)]))=0,"",SUMIFS(measured[Measured Value (kWh)],measured[Site Name],A850,measured[Date],B850)),"")</f>
        <v>13424</v>
      </c>
      <c r="D850" cm="1">
        <f t="array" ref="D850">IFERROR(IF(SUMPRODUCT((expected_production[Site Name]=A850)*(expected_production[Date]=B850)*ISNUMBER(expected_production[Expected Production (kWh)]))=0,"",SUMIFS(expected_production[Expected Production (kWh)],expected_production[Site Name],A850,expected_production[Date],B850)),"")</f>
        <v>20886.75</v>
      </c>
      <c r="E850" s="9">
        <f t="shared" si="28"/>
        <v>0.64270410667049682</v>
      </c>
      <c r="F850" t="str">
        <f t="shared" si="29"/>
        <v>Poor</v>
      </c>
    </row>
    <row r="851" spans="1:7" ht="15" customHeight="1" x14ac:dyDescent="0.3">
      <c r="A851" t="s">
        <v>113</v>
      </c>
      <c r="B851" s="2">
        <v>45901</v>
      </c>
      <c r="C851" cm="1">
        <f t="array" ref="C851">IFERROR(IF(SUMPRODUCT((measured[Site Name]=A851)*(measured[Date]=B851)*ISNUMBER(measured[Measured Value (kWh)]))=0,"",SUMIFS(measured[Measured Value (kWh)],measured[Site Name],A851,measured[Date],B851)),"")</f>
        <v>19447</v>
      </c>
      <c r="D851" cm="1">
        <f t="array" ref="D851">IFERROR(IF(SUMPRODUCT((expected_production[Site Name]=A851)*(expected_production[Date]=B851)*ISNUMBER(expected_production[Expected Production (kWh)]))=0,"",SUMIFS(expected_production[Expected Production (kWh)],expected_production[Site Name],A851,expected_production[Date],B851)),"")</f>
        <v>26689.95</v>
      </c>
      <c r="E851" s="9">
        <f t="shared" si="28"/>
        <v>0.72862631814596879</v>
      </c>
      <c r="F851" t="str">
        <f t="shared" si="29"/>
        <v>Moderate</v>
      </c>
    </row>
    <row r="852" spans="1:7" ht="15" customHeight="1" x14ac:dyDescent="0.3">
      <c r="A852" t="s">
        <v>113</v>
      </c>
      <c r="B852" s="2">
        <v>45931</v>
      </c>
      <c r="C852" cm="1">
        <f t="array" ref="C852">IFERROR(IF(SUMPRODUCT((measured[Site Name]=A852)*(measured[Date]=B852)*ISNUMBER(measured[Measured Value (kWh)]))=0,"",SUMIFS(measured[Measured Value (kWh)],measured[Site Name],A852,measured[Date],B852)),"")</f>
        <v>33678</v>
      </c>
      <c r="D852" cm="1">
        <f t="array" ref="D852">IFERROR(IF(SUMPRODUCT((expected_production[Site Name]=A852)*(expected_production[Date]=B852)*ISNUMBER(expected_production[Expected Production (kWh)]))=0,"",SUMIFS(expected_production[Expected Production (kWh)],expected_production[Site Name],A852,expected_production[Date],B852)),"")</f>
        <v>33024.69</v>
      </c>
      <c r="E852" s="9">
        <f t="shared" si="28"/>
        <v>1.019782471841522</v>
      </c>
      <c r="F852" t="str">
        <f t="shared" si="29"/>
        <v>Expected</v>
      </c>
    </row>
    <row r="853" spans="1:7" ht="15" customHeight="1" x14ac:dyDescent="0.3">
      <c r="A853" t="s">
        <v>113</v>
      </c>
      <c r="B853" s="2">
        <v>45962</v>
      </c>
      <c r="C853" cm="1">
        <f t="array" ref="C853">IFERROR(IF(SUMPRODUCT((measured[Site Name]=A853)*(measured[Date]=B853)*ISNUMBER(measured[Measured Value (kWh)]))=0,"",SUMIFS(measured[Measured Value (kWh)],measured[Site Name],A853,measured[Date],B853)),"")</f>
        <v>40164</v>
      </c>
      <c r="D853" cm="1">
        <f t="array" ref="D853">IFERROR(IF(SUMPRODUCT((expected_production[Site Name]=A853)*(expected_production[Date]=B853)*ISNUMBER(expected_production[Expected Production (kWh)]))=0,"",SUMIFS(expected_production[Expected Production (kWh)],expected_production[Site Name],A853,expected_production[Date],B853)),"")</f>
        <v>37111.769999999997</v>
      </c>
      <c r="E853" s="9">
        <f t="shared" si="28"/>
        <v>1.0822442583579281</v>
      </c>
      <c r="F853" t="str">
        <f t="shared" si="29"/>
        <v>Expected</v>
      </c>
    </row>
    <row r="854" spans="1:7" ht="15" customHeight="1" x14ac:dyDescent="0.3">
      <c r="A854" t="s">
        <v>113</v>
      </c>
      <c r="B854" s="2">
        <v>45992</v>
      </c>
      <c r="C854" cm="1">
        <f t="array" ref="C854">IFERROR(IF(SUMPRODUCT((measured[Site Name]=A854)*(measured[Date]=B854)*ISNUMBER(measured[Measured Value (kWh)]))=0,"",SUMIFS(measured[Measured Value (kWh)],measured[Site Name],A854,measured[Date],B854)),"")</f>
        <v>42482</v>
      </c>
      <c r="D854" cm="1">
        <f t="array" ref="D854">IFERROR(IF(SUMPRODUCT((expected_production[Site Name]=A854)*(expected_production[Date]=B854)*ISNUMBER(expected_production[Expected Production (kWh)]))=0,"",SUMIFS(expected_production[Expected Production (kWh)],expected_production[Site Name],A854,expected_production[Date],B854)),"")</f>
        <v>40125.69</v>
      </c>
      <c r="E854" s="9">
        <f t="shared" si="28"/>
        <v>1.0587232269401472</v>
      </c>
      <c r="F854" t="str">
        <f t="shared" si="29"/>
        <v>Expected</v>
      </c>
    </row>
    <row r="855" spans="1:7" ht="15" customHeight="1" x14ac:dyDescent="0.3">
      <c r="A855" t="s">
        <v>113</v>
      </c>
      <c r="B855" s="2">
        <v>46023</v>
      </c>
      <c r="C855" cm="1">
        <f t="array" ref="C855">IFERROR(IF(SUMPRODUCT((measured[Site Name]=A855)*(measured[Date]=B855)*ISNUMBER(measured[Measured Value (kWh)]))=0,"",SUMIFS(measured[Measured Value (kWh)],measured[Site Name],A855,measured[Date],B855)),"")</f>
        <v>40719</v>
      </c>
      <c r="D855" cm="1">
        <f t="array" ref="D855">IFERROR(IF(SUMPRODUCT((expected_production[Site Name]=A855)*(expected_production[Date]=B855)*ISNUMBER(expected_production[Expected Production (kWh)]))=0,"",SUMIFS(expected_production[Expected Production (kWh)],expected_production[Site Name],A855,expected_production[Date],B855)),"")</f>
        <v>39600.81</v>
      </c>
      <c r="E855" s="9">
        <f t="shared" si="28"/>
        <v>1.0282365436464558</v>
      </c>
      <c r="F855" t="str">
        <f t="shared" si="29"/>
        <v>Expected</v>
      </c>
    </row>
    <row r="856" spans="1:7" ht="15" customHeight="1" x14ac:dyDescent="0.3">
      <c r="A856" t="s">
        <v>113</v>
      </c>
      <c r="B856" s="2">
        <v>46054</v>
      </c>
      <c r="C856" cm="1">
        <f t="array" ref="C856">IFERROR(IF(SUMPRODUCT((measured[Site Name]=A856)*(measured[Date]=B856)*ISNUMBER(measured[Measured Value (kWh)]))=0,"",SUMIFS(measured[Measured Value (kWh)],measured[Site Name],A856,measured[Date],B856)),"")</f>
        <v>29862</v>
      </c>
      <c r="D856" cm="1">
        <f t="array" ref="D856">IFERROR(IF(SUMPRODUCT((expected_production[Site Name]=A856)*(expected_production[Date]=B856)*ISNUMBER(expected_production[Expected Production (kWh)]))=0,"",SUMIFS(expected_production[Expected Production (kWh)],expected_production[Site Name],A856,expected_production[Date],B856)),"")</f>
        <v>33064.92</v>
      </c>
      <c r="E856" s="9">
        <f t="shared" si="28"/>
        <v>0.90313238320249989</v>
      </c>
      <c r="F856" t="str">
        <f t="shared" si="29"/>
        <v>Expected</v>
      </c>
    </row>
    <row r="857" spans="1:7" ht="15" customHeight="1" x14ac:dyDescent="0.3">
      <c r="A857" t="s">
        <v>113</v>
      </c>
      <c r="B857" s="2">
        <v>46082</v>
      </c>
      <c r="C857" cm="1">
        <f t="array" ref="C857">IFERROR(IF(SUMPRODUCT((measured[Site Name]=A857)*(measured[Date]=B857)*ISNUMBER(measured[Measured Value (kWh)]))=0,"",SUMIFS(measured[Measured Value (kWh)],measured[Site Name],A857,measured[Date],B857)),"")</f>
        <v>30793</v>
      </c>
      <c r="D857" cm="1">
        <f t="array" ref="D857">IFERROR(IF(SUMPRODUCT((expected_production[Site Name]=A857)*(expected_production[Date]=B857)*ISNUMBER(expected_production[Expected Production (kWh)]))=0,"",SUMIFS(expected_production[Expected Production (kWh)],expected_production[Site Name],A857,expected_production[Date],B857)),"")</f>
        <v>32219.55</v>
      </c>
      <c r="E857" s="9">
        <f t="shared" si="28"/>
        <v>0.95572408677340315</v>
      </c>
      <c r="F857" t="str">
        <f t="shared" si="29"/>
        <v>Expected</v>
      </c>
    </row>
    <row r="858" spans="1:7" ht="15" customHeight="1" x14ac:dyDescent="0.3">
      <c r="A858" t="s">
        <v>113</v>
      </c>
      <c r="B858" s="2">
        <v>46113</v>
      </c>
      <c r="C858" cm="1">
        <f t="array" ref="C858">IFERROR(IF(SUMPRODUCT((measured[Site Name]=A858)*(measured[Date]=B858)*ISNUMBER(measured[Measured Value (kWh)]))=0,"",SUMIFS(measured[Measured Value (kWh)],measured[Site Name],A858,measured[Date],B858)),"")</f>
        <v>19657.41</v>
      </c>
      <c r="D858" cm="1">
        <f t="array" ref="D858">IFERROR(IF(SUMPRODUCT((expected_production[Site Name]=A858)*(expected_production[Date]=B858)*ISNUMBER(expected_production[Expected Production (kWh)]))=0,"",SUMIFS(expected_production[Expected Production (kWh)],expected_production[Site Name],A858,expected_production[Date],B858)),"")</f>
        <v>23614.38</v>
      </c>
      <c r="E858" s="9">
        <f t="shared" si="28"/>
        <v>0.83243388138922125</v>
      </c>
      <c r="F858" t="str">
        <f t="shared" si="29"/>
        <v>Moderate</v>
      </c>
    </row>
    <row r="859" spans="1:7" ht="15" customHeight="1" x14ac:dyDescent="0.3">
      <c r="A859" t="s">
        <v>113</v>
      </c>
      <c r="B859" s="2">
        <v>46143</v>
      </c>
      <c r="C859" cm="1">
        <f t="array" ref="C859">IFERROR(IF(SUMPRODUCT((measured[Site Name]=A859)*(measured[Date]=B859)*ISNUMBER(measured[Measured Value (kWh)]))=0,"",SUMIFS(measured[Measured Value (kWh)],measured[Site Name],A859,measured[Date],B859)),"")</f>
        <v>14538.69</v>
      </c>
      <c r="D859" cm="1">
        <f t="array" ref="D859">IFERROR(IF(SUMPRODUCT((expected_production[Site Name]=A859)*(expected_production[Date]=B859)*ISNUMBER(expected_production[Expected Production (kWh)]))=0,"",SUMIFS(expected_production[Expected Production (kWh)],expected_production[Site Name],A859,expected_production[Date],B859)),"")</f>
        <v>17952.57</v>
      </c>
      <c r="E859" s="9">
        <f t="shared" si="28"/>
        <v>0.80983892556887405</v>
      </c>
      <c r="F859" t="str">
        <f t="shared" si="29"/>
        <v>Moderate</v>
      </c>
    </row>
    <row r="860" spans="1:7" ht="15" customHeight="1" x14ac:dyDescent="0.3">
      <c r="A860" t="s">
        <v>113</v>
      </c>
      <c r="B860" s="2">
        <v>46174</v>
      </c>
      <c r="C860" cm="1">
        <f t="array" ref="C860">IFERROR(IF(SUMPRODUCT((measured[Site Name]=A860)*(measured[Date]=B860)*ISNUMBER(measured[Measured Value (kWh)]))=0,"",SUMIFS(measured[Measured Value (kWh)],measured[Site Name],A860,measured[Date],B860)),"")</f>
        <v>14538.69</v>
      </c>
      <c r="D860" cm="1">
        <f t="array" ref="D860">IFERROR(IF(SUMPRODUCT((expected_production[Site Name]=A860)*(expected_production[Date]=B860)*ISNUMBER(expected_production[Expected Production (kWh)]))=0,"",SUMIFS(expected_production[Expected Production (kWh)],expected_production[Site Name],A860,expected_production[Date],B860)),"")</f>
        <v>14925.6</v>
      </c>
      <c r="E860" s="9">
        <f t="shared" si="28"/>
        <v>0.97407742402315489</v>
      </c>
      <c r="F860" t="str">
        <f t="shared" si="29"/>
        <v>Expected</v>
      </c>
    </row>
    <row r="861" spans="1:7" ht="15" customHeight="1" x14ac:dyDescent="0.3">
      <c r="A861" t="s">
        <v>228</v>
      </c>
      <c r="B861" s="2">
        <v>46204</v>
      </c>
      <c r="C861" cm="1">
        <f t="array" ref="C861">IFERROR(IF(SUMPRODUCT((measured[Site Name]=A861)*(measured[Date]=B861)*ISNUMBER(measured[Measured Value (kWh)]))=0,"",SUMIFS(measured[Measured Value (kWh)],measured[Site Name],A861,measured[Date],B861)),"")</f>
        <v>8390</v>
      </c>
      <c r="D861" cm="1">
        <f t="array" ref="D861">IFERROR(IF(SUMPRODUCT((expected_production[Site Name]=A861)*(expected_production[Date]=B861)*ISNUMBER(expected_production[Expected Production (kWh)]))=0,"",SUMIFS(expected_production[Expected Production (kWh)],expected_production[Site Name],A861,expected_production[Date],B861)),"")</f>
        <v>25632</v>
      </c>
      <c r="E861" s="9">
        <f t="shared" si="28"/>
        <v>0.32732521847690388</v>
      </c>
      <c r="F861" t="str">
        <f t="shared" si="29"/>
        <v>Poor</v>
      </c>
      <c r="G861" t="s">
        <v>874</v>
      </c>
    </row>
    <row r="862" spans="1:7" ht="15" customHeight="1" x14ac:dyDescent="0.3">
      <c r="A862" t="s">
        <v>113</v>
      </c>
      <c r="B862" s="2">
        <v>46235</v>
      </c>
      <c r="C862" t="str" cm="1">
        <f t="array" ref="C862">IFERROR(IF(SUMPRODUCT((measured[Site Name]=A862)*(measured[Date]=B862)*ISNUMBER(measured[Measured Value (kWh)]))=0,"",SUMIFS(measured[Measured Value (kWh)],measured[Site Name],A862,measured[Date],B862)),"")</f>
        <v/>
      </c>
      <c r="D862" cm="1">
        <f t="array" ref="D862">IFERROR(IF(SUMPRODUCT((expected_production[Site Name]=A862)*(expected_production[Date]=B862)*ISNUMBER(expected_production[Expected Production (kWh)]))=0,"",SUMIFS(expected_production[Expected Production (kWh)],expected_production[Site Name],A862,expected_production[Date],B862)),"")</f>
        <v>20886.75</v>
      </c>
      <c r="E862" s="9" t="str">
        <f t="shared" si="28"/>
        <v/>
      </c>
      <c r="F862" t="str">
        <f t="shared" si="29"/>
        <v/>
      </c>
    </row>
    <row r="863" spans="1:7" ht="15" customHeight="1" x14ac:dyDescent="0.3">
      <c r="A863" t="s">
        <v>113</v>
      </c>
      <c r="B863" s="2">
        <v>46266</v>
      </c>
      <c r="C863" t="str" cm="1">
        <f t="array" ref="C863">IFERROR(IF(SUMPRODUCT((measured[Site Name]=A863)*(measured[Date]=B863)*ISNUMBER(measured[Measured Value (kWh)]))=0,"",SUMIFS(measured[Measured Value (kWh)],measured[Site Name],A863,measured[Date],B863)),"")</f>
        <v/>
      </c>
      <c r="D863" cm="1">
        <f t="array" ref="D863">IFERROR(IF(SUMPRODUCT((expected_production[Site Name]=A863)*(expected_production[Date]=B863)*ISNUMBER(expected_production[Expected Production (kWh)]))=0,"",SUMIFS(expected_production[Expected Production (kWh)],expected_production[Site Name],A863,expected_production[Date],B863)),"")</f>
        <v>26689.95</v>
      </c>
      <c r="E863" s="9" t="str">
        <f t="shared" si="28"/>
        <v/>
      </c>
      <c r="F863" t="str">
        <f t="shared" si="29"/>
        <v/>
      </c>
    </row>
    <row r="864" spans="1:7" ht="15" customHeight="1" x14ac:dyDescent="0.3">
      <c r="A864" t="s">
        <v>113</v>
      </c>
      <c r="B864" s="2">
        <v>46296</v>
      </c>
      <c r="C864" t="str" cm="1">
        <f t="array" ref="C864">IFERROR(IF(SUMPRODUCT((measured[Site Name]=A864)*(measured[Date]=B864)*ISNUMBER(measured[Measured Value (kWh)]))=0,"",SUMIFS(measured[Measured Value (kWh)],measured[Site Name],A864,measured[Date],B864)),"")</f>
        <v/>
      </c>
      <c r="D864" cm="1">
        <f t="array" ref="D864">IFERROR(IF(SUMPRODUCT((expected_production[Site Name]=A864)*(expected_production[Date]=B864)*ISNUMBER(expected_production[Expected Production (kWh)]))=0,"",SUMIFS(expected_production[Expected Production (kWh)],expected_production[Site Name],A864,expected_production[Date],B864)),"")</f>
        <v>33024.69</v>
      </c>
      <c r="E864" s="9" t="str">
        <f t="shared" si="28"/>
        <v/>
      </c>
      <c r="F864" t="str">
        <f t="shared" si="29"/>
        <v/>
      </c>
    </row>
    <row r="865" spans="1:6" ht="15" customHeight="1" x14ac:dyDescent="0.3">
      <c r="A865" t="s">
        <v>113</v>
      </c>
      <c r="B865" s="2">
        <v>46327</v>
      </c>
      <c r="C865" t="str" cm="1">
        <f t="array" ref="C865">IFERROR(IF(SUMPRODUCT((measured[Site Name]=A865)*(measured[Date]=B865)*ISNUMBER(measured[Measured Value (kWh)]))=0,"",SUMIFS(measured[Measured Value (kWh)],measured[Site Name],A865,measured[Date],B865)),"")</f>
        <v/>
      </c>
      <c r="D865" cm="1">
        <f t="array" ref="D865">IFERROR(IF(SUMPRODUCT((expected_production[Site Name]=A865)*(expected_production[Date]=B865)*ISNUMBER(expected_production[Expected Production (kWh)]))=0,"",SUMIFS(expected_production[Expected Production (kWh)],expected_production[Site Name],A865,expected_production[Date],B865)),"")</f>
        <v>37111.769999999997</v>
      </c>
      <c r="E865" s="9" t="str">
        <f t="shared" si="28"/>
        <v/>
      </c>
      <c r="F865" t="str">
        <f t="shared" si="29"/>
        <v/>
      </c>
    </row>
    <row r="866" spans="1:6" ht="15" customHeight="1" x14ac:dyDescent="0.3">
      <c r="A866" t="s">
        <v>113</v>
      </c>
      <c r="B866" s="2">
        <v>46357</v>
      </c>
      <c r="C866" t="str" cm="1">
        <f t="array" ref="C866">IFERROR(IF(SUMPRODUCT((measured[Site Name]=A866)*(measured[Date]=B866)*ISNUMBER(measured[Measured Value (kWh)]))=0,"",SUMIFS(measured[Measured Value (kWh)],measured[Site Name],A866,measured[Date],B866)),"")</f>
        <v/>
      </c>
      <c r="D866" cm="1">
        <f t="array" ref="D866">IFERROR(IF(SUMPRODUCT((expected_production[Site Name]=A866)*(expected_production[Date]=B866)*ISNUMBER(expected_production[Expected Production (kWh)]))=0,"",SUMIFS(expected_production[Expected Production (kWh)],expected_production[Site Name],A866,expected_production[Date],B866)),"")</f>
        <v>40125.69</v>
      </c>
      <c r="E866" s="9" t="str">
        <f t="shared" si="28"/>
        <v/>
      </c>
      <c r="F866" t="str">
        <f t="shared" si="29"/>
        <v/>
      </c>
    </row>
    <row r="867" spans="1:6" ht="15" customHeight="1" x14ac:dyDescent="0.3">
      <c r="A867" t="s">
        <v>114</v>
      </c>
      <c r="B867" s="2">
        <v>45292</v>
      </c>
      <c r="C867" cm="1">
        <f t="array" ref="C867">IFERROR(IF(SUMPRODUCT((measured[Site Name]=A867)*(measured[Date]=B867)*ISNUMBER(measured[Measured Value (kWh)]))=0,"",SUMIFS(measured[Measured Value (kWh)],measured[Site Name],A867,measured[Date],B867)),"")</f>
        <v>17880</v>
      </c>
      <c r="D867" cm="1">
        <f t="array" ref="D867">IFERROR(IF(SUMPRODUCT((expected_production[Site Name]=A867)*(expected_production[Date]=B867)*ISNUMBER(expected_production[Expected Production (kWh)]))=0,"",SUMIFS(expected_production[Expected Production (kWh)],expected_production[Site Name],A867,expected_production[Date],B867)),"")</f>
        <v>29391.3</v>
      </c>
      <c r="E867" s="9">
        <f t="shared" si="28"/>
        <v>0.6083432852578825</v>
      </c>
      <c r="F867" t="str">
        <f t="shared" si="29"/>
        <v>Poor</v>
      </c>
    </row>
    <row r="868" spans="1:6" ht="15" customHeight="1" x14ac:dyDescent="0.3">
      <c r="A868" t="s">
        <v>114</v>
      </c>
      <c r="B868" s="2">
        <v>45323</v>
      </c>
      <c r="C868" cm="1">
        <f t="array" ref="C868">IFERROR(IF(SUMPRODUCT((measured[Site Name]=A868)*(measured[Date]=B868)*ISNUMBER(measured[Measured Value (kWh)]))=0,"",SUMIFS(measured[Measured Value (kWh)],measured[Site Name],A868,measured[Date],B868)),"")</f>
        <v>18790</v>
      </c>
      <c r="D868" cm="1">
        <f t="array" ref="D868">IFERROR(IF(SUMPRODUCT((expected_production[Site Name]=A868)*(expected_production[Date]=B868)*ISNUMBER(expected_production[Expected Production (kWh)]))=0,"",SUMIFS(expected_production[Expected Production (kWh)],expected_production[Site Name],A868,expected_production[Date],B868)),"")</f>
        <v>25677</v>
      </c>
      <c r="E868" s="9">
        <f t="shared" si="28"/>
        <v>0.7317833080188495</v>
      </c>
      <c r="F868" t="str">
        <f t="shared" si="29"/>
        <v>Moderate</v>
      </c>
    </row>
    <row r="869" spans="1:6" ht="15" customHeight="1" x14ac:dyDescent="0.3">
      <c r="A869" t="s">
        <v>114</v>
      </c>
      <c r="B869" s="2">
        <v>45352</v>
      </c>
      <c r="C869" cm="1">
        <f t="array" ref="C869">IFERROR(IF(SUMPRODUCT((measured[Site Name]=A869)*(measured[Date]=B869)*ISNUMBER(measured[Measured Value (kWh)]))=0,"",SUMIFS(measured[Measured Value (kWh)],measured[Site Name],A869,measured[Date],B869)),"")</f>
        <v>22610</v>
      </c>
      <c r="D869" cm="1">
        <f t="array" ref="D869">IFERROR(IF(SUMPRODUCT((expected_production[Site Name]=A869)*(expected_production[Date]=B869)*ISNUMBER(expected_production[Expected Production (kWh)]))=0,"",SUMIFS(expected_production[Expected Production (kWh)],expected_production[Site Name],A869,expected_production[Date],B869)),"")</f>
        <v>24204.6</v>
      </c>
      <c r="E869" s="9">
        <f t="shared" si="28"/>
        <v>0.93411996066863334</v>
      </c>
      <c r="F869" t="str">
        <f t="shared" si="29"/>
        <v>Expected</v>
      </c>
    </row>
    <row r="870" spans="1:6" ht="15" customHeight="1" x14ac:dyDescent="0.3">
      <c r="A870" t="s">
        <v>114</v>
      </c>
      <c r="B870" s="2">
        <v>45383</v>
      </c>
      <c r="C870" cm="1">
        <f t="array" ref="C870">IFERROR(IF(SUMPRODUCT((measured[Site Name]=A870)*(measured[Date]=B870)*ISNUMBER(measured[Measured Value (kWh)]))=0,"",SUMIFS(measured[Measured Value (kWh)],measured[Site Name],A870,measured[Date],B870)),"")</f>
        <v>20030</v>
      </c>
      <c r="D870" cm="1">
        <f t="array" ref="D870">IFERROR(IF(SUMPRODUCT((expected_production[Site Name]=A870)*(expected_production[Date]=B870)*ISNUMBER(expected_production[Expected Production (kWh)]))=0,"",SUMIFS(expected_production[Expected Production (kWh)],expected_production[Site Name],A870,expected_production[Date],B870)),"")</f>
        <v>21550.5</v>
      </c>
      <c r="E870" s="9">
        <f t="shared" si="28"/>
        <v>0.92944479246421197</v>
      </c>
      <c r="F870" t="str">
        <f t="shared" si="29"/>
        <v>Expected</v>
      </c>
    </row>
    <row r="871" spans="1:6" ht="15" customHeight="1" x14ac:dyDescent="0.3">
      <c r="A871" t="s">
        <v>114</v>
      </c>
      <c r="B871" s="2">
        <v>45413</v>
      </c>
      <c r="C871" cm="1">
        <f t="array" ref="C871">IFERROR(IF(SUMPRODUCT((measured[Site Name]=A871)*(measured[Date]=B871)*ISNUMBER(measured[Measured Value (kWh)]))=0,"",SUMIFS(measured[Measured Value (kWh)],measured[Site Name],A871,measured[Date],B871)),"")</f>
        <v>17820</v>
      </c>
      <c r="D871" cm="1">
        <f t="array" ref="D871">IFERROR(IF(SUMPRODUCT((expected_production[Site Name]=A871)*(expected_production[Date]=B871)*ISNUMBER(expected_production[Expected Production (kWh)]))=0,"",SUMIFS(expected_production[Expected Production (kWh)],expected_production[Site Name],A871,expected_production[Date],B871)),"")</f>
        <v>19301.400000000001</v>
      </c>
      <c r="E871" s="9">
        <f t="shared" si="28"/>
        <v>0.92324909073953176</v>
      </c>
      <c r="F871" t="str">
        <f t="shared" si="29"/>
        <v>Expected</v>
      </c>
    </row>
    <row r="872" spans="1:6" ht="15" customHeight="1" x14ac:dyDescent="0.3">
      <c r="A872" t="s">
        <v>114</v>
      </c>
      <c r="B872" s="2">
        <v>45444</v>
      </c>
      <c r="C872" cm="1">
        <f t="array" ref="C872">IFERROR(IF(SUMPRODUCT((measured[Site Name]=A872)*(measured[Date]=B872)*ISNUMBER(measured[Measured Value (kWh)]))=0,"",SUMIFS(measured[Measured Value (kWh)],measured[Site Name],A872,measured[Date],B872)),"")</f>
        <v>11000</v>
      </c>
      <c r="D872" cm="1">
        <f t="array" ref="D872">IFERROR(IF(SUMPRODUCT((expected_production[Site Name]=A872)*(expected_production[Date]=B872)*ISNUMBER(expected_production[Expected Production (kWh)]))=0,"",SUMIFS(expected_production[Expected Production (kWh)],expected_production[Site Name],A872,expected_production[Date],B872)),"")</f>
        <v>17076.599999999999</v>
      </c>
      <c r="E872" s="9">
        <f t="shared" si="28"/>
        <v>0.64415633088553936</v>
      </c>
      <c r="F872" t="str">
        <f t="shared" si="29"/>
        <v>Poor</v>
      </c>
    </row>
    <row r="873" spans="1:6" ht="15" customHeight="1" x14ac:dyDescent="0.3">
      <c r="A873" t="s">
        <v>114</v>
      </c>
      <c r="B873" s="2">
        <v>45474</v>
      </c>
      <c r="C873" cm="1">
        <f t="array" ref="C873">IFERROR(IF(SUMPRODUCT((measured[Site Name]=A873)*(measured[Date]=B873)*ISNUMBER(measured[Measured Value (kWh)]))=0,"",SUMIFS(measured[Measured Value (kWh)],measured[Site Name],A873,measured[Date],B873)),"")</f>
        <v>17460</v>
      </c>
      <c r="D873" cm="1">
        <f t="array" ref="D873">IFERROR(IF(SUMPRODUCT((expected_production[Site Name]=A873)*(expected_production[Date]=B873)*ISNUMBER(expected_production[Expected Production (kWh)]))=0,"",SUMIFS(expected_production[Expected Production (kWh)],expected_production[Site Name],A873,expected_production[Date],B873)),"")</f>
        <v>19010.7</v>
      </c>
      <c r="E873" s="9">
        <f t="shared" si="28"/>
        <v>0.91843014723287408</v>
      </c>
      <c r="F873" t="str">
        <f t="shared" si="29"/>
        <v>Expected</v>
      </c>
    </row>
    <row r="874" spans="1:6" ht="15" customHeight="1" x14ac:dyDescent="0.3">
      <c r="A874" t="s">
        <v>114</v>
      </c>
      <c r="B874" s="2">
        <v>45505</v>
      </c>
      <c r="C874" cm="1">
        <f t="array" ref="C874">IFERROR(IF(SUMPRODUCT((measured[Site Name]=A874)*(measured[Date]=B874)*ISNUMBER(measured[Measured Value (kWh)]))=0,"",SUMIFS(measured[Measured Value (kWh)],measured[Site Name],A874,measured[Date],B874)),"")</f>
        <v>24290</v>
      </c>
      <c r="D874" cm="1">
        <f t="array" ref="D874">IFERROR(IF(SUMPRODUCT((expected_production[Site Name]=A874)*(expected_production[Date]=B874)*ISNUMBER(expected_production[Expected Production (kWh)]))=0,"",SUMIFS(expected_production[Expected Production (kWh)],expected_production[Site Name],A874,expected_production[Date],B874)),"")</f>
        <v>22169.7</v>
      </c>
      <c r="E874" s="9">
        <f t="shared" si="28"/>
        <v>1.0956395440623914</v>
      </c>
      <c r="F874" t="str">
        <f t="shared" si="29"/>
        <v>Expected</v>
      </c>
    </row>
    <row r="875" spans="1:6" ht="15" customHeight="1" x14ac:dyDescent="0.3">
      <c r="A875" t="s">
        <v>114</v>
      </c>
      <c r="B875" s="2">
        <v>45536</v>
      </c>
      <c r="C875" cm="1">
        <f t="array" ref="C875">IFERROR(IF(SUMPRODUCT((measured[Site Name]=A875)*(measured[Date]=B875)*ISNUMBER(measured[Measured Value (kWh)]))=0,"",SUMIFS(measured[Measured Value (kWh)],measured[Site Name],A875,measured[Date],B875)),"")</f>
        <v>22510</v>
      </c>
      <c r="D875" cm="1">
        <f t="array" ref="D875">IFERROR(IF(SUMPRODUCT((expected_production[Site Name]=A875)*(expected_production[Date]=B875)*ISNUMBER(expected_production[Expected Production (kWh)]))=0,"",SUMIFS(expected_production[Expected Production (kWh)],expected_production[Site Name],A875,expected_production[Date],B875)),"")</f>
        <v>24661.8</v>
      </c>
      <c r="E875" s="9">
        <f t="shared" si="28"/>
        <v>0.91274765021206894</v>
      </c>
      <c r="F875" t="str">
        <f t="shared" si="29"/>
        <v>Expected</v>
      </c>
    </row>
    <row r="876" spans="1:6" ht="15" customHeight="1" x14ac:dyDescent="0.3">
      <c r="A876" t="s">
        <v>114</v>
      </c>
      <c r="B876" s="2">
        <v>45566</v>
      </c>
      <c r="C876" cm="1">
        <f t="array" ref="C876">IFERROR(IF(SUMPRODUCT((measured[Site Name]=A876)*(measured[Date]=B876)*ISNUMBER(measured[Measured Value (kWh)]))=0,"",SUMIFS(measured[Measured Value (kWh)],measured[Site Name],A876,measured[Date],B876)),"")</f>
        <v>31780</v>
      </c>
      <c r="D876" cm="1">
        <f t="array" ref="D876">IFERROR(IF(SUMPRODUCT((expected_production[Site Name]=A876)*(expected_production[Date]=B876)*ISNUMBER(expected_production[Expected Production (kWh)]))=0,"",SUMIFS(expected_production[Expected Production (kWh)],expected_production[Site Name],A876,expected_production[Date],B876)),"")</f>
        <v>27450.9</v>
      </c>
      <c r="E876" s="9">
        <f t="shared" si="28"/>
        <v>1.1577033904170719</v>
      </c>
      <c r="F876" t="str">
        <f t="shared" si="29"/>
        <v>Expected</v>
      </c>
    </row>
    <row r="877" spans="1:6" ht="15" customHeight="1" x14ac:dyDescent="0.3">
      <c r="A877" t="s">
        <v>114</v>
      </c>
      <c r="B877" s="2">
        <v>45597</v>
      </c>
      <c r="C877" cm="1">
        <f t="array" ref="C877">IFERROR(IF(SUMPRODUCT((measured[Site Name]=A877)*(measured[Date]=B877)*ISNUMBER(measured[Measured Value (kWh)]))=0,"",SUMIFS(measured[Measured Value (kWh)],measured[Site Name],A877,measured[Date],B877)),"")</f>
        <v>30100</v>
      </c>
      <c r="D877" cm="1">
        <f t="array" ref="D877">IFERROR(IF(SUMPRODUCT((expected_production[Site Name]=A877)*(expected_production[Date]=B877)*ISNUMBER(expected_production[Expected Production (kWh)]))=0,"",SUMIFS(expected_production[Expected Production (kWh)],expected_production[Site Name],A877,expected_production[Date],B877)),"")</f>
        <v>28825.200000000001</v>
      </c>
      <c r="E877" s="9">
        <f t="shared" si="28"/>
        <v>1.0442251918460237</v>
      </c>
      <c r="F877" t="str">
        <f t="shared" si="29"/>
        <v>Expected</v>
      </c>
    </row>
    <row r="878" spans="1:6" ht="15" customHeight="1" x14ac:dyDescent="0.3">
      <c r="A878" t="s">
        <v>114</v>
      </c>
      <c r="B878" s="2">
        <v>45627</v>
      </c>
      <c r="C878" cm="1">
        <f t="array" ref="C878">IFERROR(IF(SUMPRODUCT((measured[Site Name]=A878)*(measured[Date]=B878)*ISNUMBER(measured[Measured Value (kWh)]))=0,"",SUMIFS(measured[Measured Value (kWh)],measured[Site Name],A878,measured[Date],B878)),"")</f>
        <v>17966</v>
      </c>
      <c r="D878" cm="1">
        <f t="array" ref="D878">IFERROR(IF(SUMPRODUCT((expected_production[Site Name]=A878)*(expected_production[Date]=B878)*ISNUMBER(expected_production[Expected Production (kWh)]))=0,"",SUMIFS(expected_production[Expected Production (kWh)],expected_production[Site Name],A878,expected_production[Date],B878)),"")</f>
        <v>28327.5</v>
      </c>
      <c r="E878" s="9">
        <f t="shared" si="28"/>
        <v>0.63422469331921283</v>
      </c>
      <c r="F878" t="str">
        <f t="shared" si="29"/>
        <v>Poor</v>
      </c>
    </row>
    <row r="879" spans="1:6" ht="15" customHeight="1" x14ac:dyDescent="0.3">
      <c r="A879" t="s">
        <v>114</v>
      </c>
      <c r="B879" s="2">
        <v>45658</v>
      </c>
      <c r="C879" cm="1">
        <f t="array" ref="C879">IFERROR(IF(SUMPRODUCT((measured[Site Name]=A879)*(measured[Date]=B879)*ISNUMBER(measured[Measured Value (kWh)]))=0,"",SUMIFS(measured[Measured Value (kWh)],measured[Site Name],A879,measured[Date],B879)),"")</f>
        <v>20808</v>
      </c>
      <c r="D879" cm="1">
        <f t="array" ref="D879">IFERROR(IF(SUMPRODUCT((expected_production[Site Name]=A879)*(expected_production[Date]=B879)*ISNUMBER(expected_production[Expected Production (kWh)]))=0,"",SUMIFS(expected_production[Expected Production (kWh)],expected_production[Site Name],A879,expected_production[Date],B879)),"")</f>
        <v>29391.3</v>
      </c>
      <c r="E879" s="9">
        <f t="shared" si="28"/>
        <v>0.70796460176991149</v>
      </c>
      <c r="F879" t="str">
        <f t="shared" si="29"/>
        <v>Moderate</v>
      </c>
    </row>
    <row r="880" spans="1:6" ht="15" customHeight="1" x14ac:dyDescent="0.3">
      <c r="A880" t="s">
        <v>114</v>
      </c>
      <c r="B880" s="2">
        <v>45689</v>
      </c>
      <c r="C880" cm="1">
        <f t="array" ref="C880">IFERROR(IF(SUMPRODUCT((measured[Site Name]=A880)*(measured[Date]=B880)*ISNUMBER(measured[Measured Value (kWh)]))=0,"",SUMIFS(measured[Measured Value (kWh)],measured[Site Name],A880,measured[Date],B880)),"")</f>
        <v>21538</v>
      </c>
      <c r="D880" cm="1">
        <f t="array" ref="D880">IFERROR(IF(SUMPRODUCT((expected_production[Site Name]=A880)*(expected_production[Date]=B880)*ISNUMBER(expected_production[Expected Production (kWh)]))=0,"",SUMIFS(expected_production[Expected Production (kWh)],expected_production[Site Name],A880,expected_production[Date],B880)),"")</f>
        <v>25677</v>
      </c>
      <c r="E880" s="9">
        <f t="shared" si="28"/>
        <v>0.83880515636561903</v>
      </c>
      <c r="F880" t="str">
        <f t="shared" si="29"/>
        <v>Moderate</v>
      </c>
    </row>
    <row r="881" spans="1:6" ht="15" customHeight="1" x14ac:dyDescent="0.3">
      <c r="A881" t="s">
        <v>114</v>
      </c>
      <c r="B881" s="2">
        <v>45717</v>
      </c>
      <c r="C881" cm="1">
        <f t="array" ref="C881">IFERROR(IF(SUMPRODUCT((measured[Site Name]=A881)*(measured[Date]=B881)*ISNUMBER(measured[Measured Value (kWh)]))=0,"",SUMIFS(measured[Measured Value (kWh)],measured[Site Name],A881,measured[Date],B881)),"")</f>
        <v>22662</v>
      </c>
      <c r="D881" cm="1">
        <f t="array" ref="D881">IFERROR(IF(SUMPRODUCT((expected_production[Site Name]=A881)*(expected_production[Date]=B881)*ISNUMBER(expected_production[Expected Production (kWh)]))=0,"",SUMIFS(expected_production[Expected Production (kWh)],expected_production[Site Name],A881,expected_production[Date],B881)),"")</f>
        <v>24204.6</v>
      </c>
      <c r="E881" s="9">
        <f t="shared" si="28"/>
        <v>0.93626831263478849</v>
      </c>
      <c r="F881" t="str">
        <f t="shared" si="29"/>
        <v>Expected</v>
      </c>
    </row>
    <row r="882" spans="1:6" ht="15" customHeight="1" x14ac:dyDescent="0.3">
      <c r="A882" t="s">
        <v>114</v>
      </c>
      <c r="B882" s="2">
        <v>45748</v>
      </c>
      <c r="C882" cm="1">
        <f t="array" ref="C882">IFERROR(IF(SUMPRODUCT((measured[Site Name]=A882)*(measured[Date]=B882)*ISNUMBER(measured[Measured Value (kWh)]))=0,"",SUMIFS(measured[Measured Value (kWh)],measured[Site Name],A882,measured[Date],B882)),"")</f>
        <v>17413</v>
      </c>
      <c r="D882" cm="1">
        <f t="array" ref="D882">IFERROR(IF(SUMPRODUCT((expected_production[Site Name]=A882)*(expected_production[Date]=B882)*ISNUMBER(expected_production[Expected Production (kWh)]))=0,"",SUMIFS(expected_production[Expected Production (kWh)],expected_production[Site Name],A882,expected_production[Date],B882)),"")</f>
        <v>21550.5</v>
      </c>
      <c r="E882" s="9">
        <f t="shared" si="28"/>
        <v>0.80800909491659123</v>
      </c>
      <c r="F882" t="str">
        <f t="shared" si="29"/>
        <v>Moderate</v>
      </c>
    </row>
    <row r="883" spans="1:6" ht="15" customHeight="1" x14ac:dyDescent="0.3">
      <c r="A883" t="s">
        <v>114</v>
      </c>
      <c r="B883" s="2">
        <v>45778</v>
      </c>
      <c r="C883" cm="1">
        <f t="array" ref="C883">IFERROR(IF(SUMPRODUCT((measured[Site Name]=A883)*(measured[Date]=B883)*ISNUMBER(measured[Measured Value (kWh)]))=0,"",SUMIFS(measured[Measured Value (kWh)],measured[Site Name],A883,measured[Date],B883)),"")</f>
        <v>20430</v>
      </c>
      <c r="D883" cm="1">
        <f t="array" ref="D883">IFERROR(IF(SUMPRODUCT((expected_production[Site Name]=A883)*(expected_production[Date]=B883)*ISNUMBER(expected_production[Expected Production (kWh)]))=0,"",SUMIFS(expected_production[Expected Production (kWh)],expected_production[Site Name],A883,expected_production[Date],B883)),"")</f>
        <v>19301.400000000001</v>
      </c>
      <c r="E883" s="9">
        <f t="shared" si="28"/>
        <v>1.0584724424135037</v>
      </c>
      <c r="F883" t="str">
        <f t="shared" si="29"/>
        <v>Expected</v>
      </c>
    </row>
    <row r="884" spans="1:6" ht="15" customHeight="1" x14ac:dyDescent="0.3">
      <c r="A884" t="s">
        <v>114</v>
      </c>
      <c r="B884" s="2">
        <v>45809</v>
      </c>
      <c r="C884" cm="1">
        <f t="array" ref="C884">IFERROR(IF(SUMPRODUCT((measured[Site Name]=A884)*(measured[Date]=B884)*ISNUMBER(measured[Measured Value (kWh)]))=0,"",SUMIFS(measured[Measured Value (kWh)],measured[Site Name],A884,measured[Date],B884)),"")</f>
        <v>18398.740000000002</v>
      </c>
      <c r="D884" cm="1">
        <f t="array" ref="D884">IFERROR(IF(SUMPRODUCT((expected_production[Site Name]=A884)*(expected_production[Date]=B884)*ISNUMBER(expected_production[Expected Production (kWh)]))=0,"",SUMIFS(expected_production[Expected Production (kWh)],expected_production[Site Name],A884,expected_production[Date],B884)),"")</f>
        <v>17076.599999999999</v>
      </c>
      <c r="E884" s="9">
        <f t="shared" si="28"/>
        <v>1.0774240773924553</v>
      </c>
      <c r="F884" t="str">
        <f t="shared" si="29"/>
        <v>Expected</v>
      </c>
    </row>
    <row r="885" spans="1:6" ht="15" customHeight="1" x14ac:dyDescent="0.3">
      <c r="A885" t="s">
        <v>114</v>
      </c>
      <c r="B885" s="2">
        <v>45839</v>
      </c>
      <c r="C885" cm="1">
        <f t="array" ref="C885">IFERROR(IF(SUMPRODUCT((measured[Site Name]=A885)*(measured[Date]=B885)*ISNUMBER(measured[Measured Value (kWh)]))=0,"",SUMIFS(measured[Measured Value (kWh)],measured[Site Name],A885,measured[Date],B885)),"")</f>
        <v>19115</v>
      </c>
      <c r="D885" cm="1">
        <f t="array" ref="D885">IFERROR(IF(SUMPRODUCT((expected_production[Site Name]=A885)*(expected_production[Date]=B885)*ISNUMBER(expected_production[Expected Production (kWh)]))=0,"",SUMIFS(expected_production[Expected Production (kWh)],expected_production[Site Name],A885,expected_production[Date],B885)),"")</f>
        <v>19010.7</v>
      </c>
      <c r="E885" s="9">
        <f t="shared" si="28"/>
        <v>1.0054863839837564</v>
      </c>
      <c r="F885" t="str">
        <f t="shared" si="29"/>
        <v>Expected</v>
      </c>
    </row>
    <row r="886" spans="1:6" ht="15" customHeight="1" x14ac:dyDescent="0.3">
      <c r="A886" t="s">
        <v>114</v>
      </c>
      <c r="B886" s="2">
        <v>45870</v>
      </c>
      <c r="C886" cm="1">
        <f t="array" ref="C886">IFERROR(IF(SUMPRODUCT((measured[Site Name]=A886)*(measured[Date]=B886)*ISNUMBER(measured[Measured Value (kWh)]))=0,"",SUMIFS(measured[Measured Value (kWh)],measured[Site Name],A886,measured[Date],B886)),"")</f>
        <v>21942</v>
      </c>
      <c r="D886" cm="1">
        <f t="array" ref="D886">IFERROR(IF(SUMPRODUCT((expected_production[Site Name]=A886)*(expected_production[Date]=B886)*ISNUMBER(expected_production[Expected Production (kWh)]))=0,"",SUMIFS(expected_production[Expected Production (kWh)],expected_production[Site Name],A886,expected_production[Date],B886)),"")</f>
        <v>22169.7</v>
      </c>
      <c r="E886" s="9">
        <f t="shared" si="28"/>
        <v>0.9897292250233426</v>
      </c>
      <c r="F886" t="str">
        <f t="shared" si="29"/>
        <v>Expected</v>
      </c>
    </row>
    <row r="887" spans="1:6" ht="15" customHeight="1" x14ac:dyDescent="0.3">
      <c r="A887" t="s">
        <v>114</v>
      </c>
      <c r="B887" s="2">
        <v>45901</v>
      </c>
      <c r="C887" cm="1">
        <f t="array" ref="C887">IFERROR(IF(SUMPRODUCT((measured[Site Name]=A887)*(measured[Date]=B887)*ISNUMBER(measured[Measured Value (kWh)]))=0,"",SUMIFS(measured[Measured Value (kWh)],measured[Site Name],A887,measured[Date],B887)),"")</f>
        <v>21707</v>
      </c>
      <c r="D887" cm="1">
        <f t="array" ref="D887">IFERROR(IF(SUMPRODUCT((expected_production[Site Name]=A887)*(expected_production[Date]=B887)*ISNUMBER(expected_production[Expected Production (kWh)]))=0,"",SUMIFS(expected_production[Expected Production (kWh)],expected_production[Site Name],A887,expected_production[Date],B887)),"")</f>
        <v>24661.8</v>
      </c>
      <c r="E887" s="9">
        <f t="shared" si="28"/>
        <v>0.88018717206367747</v>
      </c>
      <c r="F887" t="str">
        <f t="shared" si="29"/>
        <v>Moderate</v>
      </c>
    </row>
    <row r="888" spans="1:6" ht="15" customHeight="1" x14ac:dyDescent="0.3">
      <c r="A888" t="s">
        <v>114</v>
      </c>
      <c r="B888" s="2">
        <v>45931</v>
      </c>
      <c r="C888" cm="1">
        <f t="array" ref="C888">IFERROR(IF(SUMPRODUCT((measured[Site Name]=A888)*(measured[Date]=B888)*ISNUMBER(measured[Measured Value (kWh)]))=0,"",SUMIFS(measured[Measured Value (kWh)],measured[Site Name],A888,measured[Date],B888)),"")</f>
        <v>28392</v>
      </c>
      <c r="D888" cm="1">
        <f t="array" ref="D888">IFERROR(IF(SUMPRODUCT((expected_production[Site Name]=A888)*(expected_production[Date]=B888)*ISNUMBER(expected_production[Expected Production (kWh)]))=0,"",SUMIFS(expected_production[Expected Production (kWh)],expected_production[Site Name],A888,expected_production[Date],B888)),"")</f>
        <v>27450.9</v>
      </c>
      <c r="E888" s="9">
        <f t="shared" si="28"/>
        <v>1.0342830289717277</v>
      </c>
      <c r="F888" t="str">
        <f t="shared" si="29"/>
        <v>Expected</v>
      </c>
    </row>
    <row r="889" spans="1:6" ht="15" customHeight="1" x14ac:dyDescent="0.3">
      <c r="A889" t="s">
        <v>114</v>
      </c>
      <c r="B889" s="2">
        <v>45962</v>
      </c>
      <c r="C889" cm="1">
        <f t="array" ref="C889">IFERROR(IF(SUMPRODUCT((measured[Site Name]=A889)*(measured[Date]=B889)*ISNUMBER(measured[Measured Value (kWh)]))=0,"",SUMIFS(measured[Measured Value (kWh)],measured[Site Name],A889,measured[Date],B889)),"")</f>
        <v>24635</v>
      </c>
      <c r="D889" cm="1">
        <f t="array" ref="D889">IFERROR(IF(SUMPRODUCT((expected_production[Site Name]=A889)*(expected_production[Date]=B889)*ISNUMBER(expected_production[Expected Production (kWh)]))=0,"",SUMIFS(expected_production[Expected Production (kWh)],expected_production[Site Name],A889,expected_production[Date],B889)),"")</f>
        <v>28825.200000000001</v>
      </c>
      <c r="E889" s="9">
        <f t="shared" si="28"/>
        <v>0.8546341395723186</v>
      </c>
      <c r="F889" t="str">
        <f t="shared" si="29"/>
        <v>Moderate</v>
      </c>
    </row>
    <row r="890" spans="1:6" ht="15" customHeight="1" x14ac:dyDescent="0.3">
      <c r="A890" t="s">
        <v>114</v>
      </c>
      <c r="B890" s="2">
        <v>45992</v>
      </c>
      <c r="C890" cm="1">
        <f t="array" ref="C890">IFERROR(IF(SUMPRODUCT((measured[Site Name]=A890)*(measured[Date]=B890)*ISNUMBER(measured[Measured Value (kWh)]))=0,"",SUMIFS(measured[Measured Value (kWh)],measured[Site Name],A890,measured[Date],B890)),"")</f>
        <v>13946</v>
      </c>
      <c r="D890" cm="1">
        <f t="array" ref="D890">IFERROR(IF(SUMPRODUCT((expected_production[Site Name]=A890)*(expected_production[Date]=B890)*ISNUMBER(expected_production[Expected Production (kWh)]))=0,"",SUMIFS(expected_production[Expected Production (kWh)],expected_production[Site Name],A890,expected_production[Date],B890)),"")</f>
        <v>28327.5</v>
      </c>
      <c r="E890" s="9">
        <f t="shared" si="28"/>
        <v>0.49231312329008914</v>
      </c>
      <c r="F890" t="str">
        <f t="shared" si="29"/>
        <v>Poor</v>
      </c>
    </row>
    <row r="891" spans="1:6" ht="15" customHeight="1" x14ac:dyDescent="0.3">
      <c r="A891" t="s">
        <v>114</v>
      </c>
      <c r="B891" s="2">
        <v>46023</v>
      </c>
      <c r="C891" cm="1">
        <f t="array" ref="C891">IFERROR(IF(SUMPRODUCT((measured[Site Name]=A891)*(measured[Date]=B891)*ISNUMBER(measured[Measured Value (kWh)]))=0,"",SUMIFS(measured[Measured Value (kWh)],measured[Site Name],A891,measured[Date],B891)),"")</f>
        <v>25775</v>
      </c>
      <c r="D891" cm="1">
        <f t="array" ref="D891">IFERROR(IF(SUMPRODUCT((expected_production[Site Name]=A891)*(expected_production[Date]=B891)*ISNUMBER(expected_production[Expected Production (kWh)]))=0,"",SUMIFS(expected_production[Expected Production (kWh)],expected_production[Site Name],A891,expected_production[Date],B891)),"")</f>
        <v>29391.3</v>
      </c>
      <c r="E891" s="9">
        <f t="shared" si="28"/>
        <v>0.87696018889943628</v>
      </c>
      <c r="F891" t="str">
        <f t="shared" si="29"/>
        <v>Moderate</v>
      </c>
    </row>
    <row r="892" spans="1:6" ht="15" customHeight="1" x14ac:dyDescent="0.3">
      <c r="A892" t="s">
        <v>114</v>
      </c>
      <c r="B892" s="2">
        <v>46054</v>
      </c>
      <c r="C892" cm="1">
        <f t="array" ref="C892">IFERROR(IF(SUMPRODUCT((measured[Site Name]=A892)*(measured[Date]=B892)*ISNUMBER(measured[Measured Value (kWh)]))=0,"",SUMIFS(measured[Measured Value (kWh)],measured[Site Name],A892,measured[Date],B892)),"")</f>
        <v>24391</v>
      </c>
      <c r="D892" cm="1">
        <f t="array" ref="D892">IFERROR(IF(SUMPRODUCT((expected_production[Site Name]=A892)*(expected_production[Date]=B892)*ISNUMBER(expected_production[Expected Production (kWh)]))=0,"",SUMIFS(expected_production[Expected Production (kWh)],expected_production[Site Name],A892,expected_production[Date],B892)),"")</f>
        <v>25677</v>
      </c>
      <c r="E892" s="9">
        <f t="shared" si="28"/>
        <v>0.94991626747673019</v>
      </c>
      <c r="F892" t="str">
        <f t="shared" si="29"/>
        <v>Expected</v>
      </c>
    </row>
    <row r="893" spans="1:6" ht="15" customHeight="1" x14ac:dyDescent="0.3">
      <c r="A893" t="s">
        <v>114</v>
      </c>
      <c r="B893" s="2">
        <v>46082</v>
      </c>
      <c r="C893" cm="1">
        <f t="array" ref="C893">IFERROR(IF(SUMPRODUCT((measured[Site Name]=A893)*(measured[Date]=B893)*ISNUMBER(measured[Measured Value (kWh)]))=0,"",SUMIFS(measured[Measured Value (kWh)],measured[Site Name],A893,measured[Date],B893)),"")</f>
        <v>22838</v>
      </c>
      <c r="D893" cm="1">
        <f t="array" ref="D893">IFERROR(IF(SUMPRODUCT((expected_production[Site Name]=A893)*(expected_production[Date]=B893)*ISNUMBER(expected_production[Expected Production (kWh)]))=0,"",SUMIFS(expected_production[Expected Production (kWh)],expected_production[Site Name],A893,expected_production[Date],B893)),"")</f>
        <v>24204.6</v>
      </c>
      <c r="E893" s="9">
        <f t="shared" ref="E893:E955" si="30">IF(OR(C893="",D893="",D893=0),"",C893/D893)</f>
        <v>0.94353965775100601</v>
      </c>
      <c r="F893" t="str">
        <f t="shared" ref="F893:F955" si="31">IF(E893="","",IF(E893&gt;=0.9,"Expected",IF(E893&gt;=0.7,"Moderate","Poor")))</f>
        <v>Expected</v>
      </c>
    </row>
    <row r="894" spans="1:6" ht="15" customHeight="1" x14ac:dyDescent="0.3">
      <c r="A894" t="s">
        <v>114</v>
      </c>
      <c r="B894" s="2">
        <v>46113</v>
      </c>
      <c r="C894" s="5" cm="1">
        <f t="array" ref="C894">IFERROR(IF(SUMPRODUCT((measured[Site Name]=A894)*(measured[Date]=B894)*ISNUMBER(measured[Measured Value (kWh)]))=0,"",SUMIFS(measured[Measured Value (kWh)],measured[Site Name],A894,measured[Date],B894)),"")</f>
        <v>19038.02</v>
      </c>
      <c r="D894" cm="1">
        <f t="array" ref="D894">IFERROR(IF(SUMPRODUCT((expected_production[Site Name]=A894)*(expected_production[Date]=B894)*ISNUMBER(expected_production[Expected Production (kWh)]))=0,"",SUMIFS(expected_production[Expected Production (kWh)],expected_production[Site Name],A894,expected_production[Date],B894)),"")</f>
        <v>21550.5</v>
      </c>
      <c r="E894" s="9">
        <f t="shared" si="30"/>
        <v>0.88341430593257697</v>
      </c>
      <c r="F894" t="str">
        <f t="shared" si="31"/>
        <v>Moderate</v>
      </c>
    </row>
    <row r="895" spans="1:6" ht="15" customHeight="1" x14ac:dyDescent="0.3">
      <c r="A895" t="s">
        <v>114</v>
      </c>
      <c r="B895" s="2">
        <v>46143</v>
      </c>
      <c r="C895" s="5" cm="1">
        <f t="array" ref="C895">IFERROR(IF(SUMPRODUCT((measured[Site Name]=A895)*(measured[Date]=B895)*ISNUMBER(measured[Measured Value (kWh)]))=0,"",SUMIFS(measured[Measured Value (kWh)],measured[Site Name],A895,measured[Date],B895)),"")</f>
        <v>19892</v>
      </c>
      <c r="D895" cm="1">
        <f t="array" ref="D895">IFERROR(IF(SUMPRODUCT((expected_production[Site Name]=A895)*(expected_production[Date]=B895)*ISNUMBER(expected_production[Expected Production (kWh)]))=0,"",SUMIFS(expected_production[Expected Production (kWh)],expected_production[Site Name],A895,expected_production[Date],B895)),"")</f>
        <v>19301.400000000001</v>
      </c>
      <c r="E895" s="9">
        <f t="shared" si="30"/>
        <v>1.0305988166661484</v>
      </c>
      <c r="F895" t="str">
        <f t="shared" si="31"/>
        <v>Expected</v>
      </c>
    </row>
    <row r="896" spans="1:6" ht="15" customHeight="1" x14ac:dyDescent="0.3">
      <c r="A896" t="s">
        <v>114</v>
      </c>
      <c r="B896" s="2">
        <v>46174</v>
      </c>
      <c r="C896" cm="1">
        <f t="array" ref="C896">IFERROR(IF(SUMPRODUCT((measured[Site Name]=A896)*(measured[Date]=B896)*ISNUMBER(measured[Measured Value (kWh)]))=0,"",SUMIFS(measured[Measured Value (kWh)],measured[Site Name],A896,measured[Date],B896)),"")</f>
        <v>13234</v>
      </c>
      <c r="D896" cm="1">
        <f t="array" ref="D896">IFERROR(IF(SUMPRODUCT((expected_production[Site Name]=A896)*(expected_production[Date]=B896)*ISNUMBER(expected_production[Expected Production (kWh)]))=0,"",SUMIFS(expected_production[Expected Production (kWh)],expected_production[Site Name],A896,expected_production[Date],B896)),"")</f>
        <v>17076.599999999999</v>
      </c>
      <c r="E896" s="9">
        <f t="shared" si="30"/>
        <v>0.77497862572174792</v>
      </c>
      <c r="F896" t="str">
        <f t="shared" si="31"/>
        <v>Moderate</v>
      </c>
    </row>
    <row r="897" spans="1:6" ht="15" customHeight="1" x14ac:dyDescent="0.3">
      <c r="A897" t="s">
        <v>114</v>
      </c>
      <c r="B897" s="2">
        <v>46235</v>
      </c>
      <c r="C897" t="str" cm="1">
        <f t="array" ref="C897">IFERROR(IF(SUMPRODUCT((measured[Site Name]=A897)*(measured[Date]=B897)*ISNUMBER(measured[Measured Value (kWh)]))=0,"",SUMIFS(measured[Measured Value (kWh)],measured[Site Name],A897,measured[Date],B897)),"")</f>
        <v/>
      </c>
      <c r="D897" cm="1">
        <f t="array" ref="D897">IFERROR(IF(SUMPRODUCT((expected_production[Site Name]=A897)*(expected_production[Date]=B897)*ISNUMBER(expected_production[Expected Production (kWh)]))=0,"",SUMIFS(expected_production[Expected Production (kWh)],expected_production[Site Name],A897,expected_production[Date],B897)),"")</f>
        <v>22169.7</v>
      </c>
      <c r="E897" s="9" t="str">
        <f t="shared" si="30"/>
        <v/>
      </c>
      <c r="F897" t="str">
        <f t="shared" si="31"/>
        <v/>
      </c>
    </row>
    <row r="898" spans="1:6" ht="15" customHeight="1" x14ac:dyDescent="0.3">
      <c r="A898" t="s">
        <v>114</v>
      </c>
      <c r="B898" s="2">
        <v>46266</v>
      </c>
      <c r="C898" t="str" cm="1">
        <f t="array" ref="C898">IFERROR(IF(SUMPRODUCT((measured[Site Name]=A898)*(measured[Date]=B898)*ISNUMBER(measured[Measured Value (kWh)]))=0,"",SUMIFS(measured[Measured Value (kWh)],measured[Site Name],A898,measured[Date],B898)),"")</f>
        <v/>
      </c>
      <c r="D898" cm="1">
        <f t="array" ref="D898">IFERROR(IF(SUMPRODUCT((expected_production[Site Name]=A898)*(expected_production[Date]=B898)*ISNUMBER(expected_production[Expected Production (kWh)]))=0,"",SUMIFS(expected_production[Expected Production (kWh)],expected_production[Site Name],A898,expected_production[Date],B898)),"")</f>
        <v>24661.8</v>
      </c>
      <c r="E898" s="9" t="str">
        <f t="shared" si="30"/>
        <v/>
      </c>
      <c r="F898" t="str">
        <f t="shared" si="31"/>
        <v/>
      </c>
    </row>
    <row r="899" spans="1:6" ht="15" customHeight="1" x14ac:dyDescent="0.3">
      <c r="A899" t="s">
        <v>114</v>
      </c>
      <c r="B899" s="2">
        <v>46296</v>
      </c>
      <c r="C899" t="str" cm="1">
        <f t="array" ref="C899">IFERROR(IF(SUMPRODUCT((measured[Site Name]=A899)*(measured[Date]=B899)*ISNUMBER(measured[Measured Value (kWh)]))=0,"",SUMIFS(measured[Measured Value (kWh)],measured[Site Name],A899,measured[Date],B899)),"")</f>
        <v/>
      </c>
      <c r="D899" cm="1">
        <f t="array" ref="D899">IFERROR(IF(SUMPRODUCT((expected_production[Site Name]=A899)*(expected_production[Date]=B899)*ISNUMBER(expected_production[Expected Production (kWh)]))=0,"",SUMIFS(expected_production[Expected Production (kWh)],expected_production[Site Name],A899,expected_production[Date],B899)),"")</f>
        <v>27450.9</v>
      </c>
      <c r="E899" s="9" t="str">
        <f t="shared" si="30"/>
        <v/>
      </c>
      <c r="F899" t="str">
        <f t="shared" si="31"/>
        <v/>
      </c>
    </row>
    <row r="900" spans="1:6" ht="15" customHeight="1" x14ac:dyDescent="0.3">
      <c r="A900" t="s">
        <v>114</v>
      </c>
      <c r="B900" s="2">
        <v>46327</v>
      </c>
      <c r="C900" t="str" cm="1">
        <f t="array" ref="C900">IFERROR(IF(SUMPRODUCT((measured[Site Name]=A900)*(measured[Date]=B900)*ISNUMBER(measured[Measured Value (kWh)]))=0,"",SUMIFS(measured[Measured Value (kWh)],measured[Site Name],A900,measured[Date],B900)),"")</f>
        <v/>
      </c>
      <c r="D900" cm="1">
        <f t="array" ref="D900">IFERROR(IF(SUMPRODUCT((expected_production[Site Name]=A900)*(expected_production[Date]=B900)*ISNUMBER(expected_production[Expected Production (kWh)]))=0,"",SUMIFS(expected_production[Expected Production (kWh)],expected_production[Site Name],A900,expected_production[Date],B900)),"")</f>
        <v>28825.200000000001</v>
      </c>
      <c r="E900" s="9" t="str">
        <f t="shared" si="30"/>
        <v/>
      </c>
      <c r="F900" t="str">
        <f t="shared" si="31"/>
        <v/>
      </c>
    </row>
    <row r="901" spans="1:6" ht="15" customHeight="1" x14ac:dyDescent="0.3">
      <c r="A901" t="s">
        <v>114</v>
      </c>
      <c r="B901" s="2">
        <v>46357</v>
      </c>
      <c r="C901" t="str" cm="1">
        <f t="array" ref="C901">IFERROR(IF(SUMPRODUCT((measured[Site Name]=A901)*(measured[Date]=B901)*ISNUMBER(measured[Measured Value (kWh)]))=0,"",SUMIFS(measured[Measured Value (kWh)],measured[Site Name],A901,measured[Date],B901)),"")</f>
        <v/>
      </c>
      <c r="D901" cm="1">
        <f t="array" ref="D901">IFERROR(IF(SUMPRODUCT((expected_production[Site Name]=A901)*(expected_production[Date]=B901)*ISNUMBER(expected_production[Expected Production (kWh)]))=0,"",SUMIFS(expected_production[Expected Production (kWh)],expected_production[Site Name],A901,expected_production[Date],B901)),"")</f>
        <v>28327.5</v>
      </c>
      <c r="E901" s="9" t="str">
        <f t="shared" si="30"/>
        <v/>
      </c>
      <c r="F901" t="str">
        <f t="shared" si="31"/>
        <v/>
      </c>
    </row>
    <row r="902" spans="1:6" ht="15" customHeight="1" x14ac:dyDescent="0.3">
      <c r="A902" t="s">
        <v>117</v>
      </c>
      <c r="B902" s="2">
        <v>45292</v>
      </c>
      <c r="C902" t="str" cm="1">
        <f t="array" ref="C902">IFERROR(IF(SUMPRODUCT((measured[Site Name]=A902)*(measured[Date]=B902)*ISNUMBER(measured[Measured Value (kWh)]))=0,"",SUMIFS(measured[Measured Value (kWh)],measured[Site Name],A902,measured[Date],B902)),"")</f>
        <v/>
      </c>
      <c r="D902" cm="1">
        <f t="array" ref="D902">IFERROR(IF(SUMPRODUCT((expected_production[Site Name]=A902)*(expected_production[Date]=B902)*ISNUMBER(expected_production[Expected Production (kWh)]))=0,"",SUMIFS(expected_production[Expected Production (kWh)],expected_production[Site Name],A902,expected_production[Date],B902)),"")</f>
        <v>30214.799999999999</v>
      </c>
      <c r="E902" s="9" t="str">
        <f t="shared" si="30"/>
        <v/>
      </c>
      <c r="F902" t="str">
        <f t="shared" si="31"/>
        <v/>
      </c>
    </row>
    <row r="903" spans="1:6" ht="15" customHeight="1" x14ac:dyDescent="0.3">
      <c r="A903" t="s">
        <v>117</v>
      </c>
      <c r="B903" s="2">
        <v>45323</v>
      </c>
      <c r="C903" t="str" cm="1">
        <f t="array" ref="C903">IFERROR(IF(SUMPRODUCT((measured[Site Name]=A903)*(measured[Date]=B903)*ISNUMBER(measured[Measured Value (kWh)]))=0,"",SUMIFS(measured[Measured Value (kWh)],measured[Site Name],A903,measured[Date],B903)),"")</f>
        <v/>
      </c>
      <c r="D903" cm="1">
        <f t="array" ref="D903">IFERROR(IF(SUMPRODUCT((expected_production[Site Name]=A903)*(expected_production[Date]=B903)*ISNUMBER(expected_production[Expected Production (kWh)]))=0,"",SUMIFS(expected_production[Expected Production (kWh)],expected_production[Site Name],A903,expected_production[Date],B903)),"")</f>
        <v>26381.7</v>
      </c>
      <c r="E903" s="9" t="str">
        <f t="shared" si="30"/>
        <v/>
      </c>
      <c r="F903" t="str">
        <f t="shared" si="31"/>
        <v/>
      </c>
    </row>
    <row r="904" spans="1:6" ht="15" customHeight="1" x14ac:dyDescent="0.3">
      <c r="A904" t="s">
        <v>117</v>
      </c>
      <c r="B904" s="2">
        <v>45352</v>
      </c>
      <c r="C904" t="str" cm="1">
        <f t="array" ref="C904">IFERROR(IF(SUMPRODUCT((measured[Site Name]=A904)*(measured[Date]=B904)*ISNUMBER(measured[Measured Value (kWh)]))=0,"",SUMIFS(measured[Measured Value (kWh)],measured[Site Name],A904,measured[Date],B904)),"")</f>
        <v/>
      </c>
      <c r="D904" cm="1">
        <f t="array" ref="D904">IFERROR(IF(SUMPRODUCT((expected_production[Site Name]=A904)*(expected_production[Date]=B904)*ISNUMBER(expected_production[Expected Production (kWh)]))=0,"",SUMIFS(expected_production[Expected Production (kWh)],expected_production[Site Name],A904,expected_production[Date],B904)),"")</f>
        <v>27566.1</v>
      </c>
      <c r="E904" s="9" t="str">
        <f t="shared" si="30"/>
        <v/>
      </c>
      <c r="F904" t="str">
        <f t="shared" si="31"/>
        <v/>
      </c>
    </row>
    <row r="905" spans="1:6" ht="15" customHeight="1" x14ac:dyDescent="0.3">
      <c r="A905" t="s">
        <v>117</v>
      </c>
      <c r="B905" s="2">
        <v>45383</v>
      </c>
      <c r="C905" t="str" cm="1">
        <f t="array" ref="C905">IFERROR(IF(SUMPRODUCT((measured[Site Name]=A905)*(measured[Date]=B905)*ISNUMBER(measured[Measured Value (kWh)]))=0,"",SUMIFS(measured[Measured Value (kWh)],measured[Site Name],A905,measured[Date],B905)),"")</f>
        <v/>
      </c>
      <c r="D905" cm="1">
        <f t="array" ref="D905">IFERROR(IF(SUMPRODUCT((expected_production[Site Name]=A905)*(expected_production[Date]=B905)*ISNUMBER(expected_production[Expected Production (kWh)]))=0,"",SUMIFS(expected_production[Expected Production (kWh)],expected_production[Site Name],A905,expected_production[Date],B905)),"")</f>
        <v>23747.4</v>
      </c>
      <c r="E905" s="9" t="str">
        <f t="shared" si="30"/>
        <v/>
      </c>
      <c r="F905" t="str">
        <f t="shared" si="31"/>
        <v/>
      </c>
    </row>
    <row r="906" spans="1:6" ht="15" customHeight="1" x14ac:dyDescent="0.3">
      <c r="A906" t="s">
        <v>117</v>
      </c>
      <c r="B906" s="2">
        <v>45413</v>
      </c>
      <c r="C906" t="str" cm="1">
        <f t="array" ref="C906">IFERROR(IF(SUMPRODUCT((measured[Site Name]=A906)*(measured[Date]=B906)*ISNUMBER(measured[Measured Value (kWh)]))=0,"",SUMIFS(measured[Measured Value (kWh)],measured[Site Name],A906,measured[Date],B906)),"")</f>
        <v/>
      </c>
      <c r="D906" cm="1">
        <f t="array" ref="D906">IFERROR(IF(SUMPRODUCT((expected_production[Site Name]=A906)*(expected_production[Date]=B906)*ISNUMBER(expected_production[Expected Production (kWh)]))=0,"",SUMIFS(expected_production[Expected Production (kWh)],expected_production[Site Name],A906,expected_production[Date],B906)),"")</f>
        <v>22569.3</v>
      </c>
      <c r="E906" s="9" t="str">
        <f t="shared" si="30"/>
        <v/>
      </c>
      <c r="F906" t="str">
        <f t="shared" si="31"/>
        <v/>
      </c>
    </row>
    <row r="907" spans="1:6" ht="15" customHeight="1" x14ac:dyDescent="0.3">
      <c r="A907" t="s">
        <v>117</v>
      </c>
      <c r="B907" s="2">
        <v>45444</v>
      </c>
      <c r="C907" cm="1">
        <f t="array" ref="C907">IFERROR(IF(SUMPRODUCT((measured[Site Name]=A907)*(measured[Date]=B907)*ISNUMBER(measured[Measured Value (kWh)]))=0,"",SUMIFS(measured[Measured Value (kWh)],measured[Site Name],A907,measured[Date],B907)),"")</f>
        <v>5360</v>
      </c>
      <c r="D907" cm="1">
        <f t="array" ref="D907">IFERROR(IF(SUMPRODUCT((expected_production[Site Name]=A907)*(expected_production[Date]=B907)*ISNUMBER(expected_production[Expected Production (kWh)]))=0,"",SUMIFS(expected_production[Expected Production (kWh)],expected_production[Site Name],A907,expected_production[Date],B907)),"")</f>
        <v>20228.400000000001</v>
      </c>
      <c r="E907" s="9">
        <f t="shared" si="30"/>
        <v>0.26497399695477641</v>
      </c>
      <c r="F907" t="str">
        <f t="shared" si="31"/>
        <v>Poor</v>
      </c>
    </row>
    <row r="908" spans="1:6" ht="15" customHeight="1" x14ac:dyDescent="0.3">
      <c r="A908" t="s">
        <v>117</v>
      </c>
      <c r="B908" s="2">
        <v>45474</v>
      </c>
      <c r="C908" cm="1">
        <f t="array" ref="C908">IFERROR(IF(SUMPRODUCT((measured[Site Name]=A908)*(measured[Date]=B908)*ISNUMBER(measured[Measured Value (kWh)]))=0,"",SUMIFS(measured[Measured Value (kWh)],measured[Site Name],A908,measured[Date],B908)),"")</f>
        <v>22610</v>
      </c>
      <c r="D908" cm="1">
        <f t="array" ref="D908">IFERROR(IF(SUMPRODUCT((expected_production[Site Name]=A908)*(expected_production[Date]=B908)*ISNUMBER(expected_production[Expected Production (kWh)]))=0,"",SUMIFS(expected_production[Expected Production (kWh)],expected_production[Site Name],A908,expected_production[Date],B908)),"")</f>
        <v>22354.2</v>
      </c>
      <c r="E908" s="9">
        <f t="shared" si="30"/>
        <v>1.0114430397867067</v>
      </c>
      <c r="F908" t="str">
        <f t="shared" si="31"/>
        <v>Expected</v>
      </c>
    </row>
    <row r="909" spans="1:6" ht="15" customHeight="1" x14ac:dyDescent="0.3">
      <c r="A909" t="s">
        <v>117</v>
      </c>
      <c r="B909" s="2">
        <v>45505</v>
      </c>
      <c r="C909" cm="1">
        <f t="array" ref="C909">IFERROR(IF(SUMPRODUCT((measured[Site Name]=A909)*(measured[Date]=B909)*ISNUMBER(measured[Measured Value (kWh)]))=0,"",SUMIFS(measured[Measured Value (kWh)],measured[Site Name],A909,measured[Date],B909)),"")</f>
        <v>23490</v>
      </c>
      <c r="D909" cm="1">
        <f t="array" ref="D909">IFERROR(IF(SUMPRODUCT((expected_production[Site Name]=A909)*(expected_production[Date]=B909)*ISNUMBER(expected_production[Expected Production (kWh)]))=0,"",SUMIFS(expected_production[Expected Production (kWh)],expected_production[Site Name],A909,expected_production[Date],B909)),"")</f>
        <v>26968.5</v>
      </c>
      <c r="E909" s="9">
        <f t="shared" si="30"/>
        <v>0.87101618554980809</v>
      </c>
      <c r="F909" t="str">
        <f t="shared" si="31"/>
        <v>Moderate</v>
      </c>
    </row>
    <row r="910" spans="1:6" ht="15" customHeight="1" x14ac:dyDescent="0.3">
      <c r="A910" t="s">
        <v>117</v>
      </c>
      <c r="B910" s="2">
        <v>45536</v>
      </c>
      <c r="C910" cm="1">
        <f t="array" ref="C910">IFERROR(IF(SUMPRODUCT((measured[Site Name]=A910)*(measured[Date]=B910)*ISNUMBER(measured[Measured Value (kWh)]))=0,"",SUMIFS(measured[Measured Value (kWh)],measured[Site Name],A910,measured[Date],B910)),"")</f>
        <v>20740</v>
      </c>
      <c r="D910" cm="1">
        <f t="array" ref="D910">IFERROR(IF(SUMPRODUCT((expected_production[Site Name]=A910)*(expected_production[Date]=B910)*ISNUMBER(expected_production[Expected Production (kWh)]))=0,"",SUMIFS(expected_production[Expected Production (kWh)],expected_production[Site Name],A910,expected_production[Date],B910)),"")</f>
        <v>28840.5</v>
      </c>
      <c r="E910" s="9">
        <f t="shared" si="30"/>
        <v>0.7191276156793398</v>
      </c>
      <c r="F910" t="str">
        <f t="shared" si="31"/>
        <v>Moderate</v>
      </c>
    </row>
    <row r="911" spans="1:6" ht="15" customHeight="1" x14ac:dyDescent="0.3">
      <c r="A911" t="s">
        <v>117</v>
      </c>
      <c r="B911" s="2">
        <v>45566</v>
      </c>
      <c r="C911" cm="1">
        <f t="array" ref="C911">IFERROR(IF(SUMPRODUCT((measured[Site Name]=A911)*(measured[Date]=B911)*ISNUMBER(measured[Measured Value (kWh)]))=0,"",SUMIFS(measured[Measured Value (kWh)],measured[Site Name],A911,measured[Date],B911)),"")</f>
        <v>32140</v>
      </c>
      <c r="D911" cm="1">
        <f t="array" ref="D911">IFERROR(IF(SUMPRODUCT((expected_production[Site Name]=A911)*(expected_production[Date]=B911)*ISNUMBER(expected_production[Expected Production (kWh)]))=0,"",SUMIFS(expected_production[Expected Production (kWh)],expected_production[Site Name],A911,expected_production[Date],B911)),"")</f>
        <v>30258</v>
      </c>
      <c r="E911" s="9">
        <f t="shared" si="30"/>
        <v>1.0621984268623175</v>
      </c>
      <c r="F911" t="str">
        <f t="shared" si="31"/>
        <v>Expected</v>
      </c>
    </row>
    <row r="912" spans="1:6" ht="15" customHeight="1" x14ac:dyDescent="0.3">
      <c r="A912" t="s">
        <v>117</v>
      </c>
      <c r="B912" s="2">
        <v>45597</v>
      </c>
      <c r="C912" cm="1">
        <f t="array" ref="C912">IFERROR(IF(SUMPRODUCT((measured[Site Name]=A912)*(measured[Date]=B912)*ISNUMBER(measured[Measured Value (kWh)]))=0,"",SUMIFS(measured[Measured Value (kWh)],measured[Site Name],A912,measured[Date],B912)),"")</f>
        <v>32300</v>
      </c>
      <c r="D912" cm="1">
        <f t="array" ref="D912">IFERROR(IF(SUMPRODUCT((expected_production[Site Name]=A912)*(expected_production[Date]=B912)*ISNUMBER(expected_production[Expected Production (kWh)]))=0,"",SUMIFS(expected_production[Expected Production (kWh)],expected_production[Site Name],A912,expected_production[Date],B912)),"")</f>
        <v>29380.5</v>
      </c>
      <c r="E912" s="9">
        <f t="shared" si="30"/>
        <v>1.0993686288524702</v>
      </c>
      <c r="F912" t="str">
        <f t="shared" si="31"/>
        <v>Expected</v>
      </c>
    </row>
    <row r="913" spans="1:6" ht="15" customHeight="1" x14ac:dyDescent="0.3">
      <c r="A913" t="s">
        <v>117</v>
      </c>
      <c r="B913" s="2">
        <v>45627</v>
      </c>
      <c r="C913" cm="1">
        <f t="array" ref="C913">IFERROR(IF(SUMPRODUCT((measured[Site Name]=A913)*(measured[Date]=B913)*ISNUMBER(measured[Measured Value (kWh)]))=0,"",SUMIFS(measured[Measured Value (kWh)],measured[Site Name],A913,measured[Date],B913)),"")</f>
        <v>29734</v>
      </c>
      <c r="D913" cm="1">
        <f t="array" ref="D913">IFERROR(IF(SUMPRODUCT((expected_production[Site Name]=A913)*(expected_production[Date]=B913)*ISNUMBER(expected_production[Expected Production (kWh)]))=0,"",SUMIFS(expected_production[Expected Production (kWh)],expected_production[Site Name],A913,expected_production[Date],B913)),"")</f>
        <v>31219.200000000001</v>
      </c>
      <c r="E913" s="9">
        <f t="shared" si="30"/>
        <v>0.95242671176711768</v>
      </c>
      <c r="F913" t="str">
        <f t="shared" si="31"/>
        <v>Expected</v>
      </c>
    </row>
    <row r="914" spans="1:6" ht="15" customHeight="1" x14ac:dyDescent="0.3">
      <c r="A914" t="s">
        <v>117</v>
      </c>
      <c r="B914" s="2">
        <v>45658</v>
      </c>
      <c r="C914" cm="1">
        <f t="array" ref="C914">IFERROR(IF(SUMPRODUCT((measured[Site Name]=A914)*(measured[Date]=B914)*ISNUMBER(measured[Measured Value (kWh)]))=0,"",SUMIFS(measured[Measured Value (kWh)],measured[Site Name],A914,measured[Date],B914)),"")</f>
        <v>30000</v>
      </c>
      <c r="D914" cm="1">
        <f t="array" ref="D914">IFERROR(IF(SUMPRODUCT((expected_production[Site Name]=A914)*(expected_production[Date]=B914)*ISNUMBER(expected_production[Expected Production (kWh)]))=0,"",SUMIFS(expected_production[Expected Production (kWh)],expected_production[Site Name],A914,expected_production[Date],B914)),"")</f>
        <v>30214.799999999999</v>
      </c>
      <c r="E914" s="9">
        <f t="shared" si="30"/>
        <v>0.99289090114778189</v>
      </c>
      <c r="F914" t="str">
        <f t="shared" si="31"/>
        <v>Expected</v>
      </c>
    </row>
    <row r="915" spans="1:6" ht="15" customHeight="1" x14ac:dyDescent="0.3">
      <c r="A915" t="s">
        <v>117</v>
      </c>
      <c r="B915" s="2">
        <v>45689</v>
      </c>
      <c r="C915" cm="1">
        <f t="array" ref="C915">IFERROR(IF(SUMPRODUCT((measured[Site Name]=A915)*(measured[Date]=B915)*ISNUMBER(measured[Measured Value (kWh)]))=0,"",SUMIFS(measured[Measured Value (kWh)],measured[Site Name],A915,measured[Date],B915)),"")</f>
        <v>20560</v>
      </c>
      <c r="D915" cm="1">
        <f t="array" ref="D915">IFERROR(IF(SUMPRODUCT((expected_production[Site Name]=A915)*(expected_production[Date]=B915)*ISNUMBER(expected_production[Expected Production (kWh)]))=0,"",SUMIFS(expected_production[Expected Production (kWh)],expected_production[Site Name],A915,expected_production[Date],B915)),"")</f>
        <v>26381.7</v>
      </c>
      <c r="E915" s="9">
        <f t="shared" si="30"/>
        <v>0.77932809485362953</v>
      </c>
      <c r="F915" t="str">
        <f t="shared" si="31"/>
        <v>Moderate</v>
      </c>
    </row>
    <row r="916" spans="1:6" ht="15" customHeight="1" x14ac:dyDescent="0.3">
      <c r="A916" t="s">
        <v>117</v>
      </c>
      <c r="B916" s="2">
        <v>45717</v>
      </c>
      <c r="C916" cm="1">
        <f t="array" ref="C916">IFERROR(IF(SUMPRODUCT((measured[Site Name]=A916)*(measured[Date]=B916)*ISNUMBER(measured[Measured Value (kWh)]))=0,"",SUMIFS(measured[Measured Value (kWh)],measured[Site Name],A916,measured[Date],B916)),"")</f>
        <v>19975</v>
      </c>
      <c r="D916" cm="1">
        <f t="array" ref="D916">IFERROR(IF(SUMPRODUCT((expected_production[Site Name]=A916)*(expected_production[Date]=B916)*ISNUMBER(expected_production[Expected Production (kWh)]))=0,"",SUMIFS(expected_production[Expected Production (kWh)],expected_production[Site Name],A916,expected_production[Date],B916)),"")</f>
        <v>27566.1</v>
      </c>
      <c r="E916" s="9">
        <f t="shared" si="30"/>
        <v>0.72462190879377208</v>
      </c>
      <c r="F916" t="str">
        <f t="shared" si="31"/>
        <v>Moderate</v>
      </c>
    </row>
    <row r="917" spans="1:6" ht="15" customHeight="1" x14ac:dyDescent="0.3">
      <c r="A917" t="s">
        <v>117</v>
      </c>
      <c r="B917" s="2">
        <v>45748</v>
      </c>
      <c r="C917" cm="1">
        <f t="array" ref="C917">IFERROR(IF(SUMPRODUCT((measured[Site Name]=A917)*(measured[Date]=B917)*ISNUMBER(measured[Measured Value (kWh)]))=0,"",SUMIFS(measured[Measured Value (kWh)],measured[Site Name],A917,measured[Date],B917)),"")</f>
        <v>19104</v>
      </c>
      <c r="D917" cm="1">
        <f t="array" ref="D917">IFERROR(IF(SUMPRODUCT((expected_production[Site Name]=A917)*(expected_production[Date]=B917)*ISNUMBER(expected_production[Expected Production (kWh)]))=0,"",SUMIFS(expected_production[Expected Production (kWh)],expected_production[Site Name],A917,expected_production[Date],B917)),"")</f>
        <v>23747.4</v>
      </c>
      <c r="E917" s="9">
        <f t="shared" si="30"/>
        <v>0.80446701533641574</v>
      </c>
      <c r="F917" t="str">
        <f t="shared" si="31"/>
        <v>Moderate</v>
      </c>
    </row>
    <row r="918" spans="1:6" ht="15" customHeight="1" x14ac:dyDescent="0.3">
      <c r="A918" t="s">
        <v>117</v>
      </c>
      <c r="B918" s="2">
        <v>45778</v>
      </c>
      <c r="C918" cm="1">
        <f t="array" ref="C918">IFERROR(IF(SUMPRODUCT((measured[Site Name]=A918)*(measured[Date]=B918)*ISNUMBER(measured[Measured Value (kWh)]))=0,"",SUMIFS(measured[Measured Value (kWh)],measured[Site Name],A918,measured[Date],B918)),"")</f>
        <v>23300</v>
      </c>
      <c r="D918" cm="1">
        <f t="array" ref="D918">IFERROR(IF(SUMPRODUCT((expected_production[Site Name]=A918)*(expected_production[Date]=B918)*ISNUMBER(expected_production[Expected Production (kWh)]))=0,"",SUMIFS(expected_production[Expected Production (kWh)],expected_production[Site Name],A918,expected_production[Date],B918)),"")</f>
        <v>22569.3</v>
      </c>
      <c r="E918" s="9">
        <f t="shared" si="30"/>
        <v>1.0323758379745938</v>
      </c>
      <c r="F918" t="str">
        <f t="shared" si="31"/>
        <v>Expected</v>
      </c>
    </row>
    <row r="919" spans="1:6" ht="15" customHeight="1" x14ac:dyDescent="0.3">
      <c r="A919" t="s">
        <v>117</v>
      </c>
      <c r="B919" s="2">
        <v>45809</v>
      </c>
      <c r="C919" cm="1">
        <f t="array" ref="C919">IFERROR(IF(SUMPRODUCT((measured[Site Name]=A919)*(measured[Date]=B919)*ISNUMBER(measured[Measured Value (kWh)]))=0,"",SUMIFS(measured[Measured Value (kWh)],measured[Site Name],A919,measured[Date],B919)),"")</f>
        <v>17947.87</v>
      </c>
      <c r="D919" cm="1">
        <f t="array" ref="D919">IFERROR(IF(SUMPRODUCT((expected_production[Site Name]=A919)*(expected_production[Date]=B919)*ISNUMBER(expected_production[Expected Production (kWh)]))=0,"",SUMIFS(expected_production[Expected Production (kWh)],expected_production[Site Name],A919,expected_production[Date],B919)),"")</f>
        <v>20228.400000000001</v>
      </c>
      <c r="E919" s="9">
        <f t="shared" si="30"/>
        <v>0.88726097961282147</v>
      </c>
      <c r="F919" t="str">
        <f t="shared" si="31"/>
        <v>Moderate</v>
      </c>
    </row>
    <row r="920" spans="1:6" ht="15" customHeight="1" x14ac:dyDescent="0.3">
      <c r="A920" t="s">
        <v>117</v>
      </c>
      <c r="B920" s="2">
        <v>45839</v>
      </c>
      <c r="C920" cm="1">
        <f t="array" ref="C920">IFERROR(IF(SUMPRODUCT((measured[Site Name]=A920)*(measured[Date]=B920)*ISNUMBER(measured[Measured Value (kWh)]))=0,"",SUMIFS(measured[Measured Value (kWh)],measured[Site Name],A920,measured[Date],B920)),"")</f>
        <v>13847</v>
      </c>
      <c r="D920" cm="1">
        <f t="array" ref="D920">IFERROR(IF(SUMPRODUCT((expected_production[Site Name]=A920)*(expected_production[Date]=B920)*ISNUMBER(expected_production[Expected Production (kWh)]))=0,"",SUMIFS(expected_production[Expected Production (kWh)],expected_production[Site Name],A920,expected_production[Date],B920)),"")</f>
        <v>22354.2</v>
      </c>
      <c r="E920" s="9">
        <f t="shared" si="30"/>
        <v>0.61943616859471595</v>
      </c>
      <c r="F920" t="str">
        <f t="shared" si="31"/>
        <v>Poor</v>
      </c>
    </row>
    <row r="921" spans="1:6" ht="15" customHeight="1" x14ac:dyDescent="0.3">
      <c r="A921" t="s">
        <v>117</v>
      </c>
      <c r="B921" s="2">
        <v>45870</v>
      </c>
      <c r="C921" cm="1">
        <f t="array" ref="C921">IFERROR(IF(SUMPRODUCT((measured[Site Name]=A921)*(measured[Date]=B921)*ISNUMBER(measured[Measured Value (kWh)]))=0,"",SUMIFS(measured[Measured Value (kWh)],measured[Site Name],A921,measured[Date],B921)),"")</f>
        <v>22606</v>
      </c>
      <c r="D921" cm="1">
        <f t="array" ref="D921">IFERROR(IF(SUMPRODUCT((expected_production[Site Name]=A921)*(expected_production[Date]=B921)*ISNUMBER(expected_production[Expected Production (kWh)]))=0,"",SUMIFS(expected_production[Expected Production (kWh)],expected_production[Site Name],A921,expected_production[Date],B921)),"")</f>
        <v>26968.5</v>
      </c>
      <c r="E921" s="9">
        <f t="shared" si="30"/>
        <v>0.83823720266236534</v>
      </c>
      <c r="F921" t="str">
        <f t="shared" si="31"/>
        <v>Moderate</v>
      </c>
    </row>
    <row r="922" spans="1:6" ht="15" customHeight="1" x14ac:dyDescent="0.3">
      <c r="A922" t="s">
        <v>117</v>
      </c>
      <c r="B922" s="2">
        <v>45901</v>
      </c>
      <c r="C922" cm="1">
        <f t="array" ref="C922">IFERROR(IF(SUMPRODUCT((measured[Site Name]=A922)*(measured[Date]=B922)*ISNUMBER(measured[Measured Value (kWh)]))=0,"",SUMIFS(measured[Measured Value (kWh)],measured[Site Name],A922,measured[Date],B922)),"")</f>
        <v>23653</v>
      </c>
      <c r="D922" cm="1">
        <f t="array" ref="D922">IFERROR(IF(SUMPRODUCT((expected_production[Site Name]=A922)*(expected_production[Date]=B922)*ISNUMBER(expected_production[Expected Production (kWh)]))=0,"",SUMIFS(expected_production[Expected Production (kWh)],expected_production[Site Name],A922,expected_production[Date],B922)),"")</f>
        <v>28840.5</v>
      </c>
      <c r="E922" s="9">
        <f t="shared" si="30"/>
        <v>0.82013141242350163</v>
      </c>
      <c r="F922" t="str">
        <f t="shared" si="31"/>
        <v>Moderate</v>
      </c>
    </row>
    <row r="923" spans="1:6" ht="15" customHeight="1" x14ac:dyDescent="0.3">
      <c r="A923" t="s">
        <v>117</v>
      </c>
      <c r="B923" s="2">
        <v>45931</v>
      </c>
      <c r="C923" cm="1">
        <f t="array" ref="C923">IFERROR(IF(SUMPRODUCT((measured[Site Name]=A923)*(measured[Date]=B923)*ISNUMBER(measured[Measured Value (kWh)]))=0,"",SUMIFS(measured[Measured Value (kWh)],measured[Site Name],A923,measured[Date],B923)),"")</f>
        <v>29483</v>
      </c>
      <c r="D923" cm="1">
        <f t="array" ref="D923">IFERROR(IF(SUMPRODUCT((expected_production[Site Name]=A923)*(expected_production[Date]=B923)*ISNUMBER(expected_production[Expected Production (kWh)]))=0,"",SUMIFS(expected_production[Expected Production (kWh)],expected_production[Site Name],A923,expected_production[Date],B923)),"")</f>
        <v>30258</v>
      </c>
      <c r="E923" s="9">
        <f t="shared" si="30"/>
        <v>0.9743869389913411</v>
      </c>
      <c r="F923" t="str">
        <f t="shared" si="31"/>
        <v>Expected</v>
      </c>
    </row>
    <row r="924" spans="1:6" ht="15" customHeight="1" x14ac:dyDescent="0.3">
      <c r="A924" t="s">
        <v>117</v>
      </c>
      <c r="B924" s="2">
        <v>45962</v>
      </c>
      <c r="C924" cm="1">
        <f t="array" ref="C924">IFERROR(IF(SUMPRODUCT((measured[Site Name]=A924)*(measured[Date]=B924)*ISNUMBER(measured[Measured Value (kWh)]))=0,"",SUMIFS(measured[Measured Value (kWh)],measured[Site Name],A924,measured[Date],B924)),"")</f>
        <v>22193</v>
      </c>
      <c r="D924" cm="1">
        <f t="array" ref="D924">IFERROR(IF(SUMPRODUCT((expected_production[Site Name]=A924)*(expected_production[Date]=B924)*ISNUMBER(expected_production[Expected Production (kWh)]))=0,"",SUMIFS(expected_production[Expected Production (kWh)],expected_production[Site Name],A924,expected_production[Date],B924)),"")</f>
        <v>29380.5</v>
      </c>
      <c r="E924" s="9">
        <f t="shared" si="30"/>
        <v>0.75536495294498052</v>
      </c>
      <c r="F924" t="str">
        <f t="shared" si="31"/>
        <v>Moderate</v>
      </c>
    </row>
    <row r="925" spans="1:6" ht="15" customHeight="1" x14ac:dyDescent="0.3">
      <c r="A925" t="s">
        <v>117</v>
      </c>
      <c r="B925" s="2">
        <v>45992</v>
      </c>
      <c r="C925" cm="1">
        <f t="array" ref="C925">IFERROR(IF(SUMPRODUCT((measured[Site Name]=A925)*(measured[Date]=B925)*ISNUMBER(measured[Measured Value (kWh)]))=0,"",SUMIFS(measured[Measured Value (kWh)],measured[Site Name],A925,measured[Date],B925)),"")</f>
        <v>27897</v>
      </c>
      <c r="D925" cm="1">
        <f t="array" ref="D925">IFERROR(IF(SUMPRODUCT((expected_production[Site Name]=A925)*(expected_production[Date]=B925)*ISNUMBER(expected_production[Expected Production (kWh)]))=0,"",SUMIFS(expected_production[Expected Production (kWh)],expected_production[Site Name],A925,expected_production[Date],B925)),"")</f>
        <v>31219.200000000001</v>
      </c>
      <c r="E925" s="9">
        <f t="shared" si="30"/>
        <v>0.89358471709717091</v>
      </c>
      <c r="F925" t="str">
        <f t="shared" si="31"/>
        <v>Moderate</v>
      </c>
    </row>
    <row r="926" spans="1:6" ht="15" customHeight="1" x14ac:dyDescent="0.3">
      <c r="A926" t="s">
        <v>117</v>
      </c>
      <c r="B926" s="2">
        <v>46023</v>
      </c>
      <c r="C926" cm="1">
        <f t="array" ref="C926">IFERROR(IF(SUMPRODUCT((measured[Site Name]=A926)*(measured[Date]=B926)*ISNUMBER(measured[Measured Value (kWh)]))=0,"",SUMIFS(measured[Measured Value (kWh)],measured[Site Name],A926,measured[Date],B926)),"")</f>
        <v>26300</v>
      </c>
      <c r="D926" cm="1">
        <f t="array" ref="D926">IFERROR(IF(SUMPRODUCT((expected_production[Site Name]=A926)*(expected_production[Date]=B926)*ISNUMBER(expected_production[Expected Production (kWh)]))=0,"",SUMIFS(expected_production[Expected Production (kWh)],expected_production[Site Name],A926,expected_production[Date],B926)),"")</f>
        <v>30214.799999999999</v>
      </c>
      <c r="E926" s="9">
        <f t="shared" si="30"/>
        <v>0.87043435667288882</v>
      </c>
      <c r="F926" t="str">
        <f t="shared" si="31"/>
        <v>Moderate</v>
      </c>
    </row>
    <row r="927" spans="1:6" ht="15" customHeight="1" x14ac:dyDescent="0.3">
      <c r="A927" t="s">
        <v>117</v>
      </c>
      <c r="B927" s="2">
        <v>46054</v>
      </c>
      <c r="C927" cm="1">
        <f t="array" ref="C927">IFERROR(IF(SUMPRODUCT((measured[Site Name]=A927)*(measured[Date]=B927)*ISNUMBER(measured[Measured Value (kWh)]))=0,"",SUMIFS(measured[Measured Value (kWh)],measured[Site Name],A927,measured[Date],B927)),"")</f>
        <v>27127.919000000002</v>
      </c>
      <c r="D927" cm="1">
        <f t="array" ref="D927">IFERROR(IF(SUMPRODUCT((expected_production[Site Name]=A927)*(expected_production[Date]=B927)*ISNUMBER(expected_production[Expected Production (kWh)]))=0,"",SUMIFS(expected_production[Expected Production (kWh)],expected_production[Site Name],A927,expected_production[Date],B927)),"")</f>
        <v>26381.7</v>
      </c>
      <c r="E927" s="9">
        <f t="shared" si="30"/>
        <v>1.028285478191322</v>
      </c>
      <c r="F927" t="str">
        <f t="shared" si="31"/>
        <v>Expected</v>
      </c>
    </row>
    <row r="928" spans="1:6" ht="15" customHeight="1" x14ac:dyDescent="0.3">
      <c r="A928" t="s">
        <v>117</v>
      </c>
      <c r="B928" s="2">
        <v>46082</v>
      </c>
      <c r="C928" cm="1">
        <f t="array" ref="C928">IFERROR(IF(SUMPRODUCT((measured[Site Name]=A928)*(measured[Date]=B928)*ISNUMBER(measured[Measured Value (kWh)]))=0,"",SUMIFS(measured[Measured Value (kWh)],measured[Site Name],A928,measured[Date],B928)),"")</f>
        <v>23100</v>
      </c>
      <c r="D928" cm="1">
        <f t="array" ref="D928">IFERROR(IF(SUMPRODUCT((expected_production[Site Name]=A928)*(expected_production[Date]=B928)*ISNUMBER(expected_production[Expected Production (kWh)]))=0,"",SUMIFS(expected_production[Expected Production (kWh)],expected_production[Site Name],A928,expected_production[Date],B928)),"")</f>
        <v>27566.1</v>
      </c>
      <c r="E928" s="9">
        <f t="shared" si="30"/>
        <v>0.8379857868904198</v>
      </c>
      <c r="F928" t="str">
        <f t="shared" si="31"/>
        <v>Moderate</v>
      </c>
    </row>
    <row r="929" spans="1:7" ht="15" customHeight="1" x14ac:dyDescent="0.3">
      <c r="A929" t="s">
        <v>117</v>
      </c>
      <c r="B929" s="2">
        <v>46113</v>
      </c>
      <c r="C929" cm="1">
        <f t="array" ref="C929">IFERROR(IF(SUMPRODUCT((measured[Site Name]=A929)*(measured[Date]=B929)*ISNUMBER(measured[Measured Value (kWh)]))=0,"",SUMIFS(measured[Measured Value (kWh)],measured[Site Name],A929,measured[Date],B929)),"")</f>
        <v>19981.060000000001</v>
      </c>
      <c r="D929" cm="1">
        <f t="array" ref="D929">IFERROR(IF(SUMPRODUCT((expected_production[Site Name]=A929)*(expected_production[Date]=B929)*ISNUMBER(expected_production[Expected Production (kWh)]))=0,"",SUMIFS(expected_production[Expected Production (kWh)],expected_production[Site Name],A929,expected_production[Date],B929)),"")</f>
        <v>23747.4</v>
      </c>
      <c r="E929" s="9">
        <f t="shared" si="30"/>
        <v>0.84139990062069958</v>
      </c>
      <c r="F929" t="str">
        <f t="shared" si="31"/>
        <v>Moderate</v>
      </c>
    </row>
    <row r="930" spans="1:7" ht="15" customHeight="1" x14ac:dyDescent="0.3">
      <c r="A930" t="s">
        <v>117</v>
      </c>
      <c r="B930" s="2">
        <v>46143</v>
      </c>
      <c r="C930" cm="1">
        <f t="array" ref="C930">IFERROR(IF(SUMPRODUCT((measured[Site Name]=A930)*(measured[Date]=B930)*ISNUMBER(measured[Measured Value (kWh)]))=0,"",SUMIFS(measured[Measured Value (kWh)],measured[Site Name],A930,measured[Date],B930)),"")</f>
        <v>20533.099999999999</v>
      </c>
      <c r="D930" cm="1">
        <f t="array" ref="D930">IFERROR(IF(SUMPRODUCT((expected_production[Site Name]=A930)*(expected_production[Date]=B930)*ISNUMBER(expected_production[Expected Production (kWh)]))=0,"",SUMIFS(expected_production[Expected Production (kWh)],expected_production[Site Name],A930,expected_production[Date],B930)),"")</f>
        <v>22569.3</v>
      </c>
      <c r="E930" s="9">
        <f t="shared" si="30"/>
        <v>0.90978009951571381</v>
      </c>
      <c r="F930" t="str">
        <f t="shared" si="31"/>
        <v>Expected</v>
      </c>
    </row>
    <row r="931" spans="1:7" ht="15" customHeight="1" x14ac:dyDescent="0.3">
      <c r="A931" t="s">
        <v>117</v>
      </c>
      <c r="B931" s="2">
        <v>46174</v>
      </c>
      <c r="C931" cm="1">
        <f t="array" ref="C931">IFERROR(IF(SUMPRODUCT((measured[Site Name]=A931)*(measured[Date]=B931)*ISNUMBER(measured[Measured Value (kWh)]))=0,"",SUMIFS(measured[Measured Value (kWh)],measured[Site Name],A931,measured[Date],B931)),"")</f>
        <v>15001.099999999999</v>
      </c>
      <c r="D931" cm="1">
        <f t="array" ref="D931">IFERROR(IF(SUMPRODUCT((expected_production[Site Name]=A931)*(expected_production[Date]=B931)*ISNUMBER(expected_production[Expected Production (kWh)]))=0,"",SUMIFS(expected_production[Expected Production (kWh)],expected_production[Site Name],A931,expected_production[Date],B931)),"")</f>
        <v>20228.400000000001</v>
      </c>
      <c r="E931" s="9">
        <f t="shared" si="30"/>
        <v>0.74158608688774186</v>
      </c>
      <c r="F931" t="str">
        <f t="shared" si="31"/>
        <v>Moderate</v>
      </c>
    </row>
    <row r="932" spans="1:7" ht="15" customHeight="1" x14ac:dyDescent="0.3">
      <c r="A932" t="s">
        <v>109</v>
      </c>
      <c r="B932" s="2">
        <v>46204</v>
      </c>
      <c r="C932" cm="1">
        <f t="array" ref="C932">IFERROR(IF(SUMPRODUCT((measured[Site Name]=A932)*(measured[Date]=B932)*ISNUMBER(measured[Measured Value (kWh)]))=0,"",SUMIFS(measured[Measured Value (kWh)],measured[Site Name],A932,measured[Date],B932)),"")</f>
        <v>2598</v>
      </c>
      <c r="D932" cm="1">
        <f t="array" ref="D932">IFERROR(IF(SUMPRODUCT((expected_production[Site Name]=A932)*(expected_production[Date]=B932)*ISNUMBER(expected_production[Expected Production (kWh)]))=0,"",SUMIFS(expected_production[Expected Production (kWh)],expected_production[Site Name],A932,expected_production[Date],B932)),"")</f>
        <v>3029.4</v>
      </c>
      <c r="E932" s="9">
        <f t="shared" si="30"/>
        <v>0.85759556347791643</v>
      </c>
      <c r="F932" t="str">
        <f t="shared" si="31"/>
        <v>Moderate</v>
      </c>
      <c r="G932" t="s">
        <v>874</v>
      </c>
    </row>
    <row r="933" spans="1:7" ht="15" customHeight="1" x14ac:dyDescent="0.3">
      <c r="A933" t="s">
        <v>117</v>
      </c>
      <c r="B933" s="2">
        <v>46235</v>
      </c>
      <c r="C933" t="str" cm="1">
        <f t="array" ref="C933">IFERROR(IF(SUMPRODUCT((measured[Site Name]=A933)*(measured[Date]=B933)*ISNUMBER(measured[Measured Value (kWh)]))=0,"",SUMIFS(measured[Measured Value (kWh)],measured[Site Name],A933,measured[Date],B933)),"")</f>
        <v/>
      </c>
      <c r="D933" cm="1">
        <f t="array" ref="D933">IFERROR(IF(SUMPRODUCT((expected_production[Site Name]=A933)*(expected_production[Date]=B933)*ISNUMBER(expected_production[Expected Production (kWh)]))=0,"",SUMIFS(expected_production[Expected Production (kWh)],expected_production[Site Name],A933,expected_production[Date],B933)),"")</f>
        <v>26968.5</v>
      </c>
      <c r="E933" s="9" t="str">
        <f t="shared" si="30"/>
        <v/>
      </c>
      <c r="F933" t="str">
        <f t="shared" si="31"/>
        <v/>
      </c>
    </row>
    <row r="934" spans="1:7" ht="15" customHeight="1" x14ac:dyDescent="0.3">
      <c r="A934" t="s">
        <v>117</v>
      </c>
      <c r="B934" s="2">
        <v>46266</v>
      </c>
      <c r="C934" t="str" cm="1">
        <f t="array" ref="C934">IFERROR(IF(SUMPRODUCT((measured[Site Name]=A934)*(measured[Date]=B934)*ISNUMBER(measured[Measured Value (kWh)]))=0,"",SUMIFS(measured[Measured Value (kWh)],measured[Site Name],A934,measured[Date],B934)),"")</f>
        <v/>
      </c>
      <c r="D934" cm="1">
        <f t="array" ref="D934">IFERROR(IF(SUMPRODUCT((expected_production[Site Name]=A934)*(expected_production[Date]=B934)*ISNUMBER(expected_production[Expected Production (kWh)]))=0,"",SUMIFS(expected_production[Expected Production (kWh)],expected_production[Site Name],A934,expected_production[Date],B934)),"")</f>
        <v>28840.5</v>
      </c>
      <c r="E934" s="9" t="str">
        <f t="shared" si="30"/>
        <v/>
      </c>
      <c r="F934" t="str">
        <f t="shared" si="31"/>
        <v/>
      </c>
    </row>
    <row r="935" spans="1:7" ht="15" customHeight="1" x14ac:dyDescent="0.3">
      <c r="A935" t="s">
        <v>117</v>
      </c>
      <c r="B935" s="2">
        <v>46296</v>
      </c>
      <c r="C935" t="str" cm="1">
        <f t="array" ref="C935">IFERROR(IF(SUMPRODUCT((measured[Site Name]=A935)*(measured[Date]=B935)*ISNUMBER(measured[Measured Value (kWh)]))=0,"",SUMIFS(measured[Measured Value (kWh)],measured[Site Name],A935,measured[Date],B935)),"")</f>
        <v/>
      </c>
      <c r="D935" cm="1">
        <f t="array" ref="D935">IFERROR(IF(SUMPRODUCT((expected_production[Site Name]=A935)*(expected_production[Date]=B935)*ISNUMBER(expected_production[Expected Production (kWh)]))=0,"",SUMIFS(expected_production[Expected Production (kWh)],expected_production[Site Name],A935,expected_production[Date],B935)),"")</f>
        <v>30258</v>
      </c>
      <c r="E935" s="9" t="str">
        <f t="shared" si="30"/>
        <v/>
      </c>
      <c r="F935" t="str">
        <f t="shared" si="31"/>
        <v/>
      </c>
    </row>
    <row r="936" spans="1:7" ht="15" customHeight="1" x14ac:dyDescent="0.3">
      <c r="A936" t="s">
        <v>117</v>
      </c>
      <c r="B936" s="2">
        <v>46327</v>
      </c>
      <c r="C936" t="str" cm="1">
        <f t="array" ref="C936">IFERROR(IF(SUMPRODUCT((measured[Site Name]=A936)*(measured[Date]=B936)*ISNUMBER(measured[Measured Value (kWh)]))=0,"",SUMIFS(measured[Measured Value (kWh)],measured[Site Name],A936,measured[Date],B936)),"")</f>
        <v/>
      </c>
      <c r="D936" cm="1">
        <f t="array" ref="D936">IFERROR(IF(SUMPRODUCT((expected_production[Site Name]=A936)*(expected_production[Date]=B936)*ISNUMBER(expected_production[Expected Production (kWh)]))=0,"",SUMIFS(expected_production[Expected Production (kWh)],expected_production[Site Name],A936,expected_production[Date],B936)),"")</f>
        <v>29380.5</v>
      </c>
      <c r="E936" s="9" t="str">
        <f t="shared" si="30"/>
        <v/>
      </c>
      <c r="F936" t="str">
        <f t="shared" si="31"/>
        <v/>
      </c>
    </row>
    <row r="937" spans="1:7" ht="15" customHeight="1" x14ac:dyDescent="0.3">
      <c r="A937" t="s">
        <v>117</v>
      </c>
      <c r="B937" s="2">
        <v>46357</v>
      </c>
      <c r="C937" t="str" cm="1">
        <f t="array" ref="C937">IFERROR(IF(SUMPRODUCT((measured[Site Name]=A937)*(measured[Date]=B937)*ISNUMBER(measured[Measured Value (kWh)]))=0,"",SUMIFS(measured[Measured Value (kWh)],measured[Site Name],A937,measured[Date],B937)),"")</f>
        <v/>
      </c>
      <c r="D937" cm="1">
        <f t="array" ref="D937">IFERROR(IF(SUMPRODUCT((expected_production[Site Name]=A937)*(expected_production[Date]=B937)*ISNUMBER(expected_production[Expected Production (kWh)]))=0,"",SUMIFS(expected_production[Expected Production (kWh)],expected_production[Site Name],A937,expected_production[Date],B937)),"")</f>
        <v>31219.200000000001</v>
      </c>
      <c r="E937" s="9" t="str">
        <f t="shared" si="30"/>
        <v/>
      </c>
      <c r="F937" t="str">
        <f t="shared" si="31"/>
        <v/>
      </c>
    </row>
    <row r="938" spans="1:7" ht="15" customHeight="1" x14ac:dyDescent="0.3">
      <c r="A938" t="s">
        <v>225</v>
      </c>
      <c r="B938" s="2">
        <v>45292</v>
      </c>
      <c r="C938" t="str" cm="1">
        <f t="array" ref="C938">IFERROR(IF(SUMPRODUCT((measured[Site Name]=A938)*(measured[Date]=B938)*ISNUMBER(measured[Measured Value (kWh)]))=0,"",SUMIFS(measured[Measured Value (kWh)],measured[Site Name],A938,measured[Date],B938)),"")</f>
        <v/>
      </c>
      <c r="D938" cm="1">
        <f t="array" ref="D938">IFERROR(IF(SUMPRODUCT((expected_production[Site Name]=A938)*(expected_production[Date]=B938)*ISNUMBER(expected_production[Expected Production (kWh)]))=0,"",SUMIFS(expected_production[Expected Production (kWh)],expected_production[Site Name],A938,expected_production[Date],B938)),"")</f>
        <v>7573.5</v>
      </c>
      <c r="E938" s="9" t="str">
        <f t="shared" si="30"/>
        <v/>
      </c>
      <c r="F938" t="str">
        <f t="shared" si="31"/>
        <v/>
      </c>
    </row>
    <row r="939" spans="1:7" ht="15" customHeight="1" x14ac:dyDescent="0.3">
      <c r="A939" t="s">
        <v>225</v>
      </c>
      <c r="B939" s="2">
        <v>45323</v>
      </c>
      <c r="C939" t="str" cm="1">
        <f t="array" ref="C939">IFERROR(IF(SUMPRODUCT((measured[Site Name]=A939)*(measured[Date]=B939)*ISNUMBER(measured[Measured Value (kWh)]))=0,"",SUMIFS(measured[Measured Value (kWh)],measured[Site Name],A939,measured[Date],B939)),"")</f>
        <v/>
      </c>
      <c r="D939" cm="1">
        <f t="array" ref="D939">IFERROR(IF(SUMPRODUCT((expected_production[Site Name]=A939)*(expected_production[Date]=B939)*ISNUMBER(expected_production[Expected Production (kWh)]))=0,"",SUMIFS(expected_production[Expected Production (kWh)],expected_production[Site Name],A939,expected_production[Date],B939)),"")</f>
        <v>6513.75</v>
      </c>
      <c r="E939" s="9" t="str">
        <f t="shared" si="30"/>
        <v/>
      </c>
      <c r="F939" t="str">
        <f t="shared" si="31"/>
        <v/>
      </c>
    </row>
    <row r="940" spans="1:7" ht="15" customHeight="1" x14ac:dyDescent="0.3">
      <c r="A940" t="s">
        <v>225</v>
      </c>
      <c r="B940" s="2">
        <v>45352</v>
      </c>
      <c r="C940" t="str" cm="1">
        <f t="array" ref="C940">IFERROR(IF(SUMPRODUCT((measured[Site Name]=A940)*(measured[Date]=B940)*ISNUMBER(measured[Measured Value (kWh)]))=0,"",SUMIFS(measured[Measured Value (kWh)],measured[Site Name],A940,measured[Date],B940)),"")</f>
        <v/>
      </c>
      <c r="D940" cm="1">
        <f t="array" ref="D940">IFERROR(IF(SUMPRODUCT((expected_production[Site Name]=A940)*(expected_production[Date]=B940)*ISNUMBER(expected_production[Expected Production (kWh)]))=0,"",SUMIFS(expected_production[Expected Production (kWh)],expected_production[Site Name],A940,expected_production[Date],B940)),"")</f>
        <v>6841.35</v>
      </c>
      <c r="E940" s="9" t="str">
        <f t="shared" si="30"/>
        <v/>
      </c>
      <c r="F940" t="str">
        <f t="shared" si="31"/>
        <v/>
      </c>
    </row>
    <row r="941" spans="1:7" ht="15" customHeight="1" x14ac:dyDescent="0.3">
      <c r="A941" t="s">
        <v>225</v>
      </c>
      <c r="B941" s="2">
        <v>45383</v>
      </c>
      <c r="C941" t="str" cm="1">
        <f t="array" ref="C941">IFERROR(IF(SUMPRODUCT((measured[Site Name]=A941)*(measured[Date]=B941)*ISNUMBER(measured[Measured Value (kWh)]))=0,"",SUMIFS(measured[Measured Value (kWh)],measured[Site Name],A941,measured[Date],B941)),"")</f>
        <v/>
      </c>
      <c r="D941" cm="1">
        <f t="array" ref="D941">IFERROR(IF(SUMPRODUCT((expected_production[Site Name]=A941)*(expected_production[Date]=B941)*ISNUMBER(expected_production[Expected Production (kWh)]))=0,"",SUMIFS(expected_production[Expected Production (kWh)],expected_production[Site Name],A941,expected_production[Date],B941)),"")</f>
        <v>618.29999999999995</v>
      </c>
      <c r="E941" s="9" t="str">
        <f t="shared" si="30"/>
        <v/>
      </c>
      <c r="F941" t="str">
        <f t="shared" si="31"/>
        <v/>
      </c>
    </row>
    <row r="942" spans="1:7" ht="15" customHeight="1" x14ac:dyDescent="0.3">
      <c r="A942" t="s">
        <v>225</v>
      </c>
      <c r="B942" s="2">
        <v>45413</v>
      </c>
      <c r="C942" t="str" cm="1">
        <f t="array" ref="C942">IFERROR(IF(SUMPRODUCT((measured[Site Name]=A942)*(measured[Date]=B942)*ISNUMBER(measured[Measured Value (kWh)]))=0,"",SUMIFS(measured[Measured Value (kWh)],measured[Site Name],A942,measured[Date],B942)),"")</f>
        <v/>
      </c>
      <c r="D942" cm="1">
        <f t="array" ref="D942">IFERROR(IF(SUMPRODUCT((expected_production[Site Name]=A942)*(expected_production[Date]=B942)*ISNUMBER(expected_production[Expected Production (kWh)]))=0,"",SUMIFS(expected_production[Expected Production (kWh)],expected_production[Site Name],A942,expected_production[Date],B942)),"")</f>
        <v>5924.7</v>
      </c>
      <c r="E942" s="9" t="str">
        <f t="shared" si="30"/>
        <v/>
      </c>
      <c r="F942" t="str">
        <f t="shared" si="31"/>
        <v/>
      </c>
    </row>
    <row r="943" spans="1:7" ht="15" customHeight="1" x14ac:dyDescent="0.3">
      <c r="A943" t="s">
        <v>225</v>
      </c>
      <c r="B943" s="2">
        <v>45444</v>
      </c>
      <c r="C943" t="str" cm="1">
        <f t="array" ref="C943">IFERROR(IF(SUMPRODUCT((measured[Site Name]=A943)*(measured[Date]=B943)*ISNUMBER(measured[Measured Value (kWh)]))=0,"",SUMIFS(measured[Measured Value (kWh)],measured[Site Name],A943,measured[Date],B943)),"")</f>
        <v/>
      </c>
      <c r="D943" cm="1">
        <f t="array" ref="D943">IFERROR(IF(SUMPRODUCT((expected_production[Site Name]=A943)*(expected_production[Date]=B943)*ISNUMBER(expected_production[Expected Production (kWh)]))=0,"",SUMIFS(expected_production[Expected Production (kWh)],expected_production[Site Name],A943,expected_production[Date],B943)),"")</f>
        <v>5295.6</v>
      </c>
      <c r="E943" s="9" t="str">
        <f t="shared" si="30"/>
        <v/>
      </c>
      <c r="F943" t="str">
        <f t="shared" si="31"/>
        <v/>
      </c>
    </row>
    <row r="944" spans="1:7" ht="15" customHeight="1" x14ac:dyDescent="0.3">
      <c r="A944" t="s">
        <v>225</v>
      </c>
      <c r="B944" s="2">
        <v>45474</v>
      </c>
      <c r="C944" t="str" cm="1">
        <f t="array" ref="C944">IFERROR(IF(SUMPRODUCT((measured[Site Name]=A944)*(measured[Date]=B944)*ISNUMBER(measured[Measured Value (kWh)]))=0,"",SUMIFS(measured[Measured Value (kWh)],measured[Site Name],A944,measured[Date],B944)),"")</f>
        <v/>
      </c>
      <c r="D944" cm="1">
        <f t="array" ref="D944">IFERROR(IF(SUMPRODUCT((expected_production[Site Name]=A944)*(expected_production[Date]=B944)*ISNUMBER(expected_production[Expected Production (kWh)]))=0,"",SUMIFS(expected_production[Expected Production (kWh)],expected_production[Site Name],A944,expected_production[Date],B944)),"")</f>
        <v>5785.2</v>
      </c>
      <c r="E944" s="9" t="str">
        <f t="shared" si="30"/>
        <v/>
      </c>
      <c r="F944" t="str">
        <f t="shared" si="31"/>
        <v/>
      </c>
    </row>
    <row r="945" spans="1:6" ht="15" customHeight="1" x14ac:dyDescent="0.3">
      <c r="A945" t="s">
        <v>225</v>
      </c>
      <c r="B945" s="2">
        <v>45505</v>
      </c>
      <c r="C945" t="str" cm="1">
        <f t="array" ref="C945">IFERROR(IF(SUMPRODUCT((measured[Site Name]=A945)*(measured[Date]=B945)*ISNUMBER(measured[Measured Value (kWh)]))=0,"",SUMIFS(measured[Measured Value (kWh)],measured[Site Name],A945,measured[Date],B945)),"")</f>
        <v/>
      </c>
      <c r="D945" cm="1">
        <f t="array" ref="D945">IFERROR(IF(SUMPRODUCT((expected_production[Site Name]=A945)*(expected_production[Date]=B945)*ISNUMBER(expected_production[Expected Production (kWh)]))=0,"",SUMIFS(expected_production[Expected Production (kWh)],expected_production[Site Name],A945,expected_production[Date],B945)),"")</f>
        <v>6585.3</v>
      </c>
      <c r="E945" s="9" t="str">
        <f t="shared" si="30"/>
        <v/>
      </c>
      <c r="F945" t="str">
        <f t="shared" si="31"/>
        <v/>
      </c>
    </row>
    <row r="946" spans="1:6" ht="15" customHeight="1" x14ac:dyDescent="0.3">
      <c r="A946" t="s">
        <v>225</v>
      </c>
      <c r="B946" s="2">
        <v>45536</v>
      </c>
      <c r="C946" t="str" cm="1">
        <f t="array" ref="C946">IFERROR(IF(SUMPRODUCT((measured[Site Name]=A946)*(measured[Date]=B946)*ISNUMBER(measured[Measured Value (kWh)]))=0,"",SUMIFS(measured[Measured Value (kWh)],measured[Site Name],A946,measured[Date],B946)),"")</f>
        <v/>
      </c>
      <c r="D946" cm="1">
        <f t="array" ref="D946">IFERROR(IF(SUMPRODUCT((expected_production[Site Name]=A946)*(expected_production[Date]=B946)*ISNUMBER(expected_production[Expected Production (kWh)]))=0,"",SUMIFS(expected_production[Expected Production (kWh)],expected_production[Site Name],A946,expected_production[Date],B946)),"")</f>
        <v>7018.65</v>
      </c>
      <c r="E946" s="9" t="str">
        <f t="shared" si="30"/>
        <v/>
      </c>
      <c r="F946" t="str">
        <f t="shared" si="31"/>
        <v/>
      </c>
    </row>
    <row r="947" spans="1:6" ht="15" customHeight="1" x14ac:dyDescent="0.3">
      <c r="A947" t="s">
        <v>225</v>
      </c>
      <c r="B947" s="2">
        <v>45566</v>
      </c>
      <c r="C947" t="str" cm="1">
        <f t="array" ref="C947">IFERROR(IF(SUMPRODUCT((measured[Site Name]=A947)*(measured[Date]=B947)*ISNUMBER(measured[Measured Value (kWh)]))=0,"",SUMIFS(measured[Measured Value (kWh)],measured[Site Name],A947,measured[Date],B947)),"")</f>
        <v/>
      </c>
      <c r="D947" cm="1">
        <f t="array" ref="D947">IFERROR(IF(SUMPRODUCT((expected_production[Site Name]=A947)*(expected_production[Date]=B947)*ISNUMBER(expected_production[Expected Production (kWh)]))=0,"",SUMIFS(expected_production[Expected Production (kWh)],expected_production[Site Name],A947,expected_production[Date],B947)),"")</f>
        <v>7479.45</v>
      </c>
      <c r="E947" s="9" t="str">
        <f t="shared" si="30"/>
        <v/>
      </c>
      <c r="F947" t="str">
        <f t="shared" si="31"/>
        <v/>
      </c>
    </row>
    <row r="948" spans="1:6" ht="15" customHeight="1" x14ac:dyDescent="0.3">
      <c r="A948" t="s">
        <v>225</v>
      </c>
      <c r="B948" s="2">
        <v>45597</v>
      </c>
      <c r="C948" t="str" cm="1">
        <f t="array" ref="C948">IFERROR(IF(SUMPRODUCT((measured[Site Name]=A948)*(measured[Date]=B948)*ISNUMBER(measured[Measured Value (kWh)]))=0,"",SUMIFS(measured[Measured Value (kWh)],measured[Site Name],A948,measured[Date],B948)),"")</f>
        <v/>
      </c>
      <c r="D948" cm="1">
        <f t="array" ref="D948">IFERROR(IF(SUMPRODUCT((expected_production[Site Name]=A948)*(expected_production[Date]=B948)*ISNUMBER(expected_production[Expected Production (kWh)]))=0,"",SUMIFS(expected_production[Expected Production (kWh)],expected_production[Site Name],A948,expected_production[Date],B948)),"")</f>
        <v>7552.8</v>
      </c>
      <c r="E948" s="9" t="str">
        <f t="shared" si="30"/>
        <v/>
      </c>
      <c r="F948" t="str">
        <f t="shared" si="31"/>
        <v/>
      </c>
    </row>
    <row r="949" spans="1:6" ht="15" customHeight="1" x14ac:dyDescent="0.3">
      <c r="A949" t="s">
        <v>225</v>
      </c>
      <c r="B949" s="2">
        <v>45627</v>
      </c>
      <c r="C949" t="str" cm="1">
        <f t="array" ref="C949">IFERROR(IF(SUMPRODUCT((measured[Site Name]=A949)*(measured[Date]=B949)*ISNUMBER(measured[Measured Value (kWh)]))=0,"",SUMIFS(measured[Measured Value (kWh)],measured[Site Name],A949,measured[Date],B949)),"")</f>
        <v/>
      </c>
      <c r="D949" cm="1">
        <f t="array" ref="D949">IFERROR(IF(SUMPRODUCT((expected_production[Site Name]=A949)*(expected_production[Date]=B949)*ISNUMBER(expected_production[Expected Production (kWh)]))=0,"",SUMIFS(expected_production[Expected Production (kWh)],expected_production[Site Name],A949,expected_production[Date],B949)),"")</f>
        <v>7415.1</v>
      </c>
      <c r="E949" s="9" t="str">
        <f t="shared" si="30"/>
        <v/>
      </c>
      <c r="F949" t="str">
        <f t="shared" si="31"/>
        <v/>
      </c>
    </row>
    <row r="950" spans="1:6" ht="15" customHeight="1" x14ac:dyDescent="0.3">
      <c r="A950" t="s">
        <v>225</v>
      </c>
      <c r="B950" s="2">
        <v>45658</v>
      </c>
      <c r="C950" t="str" cm="1">
        <f t="array" ref="C950">IFERROR(IF(SUMPRODUCT((measured[Site Name]=A950)*(measured[Date]=B950)*ISNUMBER(measured[Measured Value (kWh)]))=0,"",SUMIFS(measured[Measured Value (kWh)],measured[Site Name],A950,measured[Date],B950)),"")</f>
        <v/>
      </c>
      <c r="D950" cm="1">
        <f t="array" ref="D950">IFERROR(IF(SUMPRODUCT((expected_production[Site Name]=A950)*(expected_production[Date]=B950)*ISNUMBER(expected_production[Expected Production (kWh)]))=0,"",SUMIFS(expected_production[Expected Production (kWh)],expected_production[Site Name],A950,expected_production[Date],B950)),"")</f>
        <v>7573.5</v>
      </c>
      <c r="E950" s="9" t="str">
        <f t="shared" si="30"/>
        <v/>
      </c>
      <c r="F950" t="str">
        <f t="shared" si="31"/>
        <v/>
      </c>
    </row>
    <row r="951" spans="1:6" ht="15" customHeight="1" x14ac:dyDescent="0.3">
      <c r="A951" t="s">
        <v>225</v>
      </c>
      <c r="B951" s="2">
        <v>45689</v>
      </c>
      <c r="C951" t="str" cm="1">
        <f t="array" ref="C951">IFERROR(IF(SUMPRODUCT((measured[Site Name]=A951)*(measured[Date]=B951)*ISNUMBER(measured[Measured Value (kWh)]))=0,"",SUMIFS(measured[Measured Value (kWh)],measured[Site Name],A951,measured[Date],B951)),"")</f>
        <v/>
      </c>
      <c r="D951" cm="1">
        <f t="array" ref="D951">IFERROR(IF(SUMPRODUCT((expected_production[Site Name]=A951)*(expected_production[Date]=B951)*ISNUMBER(expected_production[Expected Production (kWh)]))=0,"",SUMIFS(expected_production[Expected Production (kWh)],expected_production[Site Name],A951,expected_production[Date],B951)),"")</f>
        <v>6513.75</v>
      </c>
      <c r="E951" s="9" t="str">
        <f t="shared" si="30"/>
        <v/>
      </c>
      <c r="F951" t="str">
        <f t="shared" si="31"/>
        <v/>
      </c>
    </row>
    <row r="952" spans="1:6" ht="15" customHeight="1" x14ac:dyDescent="0.3">
      <c r="A952" t="s">
        <v>225</v>
      </c>
      <c r="B952" s="2">
        <v>45717</v>
      </c>
      <c r="C952" t="str" cm="1">
        <f t="array" ref="C952">IFERROR(IF(SUMPRODUCT((measured[Site Name]=A952)*(measured[Date]=B952)*ISNUMBER(measured[Measured Value (kWh)]))=0,"",SUMIFS(measured[Measured Value (kWh)],measured[Site Name],A952,measured[Date],B952)),"")</f>
        <v/>
      </c>
      <c r="D952" cm="1">
        <f t="array" ref="D952">IFERROR(IF(SUMPRODUCT((expected_production[Site Name]=A952)*(expected_production[Date]=B952)*ISNUMBER(expected_production[Expected Production (kWh)]))=0,"",SUMIFS(expected_production[Expected Production (kWh)],expected_production[Site Name],A952,expected_production[Date],B952)),"")</f>
        <v>6841.35</v>
      </c>
      <c r="E952" s="9" t="str">
        <f t="shared" si="30"/>
        <v/>
      </c>
      <c r="F952" t="str">
        <f t="shared" si="31"/>
        <v/>
      </c>
    </row>
    <row r="953" spans="1:6" ht="15" customHeight="1" x14ac:dyDescent="0.3">
      <c r="A953" t="s">
        <v>225</v>
      </c>
      <c r="B953" s="2">
        <v>45748</v>
      </c>
      <c r="C953" t="str" cm="1">
        <f t="array" ref="C953">IFERROR(IF(SUMPRODUCT((measured[Site Name]=A953)*(measured[Date]=B953)*ISNUMBER(measured[Measured Value (kWh)]))=0,"",SUMIFS(measured[Measured Value (kWh)],measured[Site Name],A953,measured[Date],B953)),"")</f>
        <v/>
      </c>
      <c r="D953" cm="1">
        <f t="array" ref="D953">IFERROR(IF(SUMPRODUCT((expected_production[Site Name]=A953)*(expected_production[Date]=B953)*ISNUMBER(expected_production[Expected Production (kWh)]))=0,"",SUMIFS(expected_production[Expected Production (kWh)],expected_production[Site Name],A953,expected_production[Date],B953)),"")</f>
        <v>618.29999999999995</v>
      </c>
      <c r="E953" s="9" t="str">
        <f t="shared" si="30"/>
        <v/>
      </c>
      <c r="F953" t="str">
        <f t="shared" si="31"/>
        <v/>
      </c>
    </row>
    <row r="954" spans="1:6" ht="15" customHeight="1" x14ac:dyDescent="0.3">
      <c r="A954" t="s">
        <v>225</v>
      </c>
      <c r="B954" s="2">
        <v>45778</v>
      </c>
      <c r="C954" t="str" cm="1">
        <f t="array" ref="C954">IFERROR(IF(SUMPRODUCT((measured[Site Name]=A954)*(measured[Date]=B954)*ISNUMBER(measured[Measured Value (kWh)]))=0,"",SUMIFS(measured[Measured Value (kWh)],measured[Site Name],A954,measured[Date],B954)),"")</f>
        <v/>
      </c>
      <c r="D954" cm="1">
        <f t="array" ref="D954">IFERROR(IF(SUMPRODUCT((expected_production[Site Name]=A954)*(expected_production[Date]=B954)*ISNUMBER(expected_production[Expected Production (kWh)]))=0,"",SUMIFS(expected_production[Expected Production (kWh)],expected_production[Site Name],A954,expected_production[Date],B954)),"")</f>
        <v>5924.7</v>
      </c>
      <c r="E954" s="9" t="str">
        <f t="shared" si="30"/>
        <v/>
      </c>
      <c r="F954" t="str">
        <f t="shared" si="31"/>
        <v/>
      </c>
    </row>
    <row r="955" spans="1:6" ht="15" customHeight="1" x14ac:dyDescent="0.3">
      <c r="A955" t="s">
        <v>225</v>
      </c>
      <c r="B955" s="2">
        <v>45809</v>
      </c>
      <c r="C955" t="str" cm="1">
        <f t="array" ref="C955">IFERROR(IF(SUMPRODUCT((measured[Site Name]=A955)*(measured[Date]=B955)*ISNUMBER(measured[Measured Value (kWh)]))=0,"",SUMIFS(measured[Measured Value (kWh)],measured[Site Name],A955,measured[Date],B955)),"")</f>
        <v/>
      </c>
      <c r="D955" cm="1">
        <f t="array" ref="D955">IFERROR(IF(SUMPRODUCT((expected_production[Site Name]=A955)*(expected_production[Date]=B955)*ISNUMBER(expected_production[Expected Production (kWh)]))=0,"",SUMIFS(expected_production[Expected Production (kWh)],expected_production[Site Name],A955,expected_production[Date],B955)),"")</f>
        <v>5295.6</v>
      </c>
      <c r="E955" s="9" t="str">
        <f t="shared" si="30"/>
        <v/>
      </c>
      <c r="F955" t="str">
        <f t="shared" si="31"/>
        <v/>
      </c>
    </row>
    <row r="956" spans="1:6" ht="15" customHeight="1" x14ac:dyDescent="0.3">
      <c r="A956" t="s">
        <v>225</v>
      </c>
      <c r="B956" s="2">
        <v>45839</v>
      </c>
      <c r="C956" t="str" cm="1">
        <f t="array" ref="C956">IFERROR(IF(SUMPRODUCT((measured[Site Name]=A956)*(measured[Date]=B956)*ISNUMBER(measured[Measured Value (kWh)]))=0,"",SUMIFS(measured[Measured Value (kWh)],measured[Site Name],A956,measured[Date],B956)),"")</f>
        <v/>
      </c>
      <c r="D956" cm="1">
        <f t="array" ref="D956">IFERROR(IF(SUMPRODUCT((expected_production[Site Name]=A956)*(expected_production[Date]=B956)*ISNUMBER(expected_production[Expected Production (kWh)]))=0,"",SUMIFS(expected_production[Expected Production (kWh)],expected_production[Site Name],A956,expected_production[Date],B956)),"")</f>
        <v>5785.2</v>
      </c>
      <c r="E956" s="9" t="str">
        <f t="shared" ref="E956:E1019" si="32">IF(OR(C956="",D956="",D956=0),"",C956/D956)</f>
        <v/>
      </c>
      <c r="F956" t="str">
        <f t="shared" ref="F956:F1019" si="33">IF(E956="","",IF(E956&gt;=0.9,"Expected",IF(E956&gt;=0.7,"Moderate","Poor")))</f>
        <v/>
      </c>
    </row>
    <row r="957" spans="1:6" ht="15" customHeight="1" x14ac:dyDescent="0.3">
      <c r="A957" t="s">
        <v>225</v>
      </c>
      <c r="B957" s="2">
        <v>45870</v>
      </c>
      <c r="C957" t="str" cm="1">
        <f t="array" ref="C957">IFERROR(IF(SUMPRODUCT((measured[Site Name]=A957)*(measured[Date]=B957)*ISNUMBER(measured[Measured Value (kWh)]))=0,"",SUMIFS(measured[Measured Value (kWh)],measured[Site Name],A957,measured[Date],B957)),"")</f>
        <v/>
      </c>
      <c r="D957" cm="1">
        <f t="array" ref="D957">IFERROR(IF(SUMPRODUCT((expected_production[Site Name]=A957)*(expected_production[Date]=B957)*ISNUMBER(expected_production[Expected Production (kWh)]))=0,"",SUMIFS(expected_production[Expected Production (kWh)],expected_production[Site Name],A957,expected_production[Date],B957)),"")</f>
        <v>6585.3</v>
      </c>
      <c r="E957" s="9" t="str">
        <f t="shared" si="32"/>
        <v/>
      </c>
      <c r="F957" t="str">
        <f t="shared" si="33"/>
        <v/>
      </c>
    </row>
    <row r="958" spans="1:6" ht="15" customHeight="1" x14ac:dyDescent="0.3">
      <c r="A958" t="s">
        <v>225</v>
      </c>
      <c r="B958" s="2">
        <v>45901</v>
      </c>
      <c r="C958" t="str" cm="1">
        <f t="array" ref="C958">IFERROR(IF(SUMPRODUCT((measured[Site Name]=A958)*(measured[Date]=B958)*ISNUMBER(measured[Measured Value (kWh)]))=0,"",SUMIFS(measured[Measured Value (kWh)],measured[Site Name],A958,measured[Date],B958)),"")</f>
        <v/>
      </c>
      <c r="D958" cm="1">
        <f t="array" ref="D958">IFERROR(IF(SUMPRODUCT((expected_production[Site Name]=A958)*(expected_production[Date]=B958)*ISNUMBER(expected_production[Expected Production (kWh)]))=0,"",SUMIFS(expected_production[Expected Production (kWh)],expected_production[Site Name],A958,expected_production[Date],B958)),"")</f>
        <v>7018.65</v>
      </c>
      <c r="E958" s="9" t="str">
        <f t="shared" si="32"/>
        <v/>
      </c>
      <c r="F958" t="str">
        <f t="shared" si="33"/>
        <v/>
      </c>
    </row>
    <row r="959" spans="1:6" ht="15" customHeight="1" x14ac:dyDescent="0.3">
      <c r="A959" t="s">
        <v>225</v>
      </c>
      <c r="B959" s="2">
        <v>45931</v>
      </c>
      <c r="C959" t="str" cm="1">
        <f t="array" ref="C959">IFERROR(IF(SUMPRODUCT((measured[Site Name]=A959)*(measured[Date]=B959)*ISNUMBER(measured[Measured Value (kWh)]))=0,"",SUMIFS(measured[Measured Value (kWh)],measured[Site Name],A959,measured[Date],B959)),"")</f>
        <v/>
      </c>
      <c r="D959" cm="1">
        <f t="array" ref="D959">IFERROR(IF(SUMPRODUCT((expected_production[Site Name]=A959)*(expected_production[Date]=B959)*ISNUMBER(expected_production[Expected Production (kWh)]))=0,"",SUMIFS(expected_production[Expected Production (kWh)],expected_production[Site Name],A959,expected_production[Date],B959)),"")</f>
        <v>7479.45</v>
      </c>
      <c r="E959" s="9" t="str">
        <f t="shared" si="32"/>
        <v/>
      </c>
      <c r="F959" t="str">
        <f t="shared" si="33"/>
        <v/>
      </c>
    </row>
    <row r="960" spans="1:6" ht="15" customHeight="1" x14ac:dyDescent="0.3">
      <c r="A960" t="s">
        <v>225</v>
      </c>
      <c r="B960" s="2">
        <v>45962</v>
      </c>
      <c r="C960" t="str" cm="1">
        <f t="array" ref="C960">IFERROR(IF(SUMPRODUCT((measured[Site Name]=A960)*(measured[Date]=B960)*ISNUMBER(measured[Measured Value (kWh)]))=0,"",SUMIFS(measured[Measured Value (kWh)],measured[Site Name],A960,measured[Date],B960)),"")</f>
        <v/>
      </c>
      <c r="D960" cm="1">
        <f t="array" ref="D960">IFERROR(IF(SUMPRODUCT((expected_production[Site Name]=A960)*(expected_production[Date]=B960)*ISNUMBER(expected_production[Expected Production (kWh)]))=0,"",SUMIFS(expected_production[Expected Production (kWh)],expected_production[Site Name],A960,expected_production[Date],B960)),"")</f>
        <v>7552.8</v>
      </c>
      <c r="E960" s="9" t="str">
        <f t="shared" si="32"/>
        <v/>
      </c>
      <c r="F960" t="str">
        <f t="shared" si="33"/>
        <v/>
      </c>
    </row>
    <row r="961" spans="1:7" ht="15" customHeight="1" x14ac:dyDescent="0.3">
      <c r="A961" t="s">
        <v>225</v>
      </c>
      <c r="B961" s="2">
        <v>45992</v>
      </c>
      <c r="C961" cm="1">
        <f t="array" ref="C961">IFERROR(IF(SUMPRODUCT((measured[Site Name]=A961)*(measured[Date]=B961)*ISNUMBER(measured[Measured Value (kWh)]))=0,"",SUMIFS(measured[Measured Value (kWh)],measured[Site Name],A961,measured[Date],B961)),"")</f>
        <v>5820</v>
      </c>
      <c r="D961" cm="1">
        <f t="array" ref="D961">IFERROR(IF(SUMPRODUCT((expected_production[Site Name]=A961)*(expected_production[Date]=B961)*ISNUMBER(expected_production[Expected Production (kWh)]))=0,"",SUMIFS(expected_production[Expected Production (kWh)],expected_production[Site Name],A961,expected_production[Date],B961)),"")</f>
        <v>7415.1</v>
      </c>
      <c r="E961" s="9">
        <f t="shared" si="32"/>
        <v>0.78488489703442965</v>
      </c>
      <c r="F961" t="str">
        <f t="shared" si="33"/>
        <v>Moderate</v>
      </c>
    </row>
    <row r="962" spans="1:7" ht="15" customHeight="1" x14ac:dyDescent="0.3">
      <c r="A962" t="s">
        <v>225</v>
      </c>
      <c r="B962" s="2">
        <v>46023</v>
      </c>
      <c r="C962" cm="1">
        <f t="array" ref="C962">IFERROR(IF(SUMPRODUCT((measured[Site Name]=A962)*(measured[Date]=B962)*ISNUMBER(measured[Measured Value (kWh)]))=0,"",SUMIFS(measured[Measured Value (kWh)],measured[Site Name],A962,measured[Date],B962)),"")</f>
        <v>7914</v>
      </c>
      <c r="D962" cm="1">
        <f t="array" ref="D962">IFERROR(IF(SUMPRODUCT((expected_production[Site Name]=A962)*(expected_production[Date]=B962)*ISNUMBER(expected_production[Expected Production (kWh)]))=0,"",SUMIFS(expected_production[Expected Production (kWh)],expected_production[Site Name],A962,expected_production[Date],B962)),"")</f>
        <v>7573.5</v>
      </c>
      <c r="E962" s="9">
        <f t="shared" si="32"/>
        <v>1.0449593979005745</v>
      </c>
      <c r="F962" t="str">
        <f t="shared" si="33"/>
        <v>Expected</v>
      </c>
    </row>
    <row r="963" spans="1:7" ht="15" customHeight="1" x14ac:dyDescent="0.3">
      <c r="A963" t="s">
        <v>225</v>
      </c>
      <c r="B963" s="2">
        <v>46054</v>
      </c>
      <c r="C963" cm="1">
        <f t="array" ref="C963">IFERROR(IF(SUMPRODUCT((measured[Site Name]=A963)*(measured[Date]=B963)*ISNUMBER(measured[Measured Value (kWh)]))=0,"",SUMIFS(measured[Measured Value (kWh)],measured[Site Name],A963,measured[Date],B963)),"")</f>
        <v>8094</v>
      </c>
      <c r="D963" cm="1">
        <f t="array" ref="D963">IFERROR(IF(SUMPRODUCT((expected_production[Site Name]=A963)*(expected_production[Date]=B963)*ISNUMBER(expected_production[Expected Production (kWh)]))=0,"",SUMIFS(expected_production[Expected Production (kWh)],expected_production[Site Name],A963,expected_production[Date],B963)),"")</f>
        <v>6513.75</v>
      </c>
      <c r="E963" s="9">
        <f t="shared" si="32"/>
        <v>1.2426021876799078</v>
      </c>
      <c r="F963" t="str">
        <f t="shared" si="33"/>
        <v>Expected</v>
      </c>
    </row>
    <row r="964" spans="1:7" ht="15" customHeight="1" x14ac:dyDescent="0.3">
      <c r="A964" t="s">
        <v>225</v>
      </c>
      <c r="B964" s="2">
        <v>46082</v>
      </c>
      <c r="C964" cm="1">
        <f t="array" ref="C964">IFERROR(IF(SUMPRODUCT((measured[Site Name]=A964)*(measured[Date]=B964)*ISNUMBER(measured[Measured Value (kWh)]))=0,"",SUMIFS(measured[Measured Value (kWh)],measured[Site Name],A964,measured[Date],B964)),"")</f>
        <v>6511</v>
      </c>
      <c r="D964" cm="1">
        <f t="array" ref="D964">IFERROR(IF(SUMPRODUCT((expected_production[Site Name]=A964)*(expected_production[Date]=B964)*ISNUMBER(expected_production[Expected Production (kWh)]))=0,"",SUMIFS(expected_production[Expected Production (kWh)],expected_production[Site Name],A964,expected_production[Date],B964)),"")</f>
        <v>6841.35</v>
      </c>
      <c r="E964" s="9">
        <f t="shared" si="32"/>
        <v>0.95171274675319928</v>
      </c>
      <c r="F964" t="str">
        <f t="shared" si="33"/>
        <v>Expected</v>
      </c>
    </row>
    <row r="965" spans="1:7" ht="15" customHeight="1" x14ac:dyDescent="0.3">
      <c r="A965" t="s">
        <v>225</v>
      </c>
      <c r="B965" s="2">
        <v>46113</v>
      </c>
      <c r="C965" cm="1">
        <f t="array" ref="C965">IFERROR(IF(SUMPRODUCT((measured[Site Name]=A965)*(measured[Date]=B965)*ISNUMBER(measured[Measured Value (kWh)]))=0,"",SUMIFS(measured[Measured Value (kWh)],measured[Site Name],A965,measured[Date],B965)),"")</f>
        <v>6094.6</v>
      </c>
      <c r="D965" cm="1">
        <f t="array" ref="D965">IFERROR(IF(SUMPRODUCT((expected_production[Site Name]=A965)*(expected_production[Date]=B965)*ISNUMBER(expected_production[Expected Production (kWh)]))=0,"",SUMIFS(expected_production[Expected Production (kWh)],expected_production[Site Name],A965,expected_production[Date],B965)),"")</f>
        <v>6183</v>
      </c>
      <c r="E965" s="9">
        <f t="shared" si="32"/>
        <v>0.98570273330098668</v>
      </c>
      <c r="F965" t="str">
        <f t="shared" si="33"/>
        <v>Expected</v>
      </c>
    </row>
    <row r="966" spans="1:7" ht="15" customHeight="1" x14ac:dyDescent="0.3">
      <c r="A966" t="s">
        <v>225</v>
      </c>
      <c r="B966" s="2">
        <v>46143</v>
      </c>
      <c r="C966" cm="1">
        <f t="array" ref="C966">IFERROR(IF(SUMPRODUCT((measured[Site Name]=A966)*(measured[Date]=B966)*ISNUMBER(measured[Measured Value (kWh)]))=0,"",SUMIFS(measured[Measured Value (kWh)],measured[Site Name],A966,measured[Date],B966)),"")</f>
        <v>7117.7</v>
      </c>
      <c r="D966" cm="1">
        <f t="array" ref="D966">IFERROR(IF(SUMPRODUCT((expected_production[Site Name]=A966)*(expected_production[Date]=B966)*ISNUMBER(expected_production[Expected Production (kWh)]))=0,"",SUMIFS(expected_production[Expected Production (kWh)],expected_production[Site Name],A966,expected_production[Date],B966)),"")</f>
        <v>5924.7</v>
      </c>
      <c r="E966" s="9">
        <f t="shared" si="32"/>
        <v>1.201360406434081</v>
      </c>
      <c r="F966" t="str">
        <f t="shared" si="33"/>
        <v>Expected</v>
      </c>
    </row>
    <row r="967" spans="1:7" ht="15" customHeight="1" x14ac:dyDescent="0.3">
      <c r="A967" t="s">
        <v>225</v>
      </c>
      <c r="B967" s="2">
        <v>46174</v>
      </c>
      <c r="C967" cm="1">
        <f t="array" ref="C967">IFERROR(IF(SUMPRODUCT((measured[Site Name]=A967)*(measured[Date]=B967)*ISNUMBER(measured[Measured Value (kWh)]))=0,"",SUMIFS(measured[Measured Value (kWh)],measured[Site Name],A967,measured[Date],B967)),"")</f>
        <v>5909</v>
      </c>
      <c r="D967" cm="1">
        <f t="array" ref="D967">IFERROR(IF(SUMPRODUCT((expected_production[Site Name]=A967)*(expected_production[Date]=B967)*ISNUMBER(expected_production[Expected Production (kWh)]))=0,"",SUMIFS(expected_production[Expected Production (kWh)],expected_production[Site Name],A967,expected_production[Date],B967)),"")</f>
        <v>5295.6</v>
      </c>
      <c r="E967" s="9">
        <f t="shared" si="32"/>
        <v>1.1158320114812297</v>
      </c>
      <c r="F967" t="str">
        <f t="shared" si="33"/>
        <v>Expected</v>
      </c>
    </row>
    <row r="968" spans="1:7" ht="15" customHeight="1" x14ac:dyDescent="0.3">
      <c r="A968" t="s">
        <v>113</v>
      </c>
      <c r="B968" s="2">
        <v>46204</v>
      </c>
      <c r="C968" cm="1">
        <f t="array" ref="C968">IFERROR(IF(SUMPRODUCT((measured[Site Name]=A968)*(measured[Date]=B968)*ISNUMBER(measured[Measured Value (kWh)]))=0,"",SUMIFS(measured[Measured Value (kWh)],measured[Site Name],A968,measured[Date],B968)),"")</f>
        <v>14156</v>
      </c>
      <c r="D968" cm="1">
        <f t="array" ref="D968">IFERROR(IF(SUMPRODUCT((expected_production[Site Name]=A968)*(expected_production[Date]=B968)*ISNUMBER(expected_production[Expected Production (kWh)]))=0,"",SUMIFS(expected_production[Expected Production (kWh)],expected_production[Site Name],A968,expected_production[Date],B968)),"")</f>
        <v>16774.830000000002</v>
      </c>
      <c r="E968" s="9">
        <f t="shared" si="32"/>
        <v>0.84388336573306544</v>
      </c>
      <c r="F968" t="str">
        <f t="shared" si="33"/>
        <v>Moderate</v>
      </c>
      <c r="G968" t="s">
        <v>874</v>
      </c>
    </row>
    <row r="969" spans="1:7" ht="15" customHeight="1" x14ac:dyDescent="0.3">
      <c r="A969" t="s">
        <v>225</v>
      </c>
      <c r="B969" s="2">
        <v>46235</v>
      </c>
      <c r="C969" t="str" cm="1">
        <f t="array" ref="C969">IFERROR(IF(SUMPRODUCT((measured[Site Name]=A969)*(measured[Date]=B969)*ISNUMBER(measured[Measured Value (kWh)]))=0,"",SUMIFS(measured[Measured Value (kWh)],measured[Site Name],A969,measured[Date],B969)),"")</f>
        <v/>
      </c>
      <c r="D969" cm="1">
        <f t="array" ref="D969">IFERROR(IF(SUMPRODUCT((expected_production[Site Name]=A969)*(expected_production[Date]=B969)*ISNUMBER(expected_production[Expected Production (kWh)]))=0,"",SUMIFS(expected_production[Expected Production (kWh)],expected_production[Site Name],A969,expected_production[Date],B969)),"")</f>
        <v>6585.3</v>
      </c>
      <c r="E969" s="9" t="str">
        <f t="shared" si="32"/>
        <v/>
      </c>
      <c r="F969" t="str">
        <f t="shared" si="33"/>
        <v/>
      </c>
    </row>
    <row r="970" spans="1:7" ht="15" customHeight="1" x14ac:dyDescent="0.3">
      <c r="A970" t="s">
        <v>225</v>
      </c>
      <c r="B970" s="2">
        <v>46266</v>
      </c>
      <c r="C970" t="str" cm="1">
        <f t="array" ref="C970">IFERROR(IF(SUMPRODUCT((measured[Site Name]=A970)*(measured[Date]=B970)*ISNUMBER(measured[Measured Value (kWh)]))=0,"",SUMIFS(measured[Measured Value (kWh)],measured[Site Name],A970,measured[Date],B970)),"")</f>
        <v/>
      </c>
      <c r="D970" cm="1">
        <f t="array" ref="D970">IFERROR(IF(SUMPRODUCT((expected_production[Site Name]=A970)*(expected_production[Date]=B970)*ISNUMBER(expected_production[Expected Production (kWh)]))=0,"",SUMIFS(expected_production[Expected Production (kWh)],expected_production[Site Name],A970,expected_production[Date],B970)),"")</f>
        <v>7018.65</v>
      </c>
      <c r="E970" s="9" t="str">
        <f t="shared" si="32"/>
        <v/>
      </c>
      <c r="F970" t="str">
        <f t="shared" si="33"/>
        <v/>
      </c>
    </row>
    <row r="971" spans="1:7" ht="15" customHeight="1" x14ac:dyDescent="0.3">
      <c r="A971" t="s">
        <v>225</v>
      </c>
      <c r="B971" s="2">
        <v>46296</v>
      </c>
      <c r="C971" t="str" cm="1">
        <f t="array" ref="C971">IFERROR(IF(SUMPRODUCT((measured[Site Name]=A971)*(measured[Date]=B971)*ISNUMBER(measured[Measured Value (kWh)]))=0,"",SUMIFS(measured[Measured Value (kWh)],measured[Site Name],A971,measured[Date],B971)),"")</f>
        <v/>
      </c>
      <c r="D971" cm="1">
        <f t="array" ref="D971">IFERROR(IF(SUMPRODUCT((expected_production[Site Name]=A971)*(expected_production[Date]=B971)*ISNUMBER(expected_production[Expected Production (kWh)]))=0,"",SUMIFS(expected_production[Expected Production (kWh)],expected_production[Site Name],A971,expected_production[Date],B971)),"")</f>
        <v>7479.45</v>
      </c>
      <c r="E971" s="9" t="str">
        <f t="shared" si="32"/>
        <v/>
      </c>
      <c r="F971" t="str">
        <f t="shared" si="33"/>
        <v/>
      </c>
    </row>
    <row r="972" spans="1:7" ht="15" customHeight="1" x14ac:dyDescent="0.3">
      <c r="A972" t="s">
        <v>225</v>
      </c>
      <c r="B972" s="2">
        <v>46327</v>
      </c>
      <c r="C972" t="str" cm="1">
        <f t="array" ref="C972">IFERROR(IF(SUMPRODUCT((measured[Site Name]=A972)*(measured[Date]=B972)*ISNUMBER(measured[Measured Value (kWh)]))=0,"",SUMIFS(measured[Measured Value (kWh)],measured[Site Name],A972,measured[Date],B972)),"")</f>
        <v/>
      </c>
      <c r="D972" cm="1">
        <f t="array" ref="D972">IFERROR(IF(SUMPRODUCT((expected_production[Site Name]=A972)*(expected_production[Date]=B972)*ISNUMBER(expected_production[Expected Production (kWh)]))=0,"",SUMIFS(expected_production[Expected Production (kWh)],expected_production[Site Name],A972,expected_production[Date],B972)),"")</f>
        <v>7552.8</v>
      </c>
      <c r="E972" s="9" t="str">
        <f t="shared" si="32"/>
        <v/>
      </c>
      <c r="F972" t="str">
        <f t="shared" si="33"/>
        <v/>
      </c>
    </row>
    <row r="973" spans="1:7" ht="15" customHeight="1" x14ac:dyDescent="0.3">
      <c r="A973" t="s">
        <v>225</v>
      </c>
      <c r="B973" s="2">
        <v>46357</v>
      </c>
      <c r="C973" t="str" cm="1">
        <f t="array" ref="C973">IFERROR(IF(SUMPRODUCT((measured[Site Name]=A973)*(measured[Date]=B973)*ISNUMBER(measured[Measured Value (kWh)]))=0,"",SUMIFS(measured[Measured Value (kWh)],measured[Site Name],A973,measured[Date],B973)),"")</f>
        <v/>
      </c>
      <c r="D973" cm="1">
        <f t="array" ref="D973">IFERROR(IF(SUMPRODUCT((expected_production[Site Name]=A973)*(expected_production[Date]=B973)*ISNUMBER(expected_production[Expected Production (kWh)]))=0,"",SUMIFS(expected_production[Expected Production (kWh)],expected_production[Site Name],A973,expected_production[Date],B973)),"")</f>
        <v>7415.1</v>
      </c>
      <c r="E973" s="9" t="str">
        <f t="shared" si="32"/>
        <v/>
      </c>
      <c r="F973" t="str">
        <f t="shared" si="33"/>
        <v/>
      </c>
    </row>
    <row r="974" spans="1:7" ht="15" customHeight="1" x14ac:dyDescent="0.3">
      <c r="A974" t="s">
        <v>223</v>
      </c>
      <c r="B974" s="2">
        <v>45292</v>
      </c>
      <c r="C974" t="str" cm="1">
        <f t="array" ref="C974">IFERROR(IF(SUMPRODUCT((measured[Site Name]=A974)*(measured[Date]=B974)*ISNUMBER(measured[Measured Value (kWh)]))=0,"",SUMIFS(measured[Measured Value (kWh)],measured[Site Name],A974,measured[Date],B974)),"")</f>
        <v/>
      </c>
      <c r="D974" cm="1">
        <f t="array" ref="D974">IFERROR(IF(SUMPRODUCT((expected_production[Site Name]=A974)*(expected_production[Date]=B974)*ISNUMBER(expected_production[Expected Production (kWh)]))=0,"",SUMIFS(expected_production[Expected Production (kWh)],expected_production[Site Name],A974,expected_production[Date],B974)),"")</f>
        <v>7573.5</v>
      </c>
      <c r="E974" s="9" t="str">
        <f t="shared" si="32"/>
        <v/>
      </c>
      <c r="F974" t="str">
        <f t="shared" si="33"/>
        <v/>
      </c>
    </row>
    <row r="975" spans="1:7" ht="15" customHeight="1" x14ac:dyDescent="0.3">
      <c r="A975" t="s">
        <v>223</v>
      </c>
      <c r="B975" s="2">
        <v>45323</v>
      </c>
      <c r="C975" t="str" cm="1">
        <f t="array" ref="C975">IFERROR(IF(SUMPRODUCT((measured[Site Name]=A975)*(measured[Date]=B975)*ISNUMBER(measured[Measured Value (kWh)]))=0,"",SUMIFS(measured[Measured Value (kWh)],measured[Site Name],A975,measured[Date],B975)),"")</f>
        <v/>
      </c>
      <c r="D975" cm="1">
        <f t="array" ref="D975">IFERROR(IF(SUMPRODUCT((expected_production[Site Name]=A975)*(expected_production[Date]=B975)*ISNUMBER(expected_production[Expected Production (kWh)]))=0,"",SUMIFS(expected_production[Expected Production (kWh)],expected_production[Site Name],A975,expected_production[Date],B975)),"")</f>
        <v>6513.75</v>
      </c>
      <c r="E975" s="9" t="str">
        <f t="shared" si="32"/>
        <v/>
      </c>
      <c r="F975" t="str">
        <f t="shared" si="33"/>
        <v/>
      </c>
    </row>
    <row r="976" spans="1:7" ht="15" customHeight="1" x14ac:dyDescent="0.3">
      <c r="A976" t="s">
        <v>223</v>
      </c>
      <c r="B976" s="2">
        <v>45352</v>
      </c>
      <c r="C976" t="str" cm="1">
        <f t="array" ref="C976">IFERROR(IF(SUMPRODUCT((measured[Site Name]=A976)*(measured[Date]=B976)*ISNUMBER(measured[Measured Value (kWh)]))=0,"",SUMIFS(measured[Measured Value (kWh)],measured[Site Name],A976,measured[Date],B976)),"")</f>
        <v/>
      </c>
      <c r="D976" cm="1">
        <f t="array" ref="D976">IFERROR(IF(SUMPRODUCT((expected_production[Site Name]=A976)*(expected_production[Date]=B976)*ISNUMBER(expected_production[Expected Production (kWh)]))=0,"",SUMIFS(expected_production[Expected Production (kWh)],expected_production[Site Name],A976,expected_production[Date],B976)),"")</f>
        <v>6841.35</v>
      </c>
      <c r="E976" s="9" t="str">
        <f t="shared" si="32"/>
        <v/>
      </c>
      <c r="F976" t="str">
        <f t="shared" si="33"/>
        <v/>
      </c>
    </row>
    <row r="977" spans="1:6" ht="15" customHeight="1" x14ac:dyDescent="0.3">
      <c r="A977" t="s">
        <v>223</v>
      </c>
      <c r="B977" s="2">
        <v>45383</v>
      </c>
      <c r="C977" t="str" cm="1">
        <f t="array" ref="C977">IFERROR(IF(SUMPRODUCT((measured[Site Name]=A977)*(measured[Date]=B977)*ISNUMBER(measured[Measured Value (kWh)]))=0,"",SUMIFS(measured[Measured Value (kWh)],measured[Site Name],A977,measured[Date],B977)),"")</f>
        <v/>
      </c>
      <c r="D977" cm="1">
        <f t="array" ref="D977">IFERROR(IF(SUMPRODUCT((expected_production[Site Name]=A977)*(expected_production[Date]=B977)*ISNUMBER(expected_production[Expected Production (kWh)]))=0,"",SUMIFS(expected_production[Expected Production (kWh)],expected_production[Site Name],A977,expected_production[Date],B977)),"")</f>
        <v>618.29999999999995</v>
      </c>
      <c r="E977" s="9" t="str">
        <f t="shared" si="32"/>
        <v/>
      </c>
      <c r="F977" t="str">
        <f t="shared" si="33"/>
        <v/>
      </c>
    </row>
    <row r="978" spans="1:6" ht="15" customHeight="1" x14ac:dyDescent="0.3">
      <c r="A978" t="s">
        <v>223</v>
      </c>
      <c r="B978" s="2">
        <v>45413</v>
      </c>
      <c r="C978" t="str" cm="1">
        <f t="array" ref="C978">IFERROR(IF(SUMPRODUCT((measured[Site Name]=A978)*(measured[Date]=B978)*ISNUMBER(measured[Measured Value (kWh)]))=0,"",SUMIFS(measured[Measured Value (kWh)],measured[Site Name],A978,measured[Date],B978)),"")</f>
        <v/>
      </c>
      <c r="D978" cm="1">
        <f t="array" ref="D978">IFERROR(IF(SUMPRODUCT((expected_production[Site Name]=A978)*(expected_production[Date]=B978)*ISNUMBER(expected_production[Expected Production (kWh)]))=0,"",SUMIFS(expected_production[Expected Production (kWh)],expected_production[Site Name],A978,expected_production[Date],B978)),"")</f>
        <v>5924.7</v>
      </c>
      <c r="E978" s="9" t="str">
        <f t="shared" si="32"/>
        <v/>
      </c>
      <c r="F978" t="str">
        <f t="shared" si="33"/>
        <v/>
      </c>
    </row>
    <row r="979" spans="1:6" ht="15" customHeight="1" x14ac:dyDescent="0.3">
      <c r="A979" t="s">
        <v>223</v>
      </c>
      <c r="B979" s="2">
        <v>45444</v>
      </c>
      <c r="C979" t="str" cm="1">
        <f t="array" ref="C979">IFERROR(IF(SUMPRODUCT((measured[Site Name]=A979)*(measured[Date]=B979)*ISNUMBER(measured[Measured Value (kWh)]))=0,"",SUMIFS(measured[Measured Value (kWh)],measured[Site Name],A979,measured[Date],B979)),"")</f>
        <v/>
      </c>
      <c r="D979" cm="1">
        <f t="array" ref="D979">IFERROR(IF(SUMPRODUCT((expected_production[Site Name]=A979)*(expected_production[Date]=B979)*ISNUMBER(expected_production[Expected Production (kWh)]))=0,"",SUMIFS(expected_production[Expected Production (kWh)],expected_production[Site Name],A979,expected_production[Date],B979)),"")</f>
        <v>5295.6</v>
      </c>
      <c r="E979" s="9" t="str">
        <f t="shared" si="32"/>
        <v/>
      </c>
      <c r="F979" t="str">
        <f t="shared" si="33"/>
        <v/>
      </c>
    </row>
    <row r="980" spans="1:6" ht="15" customHeight="1" x14ac:dyDescent="0.3">
      <c r="A980" t="s">
        <v>223</v>
      </c>
      <c r="B980" s="2">
        <v>45474</v>
      </c>
      <c r="C980" t="str" cm="1">
        <f t="array" ref="C980">IFERROR(IF(SUMPRODUCT((measured[Site Name]=A980)*(measured[Date]=B980)*ISNUMBER(measured[Measured Value (kWh)]))=0,"",SUMIFS(measured[Measured Value (kWh)],measured[Site Name],A980,measured[Date],B980)),"")</f>
        <v/>
      </c>
      <c r="D980" cm="1">
        <f t="array" ref="D980">IFERROR(IF(SUMPRODUCT((expected_production[Site Name]=A980)*(expected_production[Date]=B980)*ISNUMBER(expected_production[Expected Production (kWh)]))=0,"",SUMIFS(expected_production[Expected Production (kWh)],expected_production[Site Name],A980,expected_production[Date],B980)),"")</f>
        <v>5785.2</v>
      </c>
      <c r="E980" s="9" t="str">
        <f t="shared" si="32"/>
        <v/>
      </c>
      <c r="F980" t="str">
        <f t="shared" si="33"/>
        <v/>
      </c>
    </row>
    <row r="981" spans="1:6" ht="15" customHeight="1" x14ac:dyDescent="0.3">
      <c r="A981" t="s">
        <v>223</v>
      </c>
      <c r="B981" s="2">
        <v>45505</v>
      </c>
      <c r="C981" t="str" cm="1">
        <f t="array" ref="C981">IFERROR(IF(SUMPRODUCT((measured[Site Name]=A981)*(measured[Date]=B981)*ISNUMBER(measured[Measured Value (kWh)]))=0,"",SUMIFS(measured[Measured Value (kWh)],measured[Site Name],A981,measured[Date],B981)),"")</f>
        <v/>
      </c>
      <c r="D981" cm="1">
        <f t="array" ref="D981">IFERROR(IF(SUMPRODUCT((expected_production[Site Name]=A981)*(expected_production[Date]=B981)*ISNUMBER(expected_production[Expected Production (kWh)]))=0,"",SUMIFS(expected_production[Expected Production (kWh)],expected_production[Site Name],A981,expected_production[Date],B981)),"")</f>
        <v>6585.3</v>
      </c>
      <c r="E981" s="9" t="str">
        <f t="shared" si="32"/>
        <v/>
      </c>
      <c r="F981" t="str">
        <f t="shared" si="33"/>
        <v/>
      </c>
    </row>
    <row r="982" spans="1:6" ht="15" customHeight="1" x14ac:dyDescent="0.3">
      <c r="A982" t="s">
        <v>223</v>
      </c>
      <c r="B982" s="2">
        <v>45536</v>
      </c>
      <c r="C982" t="str" cm="1">
        <f t="array" ref="C982">IFERROR(IF(SUMPRODUCT((measured[Site Name]=A982)*(measured[Date]=B982)*ISNUMBER(measured[Measured Value (kWh)]))=0,"",SUMIFS(measured[Measured Value (kWh)],measured[Site Name],A982,measured[Date],B982)),"")</f>
        <v/>
      </c>
      <c r="D982" cm="1">
        <f t="array" ref="D982">IFERROR(IF(SUMPRODUCT((expected_production[Site Name]=A982)*(expected_production[Date]=B982)*ISNUMBER(expected_production[Expected Production (kWh)]))=0,"",SUMIFS(expected_production[Expected Production (kWh)],expected_production[Site Name],A982,expected_production[Date],B982)),"")</f>
        <v>7018.65</v>
      </c>
      <c r="E982" s="9" t="str">
        <f t="shared" si="32"/>
        <v/>
      </c>
      <c r="F982" t="str">
        <f t="shared" si="33"/>
        <v/>
      </c>
    </row>
    <row r="983" spans="1:6" ht="15" customHeight="1" x14ac:dyDescent="0.3">
      <c r="A983" t="s">
        <v>223</v>
      </c>
      <c r="B983" s="2">
        <v>45566</v>
      </c>
      <c r="C983" t="str" cm="1">
        <f t="array" ref="C983">IFERROR(IF(SUMPRODUCT((measured[Site Name]=A983)*(measured[Date]=B983)*ISNUMBER(measured[Measured Value (kWh)]))=0,"",SUMIFS(measured[Measured Value (kWh)],measured[Site Name],A983,measured[Date],B983)),"")</f>
        <v/>
      </c>
      <c r="D983" cm="1">
        <f t="array" ref="D983">IFERROR(IF(SUMPRODUCT((expected_production[Site Name]=A983)*(expected_production[Date]=B983)*ISNUMBER(expected_production[Expected Production (kWh)]))=0,"",SUMIFS(expected_production[Expected Production (kWh)],expected_production[Site Name],A983,expected_production[Date],B983)),"")</f>
        <v>7479.45</v>
      </c>
      <c r="E983" s="9" t="str">
        <f t="shared" si="32"/>
        <v/>
      </c>
      <c r="F983" t="str">
        <f t="shared" si="33"/>
        <v/>
      </c>
    </row>
    <row r="984" spans="1:6" ht="15" customHeight="1" x14ac:dyDescent="0.3">
      <c r="A984" t="s">
        <v>223</v>
      </c>
      <c r="B984" s="2">
        <v>45597</v>
      </c>
      <c r="C984" t="str" cm="1">
        <f t="array" ref="C984">IFERROR(IF(SUMPRODUCT((measured[Site Name]=A984)*(measured[Date]=B984)*ISNUMBER(measured[Measured Value (kWh)]))=0,"",SUMIFS(measured[Measured Value (kWh)],measured[Site Name],A984,measured[Date],B984)),"")</f>
        <v/>
      </c>
      <c r="D984" cm="1">
        <f t="array" ref="D984">IFERROR(IF(SUMPRODUCT((expected_production[Site Name]=A984)*(expected_production[Date]=B984)*ISNUMBER(expected_production[Expected Production (kWh)]))=0,"",SUMIFS(expected_production[Expected Production (kWh)],expected_production[Site Name],A984,expected_production[Date],B984)),"")</f>
        <v>7552.8</v>
      </c>
      <c r="E984" s="9" t="str">
        <f t="shared" si="32"/>
        <v/>
      </c>
      <c r="F984" t="str">
        <f t="shared" si="33"/>
        <v/>
      </c>
    </row>
    <row r="985" spans="1:6" ht="15" customHeight="1" x14ac:dyDescent="0.3">
      <c r="A985" t="s">
        <v>223</v>
      </c>
      <c r="B985" s="2">
        <v>45627</v>
      </c>
      <c r="C985" t="str" cm="1">
        <f t="array" ref="C985">IFERROR(IF(SUMPRODUCT((measured[Site Name]=A985)*(measured[Date]=B985)*ISNUMBER(measured[Measured Value (kWh)]))=0,"",SUMIFS(measured[Measured Value (kWh)],measured[Site Name],A985,measured[Date],B985)),"")</f>
        <v/>
      </c>
      <c r="D985" cm="1">
        <f t="array" ref="D985">IFERROR(IF(SUMPRODUCT((expected_production[Site Name]=A985)*(expected_production[Date]=B985)*ISNUMBER(expected_production[Expected Production (kWh)]))=0,"",SUMIFS(expected_production[Expected Production (kWh)],expected_production[Site Name],A985,expected_production[Date],B985)),"")</f>
        <v>7415.1</v>
      </c>
      <c r="E985" s="9" t="str">
        <f t="shared" si="32"/>
        <v/>
      </c>
      <c r="F985" t="str">
        <f t="shared" si="33"/>
        <v/>
      </c>
    </row>
    <row r="986" spans="1:6" ht="15" customHeight="1" x14ac:dyDescent="0.3">
      <c r="A986" t="s">
        <v>223</v>
      </c>
      <c r="B986" s="2">
        <v>45658</v>
      </c>
      <c r="C986" t="str" cm="1">
        <f t="array" ref="C986">IFERROR(IF(SUMPRODUCT((measured[Site Name]=A986)*(measured[Date]=B986)*ISNUMBER(measured[Measured Value (kWh)]))=0,"",SUMIFS(measured[Measured Value (kWh)],measured[Site Name],A986,measured[Date],B986)),"")</f>
        <v/>
      </c>
      <c r="D986" cm="1">
        <f t="array" ref="D986">IFERROR(IF(SUMPRODUCT((expected_production[Site Name]=A986)*(expected_production[Date]=B986)*ISNUMBER(expected_production[Expected Production (kWh)]))=0,"",SUMIFS(expected_production[Expected Production (kWh)],expected_production[Site Name],A986,expected_production[Date],B986)),"")</f>
        <v>7573.5</v>
      </c>
      <c r="E986" s="9" t="str">
        <f t="shared" si="32"/>
        <v/>
      </c>
      <c r="F986" t="str">
        <f t="shared" si="33"/>
        <v/>
      </c>
    </row>
    <row r="987" spans="1:6" ht="15" customHeight="1" x14ac:dyDescent="0.3">
      <c r="A987" t="s">
        <v>223</v>
      </c>
      <c r="B987" s="2">
        <v>45689</v>
      </c>
      <c r="C987" t="str" cm="1">
        <f t="array" ref="C987">IFERROR(IF(SUMPRODUCT((measured[Site Name]=A987)*(measured[Date]=B987)*ISNUMBER(measured[Measured Value (kWh)]))=0,"",SUMIFS(measured[Measured Value (kWh)],measured[Site Name],A987,measured[Date],B987)),"")</f>
        <v/>
      </c>
      <c r="D987" cm="1">
        <f t="array" ref="D987">IFERROR(IF(SUMPRODUCT((expected_production[Site Name]=A987)*(expected_production[Date]=B987)*ISNUMBER(expected_production[Expected Production (kWh)]))=0,"",SUMIFS(expected_production[Expected Production (kWh)],expected_production[Site Name],A987,expected_production[Date],B987)),"")</f>
        <v>6513.75</v>
      </c>
      <c r="E987" s="9" t="str">
        <f t="shared" si="32"/>
        <v/>
      </c>
      <c r="F987" t="str">
        <f t="shared" si="33"/>
        <v/>
      </c>
    </row>
    <row r="988" spans="1:6" ht="15" customHeight="1" x14ac:dyDescent="0.3">
      <c r="A988" t="s">
        <v>223</v>
      </c>
      <c r="B988" s="2">
        <v>45717</v>
      </c>
      <c r="C988" t="str" cm="1">
        <f t="array" ref="C988">IFERROR(IF(SUMPRODUCT((measured[Site Name]=A988)*(measured[Date]=B988)*ISNUMBER(measured[Measured Value (kWh)]))=0,"",SUMIFS(measured[Measured Value (kWh)],measured[Site Name],A988,measured[Date],B988)),"")</f>
        <v/>
      </c>
      <c r="D988" cm="1">
        <f t="array" ref="D988">IFERROR(IF(SUMPRODUCT((expected_production[Site Name]=A988)*(expected_production[Date]=B988)*ISNUMBER(expected_production[Expected Production (kWh)]))=0,"",SUMIFS(expected_production[Expected Production (kWh)],expected_production[Site Name],A988,expected_production[Date],B988)),"")</f>
        <v>6841.35</v>
      </c>
      <c r="E988" s="9" t="str">
        <f t="shared" si="32"/>
        <v/>
      </c>
      <c r="F988" t="str">
        <f t="shared" si="33"/>
        <v/>
      </c>
    </row>
    <row r="989" spans="1:6" ht="15" customHeight="1" x14ac:dyDescent="0.3">
      <c r="A989" t="s">
        <v>223</v>
      </c>
      <c r="B989" s="2">
        <v>45748</v>
      </c>
      <c r="C989" t="str" cm="1">
        <f t="array" ref="C989">IFERROR(IF(SUMPRODUCT((measured[Site Name]=A989)*(measured[Date]=B989)*ISNUMBER(measured[Measured Value (kWh)]))=0,"",SUMIFS(measured[Measured Value (kWh)],measured[Site Name],A989,measured[Date],B989)),"")</f>
        <v/>
      </c>
      <c r="D989" cm="1">
        <f t="array" ref="D989">IFERROR(IF(SUMPRODUCT((expected_production[Site Name]=A989)*(expected_production[Date]=B989)*ISNUMBER(expected_production[Expected Production (kWh)]))=0,"",SUMIFS(expected_production[Expected Production (kWh)],expected_production[Site Name],A989,expected_production[Date],B989)),"")</f>
        <v>618.29999999999995</v>
      </c>
      <c r="E989" s="9" t="str">
        <f t="shared" si="32"/>
        <v/>
      </c>
      <c r="F989" t="str">
        <f t="shared" si="33"/>
        <v/>
      </c>
    </row>
    <row r="990" spans="1:6" ht="15" customHeight="1" x14ac:dyDescent="0.3">
      <c r="A990" t="s">
        <v>223</v>
      </c>
      <c r="B990" s="2">
        <v>45778</v>
      </c>
      <c r="C990" t="str" cm="1">
        <f t="array" ref="C990">IFERROR(IF(SUMPRODUCT((measured[Site Name]=A990)*(measured[Date]=B990)*ISNUMBER(measured[Measured Value (kWh)]))=0,"",SUMIFS(measured[Measured Value (kWh)],measured[Site Name],A990,measured[Date],B990)),"")</f>
        <v/>
      </c>
      <c r="D990" cm="1">
        <f t="array" ref="D990">IFERROR(IF(SUMPRODUCT((expected_production[Site Name]=A990)*(expected_production[Date]=B990)*ISNUMBER(expected_production[Expected Production (kWh)]))=0,"",SUMIFS(expected_production[Expected Production (kWh)],expected_production[Site Name],A990,expected_production[Date],B990)),"")</f>
        <v>5924.7</v>
      </c>
      <c r="E990" s="9" t="str">
        <f t="shared" si="32"/>
        <v/>
      </c>
      <c r="F990" t="str">
        <f t="shared" si="33"/>
        <v/>
      </c>
    </row>
    <row r="991" spans="1:6" ht="15" customHeight="1" x14ac:dyDescent="0.3">
      <c r="A991" t="s">
        <v>223</v>
      </c>
      <c r="B991" s="2">
        <v>45809</v>
      </c>
      <c r="C991" t="str" cm="1">
        <f t="array" ref="C991">IFERROR(IF(SUMPRODUCT((measured[Site Name]=A991)*(measured[Date]=B991)*ISNUMBER(measured[Measured Value (kWh)]))=0,"",SUMIFS(measured[Measured Value (kWh)],measured[Site Name],A991,measured[Date],B991)),"")</f>
        <v/>
      </c>
      <c r="D991" cm="1">
        <f t="array" ref="D991">IFERROR(IF(SUMPRODUCT((expected_production[Site Name]=A991)*(expected_production[Date]=B991)*ISNUMBER(expected_production[Expected Production (kWh)]))=0,"",SUMIFS(expected_production[Expected Production (kWh)],expected_production[Site Name],A991,expected_production[Date],B991)),"")</f>
        <v>5295.6</v>
      </c>
      <c r="E991" s="9" t="str">
        <f t="shared" si="32"/>
        <v/>
      </c>
      <c r="F991" t="str">
        <f t="shared" si="33"/>
        <v/>
      </c>
    </row>
    <row r="992" spans="1:6" ht="15" customHeight="1" x14ac:dyDescent="0.3">
      <c r="A992" t="s">
        <v>223</v>
      </c>
      <c r="B992" s="2">
        <v>45839</v>
      </c>
      <c r="C992" t="str" cm="1">
        <f t="array" ref="C992">IFERROR(IF(SUMPRODUCT((measured[Site Name]=A992)*(measured[Date]=B992)*ISNUMBER(measured[Measured Value (kWh)]))=0,"",SUMIFS(measured[Measured Value (kWh)],measured[Site Name],A992,measured[Date],B992)),"")</f>
        <v/>
      </c>
      <c r="D992" cm="1">
        <f t="array" ref="D992">IFERROR(IF(SUMPRODUCT((expected_production[Site Name]=A992)*(expected_production[Date]=B992)*ISNUMBER(expected_production[Expected Production (kWh)]))=0,"",SUMIFS(expected_production[Expected Production (kWh)],expected_production[Site Name],A992,expected_production[Date],B992)),"")</f>
        <v>5785.2</v>
      </c>
      <c r="E992" s="9" t="str">
        <f t="shared" si="32"/>
        <v/>
      </c>
      <c r="F992" t="str">
        <f t="shared" si="33"/>
        <v/>
      </c>
    </row>
    <row r="993" spans="1:7" ht="15" customHeight="1" x14ac:dyDescent="0.3">
      <c r="A993" t="s">
        <v>223</v>
      </c>
      <c r="B993" s="2">
        <v>45870</v>
      </c>
      <c r="C993" t="str" cm="1">
        <f t="array" ref="C993">IFERROR(IF(SUMPRODUCT((measured[Site Name]=A993)*(measured[Date]=B993)*ISNUMBER(measured[Measured Value (kWh)]))=0,"",SUMIFS(measured[Measured Value (kWh)],measured[Site Name],A993,measured[Date],B993)),"")</f>
        <v/>
      </c>
      <c r="D993" cm="1">
        <f t="array" ref="D993">IFERROR(IF(SUMPRODUCT((expected_production[Site Name]=A993)*(expected_production[Date]=B993)*ISNUMBER(expected_production[Expected Production (kWh)]))=0,"",SUMIFS(expected_production[Expected Production (kWh)],expected_production[Site Name],A993,expected_production[Date],B993)),"")</f>
        <v>6585.3</v>
      </c>
      <c r="E993" s="9" t="str">
        <f t="shared" si="32"/>
        <v/>
      </c>
      <c r="F993" t="str">
        <f t="shared" si="33"/>
        <v/>
      </c>
    </row>
    <row r="994" spans="1:7" ht="15" customHeight="1" x14ac:dyDescent="0.3">
      <c r="A994" t="s">
        <v>223</v>
      </c>
      <c r="B994" s="2">
        <v>45901</v>
      </c>
      <c r="C994" t="str" cm="1">
        <f t="array" ref="C994">IFERROR(IF(SUMPRODUCT((measured[Site Name]=A994)*(measured[Date]=B994)*ISNUMBER(measured[Measured Value (kWh)]))=0,"",SUMIFS(measured[Measured Value (kWh)],measured[Site Name],A994,measured[Date],B994)),"")</f>
        <v/>
      </c>
      <c r="D994" cm="1">
        <f t="array" ref="D994">IFERROR(IF(SUMPRODUCT((expected_production[Site Name]=A994)*(expected_production[Date]=B994)*ISNUMBER(expected_production[Expected Production (kWh)]))=0,"",SUMIFS(expected_production[Expected Production (kWh)],expected_production[Site Name],A994,expected_production[Date],B994)),"")</f>
        <v>7018.65</v>
      </c>
      <c r="E994" s="9" t="str">
        <f t="shared" si="32"/>
        <v/>
      </c>
      <c r="F994" t="str">
        <f t="shared" si="33"/>
        <v/>
      </c>
    </row>
    <row r="995" spans="1:7" ht="15" customHeight="1" x14ac:dyDescent="0.3">
      <c r="A995" t="s">
        <v>223</v>
      </c>
      <c r="B995" s="2">
        <v>45931</v>
      </c>
      <c r="C995" t="str" cm="1">
        <f t="array" ref="C995">IFERROR(IF(SUMPRODUCT((measured[Site Name]=A995)*(measured[Date]=B995)*ISNUMBER(measured[Measured Value (kWh)]))=0,"",SUMIFS(measured[Measured Value (kWh)],measured[Site Name],A995,measured[Date],B995)),"")</f>
        <v/>
      </c>
      <c r="D995" cm="1">
        <f t="array" ref="D995">IFERROR(IF(SUMPRODUCT((expected_production[Site Name]=A995)*(expected_production[Date]=B995)*ISNUMBER(expected_production[Expected Production (kWh)]))=0,"",SUMIFS(expected_production[Expected Production (kWh)],expected_production[Site Name],A995,expected_production[Date],B995)),"")</f>
        <v>7479.45</v>
      </c>
      <c r="E995" s="9" t="str">
        <f t="shared" si="32"/>
        <v/>
      </c>
      <c r="F995" t="str">
        <f t="shared" si="33"/>
        <v/>
      </c>
    </row>
    <row r="996" spans="1:7" ht="15" customHeight="1" x14ac:dyDescent="0.3">
      <c r="A996" t="s">
        <v>223</v>
      </c>
      <c r="B996" s="2">
        <v>45962</v>
      </c>
      <c r="C996" t="str" cm="1">
        <f t="array" ref="C996">IFERROR(IF(SUMPRODUCT((measured[Site Name]=A996)*(measured[Date]=B996)*ISNUMBER(measured[Measured Value (kWh)]))=0,"",SUMIFS(measured[Measured Value (kWh)],measured[Site Name],A996,measured[Date],B996)),"")</f>
        <v/>
      </c>
      <c r="D996" cm="1">
        <f t="array" ref="D996">IFERROR(IF(SUMPRODUCT((expected_production[Site Name]=A996)*(expected_production[Date]=B996)*ISNUMBER(expected_production[Expected Production (kWh)]))=0,"",SUMIFS(expected_production[Expected Production (kWh)],expected_production[Site Name],A996,expected_production[Date],B996)),"")</f>
        <v>7552.8</v>
      </c>
      <c r="E996" s="9" t="str">
        <f t="shared" si="32"/>
        <v/>
      </c>
      <c r="F996" t="str">
        <f t="shared" si="33"/>
        <v/>
      </c>
    </row>
    <row r="997" spans="1:7" ht="15" customHeight="1" x14ac:dyDescent="0.3">
      <c r="A997" t="s">
        <v>223</v>
      </c>
      <c r="B997" s="2">
        <v>45992</v>
      </c>
      <c r="C997" cm="1">
        <f t="array" ref="C997">IFERROR(IF(SUMPRODUCT((measured[Site Name]=A997)*(measured[Date]=B997)*ISNUMBER(measured[Measured Value (kWh)]))=0,"",SUMIFS(measured[Measured Value (kWh)],measured[Site Name],A997,measured[Date],B997)),"")</f>
        <v>5820</v>
      </c>
      <c r="D997" cm="1">
        <f t="array" ref="D997">IFERROR(IF(SUMPRODUCT((expected_production[Site Name]=A997)*(expected_production[Date]=B997)*ISNUMBER(expected_production[Expected Production (kWh)]))=0,"",SUMIFS(expected_production[Expected Production (kWh)],expected_production[Site Name],A997,expected_production[Date],B997)),"")</f>
        <v>7415.1</v>
      </c>
      <c r="E997" s="9">
        <f t="shared" si="32"/>
        <v>0.78488489703442965</v>
      </c>
      <c r="F997" t="str">
        <f t="shared" si="33"/>
        <v>Moderate</v>
      </c>
    </row>
    <row r="998" spans="1:7" ht="15" customHeight="1" x14ac:dyDescent="0.3">
      <c r="A998" t="s">
        <v>223</v>
      </c>
      <c r="B998" s="2">
        <v>46023</v>
      </c>
      <c r="C998" cm="1">
        <f t="array" ref="C998">IFERROR(IF(SUMPRODUCT((measured[Site Name]=A998)*(measured[Date]=B998)*ISNUMBER(measured[Measured Value (kWh)]))=0,"",SUMIFS(measured[Measured Value (kWh)],measured[Site Name],A998,measured[Date],B998)),"")</f>
        <v>5904</v>
      </c>
      <c r="D998" cm="1">
        <f t="array" ref="D998">IFERROR(IF(SUMPRODUCT((expected_production[Site Name]=A998)*(expected_production[Date]=B998)*ISNUMBER(expected_production[Expected Production (kWh)]))=0,"",SUMIFS(expected_production[Expected Production (kWh)],expected_production[Site Name],A998,expected_production[Date],B998)),"")</f>
        <v>7573.5</v>
      </c>
      <c r="E998" s="9">
        <f t="shared" si="32"/>
        <v>0.77956030897207362</v>
      </c>
      <c r="F998" t="str">
        <f t="shared" si="33"/>
        <v>Moderate</v>
      </c>
    </row>
    <row r="999" spans="1:7" ht="15" customHeight="1" x14ac:dyDescent="0.3">
      <c r="A999" t="s">
        <v>223</v>
      </c>
      <c r="B999" s="2">
        <v>46054</v>
      </c>
      <c r="C999" cm="1">
        <f t="array" ref="C999">IFERROR(IF(SUMPRODUCT((measured[Site Name]=A999)*(measured[Date]=B999)*ISNUMBER(measured[Measured Value (kWh)]))=0,"",SUMIFS(measured[Measured Value (kWh)],measured[Site Name],A999,measured[Date],B999)),"")</f>
        <v>5406</v>
      </c>
      <c r="D999" cm="1">
        <f t="array" ref="D999">IFERROR(IF(SUMPRODUCT((expected_production[Site Name]=A999)*(expected_production[Date]=B999)*ISNUMBER(expected_production[Expected Production (kWh)]))=0,"",SUMIFS(expected_production[Expected Production (kWh)],expected_production[Site Name],A999,expected_production[Date],B999)),"")</f>
        <v>6513.75</v>
      </c>
      <c r="E999" s="9">
        <f t="shared" si="32"/>
        <v>0.82993667242371905</v>
      </c>
      <c r="F999" t="str">
        <f t="shared" si="33"/>
        <v>Moderate</v>
      </c>
    </row>
    <row r="1000" spans="1:7" ht="15" customHeight="1" x14ac:dyDescent="0.3">
      <c r="A1000" t="s">
        <v>223</v>
      </c>
      <c r="B1000" s="2">
        <v>46082</v>
      </c>
      <c r="C1000" cm="1">
        <f t="array" ref="C1000">IFERROR(IF(SUMPRODUCT((measured[Site Name]=A1000)*(measured[Date]=B1000)*ISNUMBER(measured[Measured Value (kWh)]))=0,"",SUMIFS(measured[Measured Value (kWh)],measured[Site Name],A1000,measured[Date],B1000)),"")</f>
        <v>4115</v>
      </c>
      <c r="D1000" cm="1">
        <f t="array" ref="D1000">IFERROR(IF(SUMPRODUCT((expected_production[Site Name]=A1000)*(expected_production[Date]=B1000)*ISNUMBER(expected_production[Expected Production (kWh)]))=0,"",SUMIFS(expected_production[Expected Production (kWh)],expected_production[Site Name],A1000,expected_production[Date],B1000)),"")</f>
        <v>6841.35</v>
      </c>
      <c r="E1000" s="9">
        <f t="shared" si="32"/>
        <v>0.60148947210711334</v>
      </c>
      <c r="F1000" t="str">
        <f t="shared" si="33"/>
        <v>Poor</v>
      </c>
    </row>
    <row r="1001" spans="1:7" ht="15" customHeight="1" x14ac:dyDescent="0.3">
      <c r="A1001" t="s">
        <v>223</v>
      </c>
      <c r="B1001" s="2">
        <v>46113</v>
      </c>
      <c r="C1001" cm="1">
        <f t="array" ref="C1001">IFERROR(IF(SUMPRODUCT((measured[Site Name]=A1001)*(measured[Date]=B1001)*ISNUMBER(measured[Measured Value (kWh)]))=0,"",SUMIFS(measured[Measured Value (kWh)],measured[Site Name],A1001,measured[Date],B1001)),"")</f>
        <v>4377</v>
      </c>
      <c r="D1001" cm="1">
        <f t="array" ref="D1001">IFERROR(IF(SUMPRODUCT((expected_production[Site Name]=A1001)*(expected_production[Date]=B1001)*ISNUMBER(expected_production[Expected Production (kWh)]))=0,"",SUMIFS(expected_production[Expected Production (kWh)],expected_production[Site Name],A1001,expected_production[Date],B1001)),"")</f>
        <v>6183</v>
      </c>
      <c r="E1001" s="9">
        <f t="shared" si="32"/>
        <v>0.70790878214458997</v>
      </c>
      <c r="F1001" t="str">
        <f t="shared" si="33"/>
        <v>Moderate</v>
      </c>
    </row>
    <row r="1002" spans="1:7" ht="15" customHeight="1" x14ac:dyDescent="0.3">
      <c r="A1002" t="s">
        <v>223</v>
      </c>
      <c r="B1002" s="2">
        <v>46143</v>
      </c>
      <c r="C1002" cm="1">
        <f t="array" ref="C1002">IFERROR(IF(SUMPRODUCT((measured[Site Name]=A1002)*(measured[Date]=B1002)*ISNUMBER(measured[Measured Value (kWh)]))=0,"",SUMIFS(measured[Measured Value (kWh)],measured[Site Name],A1002,measured[Date],B1002)),"")</f>
        <v>4300</v>
      </c>
      <c r="D1002" cm="1">
        <f t="array" ref="D1002">IFERROR(IF(SUMPRODUCT((expected_production[Site Name]=A1002)*(expected_production[Date]=B1002)*ISNUMBER(expected_production[Expected Production (kWh)]))=0,"",SUMIFS(expected_production[Expected Production (kWh)],expected_production[Site Name],A1002,expected_production[Date],B1002)),"")</f>
        <v>5924.7</v>
      </c>
      <c r="E1002" s="9">
        <f t="shared" si="32"/>
        <v>0.7257751447330667</v>
      </c>
      <c r="F1002" t="str">
        <f t="shared" si="33"/>
        <v>Moderate</v>
      </c>
    </row>
    <row r="1003" spans="1:7" ht="15" customHeight="1" x14ac:dyDescent="0.3">
      <c r="A1003" t="s">
        <v>223</v>
      </c>
      <c r="B1003" s="2">
        <v>46174</v>
      </c>
      <c r="C1003" cm="1">
        <f t="array" ref="C1003">IFERROR(IF(SUMPRODUCT((measured[Site Name]=A1003)*(measured[Date]=B1003)*ISNUMBER(measured[Measured Value (kWh)]))=0,"",SUMIFS(measured[Measured Value (kWh)],measured[Site Name],A1003,measured[Date],B1003)),"")</f>
        <v>3139.7</v>
      </c>
      <c r="D1003" cm="1">
        <f t="array" ref="D1003">IFERROR(IF(SUMPRODUCT((expected_production[Site Name]=A1003)*(expected_production[Date]=B1003)*ISNUMBER(expected_production[Expected Production (kWh)]))=0,"",SUMIFS(expected_production[Expected Production (kWh)],expected_production[Site Name],A1003,expected_production[Date],B1003)),"")</f>
        <v>5295.6</v>
      </c>
      <c r="E1003" s="9">
        <f t="shared" si="32"/>
        <v>0.59288843568245331</v>
      </c>
      <c r="F1003" t="str">
        <f t="shared" si="33"/>
        <v>Poor</v>
      </c>
    </row>
    <row r="1004" spans="1:7" ht="15" customHeight="1" x14ac:dyDescent="0.3">
      <c r="A1004" t="s">
        <v>114</v>
      </c>
      <c r="B1004" s="2">
        <v>46204</v>
      </c>
      <c r="C1004" cm="1">
        <f t="array" ref="C1004">IFERROR(IF(SUMPRODUCT((measured[Site Name]=A1004)*(measured[Date]=B1004)*ISNUMBER(measured[Measured Value (kWh)]))=0,"",SUMIFS(measured[Measured Value (kWh)],measured[Site Name],A1004,measured[Date],B1004)),"")</f>
        <v>17975</v>
      </c>
      <c r="D1004" cm="1">
        <f t="array" ref="D1004">IFERROR(IF(SUMPRODUCT((expected_production[Site Name]=A1004)*(expected_production[Date]=B1004)*ISNUMBER(expected_production[Expected Production (kWh)]))=0,"",SUMIFS(expected_production[Expected Production (kWh)],expected_production[Site Name],A1004,expected_production[Date],B1004)),"")</f>
        <v>19010.7</v>
      </c>
      <c r="E1004" s="9">
        <f t="shared" si="32"/>
        <v>0.94552015443934201</v>
      </c>
      <c r="F1004" t="str">
        <f t="shared" si="33"/>
        <v>Expected</v>
      </c>
      <c r="G1004" t="s">
        <v>874</v>
      </c>
    </row>
    <row r="1005" spans="1:7" ht="15" customHeight="1" x14ac:dyDescent="0.3">
      <c r="A1005" t="s">
        <v>223</v>
      </c>
      <c r="B1005" s="2">
        <v>46235</v>
      </c>
      <c r="C1005" t="str" cm="1">
        <f t="array" ref="C1005">IFERROR(IF(SUMPRODUCT((measured[Site Name]=A1005)*(measured[Date]=B1005)*ISNUMBER(measured[Measured Value (kWh)]))=0,"",SUMIFS(measured[Measured Value (kWh)],measured[Site Name],A1005,measured[Date],B1005)),"")</f>
        <v/>
      </c>
      <c r="D1005" cm="1">
        <f t="array" ref="D1005">IFERROR(IF(SUMPRODUCT((expected_production[Site Name]=A1005)*(expected_production[Date]=B1005)*ISNUMBER(expected_production[Expected Production (kWh)]))=0,"",SUMIFS(expected_production[Expected Production (kWh)],expected_production[Site Name],A1005,expected_production[Date],B1005)),"")</f>
        <v>6585.3</v>
      </c>
      <c r="E1005" s="9" t="str">
        <f t="shared" si="32"/>
        <v/>
      </c>
      <c r="F1005" t="str">
        <f t="shared" si="33"/>
        <v/>
      </c>
    </row>
    <row r="1006" spans="1:7" ht="15" customHeight="1" x14ac:dyDescent="0.3">
      <c r="A1006" t="s">
        <v>223</v>
      </c>
      <c r="B1006" s="2">
        <v>46266</v>
      </c>
      <c r="C1006" t="str" cm="1">
        <f t="array" ref="C1006">IFERROR(IF(SUMPRODUCT((measured[Site Name]=A1006)*(measured[Date]=B1006)*ISNUMBER(measured[Measured Value (kWh)]))=0,"",SUMIFS(measured[Measured Value (kWh)],measured[Site Name],A1006,measured[Date],B1006)),"")</f>
        <v/>
      </c>
      <c r="D1006" cm="1">
        <f t="array" ref="D1006">IFERROR(IF(SUMPRODUCT((expected_production[Site Name]=A1006)*(expected_production[Date]=B1006)*ISNUMBER(expected_production[Expected Production (kWh)]))=0,"",SUMIFS(expected_production[Expected Production (kWh)],expected_production[Site Name],A1006,expected_production[Date],B1006)),"")</f>
        <v>7018.65</v>
      </c>
      <c r="E1006" s="9" t="str">
        <f t="shared" si="32"/>
        <v/>
      </c>
      <c r="F1006" t="str">
        <f t="shared" si="33"/>
        <v/>
      </c>
    </row>
    <row r="1007" spans="1:7" ht="15" customHeight="1" x14ac:dyDescent="0.3">
      <c r="A1007" t="s">
        <v>223</v>
      </c>
      <c r="B1007" s="2">
        <v>46296</v>
      </c>
      <c r="C1007" t="str" cm="1">
        <f t="array" ref="C1007">IFERROR(IF(SUMPRODUCT((measured[Site Name]=A1007)*(measured[Date]=B1007)*ISNUMBER(measured[Measured Value (kWh)]))=0,"",SUMIFS(measured[Measured Value (kWh)],measured[Site Name],A1007,measured[Date],B1007)),"")</f>
        <v/>
      </c>
      <c r="D1007" cm="1">
        <f t="array" ref="D1007">IFERROR(IF(SUMPRODUCT((expected_production[Site Name]=A1007)*(expected_production[Date]=B1007)*ISNUMBER(expected_production[Expected Production (kWh)]))=0,"",SUMIFS(expected_production[Expected Production (kWh)],expected_production[Site Name],A1007,expected_production[Date],B1007)),"")</f>
        <v>7479.45</v>
      </c>
      <c r="E1007" s="9" t="str">
        <f t="shared" si="32"/>
        <v/>
      </c>
      <c r="F1007" t="str">
        <f t="shared" si="33"/>
        <v/>
      </c>
    </row>
    <row r="1008" spans="1:7" ht="15" customHeight="1" x14ac:dyDescent="0.3">
      <c r="A1008" t="s">
        <v>223</v>
      </c>
      <c r="B1008" s="2">
        <v>46327</v>
      </c>
      <c r="C1008" t="str" cm="1">
        <f t="array" ref="C1008">IFERROR(IF(SUMPRODUCT((measured[Site Name]=A1008)*(measured[Date]=B1008)*ISNUMBER(measured[Measured Value (kWh)]))=0,"",SUMIFS(measured[Measured Value (kWh)],measured[Site Name],A1008,measured[Date],B1008)),"")</f>
        <v/>
      </c>
      <c r="D1008" cm="1">
        <f t="array" ref="D1008">IFERROR(IF(SUMPRODUCT((expected_production[Site Name]=A1008)*(expected_production[Date]=B1008)*ISNUMBER(expected_production[Expected Production (kWh)]))=0,"",SUMIFS(expected_production[Expected Production (kWh)],expected_production[Site Name],A1008,expected_production[Date],B1008)),"")</f>
        <v>7552.8</v>
      </c>
      <c r="E1008" s="9" t="str">
        <f t="shared" si="32"/>
        <v/>
      </c>
      <c r="F1008" t="str">
        <f t="shared" si="33"/>
        <v/>
      </c>
    </row>
    <row r="1009" spans="1:6" ht="15" customHeight="1" x14ac:dyDescent="0.3">
      <c r="A1009" t="s">
        <v>223</v>
      </c>
      <c r="B1009" s="2">
        <v>46357</v>
      </c>
      <c r="C1009" t="str" cm="1">
        <f t="array" ref="C1009">IFERROR(IF(SUMPRODUCT((measured[Site Name]=A1009)*(measured[Date]=B1009)*ISNUMBER(measured[Measured Value (kWh)]))=0,"",SUMIFS(measured[Measured Value (kWh)],measured[Site Name],A1009,measured[Date],B1009)),"")</f>
        <v/>
      </c>
      <c r="D1009" cm="1">
        <f t="array" ref="D1009">IFERROR(IF(SUMPRODUCT((expected_production[Site Name]=A1009)*(expected_production[Date]=B1009)*ISNUMBER(expected_production[Expected Production (kWh)]))=0,"",SUMIFS(expected_production[Expected Production (kWh)],expected_production[Site Name],A1009,expected_production[Date],B1009)),"")</f>
        <v>7415.1</v>
      </c>
      <c r="E1009" s="9" t="str">
        <f t="shared" si="32"/>
        <v/>
      </c>
      <c r="F1009" t="str">
        <f t="shared" si="33"/>
        <v/>
      </c>
    </row>
    <row r="1010" spans="1:6" ht="15" customHeight="1" x14ac:dyDescent="0.3">
      <c r="A1010" t="s">
        <v>120</v>
      </c>
      <c r="B1010" s="2">
        <v>45292</v>
      </c>
      <c r="C1010" cm="1">
        <f t="array" ref="C1010">IFERROR(IF(SUMPRODUCT((measured[Site Name]=A1010)*(measured[Date]=B1010)*ISNUMBER(measured[Measured Value (kWh)]))=0,"",SUMIFS(measured[Measured Value (kWh)],measured[Site Name],A1010,measured[Date],B1010)),"")</f>
        <v>13629</v>
      </c>
      <c r="D1010" cm="1">
        <f t="array" ref="D1010">IFERROR(IF(SUMPRODUCT((expected_production[Site Name]=A1010)*(expected_production[Date]=B1010)*ISNUMBER(expected_production[Expected Production (kWh)]))=0,"",SUMIFS(expected_production[Expected Production (kWh)],expected_production[Site Name],A1010,expected_production[Date],B1010)),"")</f>
        <v>12213</v>
      </c>
      <c r="E1010" s="9">
        <f t="shared" si="32"/>
        <v>1.1159420289855073</v>
      </c>
      <c r="F1010" t="str">
        <f t="shared" si="33"/>
        <v>Expected</v>
      </c>
    </row>
    <row r="1011" spans="1:6" ht="15" customHeight="1" x14ac:dyDescent="0.3">
      <c r="A1011" t="s">
        <v>120</v>
      </c>
      <c r="B1011" s="2">
        <v>45323</v>
      </c>
      <c r="C1011" cm="1">
        <f t="array" ref="C1011">IFERROR(IF(SUMPRODUCT((measured[Site Name]=A1011)*(measured[Date]=B1011)*ISNUMBER(measured[Measured Value (kWh)]))=0,"",SUMIFS(measured[Measured Value (kWh)],measured[Site Name],A1011,measured[Date],B1011)),"")</f>
        <v>12014</v>
      </c>
      <c r="D1011" cm="1">
        <f t="array" ref="D1011">IFERROR(IF(SUMPRODUCT((expected_production[Site Name]=A1011)*(expected_production[Date]=B1011)*ISNUMBER(expected_production[Expected Production (kWh)]))=0,"",SUMIFS(expected_production[Expected Production (kWh)],expected_production[Site Name],A1011,expected_production[Date],B1011)),"")</f>
        <v>10570.5</v>
      </c>
      <c r="E1011" s="9">
        <f t="shared" si="32"/>
        <v>1.1365592923702759</v>
      </c>
      <c r="F1011" t="str">
        <f t="shared" si="33"/>
        <v>Expected</v>
      </c>
    </row>
    <row r="1012" spans="1:6" ht="15" customHeight="1" x14ac:dyDescent="0.3">
      <c r="A1012" t="s">
        <v>120</v>
      </c>
      <c r="B1012" s="2">
        <v>45352</v>
      </c>
      <c r="C1012" cm="1">
        <f t="array" ref="C1012">IFERROR(IF(SUMPRODUCT((measured[Site Name]=A1012)*(measured[Date]=B1012)*ISNUMBER(measured[Measured Value (kWh)]))=0,"",SUMIFS(measured[Measured Value (kWh)],measured[Site Name],A1012,measured[Date],B1012)),"")</f>
        <v>12428</v>
      </c>
      <c r="D1012" cm="1">
        <f t="array" ref="D1012">IFERROR(IF(SUMPRODUCT((expected_production[Site Name]=A1012)*(expected_production[Date]=B1012)*ISNUMBER(expected_production[Expected Production (kWh)]))=0,"",SUMIFS(expected_production[Expected Production (kWh)],expected_production[Site Name],A1012,expected_production[Date],B1012)),"")</f>
        <v>10619.1</v>
      </c>
      <c r="E1012" s="9">
        <f t="shared" si="32"/>
        <v>1.1703440027874301</v>
      </c>
      <c r="F1012" t="str">
        <f t="shared" si="33"/>
        <v>Expected</v>
      </c>
    </row>
    <row r="1013" spans="1:6" ht="15" customHeight="1" x14ac:dyDescent="0.3">
      <c r="A1013" t="s">
        <v>120</v>
      </c>
      <c r="B1013" s="2">
        <v>45383</v>
      </c>
      <c r="C1013" cm="1">
        <f t="array" ref="C1013">IFERROR(IF(SUMPRODUCT((measured[Site Name]=A1013)*(measured[Date]=B1013)*ISNUMBER(measured[Measured Value (kWh)]))=0,"",SUMIFS(measured[Measured Value (kWh)],measured[Site Name],A1013,measured[Date],B1013)),"")</f>
        <v>9084</v>
      </c>
      <c r="D1013" cm="1">
        <f t="array" ref="D1013">IFERROR(IF(SUMPRODUCT((expected_production[Site Name]=A1013)*(expected_production[Date]=B1013)*ISNUMBER(expected_production[Expected Production (kWh)]))=0,"",SUMIFS(expected_production[Expected Production (kWh)],expected_production[Site Name],A1013,expected_production[Date],B1013)),"")</f>
        <v>9139.5</v>
      </c>
      <c r="E1013" s="9">
        <f t="shared" si="32"/>
        <v>0.99392745773838831</v>
      </c>
      <c r="F1013" t="str">
        <f t="shared" si="33"/>
        <v>Expected</v>
      </c>
    </row>
    <row r="1014" spans="1:6" ht="15" customHeight="1" x14ac:dyDescent="0.3">
      <c r="A1014" t="s">
        <v>120</v>
      </c>
      <c r="B1014" s="2">
        <v>45413</v>
      </c>
      <c r="C1014" cm="1">
        <f t="array" ref="C1014">IFERROR(IF(SUMPRODUCT((measured[Site Name]=A1014)*(measured[Date]=B1014)*ISNUMBER(measured[Measured Value (kWh)]))=0,"",SUMIFS(measured[Measured Value (kWh)],measured[Site Name],A1014,measured[Date],B1014)),"")</f>
        <v>8049</v>
      </c>
      <c r="D1014" cm="1">
        <f t="array" ref="D1014">IFERROR(IF(SUMPRODUCT((expected_production[Site Name]=A1014)*(expected_production[Date]=B1014)*ISNUMBER(expected_production[Expected Production (kWh)]))=0,"",SUMIFS(expected_production[Expected Production (kWh)],expected_production[Site Name],A1014,expected_production[Date],B1014)),"")</f>
        <v>8593.2000000000007</v>
      </c>
      <c r="E1014" s="9">
        <f t="shared" si="32"/>
        <v>0.93667085602569466</v>
      </c>
      <c r="F1014" t="str">
        <f t="shared" si="33"/>
        <v>Expected</v>
      </c>
    </row>
    <row r="1015" spans="1:6" ht="15" customHeight="1" x14ac:dyDescent="0.3">
      <c r="A1015" t="s">
        <v>120</v>
      </c>
      <c r="B1015" s="2">
        <v>45444</v>
      </c>
      <c r="C1015" cm="1">
        <f t="array" ref="C1015">IFERROR(IF(SUMPRODUCT((measured[Site Name]=A1015)*(measured[Date]=B1015)*ISNUMBER(measured[Measured Value (kWh)]))=0,"",SUMIFS(measured[Measured Value (kWh)],measured[Site Name],A1015,measured[Date],B1015)),"")</f>
        <v>6600</v>
      </c>
      <c r="D1015" cm="1">
        <f t="array" ref="D1015">IFERROR(IF(SUMPRODUCT((expected_production[Site Name]=A1015)*(expected_production[Date]=B1015)*ISNUMBER(expected_production[Expected Production (kWh)]))=0,"",SUMIFS(expected_production[Expected Production (kWh)],expected_production[Site Name],A1015,expected_production[Date],B1015)),"")</f>
        <v>7680.6</v>
      </c>
      <c r="E1015" s="9">
        <f t="shared" si="32"/>
        <v>0.85930786657292391</v>
      </c>
      <c r="F1015" t="str">
        <f t="shared" si="33"/>
        <v>Moderate</v>
      </c>
    </row>
    <row r="1016" spans="1:6" ht="15" customHeight="1" x14ac:dyDescent="0.3">
      <c r="A1016" t="s">
        <v>120</v>
      </c>
      <c r="B1016" s="2">
        <v>45474</v>
      </c>
      <c r="C1016" cm="1">
        <f t="array" ref="C1016">IFERROR(IF(SUMPRODUCT((measured[Site Name]=A1016)*(measured[Date]=B1016)*ISNUMBER(measured[Measured Value (kWh)]))=0,"",SUMIFS(measured[Measured Value (kWh)],measured[Site Name],A1016,measured[Date],B1016)),"")</f>
        <v>7832</v>
      </c>
      <c r="D1016" cm="1">
        <f t="array" ref="D1016">IFERROR(IF(SUMPRODUCT((expected_production[Site Name]=A1016)*(expected_production[Date]=B1016)*ISNUMBER(expected_production[Expected Production (kWh)]))=0,"",SUMIFS(expected_production[Expected Production (kWh)],expected_production[Site Name],A1016,expected_production[Date],B1016)),"")</f>
        <v>8550.9</v>
      </c>
      <c r="E1016" s="9">
        <f t="shared" si="32"/>
        <v>0.91592697844671322</v>
      </c>
      <c r="F1016" t="str">
        <f t="shared" si="33"/>
        <v>Expected</v>
      </c>
    </row>
    <row r="1017" spans="1:6" ht="15" customHeight="1" x14ac:dyDescent="0.3">
      <c r="A1017" t="s">
        <v>120</v>
      </c>
      <c r="B1017" s="2">
        <v>45505</v>
      </c>
      <c r="C1017" cm="1">
        <f t="array" ref="C1017">IFERROR(IF(SUMPRODUCT((measured[Site Name]=A1017)*(measured[Date]=B1017)*ISNUMBER(measured[Measured Value (kWh)]))=0,"",SUMIFS(measured[Measured Value (kWh)],measured[Site Name],A1017,measured[Date],B1017)),"")</f>
        <v>8766</v>
      </c>
      <c r="D1017" cm="1">
        <f t="array" ref="D1017">IFERROR(IF(SUMPRODUCT((expected_production[Site Name]=A1017)*(expected_production[Date]=B1017)*ISNUMBER(expected_production[Expected Production (kWh)]))=0,"",SUMIFS(expected_production[Expected Production (kWh)],expected_production[Site Name],A1017,expected_production[Date],B1017)),"")</f>
        <v>9997.2000000000007</v>
      </c>
      <c r="E1017" s="9">
        <f t="shared" si="32"/>
        <v>0.87684551674468847</v>
      </c>
      <c r="F1017" t="str">
        <f t="shared" si="33"/>
        <v>Moderate</v>
      </c>
    </row>
    <row r="1018" spans="1:6" ht="15" customHeight="1" x14ac:dyDescent="0.3">
      <c r="A1018" t="s">
        <v>120</v>
      </c>
      <c r="B1018" s="2">
        <v>45536</v>
      </c>
      <c r="C1018" cm="1">
        <f t="array" ref="C1018">IFERROR(IF(SUMPRODUCT((measured[Site Name]=A1018)*(measured[Date]=B1018)*ISNUMBER(measured[Measured Value (kWh)]))=0,"",SUMIFS(measured[Measured Value (kWh)],measured[Site Name],A1018,measured[Date],B1018)),"")</f>
        <v>9208</v>
      </c>
      <c r="D1018" cm="1">
        <f t="array" ref="D1018">IFERROR(IF(SUMPRODUCT((expected_production[Site Name]=A1018)*(expected_production[Date]=B1018)*ISNUMBER(expected_production[Expected Production (kWh)]))=0,"",SUMIFS(expected_production[Expected Production (kWh)],expected_production[Site Name],A1018,expected_production[Date],B1018)),"")</f>
        <v>10701.9</v>
      </c>
      <c r="E1018" s="9">
        <f t="shared" si="32"/>
        <v>0.86040796494080496</v>
      </c>
      <c r="F1018" t="str">
        <f t="shared" si="33"/>
        <v>Moderate</v>
      </c>
    </row>
    <row r="1019" spans="1:6" ht="15" customHeight="1" x14ac:dyDescent="0.3">
      <c r="A1019" t="s">
        <v>120</v>
      </c>
      <c r="B1019" s="2">
        <v>45566</v>
      </c>
      <c r="C1019" cm="1">
        <f t="array" ref="C1019">IFERROR(IF(SUMPRODUCT((measured[Site Name]=A1019)*(measured[Date]=B1019)*ISNUMBER(measured[Measured Value (kWh)]))=0,"",SUMIFS(measured[Measured Value (kWh)],measured[Site Name],A1019,measured[Date],B1019)),"")</f>
        <v>12879</v>
      </c>
      <c r="D1019" cm="1">
        <f t="array" ref="D1019">IFERROR(IF(SUMPRODUCT((expected_production[Site Name]=A1019)*(expected_production[Date]=B1019)*ISNUMBER(expected_production[Expected Production (kWh)]))=0,"",SUMIFS(expected_production[Expected Production (kWh)],expected_production[Site Name],A1019,expected_production[Date],B1019)),"")</f>
        <v>11834.1</v>
      </c>
      <c r="E1019" s="9">
        <f t="shared" si="32"/>
        <v>1.0882956878850103</v>
      </c>
      <c r="F1019" t="str">
        <f t="shared" si="33"/>
        <v>Expected</v>
      </c>
    </row>
    <row r="1020" spans="1:6" ht="15" customHeight="1" x14ac:dyDescent="0.3">
      <c r="A1020" t="s">
        <v>120</v>
      </c>
      <c r="B1020" s="2">
        <v>45597</v>
      </c>
      <c r="C1020" cm="1">
        <f t="array" ref="C1020">IFERROR(IF(SUMPRODUCT((measured[Site Name]=A1020)*(measured[Date]=B1020)*ISNUMBER(measured[Measured Value (kWh)]))=0,"",SUMIFS(measured[Measured Value (kWh)],measured[Site Name],A1020,measured[Date],B1020)),"")</f>
        <v>13410</v>
      </c>
      <c r="D1020" cm="1">
        <f t="array" ref="D1020">IFERROR(IF(SUMPRODUCT((expected_production[Site Name]=A1020)*(expected_production[Date]=B1020)*ISNUMBER(expected_production[Expected Production (kWh)]))=0,"",SUMIFS(expected_production[Expected Production (kWh)],expected_production[Site Name],A1020,expected_production[Date],B1020)),"")</f>
        <v>12129.3</v>
      </c>
      <c r="E1020" s="9">
        <f t="shared" ref="E1020:E1083" si="34">IF(OR(C1020="",D1020="",D1020=0),"",C1020/D1020)</f>
        <v>1.1055872968761595</v>
      </c>
      <c r="F1020" t="str">
        <f t="shared" ref="F1020:F1083" si="35">IF(E1020="","",IF(E1020&gt;=0.9,"Expected",IF(E1020&gt;=0.7,"Moderate","Poor")))</f>
        <v>Expected</v>
      </c>
    </row>
    <row r="1021" spans="1:6" ht="15" customHeight="1" x14ac:dyDescent="0.3">
      <c r="A1021" t="s">
        <v>120</v>
      </c>
      <c r="B1021" s="2">
        <v>45627</v>
      </c>
      <c r="C1021" cm="1">
        <f t="array" ref="C1021">IFERROR(IF(SUMPRODUCT((measured[Site Name]=A1021)*(measured[Date]=B1021)*ISNUMBER(measured[Measured Value (kWh)]))=0,"",SUMIFS(measured[Measured Value (kWh)],measured[Site Name],A1021,measured[Date],B1021)),"")</f>
        <v>13869</v>
      </c>
      <c r="D1021" cm="1">
        <f t="array" ref="D1021">IFERROR(IF(SUMPRODUCT((expected_production[Site Name]=A1021)*(expected_production[Date]=B1021)*ISNUMBER(expected_production[Expected Production (kWh)]))=0,"",SUMIFS(expected_production[Expected Production (kWh)],expected_production[Site Name],A1021,expected_production[Date],B1021)),"")</f>
        <v>12998.7</v>
      </c>
      <c r="E1021" s="9">
        <f t="shared" si="34"/>
        <v>1.0669528491310669</v>
      </c>
      <c r="F1021" t="str">
        <f t="shared" si="35"/>
        <v>Expected</v>
      </c>
    </row>
    <row r="1022" spans="1:6" ht="15" customHeight="1" x14ac:dyDescent="0.3">
      <c r="A1022" t="s">
        <v>120</v>
      </c>
      <c r="B1022" s="2">
        <v>45658</v>
      </c>
      <c r="C1022" cm="1">
        <f t="array" ref="C1022">IFERROR(IF(SUMPRODUCT((measured[Site Name]=A1022)*(measured[Date]=B1022)*ISNUMBER(measured[Measured Value (kWh)]))=0,"",SUMIFS(measured[Measured Value (kWh)],measured[Site Name],A1022,measured[Date],B1022)),"")</f>
        <v>13136</v>
      </c>
      <c r="D1022" cm="1">
        <f t="array" ref="D1022">IFERROR(IF(SUMPRODUCT((expected_production[Site Name]=A1022)*(expected_production[Date]=B1022)*ISNUMBER(expected_production[Expected Production (kWh)]))=0,"",SUMIFS(expected_production[Expected Production (kWh)],expected_production[Site Name],A1022,expected_production[Date],B1022)),"")</f>
        <v>12213</v>
      </c>
      <c r="E1022" s="9">
        <f t="shared" si="34"/>
        <v>1.0755752067469091</v>
      </c>
      <c r="F1022" t="str">
        <f t="shared" si="35"/>
        <v>Expected</v>
      </c>
    </row>
    <row r="1023" spans="1:6" ht="15" customHeight="1" x14ac:dyDescent="0.3">
      <c r="A1023" t="s">
        <v>120</v>
      </c>
      <c r="B1023" s="2">
        <v>45689</v>
      </c>
      <c r="C1023" cm="1">
        <f t="array" ref="C1023">IFERROR(IF(SUMPRODUCT((measured[Site Name]=A1023)*(measured[Date]=B1023)*ISNUMBER(measured[Measured Value (kWh)]))=0,"",SUMIFS(measured[Measured Value (kWh)],measured[Site Name],A1023,measured[Date],B1023)),"")</f>
        <v>10624</v>
      </c>
      <c r="D1023" cm="1">
        <f t="array" ref="D1023">IFERROR(IF(SUMPRODUCT((expected_production[Site Name]=A1023)*(expected_production[Date]=B1023)*ISNUMBER(expected_production[Expected Production (kWh)]))=0,"",SUMIFS(expected_production[Expected Production (kWh)],expected_production[Site Name],A1023,expected_production[Date],B1023)),"")</f>
        <v>10570.5</v>
      </c>
      <c r="E1023" s="9">
        <f t="shared" si="34"/>
        <v>1.0050612553805403</v>
      </c>
      <c r="F1023" t="str">
        <f t="shared" si="35"/>
        <v>Expected</v>
      </c>
    </row>
    <row r="1024" spans="1:6" ht="15" customHeight="1" x14ac:dyDescent="0.3">
      <c r="A1024" t="s">
        <v>120</v>
      </c>
      <c r="B1024" s="2">
        <v>45717</v>
      </c>
      <c r="C1024" cm="1">
        <f t="array" ref="C1024">IFERROR(IF(SUMPRODUCT((measured[Site Name]=A1024)*(measured[Date]=B1024)*ISNUMBER(measured[Measured Value (kWh)]))=0,"",SUMIFS(measured[Measured Value (kWh)],measured[Site Name],A1024,measured[Date],B1024)),"")</f>
        <v>10420</v>
      </c>
      <c r="D1024" cm="1">
        <f t="array" ref="D1024">IFERROR(IF(SUMPRODUCT((expected_production[Site Name]=A1024)*(expected_production[Date]=B1024)*ISNUMBER(expected_production[Expected Production (kWh)]))=0,"",SUMIFS(expected_production[Expected Production (kWh)],expected_production[Site Name],A1024,expected_production[Date],B1024)),"")</f>
        <v>10619.1</v>
      </c>
      <c r="E1024" s="9">
        <f t="shared" si="34"/>
        <v>0.98125076513075493</v>
      </c>
      <c r="F1024" t="str">
        <f t="shared" si="35"/>
        <v>Expected</v>
      </c>
    </row>
    <row r="1025" spans="1:7" ht="15" customHeight="1" x14ac:dyDescent="0.3">
      <c r="A1025" t="s">
        <v>120</v>
      </c>
      <c r="B1025" s="2">
        <v>45748</v>
      </c>
      <c r="C1025" cm="1">
        <f t="array" ref="C1025">IFERROR(IF(SUMPRODUCT((measured[Site Name]=A1025)*(measured[Date]=B1025)*ISNUMBER(measured[Measured Value (kWh)]))=0,"",SUMIFS(measured[Measured Value (kWh)],measured[Site Name],A1025,measured[Date],B1025)),"")</f>
        <v>7391</v>
      </c>
      <c r="D1025" cm="1">
        <f t="array" ref="D1025">IFERROR(IF(SUMPRODUCT((expected_production[Site Name]=A1025)*(expected_production[Date]=B1025)*ISNUMBER(expected_production[Expected Production (kWh)]))=0,"",SUMIFS(expected_production[Expected Production (kWh)],expected_production[Site Name],A1025,expected_production[Date],B1025)),"")</f>
        <v>9139.5</v>
      </c>
      <c r="E1025" s="9">
        <f t="shared" si="34"/>
        <v>0.80868756496526073</v>
      </c>
      <c r="F1025" t="str">
        <f t="shared" si="35"/>
        <v>Moderate</v>
      </c>
    </row>
    <row r="1026" spans="1:7" ht="15" customHeight="1" x14ac:dyDescent="0.3">
      <c r="A1026" t="s">
        <v>120</v>
      </c>
      <c r="B1026" s="2">
        <v>45778</v>
      </c>
      <c r="C1026" cm="1">
        <f t="array" ref="C1026">IFERROR(IF(SUMPRODUCT((measured[Site Name]=A1026)*(measured[Date]=B1026)*ISNUMBER(measured[Measured Value (kWh)]))=0,"",SUMIFS(measured[Measured Value (kWh)],measured[Site Name],A1026,measured[Date],B1026)),"")</f>
        <v>7947</v>
      </c>
      <c r="D1026" cm="1">
        <f t="array" ref="D1026">IFERROR(IF(SUMPRODUCT((expected_production[Site Name]=A1026)*(expected_production[Date]=B1026)*ISNUMBER(expected_production[Expected Production (kWh)]))=0,"",SUMIFS(expected_production[Expected Production (kWh)],expected_production[Site Name],A1026,expected_production[Date],B1026)),"")</f>
        <v>8593.2000000000007</v>
      </c>
      <c r="E1026" s="9">
        <f t="shared" si="34"/>
        <v>0.92480100544616661</v>
      </c>
      <c r="F1026" t="str">
        <f t="shared" si="35"/>
        <v>Expected</v>
      </c>
    </row>
    <row r="1027" spans="1:7" ht="15" customHeight="1" x14ac:dyDescent="0.3">
      <c r="A1027" t="s">
        <v>120</v>
      </c>
      <c r="B1027" s="2">
        <v>45809</v>
      </c>
      <c r="C1027" cm="1">
        <f t="array" ref="C1027">IFERROR(IF(SUMPRODUCT((measured[Site Name]=A1027)*(measured[Date]=B1027)*ISNUMBER(measured[Measured Value (kWh)]))=0,"",SUMIFS(measured[Measured Value (kWh)],measured[Site Name],A1027,measured[Date],B1027)),"")</f>
        <v>6390.63</v>
      </c>
      <c r="D1027" cm="1">
        <f t="array" ref="D1027">IFERROR(IF(SUMPRODUCT((expected_production[Site Name]=A1027)*(expected_production[Date]=B1027)*ISNUMBER(expected_production[Expected Production (kWh)]))=0,"",SUMIFS(expected_production[Expected Production (kWh)],expected_production[Site Name],A1027,expected_production[Date],B1027)),"")</f>
        <v>7680.6</v>
      </c>
      <c r="E1027" s="9">
        <f t="shared" si="34"/>
        <v>0.832048277478322</v>
      </c>
      <c r="F1027" t="str">
        <f t="shared" si="35"/>
        <v>Moderate</v>
      </c>
    </row>
    <row r="1028" spans="1:7" ht="15" customHeight="1" x14ac:dyDescent="0.3">
      <c r="A1028" t="s">
        <v>120</v>
      </c>
      <c r="B1028" s="2">
        <v>45839</v>
      </c>
      <c r="C1028" cm="1">
        <f t="array" ref="C1028">IFERROR(IF(SUMPRODUCT((measured[Site Name]=A1028)*(measured[Date]=B1028)*ISNUMBER(measured[Measured Value (kWh)]))=0,"",SUMIFS(measured[Measured Value (kWh)],measured[Site Name],A1028,measured[Date],B1028)),"")</f>
        <v>7146</v>
      </c>
      <c r="D1028" cm="1">
        <f t="array" ref="D1028">IFERROR(IF(SUMPRODUCT((expected_production[Site Name]=A1028)*(expected_production[Date]=B1028)*ISNUMBER(expected_production[Expected Production (kWh)]))=0,"",SUMIFS(expected_production[Expected Production (kWh)],expected_production[Site Name],A1028,expected_production[Date],B1028)),"")</f>
        <v>8550.9</v>
      </c>
      <c r="E1028" s="9">
        <f t="shared" si="34"/>
        <v>0.83570150510472585</v>
      </c>
      <c r="F1028" t="str">
        <f t="shared" si="35"/>
        <v>Moderate</v>
      </c>
    </row>
    <row r="1029" spans="1:7" ht="15" customHeight="1" x14ac:dyDescent="0.3">
      <c r="A1029" t="s">
        <v>120</v>
      </c>
      <c r="B1029" s="2">
        <v>45870</v>
      </c>
      <c r="C1029" cm="1">
        <f t="array" ref="C1029">IFERROR(IF(SUMPRODUCT((measured[Site Name]=A1029)*(measured[Date]=B1029)*ISNUMBER(measured[Measured Value (kWh)]))=0,"",SUMIFS(measured[Measured Value (kWh)],measured[Site Name],A1029,measured[Date],B1029)),"")</f>
        <v>7396</v>
      </c>
      <c r="D1029" cm="1">
        <f t="array" ref="D1029">IFERROR(IF(SUMPRODUCT((expected_production[Site Name]=A1029)*(expected_production[Date]=B1029)*ISNUMBER(expected_production[Expected Production (kWh)]))=0,"",SUMIFS(expected_production[Expected Production (kWh)],expected_production[Site Name],A1029,expected_production[Date],B1029)),"")</f>
        <v>9997.2000000000007</v>
      </c>
      <c r="E1029" s="9">
        <f t="shared" si="34"/>
        <v>0.73980714600088016</v>
      </c>
      <c r="F1029" t="str">
        <f t="shared" si="35"/>
        <v>Moderate</v>
      </c>
    </row>
    <row r="1030" spans="1:7" ht="15" customHeight="1" x14ac:dyDescent="0.3">
      <c r="A1030" t="s">
        <v>120</v>
      </c>
      <c r="B1030" s="2">
        <v>45901</v>
      </c>
      <c r="C1030" cm="1">
        <f t="array" ref="C1030">IFERROR(IF(SUMPRODUCT((measured[Site Name]=A1030)*(measured[Date]=B1030)*ISNUMBER(measured[Measured Value (kWh)]))=0,"",SUMIFS(measured[Measured Value (kWh)],measured[Site Name],A1030,measured[Date],B1030)),"")</f>
        <v>8160</v>
      </c>
      <c r="D1030" cm="1">
        <f t="array" ref="D1030">IFERROR(IF(SUMPRODUCT((expected_production[Site Name]=A1030)*(expected_production[Date]=B1030)*ISNUMBER(expected_production[Expected Production (kWh)]))=0,"",SUMIFS(expected_production[Expected Production (kWh)],expected_production[Site Name],A1030,expected_production[Date],B1030)),"")</f>
        <v>10701.9</v>
      </c>
      <c r="E1030" s="9">
        <f t="shared" si="34"/>
        <v>0.76248142853138234</v>
      </c>
      <c r="F1030" t="str">
        <f t="shared" si="35"/>
        <v>Moderate</v>
      </c>
    </row>
    <row r="1031" spans="1:7" ht="15" customHeight="1" x14ac:dyDescent="0.3">
      <c r="A1031" t="s">
        <v>120</v>
      </c>
      <c r="B1031" s="2">
        <v>45931</v>
      </c>
      <c r="C1031" cm="1">
        <f t="array" ref="C1031">IFERROR(IF(SUMPRODUCT((measured[Site Name]=A1031)*(measured[Date]=B1031)*ISNUMBER(measured[Measured Value (kWh)]))=0,"",SUMIFS(measured[Measured Value (kWh)],measured[Site Name],A1031,measured[Date],B1031)),"")</f>
        <v>10866</v>
      </c>
      <c r="D1031" cm="1">
        <f t="array" ref="D1031">IFERROR(IF(SUMPRODUCT((expected_production[Site Name]=A1031)*(expected_production[Date]=B1031)*ISNUMBER(expected_production[Expected Production (kWh)]))=0,"",SUMIFS(expected_production[Expected Production (kWh)],expected_production[Site Name],A1031,expected_production[Date],B1031)),"")</f>
        <v>11834.1</v>
      </c>
      <c r="E1031" s="9">
        <f t="shared" si="34"/>
        <v>0.91819403249930287</v>
      </c>
      <c r="F1031" t="str">
        <f t="shared" si="35"/>
        <v>Expected</v>
      </c>
    </row>
    <row r="1032" spans="1:7" ht="15" customHeight="1" x14ac:dyDescent="0.3">
      <c r="A1032" t="s">
        <v>120</v>
      </c>
      <c r="B1032" s="2">
        <v>45962</v>
      </c>
      <c r="C1032" cm="1">
        <f t="array" ref="C1032">IFERROR(IF(SUMPRODUCT((measured[Site Name]=A1032)*(measured[Date]=B1032)*ISNUMBER(measured[Measured Value (kWh)]))=0,"",SUMIFS(measured[Measured Value (kWh)],measured[Site Name],A1032,measured[Date],B1032)),"")</f>
        <v>10612</v>
      </c>
      <c r="D1032" cm="1">
        <f t="array" ref="D1032">IFERROR(IF(SUMPRODUCT((expected_production[Site Name]=A1032)*(expected_production[Date]=B1032)*ISNUMBER(expected_production[Expected Production (kWh)]))=0,"",SUMIFS(expected_production[Expected Production (kWh)],expected_production[Site Name],A1032,expected_production[Date],B1032)),"")</f>
        <v>12129.3</v>
      </c>
      <c r="E1032" s="9">
        <f t="shared" si="34"/>
        <v>0.87490621882548869</v>
      </c>
      <c r="F1032" t="str">
        <f t="shared" si="35"/>
        <v>Moderate</v>
      </c>
    </row>
    <row r="1033" spans="1:7" ht="15" customHeight="1" x14ac:dyDescent="0.3">
      <c r="A1033" t="s">
        <v>120</v>
      </c>
      <c r="B1033" s="2">
        <v>45992</v>
      </c>
      <c r="C1033" cm="1">
        <f t="array" ref="C1033">IFERROR(IF(SUMPRODUCT((measured[Site Name]=A1033)*(measured[Date]=B1033)*ISNUMBER(measured[Measured Value (kWh)]))=0,"",SUMIFS(measured[Measured Value (kWh)],measured[Site Name],A1033,measured[Date],B1033)),"")</f>
        <v>11236</v>
      </c>
      <c r="D1033" cm="1">
        <f t="array" ref="D1033">IFERROR(IF(SUMPRODUCT((expected_production[Site Name]=A1033)*(expected_production[Date]=B1033)*ISNUMBER(expected_production[Expected Production (kWh)]))=0,"",SUMIFS(expected_production[Expected Production (kWh)],expected_production[Site Name],A1033,expected_production[Date],B1033)),"")</f>
        <v>12998.7</v>
      </c>
      <c r="E1033" s="9">
        <f t="shared" si="34"/>
        <v>0.86439413172086432</v>
      </c>
      <c r="F1033" t="str">
        <f t="shared" si="35"/>
        <v>Moderate</v>
      </c>
    </row>
    <row r="1034" spans="1:7" ht="15" customHeight="1" x14ac:dyDescent="0.3">
      <c r="A1034" t="s">
        <v>120</v>
      </c>
      <c r="B1034" s="2">
        <v>46023</v>
      </c>
      <c r="C1034" cm="1">
        <f t="array" ref="C1034">IFERROR(IF(SUMPRODUCT((measured[Site Name]=A1034)*(measured[Date]=B1034)*ISNUMBER(measured[Measured Value (kWh)]))=0,"",SUMIFS(measured[Measured Value (kWh)],measured[Site Name],A1034,measured[Date],B1034)),"")</f>
        <v>13357</v>
      </c>
      <c r="D1034" cm="1">
        <f t="array" ref="D1034">IFERROR(IF(SUMPRODUCT((expected_production[Site Name]=A1034)*(expected_production[Date]=B1034)*ISNUMBER(expected_production[Expected Production (kWh)]))=0,"",SUMIFS(expected_production[Expected Production (kWh)],expected_production[Site Name],A1034,expected_production[Date],B1034)),"")</f>
        <v>12213</v>
      </c>
      <c r="E1034" s="9">
        <f t="shared" si="34"/>
        <v>1.0936706787849013</v>
      </c>
      <c r="F1034" t="str">
        <f t="shared" si="35"/>
        <v>Expected</v>
      </c>
    </row>
    <row r="1035" spans="1:7" ht="15" customHeight="1" x14ac:dyDescent="0.3">
      <c r="A1035" t="s">
        <v>120</v>
      </c>
      <c r="B1035" s="2">
        <v>46054</v>
      </c>
      <c r="C1035" cm="1">
        <f t="array" ref="C1035">IFERROR(IF(SUMPRODUCT((measured[Site Name]=A1035)*(measured[Date]=B1035)*ISNUMBER(measured[Measured Value (kWh)]))=0,"",SUMIFS(measured[Measured Value (kWh)],measured[Site Name],A1035,measured[Date],B1035)),"")</f>
        <v>9365</v>
      </c>
      <c r="D1035" cm="1">
        <f t="array" ref="D1035">IFERROR(IF(SUMPRODUCT((expected_production[Site Name]=A1035)*(expected_production[Date]=B1035)*ISNUMBER(expected_production[Expected Production (kWh)]))=0,"",SUMIFS(expected_production[Expected Production (kWh)],expected_production[Site Name],A1035,expected_production[Date],B1035)),"")</f>
        <v>10570.5</v>
      </c>
      <c r="E1035" s="9">
        <f t="shared" si="34"/>
        <v>0.88595619885530486</v>
      </c>
      <c r="F1035" t="str">
        <f t="shared" si="35"/>
        <v>Moderate</v>
      </c>
    </row>
    <row r="1036" spans="1:7" ht="15" customHeight="1" x14ac:dyDescent="0.3">
      <c r="A1036" t="s">
        <v>120</v>
      </c>
      <c r="B1036" s="2">
        <v>46082</v>
      </c>
      <c r="C1036" cm="1">
        <f t="array" ref="C1036">IFERROR(IF(SUMPRODUCT((measured[Site Name]=A1036)*(measured[Date]=B1036)*ISNUMBER(measured[Measured Value (kWh)]))=0,"",SUMIFS(measured[Measured Value (kWh)],measured[Site Name],A1036,measured[Date],B1036)),"")</f>
        <v>7814</v>
      </c>
      <c r="D1036" cm="1">
        <f t="array" ref="D1036">IFERROR(IF(SUMPRODUCT((expected_production[Site Name]=A1036)*(expected_production[Date]=B1036)*ISNUMBER(expected_production[Expected Production (kWh)]))=0,"",SUMIFS(expected_production[Expected Production (kWh)],expected_production[Site Name],A1036,expected_production[Date],B1036)),"")</f>
        <v>10619.1</v>
      </c>
      <c r="E1036" s="9">
        <f t="shared" si="34"/>
        <v>0.73584390390899412</v>
      </c>
      <c r="F1036" t="str">
        <f t="shared" si="35"/>
        <v>Moderate</v>
      </c>
    </row>
    <row r="1037" spans="1:7" ht="15" customHeight="1" x14ac:dyDescent="0.3">
      <c r="A1037" t="s">
        <v>120</v>
      </c>
      <c r="B1037" s="2">
        <v>46113</v>
      </c>
      <c r="C1037" s="5" cm="1">
        <f t="array" ref="C1037">IFERROR(IF(SUMPRODUCT((measured[Site Name]=A1037)*(measured[Date]=B1037)*ISNUMBER(measured[Measured Value (kWh)]))=0,"",SUMIFS(measured[Measured Value (kWh)],measured[Site Name],A1037,measured[Date],B1037)),"")</f>
        <v>5599.56</v>
      </c>
      <c r="D1037" cm="1">
        <f t="array" ref="D1037">IFERROR(IF(SUMPRODUCT((expected_production[Site Name]=A1037)*(expected_production[Date]=B1037)*ISNUMBER(expected_production[Expected Production (kWh)]))=0,"",SUMIFS(expected_production[Expected Production (kWh)],expected_production[Site Name],A1037,expected_production[Date],B1037)),"")</f>
        <v>9139.5</v>
      </c>
      <c r="E1037" s="9">
        <f t="shared" si="34"/>
        <v>0.61267684227802399</v>
      </c>
      <c r="F1037" t="str">
        <f t="shared" si="35"/>
        <v>Poor</v>
      </c>
    </row>
    <row r="1038" spans="1:7" ht="15" customHeight="1" x14ac:dyDescent="0.3">
      <c r="A1038" t="s">
        <v>120</v>
      </c>
      <c r="B1038" s="2">
        <v>46143</v>
      </c>
      <c r="C1038" s="5" cm="1">
        <f t="array" ref="C1038">IFERROR(IF(SUMPRODUCT((measured[Site Name]=A1038)*(measured[Date]=B1038)*ISNUMBER(measured[Measured Value (kWh)]))=0,"",SUMIFS(measured[Measured Value (kWh)],measured[Site Name],A1038,measured[Date],B1038)),"")</f>
        <v>5867.76</v>
      </c>
      <c r="D1038" cm="1">
        <f t="array" ref="D1038">IFERROR(IF(SUMPRODUCT((expected_production[Site Name]=A1038)*(expected_production[Date]=B1038)*ISNUMBER(expected_production[Expected Production (kWh)]))=0,"",SUMIFS(expected_production[Expected Production (kWh)],expected_production[Site Name],A1038,expected_production[Date],B1038)),"")</f>
        <v>8593.2000000000007</v>
      </c>
      <c r="E1038" s="9">
        <f t="shared" si="34"/>
        <v>0.68283759251501186</v>
      </c>
      <c r="F1038" t="str">
        <f t="shared" si="35"/>
        <v>Poor</v>
      </c>
    </row>
    <row r="1039" spans="1:7" ht="15" customHeight="1" x14ac:dyDescent="0.3">
      <c r="A1039" t="s">
        <v>120</v>
      </c>
      <c r="B1039" s="2">
        <v>46174</v>
      </c>
      <c r="C1039" cm="1">
        <f t="array" ref="C1039">IFERROR(IF(SUMPRODUCT((measured[Site Name]=A1039)*(measured[Date]=B1039)*ISNUMBER(measured[Measured Value (kWh)]))=0,"",SUMIFS(measured[Measured Value (kWh)],measured[Site Name],A1039,measured[Date],B1039)),"")</f>
        <v>4645.3100000000004</v>
      </c>
      <c r="D1039" cm="1">
        <f t="array" ref="D1039">IFERROR(IF(SUMPRODUCT((expected_production[Site Name]=A1039)*(expected_production[Date]=B1039)*ISNUMBER(expected_production[Expected Production (kWh)]))=0,"",SUMIFS(expected_production[Expected Production (kWh)],expected_production[Site Name],A1039,expected_production[Date],B1039)),"")</f>
        <v>7680.6</v>
      </c>
      <c r="E1039" s="9">
        <f t="shared" si="34"/>
        <v>0.60481082207119241</v>
      </c>
      <c r="F1039" t="str">
        <f t="shared" si="35"/>
        <v>Poor</v>
      </c>
    </row>
    <row r="1040" spans="1:7" ht="15" customHeight="1" x14ac:dyDescent="0.3">
      <c r="A1040" t="s">
        <v>117</v>
      </c>
      <c r="B1040" s="2">
        <v>46204</v>
      </c>
      <c r="C1040" cm="1">
        <f t="array" ref="C1040">IFERROR(IF(SUMPRODUCT((measured[Site Name]=A1040)*(measured[Date]=B1040)*ISNUMBER(measured[Measured Value (kWh)]))=0,"",SUMIFS(measured[Measured Value (kWh)],measured[Site Name],A1040,measured[Date],B1040)),"")</f>
        <v>20850.759999999998</v>
      </c>
      <c r="D1040" cm="1">
        <f t="array" ref="D1040">IFERROR(IF(SUMPRODUCT((expected_production[Site Name]=A1040)*(expected_production[Date]=B1040)*ISNUMBER(expected_production[Expected Production (kWh)]))=0,"",SUMIFS(expected_production[Expected Production (kWh)],expected_production[Site Name],A1040,expected_production[Date],B1040)),"")</f>
        <v>22354.2</v>
      </c>
      <c r="E1040" s="9">
        <f t="shared" si="34"/>
        <v>0.93274462964454097</v>
      </c>
      <c r="F1040" t="str">
        <f t="shared" si="35"/>
        <v>Expected</v>
      </c>
      <c r="G1040" t="s">
        <v>874</v>
      </c>
    </row>
    <row r="1041" spans="1:6" ht="15" customHeight="1" x14ac:dyDescent="0.3">
      <c r="A1041" t="s">
        <v>120</v>
      </c>
      <c r="B1041" s="2">
        <v>46235</v>
      </c>
      <c r="C1041" t="str" cm="1">
        <f t="array" ref="C1041">IFERROR(IF(SUMPRODUCT((measured[Site Name]=A1041)*(measured[Date]=B1041)*ISNUMBER(measured[Measured Value (kWh)]))=0,"",SUMIFS(measured[Measured Value (kWh)],measured[Site Name],A1041,measured[Date],B1041)),"")</f>
        <v/>
      </c>
      <c r="D1041" cm="1">
        <f t="array" ref="D1041">IFERROR(IF(SUMPRODUCT((expected_production[Site Name]=A1041)*(expected_production[Date]=B1041)*ISNUMBER(expected_production[Expected Production (kWh)]))=0,"",SUMIFS(expected_production[Expected Production (kWh)],expected_production[Site Name],A1041,expected_production[Date],B1041)),"")</f>
        <v>9997.2000000000007</v>
      </c>
      <c r="E1041" s="9" t="str">
        <f t="shared" si="34"/>
        <v/>
      </c>
      <c r="F1041" t="str">
        <f t="shared" si="35"/>
        <v/>
      </c>
    </row>
    <row r="1042" spans="1:6" ht="15" customHeight="1" x14ac:dyDescent="0.3">
      <c r="A1042" t="s">
        <v>120</v>
      </c>
      <c r="B1042" s="2">
        <v>46266</v>
      </c>
      <c r="C1042" t="str" cm="1">
        <f t="array" ref="C1042">IFERROR(IF(SUMPRODUCT((measured[Site Name]=A1042)*(measured[Date]=B1042)*ISNUMBER(measured[Measured Value (kWh)]))=0,"",SUMIFS(measured[Measured Value (kWh)],measured[Site Name],A1042,measured[Date],B1042)),"")</f>
        <v/>
      </c>
      <c r="D1042" cm="1">
        <f t="array" ref="D1042">IFERROR(IF(SUMPRODUCT((expected_production[Site Name]=A1042)*(expected_production[Date]=B1042)*ISNUMBER(expected_production[Expected Production (kWh)]))=0,"",SUMIFS(expected_production[Expected Production (kWh)],expected_production[Site Name],A1042,expected_production[Date],B1042)),"")</f>
        <v>10701.9</v>
      </c>
      <c r="E1042" s="9" t="str">
        <f t="shared" si="34"/>
        <v/>
      </c>
      <c r="F1042" t="str">
        <f t="shared" si="35"/>
        <v/>
      </c>
    </row>
    <row r="1043" spans="1:6" ht="15" customHeight="1" x14ac:dyDescent="0.3">
      <c r="A1043" t="s">
        <v>120</v>
      </c>
      <c r="B1043" s="2">
        <v>46296</v>
      </c>
      <c r="C1043" t="str" cm="1">
        <f t="array" ref="C1043">IFERROR(IF(SUMPRODUCT((measured[Site Name]=A1043)*(measured[Date]=B1043)*ISNUMBER(measured[Measured Value (kWh)]))=0,"",SUMIFS(measured[Measured Value (kWh)],measured[Site Name],A1043,measured[Date],B1043)),"")</f>
        <v/>
      </c>
      <c r="D1043" cm="1">
        <f t="array" ref="D1043">IFERROR(IF(SUMPRODUCT((expected_production[Site Name]=A1043)*(expected_production[Date]=B1043)*ISNUMBER(expected_production[Expected Production (kWh)]))=0,"",SUMIFS(expected_production[Expected Production (kWh)],expected_production[Site Name],A1043,expected_production[Date],B1043)),"")</f>
        <v>11834.1</v>
      </c>
      <c r="E1043" s="9" t="str">
        <f t="shared" si="34"/>
        <v/>
      </c>
      <c r="F1043" t="str">
        <f t="shared" si="35"/>
        <v/>
      </c>
    </row>
    <row r="1044" spans="1:6" ht="15" customHeight="1" x14ac:dyDescent="0.3">
      <c r="A1044" t="s">
        <v>120</v>
      </c>
      <c r="B1044" s="2">
        <v>46327</v>
      </c>
      <c r="C1044" t="str" cm="1">
        <f t="array" ref="C1044">IFERROR(IF(SUMPRODUCT((measured[Site Name]=A1044)*(measured[Date]=B1044)*ISNUMBER(measured[Measured Value (kWh)]))=0,"",SUMIFS(measured[Measured Value (kWh)],measured[Site Name],A1044,measured[Date],B1044)),"")</f>
        <v/>
      </c>
      <c r="D1044" cm="1">
        <f t="array" ref="D1044">IFERROR(IF(SUMPRODUCT((expected_production[Site Name]=A1044)*(expected_production[Date]=B1044)*ISNUMBER(expected_production[Expected Production (kWh)]))=0,"",SUMIFS(expected_production[Expected Production (kWh)],expected_production[Site Name],A1044,expected_production[Date],B1044)),"")</f>
        <v>12129.3</v>
      </c>
      <c r="E1044" s="9" t="str">
        <f t="shared" si="34"/>
        <v/>
      </c>
      <c r="F1044" t="str">
        <f t="shared" si="35"/>
        <v/>
      </c>
    </row>
    <row r="1045" spans="1:6" ht="15" customHeight="1" x14ac:dyDescent="0.3">
      <c r="A1045" t="s">
        <v>120</v>
      </c>
      <c r="B1045" s="2">
        <v>46357</v>
      </c>
      <c r="C1045" t="str" cm="1">
        <f t="array" ref="C1045">IFERROR(IF(SUMPRODUCT((measured[Site Name]=A1045)*(measured[Date]=B1045)*ISNUMBER(measured[Measured Value (kWh)]))=0,"",SUMIFS(measured[Measured Value (kWh)],measured[Site Name],A1045,measured[Date],B1045)),"")</f>
        <v/>
      </c>
      <c r="D1045" cm="1">
        <f t="array" ref="D1045">IFERROR(IF(SUMPRODUCT((expected_production[Site Name]=A1045)*(expected_production[Date]=B1045)*ISNUMBER(expected_production[Expected Production (kWh)]))=0,"",SUMIFS(expected_production[Expected Production (kWh)],expected_production[Site Name],A1045,expected_production[Date],B1045)),"")</f>
        <v>12998.7</v>
      </c>
      <c r="E1045" s="9" t="str">
        <f t="shared" si="34"/>
        <v/>
      </c>
      <c r="F1045" t="str">
        <f t="shared" si="35"/>
        <v/>
      </c>
    </row>
    <row r="1046" spans="1:6" ht="15" customHeight="1" x14ac:dyDescent="0.3">
      <c r="A1046" t="s">
        <v>236</v>
      </c>
      <c r="B1046" s="2">
        <v>45292</v>
      </c>
      <c r="C1046" t="str" cm="1">
        <f t="array" ref="C1046">IFERROR(IF(SUMPRODUCT((measured[Site Name]=A1046)*(measured[Date]=B1046)*ISNUMBER(measured[Measured Value (kWh)]))=0,"",SUMIFS(measured[Measured Value (kWh)],measured[Site Name],A1046,measured[Date],B1046)),"")</f>
        <v/>
      </c>
      <c r="D1046" cm="1">
        <f t="array" ref="D1046">IFERROR(IF(SUMPRODUCT((expected_production[Site Name]=A1046)*(expected_production[Date]=B1046)*ISNUMBER(expected_production[Expected Production (kWh)]))=0,"",SUMIFS(expected_production[Expected Production (kWh)],expected_production[Site Name],A1046,expected_production[Date],B1046)),"")</f>
        <v>0</v>
      </c>
      <c r="E1046" s="9" t="str">
        <f t="shared" si="34"/>
        <v/>
      </c>
      <c r="F1046" t="str">
        <f t="shared" si="35"/>
        <v/>
      </c>
    </row>
    <row r="1047" spans="1:6" ht="15" customHeight="1" x14ac:dyDescent="0.3">
      <c r="A1047" t="s">
        <v>236</v>
      </c>
      <c r="B1047" s="2">
        <v>45323</v>
      </c>
      <c r="C1047" t="str" cm="1">
        <f t="array" ref="C1047">IFERROR(IF(SUMPRODUCT((measured[Site Name]=A1047)*(measured[Date]=B1047)*ISNUMBER(measured[Measured Value (kWh)]))=0,"",SUMIFS(measured[Measured Value (kWh)],measured[Site Name],A1047,measured[Date],B1047)),"")</f>
        <v/>
      </c>
      <c r="D1047" cm="1">
        <f t="array" ref="D1047">IFERROR(IF(SUMPRODUCT((expected_production[Site Name]=A1047)*(expected_production[Date]=B1047)*ISNUMBER(expected_production[Expected Production (kWh)]))=0,"",SUMIFS(expected_production[Expected Production (kWh)],expected_production[Site Name],A1047,expected_production[Date],B1047)),"")</f>
        <v>0</v>
      </c>
      <c r="E1047" s="9" t="str">
        <f t="shared" si="34"/>
        <v/>
      </c>
      <c r="F1047" t="str">
        <f t="shared" si="35"/>
        <v/>
      </c>
    </row>
    <row r="1048" spans="1:6" ht="15" customHeight="1" x14ac:dyDescent="0.3">
      <c r="A1048" t="s">
        <v>236</v>
      </c>
      <c r="B1048" s="2">
        <v>45352</v>
      </c>
      <c r="C1048" t="str" cm="1">
        <f t="array" ref="C1048">IFERROR(IF(SUMPRODUCT((measured[Site Name]=A1048)*(measured[Date]=B1048)*ISNUMBER(measured[Measured Value (kWh)]))=0,"",SUMIFS(measured[Measured Value (kWh)],measured[Site Name],A1048,measured[Date],B1048)),"")</f>
        <v/>
      </c>
      <c r="D1048" cm="1">
        <f t="array" ref="D1048">IFERROR(IF(SUMPRODUCT((expected_production[Site Name]=A1048)*(expected_production[Date]=B1048)*ISNUMBER(expected_production[Expected Production (kWh)]))=0,"",SUMIFS(expected_production[Expected Production (kWh)],expected_production[Site Name],A1048,expected_production[Date],B1048)),"")</f>
        <v>0</v>
      </c>
      <c r="E1048" s="9" t="str">
        <f t="shared" si="34"/>
        <v/>
      </c>
      <c r="F1048" t="str">
        <f t="shared" si="35"/>
        <v/>
      </c>
    </row>
    <row r="1049" spans="1:6" ht="15" customHeight="1" x14ac:dyDescent="0.3">
      <c r="A1049" t="s">
        <v>236</v>
      </c>
      <c r="B1049" s="2">
        <v>45383</v>
      </c>
      <c r="C1049" t="str" cm="1">
        <f t="array" ref="C1049">IFERROR(IF(SUMPRODUCT((measured[Site Name]=A1049)*(measured[Date]=B1049)*ISNUMBER(measured[Measured Value (kWh)]))=0,"",SUMIFS(measured[Measured Value (kWh)],measured[Site Name],A1049,measured[Date],B1049)),"")</f>
        <v/>
      </c>
      <c r="D1049" cm="1">
        <f t="array" ref="D1049">IFERROR(IF(SUMPRODUCT((expected_production[Site Name]=A1049)*(expected_production[Date]=B1049)*ISNUMBER(expected_production[Expected Production (kWh)]))=0,"",SUMIFS(expected_production[Expected Production (kWh)],expected_production[Site Name],A1049,expected_production[Date],B1049)),"")</f>
        <v>0</v>
      </c>
      <c r="E1049" s="9" t="str">
        <f t="shared" si="34"/>
        <v/>
      </c>
      <c r="F1049" t="str">
        <f t="shared" si="35"/>
        <v/>
      </c>
    </row>
    <row r="1050" spans="1:6" ht="15" customHeight="1" x14ac:dyDescent="0.3">
      <c r="A1050" t="s">
        <v>236</v>
      </c>
      <c r="B1050" s="2">
        <v>45413</v>
      </c>
      <c r="C1050" t="str" cm="1">
        <f t="array" ref="C1050">IFERROR(IF(SUMPRODUCT((measured[Site Name]=A1050)*(measured[Date]=B1050)*ISNUMBER(measured[Measured Value (kWh)]))=0,"",SUMIFS(measured[Measured Value (kWh)],measured[Site Name],A1050,measured[Date],B1050)),"")</f>
        <v/>
      </c>
      <c r="D1050" cm="1">
        <f t="array" ref="D1050">IFERROR(IF(SUMPRODUCT((expected_production[Site Name]=A1050)*(expected_production[Date]=B1050)*ISNUMBER(expected_production[Expected Production (kWh)]))=0,"",SUMIFS(expected_production[Expected Production (kWh)],expected_production[Site Name],A1050,expected_production[Date],B1050)),"")</f>
        <v>0</v>
      </c>
      <c r="E1050" s="9" t="str">
        <f t="shared" si="34"/>
        <v/>
      </c>
      <c r="F1050" t="str">
        <f t="shared" si="35"/>
        <v/>
      </c>
    </row>
    <row r="1051" spans="1:6" ht="15" customHeight="1" x14ac:dyDescent="0.3">
      <c r="A1051" t="s">
        <v>236</v>
      </c>
      <c r="B1051" s="2">
        <v>45444</v>
      </c>
      <c r="C1051" t="str" cm="1">
        <f t="array" ref="C1051">IFERROR(IF(SUMPRODUCT((measured[Site Name]=A1051)*(measured[Date]=B1051)*ISNUMBER(measured[Measured Value (kWh)]))=0,"",SUMIFS(measured[Measured Value (kWh)],measured[Site Name],A1051,measured[Date],B1051)),"")</f>
        <v/>
      </c>
      <c r="D1051" cm="1">
        <f t="array" ref="D1051">IFERROR(IF(SUMPRODUCT((expected_production[Site Name]=A1051)*(expected_production[Date]=B1051)*ISNUMBER(expected_production[Expected Production (kWh)]))=0,"",SUMIFS(expected_production[Expected Production (kWh)],expected_production[Site Name],A1051,expected_production[Date],B1051)),"")</f>
        <v>0</v>
      </c>
      <c r="E1051" s="9" t="str">
        <f t="shared" si="34"/>
        <v/>
      </c>
      <c r="F1051" t="str">
        <f t="shared" si="35"/>
        <v/>
      </c>
    </row>
    <row r="1052" spans="1:6" ht="15" customHeight="1" x14ac:dyDescent="0.3">
      <c r="A1052" t="s">
        <v>236</v>
      </c>
      <c r="B1052" s="2">
        <v>45474</v>
      </c>
      <c r="C1052" t="str" cm="1">
        <f t="array" ref="C1052">IFERROR(IF(SUMPRODUCT((measured[Site Name]=A1052)*(measured[Date]=B1052)*ISNUMBER(measured[Measured Value (kWh)]))=0,"",SUMIFS(measured[Measured Value (kWh)],measured[Site Name],A1052,measured[Date],B1052)),"")</f>
        <v/>
      </c>
      <c r="D1052" cm="1">
        <f t="array" ref="D1052">IFERROR(IF(SUMPRODUCT((expected_production[Site Name]=A1052)*(expected_production[Date]=B1052)*ISNUMBER(expected_production[Expected Production (kWh)]))=0,"",SUMIFS(expected_production[Expected Production (kWh)],expected_production[Site Name],A1052,expected_production[Date],B1052)),"")</f>
        <v>0</v>
      </c>
      <c r="E1052" s="9" t="str">
        <f t="shared" si="34"/>
        <v/>
      </c>
      <c r="F1052" t="str">
        <f t="shared" si="35"/>
        <v/>
      </c>
    </row>
    <row r="1053" spans="1:6" ht="15" customHeight="1" x14ac:dyDescent="0.3">
      <c r="A1053" t="s">
        <v>236</v>
      </c>
      <c r="B1053" s="2">
        <v>45505</v>
      </c>
      <c r="C1053" t="str" cm="1">
        <f t="array" ref="C1053">IFERROR(IF(SUMPRODUCT((measured[Site Name]=A1053)*(measured[Date]=B1053)*ISNUMBER(measured[Measured Value (kWh)]))=0,"",SUMIFS(measured[Measured Value (kWh)],measured[Site Name],A1053,measured[Date],B1053)),"")</f>
        <v/>
      </c>
      <c r="D1053" cm="1">
        <f t="array" ref="D1053">IFERROR(IF(SUMPRODUCT((expected_production[Site Name]=A1053)*(expected_production[Date]=B1053)*ISNUMBER(expected_production[Expected Production (kWh)]))=0,"",SUMIFS(expected_production[Expected Production (kWh)],expected_production[Site Name],A1053,expected_production[Date],B1053)),"")</f>
        <v>0</v>
      </c>
      <c r="E1053" s="9" t="str">
        <f t="shared" si="34"/>
        <v/>
      </c>
      <c r="F1053" t="str">
        <f t="shared" si="35"/>
        <v/>
      </c>
    </row>
    <row r="1054" spans="1:6" ht="15" customHeight="1" x14ac:dyDescent="0.3">
      <c r="A1054" t="s">
        <v>236</v>
      </c>
      <c r="B1054" s="2">
        <v>45536</v>
      </c>
      <c r="C1054" t="str" cm="1">
        <f t="array" ref="C1054">IFERROR(IF(SUMPRODUCT((measured[Site Name]=A1054)*(measured[Date]=B1054)*ISNUMBER(measured[Measured Value (kWh)]))=0,"",SUMIFS(measured[Measured Value (kWh)],measured[Site Name],A1054,measured[Date],B1054)),"")</f>
        <v/>
      </c>
      <c r="D1054" cm="1">
        <f t="array" ref="D1054">IFERROR(IF(SUMPRODUCT((expected_production[Site Name]=A1054)*(expected_production[Date]=B1054)*ISNUMBER(expected_production[Expected Production (kWh)]))=0,"",SUMIFS(expected_production[Expected Production (kWh)],expected_production[Site Name],A1054,expected_production[Date],B1054)),"")</f>
        <v>0</v>
      </c>
      <c r="E1054" s="9" t="str">
        <f t="shared" si="34"/>
        <v/>
      </c>
      <c r="F1054" t="str">
        <f t="shared" si="35"/>
        <v/>
      </c>
    </row>
    <row r="1055" spans="1:6" ht="15" customHeight="1" x14ac:dyDescent="0.3">
      <c r="A1055" t="s">
        <v>236</v>
      </c>
      <c r="B1055" s="2">
        <v>45566</v>
      </c>
      <c r="C1055" t="str" cm="1">
        <f t="array" ref="C1055">IFERROR(IF(SUMPRODUCT((measured[Site Name]=A1055)*(measured[Date]=B1055)*ISNUMBER(measured[Measured Value (kWh)]))=0,"",SUMIFS(measured[Measured Value (kWh)],measured[Site Name],A1055,measured[Date],B1055)),"")</f>
        <v/>
      </c>
      <c r="D1055" cm="1">
        <f t="array" ref="D1055">IFERROR(IF(SUMPRODUCT((expected_production[Site Name]=A1055)*(expected_production[Date]=B1055)*ISNUMBER(expected_production[Expected Production (kWh)]))=0,"",SUMIFS(expected_production[Expected Production (kWh)],expected_production[Site Name],A1055,expected_production[Date],B1055)),"")</f>
        <v>0</v>
      </c>
      <c r="E1055" s="9" t="str">
        <f t="shared" si="34"/>
        <v/>
      </c>
      <c r="F1055" t="str">
        <f t="shared" si="35"/>
        <v/>
      </c>
    </row>
    <row r="1056" spans="1:6" ht="15" customHeight="1" x14ac:dyDescent="0.3">
      <c r="A1056" t="s">
        <v>236</v>
      </c>
      <c r="B1056" s="2">
        <v>45597</v>
      </c>
      <c r="C1056" t="str" cm="1">
        <f t="array" ref="C1056">IFERROR(IF(SUMPRODUCT((measured[Site Name]=A1056)*(measured[Date]=B1056)*ISNUMBER(measured[Measured Value (kWh)]))=0,"",SUMIFS(measured[Measured Value (kWh)],measured[Site Name],A1056,measured[Date],B1056)),"")</f>
        <v/>
      </c>
      <c r="D1056" cm="1">
        <f t="array" ref="D1056">IFERROR(IF(SUMPRODUCT((expected_production[Site Name]=A1056)*(expected_production[Date]=B1056)*ISNUMBER(expected_production[Expected Production (kWh)]))=0,"",SUMIFS(expected_production[Expected Production (kWh)],expected_production[Site Name],A1056,expected_production[Date],B1056)),"")</f>
        <v>0</v>
      </c>
      <c r="E1056" s="9" t="str">
        <f t="shared" si="34"/>
        <v/>
      </c>
      <c r="F1056" t="str">
        <f t="shared" si="35"/>
        <v/>
      </c>
    </row>
    <row r="1057" spans="1:6" ht="15" customHeight="1" x14ac:dyDescent="0.3">
      <c r="A1057" t="s">
        <v>236</v>
      </c>
      <c r="B1057" s="2">
        <v>45627</v>
      </c>
      <c r="C1057" t="str" cm="1">
        <f t="array" ref="C1057">IFERROR(IF(SUMPRODUCT((measured[Site Name]=A1057)*(measured[Date]=B1057)*ISNUMBER(measured[Measured Value (kWh)]))=0,"",SUMIFS(measured[Measured Value (kWh)],measured[Site Name],A1057,measured[Date],B1057)),"")</f>
        <v/>
      </c>
      <c r="D1057" cm="1">
        <f t="array" ref="D1057">IFERROR(IF(SUMPRODUCT((expected_production[Site Name]=A1057)*(expected_production[Date]=B1057)*ISNUMBER(expected_production[Expected Production (kWh)]))=0,"",SUMIFS(expected_production[Expected Production (kWh)],expected_production[Site Name],A1057,expected_production[Date],B1057)),"")</f>
        <v>0</v>
      </c>
      <c r="E1057" s="9" t="str">
        <f t="shared" si="34"/>
        <v/>
      </c>
      <c r="F1057" t="str">
        <f t="shared" si="35"/>
        <v/>
      </c>
    </row>
    <row r="1058" spans="1:6" ht="15" customHeight="1" x14ac:dyDescent="0.3">
      <c r="A1058" t="s">
        <v>236</v>
      </c>
      <c r="B1058" s="2">
        <v>45658</v>
      </c>
      <c r="C1058" t="str" cm="1">
        <f t="array" ref="C1058">IFERROR(IF(SUMPRODUCT((measured[Site Name]=A1058)*(measured[Date]=B1058)*ISNUMBER(measured[Measured Value (kWh)]))=0,"",SUMIFS(measured[Measured Value (kWh)],measured[Site Name],A1058,measured[Date],B1058)),"")</f>
        <v/>
      </c>
      <c r="D1058" cm="1">
        <f t="array" ref="D1058">IFERROR(IF(SUMPRODUCT((expected_production[Site Name]=A1058)*(expected_production[Date]=B1058)*ISNUMBER(expected_production[Expected Production (kWh)]))=0,"",SUMIFS(expected_production[Expected Production (kWh)],expected_production[Site Name],A1058,expected_production[Date],B1058)),"")</f>
        <v>0</v>
      </c>
      <c r="E1058" s="9" t="str">
        <f t="shared" si="34"/>
        <v/>
      </c>
      <c r="F1058" t="str">
        <f t="shared" si="35"/>
        <v/>
      </c>
    </row>
    <row r="1059" spans="1:6" ht="15" customHeight="1" x14ac:dyDescent="0.3">
      <c r="A1059" t="s">
        <v>236</v>
      </c>
      <c r="B1059" s="2">
        <v>45689</v>
      </c>
      <c r="C1059" t="str" cm="1">
        <f t="array" ref="C1059">IFERROR(IF(SUMPRODUCT((measured[Site Name]=A1059)*(measured[Date]=B1059)*ISNUMBER(measured[Measured Value (kWh)]))=0,"",SUMIFS(measured[Measured Value (kWh)],measured[Site Name],A1059,measured[Date],B1059)),"")</f>
        <v/>
      </c>
      <c r="D1059" cm="1">
        <f t="array" ref="D1059">IFERROR(IF(SUMPRODUCT((expected_production[Site Name]=A1059)*(expected_production[Date]=B1059)*ISNUMBER(expected_production[Expected Production (kWh)]))=0,"",SUMIFS(expected_production[Expected Production (kWh)],expected_production[Site Name],A1059,expected_production[Date],B1059)),"")</f>
        <v>0</v>
      </c>
      <c r="E1059" s="9" t="str">
        <f t="shared" si="34"/>
        <v/>
      </c>
      <c r="F1059" t="str">
        <f t="shared" si="35"/>
        <v/>
      </c>
    </row>
    <row r="1060" spans="1:6" ht="15" customHeight="1" x14ac:dyDescent="0.3">
      <c r="A1060" t="s">
        <v>236</v>
      </c>
      <c r="B1060" s="2">
        <v>45717</v>
      </c>
      <c r="C1060" t="str" cm="1">
        <f t="array" ref="C1060">IFERROR(IF(SUMPRODUCT((measured[Site Name]=A1060)*(measured[Date]=B1060)*ISNUMBER(measured[Measured Value (kWh)]))=0,"",SUMIFS(measured[Measured Value (kWh)],measured[Site Name],A1060,measured[Date],B1060)),"")</f>
        <v/>
      </c>
      <c r="D1060" cm="1">
        <f t="array" ref="D1060">IFERROR(IF(SUMPRODUCT((expected_production[Site Name]=A1060)*(expected_production[Date]=B1060)*ISNUMBER(expected_production[Expected Production (kWh)]))=0,"",SUMIFS(expected_production[Expected Production (kWh)],expected_production[Site Name],A1060,expected_production[Date],B1060)),"")</f>
        <v>0</v>
      </c>
      <c r="E1060" s="9" t="str">
        <f t="shared" si="34"/>
        <v/>
      </c>
      <c r="F1060" t="str">
        <f t="shared" si="35"/>
        <v/>
      </c>
    </row>
    <row r="1061" spans="1:6" ht="15" customHeight="1" x14ac:dyDescent="0.3">
      <c r="A1061" t="s">
        <v>236</v>
      </c>
      <c r="B1061" s="2">
        <v>45748</v>
      </c>
      <c r="C1061" t="str" cm="1">
        <f t="array" ref="C1061">IFERROR(IF(SUMPRODUCT((measured[Site Name]=A1061)*(measured[Date]=B1061)*ISNUMBER(measured[Measured Value (kWh)]))=0,"",SUMIFS(measured[Measured Value (kWh)],measured[Site Name],A1061,measured[Date],B1061)),"")</f>
        <v/>
      </c>
      <c r="D1061" cm="1">
        <f t="array" ref="D1061">IFERROR(IF(SUMPRODUCT((expected_production[Site Name]=A1061)*(expected_production[Date]=B1061)*ISNUMBER(expected_production[Expected Production (kWh)]))=0,"",SUMIFS(expected_production[Expected Production (kWh)],expected_production[Site Name],A1061,expected_production[Date],B1061)),"")</f>
        <v>0</v>
      </c>
      <c r="E1061" s="9" t="str">
        <f t="shared" si="34"/>
        <v/>
      </c>
      <c r="F1061" t="str">
        <f t="shared" si="35"/>
        <v/>
      </c>
    </row>
    <row r="1062" spans="1:6" ht="15" customHeight="1" x14ac:dyDescent="0.3">
      <c r="A1062" t="s">
        <v>236</v>
      </c>
      <c r="B1062" s="2">
        <v>45778</v>
      </c>
      <c r="C1062" t="str" cm="1">
        <f t="array" ref="C1062">IFERROR(IF(SUMPRODUCT((measured[Site Name]=A1062)*(measured[Date]=B1062)*ISNUMBER(measured[Measured Value (kWh)]))=0,"",SUMIFS(measured[Measured Value (kWh)],measured[Site Name],A1062,measured[Date],B1062)),"")</f>
        <v/>
      </c>
      <c r="D1062" cm="1">
        <f t="array" ref="D1062">IFERROR(IF(SUMPRODUCT((expected_production[Site Name]=A1062)*(expected_production[Date]=B1062)*ISNUMBER(expected_production[Expected Production (kWh)]))=0,"",SUMIFS(expected_production[Expected Production (kWh)],expected_production[Site Name],A1062,expected_production[Date],B1062)),"")</f>
        <v>0</v>
      </c>
      <c r="E1062" s="9" t="str">
        <f t="shared" si="34"/>
        <v/>
      </c>
      <c r="F1062" t="str">
        <f t="shared" si="35"/>
        <v/>
      </c>
    </row>
    <row r="1063" spans="1:6" ht="15" customHeight="1" x14ac:dyDescent="0.3">
      <c r="A1063" t="s">
        <v>236</v>
      </c>
      <c r="B1063" s="2">
        <v>45809</v>
      </c>
      <c r="C1063" t="str" cm="1">
        <f t="array" ref="C1063">IFERROR(IF(SUMPRODUCT((measured[Site Name]=A1063)*(measured[Date]=B1063)*ISNUMBER(measured[Measured Value (kWh)]))=0,"",SUMIFS(measured[Measured Value (kWh)],measured[Site Name],A1063,measured[Date],B1063)),"")</f>
        <v/>
      </c>
      <c r="D1063" cm="1">
        <f t="array" ref="D1063">IFERROR(IF(SUMPRODUCT((expected_production[Site Name]=A1063)*(expected_production[Date]=B1063)*ISNUMBER(expected_production[Expected Production (kWh)]))=0,"",SUMIFS(expected_production[Expected Production (kWh)],expected_production[Site Name],A1063,expected_production[Date],B1063)),"")</f>
        <v>0</v>
      </c>
      <c r="E1063" s="9" t="str">
        <f t="shared" si="34"/>
        <v/>
      </c>
      <c r="F1063" t="str">
        <f t="shared" si="35"/>
        <v/>
      </c>
    </row>
    <row r="1064" spans="1:6" ht="15" customHeight="1" x14ac:dyDescent="0.3">
      <c r="A1064" t="s">
        <v>236</v>
      </c>
      <c r="B1064" s="2">
        <v>45839</v>
      </c>
      <c r="C1064" t="str" cm="1">
        <f t="array" ref="C1064">IFERROR(IF(SUMPRODUCT((measured[Site Name]=A1064)*(measured[Date]=B1064)*ISNUMBER(measured[Measured Value (kWh)]))=0,"",SUMIFS(measured[Measured Value (kWh)],measured[Site Name],A1064,measured[Date],B1064)),"")</f>
        <v/>
      </c>
      <c r="D1064" cm="1">
        <f t="array" ref="D1064">IFERROR(IF(SUMPRODUCT((expected_production[Site Name]=A1064)*(expected_production[Date]=B1064)*ISNUMBER(expected_production[Expected Production (kWh)]))=0,"",SUMIFS(expected_production[Expected Production (kWh)],expected_production[Site Name],A1064,expected_production[Date],B1064)),"")</f>
        <v>0</v>
      </c>
      <c r="E1064" s="9" t="str">
        <f t="shared" si="34"/>
        <v/>
      </c>
      <c r="F1064" t="str">
        <f t="shared" si="35"/>
        <v/>
      </c>
    </row>
    <row r="1065" spans="1:6" ht="15" customHeight="1" x14ac:dyDescent="0.3">
      <c r="A1065" t="s">
        <v>236</v>
      </c>
      <c r="B1065" s="2">
        <v>45870</v>
      </c>
      <c r="C1065" t="str" cm="1">
        <f t="array" ref="C1065">IFERROR(IF(SUMPRODUCT((measured[Site Name]=A1065)*(measured[Date]=B1065)*ISNUMBER(measured[Measured Value (kWh)]))=0,"",SUMIFS(measured[Measured Value (kWh)],measured[Site Name],A1065,measured[Date],B1065)),"")</f>
        <v/>
      </c>
      <c r="D1065" cm="1">
        <f t="array" ref="D1065">IFERROR(IF(SUMPRODUCT((expected_production[Site Name]=A1065)*(expected_production[Date]=B1065)*ISNUMBER(expected_production[Expected Production (kWh)]))=0,"",SUMIFS(expected_production[Expected Production (kWh)],expected_production[Site Name],A1065,expected_production[Date],B1065)),"")</f>
        <v>0</v>
      </c>
      <c r="E1065" s="9" t="str">
        <f t="shared" si="34"/>
        <v/>
      </c>
      <c r="F1065" t="str">
        <f t="shared" si="35"/>
        <v/>
      </c>
    </row>
    <row r="1066" spans="1:6" ht="15" customHeight="1" x14ac:dyDescent="0.3">
      <c r="A1066" t="s">
        <v>236</v>
      </c>
      <c r="B1066" s="2">
        <v>45901</v>
      </c>
      <c r="C1066" t="str" cm="1">
        <f t="array" ref="C1066">IFERROR(IF(SUMPRODUCT((measured[Site Name]=A1066)*(measured[Date]=B1066)*ISNUMBER(measured[Measured Value (kWh)]))=0,"",SUMIFS(measured[Measured Value (kWh)],measured[Site Name],A1066,measured[Date],B1066)),"")</f>
        <v/>
      </c>
      <c r="D1066" cm="1">
        <f t="array" ref="D1066">IFERROR(IF(SUMPRODUCT((expected_production[Site Name]=A1066)*(expected_production[Date]=B1066)*ISNUMBER(expected_production[Expected Production (kWh)]))=0,"",SUMIFS(expected_production[Expected Production (kWh)],expected_production[Site Name],A1066,expected_production[Date],B1066)),"")</f>
        <v>0</v>
      </c>
      <c r="E1066" s="9" t="str">
        <f t="shared" si="34"/>
        <v/>
      </c>
      <c r="F1066" t="str">
        <f t="shared" si="35"/>
        <v/>
      </c>
    </row>
    <row r="1067" spans="1:6" ht="15" customHeight="1" x14ac:dyDescent="0.3">
      <c r="A1067" t="s">
        <v>236</v>
      </c>
      <c r="B1067" s="2">
        <v>45931</v>
      </c>
      <c r="C1067" t="str" cm="1">
        <f t="array" ref="C1067">IFERROR(IF(SUMPRODUCT((measured[Site Name]=A1067)*(measured[Date]=B1067)*ISNUMBER(measured[Measured Value (kWh)]))=0,"",SUMIFS(measured[Measured Value (kWh)],measured[Site Name],A1067,measured[Date],B1067)),"")</f>
        <v/>
      </c>
      <c r="D1067" cm="1">
        <f t="array" ref="D1067">IFERROR(IF(SUMPRODUCT((expected_production[Site Name]=A1067)*(expected_production[Date]=B1067)*ISNUMBER(expected_production[Expected Production (kWh)]))=0,"",SUMIFS(expected_production[Expected Production (kWh)],expected_production[Site Name],A1067,expected_production[Date],B1067)),"")</f>
        <v>0</v>
      </c>
      <c r="E1067" s="9" t="str">
        <f t="shared" si="34"/>
        <v/>
      </c>
      <c r="F1067" t="str">
        <f t="shared" si="35"/>
        <v/>
      </c>
    </row>
    <row r="1068" spans="1:6" ht="15" customHeight="1" x14ac:dyDescent="0.3">
      <c r="A1068" t="s">
        <v>236</v>
      </c>
      <c r="B1068" s="2">
        <v>45962</v>
      </c>
      <c r="C1068" t="str" cm="1">
        <f t="array" ref="C1068">IFERROR(IF(SUMPRODUCT((measured[Site Name]=A1068)*(measured[Date]=B1068)*ISNUMBER(measured[Measured Value (kWh)]))=0,"",SUMIFS(measured[Measured Value (kWh)],measured[Site Name],A1068,measured[Date],B1068)),"")</f>
        <v/>
      </c>
      <c r="D1068" cm="1">
        <f t="array" ref="D1068">IFERROR(IF(SUMPRODUCT((expected_production[Site Name]=A1068)*(expected_production[Date]=B1068)*ISNUMBER(expected_production[Expected Production (kWh)]))=0,"",SUMIFS(expected_production[Expected Production (kWh)],expected_production[Site Name],A1068,expected_production[Date],B1068)),"")</f>
        <v>0</v>
      </c>
      <c r="E1068" s="9" t="str">
        <f t="shared" si="34"/>
        <v/>
      </c>
      <c r="F1068" t="str">
        <f t="shared" si="35"/>
        <v/>
      </c>
    </row>
    <row r="1069" spans="1:6" ht="15" customHeight="1" x14ac:dyDescent="0.3">
      <c r="A1069" t="s">
        <v>236</v>
      </c>
      <c r="B1069" s="2">
        <v>45992</v>
      </c>
      <c r="C1069" t="str" cm="1">
        <f t="array" ref="C1069">IFERROR(IF(SUMPRODUCT((measured[Site Name]=A1069)*(measured[Date]=B1069)*ISNUMBER(measured[Measured Value (kWh)]))=0,"",SUMIFS(measured[Measured Value (kWh)],measured[Site Name],A1069,measured[Date],B1069)),"")</f>
        <v/>
      </c>
      <c r="D1069" cm="1">
        <f t="array" ref="D1069">IFERROR(IF(SUMPRODUCT((expected_production[Site Name]=A1069)*(expected_production[Date]=B1069)*ISNUMBER(expected_production[Expected Production (kWh)]))=0,"",SUMIFS(expected_production[Expected Production (kWh)],expected_production[Site Name],A1069,expected_production[Date],B1069)),"")</f>
        <v>0</v>
      </c>
      <c r="E1069" s="9" t="str">
        <f t="shared" si="34"/>
        <v/>
      </c>
      <c r="F1069" t="str">
        <f t="shared" si="35"/>
        <v/>
      </c>
    </row>
    <row r="1070" spans="1:6" ht="15" customHeight="1" x14ac:dyDescent="0.3">
      <c r="A1070" t="s">
        <v>236</v>
      </c>
      <c r="B1070" s="2">
        <v>46023</v>
      </c>
      <c r="C1070" cm="1">
        <f t="array" ref="C1070">IFERROR(IF(SUMPRODUCT((measured[Site Name]=A1070)*(measured[Date]=B1070)*ISNUMBER(measured[Measured Value (kWh)]))=0,"",SUMIFS(measured[Measured Value (kWh)],measured[Site Name],A1070,measured[Date],B1070)),"")</f>
        <v>13394</v>
      </c>
      <c r="D1070" cm="1">
        <f t="array" ref="D1070">IFERROR(IF(SUMPRODUCT((expected_production[Site Name]=A1070)*(expected_production[Date]=B1070)*ISNUMBER(expected_production[Expected Production (kWh)]))=0,"",SUMIFS(expected_production[Expected Production (kWh)],expected_production[Site Name],A1070,expected_production[Date],B1070)),"")</f>
        <v>0</v>
      </c>
      <c r="E1070" s="9" t="str">
        <f t="shared" si="34"/>
        <v/>
      </c>
      <c r="F1070" t="str">
        <f t="shared" si="35"/>
        <v/>
      </c>
    </row>
    <row r="1071" spans="1:6" ht="15" customHeight="1" x14ac:dyDescent="0.3">
      <c r="A1071" t="s">
        <v>236</v>
      </c>
      <c r="B1071" s="2">
        <v>46054</v>
      </c>
      <c r="C1071" cm="1">
        <f t="array" ref="C1071">IFERROR(IF(SUMPRODUCT((measured[Site Name]=A1071)*(measured[Date]=B1071)*ISNUMBER(measured[Measured Value (kWh)]))=0,"",SUMIFS(measured[Measured Value (kWh)],measured[Site Name],A1071,measured[Date],B1071)),"")</f>
        <v>16065</v>
      </c>
      <c r="D1071" cm="1">
        <f t="array" ref="D1071">IFERROR(IF(SUMPRODUCT((expected_production[Site Name]=A1071)*(expected_production[Date]=B1071)*ISNUMBER(expected_production[Expected Production (kWh)]))=0,"",SUMIFS(expected_production[Expected Production (kWh)],expected_production[Site Name],A1071,expected_production[Date],B1071)),"")</f>
        <v>0</v>
      </c>
      <c r="E1071" s="9" t="str">
        <f t="shared" si="34"/>
        <v/>
      </c>
      <c r="F1071" t="str">
        <f t="shared" si="35"/>
        <v/>
      </c>
    </row>
    <row r="1072" spans="1:6" ht="15" customHeight="1" x14ac:dyDescent="0.3">
      <c r="A1072" t="s">
        <v>236</v>
      </c>
      <c r="B1072" s="2">
        <v>46082</v>
      </c>
      <c r="C1072" cm="1">
        <f t="array" ref="C1072">IFERROR(IF(SUMPRODUCT((measured[Site Name]=A1072)*(measured[Date]=B1072)*ISNUMBER(measured[Measured Value (kWh)]))=0,"",SUMIFS(measured[Measured Value (kWh)],measured[Site Name],A1072,measured[Date],B1072)),"")</f>
        <v>733</v>
      </c>
      <c r="D1072" cm="1">
        <f t="array" ref="D1072">IFERROR(IF(SUMPRODUCT((expected_production[Site Name]=A1072)*(expected_production[Date]=B1072)*ISNUMBER(expected_production[Expected Production (kWh)]))=0,"",SUMIFS(expected_production[Expected Production (kWh)],expected_production[Site Name],A1072,expected_production[Date],B1072)),"")</f>
        <v>0</v>
      </c>
      <c r="E1072" s="9" t="str">
        <f t="shared" si="34"/>
        <v/>
      </c>
      <c r="F1072" t="str">
        <f t="shared" si="35"/>
        <v/>
      </c>
    </row>
    <row r="1073" spans="1:7" ht="15" customHeight="1" x14ac:dyDescent="0.3">
      <c r="A1073" t="s">
        <v>236</v>
      </c>
      <c r="B1073" s="2">
        <v>46113</v>
      </c>
      <c r="C1073" cm="1">
        <f t="array" ref="C1073">IFERROR(IF(SUMPRODUCT((measured[Site Name]=A1073)*(measured[Date]=B1073)*ISNUMBER(measured[Measured Value (kWh)]))=0,"",SUMIFS(measured[Measured Value (kWh)],measured[Site Name],A1073,measured[Date],B1073)),"")</f>
        <v>4797.7</v>
      </c>
      <c r="D1073" cm="1">
        <f t="array" ref="D1073">IFERROR(IF(SUMPRODUCT((expected_production[Site Name]=A1073)*(expected_production[Date]=B1073)*ISNUMBER(expected_production[Expected Production (kWh)]))=0,"",SUMIFS(expected_production[Expected Production (kWh)],expected_production[Site Name],A1073,expected_production[Date],B1073)),"")</f>
        <v>0</v>
      </c>
      <c r="E1073" s="9" t="str">
        <f t="shared" si="34"/>
        <v/>
      </c>
      <c r="F1073" t="str">
        <f t="shared" si="35"/>
        <v/>
      </c>
    </row>
    <row r="1074" spans="1:7" ht="15" customHeight="1" x14ac:dyDescent="0.3">
      <c r="A1074" t="s">
        <v>236</v>
      </c>
      <c r="B1074" s="2">
        <v>46143</v>
      </c>
      <c r="C1074" cm="1">
        <f t="array" ref="C1074">IFERROR(IF(SUMPRODUCT((measured[Site Name]=A1074)*(measured[Date]=B1074)*ISNUMBER(measured[Measured Value (kWh)]))=0,"",SUMIFS(measured[Measured Value (kWh)],measured[Site Name],A1074,measured[Date],B1074)),"")</f>
        <v>5970.07</v>
      </c>
      <c r="D1074" cm="1">
        <f t="array" ref="D1074">IFERROR(IF(SUMPRODUCT((expected_production[Site Name]=A1074)*(expected_production[Date]=B1074)*ISNUMBER(expected_production[Expected Production (kWh)]))=0,"",SUMIFS(expected_production[Expected Production (kWh)],expected_production[Site Name],A1074,expected_production[Date],B1074)),"")</f>
        <v>0</v>
      </c>
      <c r="E1074" s="9" t="str">
        <f t="shared" si="34"/>
        <v/>
      </c>
      <c r="F1074" t="str">
        <f t="shared" si="35"/>
        <v/>
      </c>
    </row>
    <row r="1075" spans="1:7" ht="15" customHeight="1" x14ac:dyDescent="0.3">
      <c r="A1075" t="s">
        <v>236</v>
      </c>
      <c r="B1075" s="2">
        <v>46174</v>
      </c>
      <c r="C1075" cm="1">
        <f t="array" ref="C1075">IFERROR(IF(SUMPRODUCT((measured[Site Name]=A1075)*(measured[Date]=B1075)*ISNUMBER(measured[Measured Value (kWh)]))=0,"",SUMIFS(measured[Measured Value (kWh)],measured[Site Name],A1075,measured[Date],B1075)),"")</f>
        <v>5060.3999999999996</v>
      </c>
      <c r="D1075" cm="1">
        <f t="array" ref="D1075">IFERROR(IF(SUMPRODUCT((expected_production[Site Name]=A1075)*(expected_production[Date]=B1075)*ISNUMBER(expected_production[Expected Production (kWh)]))=0,"",SUMIFS(expected_production[Expected Production (kWh)],expected_production[Site Name],A1075,expected_production[Date],B1075)),"")</f>
        <v>0</v>
      </c>
      <c r="E1075" s="9" t="str">
        <f t="shared" si="34"/>
        <v/>
      </c>
      <c r="F1075" t="str">
        <f t="shared" si="35"/>
        <v/>
      </c>
    </row>
    <row r="1076" spans="1:7" ht="15" customHeight="1" x14ac:dyDescent="0.3">
      <c r="A1076" t="s">
        <v>225</v>
      </c>
      <c r="B1076" s="2">
        <v>46204</v>
      </c>
      <c r="C1076" cm="1">
        <f t="array" ref="C1076">IFERROR(IF(SUMPRODUCT((measured[Site Name]=A1076)*(measured[Date]=B1076)*ISNUMBER(measured[Measured Value (kWh)]))=0,"",SUMIFS(measured[Measured Value (kWh)],measured[Site Name],A1076,measured[Date],B1076)),"")</f>
        <v>7311</v>
      </c>
      <c r="D1076" cm="1">
        <f t="array" ref="D1076">IFERROR(IF(SUMPRODUCT((expected_production[Site Name]=A1076)*(expected_production[Date]=B1076)*ISNUMBER(expected_production[Expected Production (kWh)]))=0,"",SUMIFS(expected_production[Expected Production (kWh)],expected_production[Site Name],A1076,expected_production[Date],B1076)),"")</f>
        <v>5785.2</v>
      </c>
      <c r="E1076" s="9">
        <f t="shared" si="34"/>
        <v>1.2637419622484962</v>
      </c>
      <c r="F1076" t="str">
        <f t="shared" si="35"/>
        <v>Expected</v>
      </c>
      <c r="G1076" t="s">
        <v>874</v>
      </c>
    </row>
    <row r="1077" spans="1:7" ht="15" customHeight="1" x14ac:dyDescent="0.3">
      <c r="A1077" t="s">
        <v>236</v>
      </c>
      <c r="B1077" s="2">
        <v>46235</v>
      </c>
      <c r="C1077" t="str" cm="1">
        <f t="array" ref="C1077">IFERROR(IF(SUMPRODUCT((measured[Site Name]=A1077)*(measured[Date]=B1077)*ISNUMBER(measured[Measured Value (kWh)]))=0,"",SUMIFS(measured[Measured Value (kWh)],measured[Site Name],A1077,measured[Date],B1077)),"")</f>
        <v/>
      </c>
      <c r="D1077" cm="1">
        <f t="array" ref="D1077">IFERROR(IF(SUMPRODUCT((expected_production[Site Name]=A1077)*(expected_production[Date]=B1077)*ISNUMBER(expected_production[Expected Production (kWh)]))=0,"",SUMIFS(expected_production[Expected Production (kWh)],expected_production[Site Name],A1077,expected_production[Date],B1077)),"")</f>
        <v>0</v>
      </c>
      <c r="E1077" s="9" t="str">
        <f t="shared" si="34"/>
        <v/>
      </c>
      <c r="F1077" t="str">
        <f t="shared" si="35"/>
        <v/>
      </c>
    </row>
    <row r="1078" spans="1:7" ht="15" customHeight="1" x14ac:dyDescent="0.3">
      <c r="A1078" t="s">
        <v>236</v>
      </c>
      <c r="B1078" s="2">
        <v>46266</v>
      </c>
      <c r="C1078" t="str" cm="1">
        <f t="array" ref="C1078">IFERROR(IF(SUMPRODUCT((measured[Site Name]=A1078)*(measured[Date]=B1078)*ISNUMBER(measured[Measured Value (kWh)]))=0,"",SUMIFS(measured[Measured Value (kWh)],measured[Site Name],A1078,measured[Date],B1078)),"")</f>
        <v/>
      </c>
      <c r="D1078" cm="1">
        <f t="array" ref="D1078">IFERROR(IF(SUMPRODUCT((expected_production[Site Name]=A1078)*(expected_production[Date]=B1078)*ISNUMBER(expected_production[Expected Production (kWh)]))=0,"",SUMIFS(expected_production[Expected Production (kWh)],expected_production[Site Name],A1078,expected_production[Date],B1078)),"")</f>
        <v>0</v>
      </c>
      <c r="E1078" s="9" t="str">
        <f t="shared" si="34"/>
        <v/>
      </c>
      <c r="F1078" t="str">
        <f t="shared" si="35"/>
        <v/>
      </c>
    </row>
    <row r="1079" spans="1:7" ht="15" customHeight="1" x14ac:dyDescent="0.3">
      <c r="A1079" t="s">
        <v>236</v>
      </c>
      <c r="B1079" s="2">
        <v>46296</v>
      </c>
      <c r="C1079" t="str" cm="1">
        <f t="array" ref="C1079">IFERROR(IF(SUMPRODUCT((measured[Site Name]=A1079)*(measured[Date]=B1079)*ISNUMBER(measured[Measured Value (kWh)]))=0,"",SUMIFS(measured[Measured Value (kWh)],measured[Site Name],A1079,measured[Date],B1079)),"")</f>
        <v/>
      </c>
      <c r="D1079" cm="1">
        <f t="array" ref="D1079">IFERROR(IF(SUMPRODUCT((expected_production[Site Name]=A1079)*(expected_production[Date]=B1079)*ISNUMBER(expected_production[Expected Production (kWh)]))=0,"",SUMIFS(expected_production[Expected Production (kWh)],expected_production[Site Name],A1079,expected_production[Date],B1079)),"")</f>
        <v>0</v>
      </c>
      <c r="E1079" s="9" t="str">
        <f t="shared" si="34"/>
        <v/>
      </c>
      <c r="F1079" t="str">
        <f t="shared" si="35"/>
        <v/>
      </c>
    </row>
    <row r="1080" spans="1:7" ht="15" customHeight="1" x14ac:dyDescent="0.3">
      <c r="A1080" t="s">
        <v>236</v>
      </c>
      <c r="B1080" s="2">
        <v>46327</v>
      </c>
      <c r="C1080" t="str" cm="1">
        <f t="array" ref="C1080">IFERROR(IF(SUMPRODUCT((measured[Site Name]=A1080)*(measured[Date]=B1080)*ISNUMBER(measured[Measured Value (kWh)]))=0,"",SUMIFS(measured[Measured Value (kWh)],measured[Site Name],A1080,measured[Date],B1080)),"")</f>
        <v/>
      </c>
      <c r="D1080" cm="1">
        <f t="array" ref="D1080">IFERROR(IF(SUMPRODUCT((expected_production[Site Name]=A1080)*(expected_production[Date]=B1080)*ISNUMBER(expected_production[Expected Production (kWh)]))=0,"",SUMIFS(expected_production[Expected Production (kWh)],expected_production[Site Name],A1080,expected_production[Date],B1080)),"")</f>
        <v>0</v>
      </c>
      <c r="E1080" s="9" t="str">
        <f t="shared" si="34"/>
        <v/>
      </c>
      <c r="F1080" t="str">
        <f t="shared" si="35"/>
        <v/>
      </c>
    </row>
    <row r="1081" spans="1:7" ht="15" customHeight="1" x14ac:dyDescent="0.3">
      <c r="A1081" t="s">
        <v>236</v>
      </c>
      <c r="B1081" s="2">
        <v>46357</v>
      </c>
      <c r="C1081" t="str" cm="1">
        <f t="array" ref="C1081">IFERROR(IF(SUMPRODUCT((measured[Site Name]=A1081)*(measured[Date]=B1081)*ISNUMBER(measured[Measured Value (kWh)]))=0,"",SUMIFS(measured[Measured Value (kWh)],measured[Site Name],A1081,measured[Date],B1081)),"")</f>
        <v/>
      </c>
      <c r="D1081" cm="1">
        <f t="array" ref="D1081">IFERROR(IF(SUMPRODUCT((expected_production[Site Name]=A1081)*(expected_production[Date]=B1081)*ISNUMBER(expected_production[Expected Production (kWh)]))=0,"",SUMIFS(expected_production[Expected Production (kWh)],expected_production[Site Name],A1081,expected_production[Date],B1081)),"")</f>
        <v>0</v>
      </c>
      <c r="E1081" s="9" t="str">
        <f t="shared" si="34"/>
        <v/>
      </c>
      <c r="F1081" t="str">
        <f t="shared" si="35"/>
        <v/>
      </c>
    </row>
    <row r="1082" spans="1:7" ht="15" customHeight="1" x14ac:dyDescent="0.3">
      <c r="A1082" t="s">
        <v>122</v>
      </c>
      <c r="B1082" s="2">
        <v>45292</v>
      </c>
      <c r="C1082" cm="1">
        <f t="array" ref="C1082">IFERROR(IF(SUMPRODUCT((measured[Site Name]=A1082)*(measured[Date]=B1082)*ISNUMBER(measured[Measured Value (kWh)]))=0,"",SUMIFS(measured[Measured Value (kWh)],measured[Site Name],A1082,measured[Date],B1082)),"")</f>
        <v>18892</v>
      </c>
      <c r="D1082" cm="1">
        <f t="array" ref="D1082">IFERROR(IF(SUMPRODUCT((expected_production[Site Name]=A1082)*(expected_production[Date]=B1082)*ISNUMBER(expected_production[Expected Production (kWh)]))=0,"",SUMIFS(expected_production[Expected Production (kWh)],expected_production[Site Name],A1082,expected_production[Date],B1082)),"")</f>
        <v>22241.7</v>
      </c>
      <c r="E1082" s="9">
        <f t="shared" si="34"/>
        <v>0.8493955048400077</v>
      </c>
      <c r="F1082" t="str">
        <f t="shared" si="35"/>
        <v>Moderate</v>
      </c>
    </row>
    <row r="1083" spans="1:7" ht="15" customHeight="1" x14ac:dyDescent="0.3">
      <c r="A1083" t="s">
        <v>122</v>
      </c>
      <c r="B1083" s="2">
        <v>45323</v>
      </c>
      <c r="C1083" cm="1">
        <f t="array" ref="C1083">IFERROR(IF(SUMPRODUCT((measured[Site Name]=A1083)*(measured[Date]=B1083)*ISNUMBER(measured[Measured Value (kWh)]))=0,"",SUMIFS(measured[Measured Value (kWh)],measured[Site Name],A1083,measured[Date],B1083)),"")</f>
        <v>18598</v>
      </c>
      <c r="D1083" cm="1">
        <f t="array" ref="D1083">IFERROR(IF(SUMPRODUCT((expected_production[Site Name]=A1083)*(expected_production[Date]=B1083)*ISNUMBER(expected_production[Expected Production (kWh)]))=0,"",SUMIFS(expected_production[Expected Production (kWh)],expected_production[Site Name],A1083,expected_production[Date],B1083)),"")</f>
        <v>19450.8</v>
      </c>
      <c r="E1083" s="9">
        <f t="shared" si="34"/>
        <v>0.9561560449955786</v>
      </c>
      <c r="F1083" t="str">
        <f t="shared" si="35"/>
        <v>Expected</v>
      </c>
    </row>
    <row r="1084" spans="1:7" ht="15" customHeight="1" x14ac:dyDescent="0.3">
      <c r="A1084" t="s">
        <v>122</v>
      </c>
      <c r="B1084" s="2">
        <v>45352</v>
      </c>
      <c r="C1084" cm="1">
        <f t="array" ref="C1084">IFERROR(IF(SUMPRODUCT((measured[Site Name]=A1084)*(measured[Date]=B1084)*ISNUMBER(measured[Measured Value (kWh)]))=0,"",SUMIFS(measured[Measured Value (kWh)],measured[Site Name],A1084,measured[Date],B1084)),"")</f>
        <v>18598</v>
      </c>
      <c r="D1084" cm="1">
        <f t="array" ref="D1084">IFERROR(IF(SUMPRODUCT((expected_production[Site Name]=A1084)*(expected_production[Date]=B1084)*ISNUMBER(expected_production[Expected Production (kWh)]))=0,"",SUMIFS(expected_production[Expected Production (kWh)],expected_production[Site Name],A1084,expected_production[Date],B1084)),"")</f>
        <v>19575</v>
      </c>
      <c r="E1084" s="9">
        <f t="shared" ref="E1084:E1147" si="36">IF(OR(C1084="",D1084="",D1084=0),"",C1084/D1084)</f>
        <v>0.95008939974457218</v>
      </c>
      <c r="F1084" t="str">
        <f t="shared" ref="F1084:F1147" si="37">IF(E1084="","",IF(E1084&gt;=0.9,"Expected",IF(E1084&gt;=0.7,"Moderate","Poor")))</f>
        <v>Expected</v>
      </c>
    </row>
    <row r="1085" spans="1:7" ht="15" customHeight="1" x14ac:dyDescent="0.3">
      <c r="A1085" t="s">
        <v>122</v>
      </c>
      <c r="B1085" s="2">
        <v>45383</v>
      </c>
      <c r="C1085" cm="1">
        <f t="array" ref="C1085">IFERROR(IF(SUMPRODUCT((measured[Site Name]=A1085)*(measured[Date]=B1085)*ISNUMBER(measured[Measured Value (kWh)]))=0,"",SUMIFS(measured[Measured Value (kWh)],measured[Site Name],A1085,measured[Date],B1085)),"")</f>
        <v>15678</v>
      </c>
      <c r="D1085" cm="1">
        <f t="array" ref="D1085">IFERROR(IF(SUMPRODUCT((expected_production[Site Name]=A1085)*(expected_production[Date]=B1085)*ISNUMBER(expected_production[Expected Production (kWh)]))=0,"",SUMIFS(expected_production[Expected Production (kWh)],expected_production[Site Name],A1085,expected_production[Date],B1085)),"")</f>
        <v>15792.3</v>
      </c>
      <c r="E1085" s="9">
        <f t="shared" si="36"/>
        <v>0.99276229554909678</v>
      </c>
      <c r="F1085" t="str">
        <f t="shared" si="37"/>
        <v>Expected</v>
      </c>
    </row>
    <row r="1086" spans="1:7" ht="15" customHeight="1" x14ac:dyDescent="0.3">
      <c r="A1086" t="s">
        <v>122</v>
      </c>
      <c r="B1086" s="2">
        <v>45413</v>
      </c>
      <c r="C1086" cm="1">
        <f t="array" ref="C1086">IFERROR(IF(SUMPRODUCT((measured[Site Name]=A1086)*(measured[Date]=B1086)*ISNUMBER(measured[Measured Value (kWh)]))=0,"",SUMIFS(measured[Measured Value (kWh)],measured[Site Name],A1086,measured[Date],B1086)),"")</f>
        <v>14588</v>
      </c>
      <c r="D1086" cm="1">
        <f t="array" ref="D1086">IFERROR(IF(SUMPRODUCT((expected_production[Site Name]=A1086)*(expected_production[Date]=B1086)*ISNUMBER(expected_production[Expected Production (kWh)]))=0,"",SUMIFS(expected_production[Expected Production (kWh)],expected_production[Site Name],A1086,expected_production[Date],B1086)),"")</f>
        <v>13477.5</v>
      </c>
      <c r="E1086" s="9">
        <f t="shared" si="36"/>
        <v>1.0823965869040995</v>
      </c>
      <c r="F1086" t="str">
        <f t="shared" si="37"/>
        <v>Expected</v>
      </c>
    </row>
    <row r="1087" spans="1:7" ht="15" customHeight="1" x14ac:dyDescent="0.3">
      <c r="A1087" t="s">
        <v>122</v>
      </c>
      <c r="B1087" s="2">
        <v>45444</v>
      </c>
      <c r="C1087" cm="1">
        <f t="array" ref="C1087">IFERROR(IF(SUMPRODUCT((measured[Site Name]=A1087)*(measured[Date]=B1087)*ISNUMBER(measured[Measured Value (kWh)]))=0,"",SUMIFS(measured[Measured Value (kWh)],measured[Site Name],A1087,measured[Date],B1087)),"")</f>
        <v>12745</v>
      </c>
      <c r="D1087" cm="1">
        <f t="array" ref="D1087">IFERROR(IF(SUMPRODUCT((expected_production[Site Name]=A1087)*(expected_production[Date]=B1087)*ISNUMBER(expected_production[Expected Production (kWh)]))=0,"",SUMIFS(expected_production[Expected Production (kWh)],expected_production[Site Name],A1087,expected_production[Date],B1087)),"")</f>
        <v>12124.8</v>
      </c>
      <c r="E1087" s="9">
        <f t="shared" si="36"/>
        <v>1.0511513591976775</v>
      </c>
      <c r="F1087" t="str">
        <f t="shared" si="37"/>
        <v>Expected</v>
      </c>
    </row>
    <row r="1088" spans="1:7" ht="15" customHeight="1" x14ac:dyDescent="0.3">
      <c r="A1088" t="s">
        <v>122</v>
      </c>
      <c r="B1088" s="2">
        <v>45474</v>
      </c>
      <c r="C1088" cm="1">
        <f t="array" ref="C1088">IFERROR(IF(SUMPRODUCT((measured[Site Name]=A1088)*(measured[Date]=B1088)*ISNUMBER(measured[Measured Value (kWh)]))=0,"",SUMIFS(measured[Measured Value (kWh)],measured[Site Name],A1088,measured[Date],B1088)),"")</f>
        <v>14803</v>
      </c>
      <c r="D1088" cm="1">
        <f t="array" ref="D1088">IFERROR(IF(SUMPRODUCT((expected_production[Site Name]=A1088)*(expected_production[Date]=B1088)*ISNUMBER(expected_production[Expected Production (kWh)]))=0,"",SUMIFS(expected_production[Expected Production (kWh)],expected_production[Site Name],A1088,expected_production[Date],B1088)),"")</f>
        <v>13099.5</v>
      </c>
      <c r="E1088" s="9">
        <f t="shared" si="36"/>
        <v>1.1300431314172297</v>
      </c>
      <c r="F1088" t="str">
        <f t="shared" si="37"/>
        <v>Expected</v>
      </c>
    </row>
    <row r="1089" spans="1:6" ht="15" customHeight="1" x14ac:dyDescent="0.3">
      <c r="A1089" t="s">
        <v>122</v>
      </c>
      <c r="B1089" s="2">
        <v>45505</v>
      </c>
      <c r="C1089" cm="1">
        <f t="array" ref="C1089">IFERROR(IF(SUMPRODUCT((measured[Site Name]=A1089)*(measured[Date]=B1089)*ISNUMBER(measured[Measured Value (kWh)]))=0,"",SUMIFS(measured[Measured Value (kWh)],measured[Site Name],A1089,measured[Date],B1089)),"")</f>
        <v>15941</v>
      </c>
      <c r="D1089" cm="1">
        <f t="array" ref="D1089">IFERROR(IF(SUMPRODUCT((expected_production[Site Name]=A1089)*(expected_production[Date]=B1089)*ISNUMBER(expected_production[Expected Production (kWh)]))=0,"",SUMIFS(expected_production[Expected Production (kWh)],expected_production[Site Name],A1089,expected_production[Date],B1089)),"")</f>
        <v>15450.3</v>
      </c>
      <c r="E1089" s="9">
        <f t="shared" si="36"/>
        <v>1.031759901102244</v>
      </c>
      <c r="F1089" t="str">
        <f t="shared" si="37"/>
        <v>Expected</v>
      </c>
    </row>
    <row r="1090" spans="1:6" ht="15" customHeight="1" x14ac:dyDescent="0.3">
      <c r="A1090" t="s">
        <v>122</v>
      </c>
      <c r="B1090" s="2">
        <v>45536</v>
      </c>
      <c r="C1090" cm="1">
        <f t="array" ref="C1090">IFERROR(IF(SUMPRODUCT((measured[Site Name]=A1090)*(measured[Date]=B1090)*ISNUMBER(measured[Measured Value (kWh)]))=0,"",SUMIFS(measured[Measured Value (kWh)],measured[Site Name],A1090,measured[Date],B1090)),"")</f>
        <v>13907</v>
      </c>
      <c r="D1090" cm="1">
        <f t="array" ref="D1090">IFERROR(IF(SUMPRODUCT((expected_production[Site Name]=A1090)*(expected_production[Date]=B1090)*ISNUMBER(expected_production[Expected Production (kWh)]))=0,"",SUMIFS(expected_production[Expected Production (kWh)],expected_production[Site Name],A1090,expected_production[Date],B1090)),"")</f>
        <v>16583.400000000001</v>
      </c>
      <c r="E1090" s="9">
        <f t="shared" si="36"/>
        <v>0.83860969403138075</v>
      </c>
      <c r="F1090" t="str">
        <f t="shared" si="37"/>
        <v>Moderate</v>
      </c>
    </row>
    <row r="1091" spans="1:6" ht="15" customHeight="1" x14ac:dyDescent="0.3">
      <c r="A1091" t="s">
        <v>122</v>
      </c>
      <c r="B1091" s="2">
        <v>45566</v>
      </c>
      <c r="C1091" cm="1">
        <f t="array" ref="C1091">IFERROR(IF(SUMPRODUCT((measured[Site Name]=A1091)*(measured[Date]=B1091)*ISNUMBER(measured[Measured Value (kWh)]))=0,"",SUMIFS(measured[Measured Value (kWh)],measured[Site Name],A1091,measured[Date],B1091)),"")</f>
        <v>19899</v>
      </c>
      <c r="D1091" cm="1">
        <f t="array" ref="D1091">IFERROR(IF(SUMPRODUCT((expected_production[Site Name]=A1091)*(expected_production[Date]=B1091)*ISNUMBER(expected_production[Expected Production (kWh)]))=0,"",SUMIFS(expected_production[Expected Production (kWh)],expected_production[Site Name],A1091,expected_production[Date],B1091)),"")</f>
        <v>19432.8</v>
      </c>
      <c r="E1091" s="9">
        <f t="shared" si="36"/>
        <v>1.0239903668025194</v>
      </c>
      <c r="F1091" t="str">
        <f t="shared" si="37"/>
        <v>Expected</v>
      </c>
    </row>
    <row r="1092" spans="1:6" ht="15" customHeight="1" x14ac:dyDescent="0.3">
      <c r="A1092" t="s">
        <v>122</v>
      </c>
      <c r="B1092" s="2">
        <v>45597</v>
      </c>
      <c r="C1092" cm="1">
        <f t="array" ref="C1092">IFERROR(IF(SUMPRODUCT((measured[Site Name]=A1092)*(measured[Date]=B1092)*ISNUMBER(measured[Measured Value (kWh)]))=0,"",SUMIFS(measured[Measured Value (kWh)],measured[Site Name],A1092,measured[Date],B1092)),"")</f>
        <v>18123</v>
      </c>
      <c r="D1092" cm="1">
        <f t="array" ref="D1092">IFERROR(IF(SUMPRODUCT((expected_production[Site Name]=A1092)*(expected_production[Date]=B1092)*ISNUMBER(expected_production[Expected Production (kWh)]))=0,"",SUMIFS(expected_production[Expected Production (kWh)],expected_production[Site Name],A1092,expected_production[Date],B1092)),"")</f>
        <v>20010.599999999999</v>
      </c>
      <c r="E1092" s="9">
        <f t="shared" si="36"/>
        <v>0.90566999490270161</v>
      </c>
      <c r="F1092" t="str">
        <f t="shared" si="37"/>
        <v>Expected</v>
      </c>
    </row>
    <row r="1093" spans="1:6" ht="15" customHeight="1" x14ac:dyDescent="0.3">
      <c r="A1093" t="s">
        <v>122</v>
      </c>
      <c r="B1093" s="2">
        <v>45627</v>
      </c>
      <c r="C1093" cm="1">
        <f t="array" ref="C1093">IFERROR(IF(SUMPRODUCT((measured[Site Name]=A1093)*(measured[Date]=B1093)*ISNUMBER(measured[Measured Value (kWh)]))=0,"",SUMIFS(measured[Measured Value (kWh)],measured[Site Name],A1093,measured[Date],B1093)),"")</f>
        <v>18905</v>
      </c>
      <c r="D1093" cm="1">
        <f t="array" ref="D1093">IFERROR(IF(SUMPRODUCT((expected_production[Site Name]=A1093)*(expected_production[Date]=B1093)*ISNUMBER(expected_production[Expected Production (kWh)]))=0,"",SUMIFS(expected_production[Expected Production (kWh)],expected_production[Site Name],A1093,expected_production[Date],B1093)),"")</f>
        <v>22485.599999999999</v>
      </c>
      <c r="E1093" s="9">
        <f t="shared" si="36"/>
        <v>0.84076030881986696</v>
      </c>
      <c r="F1093" t="str">
        <f t="shared" si="37"/>
        <v>Moderate</v>
      </c>
    </row>
    <row r="1094" spans="1:6" ht="15" customHeight="1" x14ac:dyDescent="0.3">
      <c r="A1094" t="s">
        <v>122</v>
      </c>
      <c r="B1094" s="2">
        <v>45658</v>
      </c>
      <c r="C1094" cm="1">
        <f t="array" ref="C1094">IFERROR(IF(SUMPRODUCT((measured[Site Name]=A1094)*(measured[Date]=B1094)*ISNUMBER(measured[Measured Value (kWh)]))=0,"",SUMIFS(measured[Measured Value (kWh)],measured[Site Name],A1094,measured[Date],B1094)),"")</f>
        <v>19907</v>
      </c>
      <c r="D1094" cm="1">
        <f t="array" ref="D1094">IFERROR(IF(SUMPRODUCT((expected_production[Site Name]=A1094)*(expected_production[Date]=B1094)*ISNUMBER(expected_production[Expected Production (kWh)]))=0,"",SUMIFS(expected_production[Expected Production (kWh)],expected_production[Site Name],A1094,expected_production[Date],B1094)),"")</f>
        <v>22241.7</v>
      </c>
      <c r="E1094" s="9">
        <f t="shared" si="36"/>
        <v>0.89503050576169985</v>
      </c>
      <c r="F1094" t="str">
        <f t="shared" si="37"/>
        <v>Moderate</v>
      </c>
    </row>
    <row r="1095" spans="1:6" ht="15" customHeight="1" x14ac:dyDescent="0.3">
      <c r="A1095" t="s">
        <v>122</v>
      </c>
      <c r="B1095" s="2">
        <v>45689</v>
      </c>
      <c r="C1095" cm="1">
        <f t="array" ref="C1095">IFERROR(IF(SUMPRODUCT((measured[Site Name]=A1095)*(measured[Date]=B1095)*ISNUMBER(measured[Measured Value (kWh)]))=0,"",SUMIFS(measured[Measured Value (kWh)],measured[Site Name],A1095,measured[Date],B1095)),"")</f>
        <v>15243</v>
      </c>
      <c r="D1095" cm="1">
        <f t="array" ref="D1095">IFERROR(IF(SUMPRODUCT((expected_production[Site Name]=A1095)*(expected_production[Date]=B1095)*ISNUMBER(expected_production[Expected Production (kWh)]))=0,"",SUMIFS(expected_production[Expected Production (kWh)],expected_production[Site Name],A1095,expected_production[Date],B1095)),"")</f>
        <v>19450.8</v>
      </c>
      <c r="E1095" s="9">
        <f t="shared" si="36"/>
        <v>0.78366956629033258</v>
      </c>
      <c r="F1095" t="str">
        <f t="shared" si="37"/>
        <v>Moderate</v>
      </c>
    </row>
    <row r="1096" spans="1:6" ht="15" customHeight="1" x14ac:dyDescent="0.3">
      <c r="A1096" t="s">
        <v>122</v>
      </c>
      <c r="B1096" s="2">
        <v>45717</v>
      </c>
      <c r="C1096" cm="1">
        <f t="array" ref="C1096">IFERROR(IF(SUMPRODUCT((measured[Site Name]=A1096)*(measured[Date]=B1096)*ISNUMBER(measured[Measured Value (kWh)]))=0,"",SUMIFS(measured[Measured Value (kWh)],measured[Site Name],A1096,measured[Date],B1096)),"")</f>
        <v>17983</v>
      </c>
      <c r="D1096" cm="1">
        <f t="array" ref="D1096">IFERROR(IF(SUMPRODUCT((expected_production[Site Name]=A1096)*(expected_production[Date]=B1096)*ISNUMBER(expected_production[Expected Production (kWh)]))=0,"",SUMIFS(expected_production[Expected Production (kWh)],expected_production[Site Name],A1096,expected_production[Date],B1096)),"")</f>
        <v>19575</v>
      </c>
      <c r="E1096" s="9">
        <f t="shared" si="36"/>
        <v>0.91867177522349941</v>
      </c>
      <c r="F1096" t="str">
        <f t="shared" si="37"/>
        <v>Expected</v>
      </c>
    </row>
    <row r="1097" spans="1:6" ht="15" customHeight="1" x14ac:dyDescent="0.3">
      <c r="A1097" t="s">
        <v>122</v>
      </c>
      <c r="B1097" s="2">
        <v>45748</v>
      </c>
      <c r="C1097" cm="1">
        <f t="array" ref="C1097">IFERROR(IF(SUMPRODUCT((measured[Site Name]=A1097)*(measured[Date]=B1097)*ISNUMBER(measured[Measured Value (kWh)]))=0,"",SUMIFS(measured[Measured Value (kWh)],measured[Site Name],A1097,measured[Date],B1097)),"")</f>
        <v>13643</v>
      </c>
      <c r="D1097" cm="1">
        <f t="array" ref="D1097">IFERROR(IF(SUMPRODUCT((expected_production[Site Name]=A1097)*(expected_production[Date]=B1097)*ISNUMBER(expected_production[Expected Production (kWh)]))=0,"",SUMIFS(expected_production[Expected Production (kWh)],expected_production[Site Name],A1097,expected_production[Date],B1097)),"")</f>
        <v>15792.3</v>
      </c>
      <c r="E1097" s="9">
        <f t="shared" si="36"/>
        <v>0.86390202820361828</v>
      </c>
      <c r="F1097" t="str">
        <f t="shared" si="37"/>
        <v>Moderate</v>
      </c>
    </row>
    <row r="1098" spans="1:6" ht="15" customHeight="1" x14ac:dyDescent="0.3">
      <c r="A1098" t="s">
        <v>122</v>
      </c>
      <c r="B1098" s="2">
        <v>45778</v>
      </c>
      <c r="C1098" cm="1">
        <f t="array" ref="C1098">IFERROR(IF(SUMPRODUCT((measured[Site Name]=A1098)*(measured[Date]=B1098)*ISNUMBER(measured[Measured Value (kWh)]))=0,"",SUMIFS(measured[Measured Value (kWh)],measured[Site Name],A1098,measured[Date],B1098)),"")</f>
        <v>15993</v>
      </c>
      <c r="D1098" cm="1">
        <f t="array" ref="D1098">IFERROR(IF(SUMPRODUCT((expected_production[Site Name]=A1098)*(expected_production[Date]=B1098)*ISNUMBER(expected_production[Expected Production (kWh)]))=0,"",SUMIFS(expected_production[Expected Production (kWh)],expected_production[Site Name],A1098,expected_production[Date],B1098)),"")</f>
        <v>13477.5</v>
      </c>
      <c r="E1098" s="9">
        <f t="shared" si="36"/>
        <v>1.186644407345576</v>
      </c>
      <c r="F1098" t="str">
        <f t="shared" si="37"/>
        <v>Expected</v>
      </c>
    </row>
    <row r="1099" spans="1:6" ht="15" customHeight="1" x14ac:dyDescent="0.3">
      <c r="A1099" t="s">
        <v>122</v>
      </c>
      <c r="B1099" s="2">
        <v>45809</v>
      </c>
      <c r="C1099" cm="1">
        <f t="array" ref="C1099">IFERROR(IF(SUMPRODUCT((measured[Site Name]=A1099)*(measured[Date]=B1099)*ISNUMBER(measured[Measured Value (kWh)]))=0,"",SUMIFS(measured[Measured Value (kWh)],measured[Site Name],A1099,measured[Date],B1099)),"")</f>
        <v>13300.84</v>
      </c>
      <c r="D1099" cm="1">
        <f t="array" ref="D1099">IFERROR(IF(SUMPRODUCT((expected_production[Site Name]=A1099)*(expected_production[Date]=B1099)*ISNUMBER(expected_production[Expected Production (kWh)]))=0,"",SUMIFS(expected_production[Expected Production (kWh)],expected_production[Site Name],A1099,expected_production[Date],B1099)),"")</f>
        <v>12124.8</v>
      </c>
      <c r="E1099" s="9">
        <f t="shared" si="36"/>
        <v>1.0969945896014781</v>
      </c>
      <c r="F1099" t="str">
        <f t="shared" si="37"/>
        <v>Expected</v>
      </c>
    </row>
    <row r="1100" spans="1:6" ht="15" customHeight="1" x14ac:dyDescent="0.3">
      <c r="A1100" t="s">
        <v>122</v>
      </c>
      <c r="B1100" s="2">
        <v>45839</v>
      </c>
      <c r="C1100" cm="1">
        <f t="array" ref="C1100">IFERROR(IF(SUMPRODUCT((measured[Site Name]=A1100)*(measured[Date]=B1100)*ISNUMBER(measured[Measured Value (kWh)]))=0,"",SUMIFS(measured[Measured Value (kWh)],measured[Site Name],A1100,measured[Date],B1100)),"")</f>
        <v>12259</v>
      </c>
      <c r="D1100" cm="1">
        <f t="array" ref="D1100">IFERROR(IF(SUMPRODUCT((expected_production[Site Name]=A1100)*(expected_production[Date]=B1100)*ISNUMBER(expected_production[Expected Production (kWh)]))=0,"",SUMIFS(expected_production[Expected Production (kWh)],expected_production[Site Name],A1100,expected_production[Date],B1100)),"")</f>
        <v>13099.5</v>
      </c>
      <c r="E1100" s="9">
        <f t="shared" si="36"/>
        <v>0.93583724569640059</v>
      </c>
      <c r="F1100" t="str">
        <f t="shared" si="37"/>
        <v>Expected</v>
      </c>
    </row>
    <row r="1101" spans="1:6" ht="15" customHeight="1" x14ac:dyDescent="0.3">
      <c r="A1101" t="s">
        <v>122</v>
      </c>
      <c r="B1101" s="2">
        <v>45870</v>
      </c>
      <c r="C1101" cm="1">
        <f t="array" ref="C1101">IFERROR(IF(SUMPRODUCT((measured[Site Name]=A1101)*(measured[Date]=B1101)*ISNUMBER(measured[Measured Value (kWh)]))=0,"",SUMIFS(measured[Measured Value (kWh)],measured[Site Name],A1101,measured[Date],B1101)),"")</f>
        <v>14893</v>
      </c>
      <c r="D1101" cm="1">
        <f t="array" ref="D1101">IFERROR(IF(SUMPRODUCT((expected_production[Site Name]=A1101)*(expected_production[Date]=B1101)*ISNUMBER(expected_production[Expected Production (kWh)]))=0,"",SUMIFS(expected_production[Expected Production (kWh)],expected_production[Site Name],A1101,expected_production[Date],B1101)),"")</f>
        <v>15450.3</v>
      </c>
      <c r="E1101" s="9">
        <f t="shared" si="36"/>
        <v>0.96392950298699709</v>
      </c>
      <c r="F1101" t="str">
        <f t="shared" si="37"/>
        <v>Expected</v>
      </c>
    </row>
    <row r="1102" spans="1:6" ht="15" customHeight="1" x14ac:dyDescent="0.3">
      <c r="A1102" t="s">
        <v>122</v>
      </c>
      <c r="B1102" s="2">
        <v>45901</v>
      </c>
      <c r="C1102" cm="1">
        <f t="array" ref="C1102">IFERROR(IF(SUMPRODUCT((measured[Site Name]=A1102)*(measured[Date]=B1102)*ISNUMBER(measured[Measured Value (kWh)]))=0,"",SUMIFS(measured[Measured Value (kWh)],measured[Site Name],A1102,measured[Date],B1102)),"")</f>
        <v>13710</v>
      </c>
      <c r="D1102" cm="1">
        <f t="array" ref="D1102">IFERROR(IF(SUMPRODUCT((expected_production[Site Name]=A1102)*(expected_production[Date]=B1102)*ISNUMBER(expected_production[Expected Production (kWh)]))=0,"",SUMIFS(expected_production[Expected Production (kWh)],expected_production[Site Name],A1102,expected_production[Date],B1102)),"")</f>
        <v>16583.400000000001</v>
      </c>
      <c r="E1102" s="9">
        <f t="shared" si="36"/>
        <v>0.82673034480263385</v>
      </c>
      <c r="F1102" t="str">
        <f t="shared" si="37"/>
        <v>Moderate</v>
      </c>
    </row>
    <row r="1103" spans="1:6" ht="15" customHeight="1" x14ac:dyDescent="0.3">
      <c r="A1103" t="s">
        <v>122</v>
      </c>
      <c r="B1103" s="2">
        <v>45931</v>
      </c>
      <c r="C1103" cm="1">
        <f t="array" ref="C1103">IFERROR(IF(SUMPRODUCT((measured[Site Name]=A1103)*(measured[Date]=B1103)*ISNUMBER(measured[Measured Value (kWh)]))=0,"",SUMIFS(measured[Measured Value (kWh)],measured[Site Name],A1103,measured[Date],B1103)),"")</f>
        <v>17312</v>
      </c>
      <c r="D1103" cm="1">
        <f t="array" ref="D1103">IFERROR(IF(SUMPRODUCT((expected_production[Site Name]=A1103)*(expected_production[Date]=B1103)*ISNUMBER(expected_production[Expected Production (kWh)]))=0,"",SUMIFS(expected_production[Expected Production (kWh)],expected_production[Site Name],A1103,expected_production[Date],B1103)),"")</f>
        <v>19432.8</v>
      </c>
      <c r="E1103" s="9">
        <f t="shared" si="36"/>
        <v>0.89086492939771933</v>
      </c>
      <c r="F1103" t="str">
        <f t="shared" si="37"/>
        <v>Moderate</v>
      </c>
    </row>
    <row r="1104" spans="1:6" ht="15" customHeight="1" x14ac:dyDescent="0.3">
      <c r="A1104" t="s">
        <v>122</v>
      </c>
      <c r="B1104" s="2">
        <v>45962</v>
      </c>
      <c r="C1104" cm="1">
        <f t="array" ref="C1104">IFERROR(IF(SUMPRODUCT((measured[Site Name]=A1104)*(measured[Date]=B1104)*ISNUMBER(measured[Measured Value (kWh)]))=0,"",SUMIFS(measured[Measured Value (kWh)],measured[Site Name],A1104,measured[Date],B1104)),"")</f>
        <v>19748</v>
      </c>
      <c r="D1104" cm="1">
        <f t="array" ref="D1104">IFERROR(IF(SUMPRODUCT((expected_production[Site Name]=A1104)*(expected_production[Date]=B1104)*ISNUMBER(expected_production[Expected Production (kWh)]))=0,"",SUMIFS(expected_production[Expected Production (kWh)],expected_production[Site Name],A1104,expected_production[Date],B1104)),"")</f>
        <v>20010.599999999999</v>
      </c>
      <c r="E1104" s="9">
        <f t="shared" si="36"/>
        <v>0.98687695521373675</v>
      </c>
      <c r="F1104" t="str">
        <f t="shared" si="37"/>
        <v>Expected</v>
      </c>
    </row>
    <row r="1105" spans="1:7" ht="15" customHeight="1" x14ac:dyDescent="0.3">
      <c r="A1105" t="s">
        <v>122</v>
      </c>
      <c r="B1105" s="2">
        <v>45992</v>
      </c>
      <c r="C1105" cm="1">
        <f t="array" ref="C1105">IFERROR(IF(SUMPRODUCT((measured[Site Name]=A1105)*(measured[Date]=B1105)*ISNUMBER(measured[Measured Value (kWh)]))=0,"",SUMIFS(measured[Measured Value (kWh)],measured[Site Name],A1105,measured[Date],B1105)),"")</f>
        <v>19810</v>
      </c>
      <c r="D1105" cm="1">
        <f t="array" ref="D1105">IFERROR(IF(SUMPRODUCT((expected_production[Site Name]=A1105)*(expected_production[Date]=B1105)*ISNUMBER(expected_production[Expected Production (kWh)]))=0,"",SUMIFS(expected_production[Expected Production (kWh)],expected_production[Site Name],A1105,expected_production[Date],B1105)),"")</f>
        <v>22485.599999999999</v>
      </c>
      <c r="E1105" s="9">
        <f t="shared" si="36"/>
        <v>0.88100828974988443</v>
      </c>
      <c r="F1105" t="str">
        <f t="shared" si="37"/>
        <v>Moderate</v>
      </c>
    </row>
    <row r="1106" spans="1:7" ht="15" customHeight="1" x14ac:dyDescent="0.3">
      <c r="A1106" t="s">
        <v>122</v>
      </c>
      <c r="B1106" s="2">
        <v>46023</v>
      </c>
      <c r="C1106" cm="1">
        <f t="array" ref="C1106">IFERROR(IF(SUMPRODUCT((measured[Site Name]=A1106)*(measured[Date]=B1106)*ISNUMBER(measured[Measured Value (kWh)]))=0,"",SUMIFS(measured[Measured Value (kWh)],measured[Site Name],A1106,measured[Date],B1106)),"")</f>
        <v>21506.532200000001</v>
      </c>
      <c r="D1106" cm="1">
        <f t="array" ref="D1106">IFERROR(IF(SUMPRODUCT((expected_production[Site Name]=A1106)*(expected_production[Date]=B1106)*ISNUMBER(expected_production[Expected Production (kWh)]))=0,"",SUMIFS(expected_production[Expected Production (kWh)],expected_production[Site Name],A1106,expected_production[Date],B1106)),"")</f>
        <v>22241.7</v>
      </c>
      <c r="E1106" s="9">
        <f t="shared" si="36"/>
        <v>0.96694642046246471</v>
      </c>
      <c r="F1106" t="str">
        <f t="shared" si="37"/>
        <v>Expected</v>
      </c>
    </row>
    <row r="1107" spans="1:7" ht="15" customHeight="1" x14ac:dyDescent="0.3">
      <c r="A1107" t="s">
        <v>122</v>
      </c>
      <c r="B1107" s="2">
        <v>46054</v>
      </c>
      <c r="C1107" cm="1">
        <f t="array" ref="C1107">IFERROR(IF(SUMPRODUCT((measured[Site Name]=A1107)*(measured[Date]=B1107)*ISNUMBER(measured[Measured Value (kWh)]))=0,"",SUMIFS(measured[Measured Value (kWh)],measured[Site Name],A1107,measured[Date],B1107)),"")</f>
        <v>21266.580600000001</v>
      </c>
      <c r="D1107" cm="1">
        <f t="array" ref="D1107">IFERROR(IF(SUMPRODUCT((expected_production[Site Name]=A1107)*(expected_production[Date]=B1107)*ISNUMBER(expected_production[Expected Production (kWh)]))=0,"",SUMIFS(expected_production[Expected Production (kWh)],expected_production[Site Name],A1107,expected_production[Date],B1107)),"")</f>
        <v>19450.8</v>
      </c>
      <c r="E1107" s="9">
        <f t="shared" si="36"/>
        <v>1.0933524893577644</v>
      </c>
      <c r="F1107" t="str">
        <f t="shared" si="37"/>
        <v>Expected</v>
      </c>
    </row>
    <row r="1108" spans="1:7" ht="15" customHeight="1" x14ac:dyDescent="0.3">
      <c r="A1108" t="s">
        <v>122</v>
      </c>
      <c r="B1108" s="2">
        <v>46082</v>
      </c>
      <c r="C1108" cm="1">
        <f t="array" ref="C1108">IFERROR(IF(SUMPRODUCT((measured[Site Name]=A1108)*(measured[Date]=B1108)*ISNUMBER(measured[Measured Value (kWh)]))=0,"",SUMIFS(measured[Measured Value (kWh)],measured[Site Name],A1108,measured[Date],B1108)),"")</f>
        <v>18344</v>
      </c>
      <c r="D1108" cm="1">
        <f t="array" ref="D1108">IFERROR(IF(SUMPRODUCT((expected_production[Site Name]=A1108)*(expected_production[Date]=B1108)*ISNUMBER(expected_production[Expected Production (kWh)]))=0,"",SUMIFS(expected_production[Expected Production (kWh)],expected_production[Site Name],A1108,expected_production[Date],B1108)),"")</f>
        <v>19575</v>
      </c>
      <c r="E1108" s="9">
        <f t="shared" si="36"/>
        <v>0.93711366538952745</v>
      </c>
      <c r="F1108" t="str">
        <f t="shared" si="37"/>
        <v>Expected</v>
      </c>
    </row>
    <row r="1109" spans="1:7" ht="15" customHeight="1" x14ac:dyDescent="0.3">
      <c r="A1109" t="s">
        <v>122</v>
      </c>
      <c r="B1109" s="2">
        <v>46113</v>
      </c>
      <c r="C1109" s="5" cm="1">
        <f t="array" ref="C1109">IFERROR(IF(SUMPRODUCT((measured[Site Name]=A1109)*(measured[Date]=B1109)*ISNUMBER(measured[Measured Value (kWh)]))=0,"",SUMIFS(measured[Measured Value (kWh)],measured[Site Name],A1109,measured[Date],B1109)),"")</f>
        <v>14760.15</v>
      </c>
      <c r="D1109" cm="1">
        <f t="array" ref="D1109">IFERROR(IF(SUMPRODUCT((expected_production[Site Name]=A1109)*(expected_production[Date]=B1109)*ISNUMBER(expected_production[Expected Production (kWh)]))=0,"",SUMIFS(expected_production[Expected Production (kWh)],expected_production[Site Name],A1109,expected_production[Date],B1109)),"")</f>
        <v>15792.3</v>
      </c>
      <c r="E1109" s="9">
        <f t="shared" si="36"/>
        <v>0.93464219904637069</v>
      </c>
      <c r="F1109" t="str">
        <f t="shared" si="37"/>
        <v>Expected</v>
      </c>
    </row>
    <row r="1110" spans="1:7" ht="15" customHeight="1" x14ac:dyDescent="0.3">
      <c r="A1110" t="s">
        <v>122</v>
      </c>
      <c r="B1110" s="2">
        <v>46143</v>
      </c>
      <c r="C1110" s="5" cm="1">
        <f t="array" ref="C1110">IFERROR(IF(SUMPRODUCT((measured[Site Name]=A1110)*(measured[Date]=B1110)*ISNUMBER(measured[Measured Value (kWh)]))=0,"",SUMIFS(measured[Measured Value (kWh)],measured[Site Name],A1110,measured[Date],B1110)),"")</f>
        <v>14261.66</v>
      </c>
      <c r="D1110" cm="1">
        <f t="array" ref="D1110">IFERROR(IF(SUMPRODUCT((expected_production[Site Name]=A1110)*(expected_production[Date]=B1110)*ISNUMBER(expected_production[Expected Production (kWh)]))=0,"",SUMIFS(expected_production[Expected Production (kWh)],expected_production[Site Name],A1110,expected_production[Date],B1110)),"")</f>
        <v>13477.5</v>
      </c>
      <c r="E1110" s="9">
        <f t="shared" si="36"/>
        <v>1.0581828974216285</v>
      </c>
      <c r="F1110" t="str">
        <f t="shared" si="37"/>
        <v>Expected</v>
      </c>
    </row>
    <row r="1111" spans="1:7" ht="15" customHeight="1" x14ac:dyDescent="0.3">
      <c r="A1111" t="s">
        <v>122</v>
      </c>
      <c r="B1111" s="2">
        <v>46174</v>
      </c>
      <c r="C1111" cm="1">
        <f t="array" ref="C1111">IFERROR(IF(SUMPRODUCT((measured[Site Name]=A1111)*(measured[Date]=B1111)*ISNUMBER(measured[Measured Value (kWh)]))=0,"",SUMIFS(measured[Measured Value (kWh)],measured[Site Name],A1111,measured[Date],B1111)),"")</f>
        <v>12292.03</v>
      </c>
      <c r="D1111" cm="1">
        <f t="array" ref="D1111">IFERROR(IF(SUMPRODUCT((expected_production[Site Name]=A1111)*(expected_production[Date]=B1111)*ISNUMBER(expected_production[Expected Production (kWh)]))=0,"",SUMIFS(expected_production[Expected Production (kWh)],expected_production[Site Name],A1111,expected_production[Date],B1111)),"")</f>
        <v>12124.8</v>
      </c>
      <c r="E1111" s="9">
        <f t="shared" si="36"/>
        <v>1.0137923924518344</v>
      </c>
      <c r="F1111" t="str">
        <f t="shared" si="37"/>
        <v>Expected</v>
      </c>
    </row>
    <row r="1112" spans="1:7" ht="15" customHeight="1" x14ac:dyDescent="0.3">
      <c r="A1112" t="s">
        <v>223</v>
      </c>
      <c r="B1112" s="2">
        <v>46204</v>
      </c>
      <c r="C1112" cm="1">
        <f t="array" ref="C1112">IFERROR(IF(SUMPRODUCT((measured[Site Name]=A1112)*(measured[Date]=B1112)*ISNUMBER(measured[Measured Value (kWh)]))=0,"",SUMIFS(measured[Measured Value (kWh)],measured[Site Name],A1112,measured[Date],B1112)),"")</f>
        <v>3841</v>
      </c>
      <c r="D1112" cm="1">
        <f t="array" ref="D1112">IFERROR(IF(SUMPRODUCT((expected_production[Site Name]=A1112)*(expected_production[Date]=B1112)*ISNUMBER(expected_production[Expected Production (kWh)]))=0,"",SUMIFS(expected_production[Expected Production (kWh)],expected_production[Site Name],A1112,expected_production[Date],B1112)),"")</f>
        <v>5785.2</v>
      </c>
      <c r="E1112" s="9">
        <f t="shared" si="36"/>
        <v>0.66393555970407248</v>
      </c>
      <c r="F1112" t="str">
        <f t="shared" si="37"/>
        <v>Poor</v>
      </c>
      <c r="G1112" t="s">
        <v>874</v>
      </c>
    </row>
    <row r="1113" spans="1:7" ht="15" customHeight="1" x14ac:dyDescent="0.3">
      <c r="A1113" t="s">
        <v>122</v>
      </c>
      <c r="B1113" s="2">
        <v>46235</v>
      </c>
      <c r="C1113" t="str" cm="1">
        <f t="array" ref="C1113">IFERROR(IF(SUMPRODUCT((measured[Site Name]=A1113)*(measured[Date]=B1113)*ISNUMBER(measured[Measured Value (kWh)]))=0,"",SUMIFS(measured[Measured Value (kWh)],measured[Site Name],A1113,measured[Date],B1113)),"")</f>
        <v/>
      </c>
      <c r="D1113" cm="1">
        <f t="array" ref="D1113">IFERROR(IF(SUMPRODUCT((expected_production[Site Name]=A1113)*(expected_production[Date]=B1113)*ISNUMBER(expected_production[Expected Production (kWh)]))=0,"",SUMIFS(expected_production[Expected Production (kWh)],expected_production[Site Name],A1113,expected_production[Date],B1113)),"")</f>
        <v>15450.3</v>
      </c>
      <c r="E1113" s="9" t="str">
        <f t="shared" si="36"/>
        <v/>
      </c>
      <c r="F1113" t="str">
        <f t="shared" si="37"/>
        <v/>
      </c>
    </row>
    <row r="1114" spans="1:7" ht="15" customHeight="1" x14ac:dyDescent="0.3">
      <c r="A1114" t="s">
        <v>122</v>
      </c>
      <c r="B1114" s="2">
        <v>46266</v>
      </c>
      <c r="C1114" t="str" cm="1">
        <f t="array" ref="C1114">IFERROR(IF(SUMPRODUCT((measured[Site Name]=A1114)*(measured[Date]=B1114)*ISNUMBER(measured[Measured Value (kWh)]))=0,"",SUMIFS(measured[Measured Value (kWh)],measured[Site Name],A1114,measured[Date],B1114)),"")</f>
        <v/>
      </c>
      <c r="D1114" cm="1">
        <f t="array" ref="D1114">IFERROR(IF(SUMPRODUCT((expected_production[Site Name]=A1114)*(expected_production[Date]=B1114)*ISNUMBER(expected_production[Expected Production (kWh)]))=0,"",SUMIFS(expected_production[Expected Production (kWh)],expected_production[Site Name],A1114,expected_production[Date],B1114)),"")</f>
        <v>16583.400000000001</v>
      </c>
      <c r="E1114" s="9" t="str">
        <f t="shared" si="36"/>
        <v/>
      </c>
      <c r="F1114" t="str">
        <f t="shared" si="37"/>
        <v/>
      </c>
    </row>
    <row r="1115" spans="1:7" ht="15" customHeight="1" x14ac:dyDescent="0.3">
      <c r="A1115" t="s">
        <v>122</v>
      </c>
      <c r="B1115" s="2">
        <v>46296</v>
      </c>
      <c r="C1115" t="str" cm="1">
        <f t="array" ref="C1115">IFERROR(IF(SUMPRODUCT((measured[Site Name]=A1115)*(measured[Date]=B1115)*ISNUMBER(measured[Measured Value (kWh)]))=0,"",SUMIFS(measured[Measured Value (kWh)],measured[Site Name],A1115,measured[Date],B1115)),"")</f>
        <v/>
      </c>
      <c r="D1115" cm="1">
        <f t="array" ref="D1115">IFERROR(IF(SUMPRODUCT((expected_production[Site Name]=A1115)*(expected_production[Date]=B1115)*ISNUMBER(expected_production[Expected Production (kWh)]))=0,"",SUMIFS(expected_production[Expected Production (kWh)],expected_production[Site Name],A1115,expected_production[Date],B1115)),"")</f>
        <v>19432.8</v>
      </c>
      <c r="E1115" s="9" t="str">
        <f t="shared" si="36"/>
        <v/>
      </c>
      <c r="F1115" t="str">
        <f t="shared" si="37"/>
        <v/>
      </c>
    </row>
    <row r="1116" spans="1:7" ht="15" customHeight="1" x14ac:dyDescent="0.3">
      <c r="A1116" t="s">
        <v>122</v>
      </c>
      <c r="B1116" s="2">
        <v>46327</v>
      </c>
      <c r="C1116" t="str" cm="1">
        <f t="array" ref="C1116">IFERROR(IF(SUMPRODUCT((measured[Site Name]=A1116)*(measured[Date]=B1116)*ISNUMBER(measured[Measured Value (kWh)]))=0,"",SUMIFS(measured[Measured Value (kWh)],measured[Site Name],A1116,measured[Date],B1116)),"")</f>
        <v/>
      </c>
      <c r="D1116" cm="1">
        <f t="array" ref="D1116">IFERROR(IF(SUMPRODUCT((expected_production[Site Name]=A1116)*(expected_production[Date]=B1116)*ISNUMBER(expected_production[Expected Production (kWh)]))=0,"",SUMIFS(expected_production[Expected Production (kWh)],expected_production[Site Name],A1116,expected_production[Date],B1116)),"")</f>
        <v>20010.599999999999</v>
      </c>
      <c r="E1116" s="9" t="str">
        <f t="shared" si="36"/>
        <v/>
      </c>
      <c r="F1116" t="str">
        <f t="shared" si="37"/>
        <v/>
      </c>
    </row>
    <row r="1117" spans="1:7" ht="15" customHeight="1" x14ac:dyDescent="0.3">
      <c r="A1117" t="s">
        <v>122</v>
      </c>
      <c r="B1117" s="2">
        <v>46357</v>
      </c>
      <c r="C1117" t="str" cm="1">
        <f t="array" ref="C1117">IFERROR(IF(SUMPRODUCT((measured[Site Name]=A1117)*(measured[Date]=B1117)*ISNUMBER(measured[Measured Value (kWh)]))=0,"",SUMIFS(measured[Measured Value (kWh)],measured[Site Name],A1117,measured[Date],B1117)),"")</f>
        <v/>
      </c>
      <c r="D1117" cm="1">
        <f t="array" ref="D1117">IFERROR(IF(SUMPRODUCT((expected_production[Site Name]=A1117)*(expected_production[Date]=B1117)*ISNUMBER(expected_production[Expected Production (kWh)]))=0,"",SUMIFS(expected_production[Expected Production (kWh)],expected_production[Site Name],A1117,expected_production[Date],B1117)),"")</f>
        <v>22485.599999999999</v>
      </c>
      <c r="E1117" s="9" t="str">
        <f t="shared" si="36"/>
        <v/>
      </c>
      <c r="F1117" t="str">
        <f t="shared" si="37"/>
        <v/>
      </c>
    </row>
    <row r="1118" spans="1:7" ht="15" customHeight="1" x14ac:dyDescent="0.3">
      <c r="A1118" t="s">
        <v>124</v>
      </c>
      <c r="B1118" s="2">
        <v>45292</v>
      </c>
      <c r="C1118" cm="1">
        <f t="array" ref="C1118">IFERROR(IF(SUMPRODUCT((measured[Site Name]=A1118)*(measured[Date]=B1118)*ISNUMBER(measured[Measured Value (kWh)]))=0,"",SUMIFS(measured[Measured Value (kWh)],measured[Site Name],A1118,measured[Date],B1118)),"")</f>
        <v>52780</v>
      </c>
      <c r="D1118" cm="1">
        <f t="array" ref="D1118">IFERROR(IF(SUMPRODUCT((expected_production[Site Name]=A1118)*(expected_production[Date]=B1118)*ISNUMBER(expected_production[Expected Production (kWh)]))=0,"",SUMIFS(expected_production[Expected Production (kWh)],expected_production[Site Name],A1118,expected_production[Date],B1118)),"")</f>
        <v>61302.85</v>
      </c>
      <c r="E1118" s="9">
        <f t="shared" si="36"/>
        <v>0.86097139040028325</v>
      </c>
      <c r="F1118" t="str">
        <f t="shared" si="37"/>
        <v>Moderate</v>
      </c>
    </row>
    <row r="1119" spans="1:7" ht="15" customHeight="1" x14ac:dyDescent="0.3">
      <c r="A1119" t="s">
        <v>124</v>
      </c>
      <c r="B1119" s="2">
        <v>45323</v>
      </c>
      <c r="C1119" cm="1">
        <f t="array" ref="C1119">IFERROR(IF(SUMPRODUCT((measured[Site Name]=A1119)*(measured[Date]=B1119)*ISNUMBER(measured[Measured Value (kWh)]))=0,"",SUMIFS(measured[Measured Value (kWh)],measured[Site Name],A1119,measured[Date],B1119)),"")</f>
        <v>40425</v>
      </c>
      <c r="D1119" cm="1">
        <f t="array" ref="D1119">IFERROR(IF(SUMPRODUCT((expected_production[Site Name]=A1119)*(expected_production[Date]=B1119)*ISNUMBER(expected_production[Expected Production (kWh)]))=0,"",SUMIFS(expected_production[Expected Production (kWh)],expected_production[Site Name],A1119,expected_production[Date],B1119)),"")</f>
        <v>55639.3</v>
      </c>
      <c r="E1119" s="9">
        <f t="shared" si="36"/>
        <v>0.72655479130758294</v>
      </c>
      <c r="F1119" t="str">
        <f t="shared" si="37"/>
        <v>Moderate</v>
      </c>
    </row>
    <row r="1120" spans="1:7" ht="15" customHeight="1" x14ac:dyDescent="0.3">
      <c r="A1120" t="s">
        <v>124</v>
      </c>
      <c r="B1120" s="2">
        <v>45352</v>
      </c>
      <c r="C1120" cm="1">
        <f t="array" ref="C1120">IFERROR(IF(SUMPRODUCT((measured[Site Name]=A1120)*(measured[Date]=B1120)*ISNUMBER(measured[Measured Value (kWh)]))=0,"",SUMIFS(measured[Measured Value (kWh)],measured[Site Name],A1120,measured[Date],B1120)),"")</f>
        <v>52832</v>
      </c>
      <c r="D1120" cm="1">
        <f t="array" ref="D1120">IFERROR(IF(SUMPRODUCT((expected_production[Site Name]=A1120)*(expected_production[Date]=B1120)*ISNUMBER(expected_production[Expected Production (kWh)]))=0,"",SUMIFS(expected_production[Expected Production (kWh)],expected_production[Site Name],A1120,expected_production[Date],B1120)),"")</f>
        <v>58024.4</v>
      </c>
      <c r="E1120" s="9">
        <f t="shared" si="36"/>
        <v>0.91051350811038112</v>
      </c>
      <c r="F1120" t="str">
        <f t="shared" si="37"/>
        <v>Expected</v>
      </c>
    </row>
    <row r="1121" spans="1:6" ht="15" customHeight="1" x14ac:dyDescent="0.3">
      <c r="A1121" t="s">
        <v>124</v>
      </c>
      <c r="B1121" s="2">
        <v>45383</v>
      </c>
      <c r="C1121" cm="1">
        <f t="array" ref="C1121">IFERROR(IF(SUMPRODUCT((measured[Site Name]=A1121)*(measured[Date]=B1121)*ISNUMBER(measured[Measured Value (kWh)]))=0,"",SUMIFS(measured[Measured Value (kWh)],measured[Site Name],A1121,measured[Date],B1121)),"")</f>
        <v>46312</v>
      </c>
      <c r="D1121" cm="1">
        <f t="array" ref="D1121">IFERROR(IF(SUMPRODUCT((expected_production[Site Name]=A1121)*(expected_production[Date]=B1121)*ISNUMBER(expected_production[Expected Production (kWh)]))=0,"",SUMIFS(expected_production[Expected Production (kWh)],expected_production[Site Name],A1121,expected_production[Date],B1121)),"")</f>
        <v>48946.400000000001</v>
      </c>
      <c r="E1121" s="9">
        <f t="shared" si="36"/>
        <v>0.94617785986303382</v>
      </c>
      <c r="F1121" t="str">
        <f t="shared" si="37"/>
        <v>Expected</v>
      </c>
    </row>
    <row r="1122" spans="1:6" ht="15" customHeight="1" x14ac:dyDescent="0.3">
      <c r="A1122" t="s">
        <v>124</v>
      </c>
      <c r="B1122" s="2">
        <v>45413</v>
      </c>
      <c r="C1122" cm="1">
        <f t="array" ref="C1122">IFERROR(IF(SUMPRODUCT((measured[Site Name]=A1122)*(measured[Date]=B1122)*ISNUMBER(measured[Measured Value (kWh)]))=0,"",SUMIFS(measured[Measured Value (kWh)],measured[Site Name],A1122,measured[Date],B1122)),"")</f>
        <v>45881</v>
      </c>
      <c r="D1122" cm="1">
        <f t="array" ref="D1122">IFERROR(IF(SUMPRODUCT((expected_production[Site Name]=A1122)*(expected_production[Date]=B1122)*ISNUMBER(expected_production[Expected Production (kWh)]))=0,"",SUMIFS(expected_production[Expected Production (kWh)],expected_production[Site Name],A1122,expected_production[Date],B1122)),"")</f>
        <v>44310.5</v>
      </c>
      <c r="E1122" s="9">
        <f t="shared" si="36"/>
        <v>1.0354430665417904</v>
      </c>
      <c r="F1122" t="str">
        <f t="shared" si="37"/>
        <v>Expected</v>
      </c>
    </row>
    <row r="1123" spans="1:6" ht="15" customHeight="1" x14ac:dyDescent="0.3">
      <c r="A1123" t="s">
        <v>124</v>
      </c>
      <c r="B1123" s="2">
        <v>45444</v>
      </c>
      <c r="C1123" cm="1">
        <f t="array" ref="C1123">IFERROR(IF(SUMPRODUCT((measured[Site Name]=A1123)*(measured[Date]=B1123)*ISNUMBER(measured[Measured Value (kWh)]))=0,"",SUMIFS(measured[Measured Value (kWh)],measured[Site Name],A1123,measured[Date],B1123)),"")</f>
        <v>36174</v>
      </c>
      <c r="D1123" cm="1">
        <f t="array" ref="D1123">IFERROR(IF(SUMPRODUCT((expected_production[Site Name]=A1123)*(expected_production[Date]=B1123)*ISNUMBER(expected_production[Expected Production (kWh)]))=0,"",SUMIFS(expected_production[Expected Production (kWh)],expected_production[Site Name],A1123,expected_production[Date],B1123)),"")</f>
        <v>40933.449999999997</v>
      </c>
      <c r="E1123" s="9">
        <f t="shared" si="36"/>
        <v>0.88372712292758127</v>
      </c>
      <c r="F1123" t="str">
        <f t="shared" si="37"/>
        <v>Moderate</v>
      </c>
    </row>
    <row r="1124" spans="1:6" ht="15" customHeight="1" x14ac:dyDescent="0.3">
      <c r="A1124" t="s">
        <v>124</v>
      </c>
      <c r="B1124" s="2">
        <v>45474</v>
      </c>
      <c r="C1124" cm="1">
        <f t="array" ref="C1124">IFERROR(IF(SUMPRODUCT((measured[Site Name]=A1124)*(measured[Date]=B1124)*ISNUMBER(measured[Measured Value (kWh)]))=0,"",SUMIFS(measured[Measured Value (kWh)],measured[Site Name],A1124,measured[Date],B1124)),"")</f>
        <v>49449</v>
      </c>
      <c r="D1124" cm="1">
        <f t="array" ref="D1124">IFERROR(IF(SUMPRODUCT((expected_production[Site Name]=A1124)*(expected_production[Date]=B1124)*ISNUMBER(expected_production[Expected Production (kWh)]))=0,"",SUMIFS(expected_production[Expected Production (kWh)],expected_production[Site Name],A1124,expected_production[Date],B1124)),"")</f>
        <v>43977.3</v>
      </c>
      <c r="E1124" s="9">
        <f t="shared" si="36"/>
        <v>1.1244210081110027</v>
      </c>
      <c r="F1124" t="str">
        <f t="shared" si="37"/>
        <v>Expected</v>
      </c>
    </row>
    <row r="1125" spans="1:6" ht="15" customHeight="1" x14ac:dyDescent="0.3">
      <c r="A1125" t="s">
        <v>124</v>
      </c>
      <c r="B1125" s="2">
        <v>45505</v>
      </c>
      <c r="C1125" cm="1">
        <f t="array" ref="C1125">IFERROR(IF(SUMPRODUCT((measured[Site Name]=A1125)*(measured[Date]=B1125)*ISNUMBER(measured[Measured Value (kWh)]))=0,"",SUMIFS(measured[Measured Value (kWh)],measured[Site Name],A1125,measured[Date],B1125)),"")</f>
        <v>50022</v>
      </c>
      <c r="D1125" cm="1">
        <f t="array" ref="D1125">IFERROR(IF(SUMPRODUCT((expected_production[Site Name]=A1125)*(expected_production[Date]=B1125)*ISNUMBER(expected_production[Expected Production (kWh)]))=0,"",SUMIFS(expected_production[Expected Production (kWh)],expected_production[Site Name],A1125,expected_production[Date],B1125)),"")</f>
        <v>48620.85</v>
      </c>
      <c r="E1125" s="9">
        <f t="shared" si="36"/>
        <v>1.0288178836857027</v>
      </c>
      <c r="F1125" t="str">
        <f t="shared" si="37"/>
        <v>Expected</v>
      </c>
    </row>
    <row r="1126" spans="1:6" ht="15" customHeight="1" x14ac:dyDescent="0.3">
      <c r="A1126" t="s">
        <v>124</v>
      </c>
      <c r="B1126" s="2">
        <v>45536</v>
      </c>
      <c r="C1126" cm="1">
        <f t="array" ref="C1126">IFERROR(IF(SUMPRODUCT((measured[Site Name]=A1126)*(measured[Date]=B1126)*ISNUMBER(measured[Measured Value (kWh)]))=0,"",SUMIFS(measured[Measured Value (kWh)],measured[Site Name],A1126,measured[Date],B1126)),"")</f>
        <v>41179</v>
      </c>
      <c r="D1126" cm="1">
        <f t="array" ref="D1126">IFERROR(IF(SUMPRODUCT((expected_production[Site Name]=A1126)*(expected_production[Date]=B1126)*ISNUMBER(expected_production[Expected Production (kWh)]))=0,"",SUMIFS(expected_production[Expected Production (kWh)],expected_production[Site Name],A1126,expected_production[Date],B1126)),"")</f>
        <v>50331.05</v>
      </c>
      <c r="E1126" s="9">
        <f t="shared" si="36"/>
        <v>0.81816294315338145</v>
      </c>
      <c r="F1126" t="str">
        <f t="shared" si="37"/>
        <v>Moderate</v>
      </c>
    </row>
    <row r="1127" spans="1:6" ht="15" customHeight="1" x14ac:dyDescent="0.3">
      <c r="A1127" t="s">
        <v>124</v>
      </c>
      <c r="B1127" s="2">
        <v>45566</v>
      </c>
      <c r="C1127" cm="1">
        <f t="array" ref="C1127">IFERROR(IF(SUMPRODUCT((measured[Site Name]=A1127)*(measured[Date]=B1127)*ISNUMBER(measured[Measured Value (kWh)]))=0,"",SUMIFS(measured[Measured Value (kWh)],measured[Site Name],A1127,measured[Date],B1127)),"")</f>
        <v>38998</v>
      </c>
      <c r="D1127" cm="1">
        <f t="array" ref="D1127">IFERROR(IF(SUMPRODUCT((expected_production[Site Name]=A1127)*(expected_production[Date]=B1127)*ISNUMBER(expected_production[Expected Production (kWh)]))=0,"",SUMIFS(expected_production[Expected Production (kWh)],expected_production[Site Name],A1127,expected_production[Date],B1127)),"")</f>
        <v>55230.45</v>
      </c>
      <c r="E1127" s="9">
        <f t="shared" si="36"/>
        <v>0.70609600320113275</v>
      </c>
      <c r="F1127" t="str">
        <f t="shared" si="37"/>
        <v>Moderate</v>
      </c>
    </row>
    <row r="1128" spans="1:6" ht="15" customHeight="1" x14ac:dyDescent="0.3">
      <c r="A1128" t="s">
        <v>124</v>
      </c>
      <c r="B1128" s="2">
        <v>45597</v>
      </c>
      <c r="C1128" cm="1">
        <f t="array" ref="C1128">IFERROR(IF(SUMPRODUCT((measured[Site Name]=A1128)*(measured[Date]=B1128)*ISNUMBER(measured[Measured Value (kWh)]))=0,"",SUMIFS(measured[Measured Value (kWh)],measured[Site Name],A1128,measured[Date],B1128)),"")</f>
        <v>54400</v>
      </c>
      <c r="D1128" cm="1">
        <f t="array" ref="D1128">IFERROR(IF(SUMPRODUCT((expected_production[Site Name]=A1128)*(expected_production[Date]=B1128)*ISNUMBER(expected_production[Expected Production (kWh)]))=0,"",SUMIFS(expected_production[Expected Production (kWh)],expected_production[Site Name],A1128,expected_production[Date],B1128)),"")</f>
        <v>56583.65</v>
      </c>
      <c r="E1128" s="9">
        <f t="shared" si="36"/>
        <v>0.96140846339887931</v>
      </c>
      <c r="F1128" t="str">
        <f t="shared" si="37"/>
        <v>Expected</v>
      </c>
    </row>
    <row r="1129" spans="1:6" ht="15" customHeight="1" x14ac:dyDescent="0.3">
      <c r="A1129" t="s">
        <v>124</v>
      </c>
      <c r="B1129" s="2">
        <v>45627</v>
      </c>
      <c r="C1129" cm="1">
        <f t="array" ref="C1129">IFERROR(IF(SUMPRODUCT((measured[Site Name]=A1129)*(measured[Date]=B1129)*ISNUMBER(measured[Measured Value (kWh)]))=0,"",SUMIFS(measured[Measured Value (kWh)],measured[Site Name],A1129,measured[Date],B1129)),"")</f>
        <v>48109</v>
      </c>
      <c r="D1129" cm="1">
        <f t="array" ref="D1129">IFERROR(IF(SUMPRODUCT((expected_production[Site Name]=A1129)*(expected_production[Date]=B1129)*ISNUMBER(expected_production[Expected Production (kWh)]))=0,"",SUMIFS(expected_production[Expected Production (kWh)],expected_production[Site Name],A1129,expected_production[Date],B1129)),"")</f>
        <v>61075.9</v>
      </c>
      <c r="E1129" s="9">
        <f t="shared" si="36"/>
        <v>0.7876920356474485</v>
      </c>
      <c r="F1129" t="str">
        <f t="shared" si="37"/>
        <v>Moderate</v>
      </c>
    </row>
    <row r="1130" spans="1:6" ht="15" customHeight="1" x14ac:dyDescent="0.3">
      <c r="A1130" t="s">
        <v>124</v>
      </c>
      <c r="B1130" s="2">
        <v>45658</v>
      </c>
      <c r="C1130" cm="1">
        <f t="array" ref="C1130">IFERROR(IF(SUMPRODUCT((measured[Site Name]=A1130)*(measured[Date]=B1130)*ISNUMBER(measured[Measured Value (kWh)]))=0,"",SUMIFS(measured[Measured Value (kWh)],measured[Site Name],A1130,measured[Date],B1130)),"")</f>
        <v>50600</v>
      </c>
      <c r="D1130" cm="1">
        <f t="array" ref="D1130">IFERROR(IF(SUMPRODUCT((expected_production[Site Name]=A1130)*(expected_production[Date]=B1130)*ISNUMBER(expected_production[Expected Production (kWh)]))=0,"",SUMIFS(expected_production[Expected Production (kWh)],expected_production[Site Name],A1130,expected_production[Date],B1130)),"")</f>
        <v>61302.85</v>
      </c>
      <c r="E1130" s="9">
        <f t="shared" si="36"/>
        <v>0.82541023786006684</v>
      </c>
      <c r="F1130" t="str">
        <f t="shared" si="37"/>
        <v>Moderate</v>
      </c>
    </row>
    <row r="1131" spans="1:6" ht="15" customHeight="1" x14ac:dyDescent="0.3">
      <c r="A1131" t="s">
        <v>124</v>
      </c>
      <c r="B1131" s="2">
        <v>45689</v>
      </c>
      <c r="C1131" cm="1">
        <f t="array" ref="C1131">IFERROR(IF(SUMPRODUCT((measured[Site Name]=A1131)*(measured[Date]=B1131)*ISNUMBER(measured[Measured Value (kWh)]))=0,"",SUMIFS(measured[Measured Value (kWh)],measured[Site Name],A1131,measured[Date],B1131)),"")</f>
        <v>39450</v>
      </c>
      <c r="D1131" cm="1">
        <f t="array" ref="D1131">IFERROR(IF(SUMPRODUCT((expected_production[Site Name]=A1131)*(expected_production[Date]=B1131)*ISNUMBER(expected_production[Expected Production (kWh)]))=0,"",SUMIFS(expected_production[Expected Production (kWh)],expected_production[Site Name],A1131,expected_production[Date],B1131)),"")</f>
        <v>55639.3</v>
      </c>
      <c r="E1131" s="9">
        <f t="shared" si="36"/>
        <v>0.70903120635953365</v>
      </c>
      <c r="F1131" t="str">
        <f t="shared" si="37"/>
        <v>Moderate</v>
      </c>
    </row>
    <row r="1132" spans="1:6" ht="15" customHeight="1" x14ac:dyDescent="0.3">
      <c r="A1132" t="s">
        <v>124</v>
      </c>
      <c r="B1132" s="2">
        <v>45717</v>
      </c>
      <c r="C1132" cm="1">
        <f t="array" ref="C1132">IFERROR(IF(SUMPRODUCT((measured[Site Name]=A1132)*(measured[Date]=B1132)*ISNUMBER(measured[Measured Value (kWh)]))=0,"",SUMIFS(measured[Measured Value (kWh)],measured[Site Name],A1132,measured[Date],B1132)),"")</f>
        <v>50665</v>
      </c>
      <c r="D1132" cm="1">
        <f t="array" ref="D1132">IFERROR(IF(SUMPRODUCT((expected_production[Site Name]=A1132)*(expected_production[Date]=B1132)*ISNUMBER(expected_production[Expected Production (kWh)]))=0,"",SUMIFS(expected_production[Expected Production (kWh)],expected_production[Site Name],A1132,expected_production[Date],B1132)),"")</f>
        <v>58024.4</v>
      </c>
      <c r="E1132" s="9">
        <f t="shared" si="36"/>
        <v>0.87316715037122317</v>
      </c>
      <c r="F1132" t="str">
        <f t="shared" si="37"/>
        <v>Moderate</v>
      </c>
    </row>
    <row r="1133" spans="1:6" ht="15" customHeight="1" x14ac:dyDescent="0.3">
      <c r="A1133" t="s">
        <v>124</v>
      </c>
      <c r="B1133" s="2">
        <v>45748</v>
      </c>
      <c r="C1133" cm="1">
        <f t="array" ref="C1133">IFERROR(IF(SUMPRODUCT((measured[Site Name]=A1133)*(measured[Date]=B1133)*ISNUMBER(measured[Measured Value (kWh)]))=0,"",SUMIFS(measured[Measured Value (kWh)],measured[Site Name],A1133,measured[Date],B1133)),"")</f>
        <v>33121</v>
      </c>
      <c r="D1133" cm="1">
        <f t="array" ref="D1133">IFERROR(IF(SUMPRODUCT((expected_production[Site Name]=A1133)*(expected_production[Date]=B1133)*ISNUMBER(expected_production[Expected Production (kWh)]))=0,"",SUMIFS(expected_production[Expected Production (kWh)],expected_production[Site Name],A1133,expected_production[Date],B1133)),"")</f>
        <v>48946.400000000001</v>
      </c>
      <c r="E1133" s="9">
        <f t="shared" si="36"/>
        <v>0.67667897945507738</v>
      </c>
      <c r="F1133" t="str">
        <f t="shared" si="37"/>
        <v>Poor</v>
      </c>
    </row>
    <row r="1134" spans="1:6" ht="15" customHeight="1" x14ac:dyDescent="0.3">
      <c r="A1134" t="s">
        <v>124</v>
      </c>
      <c r="B1134" s="2">
        <v>45778</v>
      </c>
      <c r="C1134" cm="1">
        <f t="array" ref="C1134">IFERROR(IF(SUMPRODUCT((measured[Site Name]=A1134)*(measured[Date]=B1134)*ISNUMBER(measured[Measured Value (kWh)]))=0,"",SUMIFS(measured[Measured Value (kWh)],measured[Site Name],A1134,measured[Date],B1134)),"")</f>
        <v>49152</v>
      </c>
      <c r="D1134" cm="1">
        <f t="array" ref="D1134">IFERROR(IF(SUMPRODUCT((expected_production[Site Name]=A1134)*(expected_production[Date]=B1134)*ISNUMBER(expected_production[Expected Production (kWh)]))=0,"",SUMIFS(expected_production[Expected Production (kWh)],expected_production[Site Name],A1134,expected_production[Date],B1134)),"")</f>
        <v>44310.5</v>
      </c>
      <c r="E1134" s="9">
        <f t="shared" si="36"/>
        <v>1.1092630414912943</v>
      </c>
      <c r="F1134" t="str">
        <f t="shared" si="37"/>
        <v>Expected</v>
      </c>
    </row>
    <row r="1135" spans="1:6" ht="15" customHeight="1" x14ac:dyDescent="0.3">
      <c r="A1135" t="s">
        <v>124</v>
      </c>
      <c r="B1135" s="2">
        <v>45809</v>
      </c>
      <c r="C1135" cm="1">
        <f t="array" ref="C1135">IFERROR(IF(SUMPRODUCT((measured[Site Name]=A1135)*(measured[Date]=B1135)*ISNUMBER(measured[Measured Value (kWh)]))=0,"",SUMIFS(measured[Measured Value (kWh)],measured[Site Name],A1135,measured[Date],B1135)),"")</f>
        <v>39999.410000000003</v>
      </c>
      <c r="D1135" cm="1">
        <f t="array" ref="D1135">IFERROR(IF(SUMPRODUCT((expected_production[Site Name]=A1135)*(expected_production[Date]=B1135)*ISNUMBER(expected_production[Expected Production (kWh)]))=0,"",SUMIFS(expected_production[Expected Production (kWh)],expected_production[Site Name],A1135,expected_production[Date],B1135)),"")</f>
        <v>40933.449999999997</v>
      </c>
      <c r="E1135" s="9">
        <f t="shared" si="36"/>
        <v>0.97718149826120215</v>
      </c>
      <c r="F1135" t="str">
        <f t="shared" si="37"/>
        <v>Expected</v>
      </c>
    </row>
    <row r="1136" spans="1:6" ht="15" customHeight="1" x14ac:dyDescent="0.3">
      <c r="A1136" t="s">
        <v>124</v>
      </c>
      <c r="B1136" s="2">
        <v>45839</v>
      </c>
      <c r="C1136" cm="1">
        <f t="array" ref="C1136">IFERROR(IF(SUMPRODUCT((measured[Site Name]=A1136)*(measured[Date]=B1136)*ISNUMBER(measured[Measured Value (kWh)]))=0,"",SUMIFS(measured[Measured Value (kWh)],measured[Site Name],A1136,measured[Date],B1136)),"")</f>
        <v>42250</v>
      </c>
      <c r="D1136" cm="1">
        <f t="array" ref="D1136">IFERROR(IF(SUMPRODUCT((expected_production[Site Name]=A1136)*(expected_production[Date]=B1136)*ISNUMBER(expected_production[Expected Production (kWh)]))=0,"",SUMIFS(expected_production[Expected Production (kWh)],expected_production[Site Name],A1136,expected_production[Date],B1136)),"")</f>
        <v>43977.3</v>
      </c>
      <c r="E1136" s="9">
        <f t="shared" si="36"/>
        <v>0.96072291841472757</v>
      </c>
      <c r="F1136" t="str">
        <f t="shared" si="37"/>
        <v>Expected</v>
      </c>
    </row>
    <row r="1137" spans="1:7" ht="15" customHeight="1" x14ac:dyDescent="0.3">
      <c r="A1137" t="s">
        <v>124</v>
      </c>
      <c r="B1137" s="2">
        <v>45870</v>
      </c>
      <c r="C1137" cm="1">
        <f t="array" ref="C1137">IFERROR(IF(SUMPRODUCT((measured[Site Name]=A1137)*(measured[Date]=B1137)*ISNUMBER(measured[Measured Value (kWh)]))=0,"",SUMIFS(measured[Measured Value (kWh)],measured[Site Name],A1137,measured[Date],B1137)),"")</f>
        <v>42926</v>
      </c>
      <c r="D1137" cm="1">
        <f t="array" ref="D1137">IFERROR(IF(SUMPRODUCT((expected_production[Site Name]=A1137)*(expected_production[Date]=B1137)*ISNUMBER(expected_production[Expected Production (kWh)]))=0,"",SUMIFS(expected_production[Expected Production (kWh)],expected_production[Site Name],A1137,expected_production[Date],B1137)),"")</f>
        <v>48620.85</v>
      </c>
      <c r="E1137" s="9">
        <f t="shared" si="36"/>
        <v>0.88287226570493937</v>
      </c>
      <c r="F1137" t="str">
        <f t="shared" si="37"/>
        <v>Moderate</v>
      </c>
    </row>
    <row r="1138" spans="1:7" ht="15" customHeight="1" x14ac:dyDescent="0.3">
      <c r="A1138" t="s">
        <v>124</v>
      </c>
      <c r="B1138" s="2">
        <v>45901</v>
      </c>
      <c r="C1138" cm="1">
        <f t="array" ref="C1138">IFERROR(IF(SUMPRODUCT((measured[Site Name]=A1138)*(measured[Date]=B1138)*ISNUMBER(measured[Measured Value (kWh)]))=0,"",SUMIFS(measured[Measured Value (kWh)],measured[Site Name],A1138,measured[Date],B1138)),"")</f>
        <v>40517.300000000003</v>
      </c>
      <c r="D1138" cm="1">
        <f t="array" ref="D1138">IFERROR(IF(SUMPRODUCT((expected_production[Site Name]=A1138)*(expected_production[Date]=B1138)*ISNUMBER(expected_production[Expected Production (kWh)]))=0,"",SUMIFS(expected_production[Expected Production (kWh)],expected_production[Site Name],A1138,expected_production[Date],B1138)),"")</f>
        <v>50331.05</v>
      </c>
      <c r="E1138" s="9">
        <f t="shared" si="36"/>
        <v>0.80501598913593098</v>
      </c>
      <c r="F1138" t="str">
        <f t="shared" si="37"/>
        <v>Moderate</v>
      </c>
    </row>
    <row r="1139" spans="1:7" ht="15" customHeight="1" x14ac:dyDescent="0.3">
      <c r="A1139" t="s">
        <v>124</v>
      </c>
      <c r="B1139" s="2">
        <v>45931</v>
      </c>
      <c r="C1139" cm="1">
        <f t="array" ref="C1139">IFERROR(IF(SUMPRODUCT((measured[Site Name]=A1139)*(measured[Date]=B1139)*ISNUMBER(measured[Measured Value (kWh)]))=0,"",SUMIFS(measured[Measured Value (kWh)],measured[Site Name],A1139,measured[Date],B1139)),"")</f>
        <v>46787.68</v>
      </c>
      <c r="D1139" cm="1">
        <f t="array" ref="D1139">IFERROR(IF(SUMPRODUCT((expected_production[Site Name]=A1139)*(expected_production[Date]=B1139)*ISNUMBER(expected_production[Expected Production (kWh)]))=0,"",SUMIFS(expected_production[Expected Production (kWh)],expected_production[Site Name],A1139,expected_production[Date],B1139)),"")</f>
        <v>55230.45</v>
      </c>
      <c r="E1139" s="9">
        <f t="shared" si="36"/>
        <v>0.84713559277536221</v>
      </c>
      <c r="F1139" t="str">
        <f t="shared" si="37"/>
        <v>Moderate</v>
      </c>
    </row>
    <row r="1140" spans="1:7" ht="15" customHeight="1" x14ac:dyDescent="0.3">
      <c r="A1140" t="s">
        <v>124</v>
      </c>
      <c r="B1140" s="2">
        <v>45962</v>
      </c>
      <c r="C1140" cm="1">
        <f t="array" ref="C1140">IFERROR(IF(SUMPRODUCT((measured[Site Name]=A1140)*(measured[Date]=B1140)*ISNUMBER(measured[Measured Value (kWh)]))=0,"",SUMIFS(measured[Measured Value (kWh)],measured[Site Name],A1140,measured[Date],B1140)),"")</f>
        <v>53245</v>
      </c>
      <c r="D1140" cm="1">
        <f t="array" ref="D1140">IFERROR(IF(SUMPRODUCT((expected_production[Site Name]=A1140)*(expected_production[Date]=B1140)*ISNUMBER(expected_production[Expected Production (kWh)]))=0,"",SUMIFS(expected_production[Expected Production (kWh)],expected_production[Site Name],A1140,expected_production[Date],B1140)),"")</f>
        <v>56583.65</v>
      </c>
      <c r="E1140" s="9">
        <f t="shared" si="36"/>
        <v>0.94099620650134796</v>
      </c>
      <c r="F1140" t="str">
        <f t="shared" si="37"/>
        <v>Expected</v>
      </c>
    </row>
    <row r="1141" spans="1:7" ht="15" customHeight="1" x14ac:dyDescent="0.3">
      <c r="A1141" t="s">
        <v>124</v>
      </c>
      <c r="B1141" s="2">
        <v>45992</v>
      </c>
      <c r="C1141" cm="1">
        <f t="array" ref="C1141">IFERROR(IF(SUMPRODUCT((measured[Site Name]=A1141)*(measured[Date]=B1141)*ISNUMBER(measured[Measured Value (kWh)]))=0,"",SUMIFS(measured[Measured Value (kWh)],measured[Site Name],A1141,measured[Date],B1141)),"")</f>
        <v>48360</v>
      </c>
      <c r="D1141" cm="1">
        <f t="array" ref="D1141">IFERROR(IF(SUMPRODUCT((expected_production[Site Name]=A1141)*(expected_production[Date]=B1141)*ISNUMBER(expected_production[Expected Production (kWh)]))=0,"",SUMIFS(expected_production[Expected Production (kWh)],expected_production[Site Name],A1141,expected_production[Date],B1141)),"")</f>
        <v>61075.9</v>
      </c>
      <c r="E1141" s="9">
        <f t="shared" si="36"/>
        <v>0.79180167627493003</v>
      </c>
      <c r="F1141" t="str">
        <f t="shared" si="37"/>
        <v>Moderate</v>
      </c>
    </row>
    <row r="1142" spans="1:7" ht="15" customHeight="1" x14ac:dyDescent="0.3">
      <c r="A1142" t="s">
        <v>124</v>
      </c>
      <c r="B1142" s="2">
        <v>46023</v>
      </c>
      <c r="C1142" cm="1">
        <f t="array" ref="C1142">IFERROR(IF(SUMPRODUCT((measured[Site Name]=A1142)*(measured[Date]=B1142)*ISNUMBER(measured[Measured Value (kWh)]))=0,"",SUMIFS(measured[Measured Value (kWh)],measured[Site Name],A1142,measured[Date],B1142)),"")</f>
        <v>49681.67136</v>
      </c>
      <c r="D1142" cm="1">
        <f t="array" ref="D1142">IFERROR(IF(SUMPRODUCT((expected_production[Site Name]=A1142)*(expected_production[Date]=B1142)*ISNUMBER(expected_production[Expected Production (kWh)]))=0,"",SUMIFS(expected_production[Expected Production (kWh)],expected_production[Site Name],A1142,expected_production[Date],B1142)),"")</f>
        <v>61302.85</v>
      </c>
      <c r="E1142" s="9">
        <f t="shared" si="36"/>
        <v>0.81043004297516352</v>
      </c>
      <c r="F1142" t="str">
        <f t="shared" si="37"/>
        <v>Moderate</v>
      </c>
    </row>
    <row r="1143" spans="1:7" ht="15" customHeight="1" x14ac:dyDescent="0.3">
      <c r="A1143" t="s">
        <v>124</v>
      </c>
      <c r="B1143" s="2">
        <v>46054</v>
      </c>
      <c r="C1143" cm="1">
        <f t="array" ref="C1143">IFERROR(IF(SUMPRODUCT((measured[Site Name]=A1143)*(measured[Date]=B1143)*ISNUMBER(measured[Measured Value (kWh)]))=0,"",SUMIFS(measured[Measured Value (kWh)],measured[Site Name],A1143,measured[Date],B1143)),"")</f>
        <v>58060.833879999998</v>
      </c>
      <c r="D1143" cm="1">
        <f t="array" ref="D1143">IFERROR(IF(SUMPRODUCT((expected_production[Site Name]=A1143)*(expected_production[Date]=B1143)*ISNUMBER(expected_production[Expected Production (kWh)]))=0,"",SUMIFS(expected_production[Expected Production (kWh)],expected_production[Site Name],A1143,expected_production[Date],B1143)),"")</f>
        <v>55639.3</v>
      </c>
      <c r="E1143" s="9">
        <f t="shared" si="36"/>
        <v>1.0435220047700096</v>
      </c>
      <c r="F1143" t="str">
        <f t="shared" si="37"/>
        <v>Expected</v>
      </c>
    </row>
    <row r="1144" spans="1:7" ht="15" customHeight="1" x14ac:dyDescent="0.3">
      <c r="A1144" t="s">
        <v>124</v>
      </c>
      <c r="B1144" s="2">
        <v>46082</v>
      </c>
      <c r="C1144" cm="1">
        <f t="array" ref="C1144">IFERROR(IF(SUMPRODUCT((measured[Site Name]=A1144)*(measured[Date]=B1144)*ISNUMBER(measured[Measured Value (kWh)]))=0,"",SUMIFS(measured[Measured Value (kWh)],measured[Site Name],A1144,measured[Date],B1144)),"")</f>
        <v>50832</v>
      </c>
      <c r="D1144" cm="1">
        <f t="array" ref="D1144">IFERROR(IF(SUMPRODUCT((expected_production[Site Name]=A1144)*(expected_production[Date]=B1144)*ISNUMBER(expected_production[Expected Production (kWh)]))=0,"",SUMIFS(expected_production[Expected Production (kWh)],expected_production[Site Name],A1144,expected_production[Date],B1144)),"")</f>
        <v>58024.4</v>
      </c>
      <c r="E1144" s="9">
        <f t="shared" si="36"/>
        <v>0.87604524992934008</v>
      </c>
      <c r="F1144" t="str">
        <f t="shared" si="37"/>
        <v>Moderate</v>
      </c>
    </row>
    <row r="1145" spans="1:7" ht="15" customHeight="1" x14ac:dyDescent="0.3">
      <c r="A1145" t="s">
        <v>124</v>
      </c>
      <c r="B1145" s="2">
        <v>46113</v>
      </c>
      <c r="C1145" s="5" cm="1">
        <f t="array" ref="C1145">IFERROR(IF(SUMPRODUCT((measured[Site Name]=A1145)*(measured[Date]=B1145)*ISNUMBER(measured[Measured Value (kWh)]))=0,"",SUMIFS(measured[Measured Value (kWh)],measured[Site Name],A1145,measured[Date],B1145)),"")</f>
        <v>41412.22</v>
      </c>
      <c r="D1145" cm="1">
        <f t="array" ref="D1145">IFERROR(IF(SUMPRODUCT((expected_production[Site Name]=A1145)*(expected_production[Date]=B1145)*ISNUMBER(expected_production[Expected Production (kWh)]))=0,"",SUMIFS(expected_production[Expected Production (kWh)],expected_production[Site Name],A1145,expected_production[Date],B1145)),"")</f>
        <v>48946.400000000001</v>
      </c>
      <c r="E1145" s="9">
        <f t="shared" si="36"/>
        <v>0.84607284703267249</v>
      </c>
      <c r="F1145" t="str">
        <f t="shared" si="37"/>
        <v>Moderate</v>
      </c>
    </row>
    <row r="1146" spans="1:7" ht="15" customHeight="1" x14ac:dyDescent="0.3">
      <c r="A1146" t="s">
        <v>124</v>
      </c>
      <c r="B1146" s="2">
        <v>46143</v>
      </c>
      <c r="C1146" s="5" cm="1">
        <f t="array" ref="C1146">IFERROR(IF(SUMPRODUCT((measured[Site Name]=A1146)*(measured[Date]=B1146)*ISNUMBER(measured[Measured Value (kWh)]))=0,"",SUMIFS(measured[Measured Value (kWh)],measured[Site Name],A1146,measured[Date],B1146)),"")</f>
        <v>46300.95</v>
      </c>
      <c r="D1146" cm="1">
        <f t="array" ref="D1146">IFERROR(IF(SUMPRODUCT((expected_production[Site Name]=A1146)*(expected_production[Date]=B1146)*ISNUMBER(expected_production[Expected Production (kWh)]))=0,"",SUMIFS(expected_production[Expected Production (kWh)],expected_production[Site Name],A1146,expected_production[Date],B1146)),"")</f>
        <v>44310.5</v>
      </c>
      <c r="E1146" s="9">
        <f t="shared" si="36"/>
        <v>1.0449205041694405</v>
      </c>
      <c r="F1146" t="str">
        <f t="shared" si="37"/>
        <v>Expected</v>
      </c>
    </row>
    <row r="1147" spans="1:7" ht="15" customHeight="1" x14ac:dyDescent="0.3">
      <c r="A1147" t="s">
        <v>124</v>
      </c>
      <c r="B1147" s="2">
        <v>46174</v>
      </c>
      <c r="C1147" cm="1">
        <f t="array" ref="C1147">IFERROR(IF(SUMPRODUCT((measured[Site Name]=A1147)*(measured[Date]=B1147)*ISNUMBER(measured[Measured Value (kWh)]))=0,"",SUMIFS(measured[Measured Value (kWh)],measured[Site Name],A1147,measured[Date],B1147)),"")</f>
        <v>37511.86</v>
      </c>
      <c r="D1147" cm="1">
        <f t="array" ref="D1147">IFERROR(IF(SUMPRODUCT((expected_production[Site Name]=A1147)*(expected_production[Date]=B1147)*ISNUMBER(expected_production[Expected Production (kWh)]))=0,"",SUMIFS(expected_production[Expected Production (kWh)],expected_production[Site Name],A1147,expected_production[Date],B1147)),"")</f>
        <v>40933.449999999997</v>
      </c>
      <c r="E1147" s="9">
        <f t="shared" si="36"/>
        <v>0.91641090599497488</v>
      </c>
      <c r="F1147" t="str">
        <f t="shared" si="37"/>
        <v>Expected</v>
      </c>
    </row>
    <row r="1148" spans="1:7" ht="15" customHeight="1" x14ac:dyDescent="0.3">
      <c r="A1148" t="s">
        <v>120</v>
      </c>
      <c r="B1148" s="2">
        <v>46204</v>
      </c>
      <c r="C1148" cm="1">
        <f t="array" ref="C1148">IFERROR(IF(SUMPRODUCT((measured[Site Name]=A1148)*(measured[Date]=B1148)*ISNUMBER(measured[Measured Value (kWh)]))=0,"",SUMIFS(measured[Measured Value (kWh)],measured[Site Name],A1148,measured[Date],B1148)),"")</f>
        <v>6582.2</v>
      </c>
      <c r="D1148" cm="1">
        <f t="array" ref="D1148">IFERROR(IF(SUMPRODUCT((expected_production[Site Name]=A1148)*(expected_production[Date]=B1148)*ISNUMBER(expected_production[Expected Production (kWh)]))=0,"",SUMIFS(expected_production[Expected Production (kWh)],expected_production[Site Name],A1148,expected_production[Date],B1148)),"")</f>
        <v>8550.9</v>
      </c>
      <c r="E1148" s="9">
        <f t="shared" ref="E1148:E1211" si="38">IF(OR(C1148="",D1148="",D1148=0),"",C1148/D1148)</f>
        <v>0.76976692511899336</v>
      </c>
      <c r="F1148" t="str">
        <f t="shared" ref="F1148:F1211" si="39">IF(E1148="","",IF(E1148&gt;=0.9,"Expected",IF(E1148&gt;=0.7,"Moderate","Poor")))</f>
        <v>Moderate</v>
      </c>
      <c r="G1148" t="s">
        <v>875</v>
      </c>
    </row>
    <row r="1149" spans="1:7" ht="15" customHeight="1" x14ac:dyDescent="0.3">
      <c r="A1149" t="s">
        <v>124</v>
      </c>
      <c r="B1149" s="2">
        <v>46235</v>
      </c>
      <c r="C1149" t="str" cm="1">
        <f t="array" ref="C1149">IFERROR(IF(SUMPRODUCT((measured[Site Name]=A1149)*(measured[Date]=B1149)*ISNUMBER(measured[Measured Value (kWh)]))=0,"",SUMIFS(measured[Measured Value (kWh)],measured[Site Name],A1149,measured[Date],B1149)),"")</f>
        <v/>
      </c>
      <c r="D1149" cm="1">
        <f t="array" ref="D1149">IFERROR(IF(SUMPRODUCT((expected_production[Site Name]=A1149)*(expected_production[Date]=B1149)*ISNUMBER(expected_production[Expected Production (kWh)]))=0,"",SUMIFS(expected_production[Expected Production (kWh)],expected_production[Site Name],A1149,expected_production[Date],B1149)),"")</f>
        <v>48620.85</v>
      </c>
      <c r="E1149" s="9" t="str">
        <f t="shared" si="38"/>
        <v/>
      </c>
      <c r="F1149" t="str">
        <f t="shared" si="39"/>
        <v/>
      </c>
    </row>
    <row r="1150" spans="1:7" ht="15" customHeight="1" x14ac:dyDescent="0.3">
      <c r="A1150" t="s">
        <v>124</v>
      </c>
      <c r="B1150" s="2">
        <v>46266</v>
      </c>
      <c r="C1150" t="str" cm="1">
        <f t="array" ref="C1150">IFERROR(IF(SUMPRODUCT((measured[Site Name]=A1150)*(measured[Date]=B1150)*ISNUMBER(measured[Measured Value (kWh)]))=0,"",SUMIFS(measured[Measured Value (kWh)],measured[Site Name],A1150,measured[Date],B1150)),"")</f>
        <v/>
      </c>
      <c r="D1150" cm="1">
        <f t="array" ref="D1150">IFERROR(IF(SUMPRODUCT((expected_production[Site Name]=A1150)*(expected_production[Date]=B1150)*ISNUMBER(expected_production[Expected Production (kWh)]))=0,"",SUMIFS(expected_production[Expected Production (kWh)],expected_production[Site Name],A1150,expected_production[Date],B1150)),"")</f>
        <v>50331.05</v>
      </c>
      <c r="E1150" s="9" t="str">
        <f t="shared" si="38"/>
        <v/>
      </c>
      <c r="F1150" t="str">
        <f t="shared" si="39"/>
        <v/>
      </c>
    </row>
    <row r="1151" spans="1:7" ht="15" customHeight="1" x14ac:dyDescent="0.3">
      <c r="A1151" t="s">
        <v>124</v>
      </c>
      <c r="B1151" s="2">
        <v>46296</v>
      </c>
      <c r="C1151" t="str" cm="1">
        <f t="array" ref="C1151">IFERROR(IF(SUMPRODUCT((measured[Site Name]=A1151)*(measured[Date]=B1151)*ISNUMBER(measured[Measured Value (kWh)]))=0,"",SUMIFS(measured[Measured Value (kWh)],measured[Site Name],A1151,measured[Date],B1151)),"")</f>
        <v/>
      </c>
      <c r="D1151" cm="1">
        <f t="array" ref="D1151">IFERROR(IF(SUMPRODUCT((expected_production[Site Name]=A1151)*(expected_production[Date]=B1151)*ISNUMBER(expected_production[Expected Production (kWh)]))=0,"",SUMIFS(expected_production[Expected Production (kWh)],expected_production[Site Name],A1151,expected_production[Date],B1151)),"")</f>
        <v>55230.45</v>
      </c>
      <c r="E1151" s="9" t="str">
        <f t="shared" si="38"/>
        <v/>
      </c>
      <c r="F1151" t="str">
        <f t="shared" si="39"/>
        <v/>
      </c>
    </row>
    <row r="1152" spans="1:7" ht="15" customHeight="1" x14ac:dyDescent="0.3">
      <c r="A1152" t="s">
        <v>124</v>
      </c>
      <c r="B1152" s="2">
        <v>46327</v>
      </c>
      <c r="C1152" t="str" cm="1">
        <f t="array" ref="C1152">IFERROR(IF(SUMPRODUCT((measured[Site Name]=A1152)*(measured[Date]=B1152)*ISNUMBER(measured[Measured Value (kWh)]))=0,"",SUMIFS(measured[Measured Value (kWh)],measured[Site Name],A1152,measured[Date],B1152)),"")</f>
        <v/>
      </c>
      <c r="D1152" cm="1">
        <f t="array" ref="D1152">IFERROR(IF(SUMPRODUCT((expected_production[Site Name]=A1152)*(expected_production[Date]=B1152)*ISNUMBER(expected_production[Expected Production (kWh)]))=0,"",SUMIFS(expected_production[Expected Production (kWh)],expected_production[Site Name],A1152,expected_production[Date],B1152)),"")</f>
        <v>56583.65</v>
      </c>
      <c r="E1152" s="9" t="str">
        <f t="shared" si="38"/>
        <v/>
      </c>
      <c r="F1152" t="str">
        <f t="shared" si="39"/>
        <v/>
      </c>
    </row>
    <row r="1153" spans="1:6" ht="15" customHeight="1" x14ac:dyDescent="0.3">
      <c r="A1153" t="s">
        <v>124</v>
      </c>
      <c r="B1153" s="2">
        <v>46357</v>
      </c>
      <c r="C1153" t="str" cm="1">
        <f t="array" ref="C1153">IFERROR(IF(SUMPRODUCT((measured[Site Name]=A1153)*(measured[Date]=B1153)*ISNUMBER(measured[Measured Value (kWh)]))=0,"",SUMIFS(measured[Measured Value (kWh)],measured[Site Name],A1153,measured[Date],B1153)),"")</f>
        <v/>
      </c>
      <c r="D1153" cm="1">
        <f t="array" ref="D1153">IFERROR(IF(SUMPRODUCT((expected_production[Site Name]=A1153)*(expected_production[Date]=B1153)*ISNUMBER(expected_production[Expected Production (kWh)]))=0,"",SUMIFS(expected_production[Expected Production (kWh)],expected_production[Site Name],A1153,expected_production[Date],B1153)),"")</f>
        <v>61075.9</v>
      </c>
      <c r="E1153" s="9" t="str">
        <f t="shared" si="38"/>
        <v/>
      </c>
      <c r="F1153" t="str">
        <f t="shared" si="39"/>
        <v/>
      </c>
    </row>
    <row r="1154" spans="1:6" ht="15" customHeight="1" x14ac:dyDescent="0.3">
      <c r="A1154" t="s">
        <v>127</v>
      </c>
      <c r="B1154" s="2">
        <v>45292</v>
      </c>
      <c r="C1154" t="str" cm="1">
        <f t="array" ref="C1154">IFERROR(IF(SUMPRODUCT((measured[Site Name]=A1154)*(measured[Date]=B1154)*ISNUMBER(measured[Measured Value (kWh)]))=0,"",SUMIFS(measured[Measured Value (kWh)],measured[Site Name],A1154,measured[Date],B1154)),"")</f>
        <v/>
      </c>
      <c r="D1154" cm="1">
        <f t="array" ref="D1154">IFERROR(IF(SUMPRODUCT((expected_production[Site Name]=A1154)*(expected_production[Date]=B1154)*ISNUMBER(expected_production[Expected Production (kWh)]))=0,"",SUMIFS(expected_production[Expected Production (kWh)],expected_production[Site Name],A1154,expected_production[Date],B1154)),"")</f>
        <v>15870.6</v>
      </c>
      <c r="E1154" s="9" t="str">
        <f t="shared" si="38"/>
        <v/>
      </c>
      <c r="F1154" t="str">
        <f t="shared" si="39"/>
        <v/>
      </c>
    </row>
    <row r="1155" spans="1:6" ht="15" customHeight="1" x14ac:dyDescent="0.3">
      <c r="A1155" t="s">
        <v>127</v>
      </c>
      <c r="B1155" s="2">
        <v>45323</v>
      </c>
      <c r="C1155" t="str" cm="1">
        <f t="array" ref="C1155">IFERROR(IF(SUMPRODUCT((measured[Site Name]=A1155)*(measured[Date]=B1155)*ISNUMBER(measured[Measured Value (kWh)]))=0,"",SUMIFS(measured[Measured Value (kWh)],measured[Site Name],A1155,measured[Date],B1155)),"")</f>
        <v/>
      </c>
      <c r="D1155" cm="1">
        <f t="array" ref="D1155">IFERROR(IF(SUMPRODUCT((expected_production[Site Name]=A1155)*(expected_production[Date]=B1155)*ISNUMBER(expected_production[Expected Production (kWh)]))=0,"",SUMIFS(expected_production[Expected Production (kWh)],expected_production[Site Name],A1155,expected_production[Date],B1155)),"")</f>
        <v>14825.7</v>
      </c>
      <c r="E1155" s="9" t="str">
        <f t="shared" si="38"/>
        <v/>
      </c>
      <c r="F1155" t="str">
        <f t="shared" si="39"/>
        <v/>
      </c>
    </row>
    <row r="1156" spans="1:6" ht="15" customHeight="1" x14ac:dyDescent="0.3">
      <c r="A1156" t="s">
        <v>127</v>
      </c>
      <c r="B1156" s="2">
        <v>45352</v>
      </c>
      <c r="C1156" t="str" cm="1">
        <f t="array" ref="C1156">IFERROR(IF(SUMPRODUCT((measured[Site Name]=A1156)*(measured[Date]=B1156)*ISNUMBER(measured[Measured Value (kWh)]))=0,"",SUMIFS(measured[Measured Value (kWh)],measured[Site Name],A1156,measured[Date],B1156)),"")</f>
        <v/>
      </c>
      <c r="D1156" cm="1">
        <f t="array" ref="D1156">IFERROR(IF(SUMPRODUCT((expected_production[Site Name]=A1156)*(expected_production[Date]=B1156)*ISNUMBER(expected_production[Expected Production (kWh)]))=0,"",SUMIFS(expected_production[Expected Production (kWh)],expected_production[Site Name],A1156,expected_production[Date],B1156)),"")</f>
        <v>17314.2</v>
      </c>
      <c r="E1156" s="9" t="str">
        <f t="shared" si="38"/>
        <v/>
      </c>
      <c r="F1156" t="str">
        <f t="shared" si="39"/>
        <v/>
      </c>
    </row>
    <row r="1157" spans="1:6" ht="15" customHeight="1" x14ac:dyDescent="0.3">
      <c r="A1157" t="s">
        <v>127</v>
      </c>
      <c r="B1157" s="2">
        <v>45383</v>
      </c>
      <c r="C1157" cm="1">
        <f t="array" ref="C1157">IFERROR(IF(SUMPRODUCT((measured[Site Name]=A1157)*(measured[Date]=B1157)*ISNUMBER(measured[Measured Value (kWh)]))=0,"",SUMIFS(measured[Measured Value (kWh)],measured[Site Name],A1157,measured[Date],B1157)),"")</f>
        <v>6916</v>
      </c>
      <c r="D1157" cm="1">
        <f t="array" ref="D1157">IFERROR(IF(SUMPRODUCT((expected_production[Site Name]=A1157)*(expected_production[Date]=B1157)*ISNUMBER(expected_production[Expected Production (kWh)]))=0,"",SUMIFS(expected_production[Expected Production (kWh)],expected_production[Site Name],A1157,expected_production[Date],B1157)),"")</f>
        <v>15358.5</v>
      </c>
      <c r="E1157" s="9">
        <f t="shared" si="38"/>
        <v>0.45030439170491909</v>
      </c>
      <c r="F1157" t="str">
        <f t="shared" si="39"/>
        <v>Poor</v>
      </c>
    </row>
    <row r="1158" spans="1:6" ht="15" customHeight="1" x14ac:dyDescent="0.3">
      <c r="A1158" t="s">
        <v>127</v>
      </c>
      <c r="B1158" s="2">
        <v>45413</v>
      </c>
      <c r="C1158" cm="1">
        <f t="array" ref="C1158">IFERROR(IF(SUMPRODUCT((measured[Site Name]=A1158)*(measured[Date]=B1158)*ISNUMBER(measured[Measured Value (kWh)]))=0,"",SUMIFS(measured[Measured Value (kWh)],measured[Site Name],A1158,measured[Date],B1158)),"")</f>
        <v>14281</v>
      </c>
      <c r="D1158" cm="1">
        <f t="array" ref="D1158">IFERROR(IF(SUMPRODUCT((expected_production[Site Name]=A1158)*(expected_production[Date]=B1158)*ISNUMBER(expected_production[Expected Production (kWh)]))=0,"",SUMIFS(expected_production[Expected Production (kWh)],expected_production[Site Name],A1158,expected_production[Date],B1158)),"")</f>
        <v>15197.4</v>
      </c>
      <c r="E1158" s="9">
        <f t="shared" si="38"/>
        <v>0.93970021187834762</v>
      </c>
      <c r="F1158" t="str">
        <f t="shared" si="39"/>
        <v>Expected</v>
      </c>
    </row>
    <row r="1159" spans="1:6" ht="15" customHeight="1" x14ac:dyDescent="0.3">
      <c r="A1159" t="s">
        <v>127</v>
      </c>
      <c r="B1159" s="2">
        <v>45444</v>
      </c>
      <c r="C1159" cm="1">
        <f t="array" ref="C1159">IFERROR(IF(SUMPRODUCT((measured[Site Name]=A1159)*(measured[Date]=B1159)*ISNUMBER(measured[Measured Value (kWh)]))=0,"",SUMIFS(measured[Measured Value (kWh)],measured[Site Name],A1159,measured[Date],B1159)),"")</f>
        <v>12149</v>
      </c>
      <c r="D1159" cm="1">
        <f t="array" ref="D1159">IFERROR(IF(SUMPRODUCT((expected_production[Site Name]=A1159)*(expected_production[Date]=B1159)*ISNUMBER(expected_production[Expected Production (kWh)]))=0,"",SUMIFS(expected_production[Expected Production (kWh)],expected_production[Site Name],A1159,expected_production[Date],B1159)),"")</f>
        <v>14489.1</v>
      </c>
      <c r="E1159" s="9">
        <f t="shared" si="38"/>
        <v>0.8384923839299887</v>
      </c>
      <c r="F1159" t="str">
        <f t="shared" si="39"/>
        <v>Moderate</v>
      </c>
    </row>
    <row r="1160" spans="1:6" ht="15" customHeight="1" x14ac:dyDescent="0.3">
      <c r="A1160" t="s">
        <v>127</v>
      </c>
      <c r="B1160" s="2">
        <v>45474</v>
      </c>
      <c r="C1160" cm="1">
        <f t="array" ref="C1160">IFERROR(IF(SUMPRODUCT((measured[Site Name]=A1160)*(measured[Date]=B1160)*ISNUMBER(measured[Measured Value (kWh)]))=0,"",SUMIFS(measured[Measured Value (kWh)],measured[Site Name],A1160,measured[Date],B1160)),"")</f>
        <v>15601</v>
      </c>
      <c r="D1160" cm="1">
        <f t="array" ref="D1160">IFERROR(IF(SUMPRODUCT((expected_production[Site Name]=A1160)*(expected_production[Date]=B1160)*ISNUMBER(expected_production[Expected Production (kWh)]))=0,"",SUMIFS(expected_production[Expected Production (kWh)],expected_production[Site Name],A1160,expected_production[Date],B1160)),"")</f>
        <v>15390.9</v>
      </c>
      <c r="E1160" s="9">
        <f t="shared" si="38"/>
        <v>1.0136509235977103</v>
      </c>
      <c r="F1160" t="str">
        <f t="shared" si="39"/>
        <v>Expected</v>
      </c>
    </row>
    <row r="1161" spans="1:6" ht="15" customHeight="1" x14ac:dyDescent="0.3">
      <c r="A1161" t="s">
        <v>127</v>
      </c>
      <c r="B1161" s="2">
        <v>45505</v>
      </c>
      <c r="C1161" cm="1">
        <f t="array" ref="C1161">IFERROR(IF(SUMPRODUCT((measured[Site Name]=A1161)*(measured[Date]=B1161)*ISNUMBER(measured[Measured Value (kWh)]))=0,"",SUMIFS(measured[Measured Value (kWh)],measured[Site Name],A1161,measured[Date],B1161)),"")</f>
        <v>7706</v>
      </c>
      <c r="D1161" cm="1">
        <f t="array" ref="D1161">IFERROR(IF(SUMPRODUCT((expected_production[Site Name]=A1161)*(expected_production[Date]=B1161)*ISNUMBER(expected_production[Expected Production (kWh)]))=0,"",SUMIFS(expected_production[Expected Production (kWh)],expected_production[Site Name],A1161,expected_production[Date],B1161)),"")</f>
        <v>15613.2</v>
      </c>
      <c r="E1161" s="9">
        <f t="shared" si="38"/>
        <v>0.49355673404555117</v>
      </c>
      <c r="F1161" t="str">
        <f t="shared" si="39"/>
        <v>Poor</v>
      </c>
    </row>
    <row r="1162" spans="1:6" ht="15" customHeight="1" x14ac:dyDescent="0.3">
      <c r="A1162" t="s">
        <v>127</v>
      </c>
      <c r="B1162" s="2">
        <v>45536</v>
      </c>
      <c r="C1162" cm="1">
        <f t="array" ref="C1162">IFERROR(IF(SUMPRODUCT((measured[Site Name]=A1162)*(measured[Date]=B1162)*ISNUMBER(measured[Measured Value (kWh)]))=0,"",SUMIFS(measured[Measured Value (kWh)],measured[Site Name],A1162,measured[Date],B1162)),"")</f>
        <v>1</v>
      </c>
      <c r="D1162" cm="1">
        <f t="array" ref="D1162">IFERROR(IF(SUMPRODUCT((expected_production[Site Name]=A1162)*(expected_production[Date]=B1162)*ISNUMBER(expected_production[Expected Production (kWh)]))=0,"",SUMIFS(expected_production[Expected Production (kWh)],expected_production[Site Name],A1162,expected_production[Date],B1162)),"")</f>
        <v>15191.1</v>
      </c>
      <c r="E1162" s="9">
        <f t="shared" si="38"/>
        <v>6.5828017720902362E-5</v>
      </c>
      <c r="F1162" t="str">
        <f t="shared" si="39"/>
        <v>Poor</v>
      </c>
    </row>
    <row r="1163" spans="1:6" ht="15" customHeight="1" x14ac:dyDescent="0.3">
      <c r="A1163" t="s">
        <v>127</v>
      </c>
      <c r="B1163" s="2">
        <v>45566</v>
      </c>
      <c r="C1163" cm="1">
        <f t="array" ref="C1163">IFERROR(IF(SUMPRODUCT((measured[Site Name]=A1163)*(measured[Date]=B1163)*ISNUMBER(measured[Measured Value (kWh)]))=0,"",SUMIFS(measured[Measured Value (kWh)],measured[Site Name],A1163,measured[Date],B1163)),"")</f>
        <v>7310</v>
      </c>
      <c r="D1163" cm="1">
        <f t="array" ref="D1163">IFERROR(IF(SUMPRODUCT((expected_production[Site Name]=A1163)*(expected_production[Date]=B1163)*ISNUMBER(expected_production[Expected Production (kWh)]))=0,"",SUMIFS(expected_production[Expected Production (kWh)],expected_production[Site Name],A1163,expected_production[Date],B1163)),"")</f>
        <v>14349.6</v>
      </c>
      <c r="E1163" s="9">
        <f t="shared" si="38"/>
        <v>0.50942186541785139</v>
      </c>
      <c r="F1163" t="str">
        <f t="shared" si="39"/>
        <v>Poor</v>
      </c>
    </row>
    <row r="1164" spans="1:6" ht="15" customHeight="1" x14ac:dyDescent="0.3">
      <c r="A1164" t="s">
        <v>127</v>
      </c>
      <c r="B1164" s="2">
        <v>45597</v>
      </c>
      <c r="C1164" cm="1">
        <f t="array" ref="C1164">IFERROR(IF(SUMPRODUCT((measured[Site Name]=A1164)*(measured[Date]=B1164)*ISNUMBER(measured[Measured Value (kWh)]))=0,"",SUMIFS(measured[Measured Value (kWh)],measured[Site Name],A1164,measured[Date],B1164)),"")</f>
        <v>13770</v>
      </c>
      <c r="D1164" cm="1">
        <f t="array" ref="D1164">IFERROR(IF(SUMPRODUCT((expected_production[Site Name]=A1164)*(expected_production[Date]=B1164)*ISNUMBER(expected_production[Expected Production (kWh)]))=0,"",SUMIFS(expected_production[Expected Production (kWh)],expected_production[Site Name],A1164,expected_production[Date],B1164)),"")</f>
        <v>13257.9</v>
      </c>
      <c r="E1164" s="9">
        <f t="shared" si="38"/>
        <v>1.0386260267463172</v>
      </c>
      <c r="F1164" t="str">
        <f t="shared" si="39"/>
        <v>Expected</v>
      </c>
    </row>
    <row r="1165" spans="1:6" ht="15" customHeight="1" x14ac:dyDescent="0.3">
      <c r="A1165" t="s">
        <v>127</v>
      </c>
      <c r="B1165" s="2">
        <v>45627</v>
      </c>
      <c r="C1165" t="str" cm="1">
        <f t="array" ref="C1165">IFERROR(IF(SUMPRODUCT((measured[Site Name]=A1165)*(measured[Date]=B1165)*ISNUMBER(measured[Measured Value (kWh)]))=0,"",SUMIFS(measured[Measured Value (kWh)],measured[Site Name],A1165,measured[Date],B1165)),"")</f>
        <v/>
      </c>
      <c r="D1165" cm="1">
        <f t="array" ref="D1165">IFERROR(IF(SUMPRODUCT((expected_production[Site Name]=A1165)*(expected_production[Date]=B1165)*ISNUMBER(expected_production[Expected Production (kWh)]))=0,"",SUMIFS(expected_production[Expected Production (kWh)],expected_production[Site Name],A1165,expected_production[Date],B1165)),"")</f>
        <v>13839.3</v>
      </c>
      <c r="E1165" s="9" t="str">
        <f t="shared" si="38"/>
        <v/>
      </c>
      <c r="F1165" t="str">
        <f t="shared" si="39"/>
        <v/>
      </c>
    </row>
    <row r="1166" spans="1:6" ht="15" customHeight="1" x14ac:dyDescent="0.3">
      <c r="A1166" t="s">
        <v>127</v>
      </c>
      <c r="B1166" s="2">
        <v>45658</v>
      </c>
      <c r="C1166" cm="1">
        <f t="array" ref="C1166">IFERROR(IF(SUMPRODUCT((measured[Site Name]=A1166)*(measured[Date]=B1166)*ISNUMBER(measured[Measured Value (kWh)]))=0,"",SUMIFS(measured[Measured Value (kWh)],measured[Site Name],A1166,measured[Date],B1166)),"")</f>
        <v>4700</v>
      </c>
      <c r="D1166" cm="1">
        <f t="array" ref="D1166">IFERROR(IF(SUMPRODUCT((expected_production[Site Name]=A1166)*(expected_production[Date]=B1166)*ISNUMBER(expected_production[Expected Production (kWh)]))=0,"",SUMIFS(expected_production[Expected Production (kWh)],expected_production[Site Name],A1166,expected_production[Date],B1166)),"")</f>
        <v>15870.6</v>
      </c>
      <c r="E1166" s="9">
        <f t="shared" si="38"/>
        <v>0.29614507328015321</v>
      </c>
      <c r="F1166" t="str">
        <f t="shared" si="39"/>
        <v>Poor</v>
      </c>
    </row>
    <row r="1167" spans="1:6" ht="15" customHeight="1" x14ac:dyDescent="0.3">
      <c r="A1167" t="s">
        <v>127</v>
      </c>
      <c r="B1167" s="2">
        <v>45689</v>
      </c>
      <c r="C1167" cm="1">
        <f t="array" ref="C1167">IFERROR(IF(SUMPRODUCT((measured[Site Name]=A1167)*(measured[Date]=B1167)*ISNUMBER(measured[Measured Value (kWh)]))=0,"",SUMIFS(measured[Measured Value (kWh)],measured[Site Name],A1167,measured[Date],B1167)),"")</f>
        <v>12300</v>
      </c>
      <c r="D1167" cm="1">
        <f t="array" ref="D1167">IFERROR(IF(SUMPRODUCT((expected_production[Site Name]=A1167)*(expected_production[Date]=B1167)*ISNUMBER(expected_production[Expected Production (kWh)]))=0,"",SUMIFS(expected_production[Expected Production (kWh)],expected_production[Site Name],A1167,expected_production[Date],B1167)),"")</f>
        <v>14825.7</v>
      </c>
      <c r="E1167" s="9">
        <f t="shared" si="38"/>
        <v>0.82964042170015573</v>
      </c>
      <c r="F1167" t="str">
        <f t="shared" si="39"/>
        <v>Moderate</v>
      </c>
    </row>
    <row r="1168" spans="1:6" ht="15" customHeight="1" x14ac:dyDescent="0.3">
      <c r="A1168" t="s">
        <v>127</v>
      </c>
      <c r="B1168" s="2">
        <v>45717</v>
      </c>
      <c r="C1168" cm="1">
        <f t="array" ref="C1168">IFERROR(IF(SUMPRODUCT((measured[Site Name]=A1168)*(measured[Date]=B1168)*ISNUMBER(measured[Measured Value (kWh)]))=0,"",SUMIFS(measured[Measured Value (kWh)],measured[Site Name],A1168,measured[Date],B1168)),"")</f>
        <v>13554</v>
      </c>
      <c r="D1168" cm="1">
        <f t="array" ref="D1168">IFERROR(IF(SUMPRODUCT((expected_production[Site Name]=A1168)*(expected_production[Date]=B1168)*ISNUMBER(expected_production[Expected Production (kWh)]))=0,"",SUMIFS(expected_production[Expected Production (kWh)],expected_production[Site Name],A1168,expected_production[Date],B1168)),"")</f>
        <v>17314.2</v>
      </c>
      <c r="E1168" s="9">
        <f t="shared" si="38"/>
        <v>0.78282565755276012</v>
      </c>
      <c r="F1168" t="str">
        <f t="shared" si="39"/>
        <v>Moderate</v>
      </c>
    </row>
    <row r="1169" spans="1:7" ht="15" customHeight="1" x14ac:dyDescent="0.3">
      <c r="A1169" t="s">
        <v>127</v>
      </c>
      <c r="B1169" s="2">
        <v>45748</v>
      </c>
      <c r="C1169" cm="1">
        <f t="array" ref="C1169">IFERROR(IF(SUMPRODUCT((measured[Site Name]=A1169)*(measured[Date]=B1169)*ISNUMBER(measured[Measured Value (kWh)]))=0,"",SUMIFS(measured[Measured Value (kWh)],measured[Site Name],A1169,measured[Date],B1169)),"")</f>
        <v>9839</v>
      </c>
      <c r="D1169" cm="1">
        <f t="array" ref="D1169">IFERROR(IF(SUMPRODUCT((expected_production[Site Name]=A1169)*(expected_production[Date]=B1169)*ISNUMBER(expected_production[Expected Production (kWh)]))=0,"",SUMIFS(expected_production[Expected Production (kWh)],expected_production[Site Name],A1169,expected_production[Date],B1169)),"")</f>
        <v>15358.5</v>
      </c>
      <c r="E1169" s="9">
        <f t="shared" si="38"/>
        <v>0.64062245662011263</v>
      </c>
      <c r="F1169" t="str">
        <f t="shared" si="39"/>
        <v>Poor</v>
      </c>
    </row>
    <row r="1170" spans="1:7" ht="15" customHeight="1" x14ac:dyDescent="0.3">
      <c r="A1170" t="s">
        <v>127</v>
      </c>
      <c r="B1170" s="2">
        <v>45778</v>
      </c>
      <c r="C1170" t="str" cm="1">
        <f t="array" ref="C1170">IFERROR(IF(SUMPRODUCT((measured[Site Name]=A1170)*(measured[Date]=B1170)*ISNUMBER(measured[Measured Value (kWh)]))=0,"",SUMIFS(measured[Measured Value (kWh)],measured[Site Name],A1170,measured[Date],B1170)),"")</f>
        <v/>
      </c>
      <c r="D1170" cm="1">
        <f t="array" ref="D1170">IFERROR(IF(SUMPRODUCT((expected_production[Site Name]=A1170)*(expected_production[Date]=B1170)*ISNUMBER(expected_production[Expected Production (kWh)]))=0,"",SUMIFS(expected_production[Expected Production (kWh)],expected_production[Site Name],A1170,expected_production[Date],B1170)),"")</f>
        <v>15197.4</v>
      </c>
      <c r="E1170" s="9" t="str">
        <f t="shared" si="38"/>
        <v/>
      </c>
      <c r="F1170" t="str">
        <f t="shared" si="39"/>
        <v/>
      </c>
    </row>
    <row r="1171" spans="1:7" ht="15" customHeight="1" x14ac:dyDescent="0.3">
      <c r="A1171" t="s">
        <v>127</v>
      </c>
      <c r="B1171" s="2">
        <v>45809</v>
      </c>
      <c r="C1171" cm="1">
        <f t="array" ref="C1171">IFERROR(IF(SUMPRODUCT((measured[Site Name]=A1171)*(measured[Date]=B1171)*ISNUMBER(measured[Measured Value (kWh)]))=0,"",SUMIFS(measured[Measured Value (kWh)],measured[Site Name],A1171,measured[Date],B1171)),"")</f>
        <v>12605.8</v>
      </c>
      <c r="D1171" cm="1">
        <f t="array" ref="D1171">IFERROR(IF(SUMPRODUCT((expected_production[Site Name]=A1171)*(expected_production[Date]=B1171)*ISNUMBER(expected_production[Expected Production (kWh)]))=0,"",SUMIFS(expected_production[Expected Production (kWh)],expected_production[Site Name],A1171,expected_production[Date],B1171)),"")</f>
        <v>14489.1</v>
      </c>
      <c r="E1171" s="9">
        <f t="shared" si="38"/>
        <v>0.87001953192399795</v>
      </c>
      <c r="F1171" t="str">
        <f t="shared" si="39"/>
        <v>Moderate</v>
      </c>
    </row>
    <row r="1172" spans="1:7" ht="15" customHeight="1" x14ac:dyDescent="0.3">
      <c r="A1172" t="s">
        <v>127</v>
      </c>
      <c r="B1172" s="2">
        <v>45839</v>
      </c>
      <c r="C1172" cm="1">
        <f t="array" ref="C1172">IFERROR(IF(SUMPRODUCT((measured[Site Name]=A1172)*(measured[Date]=B1172)*ISNUMBER(measured[Measured Value (kWh)]))=0,"",SUMIFS(measured[Measured Value (kWh)],measured[Site Name],A1172,measured[Date],B1172)),"")</f>
        <v>8064</v>
      </c>
      <c r="D1172" cm="1">
        <f t="array" ref="D1172">IFERROR(IF(SUMPRODUCT((expected_production[Site Name]=A1172)*(expected_production[Date]=B1172)*ISNUMBER(expected_production[Expected Production (kWh)]))=0,"",SUMIFS(expected_production[Expected Production (kWh)],expected_production[Site Name],A1172,expected_production[Date],B1172)),"")</f>
        <v>15390.9</v>
      </c>
      <c r="E1172" s="9">
        <f t="shared" si="38"/>
        <v>0.52394596807204263</v>
      </c>
      <c r="F1172" t="str">
        <f t="shared" si="39"/>
        <v>Poor</v>
      </c>
    </row>
    <row r="1173" spans="1:7" ht="15" customHeight="1" x14ac:dyDescent="0.3">
      <c r="A1173" t="s">
        <v>127</v>
      </c>
      <c r="B1173" s="2">
        <v>45870</v>
      </c>
      <c r="C1173" cm="1">
        <f t="array" ref="C1173">IFERROR(IF(SUMPRODUCT((measured[Site Name]=A1173)*(measured[Date]=B1173)*ISNUMBER(measured[Measured Value (kWh)]))=0,"",SUMIFS(measured[Measured Value (kWh)],measured[Site Name],A1173,measured[Date],B1173)),"")</f>
        <v>13494</v>
      </c>
      <c r="D1173" cm="1">
        <f t="array" ref="D1173">IFERROR(IF(SUMPRODUCT((expected_production[Site Name]=A1173)*(expected_production[Date]=B1173)*ISNUMBER(expected_production[Expected Production (kWh)]))=0,"",SUMIFS(expected_production[Expected Production (kWh)],expected_production[Site Name],A1173,expected_production[Date],B1173)),"")</f>
        <v>15613.2</v>
      </c>
      <c r="E1173" s="9">
        <f t="shared" si="38"/>
        <v>0.864268695719007</v>
      </c>
      <c r="F1173" t="str">
        <f t="shared" si="39"/>
        <v>Moderate</v>
      </c>
    </row>
    <row r="1174" spans="1:7" ht="15" customHeight="1" x14ac:dyDescent="0.3">
      <c r="A1174" t="s">
        <v>127</v>
      </c>
      <c r="B1174" s="2">
        <v>45901</v>
      </c>
      <c r="C1174" cm="1">
        <f t="array" ref="C1174">IFERROR(IF(SUMPRODUCT((measured[Site Name]=A1174)*(measured[Date]=B1174)*ISNUMBER(measured[Measured Value (kWh)]))=0,"",SUMIFS(measured[Measured Value (kWh)],measured[Site Name],A1174,measured[Date],B1174)),"")</f>
        <v>11744.7</v>
      </c>
      <c r="D1174" cm="1">
        <f t="array" ref="D1174">IFERROR(IF(SUMPRODUCT((expected_production[Site Name]=A1174)*(expected_production[Date]=B1174)*ISNUMBER(expected_production[Expected Production (kWh)]))=0,"",SUMIFS(expected_production[Expected Production (kWh)],expected_production[Site Name],A1174,expected_production[Date],B1174)),"")</f>
        <v>15191.1</v>
      </c>
      <c r="E1174" s="9">
        <f t="shared" si="38"/>
        <v>0.77313031972668211</v>
      </c>
      <c r="F1174" t="str">
        <f t="shared" si="39"/>
        <v>Moderate</v>
      </c>
    </row>
    <row r="1175" spans="1:7" ht="15" customHeight="1" x14ac:dyDescent="0.3">
      <c r="A1175" t="s">
        <v>127</v>
      </c>
      <c r="B1175" s="2">
        <v>45931</v>
      </c>
      <c r="C1175" cm="1">
        <f t="array" ref="C1175">IFERROR(IF(SUMPRODUCT((measured[Site Name]=A1175)*(measured[Date]=B1175)*ISNUMBER(measured[Measured Value (kWh)]))=0,"",SUMIFS(measured[Measured Value (kWh)],measured[Site Name],A1175,measured[Date],B1175)),"")</f>
        <v>13202</v>
      </c>
      <c r="D1175" cm="1">
        <f t="array" ref="D1175">IFERROR(IF(SUMPRODUCT((expected_production[Site Name]=A1175)*(expected_production[Date]=B1175)*ISNUMBER(expected_production[Expected Production (kWh)]))=0,"",SUMIFS(expected_production[Expected Production (kWh)],expected_production[Site Name],A1175,expected_production[Date],B1175)),"")</f>
        <v>14349.6</v>
      </c>
      <c r="E1175" s="9">
        <f t="shared" si="38"/>
        <v>0.92002564531415509</v>
      </c>
      <c r="F1175" t="str">
        <f t="shared" si="39"/>
        <v>Expected</v>
      </c>
    </row>
    <row r="1176" spans="1:7" ht="15" customHeight="1" x14ac:dyDescent="0.3">
      <c r="A1176" t="s">
        <v>127</v>
      </c>
      <c r="B1176" s="2">
        <v>45962</v>
      </c>
      <c r="C1176" cm="1">
        <f t="array" ref="C1176">IFERROR(IF(SUMPRODUCT((measured[Site Name]=A1176)*(measured[Date]=B1176)*ISNUMBER(measured[Measured Value (kWh)]))=0,"",SUMIFS(measured[Measured Value (kWh)],measured[Site Name],A1176,measured[Date],B1176)),"")</f>
        <v>10765</v>
      </c>
      <c r="D1176" cm="1">
        <f t="array" ref="D1176">IFERROR(IF(SUMPRODUCT((expected_production[Site Name]=A1176)*(expected_production[Date]=B1176)*ISNUMBER(expected_production[Expected Production (kWh)]))=0,"",SUMIFS(expected_production[Expected Production (kWh)],expected_production[Site Name],A1176,expected_production[Date],B1176)),"")</f>
        <v>13257.9</v>
      </c>
      <c r="E1176" s="9">
        <f t="shared" si="38"/>
        <v>0.81196871299376228</v>
      </c>
      <c r="F1176" t="str">
        <f t="shared" si="39"/>
        <v>Moderate</v>
      </c>
    </row>
    <row r="1177" spans="1:7" ht="15" customHeight="1" x14ac:dyDescent="0.3">
      <c r="A1177" t="s">
        <v>127</v>
      </c>
      <c r="B1177" s="2">
        <v>45992</v>
      </c>
      <c r="C1177" cm="1">
        <f t="array" ref="C1177">IFERROR(IF(SUMPRODUCT((measured[Site Name]=A1177)*(measured[Date]=B1177)*ISNUMBER(measured[Measured Value (kWh)]))=0,"",SUMIFS(measured[Measured Value (kWh)],measured[Site Name],A1177,measured[Date],B1177)),"")</f>
        <v>13231</v>
      </c>
      <c r="D1177" cm="1">
        <f t="array" ref="D1177">IFERROR(IF(SUMPRODUCT((expected_production[Site Name]=A1177)*(expected_production[Date]=B1177)*ISNUMBER(expected_production[Expected Production (kWh)]))=0,"",SUMIFS(expected_production[Expected Production (kWh)],expected_production[Site Name],A1177,expected_production[Date],B1177)),"")</f>
        <v>13839.3</v>
      </c>
      <c r="E1177" s="9">
        <f t="shared" si="38"/>
        <v>0.95604546472726226</v>
      </c>
      <c r="F1177" t="str">
        <f t="shared" si="39"/>
        <v>Expected</v>
      </c>
    </row>
    <row r="1178" spans="1:7" ht="15" customHeight="1" x14ac:dyDescent="0.3">
      <c r="A1178" t="s">
        <v>127</v>
      </c>
      <c r="B1178" s="2">
        <v>46023</v>
      </c>
      <c r="C1178" cm="1">
        <f t="array" ref="C1178">IFERROR(IF(SUMPRODUCT((measured[Site Name]=A1178)*(measured[Date]=B1178)*ISNUMBER(measured[Measured Value (kWh)]))=0,"",SUMIFS(measured[Measured Value (kWh)],measured[Site Name],A1178,measured[Date],B1178)),"")</f>
        <v>11720.01</v>
      </c>
      <c r="D1178" cm="1">
        <f t="array" ref="D1178">IFERROR(IF(SUMPRODUCT((expected_production[Site Name]=A1178)*(expected_production[Date]=B1178)*ISNUMBER(expected_production[Expected Production (kWh)]))=0,"",SUMIFS(expected_production[Expected Production (kWh)],expected_production[Site Name],A1178,expected_production[Date],B1178)),"")</f>
        <v>15870.6</v>
      </c>
      <c r="E1178" s="9">
        <f t="shared" si="38"/>
        <v>0.73847302559449546</v>
      </c>
      <c r="F1178" t="str">
        <f t="shared" si="39"/>
        <v>Moderate</v>
      </c>
    </row>
    <row r="1179" spans="1:7" ht="15" customHeight="1" x14ac:dyDescent="0.3">
      <c r="A1179" t="s">
        <v>127</v>
      </c>
      <c r="B1179" s="2">
        <v>46054</v>
      </c>
      <c r="C1179" cm="1">
        <f t="array" ref="C1179">IFERROR(IF(SUMPRODUCT((measured[Site Name]=A1179)*(measured[Date]=B1179)*ISNUMBER(measured[Measured Value (kWh)]))=0,"",SUMIFS(measured[Measured Value (kWh)],measured[Site Name],A1179,measured[Date],B1179)),"")</f>
        <v>15533</v>
      </c>
      <c r="D1179" cm="1">
        <f t="array" ref="D1179">IFERROR(IF(SUMPRODUCT((expected_production[Site Name]=A1179)*(expected_production[Date]=B1179)*ISNUMBER(expected_production[Expected Production (kWh)]))=0,"",SUMIFS(expected_production[Expected Production (kWh)],expected_production[Site Name],A1179,expected_production[Date],B1179)),"")</f>
        <v>14825.7</v>
      </c>
      <c r="E1179" s="9">
        <f t="shared" si="38"/>
        <v>1.0477076967697982</v>
      </c>
      <c r="F1179" t="str">
        <f t="shared" si="39"/>
        <v>Expected</v>
      </c>
    </row>
    <row r="1180" spans="1:7" ht="15" customHeight="1" x14ac:dyDescent="0.3">
      <c r="A1180" t="s">
        <v>127</v>
      </c>
      <c r="B1180" s="2">
        <v>46082</v>
      </c>
      <c r="C1180" cm="1">
        <f t="array" ref="C1180">IFERROR(IF(SUMPRODUCT((measured[Site Name]=A1180)*(measured[Date]=B1180)*ISNUMBER(measured[Measured Value (kWh)]))=0,"",SUMIFS(measured[Measured Value (kWh)],measured[Site Name],A1180,measured[Date],B1180)),"")</f>
        <v>12559</v>
      </c>
      <c r="D1180" cm="1">
        <f t="array" ref="D1180">IFERROR(IF(SUMPRODUCT((expected_production[Site Name]=A1180)*(expected_production[Date]=B1180)*ISNUMBER(expected_production[Expected Production (kWh)]))=0,"",SUMIFS(expected_production[Expected Production (kWh)],expected_production[Site Name],A1180,expected_production[Date],B1180)),"")</f>
        <v>17314.2</v>
      </c>
      <c r="E1180" s="9">
        <f t="shared" si="38"/>
        <v>0.72535837636159917</v>
      </c>
      <c r="F1180" t="str">
        <f t="shared" si="39"/>
        <v>Moderate</v>
      </c>
    </row>
    <row r="1181" spans="1:7" ht="15" customHeight="1" x14ac:dyDescent="0.3">
      <c r="A1181" t="s">
        <v>127</v>
      </c>
      <c r="B1181" s="2">
        <v>46113</v>
      </c>
      <c r="C1181" cm="1">
        <f t="array" ref="C1181">IFERROR(IF(SUMPRODUCT((measured[Site Name]=A1181)*(measured[Date]=B1181)*ISNUMBER(measured[Measured Value (kWh)]))=0,"",SUMIFS(measured[Measured Value (kWh)],measured[Site Name],A1181,measured[Date],B1181)),"")</f>
        <v>11577.01</v>
      </c>
      <c r="D1181" cm="1">
        <f t="array" ref="D1181">IFERROR(IF(SUMPRODUCT((expected_production[Site Name]=A1181)*(expected_production[Date]=B1181)*ISNUMBER(expected_production[Expected Production (kWh)]))=0,"",SUMIFS(expected_production[Expected Production (kWh)],expected_production[Site Name],A1181,expected_production[Date],B1181)),"")</f>
        <v>15358.5</v>
      </c>
      <c r="E1181" s="9">
        <f t="shared" si="38"/>
        <v>0.75378520037764107</v>
      </c>
      <c r="F1181" t="str">
        <f t="shared" si="39"/>
        <v>Moderate</v>
      </c>
    </row>
    <row r="1182" spans="1:7" ht="15" customHeight="1" x14ac:dyDescent="0.3">
      <c r="A1182" t="s">
        <v>127</v>
      </c>
      <c r="B1182" s="2">
        <v>46143</v>
      </c>
      <c r="C1182" cm="1">
        <f t="array" ref="C1182">IFERROR(IF(SUMPRODUCT((measured[Site Name]=A1182)*(measured[Date]=B1182)*ISNUMBER(measured[Measured Value (kWh)]))=0,"",SUMIFS(measured[Measured Value (kWh)],measured[Site Name],A1182,measured[Date],B1182)),"")</f>
        <v>13966.89</v>
      </c>
      <c r="D1182" cm="1">
        <f t="array" ref="D1182">IFERROR(IF(SUMPRODUCT((expected_production[Site Name]=A1182)*(expected_production[Date]=B1182)*ISNUMBER(expected_production[Expected Production (kWh)]))=0,"",SUMIFS(expected_production[Expected Production (kWh)],expected_production[Site Name],A1182,expected_production[Date],B1182)),"")</f>
        <v>15197.4</v>
      </c>
      <c r="E1182" s="9">
        <f t="shared" si="38"/>
        <v>0.9190315448695171</v>
      </c>
      <c r="F1182" t="str">
        <f t="shared" si="39"/>
        <v>Expected</v>
      </c>
    </row>
    <row r="1183" spans="1:7" ht="15" customHeight="1" x14ac:dyDescent="0.3">
      <c r="A1183" t="s">
        <v>127</v>
      </c>
      <c r="B1183" s="2">
        <v>46174</v>
      </c>
      <c r="C1183" cm="1">
        <f t="array" ref="C1183">IFERROR(IF(SUMPRODUCT((measured[Site Name]=A1183)*(measured[Date]=B1183)*ISNUMBER(measured[Measured Value (kWh)]))=0,"",SUMIFS(measured[Measured Value (kWh)],measured[Site Name],A1183,measured[Date],B1183)),"")</f>
        <v>11309.7</v>
      </c>
      <c r="D1183" cm="1">
        <f t="array" ref="D1183">IFERROR(IF(SUMPRODUCT((expected_production[Site Name]=A1183)*(expected_production[Date]=B1183)*ISNUMBER(expected_production[Expected Production (kWh)]))=0,"",SUMIFS(expected_production[Expected Production (kWh)],expected_production[Site Name],A1183,expected_production[Date],B1183)),"")</f>
        <v>14489.1</v>
      </c>
      <c r="E1183" s="9">
        <f t="shared" si="38"/>
        <v>0.78056608070894673</v>
      </c>
      <c r="F1183" t="str">
        <f t="shared" si="39"/>
        <v>Moderate</v>
      </c>
    </row>
    <row r="1184" spans="1:7" ht="15" customHeight="1" x14ac:dyDescent="0.3">
      <c r="A1184" t="s">
        <v>236</v>
      </c>
      <c r="B1184" s="2">
        <v>46204</v>
      </c>
      <c r="C1184" cm="1">
        <f t="array" ref="C1184">IFERROR(IF(SUMPRODUCT((measured[Site Name]=A1184)*(measured[Date]=B1184)*ISNUMBER(measured[Measured Value (kWh)]))=0,"",SUMIFS(measured[Measured Value (kWh)],measured[Site Name],A1184,measured[Date],B1184)),"")</f>
        <v>6010.4031999999997</v>
      </c>
      <c r="D1184" cm="1">
        <f t="array" ref="D1184">IFERROR(IF(SUMPRODUCT((expected_production[Site Name]=A1184)*(expected_production[Date]=B1184)*ISNUMBER(expected_production[Expected Production (kWh)]))=0,"",SUMIFS(expected_production[Expected Production (kWh)],expected_production[Site Name],A1184,expected_production[Date],B1184)),"")</f>
        <v>0</v>
      </c>
      <c r="E1184" s="9" t="str">
        <f t="shared" si="38"/>
        <v/>
      </c>
      <c r="F1184" t="str">
        <f t="shared" si="39"/>
        <v/>
      </c>
      <c r="G1184" t="s">
        <v>874</v>
      </c>
    </row>
    <row r="1185" spans="1:6" ht="15" customHeight="1" x14ac:dyDescent="0.3">
      <c r="A1185" t="s">
        <v>127</v>
      </c>
      <c r="B1185" s="2">
        <v>46235</v>
      </c>
      <c r="C1185" t="str" cm="1">
        <f t="array" ref="C1185">IFERROR(IF(SUMPRODUCT((measured[Site Name]=A1185)*(measured[Date]=B1185)*ISNUMBER(measured[Measured Value (kWh)]))=0,"",SUMIFS(measured[Measured Value (kWh)],measured[Site Name],A1185,measured[Date],B1185)),"")</f>
        <v/>
      </c>
      <c r="D1185" cm="1">
        <f t="array" ref="D1185">IFERROR(IF(SUMPRODUCT((expected_production[Site Name]=A1185)*(expected_production[Date]=B1185)*ISNUMBER(expected_production[Expected Production (kWh)]))=0,"",SUMIFS(expected_production[Expected Production (kWh)],expected_production[Site Name],A1185,expected_production[Date],B1185)),"")</f>
        <v>15613.2</v>
      </c>
      <c r="E1185" s="9" t="str">
        <f t="shared" si="38"/>
        <v/>
      </c>
      <c r="F1185" t="str">
        <f t="shared" si="39"/>
        <v/>
      </c>
    </row>
    <row r="1186" spans="1:6" ht="15" customHeight="1" x14ac:dyDescent="0.3">
      <c r="A1186" t="s">
        <v>127</v>
      </c>
      <c r="B1186" s="2">
        <v>46266</v>
      </c>
      <c r="C1186" t="str" cm="1">
        <f t="array" ref="C1186">IFERROR(IF(SUMPRODUCT((measured[Site Name]=A1186)*(measured[Date]=B1186)*ISNUMBER(measured[Measured Value (kWh)]))=0,"",SUMIFS(measured[Measured Value (kWh)],measured[Site Name],A1186,measured[Date],B1186)),"")</f>
        <v/>
      </c>
      <c r="D1186" cm="1">
        <f t="array" ref="D1186">IFERROR(IF(SUMPRODUCT((expected_production[Site Name]=A1186)*(expected_production[Date]=B1186)*ISNUMBER(expected_production[Expected Production (kWh)]))=0,"",SUMIFS(expected_production[Expected Production (kWh)],expected_production[Site Name],A1186,expected_production[Date],B1186)),"")</f>
        <v>15191.1</v>
      </c>
      <c r="E1186" s="9" t="str">
        <f t="shared" si="38"/>
        <v/>
      </c>
      <c r="F1186" t="str">
        <f t="shared" si="39"/>
        <v/>
      </c>
    </row>
    <row r="1187" spans="1:6" ht="15" customHeight="1" x14ac:dyDescent="0.3">
      <c r="A1187" t="s">
        <v>127</v>
      </c>
      <c r="B1187" s="2">
        <v>46296</v>
      </c>
      <c r="C1187" t="str" cm="1">
        <f t="array" ref="C1187">IFERROR(IF(SUMPRODUCT((measured[Site Name]=A1187)*(measured[Date]=B1187)*ISNUMBER(measured[Measured Value (kWh)]))=0,"",SUMIFS(measured[Measured Value (kWh)],measured[Site Name],A1187,measured[Date],B1187)),"")</f>
        <v/>
      </c>
      <c r="D1187" cm="1">
        <f t="array" ref="D1187">IFERROR(IF(SUMPRODUCT((expected_production[Site Name]=A1187)*(expected_production[Date]=B1187)*ISNUMBER(expected_production[Expected Production (kWh)]))=0,"",SUMIFS(expected_production[Expected Production (kWh)],expected_production[Site Name],A1187,expected_production[Date],B1187)),"")</f>
        <v>14349.6</v>
      </c>
      <c r="E1187" s="9" t="str">
        <f t="shared" si="38"/>
        <v/>
      </c>
      <c r="F1187" t="str">
        <f t="shared" si="39"/>
        <v/>
      </c>
    </row>
    <row r="1188" spans="1:6" ht="15" customHeight="1" x14ac:dyDescent="0.3">
      <c r="A1188" t="s">
        <v>127</v>
      </c>
      <c r="B1188" s="2">
        <v>46327</v>
      </c>
      <c r="C1188" t="str" cm="1">
        <f t="array" ref="C1188">IFERROR(IF(SUMPRODUCT((measured[Site Name]=A1188)*(measured[Date]=B1188)*ISNUMBER(measured[Measured Value (kWh)]))=0,"",SUMIFS(measured[Measured Value (kWh)],measured[Site Name],A1188,measured[Date],B1188)),"")</f>
        <v/>
      </c>
      <c r="D1188" cm="1">
        <f t="array" ref="D1188">IFERROR(IF(SUMPRODUCT((expected_production[Site Name]=A1188)*(expected_production[Date]=B1188)*ISNUMBER(expected_production[Expected Production (kWh)]))=0,"",SUMIFS(expected_production[Expected Production (kWh)],expected_production[Site Name],A1188,expected_production[Date],B1188)),"")</f>
        <v>13257.9</v>
      </c>
      <c r="E1188" s="9" t="str">
        <f t="shared" si="38"/>
        <v/>
      </c>
      <c r="F1188" t="str">
        <f t="shared" si="39"/>
        <v/>
      </c>
    </row>
    <row r="1189" spans="1:6" ht="15" customHeight="1" x14ac:dyDescent="0.3">
      <c r="A1189" t="s">
        <v>127</v>
      </c>
      <c r="B1189" s="2">
        <v>46357</v>
      </c>
      <c r="C1189" t="str" cm="1">
        <f t="array" ref="C1189">IFERROR(IF(SUMPRODUCT((measured[Site Name]=A1189)*(measured[Date]=B1189)*ISNUMBER(measured[Measured Value (kWh)]))=0,"",SUMIFS(measured[Measured Value (kWh)],measured[Site Name],A1189,measured[Date],B1189)),"")</f>
        <v/>
      </c>
      <c r="D1189" cm="1">
        <f t="array" ref="D1189">IFERROR(IF(SUMPRODUCT((expected_production[Site Name]=A1189)*(expected_production[Date]=B1189)*ISNUMBER(expected_production[Expected Production (kWh)]))=0,"",SUMIFS(expected_production[Expected Production (kWh)],expected_production[Site Name],A1189,expected_production[Date],B1189)),"")</f>
        <v>13839.3</v>
      </c>
      <c r="E1189" s="9" t="str">
        <f t="shared" si="38"/>
        <v/>
      </c>
      <c r="F1189" t="str">
        <f t="shared" si="39"/>
        <v/>
      </c>
    </row>
    <row r="1190" spans="1:6" ht="15" customHeight="1" x14ac:dyDescent="0.3">
      <c r="A1190" t="s">
        <v>234</v>
      </c>
      <c r="B1190" s="2">
        <v>45292</v>
      </c>
      <c r="C1190" t="str" cm="1">
        <f t="array" ref="C1190">IFERROR(IF(SUMPRODUCT((measured[Site Name]=A1190)*(measured[Date]=B1190)*ISNUMBER(measured[Measured Value (kWh)]))=0,"",SUMIFS(measured[Measured Value (kWh)],measured[Site Name],A1190,measured[Date],B1190)),"")</f>
        <v/>
      </c>
      <c r="D1190" cm="1">
        <f t="array" ref="D1190">IFERROR(IF(SUMPRODUCT((expected_production[Site Name]=A1190)*(expected_production[Date]=B1190)*ISNUMBER(expected_production[Expected Production (kWh)]))=0,"",SUMIFS(expected_production[Expected Production (kWh)],expected_production[Site Name],A1190,expected_production[Date],B1190)),"")</f>
        <v>53361.9</v>
      </c>
      <c r="E1190" s="9" t="str">
        <f t="shared" si="38"/>
        <v/>
      </c>
      <c r="F1190" t="str">
        <f t="shared" si="39"/>
        <v/>
      </c>
    </row>
    <row r="1191" spans="1:6" ht="15" customHeight="1" x14ac:dyDescent="0.3">
      <c r="A1191" t="s">
        <v>234</v>
      </c>
      <c r="B1191" s="2">
        <v>45323</v>
      </c>
      <c r="C1191" t="str" cm="1">
        <f t="array" ref="C1191">IFERROR(IF(SUMPRODUCT((measured[Site Name]=A1191)*(measured[Date]=B1191)*ISNUMBER(measured[Measured Value (kWh)]))=0,"",SUMIFS(measured[Measured Value (kWh)],measured[Site Name],A1191,measured[Date],B1191)),"")</f>
        <v/>
      </c>
      <c r="D1191" cm="1">
        <f t="array" ref="D1191">IFERROR(IF(SUMPRODUCT((expected_production[Site Name]=A1191)*(expected_production[Date]=B1191)*ISNUMBER(expected_production[Expected Production (kWh)]))=0,"",SUMIFS(expected_production[Expected Production (kWh)],expected_production[Site Name],A1191,expected_production[Date],B1191)),"")</f>
        <v>43750.8</v>
      </c>
      <c r="E1191" s="9" t="str">
        <f t="shared" si="38"/>
        <v/>
      </c>
      <c r="F1191" t="str">
        <f t="shared" si="39"/>
        <v/>
      </c>
    </row>
    <row r="1192" spans="1:6" ht="15" customHeight="1" x14ac:dyDescent="0.3">
      <c r="A1192" t="s">
        <v>234</v>
      </c>
      <c r="B1192" s="2">
        <v>45352</v>
      </c>
      <c r="C1192" t="str" cm="1">
        <f t="array" ref="C1192">IFERROR(IF(SUMPRODUCT((measured[Site Name]=A1192)*(measured[Date]=B1192)*ISNUMBER(measured[Measured Value (kWh)]))=0,"",SUMIFS(measured[Measured Value (kWh)],measured[Site Name],A1192,measured[Date],B1192)),"")</f>
        <v/>
      </c>
      <c r="D1192" cm="1">
        <f t="array" ref="D1192">IFERROR(IF(SUMPRODUCT((expected_production[Site Name]=A1192)*(expected_production[Date]=B1192)*ISNUMBER(expected_production[Expected Production (kWh)]))=0,"",SUMIFS(expected_production[Expected Production (kWh)],expected_production[Site Name],A1192,expected_production[Date],B1192)),"")</f>
        <v>40931.1</v>
      </c>
      <c r="E1192" s="9" t="str">
        <f t="shared" si="38"/>
        <v/>
      </c>
      <c r="F1192" t="str">
        <f t="shared" si="39"/>
        <v/>
      </c>
    </row>
    <row r="1193" spans="1:6" ht="15" customHeight="1" x14ac:dyDescent="0.3">
      <c r="A1193" t="s">
        <v>234</v>
      </c>
      <c r="B1193" s="2">
        <v>45383</v>
      </c>
      <c r="C1193" t="str" cm="1">
        <f t="array" ref="C1193">IFERROR(IF(SUMPRODUCT((measured[Site Name]=A1193)*(measured[Date]=B1193)*ISNUMBER(measured[Measured Value (kWh)]))=0,"",SUMIFS(measured[Measured Value (kWh)],measured[Site Name],A1193,measured[Date],B1193)),"")</f>
        <v/>
      </c>
      <c r="D1193" cm="1">
        <f t="array" ref="D1193">IFERROR(IF(SUMPRODUCT((expected_production[Site Name]=A1193)*(expected_production[Date]=B1193)*ISNUMBER(expected_production[Expected Production (kWh)]))=0,"",SUMIFS(expected_production[Expected Production (kWh)],expected_production[Site Name],A1193,expected_production[Date],B1193)),"")</f>
        <v>29080.799999999999</v>
      </c>
      <c r="E1193" s="9" t="str">
        <f t="shared" si="38"/>
        <v/>
      </c>
      <c r="F1193" t="str">
        <f t="shared" si="39"/>
        <v/>
      </c>
    </row>
    <row r="1194" spans="1:6" ht="15" customHeight="1" x14ac:dyDescent="0.3">
      <c r="A1194" t="s">
        <v>234</v>
      </c>
      <c r="B1194" s="2">
        <v>45413</v>
      </c>
      <c r="C1194" t="str" cm="1">
        <f t="array" ref="C1194">IFERROR(IF(SUMPRODUCT((measured[Site Name]=A1194)*(measured[Date]=B1194)*ISNUMBER(measured[Measured Value (kWh)]))=0,"",SUMIFS(measured[Measured Value (kWh)],measured[Site Name],A1194,measured[Date],B1194)),"")</f>
        <v/>
      </c>
      <c r="D1194" cm="1">
        <f t="array" ref="D1194">IFERROR(IF(SUMPRODUCT((expected_production[Site Name]=A1194)*(expected_production[Date]=B1194)*ISNUMBER(expected_production[Expected Production (kWh)]))=0,"",SUMIFS(expected_production[Expected Production (kWh)],expected_production[Site Name],A1194,expected_production[Date],B1194)),"")</f>
        <v>21434.400000000001</v>
      </c>
      <c r="E1194" s="9" t="str">
        <f t="shared" si="38"/>
        <v/>
      </c>
      <c r="F1194" t="str">
        <f t="shared" si="39"/>
        <v/>
      </c>
    </row>
    <row r="1195" spans="1:6" ht="15" customHeight="1" x14ac:dyDescent="0.3">
      <c r="A1195" t="s">
        <v>234</v>
      </c>
      <c r="B1195" s="2">
        <v>45444</v>
      </c>
      <c r="C1195" t="str" cm="1">
        <f t="array" ref="C1195">IFERROR(IF(SUMPRODUCT((measured[Site Name]=A1195)*(measured[Date]=B1195)*ISNUMBER(measured[Measured Value (kWh)]))=0,"",SUMIFS(measured[Measured Value (kWh)],measured[Site Name],A1195,measured[Date],B1195)),"")</f>
        <v/>
      </c>
      <c r="D1195" cm="1">
        <f t="array" ref="D1195">IFERROR(IF(SUMPRODUCT((expected_production[Site Name]=A1195)*(expected_production[Date]=B1195)*ISNUMBER(expected_production[Expected Production (kWh)]))=0,"",SUMIFS(expected_production[Expected Production (kWh)],expected_production[Site Name],A1195,expected_production[Date],B1195)),"")</f>
        <v>17483.400000000001</v>
      </c>
      <c r="E1195" s="9" t="str">
        <f t="shared" si="38"/>
        <v/>
      </c>
      <c r="F1195" t="str">
        <f t="shared" si="39"/>
        <v/>
      </c>
    </row>
    <row r="1196" spans="1:6" ht="15" customHeight="1" x14ac:dyDescent="0.3">
      <c r="A1196" t="s">
        <v>234</v>
      </c>
      <c r="B1196" s="2">
        <v>45474</v>
      </c>
      <c r="C1196" t="str" cm="1">
        <f t="array" ref="C1196">IFERROR(IF(SUMPRODUCT((measured[Site Name]=A1196)*(measured[Date]=B1196)*ISNUMBER(measured[Measured Value (kWh)]))=0,"",SUMIFS(measured[Measured Value (kWh)],measured[Site Name],A1196,measured[Date],B1196)),"")</f>
        <v/>
      </c>
      <c r="D1196" cm="1">
        <f t="array" ref="D1196">IFERROR(IF(SUMPRODUCT((expected_production[Site Name]=A1196)*(expected_production[Date]=B1196)*ISNUMBER(expected_production[Expected Production (kWh)]))=0,"",SUMIFS(expected_production[Expected Production (kWh)],expected_production[Site Name],A1196,expected_production[Date],B1196)),"")</f>
        <v>19783.8</v>
      </c>
      <c r="E1196" s="9" t="str">
        <f t="shared" si="38"/>
        <v/>
      </c>
      <c r="F1196" t="str">
        <f t="shared" si="39"/>
        <v/>
      </c>
    </row>
    <row r="1197" spans="1:6" ht="15" customHeight="1" x14ac:dyDescent="0.3">
      <c r="A1197" t="s">
        <v>234</v>
      </c>
      <c r="B1197" s="2">
        <v>45505</v>
      </c>
      <c r="C1197" t="str" cm="1">
        <f t="array" ref="C1197">IFERROR(IF(SUMPRODUCT((measured[Site Name]=A1197)*(measured[Date]=B1197)*ISNUMBER(measured[Measured Value (kWh)]))=0,"",SUMIFS(measured[Measured Value (kWh)],measured[Site Name],A1197,measured[Date],B1197)),"")</f>
        <v/>
      </c>
      <c r="D1197" cm="1">
        <f t="array" ref="D1197">IFERROR(IF(SUMPRODUCT((expected_production[Site Name]=A1197)*(expected_production[Date]=B1197)*ISNUMBER(expected_production[Expected Production (kWh)]))=0,"",SUMIFS(expected_production[Expected Production (kWh)],expected_production[Site Name],A1197,expected_production[Date],B1197)),"")</f>
        <v>25524</v>
      </c>
      <c r="E1197" s="9" t="str">
        <f t="shared" si="38"/>
        <v/>
      </c>
      <c r="F1197" t="str">
        <f t="shared" si="39"/>
        <v/>
      </c>
    </row>
    <row r="1198" spans="1:6" ht="15" customHeight="1" x14ac:dyDescent="0.3">
      <c r="A1198" t="s">
        <v>234</v>
      </c>
      <c r="B1198" s="2">
        <v>45536</v>
      </c>
      <c r="C1198" t="str" cm="1">
        <f t="array" ref="C1198">IFERROR(IF(SUMPRODUCT((measured[Site Name]=A1198)*(measured[Date]=B1198)*ISNUMBER(measured[Measured Value (kWh)]))=0,"",SUMIFS(measured[Measured Value (kWh)],measured[Site Name],A1198,measured[Date],B1198)),"")</f>
        <v/>
      </c>
      <c r="D1198" cm="1">
        <f t="array" ref="D1198">IFERROR(IF(SUMPRODUCT((expected_production[Site Name]=A1198)*(expected_production[Date]=B1198)*ISNUMBER(expected_production[Expected Production (kWh)]))=0,"",SUMIFS(expected_production[Expected Production (kWh)],expected_production[Site Name],A1198,expected_production[Date],B1198)),"")</f>
        <v>33381.9</v>
      </c>
      <c r="E1198" s="9" t="str">
        <f t="shared" si="38"/>
        <v/>
      </c>
      <c r="F1198" t="str">
        <f t="shared" si="39"/>
        <v/>
      </c>
    </row>
    <row r="1199" spans="1:6" ht="15" customHeight="1" x14ac:dyDescent="0.3">
      <c r="A1199" t="s">
        <v>234</v>
      </c>
      <c r="B1199" s="2">
        <v>45566</v>
      </c>
      <c r="C1199" t="str" cm="1">
        <f t="array" ref="C1199">IFERROR(IF(SUMPRODUCT((measured[Site Name]=A1199)*(measured[Date]=B1199)*ISNUMBER(measured[Measured Value (kWh)]))=0,"",SUMIFS(measured[Measured Value (kWh)],measured[Site Name],A1199,measured[Date],B1199)),"")</f>
        <v/>
      </c>
      <c r="D1199" cm="1">
        <f t="array" ref="D1199">IFERROR(IF(SUMPRODUCT((expected_production[Site Name]=A1199)*(expected_production[Date]=B1199)*ISNUMBER(expected_production[Expected Production (kWh)]))=0,"",SUMIFS(expected_production[Expected Production (kWh)],expected_production[Site Name],A1199,expected_production[Date],B1199)),"")</f>
        <v>43038</v>
      </c>
      <c r="E1199" s="9" t="str">
        <f t="shared" si="38"/>
        <v/>
      </c>
      <c r="F1199" t="str">
        <f t="shared" si="39"/>
        <v/>
      </c>
    </row>
    <row r="1200" spans="1:6" ht="15" customHeight="1" x14ac:dyDescent="0.3">
      <c r="A1200" t="s">
        <v>234</v>
      </c>
      <c r="B1200" s="2">
        <v>45597</v>
      </c>
      <c r="C1200" t="str" cm="1">
        <f t="array" ref="C1200">IFERROR(IF(SUMPRODUCT((measured[Site Name]=A1200)*(measured[Date]=B1200)*ISNUMBER(measured[Measured Value (kWh)]))=0,"",SUMIFS(measured[Measured Value (kWh)],measured[Site Name],A1200,measured[Date],B1200)),"")</f>
        <v/>
      </c>
      <c r="D1200" cm="1">
        <f t="array" ref="D1200">IFERROR(IF(SUMPRODUCT((expected_production[Site Name]=A1200)*(expected_production[Date]=B1200)*ISNUMBER(expected_production[Expected Production (kWh)]))=0,"",SUMIFS(expected_production[Expected Production (kWh)],expected_production[Site Name],A1200,expected_production[Date],B1200)),"")</f>
        <v>49565.7</v>
      </c>
      <c r="E1200" s="9" t="str">
        <f t="shared" si="38"/>
        <v/>
      </c>
      <c r="F1200" t="str">
        <f t="shared" si="39"/>
        <v/>
      </c>
    </row>
    <row r="1201" spans="1:6" ht="15" customHeight="1" x14ac:dyDescent="0.3">
      <c r="A1201" t="s">
        <v>234</v>
      </c>
      <c r="B1201" s="2">
        <v>45627</v>
      </c>
      <c r="C1201" t="str" cm="1">
        <f t="array" ref="C1201">IFERROR(IF(SUMPRODUCT((measured[Site Name]=A1201)*(measured[Date]=B1201)*ISNUMBER(measured[Measured Value (kWh)]))=0,"",SUMIFS(measured[Measured Value (kWh)],measured[Site Name],A1201,measured[Date],B1201)),"")</f>
        <v/>
      </c>
      <c r="D1201" cm="1">
        <f t="array" ref="D1201">IFERROR(IF(SUMPRODUCT((expected_production[Site Name]=A1201)*(expected_production[Date]=B1201)*ISNUMBER(expected_production[Expected Production (kWh)]))=0,"",SUMIFS(expected_production[Expected Production (kWh)],expected_production[Site Name],A1201,expected_production[Date],B1201)),"")</f>
        <v>54135.9</v>
      </c>
      <c r="E1201" s="9" t="str">
        <f t="shared" si="38"/>
        <v/>
      </c>
      <c r="F1201" t="str">
        <f t="shared" si="39"/>
        <v/>
      </c>
    </row>
    <row r="1202" spans="1:6" ht="15" customHeight="1" x14ac:dyDescent="0.3">
      <c r="A1202" t="s">
        <v>234</v>
      </c>
      <c r="B1202" s="2">
        <v>45658</v>
      </c>
      <c r="C1202" t="str" cm="1">
        <f t="array" ref="C1202">IFERROR(IF(SUMPRODUCT((measured[Site Name]=A1202)*(measured[Date]=B1202)*ISNUMBER(measured[Measured Value (kWh)]))=0,"",SUMIFS(measured[Measured Value (kWh)],measured[Site Name],A1202,measured[Date],B1202)),"")</f>
        <v/>
      </c>
      <c r="D1202" cm="1">
        <f t="array" ref="D1202">IFERROR(IF(SUMPRODUCT((expected_production[Site Name]=A1202)*(expected_production[Date]=B1202)*ISNUMBER(expected_production[Expected Production (kWh)]))=0,"",SUMIFS(expected_production[Expected Production (kWh)],expected_production[Site Name],A1202,expected_production[Date],B1202)),"")</f>
        <v>53361.9</v>
      </c>
      <c r="E1202" s="9" t="str">
        <f t="shared" si="38"/>
        <v/>
      </c>
      <c r="F1202" t="str">
        <f t="shared" si="39"/>
        <v/>
      </c>
    </row>
    <row r="1203" spans="1:6" ht="15" customHeight="1" x14ac:dyDescent="0.3">
      <c r="A1203" t="s">
        <v>234</v>
      </c>
      <c r="B1203" s="2">
        <v>45689</v>
      </c>
      <c r="C1203" t="str" cm="1">
        <f t="array" ref="C1203">IFERROR(IF(SUMPRODUCT((measured[Site Name]=A1203)*(measured[Date]=B1203)*ISNUMBER(measured[Measured Value (kWh)]))=0,"",SUMIFS(measured[Measured Value (kWh)],measured[Site Name],A1203,measured[Date],B1203)),"")</f>
        <v/>
      </c>
      <c r="D1203" cm="1">
        <f t="array" ref="D1203">IFERROR(IF(SUMPRODUCT((expected_production[Site Name]=A1203)*(expected_production[Date]=B1203)*ISNUMBER(expected_production[Expected Production (kWh)]))=0,"",SUMIFS(expected_production[Expected Production (kWh)],expected_production[Site Name],A1203,expected_production[Date],B1203)),"")</f>
        <v>43750.8</v>
      </c>
      <c r="E1203" s="9" t="str">
        <f t="shared" si="38"/>
        <v/>
      </c>
      <c r="F1203" t="str">
        <f t="shared" si="39"/>
        <v/>
      </c>
    </row>
    <row r="1204" spans="1:6" ht="15" customHeight="1" x14ac:dyDescent="0.3">
      <c r="A1204" t="s">
        <v>234</v>
      </c>
      <c r="B1204" s="2">
        <v>45717</v>
      </c>
      <c r="C1204" t="str" cm="1">
        <f t="array" ref="C1204">IFERROR(IF(SUMPRODUCT((measured[Site Name]=A1204)*(measured[Date]=B1204)*ISNUMBER(measured[Measured Value (kWh)]))=0,"",SUMIFS(measured[Measured Value (kWh)],measured[Site Name],A1204,measured[Date],B1204)),"")</f>
        <v/>
      </c>
      <c r="D1204" cm="1">
        <f t="array" ref="D1204">IFERROR(IF(SUMPRODUCT((expected_production[Site Name]=A1204)*(expected_production[Date]=B1204)*ISNUMBER(expected_production[Expected Production (kWh)]))=0,"",SUMIFS(expected_production[Expected Production (kWh)],expected_production[Site Name],A1204,expected_production[Date],B1204)),"")</f>
        <v>40931.1</v>
      </c>
      <c r="E1204" s="9" t="str">
        <f t="shared" si="38"/>
        <v/>
      </c>
      <c r="F1204" t="str">
        <f t="shared" si="39"/>
        <v/>
      </c>
    </row>
    <row r="1205" spans="1:6" ht="15" customHeight="1" x14ac:dyDescent="0.3">
      <c r="A1205" t="s">
        <v>234</v>
      </c>
      <c r="B1205" s="2">
        <v>45748</v>
      </c>
      <c r="C1205" t="str" cm="1">
        <f t="array" ref="C1205">IFERROR(IF(SUMPRODUCT((measured[Site Name]=A1205)*(measured[Date]=B1205)*ISNUMBER(measured[Measured Value (kWh)]))=0,"",SUMIFS(measured[Measured Value (kWh)],measured[Site Name],A1205,measured[Date],B1205)),"")</f>
        <v/>
      </c>
      <c r="D1205" cm="1">
        <f t="array" ref="D1205">IFERROR(IF(SUMPRODUCT((expected_production[Site Name]=A1205)*(expected_production[Date]=B1205)*ISNUMBER(expected_production[Expected Production (kWh)]))=0,"",SUMIFS(expected_production[Expected Production (kWh)],expected_production[Site Name],A1205,expected_production[Date],B1205)),"")</f>
        <v>29080.799999999999</v>
      </c>
      <c r="E1205" s="9" t="str">
        <f t="shared" si="38"/>
        <v/>
      </c>
      <c r="F1205" t="str">
        <f t="shared" si="39"/>
        <v/>
      </c>
    </row>
    <row r="1206" spans="1:6" ht="15" customHeight="1" x14ac:dyDescent="0.3">
      <c r="A1206" t="s">
        <v>234</v>
      </c>
      <c r="B1206" s="2">
        <v>45778</v>
      </c>
      <c r="C1206" t="str" cm="1">
        <f t="array" ref="C1206">IFERROR(IF(SUMPRODUCT((measured[Site Name]=A1206)*(measured[Date]=B1206)*ISNUMBER(measured[Measured Value (kWh)]))=0,"",SUMIFS(measured[Measured Value (kWh)],measured[Site Name],A1206,measured[Date],B1206)),"")</f>
        <v/>
      </c>
      <c r="D1206" cm="1">
        <f t="array" ref="D1206">IFERROR(IF(SUMPRODUCT((expected_production[Site Name]=A1206)*(expected_production[Date]=B1206)*ISNUMBER(expected_production[Expected Production (kWh)]))=0,"",SUMIFS(expected_production[Expected Production (kWh)],expected_production[Site Name],A1206,expected_production[Date],B1206)),"")</f>
        <v>21434.400000000001</v>
      </c>
      <c r="E1206" s="9" t="str">
        <f t="shared" si="38"/>
        <v/>
      </c>
      <c r="F1206" t="str">
        <f t="shared" si="39"/>
        <v/>
      </c>
    </row>
    <row r="1207" spans="1:6" ht="15" customHeight="1" x14ac:dyDescent="0.3">
      <c r="A1207" t="s">
        <v>234</v>
      </c>
      <c r="B1207" s="2">
        <v>45809</v>
      </c>
      <c r="C1207" t="str" cm="1">
        <f t="array" ref="C1207">IFERROR(IF(SUMPRODUCT((measured[Site Name]=A1207)*(measured[Date]=B1207)*ISNUMBER(measured[Measured Value (kWh)]))=0,"",SUMIFS(measured[Measured Value (kWh)],measured[Site Name],A1207,measured[Date],B1207)),"")</f>
        <v/>
      </c>
      <c r="D1207" cm="1">
        <f t="array" ref="D1207">IFERROR(IF(SUMPRODUCT((expected_production[Site Name]=A1207)*(expected_production[Date]=B1207)*ISNUMBER(expected_production[Expected Production (kWh)]))=0,"",SUMIFS(expected_production[Expected Production (kWh)],expected_production[Site Name],A1207,expected_production[Date],B1207)),"")</f>
        <v>17483.400000000001</v>
      </c>
      <c r="E1207" s="9" t="str">
        <f t="shared" si="38"/>
        <v/>
      </c>
      <c r="F1207" t="str">
        <f t="shared" si="39"/>
        <v/>
      </c>
    </row>
    <row r="1208" spans="1:6" ht="15" customHeight="1" x14ac:dyDescent="0.3">
      <c r="A1208" t="s">
        <v>234</v>
      </c>
      <c r="B1208" s="2">
        <v>45839</v>
      </c>
      <c r="C1208" t="str" cm="1">
        <f t="array" ref="C1208">IFERROR(IF(SUMPRODUCT((measured[Site Name]=A1208)*(measured[Date]=B1208)*ISNUMBER(measured[Measured Value (kWh)]))=0,"",SUMIFS(measured[Measured Value (kWh)],measured[Site Name],A1208,measured[Date],B1208)),"")</f>
        <v/>
      </c>
      <c r="D1208" cm="1">
        <f t="array" ref="D1208">IFERROR(IF(SUMPRODUCT((expected_production[Site Name]=A1208)*(expected_production[Date]=B1208)*ISNUMBER(expected_production[Expected Production (kWh)]))=0,"",SUMIFS(expected_production[Expected Production (kWh)],expected_production[Site Name],A1208,expected_production[Date],B1208)),"")</f>
        <v>19783.8</v>
      </c>
      <c r="E1208" s="9" t="str">
        <f t="shared" si="38"/>
        <v/>
      </c>
      <c r="F1208" t="str">
        <f t="shared" si="39"/>
        <v/>
      </c>
    </row>
    <row r="1209" spans="1:6" ht="15" customHeight="1" x14ac:dyDescent="0.3">
      <c r="A1209" t="s">
        <v>234</v>
      </c>
      <c r="B1209" s="2">
        <v>45870</v>
      </c>
      <c r="C1209" t="str" cm="1">
        <f t="array" ref="C1209">IFERROR(IF(SUMPRODUCT((measured[Site Name]=A1209)*(measured[Date]=B1209)*ISNUMBER(measured[Measured Value (kWh)]))=0,"",SUMIFS(measured[Measured Value (kWh)],measured[Site Name],A1209,measured[Date],B1209)),"")</f>
        <v/>
      </c>
      <c r="D1209" cm="1">
        <f t="array" ref="D1209">IFERROR(IF(SUMPRODUCT((expected_production[Site Name]=A1209)*(expected_production[Date]=B1209)*ISNUMBER(expected_production[Expected Production (kWh)]))=0,"",SUMIFS(expected_production[Expected Production (kWh)],expected_production[Site Name],A1209,expected_production[Date],B1209)),"")</f>
        <v>25524</v>
      </c>
      <c r="E1209" s="9" t="str">
        <f t="shared" si="38"/>
        <v/>
      </c>
      <c r="F1209" t="str">
        <f t="shared" si="39"/>
        <v/>
      </c>
    </row>
    <row r="1210" spans="1:6" ht="15" customHeight="1" x14ac:dyDescent="0.3">
      <c r="A1210" t="s">
        <v>234</v>
      </c>
      <c r="B1210" s="2">
        <v>45901</v>
      </c>
      <c r="C1210" t="str" cm="1">
        <f t="array" ref="C1210">IFERROR(IF(SUMPRODUCT((measured[Site Name]=A1210)*(measured[Date]=B1210)*ISNUMBER(measured[Measured Value (kWh)]))=0,"",SUMIFS(measured[Measured Value (kWh)],measured[Site Name],A1210,measured[Date],B1210)),"")</f>
        <v/>
      </c>
      <c r="D1210" cm="1">
        <f t="array" ref="D1210">IFERROR(IF(SUMPRODUCT((expected_production[Site Name]=A1210)*(expected_production[Date]=B1210)*ISNUMBER(expected_production[Expected Production (kWh)]))=0,"",SUMIFS(expected_production[Expected Production (kWh)],expected_production[Site Name],A1210,expected_production[Date],B1210)),"")</f>
        <v>33381.9</v>
      </c>
      <c r="E1210" s="9" t="str">
        <f t="shared" si="38"/>
        <v/>
      </c>
      <c r="F1210" t="str">
        <f t="shared" si="39"/>
        <v/>
      </c>
    </row>
    <row r="1211" spans="1:6" ht="15" customHeight="1" x14ac:dyDescent="0.3">
      <c r="A1211" t="s">
        <v>234</v>
      </c>
      <c r="B1211" s="2">
        <v>45931</v>
      </c>
      <c r="C1211" t="str" cm="1">
        <f t="array" ref="C1211">IFERROR(IF(SUMPRODUCT((measured[Site Name]=A1211)*(measured[Date]=B1211)*ISNUMBER(measured[Measured Value (kWh)]))=0,"",SUMIFS(measured[Measured Value (kWh)],measured[Site Name],A1211,measured[Date],B1211)),"")</f>
        <v/>
      </c>
      <c r="D1211" cm="1">
        <f t="array" ref="D1211">IFERROR(IF(SUMPRODUCT((expected_production[Site Name]=A1211)*(expected_production[Date]=B1211)*ISNUMBER(expected_production[Expected Production (kWh)]))=0,"",SUMIFS(expected_production[Expected Production (kWh)],expected_production[Site Name],A1211,expected_production[Date],B1211)),"")</f>
        <v>43038</v>
      </c>
      <c r="E1211" s="9" t="str">
        <f t="shared" si="38"/>
        <v/>
      </c>
      <c r="F1211" t="str">
        <f t="shared" si="39"/>
        <v/>
      </c>
    </row>
    <row r="1212" spans="1:6" ht="15" customHeight="1" x14ac:dyDescent="0.3">
      <c r="A1212" t="s">
        <v>234</v>
      </c>
      <c r="B1212" s="2">
        <v>45962</v>
      </c>
      <c r="C1212" t="str" cm="1">
        <f t="array" ref="C1212">IFERROR(IF(SUMPRODUCT((measured[Site Name]=A1212)*(measured[Date]=B1212)*ISNUMBER(measured[Measured Value (kWh)]))=0,"",SUMIFS(measured[Measured Value (kWh)],measured[Site Name],A1212,measured[Date],B1212)),"")</f>
        <v/>
      </c>
      <c r="D1212" cm="1">
        <f t="array" ref="D1212">IFERROR(IF(SUMPRODUCT((expected_production[Site Name]=A1212)*(expected_production[Date]=B1212)*ISNUMBER(expected_production[Expected Production (kWh)]))=0,"",SUMIFS(expected_production[Expected Production (kWh)],expected_production[Site Name],A1212,expected_production[Date],B1212)),"")</f>
        <v>49565.7</v>
      </c>
      <c r="E1212" s="9" t="str">
        <f t="shared" ref="E1212:E1275" si="40">IF(OR(C1212="",D1212="",D1212=0),"",C1212/D1212)</f>
        <v/>
      </c>
      <c r="F1212" t="str">
        <f t="shared" ref="F1212:F1275" si="41">IF(E1212="","",IF(E1212&gt;=0.9,"Expected",IF(E1212&gt;=0.7,"Moderate","Poor")))</f>
        <v/>
      </c>
    </row>
    <row r="1213" spans="1:6" ht="15" customHeight="1" x14ac:dyDescent="0.3">
      <c r="A1213" t="s">
        <v>234</v>
      </c>
      <c r="B1213" s="2">
        <v>45992</v>
      </c>
      <c r="C1213" cm="1">
        <f t="array" ref="C1213">IFERROR(IF(SUMPRODUCT((measured[Site Name]=A1213)*(measured[Date]=B1213)*ISNUMBER(measured[Measured Value (kWh)]))=0,"",SUMIFS(measured[Measured Value (kWh)],measured[Site Name],A1213,measured[Date],B1213)),"")</f>
        <v>44400</v>
      </c>
      <c r="D1213" cm="1">
        <f t="array" ref="D1213">IFERROR(IF(SUMPRODUCT((expected_production[Site Name]=A1213)*(expected_production[Date]=B1213)*ISNUMBER(expected_production[Expected Production (kWh)]))=0,"",SUMIFS(expected_production[Expected Production (kWh)],expected_production[Site Name],A1213,expected_production[Date],B1213)),"")</f>
        <v>54135.9</v>
      </c>
      <c r="E1213" s="9">
        <f t="shared" si="40"/>
        <v>0.82015815752578236</v>
      </c>
      <c r="F1213" t="str">
        <f t="shared" si="41"/>
        <v>Moderate</v>
      </c>
    </row>
    <row r="1214" spans="1:6" ht="15" customHeight="1" x14ac:dyDescent="0.3">
      <c r="A1214" t="s">
        <v>234</v>
      </c>
      <c r="B1214" s="2">
        <v>46023</v>
      </c>
      <c r="C1214" cm="1">
        <f t="array" ref="C1214">IFERROR(IF(SUMPRODUCT((measured[Site Name]=A1214)*(measured[Date]=B1214)*ISNUMBER(measured[Measured Value (kWh)]))=0,"",SUMIFS(measured[Measured Value (kWh)],measured[Site Name],A1214,measured[Date],B1214)),"")</f>
        <v>44972.3</v>
      </c>
      <c r="D1214" cm="1">
        <f t="array" ref="D1214">IFERROR(IF(SUMPRODUCT((expected_production[Site Name]=A1214)*(expected_production[Date]=B1214)*ISNUMBER(expected_production[Expected Production (kWh)]))=0,"",SUMIFS(expected_production[Expected Production (kWh)],expected_production[Site Name],A1214,expected_production[Date],B1214)),"")</f>
        <v>53361.9</v>
      </c>
      <c r="E1214" s="9">
        <f t="shared" si="40"/>
        <v>0.84277921138490197</v>
      </c>
      <c r="F1214" t="str">
        <f t="shared" si="41"/>
        <v>Moderate</v>
      </c>
    </row>
    <row r="1215" spans="1:6" ht="15" customHeight="1" x14ac:dyDescent="0.3">
      <c r="A1215" t="s">
        <v>234</v>
      </c>
      <c r="B1215" s="2">
        <v>46054</v>
      </c>
      <c r="C1215" cm="1">
        <f t="array" ref="C1215">IFERROR(IF(SUMPRODUCT((measured[Site Name]=A1215)*(measured[Date]=B1215)*ISNUMBER(measured[Measured Value (kWh)]))=0,"",SUMIFS(measured[Measured Value (kWh)],measured[Site Name],A1215,measured[Date],B1215)),"")</f>
        <v>44384</v>
      </c>
      <c r="D1215" cm="1">
        <f t="array" ref="D1215">IFERROR(IF(SUMPRODUCT((expected_production[Site Name]=A1215)*(expected_production[Date]=B1215)*ISNUMBER(expected_production[Expected Production (kWh)]))=0,"",SUMIFS(expected_production[Expected Production (kWh)],expected_production[Site Name],A1215,expected_production[Date],B1215)),"")</f>
        <v>43750.8</v>
      </c>
      <c r="E1215" s="9">
        <f t="shared" si="40"/>
        <v>1.014472878210227</v>
      </c>
      <c r="F1215" t="str">
        <f t="shared" si="41"/>
        <v>Expected</v>
      </c>
    </row>
    <row r="1216" spans="1:6" ht="15" customHeight="1" x14ac:dyDescent="0.3">
      <c r="A1216" t="s">
        <v>234</v>
      </c>
      <c r="B1216" s="2">
        <v>46082</v>
      </c>
      <c r="C1216" cm="1">
        <f t="array" ref="C1216">IFERROR(IF(SUMPRODUCT((measured[Site Name]=A1216)*(measured[Date]=B1216)*ISNUMBER(measured[Measured Value (kWh)]))=0,"",SUMIFS(measured[Measured Value (kWh)],measured[Site Name],A1216,measured[Date],B1216)),"")</f>
        <v>42181</v>
      </c>
      <c r="D1216" cm="1">
        <f t="array" ref="D1216">IFERROR(IF(SUMPRODUCT((expected_production[Site Name]=A1216)*(expected_production[Date]=B1216)*ISNUMBER(expected_production[Expected Production (kWh)]))=0,"",SUMIFS(expected_production[Expected Production (kWh)],expected_production[Site Name],A1216,expected_production[Date],B1216)),"")</f>
        <v>40931.1</v>
      </c>
      <c r="E1216" s="9">
        <f t="shared" si="40"/>
        <v>1.0305366823759929</v>
      </c>
      <c r="F1216" t="str">
        <f t="shared" si="41"/>
        <v>Expected</v>
      </c>
    </row>
    <row r="1217" spans="1:7" ht="15" customHeight="1" x14ac:dyDescent="0.3">
      <c r="A1217" t="s">
        <v>234</v>
      </c>
      <c r="B1217" s="2">
        <v>46113</v>
      </c>
      <c r="C1217" cm="1">
        <f t="array" ref="C1217">IFERROR(IF(SUMPRODUCT((measured[Site Name]=A1217)*(measured[Date]=B1217)*ISNUMBER(measured[Measured Value (kWh)]))=0,"",SUMIFS(measured[Measured Value (kWh)],measured[Site Name],A1217,measured[Date],B1217)),"")</f>
        <v>29438.84</v>
      </c>
      <c r="D1217" cm="1">
        <f t="array" ref="D1217">IFERROR(IF(SUMPRODUCT((expected_production[Site Name]=A1217)*(expected_production[Date]=B1217)*ISNUMBER(expected_production[Expected Production (kWh)]))=0,"",SUMIFS(expected_production[Expected Production (kWh)],expected_production[Site Name],A1217,expected_production[Date],B1217)),"")</f>
        <v>29080.799999999999</v>
      </c>
      <c r="E1217" s="9">
        <f t="shared" si="40"/>
        <v>1.0123119033864267</v>
      </c>
      <c r="F1217" t="str">
        <f t="shared" si="41"/>
        <v>Expected</v>
      </c>
    </row>
    <row r="1218" spans="1:7" ht="15" customHeight="1" x14ac:dyDescent="0.3">
      <c r="A1218" t="s">
        <v>234</v>
      </c>
      <c r="B1218" s="2">
        <v>46143</v>
      </c>
      <c r="C1218" cm="1">
        <f t="array" ref="C1218">IFERROR(IF(SUMPRODUCT((measured[Site Name]=A1218)*(measured[Date]=B1218)*ISNUMBER(measured[Measured Value (kWh)]))=0,"",SUMIFS(measured[Measured Value (kWh)],measured[Site Name],A1218,measured[Date],B1218)),"")</f>
        <v>20478.599999999999</v>
      </c>
      <c r="D1218" cm="1">
        <f t="array" ref="D1218">IFERROR(IF(SUMPRODUCT((expected_production[Site Name]=A1218)*(expected_production[Date]=B1218)*ISNUMBER(expected_production[Expected Production (kWh)]))=0,"",SUMIFS(expected_production[Expected Production (kWh)],expected_production[Site Name],A1218,expected_production[Date],B1218)),"")</f>
        <v>21434.400000000001</v>
      </c>
      <c r="E1218" s="9">
        <f t="shared" si="40"/>
        <v>0.95540812898891492</v>
      </c>
      <c r="F1218" t="str">
        <f t="shared" si="41"/>
        <v>Expected</v>
      </c>
    </row>
    <row r="1219" spans="1:7" ht="15" customHeight="1" x14ac:dyDescent="0.3">
      <c r="A1219" t="s">
        <v>234</v>
      </c>
      <c r="B1219" s="2">
        <v>46174</v>
      </c>
      <c r="C1219" cm="1">
        <f t="array" ref="C1219">IFERROR(IF(SUMPRODUCT((measured[Site Name]=A1219)*(measured[Date]=B1219)*ISNUMBER(measured[Measured Value (kWh)]))=0,"",SUMIFS(measured[Measured Value (kWh)],measured[Site Name],A1219,measured[Date],B1219)),"")</f>
        <v>18349.150000000001</v>
      </c>
      <c r="D1219" cm="1">
        <f t="array" ref="D1219">IFERROR(IF(SUMPRODUCT((expected_production[Site Name]=A1219)*(expected_production[Date]=B1219)*ISNUMBER(expected_production[Expected Production (kWh)]))=0,"",SUMIFS(expected_production[Expected Production (kWh)],expected_production[Site Name],A1219,expected_production[Date],B1219)),"")</f>
        <v>17483.400000000001</v>
      </c>
      <c r="E1219" s="9">
        <f t="shared" si="40"/>
        <v>1.0495184003111524</v>
      </c>
      <c r="F1219" t="str">
        <f t="shared" si="41"/>
        <v>Expected</v>
      </c>
    </row>
    <row r="1220" spans="1:7" ht="15" customHeight="1" x14ac:dyDescent="0.3">
      <c r="A1220" t="s">
        <v>122</v>
      </c>
      <c r="B1220" s="2">
        <v>46204</v>
      </c>
      <c r="C1220" cm="1">
        <f t="array" ref="C1220">IFERROR(IF(SUMPRODUCT((measured[Site Name]=A1220)*(measured[Date]=B1220)*ISNUMBER(measured[Measured Value (kWh)]))=0,"",SUMIFS(measured[Measured Value (kWh)],measured[Site Name],A1220,measured[Date],B1220)),"")</f>
        <v>12604.390950000001</v>
      </c>
      <c r="D1220" cm="1">
        <f t="array" ref="D1220">IFERROR(IF(SUMPRODUCT((expected_production[Site Name]=A1220)*(expected_production[Date]=B1220)*ISNUMBER(expected_production[Expected Production (kWh)]))=0,"",SUMIFS(expected_production[Expected Production (kWh)],expected_production[Site Name],A1220,expected_production[Date],B1220)),"")</f>
        <v>13099.5</v>
      </c>
      <c r="E1220" s="9">
        <f t="shared" si="40"/>
        <v>0.96220397343410058</v>
      </c>
      <c r="F1220" t="str">
        <f t="shared" si="41"/>
        <v>Expected</v>
      </c>
      <c r="G1220" t="s">
        <v>874</v>
      </c>
    </row>
    <row r="1221" spans="1:7" ht="15" customHeight="1" x14ac:dyDescent="0.3">
      <c r="A1221" t="s">
        <v>234</v>
      </c>
      <c r="B1221" s="2">
        <v>46235</v>
      </c>
      <c r="C1221" t="str" cm="1">
        <f t="array" ref="C1221">IFERROR(IF(SUMPRODUCT((measured[Site Name]=A1221)*(measured[Date]=B1221)*ISNUMBER(measured[Measured Value (kWh)]))=0,"",SUMIFS(measured[Measured Value (kWh)],measured[Site Name],A1221,measured[Date],B1221)),"")</f>
        <v/>
      </c>
      <c r="D1221" cm="1">
        <f t="array" ref="D1221">IFERROR(IF(SUMPRODUCT((expected_production[Site Name]=A1221)*(expected_production[Date]=B1221)*ISNUMBER(expected_production[Expected Production (kWh)]))=0,"",SUMIFS(expected_production[Expected Production (kWh)],expected_production[Site Name],A1221,expected_production[Date],B1221)),"")</f>
        <v>25524</v>
      </c>
      <c r="E1221" s="9" t="str">
        <f t="shared" si="40"/>
        <v/>
      </c>
      <c r="F1221" t="str">
        <f t="shared" si="41"/>
        <v/>
      </c>
    </row>
    <row r="1222" spans="1:7" ht="15" customHeight="1" x14ac:dyDescent="0.3">
      <c r="A1222" t="s">
        <v>234</v>
      </c>
      <c r="B1222" s="2">
        <v>46266</v>
      </c>
      <c r="C1222" t="str" cm="1">
        <f t="array" ref="C1222">IFERROR(IF(SUMPRODUCT((measured[Site Name]=A1222)*(measured[Date]=B1222)*ISNUMBER(measured[Measured Value (kWh)]))=0,"",SUMIFS(measured[Measured Value (kWh)],measured[Site Name],A1222,measured[Date],B1222)),"")</f>
        <v/>
      </c>
      <c r="D1222" cm="1">
        <f t="array" ref="D1222">IFERROR(IF(SUMPRODUCT((expected_production[Site Name]=A1222)*(expected_production[Date]=B1222)*ISNUMBER(expected_production[Expected Production (kWh)]))=0,"",SUMIFS(expected_production[Expected Production (kWh)],expected_production[Site Name],A1222,expected_production[Date],B1222)),"")</f>
        <v>33381.9</v>
      </c>
      <c r="E1222" s="9" t="str">
        <f t="shared" si="40"/>
        <v/>
      </c>
      <c r="F1222" t="str">
        <f t="shared" si="41"/>
        <v/>
      </c>
    </row>
    <row r="1223" spans="1:7" ht="15" customHeight="1" x14ac:dyDescent="0.3">
      <c r="A1223" t="s">
        <v>234</v>
      </c>
      <c r="B1223" s="2">
        <v>46296</v>
      </c>
      <c r="C1223" t="str" cm="1">
        <f t="array" ref="C1223">IFERROR(IF(SUMPRODUCT((measured[Site Name]=A1223)*(measured[Date]=B1223)*ISNUMBER(measured[Measured Value (kWh)]))=0,"",SUMIFS(measured[Measured Value (kWh)],measured[Site Name],A1223,measured[Date],B1223)),"")</f>
        <v/>
      </c>
      <c r="D1223" cm="1">
        <f t="array" ref="D1223">IFERROR(IF(SUMPRODUCT((expected_production[Site Name]=A1223)*(expected_production[Date]=B1223)*ISNUMBER(expected_production[Expected Production (kWh)]))=0,"",SUMIFS(expected_production[Expected Production (kWh)],expected_production[Site Name],A1223,expected_production[Date],B1223)),"")</f>
        <v>43038</v>
      </c>
      <c r="E1223" s="9" t="str">
        <f t="shared" si="40"/>
        <v/>
      </c>
      <c r="F1223" t="str">
        <f t="shared" si="41"/>
        <v/>
      </c>
    </row>
    <row r="1224" spans="1:7" ht="15" customHeight="1" x14ac:dyDescent="0.3">
      <c r="A1224" t="s">
        <v>234</v>
      </c>
      <c r="B1224" s="2">
        <v>46327</v>
      </c>
      <c r="C1224" t="str" cm="1">
        <f t="array" ref="C1224">IFERROR(IF(SUMPRODUCT((measured[Site Name]=A1224)*(measured[Date]=B1224)*ISNUMBER(measured[Measured Value (kWh)]))=0,"",SUMIFS(measured[Measured Value (kWh)],measured[Site Name],A1224,measured[Date],B1224)),"")</f>
        <v/>
      </c>
      <c r="D1224" cm="1">
        <f t="array" ref="D1224">IFERROR(IF(SUMPRODUCT((expected_production[Site Name]=A1224)*(expected_production[Date]=B1224)*ISNUMBER(expected_production[Expected Production (kWh)]))=0,"",SUMIFS(expected_production[Expected Production (kWh)],expected_production[Site Name],A1224,expected_production[Date],B1224)),"")</f>
        <v>49565.7</v>
      </c>
      <c r="E1224" s="9" t="str">
        <f t="shared" si="40"/>
        <v/>
      </c>
      <c r="F1224" t="str">
        <f t="shared" si="41"/>
        <v/>
      </c>
    </row>
    <row r="1225" spans="1:7" ht="15" customHeight="1" x14ac:dyDescent="0.3">
      <c r="A1225" t="s">
        <v>234</v>
      </c>
      <c r="B1225" s="2">
        <v>46357</v>
      </c>
      <c r="C1225" t="str" cm="1">
        <f t="array" ref="C1225">IFERROR(IF(SUMPRODUCT((measured[Site Name]=A1225)*(measured[Date]=B1225)*ISNUMBER(measured[Measured Value (kWh)]))=0,"",SUMIFS(measured[Measured Value (kWh)],measured[Site Name],A1225,measured[Date],B1225)),"")</f>
        <v/>
      </c>
      <c r="D1225" cm="1">
        <f t="array" ref="D1225">IFERROR(IF(SUMPRODUCT((expected_production[Site Name]=A1225)*(expected_production[Date]=B1225)*ISNUMBER(expected_production[Expected Production (kWh)]))=0,"",SUMIFS(expected_production[Expected Production (kWh)],expected_production[Site Name],A1225,expected_production[Date],B1225)),"")</f>
        <v>54135.9</v>
      </c>
      <c r="E1225" s="9" t="str">
        <f t="shared" si="40"/>
        <v/>
      </c>
      <c r="F1225" t="str">
        <f t="shared" si="41"/>
        <v/>
      </c>
    </row>
    <row r="1226" spans="1:7" ht="15" customHeight="1" x14ac:dyDescent="0.3">
      <c r="A1226" t="s">
        <v>131</v>
      </c>
      <c r="B1226" s="2">
        <v>45292</v>
      </c>
      <c r="C1226" cm="1">
        <f t="array" ref="C1226">IFERROR(IF(SUMPRODUCT((measured[Site Name]=A1226)*(measured[Date]=B1226)*ISNUMBER(measured[Measured Value (kWh)]))=0,"",SUMIFS(measured[Measured Value (kWh)],measured[Site Name],A1226,measured[Date],B1226)),"")</f>
        <v>3824</v>
      </c>
      <c r="D1226" cm="1">
        <f t="array" ref="D1226">IFERROR(IF(SUMPRODUCT((expected_production[Site Name]=A1226)*(expected_production[Date]=B1226)*ISNUMBER(expected_production[Expected Production (kWh)]))=0,"",SUMIFS(expected_production[Expected Production (kWh)],expected_production[Site Name],A1226,expected_production[Date],B1226)),"")</f>
        <v>5063.45</v>
      </c>
      <c r="E1226" s="9">
        <f t="shared" si="40"/>
        <v>0.75521630508842785</v>
      </c>
      <c r="F1226" t="str">
        <f t="shared" si="41"/>
        <v>Moderate</v>
      </c>
    </row>
    <row r="1227" spans="1:7" ht="15" customHeight="1" x14ac:dyDescent="0.3">
      <c r="A1227" t="s">
        <v>131</v>
      </c>
      <c r="B1227" s="2">
        <v>45323</v>
      </c>
      <c r="C1227" cm="1">
        <f t="array" ref="C1227">IFERROR(IF(SUMPRODUCT((measured[Site Name]=A1227)*(measured[Date]=B1227)*ISNUMBER(measured[Measured Value (kWh)]))=0,"",SUMIFS(measured[Measured Value (kWh)],measured[Site Name],A1227,measured[Date],B1227)),"")</f>
        <v>3746</v>
      </c>
      <c r="D1227" cm="1">
        <f t="array" ref="D1227">IFERROR(IF(SUMPRODUCT((expected_production[Site Name]=A1227)*(expected_production[Date]=B1227)*ISNUMBER(expected_production[Expected Production (kWh)]))=0,"",SUMIFS(expected_production[Expected Production (kWh)],expected_production[Site Name],A1227,expected_production[Date],B1227)),"")</f>
        <v>4598.5</v>
      </c>
      <c r="E1227" s="9">
        <f t="shared" si="40"/>
        <v>0.81461346091116671</v>
      </c>
      <c r="F1227" t="str">
        <f t="shared" si="41"/>
        <v>Moderate</v>
      </c>
    </row>
    <row r="1228" spans="1:7" ht="15" customHeight="1" x14ac:dyDescent="0.3">
      <c r="A1228" t="s">
        <v>131</v>
      </c>
      <c r="B1228" s="2">
        <v>45352</v>
      </c>
      <c r="C1228" cm="1">
        <f t="array" ref="C1228">IFERROR(IF(SUMPRODUCT((measured[Site Name]=A1228)*(measured[Date]=B1228)*ISNUMBER(measured[Measured Value (kWh)]))=0,"",SUMIFS(measured[Measured Value (kWh)],measured[Site Name],A1228,measured[Date],B1228)),"")</f>
        <v>3799</v>
      </c>
      <c r="D1228" cm="1">
        <f t="array" ref="D1228">IFERROR(IF(SUMPRODUCT((expected_production[Site Name]=A1228)*(expected_production[Date]=B1228)*ISNUMBER(expected_production[Expected Production (kWh)]))=0,"",SUMIFS(expected_production[Expected Production (kWh)],expected_production[Site Name],A1228,expected_production[Date],B1228)),"")</f>
        <v>5071.95</v>
      </c>
      <c r="E1228" s="9">
        <f t="shared" si="40"/>
        <v>0.74902157947140646</v>
      </c>
      <c r="F1228" t="str">
        <f t="shared" si="41"/>
        <v>Moderate</v>
      </c>
    </row>
    <row r="1229" spans="1:7" ht="15" customHeight="1" x14ac:dyDescent="0.3">
      <c r="A1229" t="s">
        <v>131</v>
      </c>
      <c r="B1229" s="2">
        <v>45383</v>
      </c>
      <c r="C1229" cm="1">
        <f t="array" ref="C1229">IFERROR(IF(SUMPRODUCT((measured[Site Name]=A1229)*(measured[Date]=B1229)*ISNUMBER(measured[Measured Value (kWh)]))=0,"",SUMIFS(measured[Measured Value (kWh)],measured[Site Name],A1229,measured[Date],B1229)),"")</f>
        <v>3854</v>
      </c>
      <c r="D1229" cm="1">
        <f t="array" ref="D1229">IFERROR(IF(SUMPRODUCT((expected_production[Site Name]=A1229)*(expected_production[Date]=B1229)*ISNUMBER(expected_production[Expected Production (kWh)]))=0,"",SUMIFS(expected_production[Expected Production (kWh)],expected_production[Site Name],A1229,expected_production[Date],B1229)),"")</f>
        <v>4864.55</v>
      </c>
      <c r="E1229" s="9">
        <f t="shared" si="40"/>
        <v>0.79226238809345162</v>
      </c>
      <c r="F1229" t="str">
        <f t="shared" si="41"/>
        <v>Moderate</v>
      </c>
    </row>
    <row r="1230" spans="1:7" ht="15" customHeight="1" x14ac:dyDescent="0.3">
      <c r="A1230" t="s">
        <v>131</v>
      </c>
      <c r="B1230" s="2">
        <v>45413</v>
      </c>
      <c r="C1230" cm="1">
        <f t="array" ref="C1230">IFERROR(IF(SUMPRODUCT((measured[Site Name]=A1230)*(measured[Date]=B1230)*ISNUMBER(measured[Measured Value (kWh)]))=0,"",SUMIFS(measured[Measured Value (kWh)],measured[Site Name],A1230,measured[Date],B1230)),"")</f>
        <v>4391</v>
      </c>
      <c r="D1230" cm="1">
        <f t="array" ref="D1230">IFERROR(IF(SUMPRODUCT((expected_production[Site Name]=A1230)*(expected_production[Date]=B1230)*ISNUMBER(expected_production[Expected Production (kWh)]))=0,"",SUMIFS(expected_production[Expected Production (kWh)],expected_production[Site Name],A1230,expected_production[Date],B1230)),"")</f>
        <v>5173.1000000000004</v>
      </c>
      <c r="E1230" s="9">
        <f t="shared" si="40"/>
        <v>0.8488140573350601</v>
      </c>
      <c r="F1230" t="str">
        <f t="shared" si="41"/>
        <v>Moderate</v>
      </c>
    </row>
    <row r="1231" spans="1:7" ht="15" customHeight="1" x14ac:dyDescent="0.3">
      <c r="A1231" t="s">
        <v>131</v>
      </c>
      <c r="B1231" s="2">
        <v>45444</v>
      </c>
      <c r="C1231" cm="1">
        <f t="array" ref="C1231">IFERROR(IF(SUMPRODUCT((measured[Site Name]=A1231)*(measured[Date]=B1231)*ISNUMBER(measured[Measured Value (kWh)]))=0,"",SUMIFS(measured[Measured Value (kWh)],measured[Site Name],A1231,measured[Date],B1231)),"")</f>
        <v>4167</v>
      </c>
      <c r="D1231" cm="1">
        <f t="array" ref="D1231">IFERROR(IF(SUMPRODUCT((expected_production[Site Name]=A1231)*(expected_production[Date]=B1231)*ISNUMBER(expected_production[Expected Production (kWh)]))=0,"",SUMIFS(expected_production[Expected Production (kWh)],expected_production[Site Name],A1231,expected_production[Date],B1231)),"")</f>
        <v>5002.25</v>
      </c>
      <c r="E1231" s="9">
        <f t="shared" si="40"/>
        <v>0.83302513868759054</v>
      </c>
      <c r="F1231" t="str">
        <f t="shared" si="41"/>
        <v>Moderate</v>
      </c>
    </row>
    <row r="1232" spans="1:7" ht="15" customHeight="1" x14ac:dyDescent="0.3">
      <c r="A1232" t="s">
        <v>131</v>
      </c>
      <c r="B1232" s="2">
        <v>45474</v>
      </c>
      <c r="C1232" cm="1">
        <f t="array" ref="C1232">IFERROR(IF(SUMPRODUCT((measured[Site Name]=A1232)*(measured[Date]=B1232)*ISNUMBER(measured[Measured Value (kWh)]))=0,"",SUMIFS(measured[Measured Value (kWh)],measured[Site Name],A1232,measured[Date],B1232)),"")</f>
        <v>4515</v>
      </c>
      <c r="D1232" cm="1">
        <f t="array" ref="D1232">IFERROR(IF(SUMPRODUCT((expected_production[Site Name]=A1232)*(expected_production[Date]=B1232)*ISNUMBER(expected_production[Expected Production (kWh)]))=0,"",SUMIFS(expected_production[Expected Production (kWh)],expected_production[Site Name],A1232,expected_production[Date],B1232)),"")</f>
        <v>5383.9</v>
      </c>
      <c r="E1232" s="9">
        <f t="shared" si="40"/>
        <v>0.83861141551663299</v>
      </c>
      <c r="F1232" t="str">
        <f t="shared" si="41"/>
        <v>Moderate</v>
      </c>
    </row>
    <row r="1233" spans="1:6" ht="15" customHeight="1" x14ac:dyDescent="0.3">
      <c r="A1233" t="s">
        <v>131</v>
      </c>
      <c r="B1233" s="2">
        <v>45505</v>
      </c>
      <c r="C1233" cm="1">
        <f t="array" ref="C1233">IFERROR(IF(SUMPRODUCT((measured[Site Name]=A1233)*(measured[Date]=B1233)*ISNUMBER(measured[Measured Value (kWh)]))=0,"",SUMIFS(measured[Measured Value (kWh)],measured[Site Name],A1233,measured[Date],B1233)),"")</f>
        <v>4113</v>
      </c>
      <c r="D1233" cm="1">
        <f t="array" ref="D1233">IFERROR(IF(SUMPRODUCT((expected_production[Site Name]=A1233)*(expected_production[Date]=B1233)*ISNUMBER(expected_production[Expected Production (kWh)]))=0,"",SUMIFS(expected_production[Expected Production (kWh)],expected_production[Site Name],A1233,expected_production[Date],B1233)),"")</f>
        <v>5638.05</v>
      </c>
      <c r="E1233" s="9">
        <f t="shared" si="40"/>
        <v>0.72950754250139671</v>
      </c>
      <c r="F1233" t="str">
        <f t="shared" si="41"/>
        <v>Moderate</v>
      </c>
    </row>
    <row r="1234" spans="1:6" ht="15" customHeight="1" x14ac:dyDescent="0.3">
      <c r="A1234" t="s">
        <v>131</v>
      </c>
      <c r="B1234" s="2">
        <v>45536</v>
      </c>
      <c r="C1234" cm="1">
        <f t="array" ref="C1234">IFERROR(IF(SUMPRODUCT((measured[Site Name]=A1234)*(measured[Date]=B1234)*ISNUMBER(measured[Measured Value (kWh)]))=0,"",SUMIFS(measured[Measured Value (kWh)],measured[Site Name],A1234,measured[Date],B1234)),"")</f>
        <v>3620</v>
      </c>
      <c r="D1234" cm="1">
        <f t="array" ref="D1234">IFERROR(IF(SUMPRODUCT((expected_production[Site Name]=A1234)*(expected_production[Date]=B1234)*ISNUMBER(expected_production[Expected Production (kWh)]))=0,"",SUMIFS(expected_production[Expected Production (kWh)],expected_production[Site Name],A1234,expected_production[Date],B1234)),"")</f>
        <v>5587.05</v>
      </c>
      <c r="E1234" s="9">
        <f t="shared" si="40"/>
        <v>0.64792690239034911</v>
      </c>
      <c r="F1234" t="str">
        <f t="shared" si="41"/>
        <v>Poor</v>
      </c>
    </row>
    <row r="1235" spans="1:6" ht="15" customHeight="1" x14ac:dyDescent="0.3">
      <c r="A1235" t="s">
        <v>131</v>
      </c>
      <c r="B1235" s="2">
        <v>45566</v>
      </c>
      <c r="C1235" cm="1">
        <f t="array" ref="C1235">IFERROR(IF(SUMPRODUCT((measured[Site Name]=A1235)*(measured[Date]=B1235)*ISNUMBER(measured[Measured Value (kWh)]))=0,"",SUMIFS(measured[Measured Value (kWh)],measured[Site Name],A1235,measured[Date],B1235)),"")</f>
        <v>4760</v>
      </c>
      <c r="D1235" cm="1">
        <f t="array" ref="D1235">IFERROR(IF(SUMPRODUCT((expected_production[Site Name]=A1235)*(expected_production[Date]=B1235)*ISNUMBER(expected_production[Expected Production (kWh)]))=0,"",SUMIFS(expected_production[Expected Production (kWh)],expected_production[Site Name],A1235,expected_production[Date],B1235)),"")</f>
        <v>5491.85</v>
      </c>
      <c r="E1235" s="9">
        <f t="shared" si="40"/>
        <v>0.8667388949079089</v>
      </c>
      <c r="F1235" t="str">
        <f t="shared" si="41"/>
        <v>Moderate</v>
      </c>
    </row>
    <row r="1236" spans="1:6" ht="15" customHeight="1" x14ac:dyDescent="0.3">
      <c r="A1236" t="s">
        <v>131</v>
      </c>
      <c r="B1236" s="2">
        <v>45597</v>
      </c>
      <c r="C1236" cm="1">
        <f t="array" ref="C1236">IFERROR(IF(SUMPRODUCT((measured[Site Name]=A1236)*(measured[Date]=B1236)*ISNUMBER(measured[Measured Value (kWh)]))=0,"",SUMIFS(measured[Measured Value (kWh)],measured[Site Name],A1236,measured[Date],B1236)),"")</f>
        <v>3916</v>
      </c>
      <c r="D1236" cm="1">
        <f t="array" ref="D1236">IFERROR(IF(SUMPRODUCT((expected_production[Site Name]=A1236)*(expected_production[Date]=B1236)*ISNUMBER(expected_production[Expected Production (kWh)]))=0,"",SUMIFS(expected_production[Expected Production (kWh)],expected_production[Site Name],A1236,expected_production[Date],B1236)),"")</f>
        <v>5110.2</v>
      </c>
      <c r="E1236" s="9">
        <f t="shared" si="40"/>
        <v>0.76631051622245705</v>
      </c>
      <c r="F1236" t="str">
        <f t="shared" si="41"/>
        <v>Moderate</v>
      </c>
    </row>
    <row r="1237" spans="1:6" ht="15" customHeight="1" x14ac:dyDescent="0.3">
      <c r="A1237" t="s">
        <v>131</v>
      </c>
      <c r="B1237" s="2">
        <v>45627</v>
      </c>
      <c r="C1237" cm="1">
        <f t="array" ref="C1237">IFERROR(IF(SUMPRODUCT((measured[Site Name]=A1237)*(measured[Date]=B1237)*ISNUMBER(measured[Measured Value (kWh)]))=0,"",SUMIFS(measured[Measured Value (kWh)],measured[Site Name],A1237,measured[Date],B1237)),"")</f>
        <v>4124</v>
      </c>
      <c r="D1237" cm="1">
        <f t="array" ref="D1237">IFERROR(IF(SUMPRODUCT((expected_production[Site Name]=A1237)*(expected_production[Date]=B1237)*ISNUMBER(expected_production[Expected Production (kWh)]))=0,"",SUMIFS(expected_production[Expected Production (kWh)],expected_production[Site Name],A1237,expected_production[Date],B1237)),"")</f>
        <v>5223.25</v>
      </c>
      <c r="E1237" s="9">
        <f t="shared" si="40"/>
        <v>0.78954673814196141</v>
      </c>
      <c r="F1237" t="str">
        <f t="shared" si="41"/>
        <v>Moderate</v>
      </c>
    </row>
    <row r="1238" spans="1:6" ht="15" customHeight="1" x14ac:dyDescent="0.3">
      <c r="A1238" t="s">
        <v>131</v>
      </c>
      <c r="B1238" s="2">
        <v>45658</v>
      </c>
      <c r="C1238" cm="1">
        <f t="array" ref="C1238">IFERROR(IF(SUMPRODUCT((measured[Site Name]=A1238)*(measured[Date]=B1238)*ISNUMBER(measured[Measured Value (kWh)]))=0,"",SUMIFS(measured[Measured Value (kWh)],measured[Site Name],A1238,measured[Date],B1238)),"")</f>
        <v>3080</v>
      </c>
      <c r="D1238" cm="1">
        <f t="array" ref="D1238">IFERROR(IF(SUMPRODUCT((expected_production[Site Name]=A1238)*(expected_production[Date]=B1238)*ISNUMBER(expected_production[Expected Production (kWh)]))=0,"",SUMIFS(expected_production[Expected Production (kWh)],expected_production[Site Name],A1238,expected_production[Date],B1238)),"")</f>
        <v>5063.45</v>
      </c>
      <c r="E1238" s="9">
        <f t="shared" si="40"/>
        <v>0.60828091518628602</v>
      </c>
      <c r="F1238" t="str">
        <f t="shared" si="41"/>
        <v>Poor</v>
      </c>
    </row>
    <row r="1239" spans="1:6" ht="15" customHeight="1" x14ac:dyDescent="0.3">
      <c r="A1239" t="s">
        <v>131</v>
      </c>
      <c r="B1239" s="2">
        <v>45689</v>
      </c>
      <c r="C1239" cm="1">
        <f t="array" ref="C1239">IFERROR(IF(SUMPRODUCT((measured[Site Name]=A1239)*(measured[Date]=B1239)*ISNUMBER(measured[Measured Value (kWh)]))=0,"",SUMIFS(measured[Measured Value (kWh)],measured[Site Name],A1239,measured[Date],B1239)),"")</f>
        <v>2400</v>
      </c>
      <c r="D1239" cm="1">
        <f t="array" ref="D1239">IFERROR(IF(SUMPRODUCT((expected_production[Site Name]=A1239)*(expected_production[Date]=B1239)*ISNUMBER(expected_production[Expected Production (kWh)]))=0,"",SUMIFS(expected_production[Expected Production (kWh)],expected_production[Site Name],A1239,expected_production[Date],B1239)),"")</f>
        <v>4598.5</v>
      </c>
      <c r="E1239" s="9">
        <f t="shared" si="40"/>
        <v>0.52190931825595299</v>
      </c>
      <c r="F1239" t="str">
        <f t="shared" si="41"/>
        <v>Poor</v>
      </c>
    </row>
    <row r="1240" spans="1:6" ht="15" customHeight="1" x14ac:dyDescent="0.3">
      <c r="A1240" t="s">
        <v>131</v>
      </c>
      <c r="B1240" s="2">
        <v>45717</v>
      </c>
      <c r="C1240" cm="1">
        <f t="array" ref="C1240">IFERROR(IF(SUMPRODUCT((measured[Site Name]=A1240)*(measured[Date]=B1240)*ISNUMBER(measured[Measured Value (kWh)]))=0,"",SUMIFS(measured[Measured Value (kWh)],measured[Site Name],A1240,measured[Date],B1240)),"")</f>
        <v>2832</v>
      </c>
      <c r="D1240" cm="1">
        <f t="array" ref="D1240">IFERROR(IF(SUMPRODUCT((expected_production[Site Name]=A1240)*(expected_production[Date]=B1240)*ISNUMBER(expected_production[Expected Production (kWh)]))=0,"",SUMIFS(expected_production[Expected Production (kWh)],expected_production[Site Name],A1240,expected_production[Date],B1240)),"")</f>
        <v>5071.95</v>
      </c>
      <c r="E1240" s="9">
        <f t="shared" si="40"/>
        <v>0.5583651258391743</v>
      </c>
      <c r="F1240" t="str">
        <f t="shared" si="41"/>
        <v>Poor</v>
      </c>
    </row>
    <row r="1241" spans="1:6" ht="15" customHeight="1" x14ac:dyDescent="0.3">
      <c r="A1241" t="s">
        <v>131</v>
      </c>
      <c r="B1241" s="2">
        <v>45748</v>
      </c>
      <c r="C1241" cm="1">
        <f t="array" ref="C1241">IFERROR(IF(SUMPRODUCT((measured[Site Name]=A1241)*(measured[Date]=B1241)*ISNUMBER(measured[Measured Value (kWh)]))=0,"",SUMIFS(measured[Measured Value (kWh)],measured[Site Name],A1241,measured[Date],B1241)),"")</f>
        <v>2690</v>
      </c>
      <c r="D1241" cm="1">
        <f t="array" ref="D1241">IFERROR(IF(SUMPRODUCT((expected_production[Site Name]=A1241)*(expected_production[Date]=B1241)*ISNUMBER(expected_production[Expected Production (kWh)]))=0,"",SUMIFS(expected_production[Expected Production (kWh)],expected_production[Site Name],A1241,expected_production[Date],B1241)),"")</f>
        <v>4864.55</v>
      </c>
      <c r="E1241" s="9">
        <f t="shared" si="40"/>
        <v>0.55298023455406975</v>
      </c>
      <c r="F1241" t="str">
        <f t="shared" si="41"/>
        <v>Poor</v>
      </c>
    </row>
    <row r="1242" spans="1:6" ht="15" customHeight="1" x14ac:dyDescent="0.3">
      <c r="A1242" t="s">
        <v>131</v>
      </c>
      <c r="B1242" s="2">
        <v>45778</v>
      </c>
      <c r="C1242" cm="1">
        <f t="array" ref="C1242">IFERROR(IF(SUMPRODUCT((measured[Site Name]=A1242)*(measured[Date]=B1242)*ISNUMBER(measured[Measured Value (kWh)]))=0,"",SUMIFS(measured[Measured Value (kWh)],measured[Site Name],A1242,measured[Date],B1242)),"")</f>
        <v>3597</v>
      </c>
      <c r="D1242" cm="1">
        <f t="array" ref="D1242">IFERROR(IF(SUMPRODUCT((expected_production[Site Name]=A1242)*(expected_production[Date]=B1242)*ISNUMBER(expected_production[Expected Production (kWh)]))=0,"",SUMIFS(expected_production[Expected Production (kWh)],expected_production[Site Name],A1242,expected_production[Date],B1242)),"")</f>
        <v>5173.1000000000004</v>
      </c>
      <c r="E1242" s="9">
        <f t="shared" si="40"/>
        <v>0.69532775318474416</v>
      </c>
      <c r="F1242" t="str">
        <f t="shared" si="41"/>
        <v>Poor</v>
      </c>
    </row>
    <row r="1243" spans="1:6" ht="15" customHeight="1" x14ac:dyDescent="0.3">
      <c r="A1243" t="s">
        <v>131</v>
      </c>
      <c r="B1243" s="2">
        <v>45809</v>
      </c>
      <c r="C1243" cm="1">
        <f t="array" ref="C1243">IFERROR(IF(SUMPRODUCT((measured[Site Name]=A1243)*(measured[Date]=B1243)*ISNUMBER(measured[Measured Value (kWh)]))=0,"",SUMIFS(measured[Measured Value (kWh)],measured[Site Name],A1243,measured[Date],B1243)),"")</f>
        <v>4831.17</v>
      </c>
      <c r="D1243" cm="1">
        <f t="array" ref="D1243">IFERROR(IF(SUMPRODUCT((expected_production[Site Name]=A1243)*(expected_production[Date]=B1243)*ISNUMBER(expected_production[Expected Production (kWh)]))=0,"",SUMIFS(expected_production[Expected Production (kWh)],expected_production[Site Name],A1243,expected_production[Date],B1243)),"")</f>
        <v>5002.25</v>
      </c>
      <c r="E1243" s="9">
        <f t="shared" si="40"/>
        <v>0.96579939027437656</v>
      </c>
      <c r="F1243" t="str">
        <f t="shared" si="41"/>
        <v>Expected</v>
      </c>
    </row>
    <row r="1244" spans="1:6" ht="15" customHeight="1" x14ac:dyDescent="0.3">
      <c r="A1244" t="s">
        <v>131</v>
      </c>
      <c r="B1244" s="2">
        <v>45839</v>
      </c>
      <c r="C1244" cm="1">
        <f t="array" ref="C1244">IFERROR(IF(SUMPRODUCT((measured[Site Name]=A1244)*(measured[Date]=B1244)*ISNUMBER(measured[Measured Value (kWh)]))=0,"",SUMIFS(measured[Measured Value (kWh)],measured[Site Name],A1244,measured[Date],B1244)),"")</f>
        <v>5152</v>
      </c>
      <c r="D1244" cm="1">
        <f t="array" ref="D1244">IFERROR(IF(SUMPRODUCT((expected_production[Site Name]=A1244)*(expected_production[Date]=B1244)*ISNUMBER(expected_production[Expected Production (kWh)]))=0,"",SUMIFS(expected_production[Expected Production (kWh)],expected_production[Site Name],A1244,expected_production[Date],B1244)),"")</f>
        <v>5383.9</v>
      </c>
      <c r="E1244" s="9">
        <f t="shared" si="40"/>
        <v>0.95692713460502621</v>
      </c>
      <c r="F1244" t="str">
        <f t="shared" si="41"/>
        <v>Expected</v>
      </c>
    </row>
    <row r="1245" spans="1:6" ht="15" customHeight="1" x14ac:dyDescent="0.3">
      <c r="A1245" t="s">
        <v>131</v>
      </c>
      <c r="B1245" s="2">
        <v>45870</v>
      </c>
      <c r="C1245" cm="1">
        <f t="array" ref="C1245">IFERROR(IF(SUMPRODUCT((measured[Site Name]=A1245)*(measured[Date]=B1245)*ISNUMBER(measured[Measured Value (kWh)]))=0,"",SUMIFS(measured[Measured Value (kWh)],measured[Site Name],A1245,measured[Date],B1245)),"")</f>
        <v>5913</v>
      </c>
      <c r="D1245" cm="1">
        <f t="array" ref="D1245">IFERROR(IF(SUMPRODUCT((expected_production[Site Name]=A1245)*(expected_production[Date]=B1245)*ISNUMBER(expected_production[Expected Production (kWh)]))=0,"",SUMIFS(expected_production[Expected Production (kWh)],expected_production[Site Name],A1245,expected_production[Date],B1245)),"")</f>
        <v>5638.05</v>
      </c>
      <c r="E1245" s="9">
        <f t="shared" si="40"/>
        <v>1.0487668608827521</v>
      </c>
      <c r="F1245" t="str">
        <f t="shared" si="41"/>
        <v>Expected</v>
      </c>
    </row>
    <row r="1246" spans="1:6" ht="15" customHeight="1" x14ac:dyDescent="0.3">
      <c r="A1246" t="s">
        <v>131</v>
      </c>
      <c r="B1246" s="2">
        <v>45901</v>
      </c>
      <c r="C1246" cm="1">
        <f t="array" ref="C1246">IFERROR(IF(SUMPRODUCT((measured[Site Name]=A1246)*(measured[Date]=B1246)*ISNUMBER(measured[Measured Value (kWh)]))=0,"",SUMIFS(measured[Measured Value (kWh)],measured[Site Name],A1246,measured[Date],B1246)),"")</f>
        <v>5163</v>
      </c>
      <c r="D1246" cm="1">
        <f t="array" ref="D1246">IFERROR(IF(SUMPRODUCT((expected_production[Site Name]=A1246)*(expected_production[Date]=B1246)*ISNUMBER(expected_production[Expected Production (kWh)]))=0,"",SUMIFS(expected_production[Expected Production (kWh)],expected_production[Site Name],A1246,expected_production[Date],B1246)),"")</f>
        <v>5587.05</v>
      </c>
      <c r="E1246" s="9">
        <f t="shared" si="40"/>
        <v>0.92410126990093155</v>
      </c>
      <c r="F1246" t="str">
        <f t="shared" si="41"/>
        <v>Expected</v>
      </c>
    </row>
    <row r="1247" spans="1:6" ht="15" customHeight="1" x14ac:dyDescent="0.3">
      <c r="A1247" t="s">
        <v>131</v>
      </c>
      <c r="B1247" s="2">
        <v>45931</v>
      </c>
      <c r="C1247" cm="1">
        <f t="array" ref="C1247">IFERROR(IF(SUMPRODUCT((measured[Site Name]=A1247)*(measured[Date]=B1247)*ISNUMBER(measured[Measured Value (kWh)]))=0,"",SUMIFS(measured[Measured Value (kWh)],measured[Site Name],A1247,measured[Date],B1247)),"")</f>
        <v>5859</v>
      </c>
      <c r="D1247" cm="1">
        <f t="array" ref="D1247">IFERROR(IF(SUMPRODUCT((expected_production[Site Name]=A1247)*(expected_production[Date]=B1247)*ISNUMBER(expected_production[Expected Production (kWh)]))=0,"",SUMIFS(expected_production[Expected Production (kWh)],expected_production[Site Name],A1247,expected_production[Date],B1247)),"")</f>
        <v>5491.85</v>
      </c>
      <c r="E1247" s="9">
        <f t="shared" si="40"/>
        <v>1.066853610349882</v>
      </c>
      <c r="F1247" t="str">
        <f t="shared" si="41"/>
        <v>Expected</v>
      </c>
    </row>
    <row r="1248" spans="1:6" ht="15" customHeight="1" x14ac:dyDescent="0.3">
      <c r="A1248" t="s">
        <v>131</v>
      </c>
      <c r="B1248" s="2">
        <v>45962</v>
      </c>
      <c r="C1248" cm="1">
        <f t="array" ref="C1248">IFERROR(IF(SUMPRODUCT((measured[Site Name]=A1248)*(measured[Date]=B1248)*ISNUMBER(measured[Measured Value (kWh)]))=0,"",SUMIFS(measured[Measured Value (kWh)],measured[Site Name],A1248,measured[Date],B1248)),"")</f>
        <v>4665</v>
      </c>
      <c r="D1248" cm="1">
        <f t="array" ref="D1248">IFERROR(IF(SUMPRODUCT((expected_production[Site Name]=A1248)*(expected_production[Date]=B1248)*ISNUMBER(expected_production[Expected Production (kWh)]))=0,"",SUMIFS(expected_production[Expected Production (kWh)],expected_production[Site Name],A1248,expected_production[Date],B1248)),"")</f>
        <v>5110.2</v>
      </c>
      <c r="E1248" s="9">
        <f t="shared" si="40"/>
        <v>0.91288012210872371</v>
      </c>
      <c r="F1248" t="str">
        <f t="shared" si="41"/>
        <v>Expected</v>
      </c>
    </row>
    <row r="1249" spans="1:7" ht="15" customHeight="1" x14ac:dyDescent="0.3">
      <c r="A1249" t="s">
        <v>131</v>
      </c>
      <c r="B1249" s="2">
        <v>45992</v>
      </c>
      <c r="C1249" cm="1">
        <f t="array" ref="C1249">IFERROR(IF(SUMPRODUCT((measured[Site Name]=A1249)*(measured[Date]=B1249)*ISNUMBER(measured[Measured Value (kWh)]))=0,"",SUMIFS(measured[Measured Value (kWh)],measured[Site Name],A1249,measured[Date],B1249)),"")</f>
        <v>5472</v>
      </c>
      <c r="D1249" cm="1">
        <f t="array" ref="D1249">IFERROR(IF(SUMPRODUCT((expected_production[Site Name]=A1249)*(expected_production[Date]=B1249)*ISNUMBER(expected_production[Expected Production (kWh)]))=0,"",SUMIFS(expected_production[Expected Production (kWh)],expected_production[Site Name],A1249,expected_production[Date],B1249)),"")</f>
        <v>5223.25</v>
      </c>
      <c r="E1249" s="9">
        <f t="shared" si="40"/>
        <v>1.0476236059924378</v>
      </c>
      <c r="F1249" t="str">
        <f t="shared" si="41"/>
        <v>Expected</v>
      </c>
    </row>
    <row r="1250" spans="1:7" ht="15" customHeight="1" x14ac:dyDescent="0.3">
      <c r="A1250" t="s">
        <v>131</v>
      </c>
      <c r="B1250" s="2">
        <v>46023</v>
      </c>
      <c r="C1250" cm="1">
        <f t="array" ref="C1250">IFERROR(IF(SUMPRODUCT((measured[Site Name]=A1250)*(measured[Date]=B1250)*ISNUMBER(measured[Measured Value (kWh)]))=0,"",SUMIFS(measured[Measured Value (kWh)],measured[Site Name],A1250,measured[Date],B1250)),"")</f>
        <v>5579.67</v>
      </c>
      <c r="D1250" cm="1">
        <f t="array" ref="D1250">IFERROR(IF(SUMPRODUCT((expected_production[Site Name]=A1250)*(expected_production[Date]=B1250)*ISNUMBER(expected_production[Expected Production (kWh)]))=0,"",SUMIFS(expected_production[Expected Production (kWh)],expected_production[Site Name],A1250,expected_production[Date],B1250)),"")</f>
        <v>5063.45</v>
      </c>
      <c r="E1250" s="9">
        <f t="shared" si="40"/>
        <v>1.1019502513108652</v>
      </c>
      <c r="F1250" t="str">
        <f t="shared" si="41"/>
        <v>Expected</v>
      </c>
    </row>
    <row r="1251" spans="1:7" ht="15" customHeight="1" x14ac:dyDescent="0.3">
      <c r="A1251" t="s">
        <v>131</v>
      </c>
      <c r="B1251" s="2">
        <v>46054</v>
      </c>
      <c r="C1251" cm="1">
        <f t="array" ref="C1251">IFERROR(IF(SUMPRODUCT((measured[Site Name]=A1251)*(measured[Date]=B1251)*ISNUMBER(measured[Measured Value (kWh)]))=0,"",SUMIFS(measured[Measured Value (kWh)],measured[Site Name],A1251,measured[Date],B1251)),"")</f>
        <v>4787</v>
      </c>
      <c r="D1251" cm="1">
        <f t="array" ref="D1251">IFERROR(IF(SUMPRODUCT((expected_production[Site Name]=A1251)*(expected_production[Date]=B1251)*ISNUMBER(expected_production[Expected Production (kWh)]))=0,"",SUMIFS(expected_production[Expected Production (kWh)],expected_production[Site Name],A1251,expected_production[Date],B1251)),"")</f>
        <v>4598.5</v>
      </c>
      <c r="E1251" s="9">
        <f t="shared" si="40"/>
        <v>1.0409916277046862</v>
      </c>
      <c r="F1251" t="str">
        <f t="shared" si="41"/>
        <v>Expected</v>
      </c>
    </row>
    <row r="1252" spans="1:7" ht="15" customHeight="1" x14ac:dyDescent="0.3">
      <c r="A1252" t="s">
        <v>131</v>
      </c>
      <c r="B1252" s="2">
        <v>46082</v>
      </c>
      <c r="C1252" cm="1">
        <f t="array" ref="C1252">IFERROR(IF(SUMPRODUCT((measured[Site Name]=A1252)*(measured[Date]=B1252)*ISNUMBER(measured[Measured Value (kWh)]))=0,"",SUMIFS(measured[Measured Value (kWh)],measured[Site Name],A1252,measured[Date],B1252)),"")</f>
        <v>4406</v>
      </c>
      <c r="D1252" cm="1">
        <f t="array" ref="D1252">IFERROR(IF(SUMPRODUCT((expected_production[Site Name]=A1252)*(expected_production[Date]=B1252)*ISNUMBER(expected_production[Expected Production (kWh)]))=0,"",SUMIFS(expected_production[Expected Production (kWh)],expected_production[Site Name],A1252,expected_production[Date],B1252)),"")</f>
        <v>5071.95</v>
      </c>
      <c r="E1252" s="9">
        <f t="shared" si="40"/>
        <v>0.86869941541221818</v>
      </c>
      <c r="F1252" t="str">
        <f t="shared" si="41"/>
        <v>Moderate</v>
      </c>
    </row>
    <row r="1253" spans="1:7" ht="15" customHeight="1" x14ac:dyDescent="0.3">
      <c r="A1253" t="s">
        <v>131</v>
      </c>
      <c r="B1253" s="2">
        <v>46113</v>
      </c>
      <c r="C1253" s="5" cm="1">
        <f t="array" ref="C1253">IFERROR(IF(SUMPRODUCT((measured[Site Name]=A1253)*(measured[Date]=B1253)*ISNUMBER(measured[Measured Value (kWh)]))=0,"",SUMIFS(measured[Measured Value (kWh)],measured[Site Name],A1253,measured[Date],B1253)),"")</f>
        <v>4506.8</v>
      </c>
      <c r="D1253" cm="1">
        <f t="array" ref="D1253">IFERROR(IF(SUMPRODUCT((expected_production[Site Name]=A1253)*(expected_production[Date]=B1253)*ISNUMBER(expected_production[Expected Production (kWh)]))=0,"",SUMIFS(expected_production[Expected Production (kWh)],expected_production[Site Name],A1253,expected_production[Date],B1253)),"")</f>
        <v>4864.55</v>
      </c>
      <c r="E1253" s="9">
        <f t="shared" si="40"/>
        <v>0.92645774018151728</v>
      </c>
      <c r="F1253" t="str">
        <f t="shared" si="41"/>
        <v>Expected</v>
      </c>
    </row>
    <row r="1254" spans="1:7" ht="15" customHeight="1" x14ac:dyDescent="0.3">
      <c r="A1254" t="s">
        <v>131</v>
      </c>
      <c r="B1254" s="2">
        <v>46143</v>
      </c>
      <c r="C1254" s="5" cm="1">
        <f t="array" ref="C1254">IFERROR(IF(SUMPRODUCT((measured[Site Name]=A1254)*(measured[Date]=B1254)*ISNUMBER(measured[Measured Value (kWh)]))=0,"",SUMIFS(measured[Measured Value (kWh)],measured[Site Name],A1254,measured[Date],B1254)),"")</f>
        <v>5143.42</v>
      </c>
      <c r="D1254" cm="1">
        <f t="array" ref="D1254">IFERROR(IF(SUMPRODUCT((expected_production[Site Name]=A1254)*(expected_production[Date]=B1254)*ISNUMBER(expected_production[Expected Production (kWh)]))=0,"",SUMIFS(expected_production[Expected Production (kWh)],expected_production[Site Name],A1254,expected_production[Date],B1254)),"")</f>
        <v>5173.1000000000004</v>
      </c>
      <c r="E1254" s="9">
        <f t="shared" si="40"/>
        <v>0.99426262782470853</v>
      </c>
      <c r="F1254" t="str">
        <f t="shared" si="41"/>
        <v>Expected</v>
      </c>
    </row>
    <row r="1255" spans="1:7" ht="15" customHeight="1" x14ac:dyDescent="0.3">
      <c r="A1255" t="s">
        <v>131</v>
      </c>
      <c r="B1255" s="2">
        <v>46174</v>
      </c>
      <c r="C1255" cm="1">
        <f t="array" ref="C1255">IFERROR(IF(SUMPRODUCT((measured[Site Name]=A1255)*(measured[Date]=B1255)*ISNUMBER(measured[Measured Value (kWh)]))=0,"",SUMIFS(measured[Measured Value (kWh)],measured[Site Name],A1255,measured[Date],B1255)),"")</f>
        <v>4820.5</v>
      </c>
      <c r="D1255" cm="1">
        <f t="array" ref="D1255">IFERROR(IF(SUMPRODUCT((expected_production[Site Name]=A1255)*(expected_production[Date]=B1255)*ISNUMBER(expected_production[Expected Production (kWh)]))=0,"",SUMIFS(expected_production[Expected Production (kWh)],expected_production[Site Name],A1255,expected_production[Date],B1255)),"")</f>
        <v>5002.25</v>
      </c>
      <c r="E1255" s="9">
        <f t="shared" si="40"/>
        <v>0.96366635014243596</v>
      </c>
      <c r="F1255" t="str">
        <f t="shared" si="41"/>
        <v>Expected</v>
      </c>
    </row>
    <row r="1256" spans="1:7" ht="15" customHeight="1" x14ac:dyDescent="0.3">
      <c r="A1256" t="s">
        <v>124</v>
      </c>
      <c r="B1256" s="2">
        <v>46204</v>
      </c>
      <c r="C1256" cm="1">
        <f t="array" ref="C1256">IFERROR(IF(SUMPRODUCT((measured[Site Name]=A1256)*(measured[Date]=B1256)*ISNUMBER(measured[Measured Value (kWh)]))=0,"",SUMIFS(measured[Measured Value (kWh)],measured[Site Name],A1256,measured[Date],B1256)),"")</f>
        <v>40997.122360000001</v>
      </c>
      <c r="D1256" cm="1">
        <f t="array" ref="D1256">IFERROR(IF(SUMPRODUCT((expected_production[Site Name]=A1256)*(expected_production[Date]=B1256)*ISNUMBER(expected_production[Expected Production (kWh)]))=0,"",SUMIFS(expected_production[Expected Production (kWh)],expected_production[Site Name],A1256,expected_production[Date],B1256)),"")</f>
        <v>43977.3</v>
      </c>
      <c r="E1256" s="9">
        <f t="shared" si="40"/>
        <v>0.93223372876461263</v>
      </c>
      <c r="F1256" t="str">
        <f t="shared" si="41"/>
        <v>Expected</v>
      </c>
      <c r="G1256" t="s">
        <v>874</v>
      </c>
    </row>
    <row r="1257" spans="1:7" ht="15" customHeight="1" x14ac:dyDescent="0.3">
      <c r="A1257" t="s">
        <v>131</v>
      </c>
      <c r="B1257" s="2">
        <v>46235</v>
      </c>
      <c r="C1257" t="str" cm="1">
        <f t="array" ref="C1257">IFERROR(IF(SUMPRODUCT((measured[Site Name]=A1257)*(measured[Date]=B1257)*ISNUMBER(measured[Measured Value (kWh)]))=0,"",SUMIFS(measured[Measured Value (kWh)],measured[Site Name],A1257,measured[Date],B1257)),"")</f>
        <v/>
      </c>
      <c r="D1257" cm="1">
        <f t="array" ref="D1257">IFERROR(IF(SUMPRODUCT((expected_production[Site Name]=A1257)*(expected_production[Date]=B1257)*ISNUMBER(expected_production[Expected Production (kWh)]))=0,"",SUMIFS(expected_production[Expected Production (kWh)],expected_production[Site Name],A1257,expected_production[Date],B1257)),"")</f>
        <v>5638.05</v>
      </c>
      <c r="E1257" s="9" t="str">
        <f t="shared" si="40"/>
        <v/>
      </c>
      <c r="F1257" t="str">
        <f t="shared" si="41"/>
        <v/>
      </c>
    </row>
    <row r="1258" spans="1:7" ht="15" customHeight="1" x14ac:dyDescent="0.3">
      <c r="A1258" t="s">
        <v>131</v>
      </c>
      <c r="B1258" s="2">
        <v>46266</v>
      </c>
      <c r="C1258" t="str" cm="1">
        <f t="array" ref="C1258">IFERROR(IF(SUMPRODUCT((measured[Site Name]=A1258)*(measured[Date]=B1258)*ISNUMBER(measured[Measured Value (kWh)]))=0,"",SUMIFS(measured[Measured Value (kWh)],measured[Site Name],A1258,measured[Date],B1258)),"")</f>
        <v/>
      </c>
      <c r="D1258" cm="1">
        <f t="array" ref="D1258">IFERROR(IF(SUMPRODUCT((expected_production[Site Name]=A1258)*(expected_production[Date]=B1258)*ISNUMBER(expected_production[Expected Production (kWh)]))=0,"",SUMIFS(expected_production[Expected Production (kWh)],expected_production[Site Name],A1258,expected_production[Date],B1258)),"")</f>
        <v>5587.05</v>
      </c>
      <c r="E1258" s="9" t="str">
        <f t="shared" si="40"/>
        <v/>
      </c>
      <c r="F1258" t="str">
        <f t="shared" si="41"/>
        <v/>
      </c>
    </row>
    <row r="1259" spans="1:7" ht="15" customHeight="1" x14ac:dyDescent="0.3">
      <c r="A1259" t="s">
        <v>131</v>
      </c>
      <c r="B1259" s="2">
        <v>46296</v>
      </c>
      <c r="C1259" t="str" cm="1">
        <f t="array" ref="C1259">IFERROR(IF(SUMPRODUCT((measured[Site Name]=A1259)*(measured[Date]=B1259)*ISNUMBER(measured[Measured Value (kWh)]))=0,"",SUMIFS(measured[Measured Value (kWh)],measured[Site Name],A1259,measured[Date],B1259)),"")</f>
        <v/>
      </c>
      <c r="D1259" cm="1">
        <f t="array" ref="D1259">IFERROR(IF(SUMPRODUCT((expected_production[Site Name]=A1259)*(expected_production[Date]=B1259)*ISNUMBER(expected_production[Expected Production (kWh)]))=0,"",SUMIFS(expected_production[Expected Production (kWh)],expected_production[Site Name],A1259,expected_production[Date],B1259)),"")</f>
        <v>5491.85</v>
      </c>
      <c r="E1259" s="9" t="str">
        <f t="shared" si="40"/>
        <v/>
      </c>
      <c r="F1259" t="str">
        <f t="shared" si="41"/>
        <v/>
      </c>
    </row>
    <row r="1260" spans="1:7" ht="15" customHeight="1" x14ac:dyDescent="0.3">
      <c r="A1260" t="s">
        <v>131</v>
      </c>
      <c r="B1260" s="2">
        <v>46327</v>
      </c>
      <c r="C1260" t="str" cm="1">
        <f t="array" ref="C1260">IFERROR(IF(SUMPRODUCT((measured[Site Name]=A1260)*(measured[Date]=B1260)*ISNUMBER(measured[Measured Value (kWh)]))=0,"",SUMIFS(measured[Measured Value (kWh)],measured[Site Name],A1260,measured[Date],B1260)),"")</f>
        <v/>
      </c>
      <c r="D1260" cm="1">
        <f t="array" ref="D1260">IFERROR(IF(SUMPRODUCT((expected_production[Site Name]=A1260)*(expected_production[Date]=B1260)*ISNUMBER(expected_production[Expected Production (kWh)]))=0,"",SUMIFS(expected_production[Expected Production (kWh)],expected_production[Site Name],A1260,expected_production[Date],B1260)),"")</f>
        <v>5110.2</v>
      </c>
      <c r="E1260" s="9" t="str">
        <f t="shared" si="40"/>
        <v/>
      </c>
      <c r="F1260" t="str">
        <f t="shared" si="41"/>
        <v/>
      </c>
    </row>
    <row r="1261" spans="1:7" ht="15" customHeight="1" x14ac:dyDescent="0.3">
      <c r="A1261" t="s">
        <v>131</v>
      </c>
      <c r="B1261" s="2">
        <v>46357</v>
      </c>
      <c r="C1261" t="str" cm="1">
        <f t="array" ref="C1261">IFERROR(IF(SUMPRODUCT((measured[Site Name]=A1261)*(measured[Date]=B1261)*ISNUMBER(measured[Measured Value (kWh)]))=0,"",SUMIFS(measured[Measured Value (kWh)],measured[Site Name],A1261,measured[Date],B1261)),"")</f>
        <v/>
      </c>
      <c r="D1261" cm="1">
        <f t="array" ref="D1261">IFERROR(IF(SUMPRODUCT((expected_production[Site Name]=A1261)*(expected_production[Date]=B1261)*ISNUMBER(expected_production[Expected Production (kWh)]))=0,"",SUMIFS(expected_production[Expected Production (kWh)],expected_production[Site Name],A1261,expected_production[Date],B1261)),"")</f>
        <v>5223.25</v>
      </c>
      <c r="E1261" s="9" t="str">
        <f t="shared" si="40"/>
        <v/>
      </c>
      <c r="F1261" t="str">
        <f t="shared" si="41"/>
        <v/>
      </c>
    </row>
    <row r="1262" spans="1:7" ht="15" customHeight="1" x14ac:dyDescent="0.3">
      <c r="A1262" t="s">
        <v>134</v>
      </c>
      <c r="B1262" s="2">
        <v>45292</v>
      </c>
      <c r="C1262" t="str" cm="1">
        <f t="array" ref="C1262">IFERROR(IF(SUMPRODUCT((measured[Site Name]=A1262)*(measured[Date]=B1262)*ISNUMBER(measured[Measured Value (kWh)]))=0,"",SUMIFS(measured[Measured Value (kWh)],measured[Site Name],A1262,measured[Date],B1262)),"")</f>
        <v/>
      </c>
      <c r="D1262" cm="1">
        <f t="array" ref="D1262">IFERROR(IF(SUMPRODUCT((expected_production[Site Name]=A1262)*(expected_production[Date]=B1262)*ISNUMBER(expected_production[Expected Production (kWh)]))=0,"",SUMIFS(expected_production[Expected Production (kWh)],expected_production[Site Name],A1262,expected_production[Date],B1262)),"")</f>
        <v>40416.300000000003</v>
      </c>
      <c r="E1262" s="9" t="str">
        <f t="shared" si="40"/>
        <v/>
      </c>
      <c r="F1262" t="str">
        <f t="shared" si="41"/>
        <v/>
      </c>
    </row>
    <row r="1263" spans="1:7" ht="15" customHeight="1" x14ac:dyDescent="0.3">
      <c r="A1263" t="s">
        <v>134</v>
      </c>
      <c r="B1263" s="2">
        <v>45323</v>
      </c>
      <c r="C1263" t="str" cm="1">
        <f t="array" ref="C1263">IFERROR(IF(SUMPRODUCT((measured[Site Name]=A1263)*(measured[Date]=B1263)*ISNUMBER(measured[Measured Value (kWh)]))=0,"",SUMIFS(measured[Measured Value (kWh)],measured[Site Name],A1263,measured[Date],B1263)),"")</f>
        <v/>
      </c>
      <c r="D1263" cm="1">
        <f t="array" ref="D1263">IFERROR(IF(SUMPRODUCT((expected_production[Site Name]=A1263)*(expected_production[Date]=B1263)*ISNUMBER(expected_production[Expected Production (kWh)]))=0,"",SUMIFS(expected_production[Expected Production (kWh)],expected_production[Site Name],A1263,expected_production[Date],B1263)),"")</f>
        <v>33988.5</v>
      </c>
      <c r="E1263" s="9" t="str">
        <f t="shared" si="40"/>
        <v/>
      </c>
      <c r="F1263" t="str">
        <f t="shared" si="41"/>
        <v/>
      </c>
    </row>
    <row r="1264" spans="1:7" ht="15" customHeight="1" x14ac:dyDescent="0.3">
      <c r="A1264" t="s">
        <v>134</v>
      </c>
      <c r="B1264" s="2">
        <v>45352</v>
      </c>
      <c r="C1264" cm="1">
        <f t="array" ref="C1264">IFERROR(IF(SUMPRODUCT((measured[Site Name]=A1264)*(measured[Date]=B1264)*ISNUMBER(measured[Measured Value (kWh)]))=0,"",SUMIFS(measured[Measured Value (kWh)],measured[Site Name],A1264,measured[Date],B1264)),"")</f>
        <v>41550.800000000003</v>
      </c>
      <c r="D1264" cm="1">
        <f t="array" ref="D1264">IFERROR(IF(SUMPRODUCT((expected_production[Site Name]=A1264)*(expected_production[Date]=B1264)*ISNUMBER(expected_production[Expected Production (kWh)]))=0,"",SUMIFS(expected_production[Expected Production (kWh)],expected_production[Site Name],A1264,expected_production[Date],B1264)),"")</f>
        <v>35132.400000000001</v>
      </c>
      <c r="E1264" s="9">
        <f t="shared" si="40"/>
        <v>1.1826917603124183</v>
      </c>
      <c r="F1264" t="str">
        <f t="shared" si="41"/>
        <v>Expected</v>
      </c>
    </row>
    <row r="1265" spans="1:6" ht="15" customHeight="1" x14ac:dyDescent="0.3">
      <c r="A1265" t="s">
        <v>134</v>
      </c>
      <c r="B1265" s="2">
        <v>45383</v>
      </c>
      <c r="C1265" cm="1">
        <f t="array" ref="C1265">IFERROR(IF(SUMPRODUCT((measured[Site Name]=A1265)*(measured[Date]=B1265)*ISNUMBER(measured[Measured Value (kWh)]))=0,"",SUMIFS(measured[Measured Value (kWh)],measured[Site Name],A1265,measured[Date],B1265)),"")</f>
        <v>25447.599999999999</v>
      </c>
      <c r="D1265" cm="1">
        <f t="array" ref="D1265">IFERROR(IF(SUMPRODUCT((expected_production[Site Name]=A1265)*(expected_production[Date]=B1265)*ISNUMBER(expected_production[Expected Production (kWh)]))=0,"",SUMIFS(expected_production[Expected Production (kWh)],expected_production[Site Name],A1265,expected_production[Date],B1265)),"")</f>
        <v>29903.4</v>
      </c>
      <c r="E1265" s="9">
        <f t="shared" si="40"/>
        <v>0.85099353250800902</v>
      </c>
      <c r="F1265" t="str">
        <f t="shared" si="41"/>
        <v>Moderate</v>
      </c>
    </row>
    <row r="1266" spans="1:6" ht="15" customHeight="1" x14ac:dyDescent="0.3">
      <c r="A1266" t="s">
        <v>134</v>
      </c>
      <c r="B1266" s="2">
        <v>45413</v>
      </c>
      <c r="C1266" cm="1">
        <f t="array" ref="C1266">IFERROR(IF(SUMPRODUCT((measured[Site Name]=A1266)*(measured[Date]=B1266)*ISNUMBER(measured[Measured Value (kWh)]))=0,"",SUMIFS(measured[Measured Value (kWh)],measured[Site Name],A1266,measured[Date],B1266)),"")</f>
        <v>28056</v>
      </c>
      <c r="D1266" cm="1">
        <f t="array" ref="D1266">IFERROR(IF(SUMPRODUCT((expected_production[Site Name]=A1266)*(expected_production[Date]=B1266)*ISNUMBER(expected_production[Expected Production (kWh)]))=0,"",SUMIFS(expected_production[Expected Production (kWh)],expected_production[Site Name],A1266,expected_production[Date],B1266)),"")</f>
        <v>28383.3</v>
      </c>
      <c r="E1266" s="9">
        <f t="shared" si="40"/>
        <v>0.9884685713077761</v>
      </c>
      <c r="F1266" t="str">
        <f t="shared" si="41"/>
        <v>Expected</v>
      </c>
    </row>
    <row r="1267" spans="1:6" ht="15" customHeight="1" x14ac:dyDescent="0.3">
      <c r="A1267" t="s">
        <v>134</v>
      </c>
      <c r="B1267" s="2">
        <v>45444</v>
      </c>
      <c r="C1267" cm="1">
        <f t="array" ref="C1267">IFERROR(IF(SUMPRODUCT((measured[Site Name]=A1267)*(measured[Date]=B1267)*ISNUMBER(measured[Measured Value (kWh)]))=0,"",SUMIFS(measured[Measured Value (kWh)],measured[Site Name],A1267,measured[Date],B1267)),"")</f>
        <v>27241</v>
      </c>
      <c r="D1267" cm="1">
        <f t="array" ref="D1267">IFERROR(IF(SUMPRODUCT((expected_production[Site Name]=A1267)*(expected_production[Date]=B1267)*ISNUMBER(expected_production[Expected Production (kWh)]))=0,"",SUMIFS(expected_production[Expected Production (kWh)],expected_production[Site Name],A1267,expected_production[Date],B1267)),"")</f>
        <v>25641.9</v>
      </c>
      <c r="E1267" s="9">
        <f t="shared" si="40"/>
        <v>1.0623627734294261</v>
      </c>
      <c r="F1267" t="str">
        <f t="shared" si="41"/>
        <v>Expected</v>
      </c>
    </row>
    <row r="1268" spans="1:6" ht="15" customHeight="1" x14ac:dyDescent="0.3">
      <c r="A1268" t="s">
        <v>134</v>
      </c>
      <c r="B1268" s="2">
        <v>45474</v>
      </c>
      <c r="C1268" cm="1">
        <f t="array" ref="C1268">IFERROR(IF(SUMPRODUCT((measured[Site Name]=A1268)*(measured[Date]=B1268)*ISNUMBER(measured[Measured Value (kWh)]))=0,"",SUMIFS(measured[Measured Value (kWh)],measured[Site Name],A1268,measured[Date],B1268)),"")</f>
        <v>31078</v>
      </c>
      <c r="D1268" cm="1">
        <f t="array" ref="D1268">IFERROR(IF(SUMPRODUCT((expected_production[Site Name]=A1268)*(expected_production[Date]=B1268)*ISNUMBER(expected_production[Expected Production (kWh)]))=0,"",SUMIFS(expected_production[Expected Production (kWh)],expected_production[Site Name],A1268,expected_production[Date],B1268)),"")</f>
        <v>28361.7</v>
      </c>
      <c r="E1268" s="9">
        <f t="shared" si="40"/>
        <v>1.0957735255644054</v>
      </c>
      <c r="F1268" t="str">
        <f t="shared" si="41"/>
        <v>Expected</v>
      </c>
    </row>
    <row r="1269" spans="1:6" ht="15" customHeight="1" x14ac:dyDescent="0.3">
      <c r="A1269" t="s">
        <v>134</v>
      </c>
      <c r="B1269" s="2">
        <v>45505</v>
      </c>
      <c r="C1269" cm="1">
        <f t="array" ref="C1269">IFERROR(IF(SUMPRODUCT((measured[Site Name]=A1269)*(measured[Date]=B1269)*ISNUMBER(measured[Measured Value (kWh)]))=0,"",SUMIFS(measured[Measured Value (kWh)],measured[Site Name],A1269,measured[Date],B1269)),"")</f>
        <v>33515</v>
      </c>
      <c r="D1269" cm="1">
        <f t="array" ref="D1269">IFERROR(IF(SUMPRODUCT((expected_production[Site Name]=A1269)*(expected_production[Date]=B1269)*ISNUMBER(expected_production[Expected Production (kWh)]))=0,"",SUMIFS(expected_production[Expected Production (kWh)],expected_production[Site Name],A1269,expected_production[Date],B1269)),"")</f>
        <v>33006.6</v>
      </c>
      <c r="E1269" s="9">
        <f t="shared" si="40"/>
        <v>1.0154029800100586</v>
      </c>
      <c r="F1269" t="str">
        <f t="shared" si="41"/>
        <v>Expected</v>
      </c>
    </row>
    <row r="1270" spans="1:6" ht="15" customHeight="1" x14ac:dyDescent="0.3">
      <c r="A1270" t="s">
        <v>134</v>
      </c>
      <c r="B1270" s="2">
        <v>45536</v>
      </c>
      <c r="C1270" cm="1">
        <f t="array" ref="C1270">IFERROR(IF(SUMPRODUCT((measured[Site Name]=A1270)*(measured[Date]=B1270)*ISNUMBER(measured[Measured Value (kWh)]))=0,"",SUMIFS(measured[Measured Value (kWh)],measured[Site Name],A1270,measured[Date],B1270)),"")</f>
        <v>34245</v>
      </c>
      <c r="D1270" cm="1">
        <f t="array" ref="D1270">IFERROR(IF(SUMPRODUCT((expected_production[Site Name]=A1270)*(expected_production[Date]=B1270)*ISNUMBER(expected_production[Expected Production (kWh)]))=0,"",SUMIFS(expected_production[Expected Production (kWh)],expected_production[Site Name],A1270,expected_production[Date],B1270)),"")</f>
        <v>36521.1</v>
      </c>
      <c r="E1270" s="9">
        <f t="shared" si="40"/>
        <v>0.93767712363537792</v>
      </c>
      <c r="F1270" t="str">
        <f t="shared" si="41"/>
        <v>Expected</v>
      </c>
    </row>
    <row r="1271" spans="1:6" ht="15" customHeight="1" x14ac:dyDescent="0.3">
      <c r="A1271" t="s">
        <v>134</v>
      </c>
      <c r="B1271" s="2">
        <v>45566</v>
      </c>
      <c r="C1271" cm="1">
        <f t="array" ref="C1271">IFERROR(IF(SUMPRODUCT((measured[Site Name]=A1271)*(measured[Date]=B1271)*ISNUMBER(measured[Measured Value (kWh)]))=0,"",SUMIFS(measured[Measured Value (kWh)],measured[Site Name],A1271,measured[Date],B1271)),"")</f>
        <v>46108</v>
      </c>
      <c r="D1271" cm="1">
        <f t="array" ref="D1271">IFERROR(IF(SUMPRODUCT((expected_production[Site Name]=A1271)*(expected_production[Date]=B1271)*ISNUMBER(expected_production[Expected Production (kWh)]))=0,"",SUMIFS(expected_production[Expected Production (kWh)],expected_production[Site Name],A1271,expected_production[Date],B1271)),"")</f>
        <v>39682.800000000003</v>
      </c>
      <c r="E1271" s="9">
        <f t="shared" si="40"/>
        <v>1.1619139778443053</v>
      </c>
      <c r="F1271" t="str">
        <f t="shared" si="41"/>
        <v>Expected</v>
      </c>
    </row>
    <row r="1272" spans="1:6" ht="15" customHeight="1" x14ac:dyDescent="0.3">
      <c r="A1272" t="s">
        <v>134</v>
      </c>
      <c r="B1272" s="2">
        <v>45597</v>
      </c>
      <c r="C1272" cm="1">
        <f t="array" ref="C1272">IFERROR(IF(SUMPRODUCT((measured[Site Name]=A1272)*(measured[Date]=B1272)*ISNUMBER(measured[Measured Value (kWh)]))=0,"",SUMIFS(measured[Measured Value (kWh)],measured[Site Name],A1272,measured[Date],B1272)),"")</f>
        <v>42922</v>
      </c>
      <c r="D1272" cm="1">
        <f t="array" ref="D1272">IFERROR(IF(SUMPRODUCT((expected_production[Site Name]=A1272)*(expected_production[Date]=B1272)*ISNUMBER(expected_production[Expected Production (kWh)]))=0,"",SUMIFS(expected_production[Expected Production (kWh)],expected_production[Site Name],A1272,expected_production[Date],B1272)),"")</f>
        <v>39748.5</v>
      </c>
      <c r="E1272" s="9">
        <f t="shared" si="40"/>
        <v>1.0798394907983948</v>
      </c>
      <c r="F1272" t="str">
        <f t="shared" si="41"/>
        <v>Expected</v>
      </c>
    </row>
    <row r="1273" spans="1:6" ht="15" customHeight="1" x14ac:dyDescent="0.3">
      <c r="A1273" t="s">
        <v>134</v>
      </c>
      <c r="B1273" s="2">
        <v>45627</v>
      </c>
      <c r="C1273" cm="1">
        <f t="array" ref="C1273">IFERROR(IF(SUMPRODUCT((measured[Site Name]=A1273)*(measured[Date]=B1273)*ISNUMBER(measured[Measured Value (kWh)]))=0,"",SUMIFS(measured[Measured Value (kWh)],measured[Site Name],A1273,measured[Date],B1273)),"")</f>
        <v>44138</v>
      </c>
      <c r="D1273" cm="1">
        <f t="array" ref="D1273">IFERROR(IF(SUMPRODUCT((expected_production[Site Name]=A1273)*(expected_production[Date]=B1273)*ISNUMBER(expected_production[Expected Production (kWh)]))=0,"",SUMIFS(expected_production[Expected Production (kWh)],expected_production[Site Name],A1273,expected_production[Date],B1273)),"")</f>
        <v>42519.6</v>
      </c>
      <c r="E1273" s="9">
        <f t="shared" si="40"/>
        <v>1.0380624464952635</v>
      </c>
      <c r="F1273" t="str">
        <f t="shared" si="41"/>
        <v>Expected</v>
      </c>
    </row>
    <row r="1274" spans="1:6" ht="15" customHeight="1" x14ac:dyDescent="0.3">
      <c r="A1274" t="s">
        <v>134</v>
      </c>
      <c r="B1274" s="2">
        <v>45658</v>
      </c>
      <c r="C1274" cm="1">
        <f t="array" ref="C1274">IFERROR(IF(SUMPRODUCT((measured[Site Name]=A1274)*(measured[Date]=B1274)*ISNUMBER(measured[Measured Value (kWh)]))=0,"",SUMIFS(measured[Measured Value (kWh)],measured[Site Name],A1274,measured[Date],B1274)),"")</f>
        <v>41100</v>
      </c>
      <c r="D1274" cm="1">
        <f t="array" ref="D1274">IFERROR(IF(SUMPRODUCT((expected_production[Site Name]=A1274)*(expected_production[Date]=B1274)*ISNUMBER(expected_production[Expected Production (kWh)]))=0,"",SUMIFS(expected_production[Expected Production (kWh)],expected_production[Site Name],A1274,expected_production[Date],B1274)),"")</f>
        <v>40416.300000000003</v>
      </c>
      <c r="E1274" s="9">
        <f t="shared" si="40"/>
        <v>1.016916442128547</v>
      </c>
      <c r="F1274" t="str">
        <f t="shared" si="41"/>
        <v>Expected</v>
      </c>
    </row>
    <row r="1275" spans="1:6" ht="15" customHeight="1" x14ac:dyDescent="0.3">
      <c r="A1275" t="s">
        <v>134</v>
      </c>
      <c r="B1275" s="2">
        <v>45689</v>
      </c>
      <c r="C1275" cm="1">
        <f t="array" ref="C1275">IFERROR(IF(SUMPRODUCT((measured[Site Name]=A1275)*(measured[Date]=B1275)*ISNUMBER(measured[Measured Value (kWh)]))=0,"",SUMIFS(measured[Measured Value (kWh)],measured[Site Name],A1275,measured[Date],B1275)),"")</f>
        <v>30900</v>
      </c>
      <c r="D1275" cm="1">
        <f t="array" ref="D1275">IFERROR(IF(SUMPRODUCT((expected_production[Site Name]=A1275)*(expected_production[Date]=B1275)*ISNUMBER(expected_production[Expected Production (kWh)]))=0,"",SUMIFS(expected_production[Expected Production (kWh)],expected_production[Site Name],A1275,expected_production[Date],B1275)),"")</f>
        <v>33988.5</v>
      </c>
      <c r="E1275" s="9">
        <f t="shared" si="40"/>
        <v>0.90913102961295733</v>
      </c>
      <c r="F1275" t="str">
        <f t="shared" si="41"/>
        <v>Expected</v>
      </c>
    </row>
    <row r="1276" spans="1:6" ht="15" customHeight="1" x14ac:dyDescent="0.3">
      <c r="A1276" t="s">
        <v>134</v>
      </c>
      <c r="B1276" s="2">
        <v>45717</v>
      </c>
      <c r="C1276" cm="1">
        <f t="array" ref="C1276">IFERROR(IF(SUMPRODUCT((measured[Site Name]=A1276)*(measured[Date]=B1276)*ISNUMBER(measured[Measured Value (kWh)]))=0,"",SUMIFS(measured[Measured Value (kWh)],measured[Site Name],A1276,measured[Date],B1276)),"")</f>
        <v>31593</v>
      </c>
      <c r="D1276" cm="1">
        <f t="array" ref="D1276">IFERROR(IF(SUMPRODUCT((expected_production[Site Name]=A1276)*(expected_production[Date]=B1276)*ISNUMBER(expected_production[Expected Production (kWh)]))=0,"",SUMIFS(expected_production[Expected Production (kWh)],expected_production[Site Name],A1276,expected_production[Date],B1276)),"")</f>
        <v>35132.400000000001</v>
      </c>
      <c r="E1276" s="9">
        <f t="shared" ref="E1276:E1339" si="42">IF(OR(C1276="",D1276="",D1276=0),"",C1276/D1276)</f>
        <v>0.89925538818868045</v>
      </c>
      <c r="F1276" t="str">
        <f t="shared" ref="F1276:F1339" si="43">IF(E1276="","",IF(E1276&gt;=0.9,"Expected",IF(E1276&gt;=0.7,"Moderate","Poor")))</f>
        <v>Moderate</v>
      </c>
    </row>
    <row r="1277" spans="1:6" ht="15" customHeight="1" x14ac:dyDescent="0.3">
      <c r="A1277" t="s">
        <v>134</v>
      </c>
      <c r="B1277" s="2">
        <v>45748</v>
      </c>
      <c r="C1277" cm="1">
        <f t="array" ref="C1277">IFERROR(IF(SUMPRODUCT((measured[Site Name]=A1277)*(measured[Date]=B1277)*ISNUMBER(measured[Measured Value (kWh)]))=0,"",SUMIFS(measured[Measured Value (kWh)],measured[Site Name],A1277,measured[Date],B1277)),"")</f>
        <v>25646</v>
      </c>
      <c r="D1277" cm="1">
        <f t="array" ref="D1277">IFERROR(IF(SUMPRODUCT((expected_production[Site Name]=A1277)*(expected_production[Date]=B1277)*ISNUMBER(expected_production[Expected Production (kWh)]))=0,"",SUMIFS(expected_production[Expected Production (kWh)],expected_production[Site Name],A1277,expected_production[Date],B1277)),"")</f>
        <v>29903.4</v>
      </c>
      <c r="E1277" s="9">
        <f t="shared" si="42"/>
        <v>0.8576282295658687</v>
      </c>
      <c r="F1277" t="str">
        <f t="shared" si="43"/>
        <v>Moderate</v>
      </c>
    </row>
    <row r="1278" spans="1:6" ht="15" customHeight="1" x14ac:dyDescent="0.3">
      <c r="A1278" t="s">
        <v>134</v>
      </c>
      <c r="B1278" s="2">
        <v>45778</v>
      </c>
      <c r="C1278" cm="1">
        <f t="array" ref="C1278">IFERROR(IF(SUMPRODUCT((measured[Site Name]=A1278)*(measured[Date]=B1278)*ISNUMBER(measured[Measured Value (kWh)]))=0,"",SUMIFS(measured[Measured Value (kWh)],measured[Site Name],A1278,measured[Date],B1278)),"")</f>
        <v>33184</v>
      </c>
      <c r="D1278" cm="1">
        <f t="array" ref="D1278">IFERROR(IF(SUMPRODUCT((expected_production[Site Name]=A1278)*(expected_production[Date]=B1278)*ISNUMBER(expected_production[Expected Production (kWh)]))=0,"",SUMIFS(expected_production[Expected Production (kWh)],expected_production[Site Name],A1278,expected_production[Date],B1278)),"")</f>
        <v>28383.3</v>
      </c>
      <c r="E1278" s="9">
        <f t="shared" si="42"/>
        <v>1.1691381904147862</v>
      </c>
      <c r="F1278" t="str">
        <f t="shared" si="43"/>
        <v>Expected</v>
      </c>
    </row>
    <row r="1279" spans="1:6" ht="15" customHeight="1" x14ac:dyDescent="0.3">
      <c r="A1279" t="s">
        <v>134</v>
      </c>
      <c r="B1279" s="2">
        <v>45809</v>
      </c>
      <c r="C1279" cm="1">
        <f t="array" ref="C1279">IFERROR(IF(SUMPRODUCT((measured[Site Name]=A1279)*(measured[Date]=B1279)*ISNUMBER(measured[Measured Value (kWh)]))=0,"",SUMIFS(measured[Measured Value (kWh)],measured[Site Name],A1279,measured[Date],B1279)),"")</f>
        <v>29359.5</v>
      </c>
      <c r="D1279" cm="1">
        <f t="array" ref="D1279">IFERROR(IF(SUMPRODUCT((expected_production[Site Name]=A1279)*(expected_production[Date]=B1279)*ISNUMBER(expected_production[Expected Production (kWh)]))=0,"",SUMIFS(expected_production[Expected Production (kWh)],expected_production[Site Name],A1279,expected_production[Date],B1279)),"")</f>
        <v>25641.9</v>
      </c>
      <c r="E1279" s="9">
        <f t="shared" si="42"/>
        <v>1.1449814561323459</v>
      </c>
      <c r="F1279" t="str">
        <f t="shared" si="43"/>
        <v>Expected</v>
      </c>
    </row>
    <row r="1280" spans="1:6" ht="15" customHeight="1" x14ac:dyDescent="0.3">
      <c r="A1280" t="s">
        <v>134</v>
      </c>
      <c r="B1280" s="2">
        <v>45839</v>
      </c>
      <c r="C1280" cm="1">
        <f t="array" ref="C1280">IFERROR(IF(SUMPRODUCT((measured[Site Name]=A1280)*(measured[Date]=B1280)*ISNUMBER(measured[Measured Value (kWh)]))=0,"",SUMIFS(measured[Measured Value (kWh)],measured[Site Name],A1280,measured[Date],B1280)),"")</f>
        <v>23487</v>
      </c>
      <c r="D1280" cm="1">
        <f t="array" ref="D1280">IFERROR(IF(SUMPRODUCT((expected_production[Site Name]=A1280)*(expected_production[Date]=B1280)*ISNUMBER(expected_production[Expected Production (kWh)]))=0,"",SUMIFS(expected_production[Expected Production (kWh)],expected_production[Site Name],A1280,expected_production[Date],B1280)),"")</f>
        <v>28361.7</v>
      </c>
      <c r="E1280" s="9">
        <f t="shared" si="42"/>
        <v>0.82812384307005571</v>
      </c>
      <c r="F1280" t="str">
        <f t="shared" si="43"/>
        <v>Moderate</v>
      </c>
    </row>
    <row r="1281" spans="1:7" ht="15" customHeight="1" x14ac:dyDescent="0.3">
      <c r="A1281" t="s">
        <v>134</v>
      </c>
      <c r="B1281" s="2">
        <v>45870</v>
      </c>
      <c r="C1281" cm="1">
        <f t="array" ref="C1281">IFERROR(IF(SUMPRODUCT((measured[Site Name]=A1281)*(measured[Date]=B1281)*ISNUMBER(measured[Measured Value (kWh)]))=0,"",SUMIFS(measured[Measured Value (kWh)],measured[Site Name],A1281,measured[Date],B1281)),"")</f>
        <v>34316</v>
      </c>
      <c r="D1281" cm="1">
        <f t="array" ref="D1281">IFERROR(IF(SUMPRODUCT((expected_production[Site Name]=A1281)*(expected_production[Date]=B1281)*ISNUMBER(expected_production[Expected Production (kWh)]))=0,"",SUMIFS(expected_production[Expected Production (kWh)],expected_production[Site Name],A1281,expected_production[Date],B1281)),"")</f>
        <v>33006.6</v>
      </c>
      <c r="E1281" s="9">
        <f t="shared" si="42"/>
        <v>1.0396708537080463</v>
      </c>
      <c r="F1281" t="str">
        <f t="shared" si="43"/>
        <v>Expected</v>
      </c>
    </row>
    <row r="1282" spans="1:7" ht="15" customHeight="1" x14ac:dyDescent="0.3">
      <c r="A1282" t="s">
        <v>134</v>
      </c>
      <c r="B1282" s="2">
        <v>45901</v>
      </c>
      <c r="C1282" cm="1">
        <f t="array" ref="C1282">IFERROR(IF(SUMPRODUCT((measured[Site Name]=A1282)*(measured[Date]=B1282)*ISNUMBER(measured[Measured Value (kWh)]))=0,"",SUMIFS(measured[Measured Value (kWh)],measured[Site Name],A1282,measured[Date],B1282)),"")</f>
        <v>33632.699999999997</v>
      </c>
      <c r="D1282" cm="1">
        <f t="array" ref="D1282">IFERROR(IF(SUMPRODUCT((expected_production[Site Name]=A1282)*(expected_production[Date]=B1282)*ISNUMBER(expected_production[Expected Production (kWh)]))=0,"",SUMIFS(expected_production[Expected Production (kWh)],expected_production[Site Name],A1282,expected_production[Date],B1282)),"")</f>
        <v>36521.1</v>
      </c>
      <c r="E1282" s="9">
        <f t="shared" si="42"/>
        <v>0.92091147309363619</v>
      </c>
      <c r="F1282" t="str">
        <f t="shared" si="43"/>
        <v>Expected</v>
      </c>
    </row>
    <row r="1283" spans="1:7" ht="15" customHeight="1" x14ac:dyDescent="0.3">
      <c r="A1283" t="s">
        <v>134</v>
      </c>
      <c r="B1283" s="2">
        <v>45931</v>
      </c>
      <c r="C1283" cm="1">
        <f t="array" ref="C1283">IFERROR(IF(SUMPRODUCT((measured[Site Name]=A1283)*(measured[Date]=B1283)*ISNUMBER(measured[Measured Value (kWh)]))=0,"",SUMIFS(measured[Measured Value (kWh)],measured[Site Name],A1283,measured[Date],B1283)),"")</f>
        <v>41353</v>
      </c>
      <c r="D1283" cm="1">
        <f t="array" ref="D1283">IFERROR(IF(SUMPRODUCT((expected_production[Site Name]=A1283)*(expected_production[Date]=B1283)*ISNUMBER(expected_production[Expected Production (kWh)]))=0,"",SUMIFS(expected_production[Expected Production (kWh)],expected_production[Site Name],A1283,expected_production[Date],B1283)),"")</f>
        <v>39682.800000000003</v>
      </c>
      <c r="E1283" s="9">
        <f t="shared" si="42"/>
        <v>1.0420887638977088</v>
      </c>
      <c r="F1283" t="str">
        <f t="shared" si="43"/>
        <v>Expected</v>
      </c>
    </row>
    <row r="1284" spans="1:7" ht="15" customHeight="1" x14ac:dyDescent="0.3">
      <c r="A1284" t="s">
        <v>134</v>
      </c>
      <c r="B1284" s="2">
        <v>45962</v>
      </c>
      <c r="C1284" cm="1">
        <f t="array" ref="C1284">IFERROR(IF(SUMPRODUCT((measured[Site Name]=A1284)*(measured[Date]=B1284)*ISNUMBER(measured[Measured Value (kWh)]))=0,"",SUMIFS(measured[Measured Value (kWh)],measured[Site Name],A1284,measured[Date],B1284)),"")</f>
        <v>44434</v>
      </c>
      <c r="D1284" cm="1">
        <f t="array" ref="D1284">IFERROR(IF(SUMPRODUCT((expected_production[Site Name]=A1284)*(expected_production[Date]=B1284)*ISNUMBER(expected_production[Expected Production (kWh)]))=0,"",SUMIFS(expected_production[Expected Production (kWh)],expected_production[Site Name],A1284,expected_production[Date],B1284)),"")</f>
        <v>39748.5</v>
      </c>
      <c r="E1284" s="9">
        <f t="shared" si="42"/>
        <v>1.1178786620878776</v>
      </c>
      <c r="F1284" t="str">
        <f t="shared" si="43"/>
        <v>Expected</v>
      </c>
    </row>
    <row r="1285" spans="1:7" ht="15" customHeight="1" x14ac:dyDescent="0.3">
      <c r="A1285" t="s">
        <v>134</v>
      </c>
      <c r="B1285" s="2">
        <v>45992</v>
      </c>
      <c r="C1285" cm="1">
        <f t="array" ref="C1285">IFERROR(IF(SUMPRODUCT((measured[Site Name]=A1285)*(measured[Date]=B1285)*ISNUMBER(measured[Measured Value (kWh)]))=0,"",SUMIFS(measured[Measured Value (kWh)],measured[Site Name],A1285,measured[Date],B1285)),"")</f>
        <v>40551</v>
      </c>
      <c r="D1285" cm="1">
        <f t="array" ref="D1285">IFERROR(IF(SUMPRODUCT((expected_production[Site Name]=A1285)*(expected_production[Date]=B1285)*ISNUMBER(expected_production[Expected Production (kWh)]))=0,"",SUMIFS(expected_production[Expected Production (kWh)],expected_production[Site Name],A1285,expected_production[Date],B1285)),"")</f>
        <v>42519.6</v>
      </c>
      <c r="E1285" s="9">
        <f t="shared" si="42"/>
        <v>0.95370135184714822</v>
      </c>
      <c r="F1285" t="str">
        <f t="shared" si="43"/>
        <v>Expected</v>
      </c>
    </row>
    <row r="1286" spans="1:7" ht="15" customHeight="1" x14ac:dyDescent="0.3">
      <c r="A1286" t="s">
        <v>134</v>
      </c>
      <c r="B1286" s="2">
        <v>46023</v>
      </c>
      <c r="C1286" cm="1">
        <f t="array" ref="C1286">IFERROR(IF(SUMPRODUCT((measured[Site Name]=A1286)*(measured[Date]=B1286)*ISNUMBER(measured[Measured Value (kWh)]))=0,"",SUMIFS(measured[Measured Value (kWh)],measured[Site Name],A1286,measured[Date],B1286)),"")</f>
        <v>42821</v>
      </c>
      <c r="D1286" cm="1">
        <f t="array" ref="D1286">IFERROR(IF(SUMPRODUCT((expected_production[Site Name]=A1286)*(expected_production[Date]=B1286)*ISNUMBER(expected_production[Expected Production (kWh)]))=0,"",SUMIFS(expected_production[Expected Production (kWh)],expected_production[Site Name],A1286,expected_production[Date],B1286)),"")</f>
        <v>40416.300000000003</v>
      </c>
      <c r="E1286" s="9">
        <f t="shared" si="42"/>
        <v>1.0594982717368981</v>
      </c>
      <c r="F1286" t="str">
        <f t="shared" si="43"/>
        <v>Expected</v>
      </c>
    </row>
    <row r="1287" spans="1:7" ht="15" customHeight="1" x14ac:dyDescent="0.3">
      <c r="A1287" t="s">
        <v>134</v>
      </c>
      <c r="B1287" s="2">
        <v>46054</v>
      </c>
      <c r="C1287" cm="1">
        <f t="array" ref="C1287">IFERROR(IF(SUMPRODUCT((measured[Site Name]=A1287)*(measured[Date]=B1287)*ISNUMBER(measured[Measured Value (kWh)]))=0,"",SUMIFS(measured[Measured Value (kWh)],measured[Site Name],A1287,measured[Date],B1287)),"")</f>
        <v>39129</v>
      </c>
      <c r="D1287" cm="1">
        <f t="array" ref="D1287">IFERROR(IF(SUMPRODUCT((expected_production[Site Name]=A1287)*(expected_production[Date]=B1287)*ISNUMBER(expected_production[Expected Production (kWh)]))=0,"",SUMIFS(expected_production[Expected Production (kWh)],expected_production[Site Name],A1287,expected_production[Date],B1287)),"")</f>
        <v>33988.5</v>
      </c>
      <c r="E1287" s="9">
        <f t="shared" si="42"/>
        <v>1.1512423319652236</v>
      </c>
      <c r="F1287" t="str">
        <f t="shared" si="43"/>
        <v>Expected</v>
      </c>
    </row>
    <row r="1288" spans="1:7" ht="15" customHeight="1" x14ac:dyDescent="0.3">
      <c r="A1288" t="s">
        <v>134</v>
      </c>
      <c r="B1288" s="2">
        <v>46082</v>
      </c>
      <c r="C1288" cm="1">
        <f t="array" ref="C1288">IFERROR(IF(SUMPRODUCT((measured[Site Name]=A1288)*(measured[Date]=B1288)*ISNUMBER(measured[Measured Value (kWh)]))=0,"",SUMIFS(measured[Measured Value (kWh)],measured[Site Name],A1288,measured[Date],B1288)),"")</f>
        <v>31935</v>
      </c>
      <c r="D1288" cm="1">
        <f t="array" ref="D1288">IFERROR(IF(SUMPRODUCT((expected_production[Site Name]=A1288)*(expected_production[Date]=B1288)*ISNUMBER(expected_production[Expected Production (kWh)]))=0,"",SUMIFS(expected_production[Expected Production (kWh)],expected_production[Site Name],A1288,expected_production[Date],B1288)),"")</f>
        <v>35132.400000000001</v>
      </c>
      <c r="E1288" s="9">
        <f t="shared" si="42"/>
        <v>0.90898999214400378</v>
      </c>
      <c r="F1288" t="str">
        <f t="shared" si="43"/>
        <v>Expected</v>
      </c>
    </row>
    <row r="1289" spans="1:7" ht="15" customHeight="1" x14ac:dyDescent="0.3">
      <c r="A1289" t="s">
        <v>134</v>
      </c>
      <c r="B1289" s="2">
        <v>46113</v>
      </c>
      <c r="C1289" s="5" cm="1">
        <f t="array" ref="C1289">IFERROR(IF(SUMPRODUCT((measured[Site Name]=A1289)*(measured[Date]=B1289)*ISNUMBER(measured[Measured Value (kWh)]))=0,"",SUMIFS(measured[Measured Value (kWh)],measured[Site Name],A1289,measured[Date],B1289)),"")</f>
        <v>26513.02</v>
      </c>
      <c r="D1289" cm="1">
        <f t="array" ref="D1289">IFERROR(IF(SUMPRODUCT((expected_production[Site Name]=A1289)*(expected_production[Date]=B1289)*ISNUMBER(expected_production[Expected Production (kWh)]))=0,"",SUMIFS(expected_production[Expected Production (kWh)],expected_production[Site Name],A1289,expected_production[Date],B1289)),"")</f>
        <v>29903.4</v>
      </c>
      <c r="E1289" s="9">
        <f t="shared" si="42"/>
        <v>0.88662225700087616</v>
      </c>
      <c r="F1289" t="str">
        <f t="shared" si="43"/>
        <v>Moderate</v>
      </c>
    </row>
    <row r="1290" spans="1:7" ht="15" customHeight="1" x14ac:dyDescent="0.3">
      <c r="A1290" t="s">
        <v>134</v>
      </c>
      <c r="B1290" s="2">
        <v>46143</v>
      </c>
      <c r="C1290" s="5" cm="1">
        <f t="array" ref="C1290">IFERROR(IF(SUMPRODUCT((measured[Site Name]=A1290)*(measured[Date]=B1290)*ISNUMBER(measured[Measured Value (kWh)]))=0,"",SUMIFS(measured[Measured Value (kWh)],measured[Site Name],A1290,measured[Date],B1290)),"")</f>
        <v>29984.36</v>
      </c>
      <c r="D1290" cm="1">
        <f t="array" ref="D1290">IFERROR(IF(SUMPRODUCT((expected_production[Site Name]=A1290)*(expected_production[Date]=B1290)*ISNUMBER(expected_production[Expected Production (kWh)]))=0,"",SUMIFS(expected_production[Expected Production (kWh)],expected_production[Site Name],A1290,expected_production[Date],B1290)),"")</f>
        <v>28383.3</v>
      </c>
      <c r="E1290" s="9">
        <f t="shared" si="42"/>
        <v>1.0564085219125332</v>
      </c>
      <c r="F1290" t="str">
        <f t="shared" si="43"/>
        <v>Expected</v>
      </c>
    </row>
    <row r="1291" spans="1:7" ht="15" customHeight="1" x14ac:dyDescent="0.3">
      <c r="A1291" t="s">
        <v>134</v>
      </c>
      <c r="B1291" s="2">
        <v>46174</v>
      </c>
      <c r="C1291" cm="1">
        <f t="array" ref="C1291">IFERROR(IF(SUMPRODUCT((measured[Site Name]=A1291)*(measured[Date]=B1291)*ISNUMBER(measured[Measured Value (kWh)]))=0,"",SUMIFS(measured[Measured Value (kWh)],measured[Site Name],A1291,measured[Date],B1291)),"")</f>
        <v>23145.119999999999</v>
      </c>
      <c r="D1291" cm="1">
        <f t="array" ref="D1291">IFERROR(IF(SUMPRODUCT((expected_production[Site Name]=A1291)*(expected_production[Date]=B1291)*ISNUMBER(expected_production[Expected Production (kWh)]))=0,"",SUMIFS(expected_production[Expected Production (kWh)],expected_production[Site Name],A1291,expected_production[Date],B1291)),"")</f>
        <v>25641.9</v>
      </c>
      <c r="E1291" s="9">
        <f t="shared" si="42"/>
        <v>0.90262890035449783</v>
      </c>
      <c r="F1291" t="str">
        <f t="shared" si="43"/>
        <v>Expected</v>
      </c>
    </row>
    <row r="1292" spans="1:7" ht="15" customHeight="1" x14ac:dyDescent="0.3">
      <c r="A1292" t="s">
        <v>127</v>
      </c>
      <c r="B1292" s="2">
        <v>46204</v>
      </c>
      <c r="C1292" cm="1">
        <f t="array" ref="C1292">IFERROR(IF(SUMPRODUCT((measured[Site Name]=A1292)*(measured[Date]=B1292)*ISNUMBER(measured[Measured Value (kWh)]))=0,"",SUMIFS(measured[Measured Value (kWh)],measured[Site Name],A1292,measured[Date],B1292)),"")</f>
        <v>13303</v>
      </c>
      <c r="D1292" cm="1">
        <f t="array" ref="D1292">IFERROR(IF(SUMPRODUCT((expected_production[Site Name]=A1292)*(expected_production[Date]=B1292)*ISNUMBER(expected_production[Expected Production (kWh)]))=0,"",SUMIFS(expected_production[Expected Production (kWh)],expected_production[Site Name],A1292,expected_production[Date],B1292)),"")</f>
        <v>15390.9</v>
      </c>
      <c r="E1292" s="9">
        <f t="shared" si="42"/>
        <v>0.86434191632718038</v>
      </c>
      <c r="F1292" t="str">
        <f t="shared" si="43"/>
        <v>Moderate</v>
      </c>
      <c r="G1292" t="s">
        <v>874</v>
      </c>
    </row>
    <row r="1293" spans="1:7" ht="15" customHeight="1" x14ac:dyDescent="0.3">
      <c r="A1293" t="s">
        <v>134</v>
      </c>
      <c r="B1293" s="2">
        <v>46235</v>
      </c>
      <c r="C1293" t="str" cm="1">
        <f t="array" ref="C1293">IFERROR(IF(SUMPRODUCT((measured[Site Name]=A1293)*(measured[Date]=B1293)*ISNUMBER(measured[Measured Value (kWh)]))=0,"",SUMIFS(measured[Measured Value (kWh)],measured[Site Name],A1293,measured[Date],B1293)),"")</f>
        <v/>
      </c>
      <c r="D1293" cm="1">
        <f t="array" ref="D1293">IFERROR(IF(SUMPRODUCT((expected_production[Site Name]=A1293)*(expected_production[Date]=B1293)*ISNUMBER(expected_production[Expected Production (kWh)]))=0,"",SUMIFS(expected_production[Expected Production (kWh)],expected_production[Site Name],A1293,expected_production[Date],B1293)),"")</f>
        <v>33006.6</v>
      </c>
      <c r="E1293" s="9" t="str">
        <f t="shared" si="42"/>
        <v/>
      </c>
      <c r="F1293" t="str">
        <f t="shared" si="43"/>
        <v/>
      </c>
    </row>
    <row r="1294" spans="1:7" ht="15" customHeight="1" x14ac:dyDescent="0.3">
      <c r="A1294" t="s">
        <v>134</v>
      </c>
      <c r="B1294" s="2">
        <v>46266</v>
      </c>
      <c r="C1294" t="str" cm="1">
        <f t="array" ref="C1294">IFERROR(IF(SUMPRODUCT((measured[Site Name]=A1294)*(measured[Date]=B1294)*ISNUMBER(measured[Measured Value (kWh)]))=0,"",SUMIFS(measured[Measured Value (kWh)],measured[Site Name],A1294,measured[Date],B1294)),"")</f>
        <v/>
      </c>
      <c r="D1294" cm="1">
        <f t="array" ref="D1294">IFERROR(IF(SUMPRODUCT((expected_production[Site Name]=A1294)*(expected_production[Date]=B1294)*ISNUMBER(expected_production[Expected Production (kWh)]))=0,"",SUMIFS(expected_production[Expected Production (kWh)],expected_production[Site Name],A1294,expected_production[Date],B1294)),"")</f>
        <v>36521.1</v>
      </c>
      <c r="E1294" s="9" t="str">
        <f t="shared" si="42"/>
        <v/>
      </c>
      <c r="F1294" t="str">
        <f t="shared" si="43"/>
        <v/>
      </c>
    </row>
    <row r="1295" spans="1:7" ht="15" customHeight="1" x14ac:dyDescent="0.3">
      <c r="A1295" t="s">
        <v>134</v>
      </c>
      <c r="B1295" s="2">
        <v>46296</v>
      </c>
      <c r="C1295" t="str" cm="1">
        <f t="array" ref="C1295">IFERROR(IF(SUMPRODUCT((measured[Site Name]=A1295)*(measured[Date]=B1295)*ISNUMBER(measured[Measured Value (kWh)]))=0,"",SUMIFS(measured[Measured Value (kWh)],measured[Site Name],A1295,measured[Date],B1295)),"")</f>
        <v/>
      </c>
      <c r="D1295" cm="1">
        <f t="array" ref="D1295">IFERROR(IF(SUMPRODUCT((expected_production[Site Name]=A1295)*(expected_production[Date]=B1295)*ISNUMBER(expected_production[Expected Production (kWh)]))=0,"",SUMIFS(expected_production[Expected Production (kWh)],expected_production[Site Name],A1295,expected_production[Date],B1295)),"")</f>
        <v>39682.800000000003</v>
      </c>
      <c r="E1295" s="9" t="str">
        <f t="shared" si="42"/>
        <v/>
      </c>
      <c r="F1295" t="str">
        <f t="shared" si="43"/>
        <v/>
      </c>
    </row>
    <row r="1296" spans="1:7" ht="15" customHeight="1" x14ac:dyDescent="0.3">
      <c r="A1296" t="s">
        <v>134</v>
      </c>
      <c r="B1296" s="2">
        <v>46327</v>
      </c>
      <c r="C1296" t="str" cm="1">
        <f t="array" ref="C1296">IFERROR(IF(SUMPRODUCT((measured[Site Name]=A1296)*(measured[Date]=B1296)*ISNUMBER(measured[Measured Value (kWh)]))=0,"",SUMIFS(measured[Measured Value (kWh)],measured[Site Name],A1296,measured[Date],B1296)),"")</f>
        <v/>
      </c>
      <c r="D1296" cm="1">
        <f t="array" ref="D1296">IFERROR(IF(SUMPRODUCT((expected_production[Site Name]=A1296)*(expected_production[Date]=B1296)*ISNUMBER(expected_production[Expected Production (kWh)]))=0,"",SUMIFS(expected_production[Expected Production (kWh)],expected_production[Site Name],A1296,expected_production[Date],B1296)),"")</f>
        <v>39748.5</v>
      </c>
      <c r="E1296" s="9" t="str">
        <f t="shared" si="42"/>
        <v/>
      </c>
      <c r="F1296" t="str">
        <f t="shared" si="43"/>
        <v/>
      </c>
    </row>
    <row r="1297" spans="1:6" ht="15" customHeight="1" x14ac:dyDescent="0.3">
      <c r="A1297" t="s">
        <v>134</v>
      </c>
      <c r="B1297" s="2">
        <v>46357</v>
      </c>
      <c r="C1297" t="str" cm="1">
        <f t="array" ref="C1297">IFERROR(IF(SUMPRODUCT((measured[Site Name]=A1297)*(measured[Date]=B1297)*ISNUMBER(measured[Measured Value (kWh)]))=0,"",SUMIFS(measured[Measured Value (kWh)],measured[Site Name],A1297,measured[Date],B1297)),"")</f>
        <v/>
      </c>
      <c r="D1297" cm="1">
        <f t="array" ref="D1297">IFERROR(IF(SUMPRODUCT((expected_production[Site Name]=A1297)*(expected_production[Date]=B1297)*ISNUMBER(expected_production[Expected Production (kWh)]))=0,"",SUMIFS(expected_production[Expected Production (kWh)],expected_production[Site Name],A1297,expected_production[Date],B1297)),"")</f>
        <v>42519.6</v>
      </c>
      <c r="E1297" s="9" t="str">
        <f t="shared" si="42"/>
        <v/>
      </c>
      <c r="F1297" t="str">
        <f t="shared" si="43"/>
        <v/>
      </c>
    </row>
    <row r="1298" spans="1:6" ht="15" customHeight="1" x14ac:dyDescent="0.3">
      <c r="A1298" t="s">
        <v>138</v>
      </c>
      <c r="B1298" s="2">
        <v>45292</v>
      </c>
      <c r="C1298" t="str" cm="1">
        <f t="array" ref="C1298">IFERROR(IF(SUMPRODUCT((measured[Site Name]=A1298)*(measured[Date]=B1298)*ISNUMBER(measured[Measured Value (kWh)]))=0,"",SUMIFS(measured[Measured Value (kWh)],measured[Site Name],A1298,measured[Date],B1298)),"")</f>
        <v/>
      </c>
      <c r="D1298" cm="1">
        <f t="array" ref="D1298">IFERROR(IF(SUMPRODUCT((expected_production[Site Name]=A1298)*(expected_production[Date]=B1298)*ISNUMBER(expected_production[Expected Production (kWh)]))=0,"",SUMIFS(expected_production[Expected Production (kWh)],expected_production[Site Name],A1298,expected_production[Date],B1298)),"")</f>
        <v>23544</v>
      </c>
      <c r="E1298" s="9" t="str">
        <f t="shared" si="42"/>
        <v/>
      </c>
      <c r="F1298" t="str">
        <f t="shared" si="43"/>
        <v/>
      </c>
    </row>
    <row r="1299" spans="1:6" ht="15" customHeight="1" x14ac:dyDescent="0.3">
      <c r="A1299" t="s">
        <v>138</v>
      </c>
      <c r="B1299" s="2">
        <v>45323</v>
      </c>
      <c r="C1299" t="str" cm="1">
        <f t="array" ref="C1299">IFERROR(IF(SUMPRODUCT((measured[Site Name]=A1299)*(measured[Date]=B1299)*ISNUMBER(measured[Measured Value (kWh)]))=0,"",SUMIFS(measured[Measured Value (kWh)],measured[Site Name],A1299,measured[Date],B1299)),"")</f>
        <v/>
      </c>
      <c r="D1299" cm="1">
        <f t="array" ref="D1299">IFERROR(IF(SUMPRODUCT((expected_production[Site Name]=A1299)*(expected_production[Date]=B1299)*ISNUMBER(expected_production[Expected Production (kWh)]))=0,"",SUMIFS(expected_production[Expected Production (kWh)],expected_production[Site Name],A1299,expected_production[Date],B1299)),"")</f>
        <v>21677</v>
      </c>
      <c r="E1299" s="9" t="str">
        <f t="shared" si="42"/>
        <v/>
      </c>
      <c r="F1299" t="str">
        <f t="shared" si="43"/>
        <v/>
      </c>
    </row>
    <row r="1300" spans="1:6" ht="15" customHeight="1" x14ac:dyDescent="0.3">
      <c r="A1300" t="s">
        <v>138</v>
      </c>
      <c r="B1300" s="2">
        <v>45352</v>
      </c>
      <c r="C1300" t="str" cm="1">
        <f t="array" ref="C1300">IFERROR(IF(SUMPRODUCT((measured[Site Name]=A1300)*(measured[Date]=B1300)*ISNUMBER(measured[Measured Value (kWh)]))=0,"",SUMIFS(measured[Measured Value (kWh)],measured[Site Name],A1300,measured[Date],B1300)),"")</f>
        <v/>
      </c>
      <c r="D1300" cm="1">
        <f t="array" ref="D1300">IFERROR(IF(SUMPRODUCT((expected_production[Site Name]=A1300)*(expected_production[Date]=B1300)*ISNUMBER(expected_production[Expected Production (kWh)]))=0,"",SUMIFS(expected_production[Expected Production (kWh)],expected_production[Site Name],A1300,expected_production[Date],B1300)),"")</f>
        <v>24212</v>
      </c>
      <c r="E1300" s="9" t="str">
        <f t="shared" si="42"/>
        <v/>
      </c>
      <c r="F1300" t="str">
        <f t="shared" si="43"/>
        <v/>
      </c>
    </row>
    <row r="1301" spans="1:6" ht="15" customHeight="1" x14ac:dyDescent="0.3">
      <c r="A1301" t="s">
        <v>138</v>
      </c>
      <c r="B1301" s="2">
        <v>45383</v>
      </c>
      <c r="C1301" t="str" cm="1">
        <f t="array" ref="C1301">IFERROR(IF(SUMPRODUCT((measured[Site Name]=A1301)*(measured[Date]=B1301)*ISNUMBER(measured[Measured Value (kWh)]))=0,"",SUMIFS(measured[Measured Value (kWh)],measured[Site Name],A1301,measured[Date],B1301)),"")</f>
        <v/>
      </c>
      <c r="D1301" cm="1">
        <f t="array" ref="D1301">IFERROR(IF(SUMPRODUCT((expected_production[Site Name]=A1301)*(expected_production[Date]=B1301)*ISNUMBER(expected_production[Expected Production (kWh)]))=0,"",SUMIFS(expected_production[Expected Production (kWh)],expected_production[Site Name],A1301,expected_production[Date],B1301)),"")</f>
        <v>20861</v>
      </c>
      <c r="E1301" s="9" t="str">
        <f t="shared" si="42"/>
        <v/>
      </c>
      <c r="F1301" t="str">
        <f t="shared" si="43"/>
        <v/>
      </c>
    </row>
    <row r="1302" spans="1:6" ht="15" customHeight="1" x14ac:dyDescent="0.3">
      <c r="A1302" t="s">
        <v>138</v>
      </c>
      <c r="B1302" s="2">
        <v>45413</v>
      </c>
      <c r="C1302" t="str" cm="1">
        <f t="array" ref="C1302">IFERROR(IF(SUMPRODUCT((measured[Site Name]=A1302)*(measured[Date]=B1302)*ISNUMBER(measured[Measured Value (kWh)]))=0,"",SUMIFS(measured[Measured Value (kWh)],measured[Site Name],A1302,measured[Date],B1302)),"")</f>
        <v/>
      </c>
      <c r="D1302" cm="1">
        <f t="array" ref="D1302">IFERROR(IF(SUMPRODUCT((expected_production[Site Name]=A1302)*(expected_production[Date]=B1302)*ISNUMBER(expected_production[Expected Production (kWh)]))=0,"",SUMIFS(expected_production[Expected Production (kWh)],expected_production[Site Name],A1302,expected_production[Date],B1302)),"")</f>
        <v>20012</v>
      </c>
      <c r="E1302" s="9" t="str">
        <f t="shared" si="42"/>
        <v/>
      </c>
      <c r="F1302" t="str">
        <f t="shared" si="43"/>
        <v/>
      </c>
    </row>
    <row r="1303" spans="1:6" ht="15" customHeight="1" x14ac:dyDescent="0.3">
      <c r="A1303" t="s">
        <v>138</v>
      </c>
      <c r="B1303" s="2">
        <v>45444</v>
      </c>
      <c r="C1303" t="str" cm="1">
        <f t="array" ref="C1303">IFERROR(IF(SUMPRODUCT((measured[Site Name]=A1303)*(measured[Date]=B1303)*ISNUMBER(measured[Measured Value (kWh)]))=0,"",SUMIFS(measured[Measured Value (kWh)],measured[Site Name],A1303,measured[Date],B1303)),"")</f>
        <v/>
      </c>
      <c r="D1303" cm="1">
        <f t="array" ref="D1303">IFERROR(IF(SUMPRODUCT((expected_production[Site Name]=A1303)*(expected_production[Date]=B1303)*ISNUMBER(expected_production[Expected Production (kWh)]))=0,"",SUMIFS(expected_production[Expected Production (kWh)],expected_production[Site Name],A1303,expected_production[Date],B1303)),"")</f>
        <v>18485</v>
      </c>
      <c r="E1303" s="9" t="str">
        <f t="shared" si="42"/>
        <v/>
      </c>
      <c r="F1303" t="str">
        <f t="shared" si="43"/>
        <v/>
      </c>
    </row>
    <row r="1304" spans="1:6" ht="15" customHeight="1" x14ac:dyDescent="0.3">
      <c r="A1304" t="s">
        <v>138</v>
      </c>
      <c r="B1304" s="2">
        <v>45474</v>
      </c>
      <c r="C1304" t="str" cm="1">
        <f t="array" ref="C1304">IFERROR(IF(SUMPRODUCT((measured[Site Name]=A1304)*(measured[Date]=B1304)*ISNUMBER(measured[Measured Value (kWh)]))=0,"",SUMIFS(measured[Measured Value (kWh)],measured[Site Name],A1304,measured[Date],B1304)),"")</f>
        <v/>
      </c>
      <c r="D1304" cm="1">
        <f t="array" ref="D1304">IFERROR(IF(SUMPRODUCT((expected_production[Site Name]=A1304)*(expected_production[Date]=B1304)*ISNUMBER(expected_production[Expected Production (kWh)]))=0,"",SUMIFS(expected_production[Expected Production (kWh)],expected_production[Site Name],A1304,expected_production[Date],B1304)),"")</f>
        <v>20016</v>
      </c>
      <c r="E1304" s="9" t="str">
        <f t="shared" si="42"/>
        <v/>
      </c>
      <c r="F1304" t="str">
        <f t="shared" si="43"/>
        <v/>
      </c>
    </row>
    <row r="1305" spans="1:6" ht="15" customHeight="1" x14ac:dyDescent="0.3">
      <c r="A1305" t="s">
        <v>138</v>
      </c>
      <c r="B1305" s="2">
        <v>45505</v>
      </c>
      <c r="C1305" t="str" cm="1">
        <f t="array" ref="C1305">IFERROR(IF(SUMPRODUCT((measured[Site Name]=A1305)*(measured[Date]=B1305)*ISNUMBER(measured[Measured Value (kWh)]))=0,"",SUMIFS(measured[Measured Value (kWh)],measured[Site Name],A1305,measured[Date],B1305)),"")</f>
        <v/>
      </c>
      <c r="D1305" cm="1">
        <f t="array" ref="D1305">IFERROR(IF(SUMPRODUCT((expected_production[Site Name]=A1305)*(expected_production[Date]=B1305)*ISNUMBER(expected_production[Expected Production (kWh)]))=0,"",SUMIFS(expected_production[Expected Production (kWh)],expected_production[Site Name],A1305,expected_production[Date],B1305)),"")</f>
        <v>21052</v>
      </c>
      <c r="E1305" s="9" t="str">
        <f t="shared" si="42"/>
        <v/>
      </c>
      <c r="F1305" t="str">
        <f t="shared" si="43"/>
        <v/>
      </c>
    </row>
    <row r="1306" spans="1:6" ht="15" customHeight="1" x14ac:dyDescent="0.3">
      <c r="A1306" t="s">
        <v>138</v>
      </c>
      <c r="B1306" s="2">
        <v>45536</v>
      </c>
      <c r="C1306" t="str" cm="1">
        <f t="array" ref="C1306">IFERROR(IF(SUMPRODUCT((measured[Site Name]=A1306)*(measured[Date]=B1306)*ISNUMBER(measured[Measured Value (kWh)]))=0,"",SUMIFS(measured[Measured Value (kWh)],measured[Site Name],A1306,measured[Date],B1306)),"")</f>
        <v/>
      </c>
      <c r="D1306" cm="1">
        <f t="array" ref="D1306">IFERROR(IF(SUMPRODUCT((expected_production[Site Name]=A1306)*(expected_production[Date]=B1306)*ISNUMBER(expected_production[Expected Production (kWh)]))=0,"",SUMIFS(expected_production[Expected Production (kWh)],expected_production[Site Name],A1306,expected_production[Date],B1306)),"")</f>
        <v>21403</v>
      </c>
      <c r="E1306" s="9" t="str">
        <f t="shared" si="42"/>
        <v/>
      </c>
      <c r="F1306" t="str">
        <f t="shared" si="43"/>
        <v/>
      </c>
    </row>
    <row r="1307" spans="1:6" ht="15" customHeight="1" x14ac:dyDescent="0.3">
      <c r="A1307" t="s">
        <v>138</v>
      </c>
      <c r="B1307" s="2">
        <v>45566</v>
      </c>
      <c r="C1307" t="str" cm="1">
        <f t="array" ref="C1307">IFERROR(IF(SUMPRODUCT((measured[Site Name]=A1307)*(measured[Date]=B1307)*ISNUMBER(measured[Measured Value (kWh)]))=0,"",SUMIFS(measured[Measured Value (kWh)],measured[Site Name],A1307,measured[Date],B1307)),"")</f>
        <v/>
      </c>
      <c r="D1307" cm="1">
        <f t="array" ref="D1307">IFERROR(IF(SUMPRODUCT((expected_production[Site Name]=A1307)*(expected_production[Date]=B1307)*ISNUMBER(expected_production[Expected Production (kWh)]))=0,"",SUMIFS(expected_production[Expected Production (kWh)],expected_production[Site Name],A1307,expected_production[Date],B1307)),"")</f>
        <v>20962</v>
      </c>
      <c r="E1307" s="9" t="str">
        <f t="shared" si="42"/>
        <v/>
      </c>
      <c r="F1307" t="str">
        <f t="shared" si="43"/>
        <v/>
      </c>
    </row>
    <row r="1308" spans="1:6" ht="15" customHeight="1" x14ac:dyDescent="0.3">
      <c r="A1308" t="s">
        <v>138</v>
      </c>
      <c r="B1308" s="2">
        <v>45597</v>
      </c>
      <c r="C1308" t="str" cm="1">
        <f t="array" ref="C1308">IFERROR(IF(SUMPRODUCT((measured[Site Name]=A1308)*(measured[Date]=B1308)*ISNUMBER(measured[Measured Value (kWh)]))=0,"",SUMIFS(measured[Measured Value (kWh)],measured[Site Name],A1308,measured[Date],B1308)),"")</f>
        <v/>
      </c>
      <c r="D1308" cm="1">
        <f t="array" ref="D1308">IFERROR(IF(SUMPRODUCT((expected_production[Site Name]=A1308)*(expected_production[Date]=B1308)*ISNUMBER(expected_production[Expected Production (kWh)]))=0,"",SUMIFS(expected_production[Expected Production (kWh)],expected_production[Site Name],A1308,expected_production[Date],B1308)),"")</f>
        <v>19856</v>
      </c>
      <c r="E1308" s="9" t="str">
        <f t="shared" si="42"/>
        <v/>
      </c>
      <c r="F1308" t="str">
        <f t="shared" si="43"/>
        <v/>
      </c>
    </row>
    <row r="1309" spans="1:6" ht="15" customHeight="1" x14ac:dyDescent="0.3">
      <c r="A1309" t="s">
        <v>138</v>
      </c>
      <c r="B1309" s="2">
        <v>45627</v>
      </c>
      <c r="C1309" t="str" cm="1">
        <f t="array" ref="C1309">IFERROR(IF(SUMPRODUCT((measured[Site Name]=A1309)*(measured[Date]=B1309)*ISNUMBER(measured[Measured Value (kWh)]))=0,"",SUMIFS(measured[Measured Value (kWh)],measured[Site Name],A1309,measured[Date],B1309)),"")</f>
        <v/>
      </c>
      <c r="D1309" cm="1">
        <f t="array" ref="D1309">IFERROR(IF(SUMPRODUCT((expected_production[Site Name]=A1309)*(expected_production[Date]=B1309)*ISNUMBER(expected_production[Expected Production (kWh)]))=0,"",SUMIFS(expected_production[Expected Production (kWh)],expected_production[Site Name],A1309,expected_production[Date],B1309)),"")</f>
        <v>21184</v>
      </c>
      <c r="E1309" s="9" t="str">
        <f t="shared" si="42"/>
        <v/>
      </c>
      <c r="F1309" t="str">
        <f t="shared" si="43"/>
        <v/>
      </c>
    </row>
    <row r="1310" spans="1:6" ht="15" customHeight="1" x14ac:dyDescent="0.3">
      <c r="A1310" t="s">
        <v>138</v>
      </c>
      <c r="B1310" s="2">
        <v>45658</v>
      </c>
      <c r="C1310" cm="1">
        <f t="array" ref="C1310">IFERROR(IF(SUMPRODUCT((measured[Site Name]=A1310)*(measured[Date]=B1310)*ISNUMBER(measured[Measured Value (kWh)]))=0,"",SUMIFS(measured[Measured Value (kWh)],measured[Site Name],A1310,measured[Date],B1310)),"")</f>
        <v>21130</v>
      </c>
      <c r="D1310" cm="1">
        <f t="array" ref="D1310">IFERROR(IF(SUMPRODUCT((expected_production[Site Name]=A1310)*(expected_production[Date]=B1310)*ISNUMBER(expected_production[Expected Production (kWh)]))=0,"",SUMIFS(expected_production[Expected Production (kWh)],expected_production[Site Name],A1310,expected_production[Date],B1310)),"")</f>
        <v>23544</v>
      </c>
      <c r="E1310" s="9">
        <f t="shared" si="42"/>
        <v>0.89746856948691811</v>
      </c>
      <c r="F1310" t="str">
        <f t="shared" si="43"/>
        <v>Moderate</v>
      </c>
    </row>
    <row r="1311" spans="1:6" ht="15" customHeight="1" x14ac:dyDescent="0.3">
      <c r="A1311" t="s">
        <v>138</v>
      </c>
      <c r="B1311" s="2">
        <v>45689</v>
      </c>
      <c r="C1311" cm="1">
        <f t="array" ref="C1311">IFERROR(IF(SUMPRODUCT((measured[Site Name]=A1311)*(measured[Date]=B1311)*ISNUMBER(measured[Measured Value (kWh)]))=0,"",SUMIFS(measured[Measured Value (kWh)],measured[Site Name],A1311,measured[Date],B1311)),"")</f>
        <v>17140</v>
      </c>
      <c r="D1311" cm="1">
        <f t="array" ref="D1311">IFERROR(IF(SUMPRODUCT((expected_production[Site Name]=A1311)*(expected_production[Date]=B1311)*ISNUMBER(expected_production[Expected Production (kWh)]))=0,"",SUMIFS(expected_production[Expected Production (kWh)],expected_production[Site Name],A1311,expected_production[Date],B1311)),"")</f>
        <v>21677</v>
      </c>
      <c r="E1311" s="9">
        <f t="shared" si="42"/>
        <v>0.79069982008580519</v>
      </c>
      <c r="F1311" t="str">
        <f t="shared" si="43"/>
        <v>Moderate</v>
      </c>
    </row>
    <row r="1312" spans="1:6" ht="15" customHeight="1" x14ac:dyDescent="0.3">
      <c r="A1312" t="s">
        <v>138</v>
      </c>
      <c r="B1312" s="2">
        <v>45717</v>
      </c>
      <c r="C1312" t="str" cm="1">
        <f t="array" ref="C1312">IFERROR(IF(SUMPRODUCT((measured[Site Name]=A1312)*(measured[Date]=B1312)*ISNUMBER(measured[Measured Value (kWh)]))=0,"",SUMIFS(measured[Measured Value (kWh)],measured[Site Name],A1312,measured[Date],B1312)),"")</f>
        <v/>
      </c>
      <c r="D1312" cm="1">
        <f t="array" ref="D1312">IFERROR(IF(SUMPRODUCT((expected_production[Site Name]=A1312)*(expected_production[Date]=B1312)*ISNUMBER(expected_production[Expected Production (kWh)]))=0,"",SUMIFS(expected_production[Expected Production (kWh)],expected_production[Site Name],A1312,expected_production[Date],B1312)),"")</f>
        <v>24212</v>
      </c>
      <c r="E1312" s="9" t="str">
        <f t="shared" si="42"/>
        <v/>
      </c>
      <c r="F1312" t="str">
        <f t="shared" si="43"/>
        <v/>
      </c>
    </row>
    <row r="1313" spans="1:7" ht="15" customHeight="1" x14ac:dyDescent="0.3">
      <c r="A1313" t="s">
        <v>138</v>
      </c>
      <c r="B1313" s="2">
        <v>45748</v>
      </c>
      <c r="C1313" t="str" cm="1">
        <f t="array" ref="C1313">IFERROR(IF(SUMPRODUCT((measured[Site Name]=A1313)*(measured[Date]=B1313)*ISNUMBER(measured[Measured Value (kWh)]))=0,"",SUMIFS(measured[Measured Value (kWh)],measured[Site Name],A1313,measured[Date],B1313)),"")</f>
        <v/>
      </c>
      <c r="D1313" cm="1">
        <f t="array" ref="D1313">IFERROR(IF(SUMPRODUCT((expected_production[Site Name]=A1313)*(expected_production[Date]=B1313)*ISNUMBER(expected_production[Expected Production (kWh)]))=0,"",SUMIFS(expected_production[Expected Production (kWh)],expected_production[Site Name],A1313,expected_production[Date],B1313)),"")</f>
        <v>20861</v>
      </c>
      <c r="E1313" s="9" t="str">
        <f t="shared" si="42"/>
        <v/>
      </c>
      <c r="F1313" t="str">
        <f t="shared" si="43"/>
        <v/>
      </c>
    </row>
    <row r="1314" spans="1:7" ht="15" customHeight="1" x14ac:dyDescent="0.3">
      <c r="A1314" t="s">
        <v>138</v>
      </c>
      <c r="B1314" s="2">
        <v>45778</v>
      </c>
      <c r="C1314" t="str" cm="1">
        <f t="array" ref="C1314">IFERROR(IF(SUMPRODUCT((measured[Site Name]=A1314)*(measured[Date]=B1314)*ISNUMBER(measured[Measured Value (kWh)]))=0,"",SUMIFS(measured[Measured Value (kWh)],measured[Site Name],A1314,measured[Date],B1314)),"")</f>
        <v/>
      </c>
      <c r="D1314" cm="1">
        <f t="array" ref="D1314">IFERROR(IF(SUMPRODUCT((expected_production[Site Name]=A1314)*(expected_production[Date]=B1314)*ISNUMBER(expected_production[Expected Production (kWh)]))=0,"",SUMIFS(expected_production[Expected Production (kWh)],expected_production[Site Name],A1314,expected_production[Date],B1314)),"")</f>
        <v>20012</v>
      </c>
      <c r="E1314" s="9" t="str">
        <f t="shared" si="42"/>
        <v/>
      </c>
      <c r="F1314" t="str">
        <f t="shared" si="43"/>
        <v/>
      </c>
    </row>
    <row r="1315" spans="1:7" ht="15" customHeight="1" x14ac:dyDescent="0.3">
      <c r="A1315" t="s">
        <v>138</v>
      </c>
      <c r="B1315" s="2">
        <v>45809</v>
      </c>
      <c r="C1315" t="str" cm="1">
        <f t="array" ref="C1315">IFERROR(IF(SUMPRODUCT((measured[Site Name]=A1315)*(measured[Date]=B1315)*ISNUMBER(measured[Measured Value (kWh)]))=0,"",SUMIFS(measured[Measured Value (kWh)],measured[Site Name],A1315,measured[Date],B1315)),"")</f>
        <v/>
      </c>
      <c r="D1315" cm="1">
        <f t="array" ref="D1315">IFERROR(IF(SUMPRODUCT((expected_production[Site Name]=A1315)*(expected_production[Date]=B1315)*ISNUMBER(expected_production[Expected Production (kWh)]))=0,"",SUMIFS(expected_production[Expected Production (kWh)],expected_production[Site Name],A1315,expected_production[Date],B1315)),"")</f>
        <v>18485</v>
      </c>
      <c r="E1315" s="9" t="str">
        <f t="shared" si="42"/>
        <v/>
      </c>
      <c r="F1315" t="str">
        <f t="shared" si="43"/>
        <v/>
      </c>
    </row>
    <row r="1316" spans="1:7" ht="15" customHeight="1" x14ac:dyDescent="0.3">
      <c r="A1316" t="s">
        <v>138</v>
      </c>
      <c r="B1316" s="2">
        <v>45839</v>
      </c>
      <c r="C1316" t="str" cm="1">
        <f t="array" ref="C1316">IFERROR(IF(SUMPRODUCT((measured[Site Name]=A1316)*(measured[Date]=B1316)*ISNUMBER(measured[Measured Value (kWh)]))=0,"",SUMIFS(measured[Measured Value (kWh)],measured[Site Name],A1316,measured[Date],B1316)),"")</f>
        <v/>
      </c>
      <c r="D1316" cm="1">
        <f t="array" ref="D1316">IFERROR(IF(SUMPRODUCT((expected_production[Site Name]=A1316)*(expected_production[Date]=B1316)*ISNUMBER(expected_production[Expected Production (kWh)]))=0,"",SUMIFS(expected_production[Expected Production (kWh)],expected_production[Site Name],A1316,expected_production[Date],B1316)),"")</f>
        <v>20016</v>
      </c>
      <c r="E1316" s="9" t="str">
        <f t="shared" si="42"/>
        <v/>
      </c>
      <c r="F1316" t="str">
        <f t="shared" si="43"/>
        <v/>
      </c>
    </row>
    <row r="1317" spans="1:7" ht="15" customHeight="1" x14ac:dyDescent="0.3">
      <c r="A1317" t="s">
        <v>138</v>
      </c>
      <c r="B1317" s="2">
        <v>45870</v>
      </c>
      <c r="C1317" t="str" cm="1">
        <f t="array" ref="C1317">IFERROR(IF(SUMPRODUCT((measured[Site Name]=A1317)*(measured[Date]=B1317)*ISNUMBER(measured[Measured Value (kWh)]))=0,"",SUMIFS(measured[Measured Value (kWh)],measured[Site Name],A1317,measured[Date],B1317)),"")</f>
        <v/>
      </c>
      <c r="D1317" cm="1">
        <f t="array" ref="D1317">IFERROR(IF(SUMPRODUCT((expected_production[Site Name]=A1317)*(expected_production[Date]=B1317)*ISNUMBER(expected_production[Expected Production (kWh)]))=0,"",SUMIFS(expected_production[Expected Production (kWh)],expected_production[Site Name],A1317,expected_production[Date],B1317)),"")</f>
        <v>21052</v>
      </c>
      <c r="E1317" s="9" t="str">
        <f t="shared" si="42"/>
        <v/>
      </c>
      <c r="F1317" t="str">
        <f t="shared" si="43"/>
        <v/>
      </c>
    </row>
    <row r="1318" spans="1:7" ht="15" customHeight="1" x14ac:dyDescent="0.3">
      <c r="A1318" t="s">
        <v>138</v>
      </c>
      <c r="B1318" s="2">
        <v>45901</v>
      </c>
      <c r="C1318" t="str" cm="1">
        <f t="array" ref="C1318">IFERROR(IF(SUMPRODUCT((measured[Site Name]=A1318)*(measured[Date]=B1318)*ISNUMBER(measured[Measured Value (kWh)]))=0,"",SUMIFS(measured[Measured Value (kWh)],measured[Site Name],A1318,measured[Date],B1318)),"")</f>
        <v/>
      </c>
      <c r="D1318" cm="1">
        <f t="array" ref="D1318">IFERROR(IF(SUMPRODUCT((expected_production[Site Name]=A1318)*(expected_production[Date]=B1318)*ISNUMBER(expected_production[Expected Production (kWh)]))=0,"",SUMIFS(expected_production[Expected Production (kWh)],expected_production[Site Name],A1318,expected_production[Date],B1318)),"")</f>
        <v>21403</v>
      </c>
      <c r="E1318" s="9" t="str">
        <f t="shared" si="42"/>
        <v/>
      </c>
      <c r="F1318" t="str">
        <f t="shared" si="43"/>
        <v/>
      </c>
    </row>
    <row r="1319" spans="1:7" ht="15" customHeight="1" x14ac:dyDescent="0.3">
      <c r="A1319" t="s">
        <v>138</v>
      </c>
      <c r="B1319" s="2">
        <v>45931</v>
      </c>
      <c r="C1319" t="str" cm="1">
        <f t="array" ref="C1319">IFERROR(IF(SUMPRODUCT((measured[Site Name]=A1319)*(measured[Date]=B1319)*ISNUMBER(measured[Measured Value (kWh)]))=0,"",SUMIFS(measured[Measured Value (kWh)],measured[Site Name],A1319,measured[Date],B1319)),"")</f>
        <v/>
      </c>
      <c r="D1319" cm="1">
        <f t="array" ref="D1319">IFERROR(IF(SUMPRODUCT((expected_production[Site Name]=A1319)*(expected_production[Date]=B1319)*ISNUMBER(expected_production[Expected Production (kWh)]))=0,"",SUMIFS(expected_production[Expected Production (kWh)],expected_production[Site Name],A1319,expected_production[Date],B1319)),"")</f>
        <v>20962</v>
      </c>
      <c r="E1319" s="9" t="str">
        <f t="shared" si="42"/>
        <v/>
      </c>
      <c r="F1319" t="str">
        <f t="shared" si="43"/>
        <v/>
      </c>
    </row>
    <row r="1320" spans="1:7" ht="15" customHeight="1" x14ac:dyDescent="0.3">
      <c r="A1320" t="s">
        <v>138</v>
      </c>
      <c r="B1320" s="2">
        <v>45962</v>
      </c>
      <c r="C1320" t="str" cm="1">
        <f t="array" ref="C1320">IFERROR(IF(SUMPRODUCT((measured[Site Name]=A1320)*(measured[Date]=B1320)*ISNUMBER(measured[Measured Value (kWh)]))=0,"",SUMIFS(measured[Measured Value (kWh)],measured[Site Name],A1320,measured[Date],B1320)),"")</f>
        <v/>
      </c>
      <c r="D1320" cm="1">
        <f t="array" ref="D1320">IFERROR(IF(SUMPRODUCT((expected_production[Site Name]=A1320)*(expected_production[Date]=B1320)*ISNUMBER(expected_production[Expected Production (kWh)]))=0,"",SUMIFS(expected_production[Expected Production (kWh)],expected_production[Site Name],A1320,expected_production[Date],B1320)),"")</f>
        <v>19856</v>
      </c>
      <c r="E1320" s="9" t="str">
        <f t="shared" si="42"/>
        <v/>
      </c>
      <c r="F1320" t="str">
        <f t="shared" si="43"/>
        <v/>
      </c>
    </row>
    <row r="1321" spans="1:7" ht="15" customHeight="1" x14ac:dyDescent="0.3">
      <c r="A1321" t="s">
        <v>138</v>
      </c>
      <c r="B1321" s="2">
        <v>45992</v>
      </c>
      <c r="C1321" t="str" cm="1">
        <f t="array" ref="C1321">IFERROR(IF(SUMPRODUCT((measured[Site Name]=A1321)*(measured[Date]=B1321)*ISNUMBER(measured[Measured Value (kWh)]))=0,"",SUMIFS(measured[Measured Value (kWh)],measured[Site Name],A1321,measured[Date],B1321)),"")</f>
        <v/>
      </c>
      <c r="D1321" cm="1">
        <f t="array" ref="D1321">IFERROR(IF(SUMPRODUCT((expected_production[Site Name]=A1321)*(expected_production[Date]=B1321)*ISNUMBER(expected_production[Expected Production (kWh)]))=0,"",SUMIFS(expected_production[Expected Production (kWh)],expected_production[Site Name],A1321,expected_production[Date],B1321)),"")</f>
        <v>21184</v>
      </c>
      <c r="E1321" s="9" t="str">
        <f t="shared" si="42"/>
        <v/>
      </c>
      <c r="F1321" t="str">
        <f t="shared" si="43"/>
        <v/>
      </c>
    </row>
    <row r="1322" spans="1:7" ht="15" customHeight="1" x14ac:dyDescent="0.3">
      <c r="A1322" t="s">
        <v>138</v>
      </c>
      <c r="B1322" s="2">
        <v>46023</v>
      </c>
      <c r="C1322" cm="1">
        <f t="array" ref="C1322">IFERROR(IF(SUMPRODUCT((measured[Site Name]=A1322)*(measured[Date]=B1322)*ISNUMBER(measured[Measured Value (kWh)]))=0,"",SUMIFS(measured[Measured Value (kWh)],measured[Site Name],A1322,measured[Date],B1322)),"")</f>
        <v>9830</v>
      </c>
      <c r="D1322" cm="1">
        <f t="array" ref="D1322">IFERROR(IF(SUMPRODUCT((expected_production[Site Name]=A1322)*(expected_production[Date]=B1322)*ISNUMBER(expected_production[Expected Production (kWh)]))=0,"",SUMIFS(expected_production[Expected Production (kWh)],expected_production[Site Name],A1322,expected_production[Date],B1322)),"")</f>
        <v>23544</v>
      </c>
      <c r="E1322" s="9">
        <f t="shared" si="42"/>
        <v>0.41751613999320419</v>
      </c>
      <c r="F1322" t="str">
        <f t="shared" si="43"/>
        <v>Poor</v>
      </c>
    </row>
    <row r="1323" spans="1:7" ht="15" customHeight="1" x14ac:dyDescent="0.3">
      <c r="A1323" t="s">
        <v>138</v>
      </c>
      <c r="B1323" s="2">
        <v>46054</v>
      </c>
      <c r="C1323" cm="1">
        <f t="array" ref="C1323">IFERROR(IF(SUMPRODUCT((measured[Site Name]=A1323)*(measured[Date]=B1323)*ISNUMBER(measured[Measured Value (kWh)]))=0,"",SUMIFS(measured[Measured Value (kWh)],measured[Site Name],A1323,measured[Date],B1323)),"")</f>
        <v>20200</v>
      </c>
      <c r="D1323" cm="1">
        <f t="array" ref="D1323">IFERROR(IF(SUMPRODUCT((expected_production[Site Name]=A1323)*(expected_production[Date]=B1323)*ISNUMBER(expected_production[Expected Production (kWh)]))=0,"",SUMIFS(expected_production[Expected Production (kWh)],expected_production[Site Name],A1323,expected_production[Date],B1323)),"")</f>
        <v>21677</v>
      </c>
      <c r="E1323" s="9">
        <f t="shared" si="42"/>
        <v>0.93186326521197582</v>
      </c>
      <c r="F1323" t="str">
        <f t="shared" si="43"/>
        <v>Expected</v>
      </c>
    </row>
    <row r="1324" spans="1:7" ht="15" customHeight="1" x14ac:dyDescent="0.3">
      <c r="A1324" t="s">
        <v>138</v>
      </c>
      <c r="B1324" s="2">
        <v>46082</v>
      </c>
      <c r="C1324" cm="1">
        <f t="array" ref="C1324">IFERROR(IF(SUMPRODUCT((measured[Site Name]=A1324)*(measured[Date]=B1324)*ISNUMBER(measured[Measured Value (kWh)]))=0,"",SUMIFS(measured[Measured Value (kWh)],measured[Site Name],A1324,measured[Date],B1324)),"")</f>
        <v>16198</v>
      </c>
      <c r="D1324" cm="1">
        <f t="array" ref="D1324">IFERROR(IF(SUMPRODUCT((expected_production[Site Name]=A1324)*(expected_production[Date]=B1324)*ISNUMBER(expected_production[Expected Production (kWh)]))=0,"",SUMIFS(expected_production[Expected Production (kWh)],expected_production[Site Name],A1324,expected_production[Date],B1324)),"")</f>
        <v>24212</v>
      </c>
      <c r="E1324" s="9">
        <f t="shared" si="42"/>
        <v>0.66900710391541385</v>
      </c>
      <c r="F1324" t="str">
        <f t="shared" si="43"/>
        <v>Poor</v>
      </c>
    </row>
    <row r="1325" spans="1:7" ht="15" customHeight="1" x14ac:dyDescent="0.3">
      <c r="A1325" t="s">
        <v>138</v>
      </c>
      <c r="B1325" s="2">
        <v>46113</v>
      </c>
      <c r="C1325" t="str" cm="1">
        <f t="array" ref="C1325">IFERROR(IF(SUMPRODUCT((measured[Site Name]=A1325)*(measured[Date]=B1325)*ISNUMBER(measured[Measured Value (kWh)]))=0,"",SUMIFS(measured[Measured Value (kWh)],measured[Site Name],A1325,measured[Date],B1325)),"")</f>
        <v/>
      </c>
      <c r="D1325" cm="1">
        <f t="array" ref="D1325">IFERROR(IF(SUMPRODUCT((expected_production[Site Name]=A1325)*(expected_production[Date]=B1325)*ISNUMBER(expected_production[Expected Production (kWh)]))=0,"",SUMIFS(expected_production[Expected Production (kWh)],expected_production[Site Name],A1325,expected_production[Date],B1325)),"")</f>
        <v>20861</v>
      </c>
      <c r="E1325" s="9" t="str">
        <f t="shared" si="42"/>
        <v/>
      </c>
      <c r="F1325" t="str">
        <f t="shared" si="43"/>
        <v/>
      </c>
    </row>
    <row r="1326" spans="1:7" ht="15" customHeight="1" x14ac:dyDescent="0.3">
      <c r="A1326" t="s">
        <v>138</v>
      </c>
      <c r="B1326" s="2">
        <v>46143</v>
      </c>
      <c r="C1326" t="str" cm="1">
        <f t="array" ref="C1326">IFERROR(IF(SUMPRODUCT((measured[Site Name]=A1326)*(measured[Date]=B1326)*ISNUMBER(measured[Measured Value (kWh)]))=0,"",SUMIFS(measured[Measured Value (kWh)],measured[Site Name],A1326,measured[Date],B1326)),"")</f>
        <v/>
      </c>
      <c r="D1326" cm="1">
        <f t="array" ref="D1326">IFERROR(IF(SUMPRODUCT((expected_production[Site Name]=A1326)*(expected_production[Date]=B1326)*ISNUMBER(expected_production[Expected Production (kWh)]))=0,"",SUMIFS(expected_production[Expected Production (kWh)],expected_production[Site Name],A1326,expected_production[Date],B1326)),"")</f>
        <v>20012</v>
      </c>
      <c r="E1326" s="9" t="str">
        <f t="shared" si="42"/>
        <v/>
      </c>
      <c r="F1326" t="str">
        <f t="shared" si="43"/>
        <v/>
      </c>
    </row>
    <row r="1327" spans="1:7" ht="15" customHeight="1" x14ac:dyDescent="0.3">
      <c r="A1327" t="s">
        <v>138</v>
      </c>
      <c r="B1327" s="2">
        <v>46174</v>
      </c>
      <c r="C1327" t="str" cm="1">
        <f t="array" ref="C1327">IFERROR(IF(SUMPRODUCT((measured[Site Name]=A1327)*(measured[Date]=B1327)*ISNUMBER(measured[Measured Value (kWh)]))=0,"",SUMIFS(measured[Measured Value (kWh)],measured[Site Name],A1327,measured[Date],B1327)),"")</f>
        <v/>
      </c>
      <c r="D1327" cm="1">
        <f t="array" ref="D1327">IFERROR(IF(SUMPRODUCT((expected_production[Site Name]=A1327)*(expected_production[Date]=B1327)*ISNUMBER(expected_production[Expected Production (kWh)]))=0,"",SUMIFS(expected_production[Expected Production (kWh)],expected_production[Site Name],A1327,expected_production[Date],B1327)),"")</f>
        <v>18485</v>
      </c>
      <c r="E1327" s="9" t="str">
        <f t="shared" si="42"/>
        <v/>
      </c>
      <c r="F1327" t="str">
        <f t="shared" si="43"/>
        <v/>
      </c>
    </row>
    <row r="1328" spans="1:7" ht="15" customHeight="1" x14ac:dyDescent="0.3">
      <c r="A1328" t="s">
        <v>234</v>
      </c>
      <c r="B1328" s="2">
        <v>46204</v>
      </c>
      <c r="C1328" cm="1">
        <f t="array" ref="C1328">IFERROR(IF(SUMPRODUCT((measured[Site Name]=A1328)*(measured[Date]=B1328)*ISNUMBER(measured[Measured Value (kWh)]))=0,"",SUMIFS(measured[Measured Value (kWh)],measured[Site Name],A1328,measured[Date],B1328)),"")</f>
        <v>20358.73</v>
      </c>
      <c r="D1328" cm="1">
        <f t="array" ref="D1328">IFERROR(IF(SUMPRODUCT((expected_production[Site Name]=A1328)*(expected_production[Date]=B1328)*ISNUMBER(expected_production[Expected Production (kWh)]))=0,"",SUMIFS(expected_production[Expected Production (kWh)],expected_production[Site Name],A1328,expected_production[Date],B1328)),"")</f>
        <v>19783.8</v>
      </c>
      <c r="E1328" s="9">
        <f t="shared" si="42"/>
        <v>1.0290606455787059</v>
      </c>
      <c r="F1328" t="str">
        <f t="shared" si="43"/>
        <v>Expected</v>
      </c>
      <c r="G1328" t="s">
        <v>874</v>
      </c>
    </row>
    <row r="1329" spans="1:6" ht="15" customHeight="1" x14ac:dyDescent="0.3">
      <c r="A1329" t="s">
        <v>138</v>
      </c>
      <c r="B1329" s="2">
        <v>46235</v>
      </c>
      <c r="C1329" t="str" cm="1">
        <f t="array" ref="C1329">IFERROR(IF(SUMPRODUCT((measured[Site Name]=A1329)*(measured[Date]=B1329)*ISNUMBER(measured[Measured Value (kWh)]))=0,"",SUMIFS(measured[Measured Value (kWh)],measured[Site Name],A1329,measured[Date],B1329)),"")</f>
        <v/>
      </c>
      <c r="D1329" cm="1">
        <f t="array" ref="D1329">IFERROR(IF(SUMPRODUCT((expected_production[Site Name]=A1329)*(expected_production[Date]=B1329)*ISNUMBER(expected_production[Expected Production (kWh)]))=0,"",SUMIFS(expected_production[Expected Production (kWh)],expected_production[Site Name],A1329,expected_production[Date],B1329)),"")</f>
        <v>21052</v>
      </c>
      <c r="E1329" s="9" t="str">
        <f t="shared" si="42"/>
        <v/>
      </c>
      <c r="F1329" t="str">
        <f t="shared" si="43"/>
        <v/>
      </c>
    </row>
    <row r="1330" spans="1:6" ht="15" customHeight="1" x14ac:dyDescent="0.3">
      <c r="A1330" t="s">
        <v>138</v>
      </c>
      <c r="B1330" s="2">
        <v>46266</v>
      </c>
      <c r="C1330" t="str" cm="1">
        <f t="array" ref="C1330">IFERROR(IF(SUMPRODUCT((measured[Site Name]=A1330)*(measured[Date]=B1330)*ISNUMBER(measured[Measured Value (kWh)]))=0,"",SUMIFS(measured[Measured Value (kWh)],measured[Site Name],A1330,measured[Date],B1330)),"")</f>
        <v/>
      </c>
      <c r="D1330" cm="1">
        <f t="array" ref="D1330">IFERROR(IF(SUMPRODUCT((expected_production[Site Name]=A1330)*(expected_production[Date]=B1330)*ISNUMBER(expected_production[Expected Production (kWh)]))=0,"",SUMIFS(expected_production[Expected Production (kWh)],expected_production[Site Name],A1330,expected_production[Date],B1330)),"")</f>
        <v>21403</v>
      </c>
      <c r="E1330" s="9" t="str">
        <f t="shared" si="42"/>
        <v/>
      </c>
      <c r="F1330" t="str">
        <f t="shared" si="43"/>
        <v/>
      </c>
    </row>
    <row r="1331" spans="1:6" ht="15" customHeight="1" x14ac:dyDescent="0.3">
      <c r="A1331" t="s">
        <v>138</v>
      </c>
      <c r="B1331" s="2">
        <v>46296</v>
      </c>
      <c r="C1331" t="str" cm="1">
        <f t="array" ref="C1331">IFERROR(IF(SUMPRODUCT((measured[Site Name]=A1331)*(measured[Date]=B1331)*ISNUMBER(measured[Measured Value (kWh)]))=0,"",SUMIFS(measured[Measured Value (kWh)],measured[Site Name],A1331,measured[Date],B1331)),"")</f>
        <v/>
      </c>
      <c r="D1331" cm="1">
        <f t="array" ref="D1331">IFERROR(IF(SUMPRODUCT((expected_production[Site Name]=A1331)*(expected_production[Date]=B1331)*ISNUMBER(expected_production[Expected Production (kWh)]))=0,"",SUMIFS(expected_production[Expected Production (kWh)],expected_production[Site Name],A1331,expected_production[Date],B1331)),"")</f>
        <v>20962</v>
      </c>
      <c r="E1331" s="9" t="str">
        <f t="shared" si="42"/>
        <v/>
      </c>
      <c r="F1331" t="str">
        <f t="shared" si="43"/>
        <v/>
      </c>
    </row>
    <row r="1332" spans="1:6" ht="15" customHeight="1" x14ac:dyDescent="0.3">
      <c r="A1332" t="s">
        <v>138</v>
      </c>
      <c r="B1332" s="2">
        <v>46327</v>
      </c>
      <c r="C1332" t="str" cm="1">
        <f t="array" ref="C1332">IFERROR(IF(SUMPRODUCT((measured[Site Name]=A1332)*(measured[Date]=B1332)*ISNUMBER(measured[Measured Value (kWh)]))=0,"",SUMIFS(measured[Measured Value (kWh)],measured[Site Name],A1332,measured[Date],B1332)),"")</f>
        <v/>
      </c>
      <c r="D1332" cm="1">
        <f t="array" ref="D1332">IFERROR(IF(SUMPRODUCT((expected_production[Site Name]=A1332)*(expected_production[Date]=B1332)*ISNUMBER(expected_production[Expected Production (kWh)]))=0,"",SUMIFS(expected_production[Expected Production (kWh)],expected_production[Site Name],A1332,expected_production[Date],B1332)),"")</f>
        <v>19856</v>
      </c>
      <c r="E1332" s="9" t="str">
        <f t="shared" si="42"/>
        <v/>
      </c>
      <c r="F1332" t="str">
        <f t="shared" si="43"/>
        <v/>
      </c>
    </row>
    <row r="1333" spans="1:6" ht="15" customHeight="1" x14ac:dyDescent="0.3">
      <c r="A1333" t="s">
        <v>138</v>
      </c>
      <c r="B1333" s="2">
        <v>46357</v>
      </c>
      <c r="C1333" t="str" cm="1">
        <f t="array" ref="C1333">IFERROR(IF(SUMPRODUCT((measured[Site Name]=A1333)*(measured[Date]=B1333)*ISNUMBER(measured[Measured Value (kWh)]))=0,"",SUMIFS(measured[Measured Value (kWh)],measured[Site Name],A1333,measured[Date],B1333)),"")</f>
        <v/>
      </c>
      <c r="D1333" cm="1">
        <f t="array" ref="D1333">IFERROR(IF(SUMPRODUCT((expected_production[Site Name]=A1333)*(expected_production[Date]=B1333)*ISNUMBER(expected_production[Expected Production (kWh)]))=0,"",SUMIFS(expected_production[Expected Production (kWh)],expected_production[Site Name],A1333,expected_production[Date],B1333)),"")</f>
        <v>21184</v>
      </c>
      <c r="E1333" s="9" t="str">
        <f t="shared" si="42"/>
        <v/>
      </c>
      <c r="F1333" t="str">
        <f t="shared" si="43"/>
        <v/>
      </c>
    </row>
    <row r="1334" spans="1:6" ht="15" customHeight="1" x14ac:dyDescent="0.3">
      <c r="A1334" t="s">
        <v>220</v>
      </c>
      <c r="B1334" s="2">
        <v>45292</v>
      </c>
      <c r="C1334" t="str" cm="1">
        <f t="array" ref="C1334">IFERROR(IF(SUMPRODUCT((measured[Site Name]=A1334)*(measured[Date]=B1334)*ISNUMBER(measured[Measured Value (kWh)]))=0,"",SUMIFS(measured[Measured Value (kWh)],measured[Site Name],A1334,measured[Date],B1334)),"")</f>
        <v/>
      </c>
      <c r="D1334" cm="1">
        <f t="array" ref="D1334">IFERROR(IF(SUMPRODUCT((expected_production[Site Name]=A1334)*(expected_production[Date]=B1334)*ISNUMBER(expected_production[Expected Production (kWh)]))=0,"",SUMIFS(expected_production[Expected Production (kWh)],expected_production[Site Name],A1334,expected_production[Date],B1334)),"")</f>
        <v>46872</v>
      </c>
      <c r="E1334" s="9" t="str">
        <f t="shared" si="42"/>
        <v/>
      </c>
      <c r="F1334" t="str">
        <f t="shared" si="43"/>
        <v/>
      </c>
    </row>
    <row r="1335" spans="1:6" ht="15" customHeight="1" x14ac:dyDescent="0.3">
      <c r="A1335" t="s">
        <v>220</v>
      </c>
      <c r="B1335" s="2">
        <v>45323</v>
      </c>
      <c r="C1335" t="str" cm="1">
        <f t="array" ref="C1335">IFERROR(IF(SUMPRODUCT((measured[Site Name]=A1335)*(measured[Date]=B1335)*ISNUMBER(measured[Measured Value (kWh)]))=0,"",SUMIFS(measured[Measured Value (kWh)],measured[Site Name],A1335,measured[Date],B1335)),"")</f>
        <v/>
      </c>
      <c r="D1335" cm="1">
        <f t="array" ref="D1335">IFERROR(IF(SUMPRODUCT((expected_production[Site Name]=A1335)*(expected_production[Date]=B1335)*ISNUMBER(expected_production[Expected Production (kWh)]))=0,"",SUMIFS(expected_production[Expected Production (kWh)],expected_production[Site Name],A1335,expected_production[Date],B1335)),"")</f>
        <v>40989.599999999999</v>
      </c>
      <c r="E1335" s="9" t="str">
        <f t="shared" si="42"/>
        <v/>
      </c>
      <c r="F1335" t="str">
        <f t="shared" si="43"/>
        <v/>
      </c>
    </row>
    <row r="1336" spans="1:6" ht="15" customHeight="1" x14ac:dyDescent="0.3">
      <c r="A1336" t="s">
        <v>220</v>
      </c>
      <c r="B1336" s="2">
        <v>45352</v>
      </c>
      <c r="C1336" t="str" cm="1">
        <f t="array" ref="C1336">IFERROR(IF(SUMPRODUCT((measured[Site Name]=A1336)*(measured[Date]=B1336)*ISNUMBER(measured[Measured Value (kWh)]))=0,"",SUMIFS(measured[Measured Value (kWh)],measured[Site Name],A1336,measured[Date],B1336)),"")</f>
        <v/>
      </c>
      <c r="D1336" cm="1">
        <f t="array" ref="D1336">IFERROR(IF(SUMPRODUCT((expected_production[Site Name]=A1336)*(expected_production[Date]=B1336)*ISNUMBER(expected_production[Expected Production (kWh)]))=0,"",SUMIFS(expected_production[Expected Production (kWh)],expected_production[Site Name],A1336,expected_production[Date],B1336)),"")</f>
        <v>39989.699999999997</v>
      </c>
      <c r="E1336" s="9" t="str">
        <f t="shared" si="42"/>
        <v/>
      </c>
      <c r="F1336" t="str">
        <f t="shared" si="43"/>
        <v/>
      </c>
    </row>
    <row r="1337" spans="1:6" ht="15" customHeight="1" x14ac:dyDescent="0.3">
      <c r="A1337" t="s">
        <v>220</v>
      </c>
      <c r="B1337" s="2">
        <v>45383</v>
      </c>
      <c r="C1337" t="str" cm="1">
        <f t="array" ref="C1337">IFERROR(IF(SUMPRODUCT((measured[Site Name]=A1337)*(measured[Date]=B1337)*ISNUMBER(measured[Measured Value (kWh)]))=0,"",SUMIFS(measured[Measured Value (kWh)],measured[Site Name],A1337,measured[Date],B1337)),"")</f>
        <v/>
      </c>
      <c r="D1337" cm="1">
        <f t="array" ref="D1337">IFERROR(IF(SUMPRODUCT((expected_production[Site Name]=A1337)*(expected_production[Date]=B1337)*ISNUMBER(expected_production[Expected Production (kWh)]))=0,"",SUMIFS(expected_production[Expected Production (kWh)],expected_production[Site Name],A1337,expected_production[Date],B1337)),"")</f>
        <v>34783.199999999997</v>
      </c>
      <c r="E1337" s="9" t="str">
        <f t="shared" si="42"/>
        <v/>
      </c>
      <c r="F1337" t="str">
        <f t="shared" si="43"/>
        <v/>
      </c>
    </row>
    <row r="1338" spans="1:6" ht="15" customHeight="1" x14ac:dyDescent="0.3">
      <c r="A1338" t="s">
        <v>220</v>
      </c>
      <c r="B1338" s="2">
        <v>45413</v>
      </c>
      <c r="C1338" t="str" cm="1">
        <f t="array" ref="C1338">IFERROR(IF(SUMPRODUCT((measured[Site Name]=A1338)*(measured[Date]=B1338)*ISNUMBER(measured[Measured Value (kWh)]))=0,"",SUMIFS(measured[Measured Value (kWh)],measured[Site Name],A1338,measured[Date],B1338)),"")</f>
        <v/>
      </c>
      <c r="D1338" cm="1">
        <f t="array" ref="D1338">IFERROR(IF(SUMPRODUCT((expected_production[Site Name]=A1338)*(expected_production[Date]=B1338)*ISNUMBER(expected_production[Expected Production (kWh)]))=0,"",SUMIFS(expected_production[Expected Production (kWh)],expected_production[Site Name],A1338,expected_production[Date],B1338)),"")</f>
        <v>32139</v>
      </c>
      <c r="E1338" s="9" t="str">
        <f t="shared" si="42"/>
        <v/>
      </c>
      <c r="F1338" t="str">
        <f t="shared" si="43"/>
        <v/>
      </c>
    </row>
    <row r="1339" spans="1:6" ht="15" customHeight="1" x14ac:dyDescent="0.3">
      <c r="A1339" t="s">
        <v>220</v>
      </c>
      <c r="B1339" s="2">
        <v>45444</v>
      </c>
      <c r="C1339" t="str" cm="1">
        <f t="array" ref="C1339">IFERROR(IF(SUMPRODUCT((measured[Site Name]=A1339)*(measured[Date]=B1339)*ISNUMBER(measured[Measured Value (kWh)]))=0,"",SUMIFS(measured[Measured Value (kWh)],measured[Site Name],A1339,measured[Date],B1339)),"")</f>
        <v/>
      </c>
      <c r="D1339" cm="1">
        <f t="array" ref="D1339">IFERROR(IF(SUMPRODUCT((expected_production[Site Name]=A1339)*(expected_production[Date]=B1339)*ISNUMBER(expected_production[Expected Production (kWh)]))=0,"",SUMIFS(expected_production[Expected Production (kWh)],expected_production[Site Name],A1339,expected_production[Date],B1339)),"")</f>
        <v>28357.200000000001</v>
      </c>
      <c r="E1339" s="9" t="str">
        <f t="shared" si="42"/>
        <v/>
      </c>
      <c r="F1339" t="str">
        <f t="shared" si="43"/>
        <v/>
      </c>
    </row>
    <row r="1340" spans="1:6" ht="15" customHeight="1" x14ac:dyDescent="0.3">
      <c r="A1340" t="s">
        <v>220</v>
      </c>
      <c r="B1340" s="2">
        <v>45474</v>
      </c>
      <c r="C1340" t="str" cm="1">
        <f t="array" ref="C1340">IFERROR(IF(SUMPRODUCT((measured[Site Name]=A1340)*(measured[Date]=B1340)*ISNUMBER(measured[Measured Value (kWh)]))=0,"",SUMIFS(measured[Measured Value (kWh)],measured[Site Name],A1340,measured[Date],B1340)),"")</f>
        <v/>
      </c>
      <c r="D1340" cm="1">
        <f t="array" ref="D1340">IFERROR(IF(SUMPRODUCT((expected_production[Site Name]=A1340)*(expected_production[Date]=B1340)*ISNUMBER(expected_production[Expected Production (kWh)]))=0,"",SUMIFS(expected_production[Expected Production (kWh)],expected_production[Site Name],A1340,expected_production[Date],B1340)),"")</f>
        <v>31229.1</v>
      </c>
      <c r="E1340" s="9" t="str">
        <f t="shared" ref="E1340:E1403" si="44">IF(OR(C1340="",D1340="",D1340=0),"",C1340/D1340)</f>
        <v/>
      </c>
      <c r="F1340" t="str">
        <f t="shared" ref="F1340:F1403" si="45">IF(E1340="","",IF(E1340&gt;=0.9,"Expected",IF(E1340&gt;=0.7,"Moderate","Poor")))</f>
        <v/>
      </c>
    </row>
    <row r="1341" spans="1:6" ht="15" customHeight="1" x14ac:dyDescent="0.3">
      <c r="A1341" t="s">
        <v>220</v>
      </c>
      <c r="B1341" s="2">
        <v>45505</v>
      </c>
      <c r="C1341" t="str" cm="1">
        <f t="array" ref="C1341">IFERROR(IF(SUMPRODUCT((measured[Site Name]=A1341)*(measured[Date]=B1341)*ISNUMBER(measured[Measured Value (kWh)]))=0,"",SUMIFS(measured[Measured Value (kWh)],measured[Site Name],A1341,measured[Date],B1341)),"")</f>
        <v/>
      </c>
      <c r="D1341" cm="1">
        <f t="array" ref="D1341">IFERROR(IF(SUMPRODUCT((expected_production[Site Name]=A1341)*(expected_production[Date]=B1341)*ISNUMBER(expected_production[Expected Production (kWh)]))=0,"",SUMIFS(expected_production[Expected Production (kWh)],expected_production[Site Name],A1341,expected_production[Date],B1341)),"")</f>
        <v>36815.4</v>
      </c>
      <c r="E1341" s="9" t="str">
        <f t="shared" si="44"/>
        <v/>
      </c>
      <c r="F1341" t="str">
        <f t="shared" si="45"/>
        <v/>
      </c>
    </row>
    <row r="1342" spans="1:6" ht="15" customHeight="1" x14ac:dyDescent="0.3">
      <c r="A1342" t="s">
        <v>220</v>
      </c>
      <c r="B1342" s="2">
        <v>45536</v>
      </c>
      <c r="C1342" t="str" cm="1">
        <f t="array" ref="C1342">IFERROR(IF(SUMPRODUCT((measured[Site Name]=A1342)*(measured[Date]=B1342)*ISNUMBER(measured[Measured Value (kWh)]))=0,"",SUMIFS(measured[Measured Value (kWh)],measured[Site Name],A1342,measured[Date],B1342)),"")</f>
        <v/>
      </c>
      <c r="D1342" cm="1">
        <f t="array" ref="D1342">IFERROR(IF(SUMPRODUCT((expected_production[Site Name]=A1342)*(expected_production[Date]=B1342)*ISNUMBER(expected_production[Expected Production (kWh)]))=0,"",SUMIFS(expected_production[Expected Production (kWh)],expected_production[Site Name],A1342,expected_production[Date],B1342)),"")</f>
        <v>40778.1</v>
      </c>
      <c r="E1342" s="9" t="str">
        <f t="shared" si="44"/>
        <v/>
      </c>
      <c r="F1342" t="str">
        <f t="shared" si="45"/>
        <v/>
      </c>
    </row>
    <row r="1343" spans="1:6" ht="15" customHeight="1" x14ac:dyDescent="0.3">
      <c r="A1343" t="s">
        <v>220</v>
      </c>
      <c r="B1343" s="2">
        <v>45566</v>
      </c>
      <c r="C1343" t="str" cm="1">
        <f t="array" ref="C1343">IFERROR(IF(SUMPRODUCT((measured[Site Name]=A1343)*(measured[Date]=B1343)*ISNUMBER(measured[Measured Value (kWh)]))=0,"",SUMIFS(measured[Measured Value (kWh)],measured[Site Name],A1343,measured[Date],B1343)),"")</f>
        <v/>
      </c>
      <c r="D1343" cm="1">
        <f t="array" ref="D1343">IFERROR(IF(SUMPRODUCT((expected_production[Site Name]=A1343)*(expected_production[Date]=B1343)*ISNUMBER(expected_production[Expected Production (kWh)]))=0,"",SUMIFS(expected_production[Expected Production (kWh)],expected_production[Site Name],A1343,expected_production[Date],B1343)),"")</f>
        <v>46212.3</v>
      </c>
      <c r="E1343" s="9" t="str">
        <f t="shared" si="44"/>
        <v/>
      </c>
      <c r="F1343" t="str">
        <f t="shared" si="45"/>
        <v/>
      </c>
    </row>
    <row r="1344" spans="1:6" ht="15" customHeight="1" x14ac:dyDescent="0.3">
      <c r="A1344" t="s">
        <v>220</v>
      </c>
      <c r="B1344" s="2">
        <v>45597</v>
      </c>
      <c r="C1344" t="str" cm="1">
        <f t="array" ref="C1344">IFERROR(IF(SUMPRODUCT((measured[Site Name]=A1344)*(measured[Date]=B1344)*ISNUMBER(measured[Measured Value (kWh)]))=0,"",SUMIFS(measured[Measured Value (kWh)],measured[Site Name],A1344,measured[Date],B1344)),"")</f>
        <v/>
      </c>
      <c r="D1344" cm="1">
        <f t="array" ref="D1344">IFERROR(IF(SUMPRODUCT((expected_production[Site Name]=A1344)*(expected_production[Date]=B1344)*ISNUMBER(expected_production[Expected Production (kWh)]))=0,"",SUMIFS(expected_production[Expected Production (kWh)],expected_production[Site Name],A1344,expected_production[Date],B1344)),"")</f>
        <v>46653.3</v>
      </c>
      <c r="E1344" s="9" t="str">
        <f t="shared" si="44"/>
        <v/>
      </c>
      <c r="F1344" t="str">
        <f t="shared" si="45"/>
        <v/>
      </c>
    </row>
    <row r="1345" spans="1:6" ht="15" customHeight="1" x14ac:dyDescent="0.3">
      <c r="A1345" t="s">
        <v>220</v>
      </c>
      <c r="B1345" s="2">
        <v>45627</v>
      </c>
      <c r="C1345" t="str" cm="1">
        <f t="array" ref="C1345">IFERROR(IF(SUMPRODUCT((measured[Site Name]=A1345)*(measured[Date]=B1345)*ISNUMBER(measured[Measured Value (kWh)]))=0,"",SUMIFS(measured[Measured Value (kWh)],measured[Site Name],A1345,measured[Date],B1345)),"")</f>
        <v/>
      </c>
      <c r="D1345" cm="1">
        <f t="array" ref="D1345">IFERROR(IF(SUMPRODUCT((expected_production[Site Name]=A1345)*(expected_production[Date]=B1345)*ISNUMBER(expected_production[Expected Production (kWh)]))=0,"",SUMIFS(expected_production[Expected Production (kWh)],expected_production[Site Name],A1345,expected_production[Date],B1345)),"")</f>
        <v>47656.800000000003</v>
      </c>
      <c r="E1345" s="9" t="str">
        <f t="shared" si="44"/>
        <v/>
      </c>
      <c r="F1345" t="str">
        <f t="shared" si="45"/>
        <v/>
      </c>
    </row>
    <row r="1346" spans="1:6" ht="15" customHeight="1" x14ac:dyDescent="0.3">
      <c r="A1346" t="s">
        <v>220</v>
      </c>
      <c r="B1346" s="2">
        <v>45658</v>
      </c>
      <c r="C1346" t="str" cm="1">
        <f t="array" ref="C1346">IFERROR(IF(SUMPRODUCT((measured[Site Name]=A1346)*(measured[Date]=B1346)*ISNUMBER(measured[Measured Value (kWh)]))=0,"",SUMIFS(measured[Measured Value (kWh)],measured[Site Name],A1346,measured[Date],B1346)),"")</f>
        <v/>
      </c>
      <c r="D1346" cm="1">
        <f t="array" ref="D1346">IFERROR(IF(SUMPRODUCT((expected_production[Site Name]=A1346)*(expected_production[Date]=B1346)*ISNUMBER(expected_production[Expected Production (kWh)]))=0,"",SUMIFS(expected_production[Expected Production (kWh)],expected_production[Site Name],A1346,expected_production[Date],B1346)),"")</f>
        <v>46872</v>
      </c>
      <c r="E1346" s="9" t="str">
        <f t="shared" si="44"/>
        <v/>
      </c>
      <c r="F1346" t="str">
        <f t="shared" si="45"/>
        <v/>
      </c>
    </row>
    <row r="1347" spans="1:6" ht="15" customHeight="1" x14ac:dyDescent="0.3">
      <c r="A1347" t="s">
        <v>220</v>
      </c>
      <c r="B1347" s="2">
        <v>45689</v>
      </c>
      <c r="C1347" t="str" cm="1">
        <f t="array" ref="C1347">IFERROR(IF(SUMPRODUCT((measured[Site Name]=A1347)*(measured[Date]=B1347)*ISNUMBER(measured[Measured Value (kWh)]))=0,"",SUMIFS(measured[Measured Value (kWh)],measured[Site Name],A1347,measured[Date],B1347)),"")</f>
        <v/>
      </c>
      <c r="D1347" cm="1">
        <f t="array" ref="D1347">IFERROR(IF(SUMPRODUCT((expected_production[Site Name]=A1347)*(expected_production[Date]=B1347)*ISNUMBER(expected_production[Expected Production (kWh)]))=0,"",SUMIFS(expected_production[Expected Production (kWh)],expected_production[Site Name],A1347,expected_production[Date],B1347)),"")</f>
        <v>40989.599999999999</v>
      </c>
      <c r="E1347" s="9" t="str">
        <f t="shared" si="44"/>
        <v/>
      </c>
      <c r="F1347" t="str">
        <f t="shared" si="45"/>
        <v/>
      </c>
    </row>
    <row r="1348" spans="1:6" ht="15" customHeight="1" x14ac:dyDescent="0.3">
      <c r="A1348" t="s">
        <v>220</v>
      </c>
      <c r="B1348" s="2">
        <v>45717</v>
      </c>
      <c r="C1348" t="str" cm="1">
        <f t="array" ref="C1348">IFERROR(IF(SUMPRODUCT((measured[Site Name]=A1348)*(measured[Date]=B1348)*ISNUMBER(measured[Measured Value (kWh)]))=0,"",SUMIFS(measured[Measured Value (kWh)],measured[Site Name],A1348,measured[Date],B1348)),"")</f>
        <v/>
      </c>
      <c r="D1348" cm="1">
        <f t="array" ref="D1348">IFERROR(IF(SUMPRODUCT((expected_production[Site Name]=A1348)*(expected_production[Date]=B1348)*ISNUMBER(expected_production[Expected Production (kWh)]))=0,"",SUMIFS(expected_production[Expected Production (kWh)],expected_production[Site Name],A1348,expected_production[Date],B1348)),"")</f>
        <v>39989.699999999997</v>
      </c>
      <c r="E1348" s="9" t="str">
        <f t="shared" si="44"/>
        <v/>
      </c>
      <c r="F1348" t="str">
        <f t="shared" si="45"/>
        <v/>
      </c>
    </row>
    <row r="1349" spans="1:6" ht="15" customHeight="1" x14ac:dyDescent="0.3">
      <c r="A1349" t="s">
        <v>220</v>
      </c>
      <c r="B1349" s="2">
        <v>45748</v>
      </c>
      <c r="C1349" t="str" cm="1">
        <f t="array" ref="C1349">IFERROR(IF(SUMPRODUCT((measured[Site Name]=A1349)*(measured[Date]=B1349)*ISNUMBER(measured[Measured Value (kWh)]))=0,"",SUMIFS(measured[Measured Value (kWh)],measured[Site Name],A1349,measured[Date],B1349)),"")</f>
        <v/>
      </c>
      <c r="D1349" cm="1">
        <f t="array" ref="D1349">IFERROR(IF(SUMPRODUCT((expected_production[Site Name]=A1349)*(expected_production[Date]=B1349)*ISNUMBER(expected_production[Expected Production (kWh)]))=0,"",SUMIFS(expected_production[Expected Production (kWh)],expected_production[Site Name],A1349,expected_production[Date],B1349)),"")</f>
        <v>34783.199999999997</v>
      </c>
      <c r="E1349" s="9" t="str">
        <f t="shared" si="44"/>
        <v/>
      </c>
      <c r="F1349" t="str">
        <f t="shared" si="45"/>
        <v/>
      </c>
    </row>
    <row r="1350" spans="1:6" ht="15" customHeight="1" x14ac:dyDescent="0.3">
      <c r="A1350" t="s">
        <v>220</v>
      </c>
      <c r="B1350" s="2">
        <v>45778</v>
      </c>
      <c r="C1350" t="str" cm="1">
        <f t="array" ref="C1350">IFERROR(IF(SUMPRODUCT((measured[Site Name]=A1350)*(measured[Date]=B1350)*ISNUMBER(measured[Measured Value (kWh)]))=0,"",SUMIFS(measured[Measured Value (kWh)],measured[Site Name],A1350,measured[Date],B1350)),"")</f>
        <v/>
      </c>
      <c r="D1350" cm="1">
        <f t="array" ref="D1350">IFERROR(IF(SUMPRODUCT((expected_production[Site Name]=A1350)*(expected_production[Date]=B1350)*ISNUMBER(expected_production[Expected Production (kWh)]))=0,"",SUMIFS(expected_production[Expected Production (kWh)],expected_production[Site Name],A1350,expected_production[Date],B1350)),"")</f>
        <v>32139</v>
      </c>
      <c r="E1350" s="9" t="str">
        <f t="shared" si="44"/>
        <v/>
      </c>
      <c r="F1350" t="str">
        <f t="shared" si="45"/>
        <v/>
      </c>
    </row>
    <row r="1351" spans="1:6" ht="15" customHeight="1" x14ac:dyDescent="0.3">
      <c r="A1351" t="s">
        <v>220</v>
      </c>
      <c r="B1351" s="2">
        <v>45809</v>
      </c>
      <c r="C1351" t="str" cm="1">
        <f t="array" ref="C1351">IFERROR(IF(SUMPRODUCT((measured[Site Name]=A1351)*(measured[Date]=B1351)*ISNUMBER(measured[Measured Value (kWh)]))=0,"",SUMIFS(measured[Measured Value (kWh)],measured[Site Name],A1351,measured[Date],B1351)),"")</f>
        <v/>
      </c>
      <c r="D1351" cm="1">
        <f t="array" ref="D1351">IFERROR(IF(SUMPRODUCT((expected_production[Site Name]=A1351)*(expected_production[Date]=B1351)*ISNUMBER(expected_production[Expected Production (kWh)]))=0,"",SUMIFS(expected_production[Expected Production (kWh)],expected_production[Site Name],A1351,expected_production[Date],B1351)),"")</f>
        <v>28357.200000000001</v>
      </c>
      <c r="E1351" s="9" t="str">
        <f t="shared" si="44"/>
        <v/>
      </c>
      <c r="F1351" t="str">
        <f t="shared" si="45"/>
        <v/>
      </c>
    </row>
    <row r="1352" spans="1:6" ht="15" customHeight="1" x14ac:dyDescent="0.3">
      <c r="A1352" t="s">
        <v>220</v>
      </c>
      <c r="B1352" s="2">
        <v>45839</v>
      </c>
      <c r="C1352" t="str" cm="1">
        <f t="array" ref="C1352">IFERROR(IF(SUMPRODUCT((measured[Site Name]=A1352)*(measured[Date]=B1352)*ISNUMBER(measured[Measured Value (kWh)]))=0,"",SUMIFS(measured[Measured Value (kWh)],measured[Site Name],A1352,measured[Date],B1352)),"")</f>
        <v/>
      </c>
      <c r="D1352" cm="1">
        <f t="array" ref="D1352">IFERROR(IF(SUMPRODUCT((expected_production[Site Name]=A1352)*(expected_production[Date]=B1352)*ISNUMBER(expected_production[Expected Production (kWh)]))=0,"",SUMIFS(expected_production[Expected Production (kWh)],expected_production[Site Name],A1352,expected_production[Date],B1352)),"")</f>
        <v>31229.1</v>
      </c>
      <c r="E1352" s="9" t="str">
        <f t="shared" si="44"/>
        <v/>
      </c>
      <c r="F1352" t="str">
        <f t="shared" si="45"/>
        <v/>
      </c>
    </row>
    <row r="1353" spans="1:6" ht="15" customHeight="1" x14ac:dyDescent="0.3">
      <c r="A1353" t="s">
        <v>220</v>
      </c>
      <c r="B1353" s="2">
        <v>45870</v>
      </c>
      <c r="C1353" t="str" cm="1">
        <f t="array" ref="C1353">IFERROR(IF(SUMPRODUCT((measured[Site Name]=A1353)*(measured[Date]=B1353)*ISNUMBER(measured[Measured Value (kWh)]))=0,"",SUMIFS(measured[Measured Value (kWh)],measured[Site Name],A1353,measured[Date],B1353)),"")</f>
        <v/>
      </c>
      <c r="D1353" cm="1">
        <f t="array" ref="D1353">IFERROR(IF(SUMPRODUCT((expected_production[Site Name]=A1353)*(expected_production[Date]=B1353)*ISNUMBER(expected_production[Expected Production (kWh)]))=0,"",SUMIFS(expected_production[Expected Production (kWh)],expected_production[Site Name],A1353,expected_production[Date],B1353)),"")</f>
        <v>36815.4</v>
      </c>
      <c r="E1353" s="9" t="str">
        <f t="shared" si="44"/>
        <v/>
      </c>
      <c r="F1353" t="str">
        <f t="shared" si="45"/>
        <v/>
      </c>
    </row>
    <row r="1354" spans="1:6" ht="15" customHeight="1" x14ac:dyDescent="0.3">
      <c r="A1354" t="s">
        <v>220</v>
      </c>
      <c r="B1354" s="2">
        <v>45901</v>
      </c>
      <c r="C1354" t="str" cm="1">
        <f t="array" ref="C1354">IFERROR(IF(SUMPRODUCT((measured[Site Name]=A1354)*(measured[Date]=B1354)*ISNUMBER(measured[Measured Value (kWh)]))=0,"",SUMIFS(measured[Measured Value (kWh)],measured[Site Name],A1354,measured[Date],B1354)),"")</f>
        <v/>
      </c>
      <c r="D1354" cm="1">
        <f t="array" ref="D1354">IFERROR(IF(SUMPRODUCT((expected_production[Site Name]=A1354)*(expected_production[Date]=B1354)*ISNUMBER(expected_production[Expected Production (kWh)]))=0,"",SUMIFS(expected_production[Expected Production (kWh)],expected_production[Site Name],A1354,expected_production[Date],B1354)),"")</f>
        <v>40778.1</v>
      </c>
      <c r="E1354" s="9" t="str">
        <f t="shared" si="44"/>
        <v/>
      </c>
      <c r="F1354" t="str">
        <f t="shared" si="45"/>
        <v/>
      </c>
    </row>
    <row r="1355" spans="1:6" ht="15" customHeight="1" x14ac:dyDescent="0.3">
      <c r="A1355" t="s">
        <v>220</v>
      </c>
      <c r="B1355" s="2">
        <v>45931</v>
      </c>
      <c r="C1355" cm="1">
        <f t="array" ref="C1355">IFERROR(IF(SUMPRODUCT((measured[Site Name]=A1355)*(measured[Date]=B1355)*ISNUMBER(measured[Measured Value (kWh)]))=0,"",SUMIFS(measured[Measured Value (kWh)],measured[Site Name],A1355,measured[Date],B1355)),"")</f>
        <v>42200</v>
      </c>
      <c r="D1355" cm="1">
        <f t="array" ref="D1355">IFERROR(IF(SUMPRODUCT((expected_production[Site Name]=A1355)*(expected_production[Date]=B1355)*ISNUMBER(expected_production[Expected Production (kWh)]))=0,"",SUMIFS(expected_production[Expected Production (kWh)],expected_production[Site Name],A1355,expected_production[Date],B1355)),"")</f>
        <v>46212.3</v>
      </c>
      <c r="E1355" s="9">
        <f t="shared" si="44"/>
        <v>0.91317679492256387</v>
      </c>
      <c r="F1355" t="str">
        <f t="shared" si="45"/>
        <v>Expected</v>
      </c>
    </row>
    <row r="1356" spans="1:6" ht="15" customHeight="1" x14ac:dyDescent="0.3">
      <c r="A1356" t="s">
        <v>220</v>
      </c>
      <c r="B1356" s="2">
        <v>45962</v>
      </c>
      <c r="C1356" cm="1">
        <f t="array" ref="C1356">IFERROR(IF(SUMPRODUCT((measured[Site Name]=A1356)*(measured[Date]=B1356)*ISNUMBER(measured[Measured Value (kWh)]))=0,"",SUMIFS(measured[Measured Value (kWh)],measured[Site Name],A1356,measured[Date],B1356)),"")</f>
        <v>37652</v>
      </c>
      <c r="D1356" cm="1">
        <f t="array" ref="D1356">IFERROR(IF(SUMPRODUCT((expected_production[Site Name]=A1356)*(expected_production[Date]=B1356)*ISNUMBER(expected_production[Expected Production (kWh)]))=0,"",SUMIFS(expected_production[Expected Production (kWh)],expected_production[Site Name],A1356,expected_production[Date],B1356)),"")</f>
        <v>46653.3</v>
      </c>
      <c r="E1356" s="9">
        <f t="shared" si="44"/>
        <v>0.80705973639592476</v>
      </c>
      <c r="F1356" t="str">
        <f t="shared" si="45"/>
        <v>Moderate</v>
      </c>
    </row>
    <row r="1357" spans="1:6" ht="15" customHeight="1" x14ac:dyDescent="0.3">
      <c r="A1357" t="s">
        <v>220</v>
      </c>
      <c r="B1357" s="2">
        <v>45992</v>
      </c>
      <c r="C1357" cm="1">
        <f t="array" ref="C1357">IFERROR(IF(SUMPRODUCT((measured[Site Name]=A1357)*(measured[Date]=B1357)*ISNUMBER(measured[Measured Value (kWh)]))=0,"",SUMIFS(measured[Measured Value (kWh)],measured[Site Name],A1357,measured[Date],B1357)),"")</f>
        <v>32569</v>
      </c>
      <c r="D1357" cm="1">
        <f t="array" ref="D1357">IFERROR(IF(SUMPRODUCT((expected_production[Site Name]=A1357)*(expected_production[Date]=B1357)*ISNUMBER(expected_production[Expected Production (kWh)]))=0,"",SUMIFS(expected_production[Expected Production (kWh)],expected_production[Site Name],A1357,expected_production[Date],B1357)),"")</f>
        <v>47656.800000000003</v>
      </c>
      <c r="E1357" s="9">
        <f t="shared" si="44"/>
        <v>0.68340719477598155</v>
      </c>
      <c r="F1357" t="str">
        <f t="shared" si="45"/>
        <v>Poor</v>
      </c>
    </row>
    <row r="1358" spans="1:6" ht="15" customHeight="1" x14ac:dyDescent="0.3">
      <c r="A1358" t="s">
        <v>220</v>
      </c>
      <c r="B1358" s="2">
        <v>46023</v>
      </c>
      <c r="C1358" cm="1">
        <f t="array" ref="C1358">IFERROR(IF(SUMPRODUCT((measured[Site Name]=A1358)*(measured[Date]=B1358)*ISNUMBER(measured[Measured Value (kWh)]))=0,"",SUMIFS(measured[Measured Value (kWh)],measured[Site Name],A1358,measured[Date],B1358)),"")</f>
        <v>43979.9977</v>
      </c>
      <c r="D1358" cm="1">
        <f t="array" ref="D1358">IFERROR(IF(SUMPRODUCT((expected_production[Site Name]=A1358)*(expected_production[Date]=B1358)*ISNUMBER(expected_production[Expected Production (kWh)]))=0,"",SUMIFS(expected_production[Expected Production (kWh)],expected_production[Site Name],A1358,expected_production[Date],B1358)),"")</f>
        <v>46872</v>
      </c>
      <c r="E1358" s="9">
        <f t="shared" si="44"/>
        <v>0.93830000213346987</v>
      </c>
      <c r="F1358" t="str">
        <f t="shared" si="45"/>
        <v>Expected</v>
      </c>
    </row>
    <row r="1359" spans="1:6" ht="15" customHeight="1" x14ac:dyDescent="0.3">
      <c r="A1359" t="s">
        <v>220</v>
      </c>
      <c r="B1359" s="2">
        <v>46054</v>
      </c>
      <c r="C1359" cm="1">
        <f t="array" ref="C1359">IFERROR(IF(SUMPRODUCT((measured[Site Name]=A1359)*(measured[Date]=B1359)*ISNUMBER(measured[Measured Value (kWh)]))=0,"",SUMIFS(measured[Measured Value (kWh)],measured[Site Name],A1359,measured[Date],B1359)),"")</f>
        <v>35538.487300000001</v>
      </c>
      <c r="D1359" cm="1">
        <f t="array" ref="D1359">IFERROR(IF(SUMPRODUCT((expected_production[Site Name]=A1359)*(expected_production[Date]=B1359)*ISNUMBER(expected_production[Expected Production (kWh)]))=0,"",SUMIFS(expected_production[Expected Production (kWh)],expected_production[Site Name],A1359,expected_production[Date],B1359)),"")</f>
        <v>40989.599999999999</v>
      </c>
      <c r="E1359" s="9">
        <f t="shared" si="44"/>
        <v>0.86701229824150516</v>
      </c>
      <c r="F1359" t="str">
        <f t="shared" si="45"/>
        <v>Moderate</v>
      </c>
    </row>
    <row r="1360" spans="1:6" ht="15" customHeight="1" x14ac:dyDescent="0.3">
      <c r="A1360" t="s">
        <v>220</v>
      </c>
      <c r="B1360" s="2">
        <v>46082</v>
      </c>
      <c r="C1360" cm="1">
        <f t="array" ref="C1360">IFERROR(IF(SUMPRODUCT((measured[Site Name]=A1360)*(measured[Date]=B1360)*ISNUMBER(measured[Measured Value (kWh)]))=0,"",SUMIFS(measured[Measured Value (kWh)],measured[Site Name],A1360,measured[Date],B1360)),"")</f>
        <v>34079</v>
      </c>
      <c r="D1360" cm="1">
        <f t="array" ref="D1360">IFERROR(IF(SUMPRODUCT((expected_production[Site Name]=A1360)*(expected_production[Date]=B1360)*ISNUMBER(expected_production[Expected Production (kWh)]))=0,"",SUMIFS(expected_production[Expected Production (kWh)],expected_production[Site Name],A1360,expected_production[Date],B1360)),"")</f>
        <v>39989.699999999997</v>
      </c>
      <c r="E1360" s="9">
        <f t="shared" si="44"/>
        <v>0.85219444006831768</v>
      </c>
      <c r="F1360" t="str">
        <f t="shared" si="45"/>
        <v>Moderate</v>
      </c>
    </row>
    <row r="1361" spans="1:7" ht="15" customHeight="1" x14ac:dyDescent="0.3">
      <c r="A1361" t="s">
        <v>220</v>
      </c>
      <c r="B1361" s="2">
        <v>46113</v>
      </c>
      <c r="C1361" cm="1">
        <f t="array" ref="C1361">IFERROR(IF(SUMPRODUCT((measured[Site Name]=A1361)*(measured[Date]=B1361)*ISNUMBER(measured[Measured Value (kWh)]))=0,"",SUMIFS(measured[Measured Value (kWh)],measured[Site Name],A1361,measured[Date],B1361)),"")</f>
        <v>26385.27</v>
      </c>
      <c r="D1361" cm="1">
        <f t="array" ref="D1361">IFERROR(IF(SUMPRODUCT((expected_production[Site Name]=A1361)*(expected_production[Date]=B1361)*ISNUMBER(expected_production[Expected Production (kWh)]))=0,"",SUMIFS(expected_production[Expected Production (kWh)],expected_production[Site Name],A1361,expected_production[Date],B1361)),"")</f>
        <v>34783.199999999997</v>
      </c>
      <c r="E1361" s="9">
        <f t="shared" si="44"/>
        <v>0.75856361691851248</v>
      </c>
      <c r="F1361" t="str">
        <f t="shared" si="45"/>
        <v>Moderate</v>
      </c>
    </row>
    <row r="1362" spans="1:7" ht="15" customHeight="1" x14ac:dyDescent="0.3">
      <c r="A1362" t="s">
        <v>220</v>
      </c>
      <c r="B1362" s="2">
        <v>46143</v>
      </c>
      <c r="C1362" cm="1">
        <f t="array" ref="C1362">IFERROR(IF(SUMPRODUCT((measured[Site Name]=A1362)*(measured[Date]=B1362)*ISNUMBER(measured[Measured Value (kWh)]))=0,"",SUMIFS(measured[Measured Value (kWh)],measured[Site Name],A1362,measured[Date],B1362)),"")</f>
        <v>29535.200000000001</v>
      </c>
      <c r="D1362" cm="1">
        <f t="array" ref="D1362">IFERROR(IF(SUMPRODUCT((expected_production[Site Name]=A1362)*(expected_production[Date]=B1362)*ISNUMBER(expected_production[Expected Production (kWh)]))=0,"",SUMIFS(expected_production[Expected Production (kWh)],expected_production[Site Name],A1362,expected_production[Date],B1362)),"")</f>
        <v>32139</v>
      </c>
      <c r="E1362" s="9">
        <f t="shared" si="44"/>
        <v>0.91898316686891313</v>
      </c>
      <c r="F1362" t="str">
        <f t="shared" si="45"/>
        <v>Expected</v>
      </c>
    </row>
    <row r="1363" spans="1:7" ht="15" customHeight="1" x14ac:dyDescent="0.3">
      <c r="A1363" t="s">
        <v>220</v>
      </c>
      <c r="B1363" s="2">
        <v>46174</v>
      </c>
      <c r="C1363" cm="1">
        <f t="array" ref="C1363">IFERROR(IF(SUMPRODUCT((measured[Site Name]=A1363)*(measured[Date]=B1363)*ISNUMBER(measured[Measured Value (kWh)]))=0,"",SUMIFS(measured[Measured Value (kWh)],measured[Site Name],A1363,measured[Date],B1363)),"")</f>
        <v>18559</v>
      </c>
      <c r="D1363" cm="1">
        <f t="array" ref="D1363">IFERROR(IF(SUMPRODUCT((expected_production[Site Name]=A1363)*(expected_production[Date]=B1363)*ISNUMBER(expected_production[Expected Production (kWh)]))=0,"",SUMIFS(expected_production[Expected Production (kWh)],expected_production[Site Name],A1363,expected_production[Date],B1363)),"")</f>
        <v>28357.200000000001</v>
      </c>
      <c r="E1363" s="9">
        <f t="shared" si="44"/>
        <v>0.65447223280154598</v>
      </c>
      <c r="F1363" t="str">
        <f t="shared" si="45"/>
        <v>Poor</v>
      </c>
    </row>
    <row r="1364" spans="1:7" ht="15" customHeight="1" x14ac:dyDescent="0.3">
      <c r="A1364" t="s">
        <v>131</v>
      </c>
      <c r="B1364" s="2">
        <v>46204</v>
      </c>
      <c r="C1364" cm="1">
        <f t="array" ref="C1364">IFERROR(IF(SUMPRODUCT((measured[Site Name]=A1364)*(measured[Date]=B1364)*ISNUMBER(measured[Measured Value (kWh)]))=0,"",SUMIFS(measured[Measured Value (kWh)],measured[Site Name],A1364,measured[Date],B1364)),"")</f>
        <v>5690</v>
      </c>
      <c r="D1364" cm="1">
        <f t="array" ref="D1364">IFERROR(IF(SUMPRODUCT((expected_production[Site Name]=A1364)*(expected_production[Date]=B1364)*ISNUMBER(expected_production[Expected Production (kWh)]))=0,"",SUMIFS(expected_production[Expected Production (kWh)],expected_production[Site Name],A1364,expected_production[Date],B1364)),"")</f>
        <v>5383.9</v>
      </c>
      <c r="E1364" s="9">
        <f t="shared" si="44"/>
        <v>1.0568546964096659</v>
      </c>
      <c r="F1364" t="str">
        <f t="shared" si="45"/>
        <v>Expected</v>
      </c>
      <c r="G1364" t="s">
        <v>874</v>
      </c>
    </row>
    <row r="1365" spans="1:7" ht="15" customHeight="1" x14ac:dyDescent="0.3">
      <c r="A1365" t="s">
        <v>220</v>
      </c>
      <c r="B1365" s="2">
        <v>46235</v>
      </c>
      <c r="C1365" t="str" cm="1">
        <f t="array" ref="C1365">IFERROR(IF(SUMPRODUCT((measured[Site Name]=A1365)*(measured[Date]=B1365)*ISNUMBER(measured[Measured Value (kWh)]))=0,"",SUMIFS(measured[Measured Value (kWh)],measured[Site Name],A1365,measured[Date],B1365)),"")</f>
        <v/>
      </c>
      <c r="D1365" cm="1">
        <f t="array" ref="D1365">IFERROR(IF(SUMPRODUCT((expected_production[Site Name]=A1365)*(expected_production[Date]=B1365)*ISNUMBER(expected_production[Expected Production (kWh)]))=0,"",SUMIFS(expected_production[Expected Production (kWh)],expected_production[Site Name],A1365,expected_production[Date],B1365)),"")</f>
        <v>36815.4</v>
      </c>
      <c r="E1365" s="9" t="str">
        <f t="shared" si="44"/>
        <v/>
      </c>
      <c r="F1365" t="str">
        <f t="shared" si="45"/>
        <v/>
      </c>
    </row>
    <row r="1366" spans="1:7" ht="15" customHeight="1" x14ac:dyDescent="0.3">
      <c r="A1366" t="s">
        <v>220</v>
      </c>
      <c r="B1366" s="2">
        <v>46266</v>
      </c>
      <c r="C1366" t="str" cm="1">
        <f t="array" ref="C1366">IFERROR(IF(SUMPRODUCT((measured[Site Name]=A1366)*(measured[Date]=B1366)*ISNUMBER(measured[Measured Value (kWh)]))=0,"",SUMIFS(measured[Measured Value (kWh)],measured[Site Name],A1366,measured[Date],B1366)),"")</f>
        <v/>
      </c>
      <c r="D1366" cm="1">
        <f t="array" ref="D1366">IFERROR(IF(SUMPRODUCT((expected_production[Site Name]=A1366)*(expected_production[Date]=B1366)*ISNUMBER(expected_production[Expected Production (kWh)]))=0,"",SUMIFS(expected_production[Expected Production (kWh)],expected_production[Site Name],A1366,expected_production[Date],B1366)),"")</f>
        <v>40778.1</v>
      </c>
      <c r="E1366" s="9" t="str">
        <f t="shared" si="44"/>
        <v/>
      </c>
      <c r="F1366" t="str">
        <f t="shared" si="45"/>
        <v/>
      </c>
    </row>
    <row r="1367" spans="1:7" ht="15" customHeight="1" x14ac:dyDescent="0.3">
      <c r="A1367" t="s">
        <v>220</v>
      </c>
      <c r="B1367" s="2">
        <v>46296</v>
      </c>
      <c r="C1367" t="str" cm="1">
        <f t="array" ref="C1367">IFERROR(IF(SUMPRODUCT((measured[Site Name]=A1367)*(measured[Date]=B1367)*ISNUMBER(measured[Measured Value (kWh)]))=0,"",SUMIFS(measured[Measured Value (kWh)],measured[Site Name],A1367,measured[Date],B1367)),"")</f>
        <v/>
      </c>
      <c r="D1367" cm="1">
        <f t="array" ref="D1367">IFERROR(IF(SUMPRODUCT((expected_production[Site Name]=A1367)*(expected_production[Date]=B1367)*ISNUMBER(expected_production[Expected Production (kWh)]))=0,"",SUMIFS(expected_production[Expected Production (kWh)],expected_production[Site Name],A1367,expected_production[Date],B1367)),"")</f>
        <v>46212.3</v>
      </c>
      <c r="E1367" s="9" t="str">
        <f t="shared" si="44"/>
        <v/>
      </c>
      <c r="F1367" t="str">
        <f t="shared" si="45"/>
        <v/>
      </c>
    </row>
    <row r="1368" spans="1:7" ht="15" customHeight="1" x14ac:dyDescent="0.3">
      <c r="A1368" t="s">
        <v>220</v>
      </c>
      <c r="B1368" s="2">
        <v>46327</v>
      </c>
      <c r="C1368" t="str" cm="1">
        <f t="array" ref="C1368">IFERROR(IF(SUMPRODUCT((measured[Site Name]=A1368)*(measured[Date]=B1368)*ISNUMBER(measured[Measured Value (kWh)]))=0,"",SUMIFS(measured[Measured Value (kWh)],measured[Site Name],A1368,measured[Date],B1368)),"")</f>
        <v/>
      </c>
      <c r="D1368" cm="1">
        <f t="array" ref="D1368">IFERROR(IF(SUMPRODUCT((expected_production[Site Name]=A1368)*(expected_production[Date]=B1368)*ISNUMBER(expected_production[Expected Production (kWh)]))=0,"",SUMIFS(expected_production[Expected Production (kWh)],expected_production[Site Name],A1368,expected_production[Date],B1368)),"")</f>
        <v>46653.3</v>
      </c>
      <c r="E1368" s="9" t="str">
        <f t="shared" si="44"/>
        <v/>
      </c>
      <c r="F1368" t="str">
        <f t="shared" si="45"/>
        <v/>
      </c>
    </row>
    <row r="1369" spans="1:7" ht="15" customHeight="1" x14ac:dyDescent="0.3">
      <c r="A1369" t="s">
        <v>220</v>
      </c>
      <c r="B1369" s="2">
        <v>46357</v>
      </c>
      <c r="C1369" t="str" cm="1">
        <f t="array" ref="C1369">IFERROR(IF(SUMPRODUCT((measured[Site Name]=A1369)*(measured[Date]=B1369)*ISNUMBER(measured[Measured Value (kWh)]))=0,"",SUMIFS(measured[Measured Value (kWh)],measured[Site Name],A1369,measured[Date],B1369)),"")</f>
        <v/>
      </c>
      <c r="D1369" cm="1">
        <f t="array" ref="D1369">IFERROR(IF(SUMPRODUCT((expected_production[Site Name]=A1369)*(expected_production[Date]=B1369)*ISNUMBER(expected_production[Expected Production (kWh)]))=0,"",SUMIFS(expected_production[Expected Production (kWh)],expected_production[Site Name],A1369,expected_production[Date],B1369)),"")</f>
        <v>47656.800000000003</v>
      </c>
      <c r="E1369" s="9" t="str">
        <f t="shared" si="44"/>
        <v/>
      </c>
      <c r="F1369" t="str">
        <f t="shared" si="45"/>
        <v/>
      </c>
    </row>
    <row r="1370" spans="1:7" ht="15" customHeight="1" x14ac:dyDescent="0.3">
      <c r="A1370" t="s">
        <v>222</v>
      </c>
      <c r="B1370" s="2">
        <v>45292</v>
      </c>
      <c r="C1370" t="str" cm="1">
        <f t="array" ref="C1370">IFERROR(IF(SUMPRODUCT((measured[Site Name]=A1370)*(measured[Date]=B1370)*ISNUMBER(measured[Measured Value (kWh)]))=0,"",SUMIFS(measured[Measured Value (kWh)],measured[Site Name],A1370,measured[Date],B1370)),"")</f>
        <v/>
      </c>
      <c r="D1370" cm="1">
        <f t="array" ref="D1370">IFERROR(IF(SUMPRODUCT((expected_production[Site Name]=A1370)*(expected_production[Date]=B1370)*ISNUMBER(expected_production[Expected Production (kWh)]))=0,"",SUMIFS(expected_production[Expected Production (kWh)],expected_production[Site Name],A1370,expected_production[Date],B1370)),"")</f>
        <v>12369.6</v>
      </c>
      <c r="E1370" s="9" t="str">
        <f t="shared" si="44"/>
        <v/>
      </c>
      <c r="F1370" t="str">
        <f t="shared" si="45"/>
        <v/>
      </c>
    </row>
    <row r="1371" spans="1:7" ht="15" customHeight="1" x14ac:dyDescent="0.3">
      <c r="A1371" t="s">
        <v>222</v>
      </c>
      <c r="B1371" s="2">
        <v>45323</v>
      </c>
      <c r="C1371" t="str" cm="1">
        <f t="array" ref="C1371">IFERROR(IF(SUMPRODUCT((measured[Site Name]=A1371)*(measured[Date]=B1371)*ISNUMBER(measured[Measured Value (kWh)]))=0,"",SUMIFS(measured[Measured Value (kWh)],measured[Site Name],A1371,measured[Date],B1371)),"")</f>
        <v/>
      </c>
      <c r="D1371" cm="1">
        <f t="array" ref="D1371">IFERROR(IF(SUMPRODUCT((expected_production[Site Name]=A1371)*(expected_production[Date]=B1371)*ISNUMBER(expected_production[Expected Production (kWh)]))=0,"",SUMIFS(expected_production[Expected Production (kWh)],expected_production[Site Name],A1371,expected_production[Date],B1371)),"")</f>
        <v>10801.8</v>
      </c>
      <c r="E1371" s="9" t="str">
        <f t="shared" si="44"/>
        <v/>
      </c>
      <c r="F1371" t="str">
        <f t="shared" si="45"/>
        <v/>
      </c>
    </row>
    <row r="1372" spans="1:7" ht="15" customHeight="1" x14ac:dyDescent="0.3">
      <c r="A1372" t="s">
        <v>222</v>
      </c>
      <c r="B1372" s="2">
        <v>45352</v>
      </c>
      <c r="C1372" t="str" cm="1">
        <f t="array" ref="C1372">IFERROR(IF(SUMPRODUCT((measured[Site Name]=A1372)*(measured[Date]=B1372)*ISNUMBER(measured[Measured Value (kWh)]))=0,"",SUMIFS(measured[Measured Value (kWh)],measured[Site Name],A1372,measured[Date],B1372)),"")</f>
        <v/>
      </c>
      <c r="D1372" cm="1">
        <f t="array" ref="D1372">IFERROR(IF(SUMPRODUCT((expected_production[Site Name]=A1372)*(expected_production[Date]=B1372)*ISNUMBER(expected_production[Expected Production (kWh)]))=0,"",SUMIFS(expected_production[Expected Production (kWh)],expected_production[Site Name],A1372,expected_production[Date],B1372)),"")</f>
        <v>10537.2</v>
      </c>
      <c r="E1372" s="9" t="str">
        <f t="shared" si="44"/>
        <v/>
      </c>
      <c r="F1372" t="str">
        <f t="shared" si="45"/>
        <v/>
      </c>
    </row>
    <row r="1373" spans="1:7" ht="15" customHeight="1" x14ac:dyDescent="0.3">
      <c r="A1373" t="s">
        <v>222</v>
      </c>
      <c r="B1373" s="2">
        <v>45383</v>
      </c>
      <c r="C1373" t="str" cm="1">
        <f t="array" ref="C1373">IFERROR(IF(SUMPRODUCT((measured[Site Name]=A1373)*(measured[Date]=B1373)*ISNUMBER(measured[Measured Value (kWh)]))=0,"",SUMIFS(measured[Measured Value (kWh)],measured[Site Name],A1373,measured[Date],B1373)),"")</f>
        <v/>
      </c>
      <c r="D1373" cm="1">
        <f t="array" ref="D1373">IFERROR(IF(SUMPRODUCT((expected_production[Site Name]=A1373)*(expected_production[Date]=B1373)*ISNUMBER(expected_production[Expected Production (kWh)]))=0,"",SUMIFS(expected_production[Expected Production (kWh)],expected_production[Site Name],A1373,expected_production[Date],B1373)),"")</f>
        <v>9173.7000000000007</v>
      </c>
      <c r="E1373" s="9" t="str">
        <f t="shared" si="44"/>
        <v/>
      </c>
      <c r="F1373" t="str">
        <f t="shared" si="45"/>
        <v/>
      </c>
    </row>
    <row r="1374" spans="1:7" ht="15" customHeight="1" x14ac:dyDescent="0.3">
      <c r="A1374" t="s">
        <v>222</v>
      </c>
      <c r="B1374" s="2">
        <v>45413</v>
      </c>
      <c r="C1374" t="str" cm="1">
        <f t="array" ref="C1374">IFERROR(IF(SUMPRODUCT((measured[Site Name]=A1374)*(measured[Date]=B1374)*ISNUMBER(measured[Measured Value (kWh)]))=0,"",SUMIFS(measured[Measured Value (kWh)],measured[Site Name],A1374,measured[Date],B1374)),"")</f>
        <v/>
      </c>
      <c r="D1374" cm="1">
        <f t="array" ref="D1374">IFERROR(IF(SUMPRODUCT((expected_production[Site Name]=A1374)*(expected_production[Date]=B1374)*ISNUMBER(expected_production[Expected Production (kWh)]))=0,"",SUMIFS(expected_production[Expected Production (kWh)],expected_production[Site Name],A1374,expected_production[Date],B1374)),"")</f>
        <v>8503.2000000000007</v>
      </c>
      <c r="E1374" s="9" t="str">
        <f t="shared" si="44"/>
        <v/>
      </c>
      <c r="F1374" t="str">
        <f t="shared" si="45"/>
        <v/>
      </c>
    </row>
    <row r="1375" spans="1:7" ht="15" customHeight="1" x14ac:dyDescent="0.3">
      <c r="A1375" t="s">
        <v>222</v>
      </c>
      <c r="B1375" s="2">
        <v>45444</v>
      </c>
      <c r="C1375" t="str" cm="1">
        <f t="array" ref="C1375">IFERROR(IF(SUMPRODUCT((measured[Site Name]=A1375)*(measured[Date]=B1375)*ISNUMBER(measured[Measured Value (kWh)]))=0,"",SUMIFS(measured[Measured Value (kWh)],measured[Site Name],A1375,measured[Date],B1375)),"")</f>
        <v/>
      </c>
      <c r="D1375" cm="1">
        <f t="array" ref="D1375">IFERROR(IF(SUMPRODUCT((expected_production[Site Name]=A1375)*(expected_production[Date]=B1375)*ISNUMBER(expected_production[Expected Production (kWh)]))=0,"",SUMIFS(expected_production[Expected Production (kWh)],expected_production[Site Name],A1375,expected_production[Date],B1375)),"")</f>
        <v>7545.6</v>
      </c>
      <c r="E1375" s="9" t="str">
        <f t="shared" si="44"/>
        <v/>
      </c>
      <c r="F1375" t="str">
        <f t="shared" si="45"/>
        <v/>
      </c>
    </row>
    <row r="1376" spans="1:7" ht="15" customHeight="1" x14ac:dyDescent="0.3">
      <c r="A1376" t="s">
        <v>222</v>
      </c>
      <c r="B1376" s="2">
        <v>45474</v>
      </c>
      <c r="C1376" t="str" cm="1">
        <f t="array" ref="C1376">IFERROR(IF(SUMPRODUCT((measured[Site Name]=A1376)*(measured[Date]=B1376)*ISNUMBER(measured[Measured Value (kWh)]))=0,"",SUMIFS(measured[Measured Value (kWh)],measured[Site Name],A1376,measured[Date],B1376)),"")</f>
        <v/>
      </c>
      <c r="D1376" cm="1">
        <f t="array" ref="D1376">IFERROR(IF(SUMPRODUCT((expected_production[Site Name]=A1376)*(expected_production[Date]=B1376)*ISNUMBER(expected_production[Expected Production (kWh)]))=0,"",SUMIFS(expected_production[Expected Production (kWh)],expected_production[Site Name],A1376,expected_production[Date],B1376)),"")</f>
        <v>8307</v>
      </c>
      <c r="E1376" s="9" t="str">
        <f t="shared" si="44"/>
        <v/>
      </c>
      <c r="F1376" t="str">
        <f t="shared" si="45"/>
        <v/>
      </c>
    </row>
    <row r="1377" spans="1:6" ht="15" customHeight="1" x14ac:dyDescent="0.3">
      <c r="A1377" t="s">
        <v>222</v>
      </c>
      <c r="B1377" s="2">
        <v>45505</v>
      </c>
      <c r="C1377" t="str" cm="1">
        <f t="array" ref="C1377">IFERROR(IF(SUMPRODUCT((measured[Site Name]=A1377)*(measured[Date]=B1377)*ISNUMBER(measured[Measured Value (kWh)]))=0,"",SUMIFS(measured[Measured Value (kWh)],measured[Site Name],A1377,measured[Date],B1377)),"")</f>
        <v/>
      </c>
      <c r="D1377" cm="1">
        <f t="array" ref="D1377">IFERROR(IF(SUMPRODUCT((expected_production[Site Name]=A1377)*(expected_production[Date]=B1377)*ISNUMBER(expected_production[Expected Production (kWh)]))=0,"",SUMIFS(expected_production[Expected Production (kWh)],expected_production[Site Name],A1377,expected_production[Date],B1377)),"")</f>
        <v>9720.9</v>
      </c>
      <c r="E1377" s="9" t="str">
        <f t="shared" si="44"/>
        <v/>
      </c>
      <c r="F1377" t="str">
        <f t="shared" si="45"/>
        <v/>
      </c>
    </row>
    <row r="1378" spans="1:6" ht="15" customHeight="1" x14ac:dyDescent="0.3">
      <c r="A1378" t="s">
        <v>222</v>
      </c>
      <c r="B1378" s="2">
        <v>45536</v>
      </c>
      <c r="C1378" t="str" cm="1">
        <f t="array" ref="C1378">IFERROR(IF(SUMPRODUCT((measured[Site Name]=A1378)*(measured[Date]=B1378)*ISNUMBER(measured[Measured Value (kWh)]))=0,"",SUMIFS(measured[Measured Value (kWh)],measured[Site Name],A1378,measured[Date],B1378)),"")</f>
        <v/>
      </c>
      <c r="D1378" cm="1">
        <f t="array" ref="D1378">IFERROR(IF(SUMPRODUCT((expected_production[Site Name]=A1378)*(expected_production[Date]=B1378)*ISNUMBER(expected_production[Expected Production (kWh)]))=0,"",SUMIFS(expected_production[Expected Production (kWh)],expected_production[Site Name],A1378,expected_production[Date],B1378)),"")</f>
        <v>10755.9</v>
      </c>
      <c r="E1378" s="9" t="str">
        <f t="shared" si="44"/>
        <v/>
      </c>
      <c r="F1378" t="str">
        <f t="shared" si="45"/>
        <v/>
      </c>
    </row>
    <row r="1379" spans="1:6" ht="15" customHeight="1" x14ac:dyDescent="0.3">
      <c r="A1379" t="s">
        <v>222</v>
      </c>
      <c r="B1379" s="2">
        <v>45566</v>
      </c>
      <c r="C1379" t="str" cm="1">
        <f t="array" ref="C1379">IFERROR(IF(SUMPRODUCT((measured[Site Name]=A1379)*(measured[Date]=B1379)*ISNUMBER(measured[Measured Value (kWh)]))=0,"",SUMIFS(measured[Measured Value (kWh)],measured[Site Name],A1379,measured[Date],B1379)),"")</f>
        <v/>
      </c>
      <c r="D1379" cm="1">
        <f t="array" ref="D1379">IFERROR(IF(SUMPRODUCT((expected_production[Site Name]=A1379)*(expected_production[Date]=B1379)*ISNUMBER(expected_production[Expected Production (kWh)]))=0,"",SUMIFS(expected_production[Expected Production (kWh)],expected_production[Site Name],A1379,expected_production[Date],B1379)),"")</f>
        <v>12190.5</v>
      </c>
      <c r="E1379" s="9" t="str">
        <f t="shared" si="44"/>
        <v/>
      </c>
      <c r="F1379" t="str">
        <f t="shared" si="45"/>
        <v/>
      </c>
    </row>
    <row r="1380" spans="1:6" ht="15" customHeight="1" x14ac:dyDescent="0.3">
      <c r="A1380" t="s">
        <v>222</v>
      </c>
      <c r="B1380" s="2">
        <v>45597</v>
      </c>
      <c r="C1380" t="str" cm="1">
        <f t="array" ref="C1380">IFERROR(IF(SUMPRODUCT((measured[Site Name]=A1380)*(measured[Date]=B1380)*ISNUMBER(measured[Measured Value (kWh)]))=0,"",SUMIFS(measured[Measured Value (kWh)],measured[Site Name],A1380,measured[Date],B1380)),"")</f>
        <v/>
      </c>
      <c r="D1380" cm="1">
        <f t="array" ref="D1380">IFERROR(IF(SUMPRODUCT((expected_production[Site Name]=A1380)*(expected_production[Date]=B1380)*ISNUMBER(expected_production[Expected Production (kWh)]))=0,"",SUMIFS(expected_production[Expected Production (kWh)],expected_production[Site Name],A1380,expected_production[Date],B1380)),"")</f>
        <v>12263.4</v>
      </c>
      <c r="E1380" s="9" t="str">
        <f t="shared" si="44"/>
        <v/>
      </c>
      <c r="F1380" t="str">
        <f t="shared" si="45"/>
        <v/>
      </c>
    </row>
    <row r="1381" spans="1:6" ht="15" customHeight="1" x14ac:dyDescent="0.3">
      <c r="A1381" t="s">
        <v>222</v>
      </c>
      <c r="B1381" s="2">
        <v>45627</v>
      </c>
      <c r="C1381" t="str" cm="1">
        <f t="array" ref="C1381">IFERROR(IF(SUMPRODUCT((measured[Site Name]=A1381)*(measured[Date]=B1381)*ISNUMBER(measured[Measured Value (kWh)]))=0,"",SUMIFS(measured[Measured Value (kWh)],measured[Site Name],A1381,measured[Date],B1381)),"")</f>
        <v/>
      </c>
      <c r="D1381" cm="1">
        <f t="array" ref="D1381">IFERROR(IF(SUMPRODUCT((expected_production[Site Name]=A1381)*(expected_production[Date]=B1381)*ISNUMBER(expected_production[Expected Production (kWh)]))=0,"",SUMIFS(expected_production[Expected Production (kWh)],expected_production[Site Name],A1381,expected_production[Date],B1381)),"")</f>
        <v>12539.7</v>
      </c>
      <c r="E1381" s="9" t="str">
        <f t="shared" si="44"/>
        <v/>
      </c>
      <c r="F1381" t="str">
        <f t="shared" si="45"/>
        <v/>
      </c>
    </row>
    <row r="1382" spans="1:6" ht="15" customHeight="1" x14ac:dyDescent="0.3">
      <c r="A1382" t="s">
        <v>222</v>
      </c>
      <c r="B1382" s="2">
        <v>45658</v>
      </c>
      <c r="C1382" t="str" cm="1">
        <f t="array" ref="C1382">IFERROR(IF(SUMPRODUCT((measured[Site Name]=A1382)*(measured[Date]=B1382)*ISNUMBER(measured[Measured Value (kWh)]))=0,"",SUMIFS(measured[Measured Value (kWh)],measured[Site Name],A1382,measured[Date],B1382)),"")</f>
        <v/>
      </c>
      <c r="D1382" cm="1">
        <f t="array" ref="D1382">IFERROR(IF(SUMPRODUCT((expected_production[Site Name]=A1382)*(expected_production[Date]=B1382)*ISNUMBER(expected_production[Expected Production (kWh)]))=0,"",SUMIFS(expected_production[Expected Production (kWh)],expected_production[Site Name],A1382,expected_production[Date],B1382)),"")</f>
        <v>12369.6</v>
      </c>
      <c r="E1382" s="9" t="str">
        <f t="shared" si="44"/>
        <v/>
      </c>
      <c r="F1382" t="str">
        <f t="shared" si="45"/>
        <v/>
      </c>
    </row>
    <row r="1383" spans="1:6" ht="15" customHeight="1" x14ac:dyDescent="0.3">
      <c r="A1383" t="s">
        <v>222</v>
      </c>
      <c r="B1383" s="2">
        <v>45689</v>
      </c>
      <c r="C1383" t="str" cm="1">
        <f t="array" ref="C1383">IFERROR(IF(SUMPRODUCT((measured[Site Name]=A1383)*(measured[Date]=B1383)*ISNUMBER(measured[Measured Value (kWh)]))=0,"",SUMIFS(measured[Measured Value (kWh)],measured[Site Name],A1383,measured[Date],B1383)),"")</f>
        <v/>
      </c>
      <c r="D1383" cm="1">
        <f t="array" ref="D1383">IFERROR(IF(SUMPRODUCT((expected_production[Site Name]=A1383)*(expected_production[Date]=B1383)*ISNUMBER(expected_production[Expected Production (kWh)]))=0,"",SUMIFS(expected_production[Expected Production (kWh)],expected_production[Site Name],A1383,expected_production[Date],B1383)),"")</f>
        <v>10801.8</v>
      </c>
      <c r="E1383" s="9" t="str">
        <f t="shared" si="44"/>
        <v/>
      </c>
      <c r="F1383" t="str">
        <f t="shared" si="45"/>
        <v/>
      </c>
    </row>
    <row r="1384" spans="1:6" ht="15" customHeight="1" x14ac:dyDescent="0.3">
      <c r="A1384" t="s">
        <v>222</v>
      </c>
      <c r="B1384" s="2">
        <v>45717</v>
      </c>
      <c r="C1384" t="str" cm="1">
        <f t="array" ref="C1384">IFERROR(IF(SUMPRODUCT((measured[Site Name]=A1384)*(measured[Date]=B1384)*ISNUMBER(measured[Measured Value (kWh)]))=0,"",SUMIFS(measured[Measured Value (kWh)],measured[Site Name],A1384,measured[Date],B1384)),"")</f>
        <v/>
      </c>
      <c r="D1384" cm="1">
        <f t="array" ref="D1384">IFERROR(IF(SUMPRODUCT((expected_production[Site Name]=A1384)*(expected_production[Date]=B1384)*ISNUMBER(expected_production[Expected Production (kWh)]))=0,"",SUMIFS(expected_production[Expected Production (kWh)],expected_production[Site Name],A1384,expected_production[Date],B1384)),"")</f>
        <v>10537.2</v>
      </c>
      <c r="E1384" s="9" t="str">
        <f t="shared" si="44"/>
        <v/>
      </c>
      <c r="F1384" t="str">
        <f t="shared" si="45"/>
        <v/>
      </c>
    </row>
    <row r="1385" spans="1:6" ht="15" customHeight="1" x14ac:dyDescent="0.3">
      <c r="A1385" t="s">
        <v>222</v>
      </c>
      <c r="B1385" s="2">
        <v>45748</v>
      </c>
      <c r="C1385" t="str" cm="1">
        <f t="array" ref="C1385">IFERROR(IF(SUMPRODUCT((measured[Site Name]=A1385)*(measured[Date]=B1385)*ISNUMBER(measured[Measured Value (kWh)]))=0,"",SUMIFS(measured[Measured Value (kWh)],measured[Site Name],A1385,measured[Date],B1385)),"")</f>
        <v/>
      </c>
      <c r="D1385" cm="1">
        <f t="array" ref="D1385">IFERROR(IF(SUMPRODUCT((expected_production[Site Name]=A1385)*(expected_production[Date]=B1385)*ISNUMBER(expected_production[Expected Production (kWh)]))=0,"",SUMIFS(expected_production[Expected Production (kWh)],expected_production[Site Name],A1385,expected_production[Date],B1385)),"")</f>
        <v>9173.7000000000007</v>
      </c>
      <c r="E1385" s="9" t="str">
        <f t="shared" si="44"/>
        <v/>
      </c>
      <c r="F1385" t="str">
        <f t="shared" si="45"/>
        <v/>
      </c>
    </row>
    <row r="1386" spans="1:6" ht="15" customHeight="1" x14ac:dyDescent="0.3">
      <c r="A1386" t="s">
        <v>222</v>
      </c>
      <c r="B1386" s="2">
        <v>45778</v>
      </c>
      <c r="C1386" t="str" cm="1">
        <f t="array" ref="C1386">IFERROR(IF(SUMPRODUCT((measured[Site Name]=A1386)*(measured[Date]=B1386)*ISNUMBER(measured[Measured Value (kWh)]))=0,"",SUMIFS(measured[Measured Value (kWh)],measured[Site Name],A1386,measured[Date],B1386)),"")</f>
        <v/>
      </c>
      <c r="D1386" cm="1">
        <f t="array" ref="D1386">IFERROR(IF(SUMPRODUCT((expected_production[Site Name]=A1386)*(expected_production[Date]=B1386)*ISNUMBER(expected_production[Expected Production (kWh)]))=0,"",SUMIFS(expected_production[Expected Production (kWh)],expected_production[Site Name],A1386,expected_production[Date],B1386)),"")</f>
        <v>8503.2000000000007</v>
      </c>
      <c r="E1386" s="9" t="str">
        <f t="shared" si="44"/>
        <v/>
      </c>
      <c r="F1386" t="str">
        <f t="shared" si="45"/>
        <v/>
      </c>
    </row>
    <row r="1387" spans="1:6" ht="15" customHeight="1" x14ac:dyDescent="0.3">
      <c r="A1387" t="s">
        <v>222</v>
      </c>
      <c r="B1387" s="2">
        <v>45809</v>
      </c>
      <c r="C1387" t="str" cm="1">
        <f t="array" ref="C1387">IFERROR(IF(SUMPRODUCT((measured[Site Name]=A1387)*(measured[Date]=B1387)*ISNUMBER(measured[Measured Value (kWh)]))=0,"",SUMIFS(measured[Measured Value (kWh)],measured[Site Name],A1387,measured[Date],B1387)),"")</f>
        <v/>
      </c>
      <c r="D1387" cm="1">
        <f t="array" ref="D1387">IFERROR(IF(SUMPRODUCT((expected_production[Site Name]=A1387)*(expected_production[Date]=B1387)*ISNUMBER(expected_production[Expected Production (kWh)]))=0,"",SUMIFS(expected_production[Expected Production (kWh)],expected_production[Site Name],A1387,expected_production[Date],B1387)),"")</f>
        <v>7545.6</v>
      </c>
      <c r="E1387" s="9" t="str">
        <f t="shared" si="44"/>
        <v/>
      </c>
      <c r="F1387" t="str">
        <f t="shared" si="45"/>
        <v/>
      </c>
    </row>
    <row r="1388" spans="1:6" ht="15" customHeight="1" x14ac:dyDescent="0.3">
      <c r="A1388" t="s">
        <v>222</v>
      </c>
      <c r="B1388" s="2">
        <v>45839</v>
      </c>
      <c r="C1388" t="str" cm="1">
        <f t="array" ref="C1388">IFERROR(IF(SUMPRODUCT((measured[Site Name]=A1388)*(measured[Date]=B1388)*ISNUMBER(measured[Measured Value (kWh)]))=0,"",SUMIFS(measured[Measured Value (kWh)],measured[Site Name],A1388,measured[Date],B1388)),"")</f>
        <v/>
      </c>
      <c r="D1388" cm="1">
        <f t="array" ref="D1388">IFERROR(IF(SUMPRODUCT((expected_production[Site Name]=A1388)*(expected_production[Date]=B1388)*ISNUMBER(expected_production[Expected Production (kWh)]))=0,"",SUMIFS(expected_production[Expected Production (kWh)],expected_production[Site Name],A1388,expected_production[Date],B1388)),"")</f>
        <v>8307</v>
      </c>
      <c r="E1388" s="9" t="str">
        <f t="shared" si="44"/>
        <v/>
      </c>
      <c r="F1388" t="str">
        <f t="shared" si="45"/>
        <v/>
      </c>
    </row>
    <row r="1389" spans="1:6" ht="15" customHeight="1" x14ac:dyDescent="0.3">
      <c r="A1389" t="s">
        <v>222</v>
      </c>
      <c r="B1389" s="2">
        <v>45870</v>
      </c>
      <c r="C1389" t="str" cm="1">
        <f t="array" ref="C1389">IFERROR(IF(SUMPRODUCT((measured[Site Name]=A1389)*(measured[Date]=B1389)*ISNUMBER(measured[Measured Value (kWh)]))=0,"",SUMIFS(measured[Measured Value (kWh)],measured[Site Name],A1389,measured[Date],B1389)),"")</f>
        <v/>
      </c>
      <c r="D1389" cm="1">
        <f t="array" ref="D1389">IFERROR(IF(SUMPRODUCT((expected_production[Site Name]=A1389)*(expected_production[Date]=B1389)*ISNUMBER(expected_production[Expected Production (kWh)]))=0,"",SUMIFS(expected_production[Expected Production (kWh)],expected_production[Site Name],A1389,expected_production[Date],B1389)),"")</f>
        <v>9720.9</v>
      </c>
      <c r="E1389" s="9" t="str">
        <f t="shared" si="44"/>
        <v/>
      </c>
      <c r="F1389" t="str">
        <f t="shared" si="45"/>
        <v/>
      </c>
    </row>
    <row r="1390" spans="1:6" ht="15" customHeight="1" x14ac:dyDescent="0.3">
      <c r="A1390" t="s">
        <v>222</v>
      </c>
      <c r="B1390" s="2">
        <v>45901</v>
      </c>
      <c r="C1390" t="str" cm="1">
        <f t="array" ref="C1390">IFERROR(IF(SUMPRODUCT((measured[Site Name]=A1390)*(measured[Date]=B1390)*ISNUMBER(measured[Measured Value (kWh)]))=0,"",SUMIFS(measured[Measured Value (kWh)],measured[Site Name],A1390,measured[Date],B1390)),"")</f>
        <v/>
      </c>
      <c r="D1390" cm="1">
        <f t="array" ref="D1390">IFERROR(IF(SUMPRODUCT((expected_production[Site Name]=A1390)*(expected_production[Date]=B1390)*ISNUMBER(expected_production[Expected Production (kWh)]))=0,"",SUMIFS(expected_production[Expected Production (kWh)],expected_production[Site Name],A1390,expected_production[Date],B1390)),"")</f>
        <v>10755.9</v>
      </c>
      <c r="E1390" s="9" t="str">
        <f t="shared" si="44"/>
        <v/>
      </c>
      <c r="F1390" t="str">
        <f t="shared" si="45"/>
        <v/>
      </c>
    </row>
    <row r="1391" spans="1:6" ht="15" customHeight="1" x14ac:dyDescent="0.3">
      <c r="A1391" t="s">
        <v>222</v>
      </c>
      <c r="B1391" s="2">
        <v>45931</v>
      </c>
      <c r="C1391" cm="1">
        <f t="array" ref="C1391">IFERROR(IF(SUMPRODUCT((measured[Site Name]=A1391)*(measured[Date]=B1391)*ISNUMBER(measured[Measured Value (kWh)]))=0,"",SUMIFS(measured[Measured Value (kWh)],measured[Site Name],A1391,measured[Date],B1391)),"")</f>
        <v>11800</v>
      </c>
      <c r="D1391" cm="1">
        <f t="array" ref="D1391">IFERROR(IF(SUMPRODUCT((expected_production[Site Name]=A1391)*(expected_production[Date]=B1391)*ISNUMBER(expected_production[Expected Production (kWh)]))=0,"",SUMIFS(expected_production[Expected Production (kWh)],expected_production[Site Name],A1391,expected_production[Date],B1391)),"")</f>
        <v>12190.5</v>
      </c>
      <c r="E1391" s="9">
        <f t="shared" si="44"/>
        <v>0.96796685943972771</v>
      </c>
      <c r="F1391" t="str">
        <f t="shared" si="45"/>
        <v>Expected</v>
      </c>
    </row>
    <row r="1392" spans="1:6" ht="15" customHeight="1" x14ac:dyDescent="0.3">
      <c r="A1392" t="s">
        <v>222</v>
      </c>
      <c r="B1392" s="2">
        <v>45962</v>
      </c>
      <c r="C1392" cm="1">
        <f t="array" ref="C1392">IFERROR(IF(SUMPRODUCT((measured[Site Name]=A1392)*(measured[Date]=B1392)*ISNUMBER(measured[Measured Value (kWh)]))=0,"",SUMIFS(measured[Measured Value (kWh)],measured[Site Name],A1392,measured[Date],B1392)),"")</f>
        <v>9938</v>
      </c>
      <c r="D1392" cm="1">
        <f t="array" ref="D1392">IFERROR(IF(SUMPRODUCT((expected_production[Site Name]=A1392)*(expected_production[Date]=B1392)*ISNUMBER(expected_production[Expected Production (kWh)]))=0,"",SUMIFS(expected_production[Expected Production (kWh)],expected_production[Site Name],A1392,expected_production[Date],B1392)),"")</f>
        <v>12263.4</v>
      </c>
      <c r="E1392" s="9">
        <f t="shared" si="44"/>
        <v>0.81037885088963912</v>
      </c>
      <c r="F1392" t="str">
        <f t="shared" si="45"/>
        <v>Moderate</v>
      </c>
    </row>
    <row r="1393" spans="1:7" ht="15" customHeight="1" x14ac:dyDescent="0.3">
      <c r="A1393" t="s">
        <v>222</v>
      </c>
      <c r="B1393" s="2">
        <v>45992</v>
      </c>
      <c r="C1393" cm="1">
        <f t="array" ref="C1393">IFERROR(IF(SUMPRODUCT((measured[Site Name]=A1393)*(measured[Date]=B1393)*ISNUMBER(measured[Measured Value (kWh)]))=0,"",SUMIFS(measured[Measured Value (kWh)],measured[Site Name],A1393,measured[Date],B1393)),"")</f>
        <v>9094</v>
      </c>
      <c r="D1393" cm="1">
        <f t="array" ref="D1393">IFERROR(IF(SUMPRODUCT((expected_production[Site Name]=A1393)*(expected_production[Date]=B1393)*ISNUMBER(expected_production[Expected Production (kWh)]))=0,"",SUMIFS(expected_production[Expected Production (kWh)],expected_production[Site Name],A1393,expected_production[Date],B1393)),"")</f>
        <v>12539.7</v>
      </c>
      <c r="E1393" s="9">
        <f t="shared" si="44"/>
        <v>0.72521671172356594</v>
      </c>
      <c r="F1393" t="str">
        <f t="shared" si="45"/>
        <v>Moderate</v>
      </c>
    </row>
    <row r="1394" spans="1:7" ht="15" customHeight="1" x14ac:dyDescent="0.3">
      <c r="A1394" t="s">
        <v>222</v>
      </c>
      <c r="B1394" s="2">
        <v>46023</v>
      </c>
      <c r="C1394" cm="1">
        <f t="array" ref="C1394">IFERROR(IF(SUMPRODUCT((measured[Site Name]=A1394)*(measured[Date]=B1394)*ISNUMBER(measured[Measured Value (kWh)]))=0,"",SUMIFS(measured[Measured Value (kWh)],measured[Site Name],A1394,measured[Date],B1394)),"")</f>
        <v>11835.67402</v>
      </c>
      <c r="D1394" cm="1">
        <f t="array" ref="D1394">IFERROR(IF(SUMPRODUCT((expected_production[Site Name]=A1394)*(expected_production[Date]=B1394)*ISNUMBER(expected_production[Expected Production (kWh)]))=0,"",SUMIFS(expected_production[Expected Production (kWh)],expected_production[Site Name],A1394,expected_production[Date],B1394)),"")</f>
        <v>12369.6</v>
      </c>
      <c r="E1394" s="9">
        <f t="shared" si="44"/>
        <v>0.95683563090156509</v>
      </c>
      <c r="F1394" t="str">
        <f t="shared" si="45"/>
        <v>Expected</v>
      </c>
    </row>
    <row r="1395" spans="1:7" ht="15" customHeight="1" x14ac:dyDescent="0.3">
      <c r="A1395" t="s">
        <v>222</v>
      </c>
      <c r="B1395" s="2">
        <v>46054</v>
      </c>
      <c r="C1395" cm="1">
        <f t="array" ref="C1395">IFERROR(IF(SUMPRODUCT((measured[Site Name]=A1395)*(measured[Date]=B1395)*ISNUMBER(measured[Measured Value (kWh)]))=0,"",SUMIFS(measured[Measured Value (kWh)],measured[Site Name],A1395,measured[Date],B1395)),"")</f>
        <v>9479.8287500000097</v>
      </c>
      <c r="D1395" cm="1">
        <f t="array" ref="D1395">IFERROR(IF(SUMPRODUCT((expected_production[Site Name]=A1395)*(expected_production[Date]=B1395)*ISNUMBER(expected_production[Expected Production (kWh)]))=0,"",SUMIFS(expected_production[Expected Production (kWh)],expected_production[Site Name],A1395,expected_production[Date],B1395)),"")</f>
        <v>10801.8</v>
      </c>
      <c r="E1395" s="9">
        <f t="shared" si="44"/>
        <v>0.87761565202096048</v>
      </c>
      <c r="F1395" t="str">
        <f t="shared" si="45"/>
        <v>Moderate</v>
      </c>
    </row>
    <row r="1396" spans="1:7" ht="15" customHeight="1" x14ac:dyDescent="0.3">
      <c r="A1396" t="s">
        <v>222</v>
      </c>
      <c r="B1396" s="2">
        <v>46082</v>
      </c>
      <c r="C1396" cm="1">
        <f t="array" ref="C1396">IFERROR(IF(SUMPRODUCT((measured[Site Name]=A1396)*(measured[Date]=B1396)*ISNUMBER(measured[Measured Value (kWh)]))=0,"",SUMIFS(measured[Measured Value (kWh)],measured[Site Name],A1396,measured[Date],B1396)),"")</f>
        <v>9043</v>
      </c>
      <c r="D1396" cm="1">
        <f t="array" ref="D1396">IFERROR(IF(SUMPRODUCT((expected_production[Site Name]=A1396)*(expected_production[Date]=B1396)*ISNUMBER(expected_production[Expected Production (kWh)]))=0,"",SUMIFS(expected_production[Expected Production (kWh)],expected_production[Site Name],A1396,expected_production[Date],B1396)),"")</f>
        <v>10537.2</v>
      </c>
      <c r="E1396" s="9">
        <f t="shared" si="44"/>
        <v>0.85819762365713848</v>
      </c>
      <c r="F1396" t="str">
        <f t="shared" si="45"/>
        <v>Moderate</v>
      </c>
    </row>
    <row r="1397" spans="1:7" ht="15" customHeight="1" x14ac:dyDescent="0.3">
      <c r="A1397" t="s">
        <v>222</v>
      </c>
      <c r="B1397" s="2">
        <v>46113</v>
      </c>
      <c r="C1397" cm="1">
        <f t="array" ref="C1397">IFERROR(IF(SUMPRODUCT((measured[Site Name]=A1397)*(measured[Date]=B1397)*ISNUMBER(measured[Measured Value (kWh)]))=0,"",SUMIFS(measured[Measured Value (kWh)],measured[Site Name],A1397,measured[Date],B1397)),"")</f>
        <v>7039.32</v>
      </c>
      <c r="D1397" cm="1">
        <f t="array" ref="D1397">IFERROR(IF(SUMPRODUCT((expected_production[Site Name]=A1397)*(expected_production[Date]=B1397)*ISNUMBER(expected_production[Expected Production (kWh)]))=0,"",SUMIFS(expected_production[Expected Production (kWh)],expected_production[Site Name],A1397,expected_production[Date],B1397)),"")</f>
        <v>9173.7000000000007</v>
      </c>
      <c r="E1397" s="9">
        <f t="shared" si="44"/>
        <v>0.76733706138199409</v>
      </c>
      <c r="F1397" t="str">
        <f t="shared" si="45"/>
        <v>Moderate</v>
      </c>
    </row>
    <row r="1398" spans="1:7" ht="15" customHeight="1" x14ac:dyDescent="0.3">
      <c r="A1398" t="s">
        <v>222</v>
      </c>
      <c r="B1398" s="2">
        <v>46143</v>
      </c>
      <c r="C1398" cm="1">
        <f t="array" ref="C1398">IFERROR(IF(SUMPRODUCT((measured[Site Name]=A1398)*(measured[Date]=B1398)*ISNUMBER(measured[Measured Value (kWh)]))=0,"",SUMIFS(measured[Measured Value (kWh)],measured[Site Name],A1398,measured[Date],B1398)),"")</f>
        <v>8144.81</v>
      </c>
      <c r="D1398" cm="1">
        <f t="array" ref="D1398">IFERROR(IF(SUMPRODUCT((expected_production[Site Name]=A1398)*(expected_production[Date]=B1398)*ISNUMBER(expected_production[Expected Production (kWh)]))=0,"",SUMIFS(expected_production[Expected Production (kWh)],expected_production[Site Name],A1398,expected_production[Date],B1398)),"")</f>
        <v>8503.2000000000007</v>
      </c>
      <c r="E1398" s="9">
        <f t="shared" si="44"/>
        <v>0.95785233794336244</v>
      </c>
      <c r="F1398" t="str">
        <f t="shared" si="45"/>
        <v>Expected</v>
      </c>
    </row>
    <row r="1399" spans="1:7" ht="15" customHeight="1" x14ac:dyDescent="0.3">
      <c r="A1399" t="s">
        <v>222</v>
      </c>
      <c r="B1399" s="2">
        <v>46174</v>
      </c>
      <c r="C1399" cm="1">
        <f t="array" ref="C1399">IFERROR(IF(SUMPRODUCT((measured[Site Name]=A1399)*(measured[Date]=B1399)*ISNUMBER(measured[Measured Value (kWh)]))=0,"",SUMIFS(measured[Measured Value (kWh)],measured[Site Name],A1399,measured[Date],B1399)),"")</f>
        <v>5600</v>
      </c>
      <c r="D1399" cm="1">
        <f t="array" ref="D1399">IFERROR(IF(SUMPRODUCT((expected_production[Site Name]=A1399)*(expected_production[Date]=B1399)*ISNUMBER(expected_production[Expected Production (kWh)]))=0,"",SUMIFS(expected_production[Expected Production (kWh)],expected_production[Site Name],A1399,expected_production[Date],B1399)),"")</f>
        <v>7545.6</v>
      </c>
      <c r="E1399" s="9">
        <f t="shared" si="44"/>
        <v>0.7421543681085665</v>
      </c>
      <c r="F1399" t="str">
        <f t="shared" si="45"/>
        <v>Moderate</v>
      </c>
    </row>
    <row r="1400" spans="1:7" ht="15" customHeight="1" x14ac:dyDescent="0.3">
      <c r="A1400" t="s">
        <v>134</v>
      </c>
      <c r="B1400" s="2">
        <v>46204</v>
      </c>
      <c r="C1400" cm="1">
        <f t="array" ref="C1400">IFERROR(IF(SUMPRODUCT((measured[Site Name]=A1400)*(measured[Date]=B1400)*ISNUMBER(measured[Measured Value (kWh)]))=0,"",SUMIFS(measured[Measured Value (kWh)],measured[Site Name],A1400,measured[Date],B1400)),"")</f>
        <v>27326.29</v>
      </c>
      <c r="D1400" cm="1">
        <f t="array" ref="D1400">IFERROR(IF(SUMPRODUCT((expected_production[Site Name]=A1400)*(expected_production[Date]=B1400)*ISNUMBER(expected_production[Expected Production (kWh)]))=0,"",SUMIFS(expected_production[Expected Production (kWh)],expected_production[Site Name],A1400,expected_production[Date],B1400)),"")</f>
        <v>28361.7</v>
      </c>
      <c r="E1400" s="9">
        <f t="shared" si="44"/>
        <v>0.96349266792893229</v>
      </c>
      <c r="F1400" t="str">
        <f t="shared" si="45"/>
        <v>Expected</v>
      </c>
      <c r="G1400" t="s">
        <v>874</v>
      </c>
    </row>
    <row r="1401" spans="1:7" ht="15" customHeight="1" x14ac:dyDescent="0.3">
      <c r="A1401" t="s">
        <v>222</v>
      </c>
      <c r="B1401" s="2">
        <v>46235</v>
      </c>
      <c r="C1401" t="str" cm="1">
        <f t="array" ref="C1401">IFERROR(IF(SUMPRODUCT((measured[Site Name]=A1401)*(measured[Date]=B1401)*ISNUMBER(measured[Measured Value (kWh)]))=0,"",SUMIFS(measured[Measured Value (kWh)],measured[Site Name],A1401,measured[Date],B1401)),"")</f>
        <v/>
      </c>
      <c r="D1401" cm="1">
        <f t="array" ref="D1401">IFERROR(IF(SUMPRODUCT((expected_production[Site Name]=A1401)*(expected_production[Date]=B1401)*ISNUMBER(expected_production[Expected Production (kWh)]))=0,"",SUMIFS(expected_production[Expected Production (kWh)],expected_production[Site Name],A1401,expected_production[Date],B1401)),"")</f>
        <v>9720.9</v>
      </c>
      <c r="E1401" s="9" t="str">
        <f t="shared" si="44"/>
        <v/>
      </c>
      <c r="F1401" t="str">
        <f t="shared" si="45"/>
        <v/>
      </c>
    </row>
    <row r="1402" spans="1:7" ht="15" customHeight="1" x14ac:dyDescent="0.3">
      <c r="A1402" t="s">
        <v>222</v>
      </c>
      <c r="B1402" s="2">
        <v>46266</v>
      </c>
      <c r="C1402" t="str" cm="1">
        <f t="array" ref="C1402">IFERROR(IF(SUMPRODUCT((measured[Site Name]=A1402)*(measured[Date]=B1402)*ISNUMBER(measured[Measured Value (kWh)]))=0,"",SUMIFS(measured[Measured Value (kWh)],measured[Site Name],A1402,measured[Date],B1402)),"")</f>
        <v/>
      </c>
      <c r="D1402" cm="1">
        <f t="array" ref="D1402">IFERROR(IF(SUMPRODUCT((expected_production[Site Name]=A1402)*(expected_production[Date]=B1402)*ISNUMBER(expected_production[Expected Production (kWh)]))=0,"",SUMIFS(expected_production[Expected Production (kWh)],expected_production[Site Name],A1402,expected_production[Date],B1402)),"")</f>
        <v>10755.9</v>
      </c>
      <c r="E1402" s="9" t="str">
        <f t="shared" si="44"/>
        <v/>
      </c>
      <c r="F1402" t="str">
        <f t="shared" si="45"/>
        <v/>
      </c>
    </row>
    <row r="1403" spans="1:7" ht="15" customHeight="1" x14ac:dyDescent="0.3">
      <c r="A1403" t="s">
        <v>222</v>
      </c>
      <c r="B1403" s="2">
        <v>46296</v>
      </c>
      <c r="C1403" t="str" cm="1">
        <f t="array" ref="C1403">IFERROR(IF(SUMPRODUCT((measured[Site Name]=A1403)*(measured[Date]=B1403)*ISNUMBER(measured[Measured Value (kWh)]))=0,"",SUMIFS(measured[Measured Value (kWh)],measured[Site Name],A1403,measured[Date],B1403)),"")</f>
        <v/>
      </c>
      <c r="D1403" cm="1">
        <f t="array" ref="D1403">IFERROR(IF(SUMPRODUCT((expected_production[Site Name]=A1403)*(expected_production[Date]=B1403)*ISNUMBER(expected_production[Expected Production (kWh)]))=0,"",SUMIFS(expected_production[Expected Production (kWh)],expected_production[Site Name],A1403,expected_production[Date],B1403)),"")</f>
        <v>12190.5</v>
      </c>
      <c r="E1403" s="9" t="str">
        <f t="shared" si="44"/>
        <v/>
      </c>
      <c r="F1403" t="str">
        <f t="shared" si="45"/>
        <v/>
      </c>
    </row>
    <row r="1404" spans="1:7" ht="15" customHeight="1" x14ac:dyDescent="0.3">
      <c r="A1404" t="s">
        <v>222</v>
      </c>
      <c r="B1404" s="2">
        <v>46327</v>
      </c>
      <c r="C1404" t="str" cm="1">
        <f t="array" ref="C1404">IFERROR(IF(SUMPRODUCT((measured[Site Name]=A1404)*(measured[Date]=B1404)*ISNUMBER(measured[Measured Value (kWh)]))=0,"",SUMIFS(measured[Measured Value (kWh)],measured[Site Name],A1404,measured[Date],B1404)),"")</f>
        <v/>
      </c>
      <c r="D1404" cm="1">
        <f t="array" ref="D1404">IFERROR(IF(SUMPRODUCT((expected_production[Site Name]=A1404)*(expected_production[Date]=B1404)*ISNUMBER(expected_production[Expected Production (kWh)]))=0,"",SUMIFS(expected_production[Expected Production (kWh)],expected_production[Site Name],A1404,expected_production[Date],B1404)),"")</f>
        <v>12263.4</v>
      </c>
      <c r="E1404" s="9" t="str">
        <f t="shared" ref="E1404:E1467" si="46">IF(OR(C1404="",D1404="",D1404=0),"",C1404/D1404)</f>
        <v/>
      </c>
      <c r="F1404" t="str">
        <f t="shared" ref="F1404:F1467" si="47">IF(E1404="","",IF(E1404&gt;=0.9,"Expected",IF(E1404&gt;=0.7,"Moderate","Poor")))</f>
        <v/>
      </c>
    </row>
    <row r="1405" spans="1:7" ht="15" customHeight="1" x14ac:dyDescent="0.3">
      <c r="A1405" t="s">
        <v>222</v>
      </c>
      <c r="B1405" s="2">
        <v>46357</v>
      </c>
      <c r="C1405" t="str" cm="1">
        <f t="array" ref="C1405">IFERROR(IF(SUMPRODUCT((measured[Site Name]=A1405)*(measured[Date]=B1405)*ISNUMBER(measured[Measured Value (kWh)]))=0,"",SUMIFS(measured[Measured Value (kWh)],measured[Site Name],A1405,measured[Date],B1405)),"")</f>
        <v/>
      </c>
      <c r="D1405" cm="1">
        <f t="array" ref="D1405">IFERROR(IF(SUMPRODUCT((expected_production[Site Name]=A1405)*(expected_production[Date]=B1405)*ISNUMBER(expected_production[Expected Production (kWh)]))=0,"",SUMIFS(expected_production[Expected Production (kWh)],expected_production[Site Name],A1405,expected_production[Date],B1405)),"")</f>
        <v>12539.7</v>
      </c>
      <c r="E1405" s="9" t="str">
        <f t="shared" si="46"/>
        <v/>
      </c>
      <c r="F1405" t="str">
        <f t="shared" si="47"/>
        <v/>
      </c>
    </row>
    <row r="1406" spans="1:7" ht="15" customHeight="1" x14ac:dyDescent="0.3">
      <c r="A1406" t="s">
        <v>142</v>
      </c>
      <c r="B1406" s="2">
        <v>45292</v>
      </c>
      <c r="C1406" cm="1">
        <f t="array" ref="C1406">IFERROR(IF(SUMPRODUCT((measured[Site Name]=A1406)*(measured[Date]=B1406)*ISNUMBER(measured[Measured Value (kWh)]))=0,"",SUMIFS(measured[Measured Value (kWh)],measured[Site Name],A1406,measured[Date],B1406)),"")</f>
        <v>337</v>
      </c>
      <c r="D1406" cm="1">
        <f t="array" ref="D1406">IFERROR(IF(SUMPRODUCT((expected_production[Site Name]=A1406)*(expected_production[Date]=B1406)*ISNUMBER(expected_production[Expected Production (kWh)]))=0,"",SUMIFS(expected_production[Expected Production (kWh)],expected_production[Site Name],A1406,expected_production[Date],B1406)),"")</f>
        <v>5685.3</v>
      </c>
      <c r="E1406" s="9">
        <f t="shared" si="46"/>
        <v>5.9275675865829415E-2</v>
      </c>
      <c r="F1406" t="str">
        <f t="shared" si="47"/>
        <v>Poor</v>
      </c>
    </row>
    <row r="1407" spans="1:7" ht="15" customHeight="1" x14ac:dyDescent="0.3">
      <c r="A1407" t="s">
        <v>142</v>
      </c>
      <c r="B1407" s="2">
        <v>45323</v>
      </c>
      <c r="C1407" cm="1">
        <f t="array" ref="C1407">IFERROR(IF(SUMPRODUCT((measured[Site Name]=A1407)*(measured[Date]=B1407)*ISNUMBER(measured[Measured Value (kWh)]))=0,"",SUMIFS(measured[Measured Value (kWh)],measured[Site Name],A1407,measured[Date],B1407)),"")</f>
        <v>4222</v>
      </c>
      <c r="D1407" cm="1">
        <f t="array" ref="D1407">IFERROR(IF(SUMPRODUCT((expected_production[Site Name]=A1407)*(expected_production[Date]=B1407)*ISNUMBER(expected_production[Expected Production (kWh)]))=0,"",SUMIFS(expected_production[Expected Production (kWh)],expected_production[Site Name],A1407,expected_production[Date],B1407)),"")</f>
        <v>4780.8</v>
      </c>
      <c r="E1407" s="9">
        <f t="shared" si="46"/>
        <v>0.88311579651941097</v>
      </c>
      <c r="F1407" t="str">
        <f t="shared" si="47"/>
        <v>Moderate</v>
      </c>
    </row>
    <row r="1408" spans="1:7" ht="15" customHeight="1" x14ac:dyDescent="0.3">
      <c r="A1408" t="s">
        <v>142</v>
      </c>
      <c r="B1408" s="2">
        <v>45352</v>
      </c>
      <c r="C1408" cm="1">
        <f t="array" ref="C1408">IFERROR(IF(SUMPRODUCT((measured[Site Name]=A1408)*(measured[Date]=B1408)*ISNUMBER(measured[Measured Value (kWh)]))=0,"",SUMIFS(measured[Measured Value (kWh)],measured[Site Name],A1408,measured[Date],B1408)),"")</f>
        <v>5410</v>
      </c>
      <c r="D1408" cm="1">
        <f t="array" ref="D1408">IFERROR(IF(SUMPRODUCT((expected_production[Site Name]=A1408)*(expected_production[Date]=B1408)*ISNUMBER(expected_production[Expected Production (kWh)]))=0,"",SUMIFS(expected_production[Expected Production (kWh)],expected_production[Site Name],A1408,expected_production[Date],B1408)),"")</f>
        <v>4935.6000000000004</v>
      </c>
      <c r="E1408" s="9">
        <f t="shared" si="46"/>
        <v>1.0961179998379122</v>
      </c>
      <c r="F1408" t="str">
        <f t="shared" si="47"/>
        <v>Expected</v>
      </c>
    </row>
    <row r="1409" spans="1:6" ht="15" customHeight="1" x14ac:dyDescent="0.3">
      <c r="A1409" t="s">
        <v>142</v>
      </c>
      <c r="B1409" s="2">
        <v>45383</v>
      </c>
      <c r="C1409" cm="1">
        <f t="array" ref="C1409">IFERROR(IF(SUMPRODUCT((measured[Site Name]=A1409)*(measured[Date]=B1409)*ISNUMBER(measured[Measured Value (kWh)]))=0,"",SUMIFS(measured[Measured Value (kWh)],measured[Site Name],A1409,measured[Date],B1409)),"")</f>
        <v>4799</v>
      </c>
      <c r="D1409" cm="1">
        <f t="array" ref="D1409">IFERROR(IF(SUMPRODUCT((expected_production[Site Name]=A1409)*(expected_production[Date]=B1409)*ISNUMBER(expected_production[Expected Production (kWh)]))=0,"",SUMIFS(expected_production[Expected Production (kWh)],expected_production[Site Name],A1409,expected_production[Date],B1409)),"")</f>
        <v>4359.6000000000004</v>
      </c>
      <c r="E1409" s="9">
        <f t="shared" si="46"/>
        <v>1.1007890632168087</v>
      </c>
      <c r="F1409" t="str">
        <f t="shared" si="47"/>
        <v>Expected</v>
      </c>
    </row>
    <row r="1410" spans="1:6" ht="15" customHeight="1" x14ac:dyDescent="0.3">
      <c r="A1410" t="s">
        <v>142</v>
      </c>
      <c r="B1410" s="2">
        <v>45413</v>
      </c>
      <c r="C1410" cm="1">
        <f t="array" ref="C1410">IFERROR(IF(SUMPRODUCT((measured[Site Name]=A1410)*(measured[Date]=B1410)*ISNUMBER(measured[Measured Value (kWh)]))=0,"",SUMIFS(measured[Measured Value (kWh)],measured[Site Name],A1410,measured[Date],B1410)),"")</f>
        <v>4368</v>
      </c>
      <c r="D1410" cm="1">
        <f t="array" ref="D1410">IFERROR(IF(SUMPRODUCT((expected_production[Site Name]=A1410)*(expected_production[Date]=B1410)*ISNUMBER(expected_production[Expected Production (kWh)]))=0,"",SUMIFS(expected_production[Expected Production (kWh)],expected_production[Site Name],A1410,expected_production[Date],B1410)),"")</f>
        <v>4194</v>
      </c>
      <c r="E1410" s="9">
        <f t="shared" si="46"/>
        <v>1.0414878397711016</v>
      </c>
      <c r="F1410" t="str">
        <f t="shared" si="47"/>
        <v>Expected</v>
      </c>
    </row>
    <row r="1411" spans="1:6" ht="15" customHeight="1" x14ac:dyDescent="0.3">
      <c r="A1411" t="s">
        <v>142</v>
      </c>
      <c r="B1411" s="2">
        <v>45444</v>
      </c>
      <c r="C1411" cm="1">
        <f t="array" ref="C1411">IFERROR(IF(SUMPRODUCT((measured[Site Name]=A1411)*(measured[Date]=B1411)*ISNUMBER(measured[Measured Value (kWh)]))=0,"",SUMIFS(measured[Measured Value (kWh)],measured[Site Name],A1411,measured[Date],B1411)),"")</f>
        <v>3307</v>
      </c>
      <c r="D1411" cm="1">
        <f t="array" ref="D1411">IFERROR(IF(SUMPRODUCT((expected_production[Site Name]=A1411)*(expected_production[Date]=B1411)*ISNUMBER(expected_production[Expected Production (kWh)]))=0,"",SUMIFS(expected_production[Expected Production (kWh)],expected_production[Site Name],A1411,expected_production[Date],B1411)),"")</f>
        <v>3818.7</v>
      </c>
      <c r="E1411" s="9">
        <f t="shared" si="46"/>
        <v>0.86600151884149057</v>
      </c>
      <c r="F1411" t="str">
        <f t="shared" si="47"/>
        <v>Moderate</v>
      </c>
    </row>
    <row r="1412" spans="1:6" ht="15" customHeight="1" x14ac:dyDescent="0.3">
      <c r="A1412" t="s">
        <v>142</v>
      </c>
      <c r="B1412" s="2">
        <v>45474</v>
      </c>
      <c r="C1412" cm="1">
        <f t="array" ref="C1412">IFERROR(IF(SUMPRODUCT((measured[Site Name]=A1412)*(measured[Date]=B1412)*ISNUMBER(measured[Measured Value (kWh)]))=0,"",SUMIFS(measured[Measured Value (kWh)],measured[Site Name],A1412,measured[Date],B1412)),"")</f>
        <v>3819</v>
      </c>
      <c r="D1412" cm="1">
        <f t="array" ref="D1412">IFERROR(IF(SUMPRODUCT((expected_production[Site Name]=A1412)*(expected_production[Date]=B1412)*ISNUMBER(expected_production[Expected Production (kWh)]))=0,"",SUMIFS(expected_production[Expected Production (kWh)],expected_production[Site Name],A1412,expected_production[Date],B1412)),"")</f>
        <v>4217.3999999999996</v>
      </c>
      <c r="E1412" s="9">
        <f t="shared" si="46"/>
        <v>0.90553421539337042</v>
      </c>
      <c r="F1412" t="str">
        <f t="shared" si="47"/>
        <v>Expected</v>
      </c>
    </row>
    <row r="1413" spans="1:6" ht="15" customHeight="1" x14ac:dyDescent="0.3">
      <c r="A1413" t="s">
        <v>142</v>
      </c>
      <c r="B1413" s="2">
        <v>45505</v>
      </c>
      <c r="C1413" cm="1">
        <f t="array" ref="C1413">IFERROR(IF(SUMPRODUCT((measured[Site Name]=A1413)*(measured[Date]=B1413)*ISNUMBER(measured[Measured Value (kWh)]))=0,"",SUMIFS(measured[Measured Value (kWh)],measured[Site Name],A1413,measured[Date],B1413)),"")</f>
        <v>5147</v>
      </c>
      <c r="D1413" cm="1">
        <f t="array" ref="D1413">IFERROR(IF(SUMPRODUCT((expected_production[Site Name]=A1413)*(expected_production[Date]=B1413)*ISNUMBER(expected_production[Expected Production (kWh)]))=0,"",SUMIFS(expected_production[Expected Production (kWh)],expected_production[Site Name],A1413,expected_production[Date],B1413)),"")</f>
        <v>4844.7</v>
      </c>
      <c r="E1413" s="9">
        <f t="shared" si="46"/>
        <v>1.0623980845047165</v>
      </c>
      <c r="F1413" t="str">
        <f t="shared" si="47"/>
        <v>Expected</v>
      </c>
    </row>
    <row r="1414" spans="1:6" ht="15" customHeight="1" x14ac:dyDescent="0.3">
      <c r="A1414" t="s">
        <v>142</v>
      </c>
      <c r="B1414" s="2">
        <v>45536</v>
      </c>
      <c r="C1414" cm="1">
        <f t="array" ref="C1414">IFERROR(IF(SUMPRODUCT((measured[Site Name]=A1414)*(measured[Date]=B1414)*ISNUMBER(measured[Measured Value (kWh)]))=0,"",SUMIFS(measured[Measured Value (kWh)],measured[Site Name],A1414,measured[Date],B1414)),"")</f>
        <v>4101</v>
      </c>
      <c r="D1414" cm="1">
        <f t="array" ref="D1414">IFERROR(IF(SUMPRODUCT((expected_production[Site Name]=A1414)*(expected_production[Date]=B1414)*ISNUMBER(expected_production[Expected Production (kWh)]))=0,"",SUMIFS(expected_production[Expected Production (kWh)],expected_production[Site Name],A1414,expected_production[Date],B1414)),"")</f>
        <v>5300.1</v>
      </c>
      <c r="E1414" s="9">
        <f t="shared" si="46"/>
        <v>0.7737589856795154</v>
      </c>
      <c r="F1414" t="str">
        <f t="shared" si="47"/>
        <v>Moderate</v>
      </c>
    </row>
    <row r="1415" spans="1:6" ht="15" customHeight="1" x14ac:dyDescent="0.3">
      <c r="A1415" t="s">
        <v>142</v>
      </c>
      <c r="B1415" s="2">
        <v>45566</v>
      </c>
      <c r="C1415" cm="1">
        <f t="array" ref="C1415">IFERROR(IF(SUMPRODUCT((measured[Site Name]=A1415)*(measured[Date]=B1415)*ISNUMBER(measured[Measured Value (kWh)]))=0,"",SUMIFS(measured[Measured Value (kWh)],measured[Site Name],A1415,measured[Date],B1415)),"")</f>
        <v>6591</v>
      </c>
      <c r="D1415" cm="1">
        <f t="array" ref="D1415">IFERROR(IF(SUMPRODUCT((expected_production[Site Name]=A1415)*(expected_production[Date]=B1415)*ISNUMBER(expected_production[Expected Production (kWh)]))=0,"",SUMIFS(expected_production[Expected Production (kWh)],expected_production[Site Name],A1415,expected_production[Date],B1415)),"")</f>
        <v>5667.3</v>
      </c>
      <c r="E1415" s="9">
        <f t="shared" si="46"/>
        <v>1.1629876660843788</v>
      </c>
      <c r="F1415" t="str">
        <f t="shared" si="47"/>
        <v>Expected</v>
      </c>
    </row>
    <row r="1416" spans="1:6" ht="15" customHeight="1" x14ac:dyDescent="0.3">
      <c r="A1416" t="s">
        <v>142</v>
      </c>
      <c r="B1416" s="2">
        <v>45597</v>
      </c>
      <c r="C1416" cm="1">
        <f t="array" ref="C1416">IFERROR(IF(SUMPRODUCT((measured[Site Name]=A1416)*(measured[Date]=B1416)*ISNUMBER(measured[Measured Value (kWh)]))=0,"",SUMIFS(measured[Measured Value (kWh)],measured[Site Name],A1416,measured[Date],B1416)),"")</f>
        <v>4960</v>
      </c>
      <c r="D1416" cm="1">
        <f t="array" ref="D1416">IFERROR(IF(SUMPRODUCT((expected_production[Site Name]=A1416)*(expected_production[Date]=B1416)*ISNUMBER(expected_production[Expected Production (kWh)]))=0,"",SUMIFS(expected_production[Expected Production (kWh)],expected_production[Site Name],A1416,expected_production[Date],B1416)),"")</f>
        <v>5624.1</v>
      </c>
      <c r="E1416" s="9">
        <f t="shared" si="46"/>
        <v>0.88191888479934566</v>
      </c>
      <c r="F1416" t="str">
        <f t="shared" si="47"/>
        <v>Moderate</v>
      </c>
    </row>
    <row r="1417" spans="1:6" ht="15" customHeight="1" x14ac:dyDescent="0.3">
      <c r="A1417" t="s">
        <v>142</v>
      </c>
      <c r="B1417" s="2">
        <v>45627</v>
      </c>
      <c r="C1417" cm="1">
        <f t="array" ref="C1417">IFERROR(IF(SUMPRODUCT((measured[Site Name]=A1417)*(measured[Date]=B1417)*ISNUMBER(measured[Measured Value (kWh)]))=0,"",SUMIFS(measured[Measured Value (kWh)],measured[Site Name],A1417,measured[Date],B1417)),"")</f>
        <v>652</v>
      </c>
      <c r="D1417" cm="1">
        <f t="array" ref="D1417">IFERROR(IF(SUMPRODUCT((expected_production[Site Name]=A1417)*(expected_production[Date]=B1417)*ISNUMBER(expected_production[Expected Production (kWh)]))=0,"",SUMIFS(expected_production[Expected Production (kWh)],expected_production[Site Name],A1417,expected_production[Date],B1417)),"")</f>
        <v>5995.8</v>
      </c>
      <c r="E1417" s="9">
        <f t="shared" si="46"/>
        <v>0.10874278661729878</v>
      </c>
      <c r="F1417" t="str">
        <f t="shared" si="47"/>
        <v>Poor</v>
      </c>
    </row>
    <row r="1418" spans="1:6" ht="15" customHeight="1" x14ac:dyDescent="0.3">
      <c r="A1418" t="s">
        <v>142</v>
      </c>
      <c r="B1418" s="2">
        <v>45658</v>
      </c>
      <c r="C1418" cm="1">
        <f t="array" ref="C1418">IFERROR(IF(SUMPRODUCT((measured[Site Name]=A1418)*(measured[Date]=B1418)*ISNUMBER(measured[Measured Value (kWh)]))=0,"",SUMIFS(measured[Measured Value (kWh)],measured[Site Name],A1418,measured[Date],B1418)),"")</f>
        <v>720</v>
      </c>
      <c r="D1418" cm="1">
        <f t="array" ref="D1418">IFERROR(IF(SUMPRODUCT((expected_production[Site Name]=A1418)*(expected_production[Date]=B1418)*ISNUMBER(expected_production[Expected Production (kWh)]))=0,"",SUMIFS(expected_production[Expected Production (kWh)],expected_production[Site Name],A1418,expected_production[Date],B1418)),"")</f>
        <v>5685.3</v>
      </c>
      <c r="E1418" s="9">
        <f t="shared" si="46"/>
        <v>0.12664239354123794</v>
      </c>
      <c r="F1418" t="str">
        <f t="shared" si="47"/>
        <v>Poor</v>
      </c>
    </row>
    <row r="1419" spans="1:6" ht="15" customHeight="1" x14ac:dyDescent="0.3">
      <c r="A1419" t="s">
        <v>142</v>
      </c>
      <c r="B1419" s="2">
        <v>45689</v>
      </c>
      <c r="C1419" cm="1">
        <f t="array" ref="C1419">IFERROR(IF(SUMPRODUCT((measured[Site Name]=A1419)*(measured[Date]=B1419)*ISNUMBER(measured[Measured Value (kWh)]))=0,"",SUMIFS(measured[Measured Value (kWh)],measured[Site Name],A1419,measured[Date],B1419)),"")</f>
        <v>3776</v>
      </c>
      <c r="D1419" cm="1">
        <f t="array" ref="D1419">IFERROR(IF(SUMPRODUCT((expected_production[Site Name]=A1419)*(expected_production[Date]=B1419)*ISNUMBER(expected_production[Expected Production (kWh)]))=0,"",SUMIFS(expected_production[Expected Production (kWh)],expected_production[Site Name],A1419,expected_production[Date],B1419)),"")</f>
        <v>4780.8</v>
      </c>
      <c r="E1419" s="9">
        <f t="shared" si="46"/>
        <v>0.78982597054886206</v>
      </c>
      <c r="F1419" t="str">
        <f t="shared" si="47"/>
        <v>Moderate</v>
      </c>
    </row>
    <row r="1420" spans="1:6" ht="15" customHeight="1" x14ac:dyDescent="0.3">
      <c r="A1420" t="s">
        <v>142</v>
      </c>
      <c r="B1420" s="2">
        <v>45717</v>
      </c>
      <c r="C1420" cm="1">
        <f t="array" ref="C1420">IFERROR(IF(SUMPRODUCT((measured[Site Name]=A1420)*(measured[Date]=B1420)*ISNUMBER(measured[Measured Value (kWh)]))=0,"",SUMIFS(measured[Measured Value (kWh)],measured[Site Name],A1420,measured[Date],B1420)),"")</f>
        <v>4415</v>
      </c>
      <c r="D1420" cm="1">
        <f t="array" ref="D1420">IFERROR(IF(SUMPRODUCT((expected_production[Site Name]=A1420)*(expected_production[Date]=B1420)*ISNUMBER(expected_production[Expected Production (kWh)]))=0,"",SUMIFS(expected_production[Expected Production (kWh)],expected_production[Site Name],A1420,expected_production[Date],B1420)),"")</f>
        <v>4935.6000000000004</v>
      </c>
      <c r="E1420" s="9">
        <f t="shared" si="46"/>
        <v>0.89452143609692836</v>
      </c>
      <c r="F1420" t="str">
        <f t="shared" si="47"/>
        <v>Moderate</v>
      </c>
    </row>
    <row r="1421" spans="1:6" ht="15" customHeight="1" x14ac:dyDescent="0.3">
      <c r="A1421" t="s">
        <v>142</v>
      </c>
      <c r="B1421" s="2">
        <v>45748</v>
      </c>
      <c r="C1421" cm="1">
        <f t="array" ref="C1421">IFERROR(IF(SUMPRODUCT((measured[Site Name]=A1421)*(measured[Date]=B1421)*ISNUMBER(measured[Measured Value (kWh)]))=0,"",SUMIFS(measured[Measured Value (kWh)],measured[Site Name],A1421,measured[Date],B1421)),"")</f>
        <v>3551</v>
      </c>
      <c r="D1421" cm="1">
        <f t="array" ref="D1421">IFERROR(IF(SUMPRODUCT((expected_production[Site Name]=A1421)*(expected_production[Date]=B1421)*ISNUMBER(expected_production[Expected Production (kWh)]))=0,"",SUMIFS(expected_production[Expected Production (kWh)],expected_production[Site Name],A1421,expected_production[Date],B1421)),"")</f>
        <v>4359.6000000000004</v>
      </c>
      <c r="E1421" s="9">
        <f t="shared" si="46"/>
        <v>0.8145242682814936</v>
      </c>
      <c r="F1421" t="str">
        <f t="shared" si="47"/>
        <v>Moderate</v>
      </c>
    </row>
    <row r="1422" spans="1:6" ht="15" customHeight="1" x14ac:dyDescent="0.3">
      <c r="A1422" t="s">
        <v>142</v>
      </c>
      <c r="B1422" s="2">
        <v>45778</v>
      </c>
      <c r="C1422" cm="1">
        <f t="array" ref="C1422">IFERROR(IF(SUMPRODUCT((measured[Site Name]=A1422)*(measured[Date]=B1422)*ISNUMBER(measured[Measured Value (kWh)]))=0,"",SUMIFS(measured[Measured Value (kWh)],measured[Site Name],A1422,measured[Date],B1422)),"")</f>
        <v>4580</v>
      </c>
      <c r="D1422" cm="1">
        <f t="array" ref="D1422">IFERROR(IF(SUMPRODUCT((expected_production[Site Name]=A1422)*(expected_production[Date]=B1422)*ISNUMBER(expected_production[Expected Production (kWh)]))=0,"",SUMIFS(expected_production[Expected Production (kWh)],expected_production[Site Name],A1422,expected_production[Date],B1422)),"")</f>
        <v>4194</v>
      </c>
      <c r="E1422" s="9">
        <f t="shared" si="46"/>
        <v>1.0920362422508345</v>
      </c>
      <c r="F1422" t="str">
        <f t="shared" si="47"/>
        <v>Expected</v>
      </c>
    </row>
    <row r="1423" spans="1:6" ht="15" customHeight="1" x14ac:dyDescent="0.3">
      <c r="A1423" t="s">
        <v>142</v>
      </c>
      <c r="B1423" s="2">
        <v>45809</v>
      </c>
      <c r="C1423" cm="1">
        <f t="array" ref="C1423">IFERROR(IF(SUMPRODUCT((measured[Site Name]=A1423)*(measured[Date]=B1423)*ISNUMBER(measured[Measured Value (kWh)]))=0,"",SUMIFS(measured[Measured Value (kWh)],measured[Site Name],A1423,measured[Date],B1423)),"")</f>
        <v>3965.8</v>
      </c>
      <c r="D1423" cm="1">
        <f t="array" ref="D1423">IFERROR(IF(SUMPRODUCT((expected_production[Site Name]=A1423)*(expected_production[Date]=B1423)*ISNUMBER(expected_production[Expected Production (kWh)]))=0,"",SUMIFS(expected_production[Expected Production (kWh)],expected_production[Site Name],A1423,expected_production[Date],B1423)),"")</f>
        <v>3818.7</v>
      </c>
      <c r="E1423" s="9">
        <f t="shared" si="46"/>
        <v>1.0385209626312621</v>
      </c>
      <c r="F1423" t="str">
        <f t="shared" si="47"/>
        <v>Expected</v>
      </c>
    </row>
    <row r="1424" spans="1:6" ht="15" customHeight="1" x14ac:dyDescent="0.3">
      <c r="A1424" t="s">
        <v>142</v>
      </c>
      <c r="B1424" s="2">
        <v>45839</v>
      </c>
      <c r="C1424" cm="1">
        <f t="array" ref="C1424">IFERROR(IF(SUMPRODUCT((measured[Site Name]=A1424)*(measured[Date]=B1424)*ISNUMBER(measured[Measured Value (kWh)]))=0,"",SUMIFS(measured[Measured Value (kWh)],measured[Site Name],A1424,measured[Date],B1424)),"")</f>
        <v>4015</v>
      </c>
      <c r="D1424" cm="1">
        <f t="array" ref="D1424">IFERROR(IF(SUMPRODUCT((expected_production[Site Name]=A1424)*(expected_production[Date]=B1424)*ISNUMBER(expected_production[Expected Production (kWh)]))=0,"",SUMIFS(expected_production[Expected Production (kWh)],expected_production[Site Name],A1424,expected_production[Date],B1424)),"")</f>
        <v>4217.3999999999996</v>
      </c>
      <c r="E1424" s="9">
        <f t="shared" si="46"/>
        <v>0.95200834637454368</v>
      </c>
      <c r="F1424" t="str">
        <f t="shared" si="47"/>
        <v>Expected</v>
      </c>
    </row>
    <row r="1425" spans="1:7" ht="15" customHeight="1" x14ac:dyDescent="0.3">
      <c r="A1425" t="s">
        <v>142</v>
      </c>
      <c r="B1425" s="2">
        <v>45870</v>
      </c>
      <c r="C1425" cm="1">
        <f t="array" ref="C1425">IFERROR(IF(SUMPRODUCT((measured[Site Name]=A1425)*(measured[Date]=B1425)*ISNUMBER(measured[Measured Value (kWh)]))=0,"",SUMIFS(measured[Measured Value (kWh)],measured[Site Name],A1425,measured[Date],B1425)),"")</f>
        <v>4593</v>
      </c>
      <c r="D1425" cm="1">
        <f t="array" ref="D1425">IFERROR(IF(SUMPRODUCT((expected_production[Site Name]=A1425)*(expected_production[Date]=B1425)*ISNUMBER(expected_production[Expected Production (kWh)]))=0,"",SUMIFS(expected_production[Expected Production (kWh)],expected_production[Site Name],A1425,expected_production[Date],B1425)),"")</f>
        <v>4844.7</v>
      </c>
      <c r="E1425" s="9">
        <f t="shared" si="46"/>
        <v>0.948046318657502</v>
      </c>
      <c r="F1425" t="str">
        <f t="shared" si="47"/>
        <v>Expected</v>
      </c>
    </row>
    <row r="1426" spans="1:7" ht="15" customHeight="1" x14ac:dyDescent="0.3">
      <c r="A1426" t="s">
        <v>142</v>
      </c>
      <c r="B1426" s="2">
        <v>45901</v>
      </c>
      <c r="C1426" cm="1">
        <f t="array" ref="C1426">IFERROR(IF(SUMPRODUCT((measured[Site Name]=A1426)*(measured[Date]=B1426)*ISNUMBER(measured[Measured Value (kWh)]))=0,"",SUMIFS(measured[Measured Value (kWh)],measured[Site Name],A1426,measured[Date],B1426)),"")</f>
        <v>4428</v>
      </c>
      <c r="D1426" cm="1">
        <f t="array" ref="D1426">IFERROR(IF(SUMPRODUCT((expected_production[Site Name]=A1426)*(expected_production[Date]=B1426)*ISNUMBER(expected_production[Expected Production (kWh)]))=0,"",SUMIFS(expected_production[Expected Production (kWh)],expected_production[Site Name],A1426,expected_production[Date],B1426)),"")</f>
        <v>5300.1</v>
      </c>
      <c r="E1426" s="9">
        <f t="shared" si="46"/>
        <v>0.83545593479368307</v>
      </c>
      <c r="F1426" t="str">
        <f t="shared" si="47"/>
        <v>Moderate</v>
      </c>
    </row>
    <row r="1427" spans="1:7" ht="15" customHeight="1" x14ac:dyDescent="0.3">
      <c r="A1427" t="s">
        <v>142</v>
      </c>
      <c r="B1427" s="2">
        <v>45931</v>
      </c>
      <c r="C1427" cm="1">
        <f t="array" ref="C1427">IFERROR(IF(SUMPRODUCT((measured[Site Name]=A1427)*(measured[Date]=B1427)*ISNUMBER(measured[Measured Value (kWh)]))=0,"",SUMIFS(measured[Measured Value (kWh)],measured[Site Name],A1427,measured[Date],B1427)),"")</f>
        <v>6002</v>
      </c>
      <c r="D1427" cm="1">
        <f t="array" ref="D1427">IFERROR(IF(SUMPRODUCT((expected_production[Site Name]=A1427)*(expected_production[Date]=B1427)*ISNUMBER(expected_production[Expected Production (kWh)]))=0,"",SUMIFS(expected_production[Expected Production (kWh)],expected_production[Site Name],A1427,expected_production[Date],B1427)),"")</f>
        <v>5667.3</v>
      </c>
      <c r="E1427" s="9">
        <f t="shared" si="46"/>
        <v>1.0590581052705874</v>
      </c>
      <c r="F1427" t="str">
        <f t="shared" si="47"/>
        <v>Expected</v>
      </c>
    </row>
    <row r="1428" spans="1:7" ht="15" customHeight="1" x14ac:dyDescent="0.3">
      <c r="A1428" t="s">
        <v>142</v>
      </c>
      <c r="B1428" s="2">
        <v>45962</v>
      </c>
      <c r="C1428" cm="1">
        <f t="array" ref="C1428">IFERROR(IF(SUMPRODUCT((measured[Site Name]=A1428)*(measured[Date]=B1428)*ISNUMBER(measured[Measured Value (kWh)]))=0,"",SUMIFS(measured[Measured Value (kWh)],measured[Site Name],A1428,measured[Date],B1428)),"")</f>
        <v>4286</v>
      </c>
      <c r="D1428" cm="1">
        <f t="array" ref="D1428">IFERROR(IF(SUMPRODUCT((expected_production[Site Name]=A1428)*(expected_production[Date]=B1428)*ISNUMBER(expected_production[Expected Production (kWh)]))=0,"",SUMIFS(expected_production[Expected Production (kWh)],expected_production[Site Name],A1428,expected_production[Date],B1428)),"")</f>
        <v>5624.1</v>
      </c>
      <c r="E1428" s="9">
        <f t="shared" si="46"/>
        <v>0.76207748795362806</v>
      </c>
      <c r="F1428" t="str">
        <f t="shared" si="47"/>
        <v>Moderate</v>
      </c>
    </row>
    <row r="1429" spans="1:7" ht="15" customHeight="1" x14ac:dyDescent="0.3">
      <c r="A1429" t="s">
        <v>142</v>
      </c>
      <c r="B1429" s="2">
        <v>45992</v>
      </c>
      <c r="C1429" cm="1">
        <f t="array" ref="C1429">IFERROR(IF(SUMPRODUCT((measured[Site Name]=A1429)*(measured[Date]=B1429)*ISNUMBER(measured[Measured Value (kWh)]))=0,"",SUMIFS(measured[Measured Value (kWh)],measured[Site Name],A1429,measured[Date],B1429)),"")</f>
        <v>985</v>
      </c>
      <c r="D1429" cm="1">
        <f t="array" ref="D1429">IFERROR(IF(SUMPRODUCT((expected_production[Site Name]=A1429)*(expected_production[Date]=B1429)*ISNUMBER(expected_production[Expected Production (kWh)]))=0,"",SUMIFS(expected_production[Expected Production (kWh)],expected_production[Site Name],A1429,expected_production[Date],B1429)),"")</f>
        <v>5995.8</v>
      </c>
      <c r="E1429" s="9">
        <f t="shared" si="46"/>
        <v>0.1642816638313486</v>
      </c>
      <c r="F1429" t="str">
        <f t="shared" si="47"/>
        <v>Poor</v>
      </c>
    </row>
    <row r="1430" spans="1:7" ht="15" customHeight="1" x14ac:dyDescent="0.3">
      <c r="A1430" t="s">
        <v>142</v>
      </c>
      <c r="B1430" s="2">
        <v>46023</v>
      </c>
      <c r="C1430" cm="1">
        <f t="array" ref="C1430">IFERROR(IF(SUMPRODUCT((measured[Site Name]=A1430)*(measured[Date]=B1430)*ISNUMBER(measured[Measured Value (kWh)]))=0,"",SUMIFS(measured[Measured Value (kWh)],measured[Site Name],A1430,measured[Date],B1430)),"")</f>
        <v>1496.8</v>
      </c>
      <c r="D1430" cm="1">
        <f t="array" ref="D1430">IFERROR(IF(SUMPRODUCT((expected_production[Site Name]=A1430)*(expected_production[Date]=B1430)*ISNUMBER(expected_production[Expected Production (kWh)]))=0,"",SUMIFS(expected_production[Expected Production (kWh)],expected_production[Site Name],A1430,expected_production[Date],B1430)),"")</f>
        <v>5685.3</v>
      </c>
      <c r="E1430" s="9">
        <f t="shared" si="46"/>
        <v>0.2632754647951735</v>
      </c>
      <c r="F1430" t="str">
        <f t="shared" si="47"/>
        <v>Poor</v>
      </c>
    </row>
    <row r="1431" spans="1:7" ht="15" customHeight="1" x14ac:dyDescent="0.3">
      <c r="A1431" t="s">
        <v>142</v>
      </c>
      <c r="B1431" s="2">
        <v>46054</v>
      </c>
      <c r="C1431" cm="1">
        <f t="array" ref="C1431">IFERROR(IF(SUMPRODUCT((measured[Site Name]=A1431)*(measured[Date]=B1431)*ISNUMBER(measured[Measured Value (kWh)]))=0,"",SUMIFS(measured[Measured Value (kWh)],measured[Site Name],A1431,measured[Date],B1431)),"")</f>
        <v>4735</v>
      </c>
      <c r="D1431" cm="1">
        <f t="array" ref="D1431">IFERROR(IF(SUMPRODUCT((expected_production[Site Name]=A1431)*(expected_production[Date]=B1431)*ISNUMBER(expected_production[Expected Production (kWh)]))=0,"",SUMIFS(expected_production[Expected Production (kWh)],expected_production[Site Name],A1431,expected_production[Date],B1431)),"")</f>
        <v>4780.8</v>
      </c>
      <c r="E1431" s="9">
        <f t="shared" si="46"/>
        <v>0.99042001338688079</v>
      </c>
      <c r="F1431" t="str">
        <f t="shared" si="47"/>
        <v>Expected</v>
      </c>
    </row>
    <row r="1432" spans="1:7" ht="15" customHeight="1" x14ac:dyDescent="0.3">
      <c r="A1432" t="s">
        <v>142</v>
      </c>
      <c r="B1432" s="2">
        <v>46082</v>
      </c>
      <c r="C1432" cm="1">
        <f t="array" ref="C1432">IFERROR(IF(SUMPRODUCT((measured[Site Name]=A1432)*(measured[Date]=B1432)*ISNUMBER(measured[Measured Value (kWh)]))=0,"",SUMIFS(measured[Measured Value (kWh)],measured[Site Name],A1432,measured[Date],B1432)),"")</f>
        <v>4747</v>
      </c>
      <c r="D1432" cm="1">
        <f t="array" ref="D1432">IFERROR(IF(SUMPRODUCT((expected_production[Site Name]=A1432)*(expected_production[Date]=B1432)*ISNUMBER(expected_production[Expected Production (kWh)]))=0,"",SUMIFS(expected_production[Expected Production (kWh)],expected_production[Site Name],A1432,expected_production[Date],B1432)),"")</f>
        <v>4935.6000000000004</v>
      </c>
      <c r="E1432" s="9">
        <f t="shared" si="46"/>
        <v>0.96178782721452294</v>
      </c>
      <c r="F1432" t="str">
        <f t="shared" si="47"/>
        <v>Expected</v>
      </c>
    </row>
    <row r="1433" spans="1:7" ht="15" customHeight="1" x14ac:dyDescent="0.3">
      <c r="A1433" t="s">
        <v>142</v>
      </c>
      <c r="B1433" s="2">
        <v>46113</v>
      </c>
      <c r="C1433" s="5" cm="1">
        <f t="array" ref="C1433">IFERROR(IF(SUMPRODUCT((measured[Site Name]=A1433)*(measured[Date]=B1433)*ISNUMBER(measured[Measured Value (kWh)]))=0,"",SUMIFS(measured[Measured Value (kWh)],measured[Site Name],A1433,measured[Date],B1433)),"")</f>
        <v>4036.9</v>
      </c>
      <c r="D1433" cm="1">
        <f t="array" ref="D1433">IFERROR(IF(SUMPRODUCT((expected_production[Site Name]=A1433)*(expected_production[Date]=B1433)*ISNUMBER(expected_production[Expected Production (kWh)]))=0,"",SUMIFS(expected_production[Expected Production (kWh)],expected_production[Site Name],A1433,expected_production[Date],B1433)),"")</f>
        <v>4359.6000000000004</v>
      </c>
      <c r="E1433" s="9">
        <f t="shared" si="46"/>
        <v>0.92597944765574813</v>
      </c>
      <c r="F1433" t="str">
        <f t="shared" si="47"/>
        <v>Expected</v>
      </c>
    </row>
    <row r="1434" spans="1:7" ht="15" customHeight="1" x14ac:dyDescent="0.3">
      <c r="A1434" t="s">
        <v>142</v>
      </c>
      <c r="B1434" s="2">
        <v>46143</v>
      </c>
      <c r="C1434" s="5" cm="1">
        <f t="array" ref="C1434">IFERROR(IF(SUMPRODUCT((measured[Site Name]=A1434)*(measured[Date]=B1434)*ISNUMBER(measured[Measured Value (kWh)]))=0,"",SUMIFS(measured[Measured Value (kWh)],measured[Site Name],A1434,measured[Date],B1434)),"")</f>
        <v>4180</v>
      </c>
      <c r="D1434" cm="1">
        <f t="array" ref="D1434">IFERROR(IF(SUMPRODUCT((expected_production[Site Name]=A1434)*(expected_production[Date]=B1434)*ISNUMBER(expected_production[Expected Production (kWh)]))=0,"",SUMIFS(expected_production[Expected Production (kWh)],expected_production[Site Name],A1434,expected_production[Date],B1434)),"")</f>
        <v>4194</v>
      </c>
      <c r="E1434" s="9">
        <f t="shared" si="46"/>
        <v>0.99666189794945159</v>
      </c>
      <c r="F1434" t="str">
        <f t="shared" si="47"/>
        <v>Expected</v>
      </c>
    </row>
    <row r="1435" spans="1:7" ht="15" customHeight="1" x14ac:dyDescent="0.3">
      <c r="A1435" t="s">
        <v>142</v>
      </c>
      <c r="B1435" s="2">
        <v>46174</v>
      </c>
      <c r="C1435" cm="1">
        <f t="array" ref="C1435">IFERROR(IF(SUMPRODUCT((measured[Site Name]=A1435)*(measured[Date]=B1435)*ISNUMBER(measured[Measured Value (kWh)]))=0,"",SUMIFS(measured[Measured Value (kWh)],measured[Site Name],A1435,measured[Date],B1435)),"")</f>
        <v>3164</v>
      </c>
      <c r="D1435" cm="1">
        <f t="array" ref="D1435">IFERROR(IF(SUMPRODUCT((expected_production[Site Name]=A1435)*(expected_production[Date]=B1435)*ISNUMBER(expected_production[Expected Production (kWh)]))=0,"",SUMIFS(expected_production[Expected Production (kWh)],expected_production[Site Name],A1435,expected_production[Date],B1435)),"")</f>
        <v>3818.7</v>
      </c>
      <c r="E1435" s="9">
        <f t="shared" si="46"/>
        <v>0.82855422002252077</v>
      </c>
      <c r="F1435" t="str">
        <f t="shared" si="47"/>
        <v>Moderate</v>
      </c>
    </row>
    <row r="1436" spans="1:7" ht="15" customHeight="1" x14ac:dyDescent="0.3">
      <c r="A1436" t="s">
        <v>138</v>
      </c>
      <c r="B1436" s="2">
        <v>46204</v>
      </c>
      <c r="C1436" cm="1">
        <f t="array" ref="C1436">IFERROR(IF(SUMPRODUCT((measured[Site Name]=A1436)*(measured[Date]=B1436)*ISNUMBER(measured[Measured Value (kWh)]))=0,"",SUMIFS(measured[Measured Value (kWh)],measured[Site Name],A1436,measured[Date],B1436)),"")</f>
        <v>0</v>
      </c>
      <c r="D1436" cm="1">
        <f t="array" ref="D1436">IFERROR(IF(SUMPRODUCT((expected_production[Site Name]=A1436)*(expected_production[Date]=B1436)*ISNUMBER(expected_production[Expected Production (kWh)]))=0,"",SUMIFS(expected_production[Expected Production (kWh)],expected_production[Site Name],A1436,expected_production[Date],B1436)),"")</f>
        <v>20016</v>
      </c>
      <c r="E1436" s="9">
        <f t="shared" si="46"/>
        <v>0</v>
      </c>
      <c r="F1436" t="str">
        <f t="shared" si="47"/>
        <v>Poor</v>
      </c>
      <c r="G1436" t="s">
        <v>874</v>
      </c>
    </row>
    <row r="1437" spans="1:7" ht="15" customHeight="1" x14ac:dyDescent="0.3">
      <c r="A1437" t="s">
        <v>142</v>
      </c>
      <c r="B1437" s="2">
        <v>46235</v>
      </c>
      <c r="C1437" t="str" cm="1">
        <f t="array" ref="C1437">IFERROR(IF(SUMPRODUCT((measured[Site Name]=A1437)*(measured[Date]=B1437)*ISNUMBER(measured[Measured Value (kWh)]))=0,"",SUMIFS(measured[Measured Value (kWh)],measured[Site Name],A1437,measured[Date],B1437)),"")</f>
        <v/>
      </c>
      <c r="D1437" cm="1">
        <f t="array" ref="D1437">IFERROR(IF(SUMPRODUCT((expected_production[Site Name]=A1437)*(expected_production[Date]=B1437)*ISNUMBER(expected_production[Expected Production (kWh)]))=0,"",SUMIFS(expected_production[Expected Production (kWh)],expected_production[Site Name],A1437,expected_production[Date],B1437)),"")</f>
        <v>4844.7</v>
      </c>
      <c r="E1437" s="9" t="str">
        <f t="shared" si="46"/>
        <v/>
      </c>
      <c r="F1437" t="str">
        <f t="shared" si="47"/>
        <v/>
      </c>
    </row>
    <row r="1438" spans="1:7" ht="15" customHeight="1" x14ac:dyDescent="0.3">
      <c r="A1438" t="s">
        <v>142</v>
      </c>
      <c r="B1438" s="2">
        <v>46266</v>
      </c>
      <c r="C1438" t="str" cm="1">
        <f t="array" ref="C1438">IFERROR(IF(SUMPRODUCT((measured[Site Name]=A1438)*(measured[Date]=B1438)*ISNUMBER(measured[Measured Value (kWh)]))=0,"",SUMIFS(measured[Measured Value (kWh)],measured[Site Name],A1438,measured[Date],B1438)),"")</f>
        <v/>
      </c>
      <c r="D1438" cm="1">
        <f t="array" ref="D1438">IFERROR(IF(SUMPRODUCT((expected_production[Site Name]=A1438)*(expected_production[Date]=B1438)*ISNUMBER(expected_production[Expected Production (kWh)]))=0,"",SUMIFS(expected_production[Expected Production (kWh)],expected_production[Site Name],A1438,expected_production[Date],B1438)),"")</f>
        <v>5300.1</v>
      </c>
      <c r="E1438" s="9" t="str">
        <f t="shared" si="46"/>
        <v/>
      </c>
      <c r="F1438" t="str">
        <f t="shared" si="47"/>
        <v/>
      </c>
    </row>
    <row r="1439" spans="1:7" ht="15" customHeight="1" x14ac:dyDescent="0.3">
      <c r="A1439" t="s">
        <v>142</v>
      </c>
      <c r="B1439" s="2">
        <v>46296</v>
      </c>
      <c r="C1439" t="str" cm="1">
        <f t="array" ref="C1439">IFERROR(IF(SUMPRODUCT((measured[Site Name]=A1439)*(measured[Date]=B1439)*ISNUMBER(measured[Measured Value (kWh)]))=0,"",SUMIFS(measured[Measured Value (kWh)],measured[Site Name],A1439,measured[Date],B1439)),"")</f>
        <v/>
      </c>
      <c r="D1439" cm="1">
        <f t="array" ref="D1439">IFERROR(IF(SUMPRODUCT((expected_production[Site Name]=A1439)*(expected_production[Date]=B1439)*ISNUMBER(expected_production[Expected Production (kWh)]))=0,"",SUMIFS(expected_production[Expected Production (kWh)],expected_production[Site Name],A1439,expected_production[Date],B1439)),"")</f>
        <v>5667.3</v>
      </c>
      <c r="E1439" s="9" t="str">
        <f t="shared" si="46"/>
        <v/>
      </c>
      <c r="F1439" t="str">
        <f t="shared" si="47"/>
        <v/>
      </c>
    </row>
    <row r="1440" spans="1:7" ht="15" customHeight="1" x14ac:dyDescent="0.3">
      <c r="A1440" t="s">
        <v>142</v>
      </c>
      <c r="B1440" s="2">
        <v>46327</v>
      </c>
      <c r="C1440" t="str" cm="1">
        <f t="array" ref="C1440">IFERROR(IF(SUMPRODUCT((measured[Site Name]=A1440)*(measured[Date]=B1440)*ISNUMBER(measured[Measured Value (kWh)]))=0,"",SUMIFS(measured[Measured Value (kWh)],measured[Site Name],A1440,measured[Date],B1440)),"")</f>
        <v/>
      </c>
      <c r="D1440" cm="1">
        <f t="array" ref="D1440">IFERROR(IF(SUMPRODUCT((expected_production[Site Name]=A1440)*(expected_production[Date]=B1440)*ISNUMBER(expected_production[Expected Production (kWh)]))=0,"",SUMIFS(expected_production[Expected Production (kWh)],expected_production[Site Name],A1440,expected_production[Date],B1440)),"")</f>
        <v>5624.1</v>
      </c>
      <c r="E1440" s="9" t="str">
        <f t="shared" si="46"/>
        <v/>
      </c>
      <c r="F1440" t="str">
        <f t="shared" si="47"/>
        <v/>
      </c>
    </row>
    <row r="1441" spans="1:6" ht="15" customHeight="1" x14ac:dyDescent="0.3">
      <c r="A1441" t="s">
        <v>142</v>
      </c>
      <c r="B1441" s="2">
        <v>46357</v>
      </c>
      <c r="C1441" t="str" cm="1">
        <f t="array" ref="C1441">IFERROR(IF(SUMPRODUCT((measured[Site Name]=A1441)*(measured[Date]=B1441)*ISNUMBER(measured[Measured Value (kWh)]))=0,"",SUMIFS(measured[Measured Value (kWh)],measured[Site Name],A1441,measured[Date],B1441)),"")</f>
        <v/>
      </c>
      <c r="D1441" cm="1">
        <f t="array" ref="D1441">IFERROR(IF(SUMPRODUCT((expected_production[Site Name]=A1441)*(expected_production[Date]=B1441)*ISNUMBER(expected_production[Expected Production (kWh)]))=0,"",SUMIFS(expected_production[Expected Production (kWh)],expected_production[Site Name],A1441,expected_production[Date],B1441)),"")</f>
        <v>5995.8</v>
      </c>
      <c r="E1441" s="9" t="str">
        <f t="shared" si="46"/>
        <v/>
      </c>
      <c r="F1441" t="str">
        <f t="shared" si="47"/>
        <v/>
      </c>
    </row>
    <row r="1442" spans="1:6" ht="15" customHeight="1" x14ac:dyDescent="0.3">
      <c r="A1442" t="s">
        <v>145</v>
      </c>
      <c r="B1442" s="2">
        <v>45292</v>
      </c>
      <c r="C1442" cm="1">
        <f t="array" ref="C1442">IFERROR(IF(SUMPRODUCT((measured[Site Name]=A1442)*(measured[Date]=B1442)*ISNUMBER(measured[Measured Value (kWh)]))=0,"",SUMIFS(measured[Measured Value (kWh)],measured[Site Name],A1442,measured[Date],B1442)),"")</f>
        <v>27336</v>
      </c>
      <c r="D1442" cm="1">
        <f t="array" ref="D1442">IFERROR(IF(SUMPRODUCT((expected_production[Site Name]=A1442)*(expected_production[Date]=B1442)*ISNUMBER(expected_production[Expected Production (kWh)]))=0,"",SUMIFS(expected_production[Expected Production (kWh)],expected_production[Site Name],A1442,expected_production[Date],B1442)),"")</f>
        <v>41208.480000000003</v>
      </c>
      <c r="E1442" s="9">
        <f t="shared" si="46"/>
        <v>0.66335860968422034</v>
      </c>
      <c r="F1442" t="str">
        <f t="shared" si="47"/>
        <v>Poor</v>
      </c>
    </row>
    <row r="1443" spans="1:6" ht="15" customHeight="1" x14ac:dyDescent="0.3">
      <c r="A1443" t="s">
        <v>145</v>
      </c>
      <c r="B1443" s="2">
        <v>45323</v>
      </c>
      <c r="C1443" cm="1">
        <f t="array" ref="C1443">IFERROR(IF(SUMPRODUCT((measured[Site Name]=A1443)*(measured[Date]=B1443)*ISNUMBER(measured[Measured Value (kWh)]))=0,"",SUMIFS(measured[Measured Value (kWh)],measured[Site Name],A1443,measured[Date],B1443)),"")</f>
        <v>34673</v>
      </c>
      <c r="D1443" cm="1">
        <f t="array" ref="D1443">IFERROR(IF(SUMPRODUCT((expected_production[Site Name]=A1443)*(expected_production[Date]=B1443)*ISNUMBER(expected_production[Expected Production (kWh)]))=0,"",SUMIFS(expected_production[Expected Production (kWh)],expected_production[Site Name],A1443,expected_production[Date],B1443)),"")</f>
        <v>35976.15</v>
      </c>
      <c r="E1443" s="9">
        <f t="shared" si="46"/>
        <v>0.9637773914106984</v>
      </c>
      <c r="F1443" t="str">
        <f t="shared" si="47"/>
        <v>Expected</v>
      </c>
    </row>
    <row r="1444" spans="1:6" ht="15" customHeight="1" x14ac:dyDescent="0.3">
      <c r="A1444" t="s">
        <v>145</v>
      </c>
      <c r="B1444" s="2">
        <v>45352</v>
      </c>
      <c r="C1444" cm="1">
        <f t="array" ref="C1444">IFERROR(IF(SUMPRODUCT((measured[Site Name]=A1444)*(measured[Date]=B1444)*ISNUMBER(measured[Measured Value (kWh)]))=0,"",SUMIFS(measured[Measured Value (kWh)],measured[Site Name],A1444,measured[Date],B1444)),"")</f>
        <v>35335</v>
      </c>
      <c r="D1444" cm="1">
        <f t="array" ref="D1444">IFERROR(IF(SUMPRODUCT((expected_production[Site Name]=A1444)*(expected_production[Date]=B1444)*ISNUMBER(expected_production[Expected Production (kWh)]))=0,"",SUMIFS(expected_production[Expected Production (kWh)],expected_production[Site Name],A1444,expected_production[Date],B1444)),"")</f>
        <v>36559.980000000003</v>
      </c>
      <c r="E1444" s="9">
        <f t="shared" si="46"/>
        <v>0.96649396416518818</v>
      </c>
      <c r="F1444" t="str">
        <f t="shared" si="47"/>
        <v>Expected</v>
      </c>
    </row>
    <row r="1445" spans="1:6" ht="15" customHeight="1" x14ac:dyDescent="0.3">
      <c r="A1445" t="s">
        <v>145</v>
      </c>
      <c r="B1445" s="2">
        <v>45383</v>
      </c>
      <c r="C1445" cm="1">
        <f t="array" ref="C1445">IFERROR(IF(SUMPRODUCT((measured[Site Name]=A1445)*(measured[Date]=B1445)*ISNUMBER(measured[Measured Value (kWh)]))=0,"",SUMIFS(measured[Measured Value (kWh)],measured[Site Name],A1445,measured[Date],B1445)),"")</f>
        <v>23354</v>
      </c>
      <c r="D1445" cm="1">
        <f t="array" ref="D1445">IFERROR(IF(SUMPRODUCT((expected_production[Site Name]=A1445)*(expected_production[Date]=B1445)*ISNUMBER(expected_production[Expected Production (kWh)]))=0,"",SUMIFS(expected_production[Expected Production (kWh)],expected_production[Site Name],A1445,expected_production[Date],B1445)),"")</f>
        <v>33604.11</v>
      </c>
      <c r="E1445" s="9">
        <f t="shared" si="46"/>
        <v>0.69497451353420758</v>
      </c>
      <c r="F1445" t="str">
        <f t="shared" si="47"/>
        <v>Poor</v>
      </c>
    </row>
    <row r="1446" spans="1:6" ht="15" customHeight="1" x14ac:dyDescent="0.3">
      <c r="A1446" t="s">
        <v>145</v>
      </c>
      <c r="B1446" s="2">
        <v>45413</v>
      </c>
      <c r="C1446" cm="1">
        <f t="array" ref="C1446">IFERROR(IF(SUMPRODUCT((measured[Site Name]=A1446)*(measured[Date]=B1446)*ISNUMBER(measured[Measured Value (kWh)]))=0,"",SUMIFS(measured[Measured Value (kWh)],measured[Site Name],A1446,measured[Date],B1446)),"")</f>
        <v>24682</v>
      </c>
      <c r="D1446" cm="1">
        <f t="array" ref="D1446">IFERROR(IF(SUMPRODUCT((expected_production[Site Name]=A1446)*(expected_production[Date]=B1446)*ISNUMBER(expected_production[Expected Production (kWh)]))=0,"",SUMIFS(expected_production[Expected Production (kWh)],expected_production[Site Name],A1446,expected_production[Date],B1446)),"")</f>
        <v>32958.629999999997</v>
      </c>
      <c r="E1446" s="9">
        <f t="shared" si="46"/>
        <v>0.74887821490152962</v>
      </c>
      <c r="F1446" t="str">
        <f t="shared" si="47"/>
        <v>Moderate</v>
      </c>
    </row>
    <row r="1447" spans="1:6" ht="15" customHeight="1" x14ac:dyDescent="0.3">
      <c r="A1447" t="s">
        <v>145</v>
      </c>
      <c r="B1447" s="2">
        <v>45444</v>
      </c>
      <c r="C1447" cm="1">
        <f t="array" ref="C1447">IFERROR(IF(SUMPRODUCT((measured[Site Name]=A1447)*(measured[Date]=B1447)*ISNUMBER(measured[Measured Value (kWh)]))=0,"",SUMIFS(measured[Measured Value (kWh)],measured[Site Name],A1447,measured[Date],B1447)),"")</f>
        <v>21004</v>
      </c>
      <c r="D1447" cm="1">
        <f t="array" ref="D1447">IFERROR(IF(SUMPRODUCT((expected_production[Site Name]=A1447)*(expected_production[Date]=B1447)*ISNUMBER(expected_production[Expected Production (kWh)]))=0,"",SUMIFS(expected_production[Expected Production (kWh)],expected_production[Site Name],A1447,expected_production[Date],B1447)),"")</f>
        <v>30018.22119</v>
      </c>
      <c r="E1447" s="9">
        <f t="shared" si="46"/>
        <v>0.69970834937404891</v>
      </c>
      <c r="F1447" t="str">
        <f t="shared" si="47"/>
        <v>Poor</v>
      </c>
    </row>
    <row r="1448" spans="1:6" ht="15" customHeight="1" x14ac:dyDescent="0.3">
      <c r="A1448" t="s">
        <v>145</v>
      </c>
      <c r="B1448" s="2">
        <v>45474</v>
      </c>
      <c r="C1448" cm="1">
        <f t="array" ref="C1448">IFERROR(IF(SUMPRODUCT((measured[Site Name]=A1448)*(measured[Date]=B1448)*ISNUMBER(measured[Measured Value (kWh)]))=0,"",SUMIFS(measured[Measured Value (kWh)],measured[Site Name],A1448,measured[Date],B1448)),"")</f>
        <v>24855</v>
      </c>
      <c r="D1448" cm="1">
        <f t="array" ref="D1448">IFERROR(IF(SUMPRODUCT((expected_production[Site Name]=A1448)*(expected_production[Date]=B1448)*ISNUMBER(expected_production[Expected Production (kWh)]))=0,"",SUMIFS(expected_production[Expected Production (kWh)],expected_production[Site Name],A1448,expected_production[Date],B1448)),"")</f>
        <v>32459.809590000001</v>
      </c>
      <c r="E1448" s="9">
        <f t="shared" si="46"/>
        <v>0.76571613678402972</v>
      </c>
      <c r="F1448" t="str">
        <f t="shared" si="47"/>
        <v>Moderate</v>
      </c>
    </row>
    <row r="1449" spans="1:6" ht="15" customHeight="1" x14ac:dyDescent="0.3">
      <c r="A1449" t="s">
        <v>145</v>
      </c>
      <c r="B1449" s="2">
        <v>45505</v>
      </c>
      <c r="C1449" cm="1">
        <f t="array" ref="C1449">IFERROR(IF(SUMPRODUCT((measured[Site Name]=A1449)*(measured[Date]=B1449)*ISNUMBER(measured[Measured Value (kWh)]))=0,"",SUMIFS(measured[Measured Value (kWh)],measured[Site Name],A1449,measured[Date],B1449)),"")</f>
        <v>27804</v>
      </c>
      <c r="D1449" cm="1">
        <f t="array" ref="D1449">IFERROR(IF(SUMPRODUCT((expected_production[Site Name]=A1449)*(expected_production[Date]=B1449)*ISNUMBER(expected_production[Expected Production (kWh)]))=0,"",SUMIFS(expected_production[Expected Production (kWh)],expected_production[Site Name],A1449,expected_production[Date],B1449)),"")</f>
        <v>36506.12571</v>
      </c>
      <c r="E1449" s="9">
        <f t="shared" si="46"/>
        <v>0.7616256028062639</v>
      </c>
      <c r="F1449" t="str">
        <f t="shared" si="47"/>
        <v>Moderate</v>
      </c>
    </row>
    <row r="1450" spans="1:6" ht="15" customHeight="1" x14ac:dyDescent="0.3">
      <c r="A1450" t="s">
        <v>145</v>
      </c>
      <c r="B1450" s="2">
        <v>45536</v>
      </c>
      <c r="C1450" cm="1">
        <f t="array" ref="C1450">IFERROR(IF(SUMPRODUCT((measured[Site Name]=A1450)*(measured[Date]=B1450)*ISNUMBER(measured[Measured Value (kWh)]))=0,"",SUMIFS(measured[Measured Value (kWh)],measured[Site Name],A1450,measured[Date],B1450)),"")</f>
        <v>24854</v>
      </c>
      <c r="D1450" cm="1">
        <f t="array" ref="D1450">IFERROR(IF(SUMPRODUCT((expected_production[Site Name]=A1450)*(expected_production[Date]=B1450)*ISNUMBER(expected_production[Expected Production (kWh)]))=0,"",SUMIFS(expected_production[Expected Production (kWh)],expected_production[Site Name],A1450,expected_production[Date],B1450)),"")</f>
        <v>37370.869830000003</v>
      </c>
      <c r="E1450" s="9">
        <f t="shared" si="46"/>
        <v>0.66506346020472062</v>
      </c>
      <c r="F1450" t="str">
        <f t="shared" si="47"/>
        <v>Poor</v>
      </c>
    </row>
    <row r="1451" spans="1:6" ht="15" customHeight="1" x14ac:dyDescent="0.3">
      <c r="A1451" t="s">
        <v>145</v>
      </c>
      <c r="B1451" s="2">
        <v>45566</v>
      </c>
      <c r="C1451" cm="1">
        <f t="array" ref="C1451">IFERROR(IF(SUMPRODUCT((measured[Site Name]=A1451)*(measured[Date]=B1451)*ISNUMBER(measured[Measured Value (kWh)]))=0,"",SUMIFS(measured[Measured Value (kWh)],measured[Site Name],A1451,measured[Date],B1451)),"")</f>
        <v>41343</v>
      </c>
      <c r="D1451" cm="1">
        <f t="array" ref="D1451">IFERROR(IF(SUMPRODUCT((expected_production[Site Name]=A1451)*(expected_production[Date]=B1451)*ISNUMBER(expected_production[Expected Production (kWh)]))=0,"",SUMIFS(expected_production[Expected Production (kWh)],expected_production[Site Name],A1451,expected_production[Date],B1451)),"")</f>
        <v>40182.986250000002</v>
      </c>
      <c r="E1451" s="9">
        <f t="shared" si="46"/>
        <v>1.0288682812865855</v>
      </c>
      <c r="F1451" t="str">
        <f t="shared" si="47"/>
        <v>Expected</v>
      </c>
    </row>
    <row r="1452" spans="1:6" ht="15" customHeight="1" x14ac:dyDescent="0.3">
      <c r="A1452" t="s">
        <v>145</v>
      </c>
      <c r="B1452" s="2">
        <v>45597</v>
      </c>
      <c r="C1452" cm="1">
        <f t="array" ref="C1452">IFERROR(IF(SUMPRODUCT((measured[Site Name]=A1452)*(measured[Date]=B1452)*ISNUMBER(measured[Measured Value (kWh)]))=0,"",SUMIFS(measured[Measured Value (kWh)],measured[Site Name],A1452,measured[Date],B1452)),"")</f>
        <v>40614</v>
      </c>
      <c r="D1452" cm="1">
        <f t="array" ref="D1452">IFERROR(IF(SUMPRODUCT((expected_production[Site Name]=A1452)*(expected_production[Date]=B1452)*ISNUMBER(expected_production[Expected Production (kWh)]))=0,"",SUMIFS(expected_production[Expected Production (kWh)],expected_production[Site Name],A1452,expected_production[Date],B1452)),"")</f>
        <v>40330.536119999997</v>
      </c>
      <c r="E1452" s="9">
        <f t="shared" si="46"/>
        <v>1.0070285175271805</v>
      </c>
      <c r="F1452" t="str">
        <f t="shared" si="47"/>
        <v>Expected</v>
      </c>
    </row>
    <row r="1453" spans="1:6" ht="15" customHeight="1" x14ac:dyDescent="0.3">
      <c r="A1453" t="s">
        <v>145</v>
      </c>
      <c r="B1453" s="2">
        <v>45627</v>
      </c>
      <c r="C1453" cm="1">
        <f t="array" ref="C1453">IFERROR(IF(SUMPRODUCT((measured[Site Name]=A1453)*(measured[Date]=B1453)*ISNUMBER(measured[Measured Value (kWh)]))=0,"",SUMIFS(measured[Measured Value (kWh)],measured[Site Name],A1453,measured[Date],B1453)),"")</f>
        <v>20454</v>
      </c>
      <c r="D1453" cm="1">
        <f t="array" ref="D1453">IFERROR(IF(SUMPRODUCT((expected_production[Site Name]=A1453)*(expected_production[Date]=B1453)*ISNUMBER(expected_production[Expected Production (kWh)]))=0,"",SUMIFS(expected_production[Expected Production (kWh)],expected_production[Site Name],A1453,expected_production[Date],B1453)),"")</f>
        <v>42601.427819999997</v>
      </c>
      <c r="E1453" s="9">
        <f t="shared" si="46"/>
        <v>0.48012475277642003</v>
      </c>
      <c r="F1453" t="str">
        <f t="shared" si="47"/>
        <v>Poor</v>
      </c>
    </row>
    <row r="1454" spans="1:6" ht="15" customHeight="1" x14ac:dyDescent="0.3">
      <c r="A1454" t="s">
        <v>145</v>
      </c>
      <c r="B1454" s="2">
        <v>45658</v>
      </c>
      <c r="C1454" cm="1">
        <f t="array" ref="C1454">IFERROR(IF(SUMPRODUCT((measured[Site Name]=A1454)*(measured[Date]=B1454)*ISNUMBER(measured[Measured Value (kWh)]))=0,"",SUMIFS(measured[Measured Value (kWh)],measured[Site Name],A1454,measured[Date],B1454)),"")</f>
        <v>35500</v>
      </c>
      <c r="D1454" cm="1">
        <f t="array" ref="D1454">IFERROR(IF(SUMPRODUCT((expected_production[Site Name]=A1454)*(expected_production[Date]=B1454)*ISNUMBER(expected_production[Expected Production (kWh)]))=0,"",SUMIFS(expected_production[Expected Production (kWh)],expected_production[Site Name],A1454,expected_production[Date],B1454)),"")</f>
        <v>41208.480000000003</v>
      </c>
      <c r="E1454" s="9">
        <f t="shared" si="46"/>
        <v>0.86147317251206545</v>
      </c>
      <c r="F1454" t="str">
        <f t="shared" si="47"/>
        <v>Moderate</v>
      </c>
    </row>
    <row r="1455" spans="1:6" ht="15" customHeight="1" x14ac:dyDescent="0.3">
      <c r="A1455" t="s">
        <v>145</v>
      </c>
      <c r="B1455" s="2">
        <v>45689</v>
      </c>
      <c r="C1455" cm="1">
        <f t="array" ref="C1455">IFERROR(IF(SUMPRODUCT((measured[Site Name]=A1455)*(measured[Date]=B1455)*ISNUMBER(measured[Measured Value (kWh)]))=0,"",SUMIFS(measured[Measured Value (kWh)],measured[Site Name],A1455,measured[Date],B1455)),"")</f>
        <v>33170</v>
      </c>
      <c r="D1455" cm="1">
        <f t="array" ref="D1455">IFERROR(IF(SUMPRODUCT((expected_production[Site Name]=A1455)*(expected_production[Date]=B1455)*ISNUMBER(expected_production[Expected Production (kWh)]))=0,"",SUMIFS(expected_production[Expected Production (kWh)],expected_production[Site Name],A1455,expected_production[Date],B1455)),"")</f>
        <v>35976.15</v>
      </c>
      <c r="E1455" s="9">
        <f t="shared" si="46"/>
        <v>0.92199971369921463</v>
      </c>
      <c r="F1455" t="str">
        <f t="shared" si="47"/>
        <v>Expected</v>
      </c>
    </row>
    <row r="1456" spans="1:6" ht="15" customHeight="1" x14ac:dyDescent="0.3">
      <c r="A1456" t="s">
        <v>145</v>
      </c>
      <c r="B1456" s="2">
        <v>45717</v>
      </c>
      <c r="C1456" cm="1">
        <f t="array" ref="C1456">IFERROR(IF(SUMPRODUCT((measured[Site Name]=A1456)*(measured[Date]=B1456)*ISNUMBER(measured[Measured Value (kWh)]))=0,"",SUMIFS(measured[Measured Value (kWh)],measured[Site Name],A1456,measured[Date],B1456)),"")</f>
        <v>29562</v>
      </c>
      <c r="D1456" cm="1">
        <f t="array" ref="D1456">IFERROR(IF(SUMPRODUCT((expected_production[Site Name]=A1456)*(expected_production[Date]=B1456)*ISNUMBER(expected_production[Expected Production (kWh)]))=0,"",SUMIFS(expected_production[Expected Production (kWh)],expected_production[Site Name],A1456,expected_production[Date],B1456)),"")</f>
        <v>36559.980000000003</v>
      </c>
      <c r="E1456" s="9">
        <f t="shared" si="46"/>
        <v>0.80858906377957529</v>
      </c>
      <c r="F1456" t="str">
        <f t="shared" si="47"/>
        <v>Moderate</v>
      </c>
    </row>
    <row r="1457" spans="1:7" ht="15" customHeight="1" x14ac:dyDescent="0.3">
      <c r="A1457" t="s">
        <v>145</v>
      </c>
      <c r="B1457" s="2">
        <v>45748</v>
      </c>
      <c r="C1457" cm="1">
        <f t="array" ref="C1457">IFERROR(IF(SUMPRODUCT((measured[Site Name]=A1457)*(measured[Date]=B1457)*ISNUMBER(measured[Measured Value (kWh)]))=0,"",SUMIFS(measured[Measured Value (kWh)],measured[Site Name],A1457,measured[Date],B1457)),"")</f>
        <v>23660</v>
      </c>
      <c r="D1457" cm="1">
        <f t="array" ref="D1457">IFERROR(IF(SUMPRODUCT((expected_production[Site Name]=A1457)*(expected_production[Date]=B1457)*ISNUMBER(expected_production[Expected Production (kWh)]))=0,"",SUMIFS(expected_production[Expected Production (kWh)],expected_production[Site Name],A1457,expected_production[Date],B1457)),"")</f>
        <v>33604.11</v>
      </c>
      <c r="E1457" s="9">
        <f t="shared" si="46"/>
        <v>0.7040805425288752</v>
      </c>
      <c r="F1457" t="str">
        <f t="shared" si="47"/>
        <v>Moderate</v>
      </c>
    </row>
    <row r="1458" spans="1:7" ht="15" customHeight="1" x14ac:dyDescent="0.3">
      <c r="A1458" t="s">
        <v>145</v>
      </c>
      <c r="B1458" s="2">
        <v>45778</v>
      </c>
      <c r="C1458" cm="1">
        <f t="array" ref="C1458">IFERROR(IF(SUMPRODUCT((measured[Site Name]=A1458)*(measured[Date]=B1458)*ISNUMBER(measured[Measured Value (kWh)]))=0,"",SUMIFS(measured[Measured Value (kWh)],measured[Site Name],A1458,measured[Date],B1458)),"")</f>
        <v>27021</v>
      </c>
      <c r="D1458" cm="1">
        <f t="array" ref="D1458">IFERROR(IF(SUMPRODUCT((expected_production[Site Name]=A1458)*(expected_production[Date]=B1458)*ISNUMBER(expected_production[Expected Production (kWh)]))=0,"",SUMIFS(expected_production[Expected Production (kWh)],expected_production[Site Name],A1458,expected_production[Date],B1458)),"")</f>
        <v>32958.629999999997</v>
      </c>
      <c r="E1458" s="9">
        <f t="shared" si="46"/>
        <v>0.81984597053943087</v>
      </c>
      <c r="F1458" t="str">
        <f t="shared" si="47"/>
        <v>Moderate</v>
      </c>
    </row>
    <row r="1459" spans="1:7" ht="15" customHeight="1" x14ac:dyDescent="0.3">
      <c r="A1459" t="s">
        <v>145</v>
      </c>
      <c r="B1459" s="2">
        <v>45809</v>
      </c>
      <c r="C1459" cm="1">
        <f t="array" ref="C1459">IFERROR(IF(SUMPRODUCT((measured[Site Name]=A1459)*(measured[Date]=B1459)*ISNUMBER(measured[Measured Value (kWh)]))=0,"",SUMIFS(measured[Measured Value (kWh)],measured[Site Name],A1459,measured[Date],B1459)),"")</f>
        <v>23016.87</v>
      </c>
      <c r="D1459" cm="1">
        <f t="array" ref="D1459">IFERROR(IF(SUMPRODUCT((expected_production[Site Name]=A1459)*(expected_production[Date]=B1459)*ISNUMBER(expected_production[Expected Production (kWh)]))=0,"",SUMIFS(expected_production[Expected Production (kWh)],expected_production[Site Name],A1459,expected_production[Date],B1459)),"")</f>
        <v>30018.22119</v>
      </c>
      <c r="E1459" s="9">
        <f t="shared" si="46"/>
        <v>0.76676328868106391</v>
      </c>
      <c r="F1459" t="str">
        <f t="shared" si="47"/>
        <v>Moderate</v>
      </c>
    </row>
    <row r="1460" spans="1:7" ht="15" customHeight="1" x14ac:dyDescent="0.3">
      <c r="A1460" t="s">
        <v>145</v>
      </c>
      <c r="B1460" s="2">
        <v>45839</v>
      </c>
      <c r="C1460" cm="1">
        <f t="array" ref="C1460">IFERROR(IF(SUMPRODUCT((measured[Site Name]=A1460)*(measured[Date]=B1460)*ISNUMBER(measured[Measured Value (kWh)]))=0,"",SUMIFS(measured[Measured Value (kWh)],measured[Site Name],A1460,measured[Date],B1460)),"")</f>
        <v>23980</v>
      </c>
      <c r="D1460" cm="1">
        <f t="array" ref="D1460">IFERROR(IF(SUMPRODUCT((expected_production[Site Name]=A1460)*(expected_production[Date]=B1460)*ISNUMBER(expected_production[Expected Production (kWh)]))=0,"",SUMIFS(expected_production[Expected Production (kWh)],expected_production[Site Name],A1460,expected_production[Date],B1460)),"")</f>
        <v>32459.809590000001</v>
      </c>
      <c r="E1460" s="9">
        <f t="shared" si="46"/>
        <v>0.7387597248071226</v>
      </c>
      <c r="F1460" t="str">
        <f t="shared" si="47"/>
        <v>Moderate</v>
      </c>
    </row>
    <row r="1461" spans="1:7" ht="15" customHeight="1" x14ac:dyDescent="0.3">
      <c r="A1461" t="s">
        <v>145</v>
      </c>
      <c r="B1461" s="2">
        <v>45870</v>
      </c>
      <c r="C1461" cm="1">
        <f t="array" ref="C1461">IFERROR(IF(SUMPRODUCT((measured[Site Name]=A1461)*(measured[Date]=B1461)*ISNUMBER(measured[Measured Value (kWh)]))=0,"",SUMIFS(measured[Measured Value (kWh)],measured[Site Name],A1461,measured[Date],B1461)),"")</f>
        <v>26825</v>
      </c>
      <c r="D1461" cm="1">
        <f t="array" ref="D1461">IFERROR(IF(SUMPRODUCT((expected_production[Site Name]=A1461)*(expected_production[Date]=B1461)*ISNUMBER(expected_production[Expected Production (kWh)]))=0,"",SUMIFS(expected_production[Expected Production (kWh)],expected_production[Site Name],A1461,expected_production[Date],B1461)),"")</f>
        <v>36506.12571</v>
      </c>
      <c r="E1461" s="9">
        <f t="shared" si="46"/>
        <v>0.73480818570270567</v>
      </c>
      <c r="F1461" t="str">
        <f t="shared" si="47"/>
        <v>Moderate</v>
      </c>
    </row>
    <row r="1462" spans="1:7" ht="15" customHeight="1" x14ac:dyDescent="0.3">
      <c r="A1462" t="s">
        <v>145</v>
      </c>
      <c r="B1462" s="2">
        <v>45901</v>
      </c>
      <c r="C1462" cm="1">
        <f t="array" ref="C1462">IFERROR(IF(SUMPRODUCT((measured[Site Name]=A1462)*(measured[Date]=B1462)*ISNUMBER(measured[Measured Value (kWh)]))=0,"",SUMIFS(measured[Measured Value (kWh)],measured[Site Name],A1462,measured[Date],B1462)),"")</f>
        <v>29989</v>
      </c>
      <c r="D1462" cm="1">
        <f t="array" ref="D1462">IFERROR(IF(SUMPRODUCT((expected_production[Site Name]=A1462)*(expected_production[Date]=B1462)*ISNUMBER(expected_production[Expected Production (kWh)]))=0,"",SUMIFS(expected_production[Expected Production (kWh)],expected_production[Site Name],A1462,expected_production[Date],B1462)),"")</f>
        <v>37370.869830000003</v>
      </c>
      <c r="E1462" s="9">
        <f t="shared" si="46"/>
        <v>0.80246994882430855</v>
      </c>
      <c r="F1462" t="str">
        <f t="shared" si="47"/>
        <v>Moderate</v>
      </c>
    </row>
    <row r="1463" spans="1:7" ht="15" customHeight="1" x14ac:dyDescent="0.3">
      <c r="A1463" t="s">
        <v>145</v>
      </c>
      <c r="B1463" s="2">
        <v>45931</v>
      </c>
      <c r="C1463" cm="1">
        <f t="array" ref="C1463">IFERROR(IF(SUMPRODUCT((measured[Site Name]=A1463)*(measured[Date]=B1463)*ISNUMBER(measured[Measured Value (kWh)]))=0,"",SUMIFS(measured[Measured Value (kWh)],measured[Site Name],A1463,measured[Date],B1463)),"")</f>
        <v>39431.18</v>
      </c>
      <c r="D1463" cm="1">
        <f t="array" ref="D1463">IFERROR(IF(SUMPRODUCT((expected_production[Site Name]=A1463)*(expected_production[Date]=B1463)*ISNUMBER(expected_production[Expected Production (kWh)]))=0,"",SUMIFS(expected_production[Expected Production (kWh)],expected_production[Site Name],A1463,expected_production[Date],B1463)),"")</f>
        <v>40182.986250000002</v>
      </c>
      <c r="E1463" s="9">
        <f t="shared" si="46"/>
        <v>0.9812904335849354</v>
      </c>
      <c r="F1463" t="str">
        <f t="shared" si="47"/>
        <v>Expected</v>
      </c>
    </row>
    <row r="1464" spans="1:7" ht="15" customHeight="1" x14ac:dyDescent="0.3">
      <c r="A1464" t="s">
        <v>145</v>
      </c>
      <c r="B1464" s="2">
        <v>45962</v>
      </c>
      <c r="C1464" cm="1">
        <f t="array" ref="C1464">IFERROR(IF(SUMPRODUCT((measured[Site Name]=A1464)*(measured[Date]=B1464)*ISNUMBER(measured[Measured Value (kWh)]))=0,"",SUMIFS(measured[Measured Value (kWh)],measured[Site Name],A1464,measured[Date],B1464)),"")</f>
        <v>36933</v>
      </c>
      <c r="D1464" cm="1">
        <f t="array" ref="D1464">IFERROR(IF(SUMPRODUCT((expected_production[Site Name]=A1464)*(expected_production[Date]=B1464)*ISNUMBER(expected_production[Expected Production (kWh)]))=0,"",SUMIFS(expected_production[Expected Production (kWh)],expected_production[Site Name],A1464,expected_production[Date],B1464)),"")</f>
        <v>40330.536119999997</v>
      </c>
      <c r="E1464" s="9">
        <f t="shared" si="46"/>
        <v>0.91575772486904405</v>
      </c>
      <c r="F1464" t="str">
        <f t="shared" si="47"/>
        <v>Expected</v>
      </c>
    </row>
    <row r="1465" spans="1:7" ht="15" customHeight="1" x14ac:dyDescent="0.3">
      <c r="A1465" t="s">
        <v>145</v>
      </c>
      <c r="B1465" s="2">
        <v>45992</v>
      </c>
      <c r="C1465" cm="1">
        <f t="array" ref="C1465">IFERROR(IF(SUMPRODUCT((measured[Site Name]=A1465)*(measured[Date]=B1465)*ISNUMBER(measured[Measured Value (kWh)]))=0,"",SUMIFS(measured[Measured Value (kWh)],measured[Site Name],A1465,measured[Date],B1465)),"")</f>
        <v>24542</v>
      </c>
      <c r="D1465" cm="1">
        <f t="array" ref="D1465">IFERROR(IF(SUMPRODUCT((expected_production[Site Name]=A1465)*(expected_production[Date]=B1465)*ISNUMBER(expected_production[Expected Production (kWh)]))=0,"",SUMIFS(expected_production[Expected Production (kWh)],expected_production[Site Name],A1465,expected_production[Date],B1465)),"")</f>
        <v>42601.427819999997</v>
      </c>
      <c r="E1465" s="9">
        <f t="shared" si="46"/>
        <v>0.57608397783508847</v>
      </c>
      <c r="F1465" t="str">
        <f t="shared" si="47"/>
        <v>Poor</v>
      </c>
    </row>
    <row r="1466" spans="1:7" ht="15" customHeight="1" x14ac:dyDescent="0.3">
      <c r="A1466" t="s">
        <v>145</v>
      </c>
      <c r="B1466" s="2">
        <v>46023</v>
      </c>
      <c r="C1466" cm="1">
        <f t="array" ref="C1466">IFERROR(IF(SUMPRODUCT((measured[Site Name]=A1466)*(measured[Date]=B1466)*ISNUMBER(measured[Measured Value (kWh)]))=0,"",SUMIFS(measured[Measured Value (kWh)],measured[Site Name],A1466,measured[Date],B1466)),"")</f>
        <v>38558.838300000003</v>
      </c>
      <c r="D1466" cm="1">
        <f t="array" ref="D1466">IFERROR(IF(SUMPRODUCT((expected_production[Site Name]=A1466)*(expected_production[Date]=B1466)*ISNUMBER(expected_production[Expected Production (kWh)]))=0,"",SUMIFS(expected_production[Expected Production (kWh)],expected_production[Site Name],A1466,expected_production[Date],B1466)),"")</f>
        <v>41208.480000000003</v>
      </c>
      <c r="E1466" s="9">
        <f t="shared" si="46"/>
        <v>0.93570154249804893</v>
      </c>
      <c r="F1466" t="str">
        <f t="shared" si="47"/>
        <v>Expected</v>
      </c>
    </row>
    <row r="1467" spans="1:7" ht="15" customHeight="1" x14ac:dyDescent="0.3">
      <c r="A1467" t="s">
        <v>145</v>
      </c>
      <c r="B1467" s="2">
        <v>46054</v>
      </c>
      <c r="C1467" cm="1">
        <f t="array" ref="C1467">IFERROR(IF(SUMPRODUCT((measured[Site Name]=A1467)*(measured[Date]=B1467)*ISNUMBER(measured[Measured Value (kWh)]))=0,"",SUMIFS(measured[Measured Value (kWh)],measured[Site Name],A1467,measured[Date],B1467)),"")</f>
        <v>35289.594859999997</v>
      </c>
      <c r="D1467" cm="1">
        <f t="array" ref="D1467">IFERROR(IF(SUMPRODUCT((expected_production[Site Name]=A1467)*(expected_production[Date]=B1467)*ISNUMBER(expected_production[Expected Production (kWh)]))=0,"",SUMIFS(expected_production[Expected Production (kWh)],expected_production[Site Name],A1467,expected_production[Date],B1467)),"")</f>
        <v>35976.15</v>
      </c>
      <c r="E1467" s="9">
        <f t="shared" si="46"/>
        <v>0.98091638099129552</v>
      </c>
      <c r="F1467" t="str">
        <f t="shared" si="47"/>
        <v>Expected</v>
      </c>
    </row>
    <row r="1468" spans="1:7" ht="15" customHeight="1" x14ac:dyDescent="0.3">
      <c r="A1468" t="s">
        <v>145</v>
      </c>
      <c r="B1468" s="2">
        <v>46082</v>
      </c>
      <c r="C1468" cm="1">
        <f t="array" ref="C1468">IFERROR(IF(SUMPRODUCT((measured[Site Name]=A1468)*(measured[Date]=B1468)*ISNUMBER(measured[Measured Value (kWh)]))=0,"",SUMIFS(measured[Measured Value (kWh)],measured[Site Name],A1468,measured[Date],B1468)),"")</f>
        <v>33082</v>
      </c>
      <c r="D1468" cm="1">
        <f t="array" ref="D1468">IFERROR(IF(SUMPRODUCT((expected_production[Site Name]=A1468)*(expected_production[Date]=B1468)*ISNUMBER(expected_production[Expected Production (kWh)]))=0,"",SUMIFS(expected_production[Expected Production (kWh)],expected_production[Site Name],A1468,expected_production[Date],B1468)),"")</f>
        <v>36559.980000000003</v>
      </c>
      <c r="E1468" s="9">
        <f t="shared" ref="E1468:E1531" si="48">IF(OR(C1468="",D1468="",D1468=0),"",C1468/D1468)</f>
        <v>0.90486920397658854</v>
      </c>
      <c r="F1468" t="str">
        <f t="shared" ref="F1468:F1531" si="49">IF(E1468="","",IF(E1468&gt;=0.9,"Expected",IF(E1468&gt;=0.7,"Moderate","Poor")))</f>
        <v>Expected</v>
      </c>
    </row>
    <row r="1469" spans="1:7" ht="15" customHeight="1" x14ac:dyDescent="0.3">
      <c r="A1469" t="s">
        <v>145</v>
      </c>
      <c r="B1469" s="2">
        <v>46113</v>
      </c>
      <c r="C1469" cm="1">
        <f t="array" ref="C1469">IFERROR(IF(SUMPRODUCT((measured[Site Name]=A1469)*(measured[Date]=B1469)*ISNUMBER(measured[Measured Value (kWh)]))=0,"",SUMIFS(measured[Measured Value (kWh)],measured[Site Name],A1469,measured[Date],B1469)),"")</f>
        <v>26958.67</v>
      </c>
      <c r="D1469" cm="1">
        <f t="array" ref="D1469">IFERROR(IF(SUMPRODUCT((expected_production[Site Name]=A1469)*(expected_production[Date]=B1469)*ISNUMBER(expected_production[Expected Production (kWh)]))=0,"",SUMIFS(expected_production[Expected Production (kWh)],expected_production[Site Name],A1469,expected_production[Date],B1469)),"")</f>
        <v>33604.11</v>
      </c>
      <c r="E1469" s="9">
        <f t="shared" si="48"/>
        <v>0.80224323750874516</v>
      </c>
      <c r="F1469" t="str">
        <f t="shared" si="49"/>
        <v>Moderate</v>
      </c>
    </row>
    <row r="1470" spans="1:7" ht="15" customHeight="1" x14ac:dyDescent="0.3">
      <c r="A1470" t="s">
        <v>145</v>
      </c>
      <c r="B1470" s="2">
        <v>46143</v>
      </c>
      <c r="C1470" cm="1">
        <f t="array" ref="C1470">IFERROR(IF(SUMPRODUCT((measured[Site Name]=A1470)*(measured[Date]=B1470)*ISNUMBER(measured[Measured Value (kWh)]))=0,"",SUMIFS(measured[Measured Value (kWh)],measured[Site Name],A1470,measured[Date],B1470)),"")</f>
        <v>28264.560000000001</v>
      </c>
      <c r="D1470" cm="1">
        <f t="array" ref="D1470">IFERROR(IF(SUMPRODUCT((expected_production[Site Name]=A1470)*(expected_production[Date]=B1470)*ISNUMBER(expected_production[Expected Production (kWh)]))=0,"",SUMIFS(expected_production[Expected Production (kWh)],expected_production[Site Name],A1470,expected_production[Date],B1470)),"")</f>
        <v>32958.629999999997</v>
      </c>
      <c r="E1470" s="9">
        <f t="shared" si="48"/>
        <v>0.85757690777802364</v>
      </c>
      <c r="F1470" t="str">
        <f t="shared" si="49"/>
        <v>Moderate</v>
      </c>
    </row>
    <row r="1471" spans="1:7" ht="15" customHeight="1" x14ac:dyDescent="0.3">
      <c r="A1471" t="s">
        <v>145</v>
      </c>
      <c r="B1471" s="2">
        <v>46174</v>
      </c>
      <c r="C1471" cm="1">
        <f t="array" ref="C1471">IFERROR(IF(SUMPRODUCT((measured[Site Name]=A1471)*(measured[Date]=B1471)*ISNUMBER(measured[Measured Value (kWh)]))=0,"",SUMIFS(measured[Measured Value (kWh)],measured[Site Name],A1471,measured[Date],B1471)),"")</f>
        <v>20267.330000000002</v>
      </c>
      <c r="D1471" cm="1">
        <f t="array" ref="D1471">IFERROR(IF(SUMPRODUCT((expected_production[Site Name]=A1471)*(expected_production[Date]=B1471)*ISNUMBER(expected_production[Expected Production (kWh)]))=0,"",SUMIFS(expected_production[Expected Production (kWh)],expected_production[Site Name],A1471,expected_production[Date],B1471)),"")</f>
        <v>30018.22119</v>
      </c>
      <c r="E1471" s="9">
        <f t="shared" si="48"/>
        <v>0.67516758810317767</v>
      </c>
      <c r="F1471" t="str">
        <f t="shared" si="49"/>
        <v>Poor</v>
      </c>
    </row>
    <row r="1472" spans="1:7" ht="15" customHeight="1" x14ac:dyDescent="0.3">
      <c r="A1472" t="s">
        <v>220</v>
      </c>
      <c r="B1472" s="2">
        <v>46204</v>
      </c>
      <c r="C1472" cm="1">
        <f t="array" ref="C1472">IFERROR(IF(SUMPRODUCT((measured[Site Name]=A1472)*(measured[Date]=B1472)*ISNUMBER(measured[Measured Value (kWh)]))=0,"",SUMIFS(measured[Measured Value (kWh)],measured[Site Name],A1472,measured[Date],B1472)),"")</f>
        <v>27717.592700000001</v>
      </c>
      <c r="D1472" cm="1">
        <f t="array" ref="D1472">IFERROR(IF(SUMPRODUCT((expected_production[Site Name]=A1472)*(expected_production[Date]=B1472)*ISNUMBER(expected_production[Expected Production (kWh)]))=0,"",SUMIFS(expected_production[Expected Production (kWh)],expected_production[Site Name],A1472,expected_production[Date],B1472)),"")</f>
        <v>31229.1</v>
      </c>
      <c r="E1472" s="9">
        <f t="shared" si="48"/>
        <v>0.88755656423015716</v>
      </c>
      <c r="F1472" t="str">
        <f t="shared" si="49"/>
        <v>Moderate</v>
      </c>
      <c r="G1472" t="s">
        <v>875</v>
      </c>
    </row>
    <row r="1473" spans="1:6" ht="15" customHeight="1" x14ac:dyDescent="0.3">
      <c r="A1473" t="s">
        <v>145</v>
      </c>
      <c r="B1473" s="2">
        <v>46235</v>
      </c>
      <c r="C1473" t="str" cm="1">
        <f t="array" ref="C1473">IFERROR(IF(SUMPRODUCT((measured[Site Name]=A1473)*(measured[Date]=B1473)*ISNUMBER(measured[Measured Value (kWh)]))=0,"",SUMIFS(measured[Measured Value (kWh)],measured[Site Name],A1473,measured[Date],B1473)),"")</f>
        <v/>
      </c>
      <c r="D1473" cm="1">
        <f t="array" ref="D1473">IFERROR(IF(SUMPRODUCT((expected_production[Site Name]=A1473)*(expected_production[Date]=B1473)*ISNUMBER(expected_production[Expected Production (kWh)]))=0,"",SUMIFS(expected_production[Expected Production (kWh)],expected_production[Site Name],A1473,expected_production[Date],B1473)),"")</f>
        <v>36506.12571</v>
      </c>
      <c r="E1473" s="9" t="str">
        <f t="shared" si="48"/>
        <v/>
      </c>
      <c r="F1473" t="str">
        <f t="shared" si="49"/>
        <v/>
      </c>
    </row>
    <row r="1474" spans="1:6" ht="15" customHeight="1" x14ac:dyDescent="0.3">
      <c r="A1474" t="s">
        <v>145</v>
      </c>
      <c r="B1474" s="2">
        <v>46266</v>
      </c>
      <c r="C1474" t="str" cm="1">
        <f t="array" ref="C1474">IFERROR(IF(SUMPRODUCT((measured[Site Name]=A1474)*(measured[Date]=B1474)*ISNUMBER(measured[Measured Value (kWh)]))=0,"",SUMIFS(measured[Measured Value (kWh)],measured[Site Name],A1474,measured[Date],B1474)),"")</f>
        <v/>
      </c>
      <c r="D1474" cm="1">
        <f t="array" ref="D1474">IFERROR(IF(SUMPRODUCT((expected_production[Site Name]=A1474)*(expected_production[Date]=B1474)*ISNUMBER(expected_production[Expected Production (kWh)]))=0,"",SUMIFS(expected_production[Expected Production (kWh)],expected_production[Site Name],A1474,expected_production[Date],B1474)),"")</f>
        <v>37370.869830000003</v>
      </c>
      <c r="E1474" s="9" t="str">
        <f t="shared" si="48"/>
        <v/>
      </c>
      <c r="F1474" t="str">
        <f t="shared" si="49"/>
        <v/>
      </c>
    </row>
    <row r="1475" spans="1:6" ht="15" customHeight="1" x14ac:dyDescent="0.3">
      <c r="A1475" t="s">
        <v>145</v>
      </c>
      <c r="B1475" s="2">
        <v>46296</v>
      </c>
      <c r="C1475" t="str" cm="1">
        <f t="array" ref="C1475">IFERROR(IF(SUMPRODUCT((measured[Site Name]=A1475)*(measured[Date]=B1475)*ISNUMBER(measured[Measured Value (kWh)]))=0,"",SUMIFS(measured[Measured Value (kWh)],measured[Site Name],A1475,measured[Date],B1475)),"")</f>
        <v/>
      </c>
      <c r="D1475" cm="1">
        <f t="array" ref="D1475">IFERROR(IF(SUMPRODUCT((expected_production[Site Name]=A1475)*(expected_production[Date]=B1475)*ISNUMBER(expected_production[Expected Production (kWh)]))=0,"",SUMIFS(expected_production[Expected Production (kWh)],expected_production[Site Name],A1475,expected_production[Date],B1475)),"")</f>
        <v>40182.986250000002</v>
      </c>
      <c r="E1475" s="9" t="str">
        <f t="shared" si="48"/>
        <v/>
      </c>
      <c r="F1475" t="str">
        <f t="shared" si="49"/>
        <v/>
      </c>
    </row>
    <row r="1476" spans="1:6" ht="15" customHeight="1" x14ac:dyDescent="0.3">
      <c r="A1476" t="s">
        <v>145</v>
      </c>
      <c r="B1476" s="2">
        <v>46327</v>
      </c>
      <c r="C1476" t="str" cm="1">
        <f t="array" ref="C1476">IFERROR(IF(SUMPRODUCT((measured[Site Name]=A1476)*(measured[Date]=B1476)*ISNUMBER(measured[Measured Value (kWh)]))=0,"",SUMIFS(measured[Measured Value (kWh)],measured[Site Name],A1476,measured[Date],B1476)),"")</f>
        <v/>
      </c>
      <c r="D1476" cm="1">
        <f t="array" ref="D1476">IFERROR(IF(SUMPRODUCT((expected_production[Site Name]=A1476)*(expected_production[Date]=B1476)*ISNUMBER(expected_production[Expected Production (kWh)]))=0,"",SUMIFS(expected_production[Expected Production (kWh)],expected_production[Site Name],A1476,expected_production[Date],B1476)),"")</f>
        <v>40330.536119999997</v>
      </c>
      <c r="E1476" s="9" t="str">
        <f t="shared" si="48"/>
        <v/>
      </c>
      <c r="F1476" t="str">
        <f t="shared" si="49"/>
        <v/>
      </c>
    </row>
    <row r="1477" spans="1:6" ht="15" customHeight="1" x14ac:dyDescent="0.3">
      <c r="A1477" t="s">
        <v>145</v>
      </c>
      <c r="B1477" s="2">
        <v>46357</v>
      </c>
      <c r="C1477" t="str" cm="1">
        <f t="array" ref="C1477">IFERROR(IF(SUMPRODUCT((measured[Site Name]=A1477)*(measured[Date]=B1477)*ISNUMBER(measured[Measured Value (kWh)]))=0,"",SUMIFS(measured[Measured Value (kWh)],measured[Site Name],A1477,measured[Date],B1477)),"")</f>
        <v/>
      </c>
      <c r="D1477" cm="1">
        <f t="array" ref="D1477">IFERROR(IF(SUMPRODUCT((expected_production[Site Name]=A1477)*(expected_production[Date]=B1477)*ISNUMBER(expected_production[Expected Production (kWh)]))=0,"",SUMIFS(expected_production[Expected Production (kWh)],expected_production[Site Name],A1477,expected_production[Date],B1477)),"")</f>
        <v>42601.427819999997</v>
      </c>
      <c r="E1477" s="9" t="str">
        <f t="shared" si="48"/>
        <v/>
      </c>
      <c r="F1477" t="str">
        <f t="shared" si="49"/>
        <v/>
      </c>
    </row>
    <row r="1478" spans="1:6" ht="15" customHeight="1" x14ac:dyDescent="0.3">
      <c r="A1478" t="s">
        <v>152</v>
      </c>
      <c r="B1478" s="2">
        <v>45292</v>
      </c>
      <c r="C1478" cm="1">
        <f t="array" ref="C1478">IFERROR(IF(SUMPRODUCT((measured[Site Name]=A1478)*(measured[Date]=B1478)*ISNUMBER(measured[Measured Value (kWh)]))=0,"",SUMIFS(measured[Measured Value (kWh)],measured[Site Name],A1478,measured[Date],B1478)),"")</f>
        <v>12283</v>
      </c>
      <c r="D1478" cm="1">
        <f t="array" ref="D1478">IFERROR(IF(SUMPRODUCT((expected_production[Site Name]=A1478)*(expected_production[Date]=B1478)*ISNUMBER(expected_production[Expected Production (kWh)]))=0,"",SUMIFS(expected_production[Expected Production (kWh)],expected_production[Site Name],A1478,expected_production[Date],B1478)),"")</f>
        <v>11540.96</v>
      </c>
      <c r="E1478" s="9">
        <f t="shared" si="48"/>
        <v>1.0642962110604317</v>
      </c>
      <c r="F1478" t="str">
        <f t="shared" si="49"/>
        <v>Expected</v>
      </c>
    </row>
    <row r="1479" spans="1:6" ht="15" customHeight="1" x14ac:dyDescent="0.3">
      <c r="A1479" t="s">
        <v>152</v>
      </c>
      <c r="B1479" s="2">
        <v>45323</v>
      </c>
      <c r="C1479" cm="1">
        <f t="array" ref="C1479">IFERROR(IF(SUMPRODUCT((measured[Site Name]=A1479)*(measured[Date]=B1479)*ISNUMBER(measured[Measured Value (kWh)]))=0,"",SUMIFS(measured[Measured Value (kWh)],measured[Site Name],A1479,measured[Date],B1479)),"")</f>
        <v>11752</v>
      </c>
      <c r="D1479" cm="1">
        <f t="array" ref="D1479">IFERROR(IF(SUMPRODUCT((expected_production[Site Name]=A1479)*(expected_production[Date]=B1479)*ISNUMBER(expected_production[Expected Production (kWh)]))=0,"",SUMIFS(expected_production[Expected Production (kWh)],expected_production[Site Name],A1479,expected_production[Date],B1479)),"")</f>
        <v>9862.32</v>
      </c>
      <c r="E1479" s="9">
        <f t="shared" si="48"/>
        <v>1.1916060318464621</v>
      </c>
      <c r="F1479" t="str">
        <f t="shared" si="49"/>
        <v>Expected</v>
      </c>
    </row>
    <row r="1480" spans="1:6" ht="15" customHeight="1" x14ac:dyDescent="0.3">
      <c r="A1480" t="s">
        <v>152</v>
      </c>
      <c r="B1480" s="2">
        <v>45352</v>
      </c>
      <c r="C1480" cm="1">
        <f t="array" ref="C1480">IFERROR(IF(SUMPRODUCT((measured[Site Name]=A1480)*(measured[Date]=B1480)*ISNUMBER(measured[Measured Value (kWh)]))=0,"",SUMIFS(measured[Measured Value (kWh)],measured[Site Name],A1480,measured[Date],B1480)),"")</f>
        <v>11293</v>
      </c>
      <c r="D1480" cm="1">
        <f t="array" ref="D1480">IFERROR(IF(SUMPRODUCT((expected_production[Site Name]=A1480)*(expected_production[Date]=B1480)*ISNUMBER(expected_production[Expected Production (kWh)]))=0,"",SUMIFS(expected_production[Expected Production (kWh)],expected_production[Site Name],A1480,expected_production[Date],B1480)),"")</f>
        <v>10345.44</v>
      </c>
      <c r="E1480" s="9">
        <f t="shared" si="48"/>
        <v>1.091592044417637</v>
      </c>
      <c r="F1480" t="str">
        <f t="shared" si="49"/>
        <v>Expected</v>
      </c>
    </row>
    <row r="1481" spans="1:6" ht="15" customHeight="1" x14ac:dyDescent="0.3">
      <c r="A1481" t="s">
        <v>152</v>
      </c>
      <c r="B1481" s="2">
        <v>45383</v>
      </c>
      <c r="C1481" cm="1">
        <f t="array" ref="C1481">IFERROR(IF(SUMPRODUCT((measured[Site Name]=A1481)*(measured[Date]=B1481)*ISNUMBER(measured[Measured Value (kWh)]))=0,"",SUMIFS(measured[Measured Value (kWh)],measured[Site Name],A1481,measured[Date],B1481)),"")</f>
        <v>10034</v>
      </c>
      <c r="D1481" cm="1">
        <f t="array" ref="D1481">IFERROR(IF(SUMPRODUCT((expected_production[Site Name]=A1481)*(expected_production[Date]=B1481)*ISNUMBER(expected_production[Expected Production (kWh)]))=0,"",SUMIFS(expected_production[Expected Production (kWh)],expected_production[Site Name],A1481,expected_production[Date],B1481)),"")</f>
        <v>8819.52</v>
      </c>
      <c r="E1481" s="9">
        <f t="shared" si="48"/>
        <v>1.1377036392003192</v>
      </c>
      <c r="F1481" t="str">
        <f t="shared" si="49"/>
        <v>Expected</v>
      </c>
    </row>
    <row r="1482" spans="1:6" ht="15" customHeight="1" x14ac:dyDescent="0.3">
      <c r="A1482" t="s">
        <v>152</v>
      </c>
      <c r="B1482" s="2">
        <v>45413</v>
      </c>
      <c r="C1482" cm="1">
        <f t="array" ref="C1482">IFERROR(IF(SUMPRODUCT((measured[Site Name]=A1482)*(measured[Date]=B1482)*ISNUMBER(measured[Measured Value (kWh)]))=0,"",SUMIFS(measured[Measured Value (kWh)],measured[Site Name],A1482,measured[Date],B1482)),"")</f>
        <v>7886</v>
      </c>
      <c r="D1482" cm="1">
        <f t="array" ref="D1482">IFERROR(IF(SUMPRODUCT((expected_production[Site Name]=A1482)*(expected_production[Date]=B1482)*ISNUMBER(expected_production[Expected Production (kWh)]))=0,"",SUMIFS(expected_production[Expected Production (kWh)],expected_production[Site Name],A1482,expected_production[Date],B1482)),"")</f>
        <v>8538.08</v>
      </c>
      <c r="E1482" s="9">
        <f t="shared" si="48"/>
        <v>0.92362685756048202</v>
      </c>
      <c r="F1482" t="str">
        <f t="shared" si="49"/>
        <v>Expected</v>
      </c>
    </row>
    <row r="1483" spans="1:6" ht="15" customHeight="1" x14ac:dyDescent="0.3">
      <c r="A1483" t="s">
        <v>152</v>
      </c>
      <c r="B1483" s="2">
        <v>45444</v>
      </c>
      <c r="C1483" cm="1">
        <f t="array" ref="C1483">IFERROR(IF(SUMPRODUCT((measured[Site Name]=A1483)*(measured[Date]=B1483)*ISNUMBER(measured[Measured Value (kWh)]))=0,"",SUMIFS(measured[Measured Value (kWh)],measured[Site Name],A1483,measured[Date],B1483)),"")</f>
        <v>9067</v>
      </c>
      <c r="D1483" cm="1">
        <f t="array" ref="D1483">IFERROR(IF(SUMPRODUCT((expected_production[Site Name]=A1483)*(expected_production[Date]=B1483)*ISNUMBER(expected_production[Expected Production (kWh)]))=0,"",SUMIFS(expected_production[Expected Production (kWh)],expected_production[Site Name],A1483,expected_production[Date],B1483)),"")</f>
        <v>7700</v>
      </c>
      <c r="E1483" s="9">
        <f t="shared" si="48"/>
        <v>1.1775324675324674</v>
      </c>
      <c r="F1483" t="str">
        <f t="shared" si="49"/>
        <v>Expected</v>
      </c>
    </row>
    <row r="1484" spans="1:6" ht="15" customHeight="1" x14ac:dyDescent="0.3">
      <c r="A1484" t="s">
        <v>152</v>
      </c>
      <c r="B1484" s="2">
        <v>45474</v>
      </c>
      <c r="C1484" cm="1">
        <f t="array" ref="C1484">IFERROR(IF(SUMPRODUCT((measured[Site Name]=A1484)*(measured[Date]=B1484)*ISNUMBER(measured[Measured Value (kWh)]))=0,"",SUMIFS(measured[Measured Value (kWh)],measured[Site Name],A1484,measured[Date],B1484)),"")</f>
        <v>8952</v>
      </c>
      <c r="D1484" cm="1">
        <f t="array" ref="D1484">IFERROR(IF(SUMPRODUCT((expected_production[Site Name]=A1484)*(expected_production[Date]=B1484)*ISNUMBER(expected_production[Expected Production (kWh)]))=0,"",SUMIFS(expected_production[Expected Production (kWh)],expected_production[Site Name],A1484,expected_production[Date],B1484)),"")</f>
        <v>8487.2000000000007</v>
      </c>
      <c r="E1484" s="9">
        <f t="shared" si="48"/>
        <v>1.0547648223206711</v>
      </c>
      <c r="F1484" t="str">
        <f t="shared" si="49"/>
        <v>Expected</v>
      </c>
    </row>
    <row r="1485" spans="1:6" ht="15" customHeight="1" x14ac:dyDescent="0.3">
      <c r="A1485" t="s">
        <v>152</v>
      </c>
      <c r="B1485" s="2">
        <v>45505</v>
      </c>
      <c r="C1485" cm="1">
        <f t="array" ref="C1485">IFERROR(IF(SUMPRODUCT((measured[Site Name]=A1485)*(measured[Date]=B1485)*ISNUMBER(measured[Measured Value (kWh)]))=0,"",SUMIFS(measured[Measured Value (kWh)],measured[Site Name],A1485,measured[Date],B1485)),"")</f>
        <v>8952</v>
      </c>
      <c r="D1485" cm="1">
        <f t="array" ref="D1485">IFERROR(IF(SUMPRODUCT((expected_production[Site Name]=A1485)*(expected_production[Date]=B1485)*ISNUMBER(expected_production[Expected Production (kWh)]))=0,"",SUMIFS(expected_production[Expected Production (kWh)],expected_production[Site Name],A1485,expected_production[Date],B1485)),"")</f>
        <v>9810.48</v>
      </c>
      <c r="E1485" s="9">
        <f t="shared" si="48"/>
        <v>0.91249357829586319</v>
      </c>
      <c r="F1485" t="str">
        <f t="shared" si="49"/>
        <v>Expected</v>
      </c>
    </row>
    <row r="1486" spans="1:6" ht="15" customHeight="1" x14ac:dyDescent="0.3">
      <c r="A1486" t="s">
        <v>152</v>
      </c>
      <c r="B1486" s="2">
        <v>45536</v>
      </c>
      <c r="C1486" cm="1">
        <f t="array" ref="C1486">IFERROR(IF(SUMPRODUCT((measured[Site Name]=A1486)*(measured[Date]=B1486)*ISNUMBER(measured[Measured Value (kWh)]))=0,"",SUMIFS(measured[Measured Value (kWh)],measured[Site Name],A1486,measured[Date],B1486)),"")</f>
        <v>8110</v>
      </c>
      <c r="D1486" cm="1">
        <f t="array" ref="D1486">IFERROR(IF(SUMPRODUCT((expected_production[Site Name]=A1486)*(expected_production[Date]=B1486)*ISNUMBER(expected_production[Expected Production (kWh)]))=0,"",SUMIFS(expected_production[Expected Production (kWh)],expected_production[Site Name],A1486,expected_production[Date],B1486)),"")</f>
        <v>10706.48</v>
      </c>
      <c r="E1486" s="9">
        <f t="shared" si="48"/>
        <v>0.75748518654123487</v>
      </c>
      <c r="F1486" t="str">
        <f t="shared" si="49"/>
        <v>Moderate</v>
      </c>
    </row>
    <row r="1487" spans="1:6" ht="15" customHeight="1" x14ac:dyDescent="0.3">
      <c r="A1487" t="s">
        <v>152</v>
      </c>
      <c r="B1487" s="2">
        <v>45566</v>
      </c>
      <c r="C1487" cm="1">
        <f t="array" ref="C1487">IFERROR(IF(SUMPRODUCT((measured[Site Name]=A1487)*(measured[Date]=B1487)*ISNUMBER(measured[Measured Value (kWh)]))=0,"",SUMIFS(measured[Measured Value (kWh)],measured[Site Name],A1487,measured[Date],B1487)),"")</f>
        <v>12770</v>
      </c>
      <c r="D1487" cm="1">
        <f t="array" ref="D1487">IFERROR(IF(SUMPRODUCT((expected_production[Site Name]=A1487)*(expected_production[Date]=B1487)*ISNUMBER(expected_production[Expected Production (kWh)]))=0,"",SUMIFS(expected_production[Expected Production (kWh)],expected_production[Site Name],A1487,expected_production[Date],B1487)),"")</f>
        <v>11410.4</v>
      </c>
      <c r="E1487" s="9">
        <f t="shared" si="48"/>
        <v>1.1191544555843791</v>
      </c>
      <c r="F1487" t="str">
        <f t="shared" si="49"/>
        <v>Expected</v>
      </c>
    </row>
    <row r="1488" spans="1:6" ht="15" customHeight="1" x14ac:dyDescent="0.3">
      <c r="A1488" t="s">
        <v>152</v>
      </c>
      <c r="B1488" s="2">
        <v>45597</v>
      </c>
      <c r="C1488" cm="1">
        <f t="array" ref="C1488">IFERROR(IF(SUMPRODUCT((measured[Site Name]=A1488)*(measured[Date]=B1488)*ISNUMBER(measured[Measured Value (kWh)]))=0,"",SUMIFS(measured[Measured Value (kWh)],measured[Site Name],A1488,measured[Date],B1488)),"")</f>
        <v>10951</v>
      </c>
      <c r="D1488" cm="1">
        <f t="array" ref="D1488">IFERROR(IF(SUMPRODUCT((expected_production[Site Name]=A1488)*(expected_production[Date]=B1488)*ISNUMBER(expected_production[Expected Production (kWh)]))=0,"",SUMIFS(expected_production[Expected Production (kWh)],expected_production[Site Name],A1488,expected_production[Date],B1488)),"")</f>
        <v>11340.4</v>
      </c>
      <c r="E1488" s="9">
        <f t="shared" si="48"/>
        <v>0.96566258685760642</v>
      </c>
      <c r="F1488" t="str">
        <f t="shared" si="49"/>
        <v>Expected</v>
      </c>
    </row>
    <row r="1489" spans="1:6" ht="15" customHeight="1" x14ac:dyDescent="0.3">
      <c r="A1489" t="s">
        <v>152</v>
      </c>
      <c r="B1489" s="2">
        <v>45627</v>
      </c>
      <c r="C1489" cm="1">
        <f t="array" ref="C1489">IFERROR(IF(SUMPRODUCT((measured[Site Name]=A1489)*(measured[Date]=B1489)*ISNUMBER(measured[Measured Value (kWh)]))=0,"",SUMIFS(measured[Measured Value (kWh)],measured[Site Name],A1489,measured[Date],B1489)),"")</f>
        <v>11135</v>
      </c>
      <c r="D1489" cm="1">
        <f t="array" ref="D1489">IFERROR(IF(SUMPRODUCT((expected_production[Site Name]=A1489)*(expected_production[Date]=B1489)*ISNUMBER(expected_production[Expected Production (kWh)]))=0,"",SUMIFS(expected_production[Expected Production (kWh)],expected_production[Site Name],A1489,expected_production[Date],B1489)),"")</f>
        <v>12102.56</v>
      </c>
      <c r="E1489" s="9">
        <f t="shared" si="48"/>
        <v>0.92005327798416203</v>
      </c>
      <c r="F1489" t="str">
        <f t="shared" si="49"/>
        <v>Expected</v>
      </c>
    </row>
    <row r="1490" spans="1:6" ht="15" customHeight="1" x14ac:dyDescent="0.3">
      <c r="A1490" t="s">
        <v>152</v>
      </c>
      <c r="B1490" s="2">
        <v>45658</v>
      </c>
      <c r="C1490" cm="1">
        <f t="array" ref="C1490">IFERROR(IF(SUMPRODUCT((measured[Site Name]=A1490)*(measured[Date]=B1490)*ISNUMBER(measured[Measured Value (kWh)]))=0,"",SUMIFS(measured[Measured Value (kWh)],measured[Site Name],A1490,measured[Date],B1490)),"")</f>
        <v>10294</v>
      </c>
      <c r="D1490" cm="1">
        <f t="array" ref="D1490">IFERROR(IF(SUMPRODUCT((expected_production[Site Name]=A1490)*(expected_production[Date]=B1490)*ISNUMBER(expected_production[Expected Production (kWh)]))=0,"",SUMIFS(expected_production[Expected Production (kWh)],expected_production[Site Name],A1490,expected_production[Date],B1490)),"")</f>
        <v>11540.96</v>
      </c>
      <c r="E1490" s="9">
        <f t="shared" si="48"/>
        <v>0.89195352899585478</v>
      </c>
      <c r="F1490" t="str">
        <f t="shared" si="49"/>
        <v>Moderate</v>
      </c>
    </row>
    <row r="1491" spans="1:6" ht="15" customHeight="1" x14ac:dyDescent="0.3">
      <c r="A1491" t="s">
        <v>152</v>
      </c>
      <c r="B1491" s="2">
        <v>45689</v>
      </c>
      <c r="C1491" cm="1">
        <f t="array" ref="C1491">IFERROR(IF(SUMPRODUCT((measured[Site Name]=A1491)*(measured[Date]=B1491)*ISNUMBER(measured[Measured Value (kWh)]))=0,"",SUMIFS(measured[Measured Value (kWh)],measured[Site Name],A1491,measured[Date],B1491)),"")</f>
        <v>7952</v>
      </c>
      <c r="D1491" cm="1">
        <f t="array" ref="D1491">IFERROR(IF(SUMPRODUCT((expected_production[Site Name]=A1491)*(expected_production[Date]=B1491)*ISNUMBER(expected_production[Expected Production (kWh)]))=0,"",SUMIFS(expected_production[Expected Production (kWh)],expected_production[Site Name],A1491,expected_production[Date],B1491)),"")</f>
        <v>9862.32</v>
      </c>
      <c r="E1491" s="9">
        <f t="shared" si="48"/>
        <v>0.80630115429229632</v>
      </c>
      <c r="F1491" t="str">
        <f t="shared" si="49"/>
        <v>Moderate</v>
      </c>
    </row>
    <row r="1492" spans="1:6" ht="15" customHeight="1" x14ac:dyDescent="0.3">
      <c r="A1492" t="s">
        <v>152</v>
      </c>
      <c r="B1492" s="2">
        <v>45717</v>
      </c>
      <c r="C1492" cm="1">
        <f t="array" ref="C1492">IFERROR(IF(SUMPRODUCT((measured[Site Name]=A1492)*(measured[Date]=B1492)*ISNUMBER(measured[Measured Value (kWh)]))=0,"",SUMIFS(measured[Measured Value (kWh)],measured[Site Name],A1492,measured[Date],B1492)),"")</f>
        <v>9856</v>
      </c>
      <c r="D1492" cm="1">
        <f t="array" ref="D1492">IFERROR(IF(SUMPRODUCT((expected_production[Site Name]=A1492)*(expected_production[Date]=B1492)*ISNUMBER(expected_production[Expected Production (kWh)]))=0,"",SUMIFS(expected_production[Expected Production (kWh)],expected_production[Site Name],A1492,expected_production[Date],B1492)),"")</f>
        <v>10345.44</v>
      </c>
      <c r="E1492" s="9">
        <f t="shared" si="48"/>
        <v>0.95269026740283635</v>
      </c>
      <c r="F1492" t="str">
        <f t="shared" si="49"/>
        <v>Expected</v>
      </c>
    </row>
    <row r="1493" spans="1:6" ht="15" customHeight="1" x14ac:dyDescent="0.3">
      <c r="A1493" t="s">
        <v>152</v>
      </c>
      <c r="B1493" s="2">
        <v>45748</v>
      </c>
      <c r="C1493" cm="1">
        <f t="array" ref="C1493">IFERROR(IF(SUMPRODUCT((measured[Site Name]=A1493)*(measured[Date]=B1493)*ISNUMBER(measured[Measured Value (kWh)]))=0,"",SUMIFS(measured[Measured Value (kWh)],measured[Site Name],A1493,measured[Date],B1493)),"")</f>
        <v>7739</v>
      </c>
      <c r="D1493" cm="1">
        <f t="array" ref="D1493">IFERROR(IF(SUMPRODUCT((expected_production[Site Name]=A1493)*(expected_production[Date]=B1493)*ISNUMBER(expected_production[Expected Production (kWh)]))=0,"",SUMIFS(expected_production[Expected Production (kWh)],expected_production[Site Name],A1493,expected_production[Date],B1493)),"")</f>
        <v>8819.52</v>
      </c>
      <c r="E1493" s="9">
        <f t="shared" si="48"/>
        <v>0.87748539603062292</v>
      </c>
      <c r="F1493" t="str">
        <f t="shared" si="49"/>
        <v>Moderate</v>
      </c>
    </row>
    <row r="1494" spans="1:6" ht="15" customHeight="1" x14ac:dyDescent="0.3">
      <c r="A1494" t="s">
        <v>152</v>
      </c>
      <c r="B1494" s="2">
        <v>45778</v>
      </c>
      <c r="C1494" cm="1">
        <f t="array" ref="C1494">IFERROR(IF(SUMPRODUCT((measured[Site Name]=A1494)*(measured[Date]=B1494)*ISNUMBER(measured[Measured Value (kWh)]))=0,"",SUMIFS(measured[Measured Value (kWh)],measured[Site Name],A1494,measured[Date],B1494)),"")</f>
        <v>9189</v>
      </c>
      <c r="D1494" cm="1">
        <f t="array" ref="D1494">IFERROR(IF(SUMPRODUCT((expected_production[Site Name]=A1494)*(expected_production[Date]=B1494)*ISNUMBER(expected_production[Expected Production (kWh)]))=0,"",SUMIFS(expected_production[Expected Production (kWh)],expected_production[Site Name],A1494,expected_production[Date],B1494)),"")</f>
        <v>8538.08</v>
      </c>
      <c r="E1494" s="9">
        <f t="shared" si="48"/>
        <v>1.0762372805127147</v>
      </c>
      <c r="F1494" t="str">
        <f t="shared" si="49"/>
        <v>Expected</v>
      </c>
    </row>
    <row r="1495" spans="1:6" ht="15" customHeight="1" x14ac:dyDescent="0.3">
      <c r="A1495" t="s">
        <v>152</v>
      </c>
      <c r="B1495" s="2">
        <v>45809</v>
      </c>
      <c r="C1495" cm="1">
        <f t="array" ref="C1495">IFERROR(IF(SUMPRODUCT((measured[Site Name]=A1495)*(measured[Date]=B1495)*ISNUMBER(measured[Measured Value (kWh)]))=0,"",SUMIFS(measured[Measured Value (kWh)],measured[Site Name],A1495,measured[Date],B1495)),"")</f>
        <v>7656.32</v>
      </c>
      <c r="D1495" cm="1">
        <f t="array" ref="D1495">IFERROR(IF(SUMPRODUCT((expected_production[Site Name]=A1495)*(expected_production[Date]=B1495)*ISNUMBER(expected_production[Expected Production (kWh)]))=0,"",SUMIFS(expected_production[Expected Production (kWh)],expected_production[Site Name],A1495,expected_production[Date],B1495)),"")</f>
        <v>7700</v>
      </c>
      <c r="E1495" s="9">
        <f t="shared" si="48"/>
        <v>0.99432727272727273</v>
      </c>
      <c r="F1495" t="str">
        <f t="shared" si="49"/>
        <v>Expected</v>
      </c>
    </row>
    <row r="1496" spans="1:6" ht="15" customHeight="1" x14ac:dyDescent="0.3">
      <c r="A1496" t="s">
        <v>152</v>
      </c>
      <c r="B1496" s="2">
        <v>45839</v>
      </c>
      <c r="C1496" cm="1">
        <f t="array" ref="C1496">IFERROR(IF(SUMPRODUCT((measured[Site Name]=A1496)*(measured[Date]=B1496)*ISNUMBER(measured[Measured Value (kWh)]))=0,"",SUMIFS(measured[Measured Value (kWh)],measured[Site Name],A1496,measured[Date],B1496)),"")</f>
        <v>8158</v>
      </c>
      <c r="D1496" cm="1">
        <f t="array" ref="D1496">IFERROR(IF(SUMPRODUCT((expected_production[Site Name]=A1496)*(expected_production[Date]=B1496)*ISNUMBER(expected_production[Expected Production (kWh)]))=0,"",SUMIFS(expected_production[Expected Production (kWh)],expected_production[Site Name],A1496,expected_production[Date],B1496)),"")</f>
        <v>8487.2000000000007</v>
      </c>
      <c r="E1496" s="9">
        <f t="shared" si="48"/>
        <v>0.96121217833914596</v>
      </c>
      <c r="F1496" t="str">
        <f t="shared" si="49"/>
        <v>Expected</v>
      </c>
    </row>
    <row r="1497" spans="1:6" ht="15" customHeight="1" x14ac:dyDescent="0.3">
      <c r="A1497" t="s">
        <v>152</v>
      </c>
      <c r="B1497" s="2">
        <v>45870</v>
      </c>
      <c r="C1497" cm="1">
        <f t="array" ref="C1497">IFERROR(IF(SUMPRODUCT((measured[Site Name]=A1497)*(measured[Date]=B1497)*ISNUMBER(measured[Measured Value (kWh)]))=0,"",SUMIFS(measured[Measured Value (kWh)],measured[Site Name],A1497,measured[Date],B1497)),"")</f>
        <v>5429</v>
      </c>
      <c r="D1497" cm="1">
        <f t="array" ref="D1497">IFERROR(IF(SUMPRODUCT((expected_production[Site Name]=A1497)*(expected_production[Date]=B1497)*ISNUMBER(expected_production[Expected Production (kWh)]))=0,"",SUMIFS(expected_production[Expected Production (kWh)],expected_production[Site Name],A1497,expected_production[Date],B1497)),"")</f>
        <v>9810.48</v>
      </c>
      <c r="E1497" s="9">
        <f t="shared" si="48"/>
        <v>0.55338780569350332</v>
      </c>
      <c r="F1497" t="str">
        <f t="shared" si="49"/>
        <v>Poor</v>
      </c>
    </row>
    <row r="1498" spans="1:6" ht="15" customHeight="1" x14ac:dyDescent="0.3">
      <c r="A1498" t="s">
        <v>152</v>
      </c>
      <c r="B1498" s="2">
        <v>45901</v>
      </c>
      <c r="C1498" cm="1">
        <f t="array" ref="C1498">IFERROR(IF(SUMPRODUCT((measured[Site Name]=A1498)*(measured[Date]=B1498)*ISNUMBER(measured[Measured Value (kWh)]))=0,"",SUMIFS(measured[Measured Value (kWh)],measured[Site Name],A1498,measured[Date],B1498)),"")</f>
        <v>7249</v>
      </c>
      <c r="D1498" cm="1">
        <f t="array" ref="D1498">IFERROR(IF(SUMPRODUCT((expected_production[Site Name]=A1498)*(expected_production[Date]=B1498)*ISNUMBER(expected_production[Expected Production (kWh)]))=0,"",SUMIFS(expected_production[Expected Production (kWh)],expected_production[Site Name],A1498,expected_production[Date],B1498)),"")</f>
        <v>10706.48</v>
      </c>
      <c r="E1498" s="9">
        <f t="shared" si="48"/>
        <v>0.67706659891953291</v>
      </c>
      <c r="F1498" t="str">
        <f t="shared" si="49"/>
        <v>Poor</v>
      </c>
    </row>
    <row r="1499" spans="1:6" ht="15" customHeight="1" x14ac:dyDescent="0.3">
      <c r="A1499" t="s">
        <v>152</v>
      </c>
      <c r="B1499" s="2">
        <v>45931</v>
      </c>
      <c r="C1499" cm="1">
        <f t="array" ref="C1499">IFERROR(IF(SUMPRODUCT((measured[Site Name]=A1499)*(measured[Date]=B1499)*ISNUMBER(measured[Measured Value (kWh)]))=0,"",SUMIFS(measured[Measured Value (kWh)],measured[Site Name],A1499,measured[Date],B1499)),"")</f>
        <v>8107</v>
      </c>
      <c r="D1499" cm="1">
        <f t="array" ref="D1499">IFERROR(IF(SUMPRODUCT((expected_production[Site Name]=A1499)*(expected_production[Date]=B1499)*ISNUMBER(expected_production[Expected Production (kWh)]))=0,"",SUMIFS(expected_production[Expected Production (kWh)],expected_production[Site Name],A1499,expected_production[Date],B1499)),"")</f>
        <v>11410.4</v>
      </c>
      <c r="E1499" s="9">
        <f t="shared" si="48"/>
        <v>0.71049218257028679</v>
      </c>
      <c r="F1499" t="str">
        <f t="shared" si="49"/>
        <v>Moderate</v>
      </c>
    </row>
    <row r="1500" spans="1:6" ht="15" customHeight="1" x14ac:dyDescent="0.3">
      <c r="A1500" t="s">
        <v>152</v>
      </c>
      <c r="B1500" s="2">
        <v>45962</v>
      </c>
      <c r="C1500" cm="1">
        <f t="array" ref="C1500">IFERROR(IF(SUMPRODUCT((measured[Site Name]=A1500)*(measured[Date]=B1500)*ISNUMBER(measured[Measured Value (kWh)]))=0,"",SUMIFS(measured[Measured Value (kWh)],measured[Site Name],A1500,measured[Date],B1500)),"")</f>
        <v>2305</v>
      </c>
      <c r="D1500" cm="1">
        <f t="array" ref="D1500">IFERROR(IF(SUMPRODUCT((expected_production[Site Name]=A1500)*(expected_production[Date]=B1500)*ISNUMBER(expected_production[Expected Production (kWh)]))=0,"",SUMIFS(expected_production[Expected Production (kWh)],expected_production[Site Name],A1500,expected_production[Date],B1500)),"")</f>
        <v>11340.4</v>
      </c>
      <c r="E1500" s="9">
        <f t="shared" si="48"/>
        <v>0.20325561708581708</v>
      </c>
      <c r="F1500" t="str">
        <f t="shared" si="49"/>
        <v>Poor</v>
      </c>
    </row>
    <row r="1501" spans="1:6" ht="15" customHeight="1" x14ac:dyDescent="0.3">
      <c r="A1501" t="s">
        <v>152</v>
      </c>
      <c r="B1501" s="2">
        <v>45992</v>
      </c>
      <c r="C1501" cm="1">
        <f t="array" ref="C1501">IFERROR(IF(SUMPRODUCT((measured[Site Name]=A1501)*(measured[Date]=B1501)*ISNUMBER(measured[Measured Value (kWh)]))=0,"",SUMIFS(measured[Measured Value (kWh)],measured[Site Name],A1501,measured[Date],B1501)),"")</f>
        <v>7641</v>
      </c>
      <c r="D1501" cm="1">
        <f t="array" ref="D1501">IFERROR(IF(SUMPRODUCT((expected_production[Site Name]=A1501)*(expected_production[Date]=B1501)*ISNUMBER(expected_production[Expected Production (kWh)]))=0,"",SUMIFS(expected_production[Expected Production (kWh)],expected_production[Site Name],A1501,expected_production[Date],B1501)),"")</f>
        <v>12102.56</v>
      </c>
      <c r="E1501" s="9">
        <f t="shared" si="48"/>
        <v>0.63135402757763648</v>
      </c>
      <c r="F1501" t="str">
        <f t="shared" si="49"/>
        <v>Poor</v>
      </c>
    </row>
    <row r="1502" spans="1:6" ht="15" customHeight="1" x14ac:dyDescent="0.3">
      <c r="A1502" t="s">
        <v>152</v>
      </c>
      <c r="B1502" s="2">
        <v>46023</v>
      </c>
      <c r="C1502" cm="1">
        <f t="array" ref="C1502">IFERROR(IF(SUMPRODUCT((measured[Site Name]=A1502)*(measured[Date]=B1502)*ISNUMBER(measured[Measured Value (kWh)]))=0,"",SUMIFS(measured[Measured Value (kWh)],measured[Site Name],A1502,measured[Date],B1502)),"")</f>
        <v>9717</v>
      </c>
      <c r="D1502" cm="1">
        <f t="array" ref="D1502">IFERROR(IF(SUMPRODUCT((expected_production[Site Name]=A1502)*(expected_production[Date]=B1502)*ISNUMBER(expected_production[Expected Production (kWh)]))=0,"",SUMIFS(expected_production[Expected Production (kWh)],expected_production[Site Name],A1502,expected_production[Date],B1502)),"")</f>
        <v>11540.96</v>
      </c>
      <c r="E1502" s="9">
        <f t="shared" si="48"/>
        <v>0.84195768809527116</v>
      </c>
      <c r="F1502" t="str">
        <f t="shared" si="49"/>
        <v>Moderate</v>
      </c>
    </row>
    <row r="1503" spans="1:6" ht="15" customHeight="1" x14ac:dyDescent="0.3">
      <c r="A1503" t="s">
        <v>152</v>
      </c>
      <c r="B1503" s="2">
        <v>46054</v>
      </c>
      <c r="C1503" cm="1">
        <f t="array" ref="C1503">IFERROR(IF(SUMPRODUCT((measured[Site Name]=A1503)*(measured[Date]=B1503)*ISNUMBER(measured[Measured Value (kWh)]))=0,"",SUMIFS(measured[Measured Value (kWh)],measured[Site Name],A1503,measured[Date],B1503)),"")</f>
        <v>8045</v>
      </c>
      <c r="D1503" cm="1">
        <f t="array" ref="D1503">IFERROR(IF(SUMPRODUCT((expected_production[Site Name]=A1503)*(expected_production[Date]=B1503)*ISNUMBER(expected_production[Expected Production (kWh)]))=0,"",SUMIFS(expected_production[Expected Production (kWh)],expected_production[Site Name],A1503,expected_production[Date],B1503)),"")</f>
        <v>9862.32</v>
      </c>
      <c r="E1503" s="9">
        <f t="shared" si="48"/>
        <v>0.81573098419033252</v>
      </c>
      <c r="F1503" t="str">
        <f t="shared" si="49"/>
        <v>Moderate</v>
      </c>
    </row>
    <row r="1504" spans="1:6" ht="15" customHeight="1" x14ac:dyDescent="0.3">
      <c r="A1504" t="s">
        <v>152</v>
      </c>
      <c r="B1504" s="2">
        <v>46082</v>
      </c>
      <c r="C1504" cm="1">
        <f t="array" ref="C1504">IFERROR(IF(SUMPRODUCT((measured[Site Name]=A1504)*(measured[Date]=B1504)*ISNUMBER(measured[Measured Value (kWh)]))=0,"",SUMIFS(measured[Measured Value (kWh)],measured[Site Name],A1504,measured[Date],B1504)),"")</f>
        <v>7035</v>
      </c>
      <c r="D1504" cm="1">
        <f t="array" ref="D1504">IFERROR(IF(SUMPRODUCT((expected_production[Site Name]=A1504)*(expected_production[Date]=B1504)*ISNUMBER(expected_production[Expected Production (kWh)]))=0,"",SUMIFS(expected_production[Expected Production (kWh)],expected_production[Site Name],A1504,expected_production[Date],B1504)),"")</f>
        <v>10345.44</v>
      </c>
      <c r="E1504" s="9">
        <f t="shared" si="48"/>
        <v>0.68000974342318932</v>
      </c>
      <c r="F1504" t="str">
        <f t="shared" si="49"/>
        <v>Poor</v>
      </c>
    </row>
    <row r="1505" spans="1:7" ht="15" customHeight="1" x14ac:dyDescent="0.3">
      <c r="A1505" t="s">
        <v>152</v>
      </c>
      <c r="B1505" s="2">
        <v>46113</v>
      </c>
      <c r="C1505" cm="1">
        <f t="array" ref="C1505">IFERROR(IF(SUMPRODUCT((measured[Site Name]=A1505)*(measured[Date]=B1505)*ISNUMBER(measured[Measured Value (kWh)]))=0,"",SUMIFS(measured[Measured Value (kWh)],measured[Site Name],A1505,measured[Date],B1505)),"")</f>
        <v>3742.54</v>
      </c>
      <c r="D1505" cm="1">
        <f t="array" ref="D1505">IFERROR(IF(SUMPRODUCT((expected_production[Site Name]=A1505)*(expected_production[Date]=B1505)*ISNUMBER(expected_production[Expected Production (kWh)]))=0,"",SUMIFS(expected_production[Expected Production (kWh)],expected_production[Site Name],A1505,expected_production[Date],B1505)),"")</f>
        <v>8819.52</v>
      </c>
      <c r="E1505" s="9">
        <f t="shared" si="48"/>
        <v>0.42434735677225061</v>
      </c>
      <c r="F1505" t="str">
        <f t="shared" si="49"/>
        <v>Poor</v>
      </c>
    </row>
    <row r="1506" spans="1:7" ht="15" customHeight="1" x14ac:dyDescent="0.3">
      <c r="A1506" t="s">
        <v>152</v>
      </c>
      <c r="B1506" s="2">
        <v>46143</v>
      </c>
      <c r="C1506" cm="1">
        <f t="array" ref="C1506">IFERROR(IF(SUMPRODUCT((measured[Site Name]=A1506)*(measured[Date]=B1506)*ISNUMBER(measured[Measured Value (kWh)]))=0,"",SUMIFS(measured[Measured Value (kWh)],measured[Site Name],A1506,measured[Date],B1506)),"")</f>
        <v>6041.14</v>
      </c>
      <c r="D1506" cm="1">
        <f t="array" ref="D1506">IFERROR(IF(SUMPRODUCT((expected_production[Site Name]=A1506)*(expected_production[Date]=B1506)*ISNUMBER(expected_production[Expected Production (kWh)]))=0,"",SUMIFS(expected_production[Expected Production (kWh)],expected_production[Site Name],A1506,expected_production[Date],B1506)),"")</f>
        <v>8538.08</v>
      </c>
      <c r="E1506" s="9">
        <f t="shared" si="48"/>
        <v>0.70755251766205052</v>
      </c>
      <c r="F1506" t="str">
        <f t="shared" si="49"/>
        <v>Moderate</v>
      </c>
    </row>
    <row r="1507" spans="1:7" ht="15" customHeight="1" x14ac:dyDescent="0.3">
      <c r="A1507" t="s">
        <v>152</v>
      </c>
      <c r="B1507" s="2">
        <v>46174</v>
      </c>
      <c r="C1507" cm="1">
        <f t="array" ref="C1507">IFERROR(IF(SUMPRODUCT((measured[Site Name]=A1507)*(measured[Date]=B1507)*ISNUMBER(measured[Measured Value (kWh)]))=0,"",SUMIFS(measured[Measured Value (kWh)],measured[Site Name],A1507,measured[Date],B1507)),"")</f>
        <v>3334</v>
      </c>
      <c r="D1507" cm="1">
        <f t="array" ref="D1507">IFERROR(IF(SUMPRODUCT((expected_production[Site Name]=A1507)*(expected_production[Date]=B1507)*ISNUMBER(expected_production[Expected Production (kWh)]))=0,"",SUMIFS(expected_production[Expected Production (kWh)],expected_production[Site Name],A1507,expected_production[Date],B1507)),"")</f>
        <v>7700</v>
      </c>
      <c r="E1507" s="9">
        <f t="shared" si="48"/>
        <v>0.43298701298701298</v>
      </c>
      <c r="F1507" t="str">
        <f t="shared" si="49"/>
        <v>Poor</v>
      </c>
    </row>
    <row r="1508" spans="1:7" ht="15" customHeight="1" x14ac:dyDescent="0.3">
      <c r="A1508" t="s">
        <v>222</v>
      </c>
      <c r="B1508" s="2">
        <v>46204</v>
      </c>
      <c r="C1508" cm="1">
        <f t="array" ref="C1508">IFERROR(IF(SUMPRODUCT((measured[Site Name]=A1508)*(measured[Date]=B1508)*ISNUMBER(measured[Measured Value (kWh)]))=0,"",SUMIFS(measured[Measured Value (kWh)],measured[Site Name],A1508,measured[Date],B1508)),"")</f>
        <v>7966.5733399999999</v>
      </c>
      <c r="D1508" cm="1">
        <f t="array" ref="D1508">IFERROR(IF(SUMPRODUCT((expected_production[Site Name]=A1508)*(expected_production[Date]=B1508)*ISNUMBER(expected_production[Expected Production (kWh)]))=0,"",SUMIFS(expected_production[Expected Production (kWh)],expected_production[Site Name],A1508,expected_production[Date],B1508)),"")</f>
        <v>8307</v>
      </c>
      <c r="E1508" s="9">
        <f t="shared" si="48"/>
        <v>0.95901930179366801</v>
      </c>
      <c r="F1508" t="str">
        <f t="shared" si="49"/>
        <v>Expected</v>
      </c>
      <c r="G1508" t="s">
        <v>875</v>
      </c>
    </row>
    <row r="1509" spans="1:7" ht="15" customHeight="1" x14ac:dyDescent="0.3">
      <c r="A1509" t="s">
        <v>152</v>
      </c>
      <c r="B1509" s="2">
        <v>46235</v>
      </c>
      <c r="C1509" t="str" cm="1">
        <f t="array" ref="C1509">IFERROR(IF(SUMPRODUCT((measured[Site Name]=A1509)*(measured[Date]=B1509)*ISNUMBER(measured[Measured Value (kWh)]))=0,"",SUMIFS(measured[Measured Value (kWh)],measured[Site Name],A1509,measured[Date],B1509)),"")</f>
        <v/>
      </c>
      <c r="D1509" cm="1">
        <f t="array" ref="D1509">IFERROR(IF(SUMPRODUCT((expected_production[Site Name]=A1509)*(expected_production[Date]=B1509)*ISNUMBER(expected_production[Expected Production (kWh)]))=0,"",SUMIFS(expected_production[Expected Production (kWh)],expected_production[Site Name],A1509,expected_production[Date],B1509)),"")</f>
        <v>9810.48</v>
      </c>
      <c r="E1509" s="9" t="str">
        <f t="shared" si="48"/>
        <v/>
      </c>
      <c r="F1509" t="str">
        <f t="shared" si="49"/>
        <v/>
      </c>
    </row>
    <row r="1510" spans="1:7" ht="15" customHeight="1" x14ac:dyDescent="0.3">
      <c r="A1510" t="s">
        <v>152</v>
      </c>
      <c r="B1510" s="2">
        <v>46266</v>
      </c>
      <c r="C1510" t="str" cm="1">
        <f t="array" ref="C1510">IFERROR(IF(SUMPRODUCT((measured[Site Name]=A1510)*(measured[Date]=B1510)*ISNUMBER(measured[Measured Value (kWh)]))=0,"",SUMIFS(measured[Measured Value (kWh)],measured[Site Name],A1510,measured[Date],B1510)),"")</f>
        <v/>
      </c>
      <c r="D1510" cm="1">
        <f t="array" ref="D1510">IFERROR(IF(SUMPRODUCT((expected_production[Site Name]=A1510)*(expected_production[Date]=B1510)*ISNUMBER(expected_production[Expected Production (kWh)]))=0,"",SUMIFS(expected_production[Expected Production (kWh)],expected_production[Site Name],A1510,expected_production[Date],B1510)),"")</f>
        <v>10706.48</v>
      </c>
      <c r="E1510" s="9" t="str">
        <f t="shared" si="48"/>
        <v/>
      </c>
      <c r="F1510" t="str">
        <f t="shared" si="49"/>
        <v/>
      </c>
    </row>
    <row r="1511" spans="1:7" ht="15" customHeight="1" x14ac:dyDescent="0.3">
      <c r="A1511" t="s">
        <v>152</v>
      </c>
      <c r="B1511" s="2">
        <v>46296</v>
      </c>
      <c r="C1511" t="str" cm="1">
        <f t="array" ref="C1511">IFERROR(IF(SUMPRODUCT((measured[Site Name]=A1511)*(measured[Date]=B1511)*ISNUMBER(measured[Measured Value (kWh)]))=0,"",SUMIFS(measured[Measured Value (kWh)],measured[Site Name],A1511,measured[Date],B1511)),"")</f>
        <v/>
      </c>
      <c r="D1511" cm="1">
        <f t="array" ref="D1511">IFERROR(IF(SUMPRODUCT((expected_production[Site Name]=A1511)*(expected_production[Date]=B1511)*ISNUMBER(expected_production[Expected Production (kWh)]))=0,"",SUMIFS(expected_production[Expected Production (kWh)],expected_production[Site Name],A1511,expected_production[Date],B1511)),"")</f>
        <v>11410.4</v>
      </c>
      <c r="E1511" s="9" t="str">
        <f t="shared" si="48"/>
        <v/>
      </c>
      <c r="F1511" t="str">
        <f t="shared" si="49"/>
        <v/>
      </c>
    </row>
    <row r="1512" spans="1:7" ht="15" customHeight="1" x14ac:dyDescent="0.3">
      <c r="A1512" t="s">
        <v>152</v>
      </c>
      <c r="B1512" s="2">
        <v>46327</v>
      </c>
      <c r="C1512" t="str" cm="1">
        <f t="array" ref="C1512">IFERROR(IF(SUMPRODUCT((measured[Site Name]=A1512)*(measured[Date]=B1512)*ISNUMBER(measured[Measured Value (kWh)]))=0,"",SUMIFS(measured[Measured Value (kWh)],measured[Site Name],A1512,measured[Date],B1512)),"")</f>
        <v/>
      </c>
      <c r="D1512" cm="1">
        <f t="array" ref="D1512">IFERROR(IF(SUMPRODUCT((expected_production[Site Name]=A1512)*(expected_production[Date]=B1512)*ISNUMBER(expected_production[Expected Production (kWh)]))=0,"",SUMIFS(expected_production[Expected Production (kWh)],expected_production[Site Name],A1512,expected_production[Date],B1512)),"")</f>
        <v>11340.4</v>
      </c>
      <c r="E1512" s="9" t="str">
        <f t="shared" si="48"/>
        <v/>
      </c>
      <c r="F1512" t="str">
        <f t="shared" si="49"/>
        <v/>
      </c>
    </row>
    <row r="1513" spans="1:7" ht="15" customHeight="1" x14ac:dyDescent="0.3">
      <c r="A1513" t="s">
        <v>152</v>
      </c>
      <c r="B1513" s="2">
        <v>46357</v>
      </c>
      <c r="C1513" t="str" cm="1">
        <f t="array" ref="C1513">IFERROR(IF(SUMPRODUCT((measured[Site Name]=A1513)*(measured[Date]=B1513)*ISNUMBER(measured[Measured Value (kWh)]))=0,"",SUMIFS(measured[Measured Value (kWh)],measured[Site Name],A1513,measured[Date],B1513)),"")</f>
        <v/>
      </c>
      <c r="D1513" cm="1">
        <f t="array" ref="D1513">IFERROR(IF(SUMPRODUCT((expected_production[Site Name]=A1513)*(expected_production[Date]=B1513)*ISNUMBER(expected_production[Expected Production (kWh)]))=0,"",SUMIFS(expected_production[Expected Production (kWh)],expected_production[Site Name],A1513,expected_production[Date],B1513)),"")</f>
        <v>12102.56</v>
      </c>
      <c r="E1513" s="9" t="str">
        <f t="shared" si="48"/>
        <v/>
      </c>
      <c r="F1513" t="str">
        <f t="shared" si="49"/>
        <v/>
      </c>
    </row>
    <row r="1514" spans="1:7" ht="15" customHeight="1" x14ac:dyDescent="0.3">
      <c r="A1514" t="s">
        <v>149</v>
      </c>
      <c r="B1514" s="2">
        <v>45292</v>
      </c>
      <c r="C1514" cm="1">
        <f t="array" ref="C1514">IFERROR(IF(SUMPRODUCT((measured[Site Name]=A1514)*(measured[Date]=B1514)*ISNUMBER(measured[Measured Value (kWh)]))=0,"",SUMIFS(measured[Measured Value (kWh)],measured[Site Name],A1514,measured[Date],B1514)),"")</f>
        <v>4452</v>
      </c>
      <c r="D1514" cm="1">
        <f t="array" ref="D1514">IFERROR(IF(SUMPRODUCT((expected_production[Site Name]=A1514)*(expected_production[Date]=B1514)*ISNUMBER(expected_production[Expected Production (kWh)]))=0,"",SUMIFS(expected_production[Expected Production (kWh)],expected_production[Site Name],A1514,expected_production[Date],B1514)),"")</f>
        <v>8591.0249999999996</v>
      </c>
      <c r="E1514" s="9">
        <f t="shared" si="48"/>
        <v>0.51821523042943074</v>
      </c>
      <c r="F1514" t="str">
        <f t="shared" si="49"/>
        <v>Poor</v>
      </c>
    </row>
    <row r="1515" spans="1:7" ht="15" customHeight="1" x14ac:dyDescent="0.3">
      <c r="A1515" t="s">
        <v>149</v>
      </c>
      <c r="B1515" s="2">
        <v>45323</v>
      </c>
      <c r="C1515" cm="1">
        <f t="array" ref="C1515">IFERROR(IF(SUMPRODUCT((measured[Site Name]=A1515)*(measured[Date]=B1515)*ISNUMBER(measured[Measured Value (kWh)]))=0,"",SUMIFS(measured[Measured Value (kWh)],measured[Site Name],A1515,measured[Date],B1515)),"")</f>
        <v>6906</v>
      </c>
      <c r="D1515" cm="1">
        <f t="array" ref="D1515">IFERROR(IF(SUMPRODUCT((expected_production[Site Name]=A1515)*(expected_production[Date]=B1515)*ISNUMBER(expected_production[Expected Production (kWh)]))=0,"",SUMIFS(expected_production[Expected Production (kWh)],expected_production[Site Name],A1515,expected_production[Date],B1515)),"")</f>
        <v>7466.4750000000004</v>
      </c>
      <c r="E1515" s="9">
        <f t="shared" si="48"/>
        <v>0.92493445702289223</v>
      </c>
      <c r="F1515" t="str">
        <f t="shared" si="49"/>
        <v>Expected</v>
      </c>
    </row>
    <row r="1516" spans="1:7" ht="15" customHeight="1" x14ac:dyDescent="0.3">
      <c r="A1516" t="s">
        <v>149</v>
      </c>
      <c r="B1516" s="2">
        <v>45352</v>
      </c>
      <c r="C1516" cm="1">
        <f t="array" ref="C1516">IFERROR(IF(SUMPRODUCT((measured[Site Name]=A1516)*(measured[Date]=B1516)*ISNUMBER(measured[Measured Value (kWh)]))=0,"",SUMIFS(measured[Measured Value (kWh)],measured[Site Name],A1516,measured[Date],B1516)),"")</f>
        <v>6752</v>
      </c>
      <c r="D1516" cm="1">
        <f t="array" ref="D1516">IFERROR(IF(SUMPRODUCT((expected_production[Site Name]=A1516)*(expected_production[Date]=B1516)*ISNUMBER(expected_production[Expected Production (kWh)]))=0,"",SUMIFS(expected_production[Expected Production (kWh)],expected_production[Site Name],A1516,expected_production[Date],B1516)),"")</f>
        <v>7931.85</v>
      </c>
      <c r="E1516" s="9">
        <f t="shared" si="48"/>
        <v>0.85125159956378393</v>
      </c>
      <c r="F1516" t="str">
        <f t="shared" si="49"/>
        <v>Moderate</v>
      </c>
    </row>
    <row r="1517" spans="1:7" ht="15" customHeight="1" x14ac:dyDescent="0.3">
      <c r="A1517" t="s">
        <v>149</v>
      </c>
      <c r="B1517" s="2">
        <v>45383</v>
      </c>
      <c r="C1517" cm="1">
        <f t="array" ref="C1517">IFERROR(IF(SUMPRODUCT((measured[Site Name]=A1517)*(measured[Date]=B1517)*ISNUMBER(measured[Measured Value (kWh)]))=0,"",SUMIFS(measured[Measured Value (kWh)],measured[Site Name],A1517,measured[Date],B1517)),"")</f>
        <v>6350</v>
      </c>
      <c r="D1517" cm="1">
        <f t="array" ref="D1517">IFERROR(IF(SUMPRODUCT((expected_production[Site Name]=A1517)*(expected_production[Date]=B1517)*ISNUMBER(expected_production[Expected Production (kWh)]))=0,"",SUMIFS(expected_production[Expected Production (kWh)],expected_production[Site Name],A1517,expected_production[Date],B1517)),"")</f>
        <v>6987.15</v>
      </c>
      <c r="E1517" s="9">
        <f t="shared" si="48"/>
        <v>0.90881117479945328</v>
      </c>
      <c r="F1517" t="str">
        <f t="shared" si="49"/>
        <v>Expected</v>
      </c>
    </row>
    <row r="1518" spans="1:7" ht="15" customHeight="1" x14ac:dyDescent="0.3">
      <c r="A1518" t="s">
        <v>149</v>
      </c>
      <c r="B1518" s="2">
        <v>45413</v>
      </c>
      <c r="C1518" cm="1">
        <f t="array" ref="C1518">IFERROR(IF(SUMPRODUCT((measured[Site Name]=A1518)*(measured[Date]=B1518)*ISNUMBER(measured[Measured Value (kWh)]))=0,"",SUMIFS(measured[Measured Value (kWh)],measured[Site Name],A1518,measured[Date],B1518)),"")</f>
        <v>7236</v>
      </c>
      <c r="D1518" cm="1">
        <f t="array" ref="D1518">IFERROR(IF(SUMPRODUCT((expected_production[Site Name]=A1518)*(expected_production[Date]=B1518)*ISNUMBER(expected_production[Expected Production (kWh)]))=0,"",SUMIFS(expected_production[Expected Production (kWh)],expected_production[Site Name],A1518,expected_production[Date],B1518)),"")</f>
        <v>6858.5249999999996</v>
      </c>
      <c r="E1518" s="9">
        <f t="shared" si="48"/>
        <v>1.0550373440353429</v>
      </c>
      <c r="F1518" t="str">
        <f t="shared" si="49"/>
        <v>Expected</v>
      </c>
    </row>
    <row r="1519" spans="1:7" ht="15" customHeight="1" x14ac:dyDescent="0.3">
      <c r="A1519" t="s">
        <v>149</v>
      </c>
      <c r="B1519" s="2">
        <v>45444</v>
      </c>
      <c r="C1519" cm="1">
        <f t="array" ref="C1519">IFERROR(IF(SUMPRODUCT((measured[Site Name]=A1519)*(measured[Date]=B1519)*ISNUMBER(measured[Measured Value (kWh)]))=0,"",SUMIFS(measured[Measured Value (kWh)],measured[Site Name],A1519,measured[Date],B1519)),"")</f>
        <v>6002</v>
      </c>
      <c r="D1519" cm="1">
        <f t="array" ref="D1519">IFERROR(IF(SUMPRODUCT((expected_production[Site Name]=A1519)*(expected_production[Date]=B1519)*ISNUMBER(expected_production[Expected Production (kWh)]))=0,"",SUMIFS(expected_production[Expected Production (kWh)],expected_production[Site Name],A1519,expected_production[Date],B1519)),"")</f>
        <v>6375.45</v>
      </c>
      <c r="E1519" s="9">
        <f t="shared" si="48"/>
        <v>0.94142374263777462</v>
      </c>
      <c r="F1519" t="str">
        <f t="shared" si="49"/>
        <v>Expected</v>
      </c>
    </row>
    <row r="1520" spans="1:7" ht="15" customHeight="1" x14ac:dyDescent="0.3">
      <c r="A1520" t="s">
        <v>149</v>
      </c>
      <c r="B1520" s="2">
        <v>45474</v>
      </c>
      <c r="C1520" cm="1">
        <f t="array" ref="C1520">IFERROR(IF(SUMPRODUCT((measured[Site Name]=A1520)*(measured[Date]=B1520)*ISNUMBER(measured[Measured Value (kWh)]))=0,"",SUMIFS(measured[Measured Value (kWh)],measured[Site Name],A1520,measured[Date],B1520)),"")</f>
        <v>7142</v>
      </c>
      <c r="D1520" cm="1">
        <f t="array" ref="D1520">IFERROR(IF(SUMPRODUCT((expected_production[Site Name]=A1520)*(expected_production[Date]=B1520)*ISNUMBER(expected_production[Expected Production (kWh)]))=0,"",SUMIFS(expected_production[Expected Production (kWh)],expected_production[Site Name],A1520,expected_production[Date],B1520)),"")</f>
        <v>6946.7250000000004</v>
      </c>
      <c r="E1520" s="9">
        <f t="shared" si="48"/>
        <v>1.0281103685549664</v>
      </c>
      <c r="F1520" t="str">
        <f t="shared" si="49"/>
        <v>Expected</v>
      </c>
    </row>
    <row r="1521" spans="1:6" ht="15" customHeight="1" x14ac:dyDescent="0.3">
      <c r="A1521" t="s">
        <v>149</v>
      </c>
      <c r="B1521" s="2">
        <v>45505</v>
      </c>
      <c r="C1521" cm="1">
        <f t="array" ref="C1521">IFERROR(IF(SUMPRODUCT((measured[Site Name]=A1521)*(measured[Date]=B1521)*ISNUMBER(measured[Measured Value (kWh)]))=0,"",SUMIFS(measured[Measured Value (kWh)],measured[Site Name],A1521,measured[Date],B1521)),"")</f>
        <v>6654</v>
      </c>
      <c r="D1521" cm="1">
        <f t="array" ref="D1521">IFERROR(IF(SUMPRODUCT((expected_production[Site Name]=A1521)*(expected_production[Date]=B1521)*ISNUMBER(expected_production[Expected Production (kWh)]))=0,"",SUMIFS(expected_production[Expected Production (kWh)],expected_production[Site Name],A1521,expected_production[Date],B1521)),"")</f>
        <v>7852.65</v>
      </c>
      <c r="E1521" s="9">
        <f t="shared" si="48"/>
        <v>0.8473572615613838</v>
      </c>
      <c r="F1521" t="str">
        <f t="shared" si="49"/>
        <v>Moderate</v>
      </c>
    </row>
    <row r="1522" spans="1:6" ht="15" customHeight="1" x14ac:dyDescent="0.3">
      <c r="A1522" t="s">
        <v>149</v>
      </c>
      <c r="B1522" s="2">
        <v>45536</v>
      </c>
      <c r="C1522" cm="1">
        <f t="array" ref="C1522">IFERROR(IF(SUMPRODUCT((measured[Site Name]=A1522)*(measured[Date]=B1522)*ISNUMBER(measured[Measured Value (kWh)]))=0,"",SUMIFS(measured[Measured Value (kWh)],measured[Site Name],A1522,measured[Date],B1522)),"")</f>
        <v>6375</v>
      </c>
      <c r="D1522" cm="1">
        <f t="array" ref="D1522">IFERROR(IF(SUMPRODUCT((expected_production[Site Name]=A1522)*(expected_production[Date]=B1522)*ISNUMBER(expected_production[Expected Production (kWh)]))=0,"",SUMIFS(expected_production[Expected Production (kWh)],expected_production[Site Name],A1522,expected_production[Date],B1522)),"")</f>
        <v>8347.0499999999993</v>
      </c>
      <c r="E1522" s="9">
        <f t="shared" si="48"/>
        <v>0.76374287922080264</v>
      </c>
      <c r="F1522" t="str">
        <f t="shared" si="49"/>
        <v>Moderate</v>
      </c>
    </row>
    <row r="1523" spans="1:6" ht="15" customHeight="1" x14ac:dyDescent="0.3">
      <c r="A1523" t="s">
        <v>149</v>
      </c>
      <c r="B1523" s="2">
        <v>45566</v>
      </c>
      <c r="C1523" cm="1">
        <f t="array" ref="C1523">IFERROR(IF(SUMPRODUCT((measured[Site Name]=A1523)*(measured[Date]=B1523)*ISNUMBER(measured[Measured Value (kWh)]))=0,"",SUMIFS(measured[Measured Value (kWh)],measured[Site Name],A1523,measured[Date],B1523)),"")</f>
        <v>6305</v>
      </c>
      <c r="D1523" cm="1">
        <f t="array" ref="D1523">IFERROR(IF(SUMPRODUCT((expected_production[Site Name]=A1523)*(expected_production[Date]=B1523)*ISNUMBER(expected_production[Expected Production (kWh)]))=0,"",SUMIFS(expected_production[Expected Production (kWh)],expected_production[Site Name],A1523,expected_production[Date],B1523)),"")</f>
        <v>8786.625</v>
      </c>
      <c r="E1523" s="9">
        <f t="shared" si="48"/>
        <v>0.71756789438493163</v>
      </c>
      <c r="F1523" t="str">
        <f t="shared" si="49"/>
        <v>Moderate</v>
      </c>
    </row>
    <row r="1524" spans="1:6" ht="15" customHeight="1" x14ac:dyDescent="0.3">
      <c r="A1524" t="s">
        <v>149</v>
      </c>
      <c r="B1524" s="2">
        <v>45597</v>
      </c>
      <c r="C1524" cm="1">
        <f t="array" ref="C1524">IFERROR(IF(SUMPRODUCT((measured[Site Name]=A1524)*(measured[Date]=B1524)*ISNUMBER(measured[Measured Value (kWh)]))=0,"",SUMIFS(measured[Measured Value (kWh)],measured[Site Name],A1524,measured[Date],B1524)),"")</f>
        <v>7074</v>
      </c>
      <c r="D1524" cm="1">
        <f t="array" ref="D1524">IFERROR(IF(SUMPRODUCT((expected_production[Site Name]=A1524)*(expected_production[Date]=B1524)*ISNUMBER(expected_production[Expected Production (kWh)]))=0,"",SUMIFS(expected_production[Expected Production (kWh)],expected_production[Site Name],A1524,expected_production[Date],B1524)),"")</f>
        <v>8551.7999999999993</v>
      </c>
      <c r="E1524" s="9">
        <f t="shared" si="48"/>
        <v>0.82719427488949704</v>
      </c>
      <c r="F1524" t="str">
        <f t="shared" si="49"/>
        <v>Moderate</v>
      </c>
    </row>
    <row r="1525" spans="1:6" ht="15" customHeight="1" x14ac:dyDescent="0.3">
      <c r="A1525" t="s">
        <v>149</v>
      </c>
      <c r="B1525" s="2">
        <v>45627</v>
      </c>
      <c r="C1525" cm="1">
        <f t="array" ref="C1525">IFERROR(IF(SUMPRODUCT((measured[Site Name]=A1525)*(measured[Date]=B1525)*ISNUMBER(measured[Measured Value (kWh)]))=0,"",SUMIFS(measured[Measured Value (kWh)],measured[Site Name],A1525,measured[Date],B1525)),"")</f>
        <v>3371</v>
      </c>
      <c r="D1525" cm="1">
        <f t="array" ref="D1525">IFERROR(IF(SUMPRODUCT((expected_production[Site Name]=A1525)*(expected_production[Date]=B1525)*ISNUMBER(expected_production[Expected Production (kWh)]))=0,"",SUMIFS(expected_production[Expected Production (kWh)],expected_production[Site Name],A1525,expected_production[Date],B1525)),"")</f>
        <v>9109.0499999999993</v>
      </c>
      <c r="E1525" s="9">
        <f t="shared" si="48"/>
        <v>0.37007152227729567</v>
      </c>
      <c r="F1525" t="str">
        <f t="shared" si="49"/>
        <v>Poor</v>
      </c>
    </row>
    <row r="1526" spans="1:6" ht="15" customHeight="1" x14ac:dyDescent="0.3">
      <c r="A1526" t="s">
        <v>149</v>
      </c>
      <c r="B1526" s="2">
        <v>45658</v>
      </c>
      <c r="C1526" cm="1">
        <f t="array" ref="C1526">IFERROR(IF(SUMPRODUCT((measured[Site Name]=A1526)*(measured[Date]=B1526)*ISNUMBER(measured[Measured Value (kWh)]))=0,"",SUMIFS(measured[Measured Value (kWh)],measured[Site Name],A1526,measured[Date],B1526)),"")</f>
        <v>5083</v>
      </c>
      <c r="D1526" cm="1">
        <f t="array" ref="D1526">IFERROR(IF(SUMPRODUCT((expected_production[Site Name]=A1526)*(expected_production[Date]=B1526)*ISNUMBER(expected_production[Expected Production (kWh)]))=0,"",SUMIFS(expected_production[Expected Production (kWh)],expected_production[Site Name],A1526,expected_production[Date],B1526)),"")</f>
        <v>8591.0249999999996</v>
      </c>
      <c r="E1526" s="9">
        <f t="shared" si="48"/>
        <v>0.59166397490404232</v>
      </c>
      <c r="F1526" t="str">
        <f t="shared" si="49"/>
        <v>Poor</v>
      </c>
    </row>
    <row r="1527" spans="1:6" ht="15" customHeight="1" x14ac:dyDescent="0.3">
      <c r="A1527" t="s">
        <v>149</v>
      </c>
      <c r="B1527" s="2">
        <v>45689</v>
      </c>
      <c r="C1527" cm="1">
        <f t="array" ref="C1527">IFERROR(IF(SUMPRODUCT((measured[Site Name]=A1527)*(measured[Date]=B1527)*ISNUMBER(measured[Measured Value (kWh)]))=0,"",SUMIFS(measured[Measured Value (kWh)],measured[Site Name],A1527,measured[Date],B1527)),"")</f>
        <v>4977</v>
      </c>
      <c r="D1527" cm="1">
        <f t="array" ref="D1527">IFERROR(IF(SUMPRODUCT((expected_production[Site Name]=A1527)*(expected_production[Date]=B1527)*ISNUMBER(expected_production[Expected Production (kWh)]))=0,"",SUMIFS(expected_production[Expected Production (kWh)],expected_production[Site Name],A1527,expected_production[Date],B1527)),"")</f>
        <v>7466.4750000000004</v>
      </c>
      <c r="E1527" s="9">
        <f t="shared" si="48"/>
        <v>0.66657961086054662</v>
      </c>
      <c r="F1527" t="str">
        <f t="shared" si="49"/>
        <v>Poor</v>
      </c>
    </row>
    <row r="1528" spans="1:6" ht="15" customHeight="1" x14ac:dyDescent="0.3">
      <c r="A1528" t="s">
        <v>149</v>
      </c>
      <c r="B1528" s="2">
        <v>45717</v>
      </c>
      <c r="C1528" cm="1">
        <f t="array" ref="C1528">IFERROR(IF(SUMPRODUCT((measured[Site Name]=A1528)*(measured[Date]=B1528)*ISNUMBER(measured[Measured Value (kWh)]))=0,"",SUMIFS(measured[Measured Value (kWh)],measured[Site Name],A1528,measured[Date],B1528)),"")</f>
        <v>5306</v>
      </c>
      <c r="D1528" cm="1">
        <f t="array" ref="D1528">IFERROR(IF(SUMPRODUCT((expected_production[Site Name]=A1528)*(expected_production[Date]=B1528)*ISNUMBER(expected_production[Expected Production (kWh)]))=0,"",SUMIFS(expected_production[Expected Production (kWh)],expected_production[Site Name],A1528,expected_production[Date],B1528)),"")</f>
        <v>7931.85</v>
      </c>
      <c r="E1528" s="9">
        <f t="shared" si="48"/>
        <v>0.66894860593682426</v>
      </c>
      <c r="F1528" t="str">
        <f t="shared" si="49"/>
        <v>Poor</v>
      </c>
    </row>
    <row r="1529" spans="1:6" ht="15" customHeight="1" x14ac:dyDescent="0.3">
      <c r="A1529" t="s">
        <v>149</v>
      </c>
      <c r="B1529" s="2">
        <v>45748</v>
      </c>
      <c r="C1529" cm="1">
        <f t="array" ref="C1529">IFERROR(IF(SUMPRODUCT((measured[Site Name]=A1529)*(measured[Date]=B1529)*ISNUMBER(measured[Measured Value (kWh)]))=0,"",SUMIFS(measured[Measured Value (kWh)],measured[Site Name],A1529,measured[Date],B1529)),"")</f>
        <v>4700</v>
      </c>
      <c r="D1529" cm="1">
        <f t="array" ref="D1529">IFERROR(IF(SUMPRODUCT((expected_production[Site Name]=A1529)*(expected_production[Date]=B1529)*ISNUMBER(expected_production[Expected Production (kWh)]))=0,"",SUMIFS(expected_production[Expected Production (kWh)],expected_production[Site Name],A1529,expected_production[Date],B1529)),"")</f>
        <v>6987.15</v>
      </c>
      <c r="E1529" s="9">
        <f t="shared" si="48"/>
        <v>0.67266338922164259</v>
      </c>
      <c r="F1529" t="str">
        <f t="shared" si="49"/>
        <v>Poor</v>
      </c>
    </row>
    <row r="1530" spans="1:6" ht="15" customHeight="1" x14ac:dyDescent="0.3">
      <c r="A1530" t="s">
        <v>149</v>
      </c>
      <c r="B1530" s="2">
        <v>45778</v>
      </c>
      <c r="C1530" cm="1">
        <f t="array" ref="C1530">IFERROR(IF(SUMPRODUCT((measured[Site Name]=A1530)*(measured[Date]=B1530)*ISNUMBER(measured[Measured Value (kWh)]))=0,"",SUMIFS(measured[Measured Value (kWh)],measured[Site Name],A1530,measured[Date],B1530)),"")</f>
        <v>6568</v>
      </c>
      <c r="D1530" cm="1">
        <f t="array" ref="D1530">IFERROR(IF(SUMPRODUCT((expected_production[Site Name]=A1530)*(expected_production[Date]=B1530)*ISNUMBER(expected_production[Expected Production (kWh)]))=0,"",SUMIFS(expected_production[Expected Production (kWh)],expected_production[Site Name],A1530,expected_production[Date],B1530)),"")</f>
        <v>6858.5249999999996</v>
      </c>
      <c r="E1530" s="9">
        <f t="shared" si="48"/>
        <v>0.95764030895855889</v>
      </c>
      <c r="F1530" t="str">
        <f t="shared" si="49"/>
        <v>Expected</v>
      </c>
    </row>
    <row r="1531" spans="1:6" ht="15" customHeight="1" x14ac:dyDescent="0.3">
      <c r="A1531" t="s">
        <v>149</v>
      </c>
      <c r="B1531" s="2">
        <v>45809</v>
      </c>
      <c r="C1531" cm="1">
        <f t="array" ref="C1531">IFERROR(IF(SUMPRODUCT((measured[Site Name]=A1531)*(measured[Date]=B1531)*ISNUMBER(measured[Measured Value (kWh)]))=0,"",SUMIFS(measured[Measured Value (kWh)],measured[Site Name],A1531,measured[Date],B1531)),"")</f>
        <v>6255.59</v>
      </c>
      <c r="D1531" cm="1">
        <f t="array" ref="D1531">IFERROR(IF(SUMPRODUCT((expected_production[Site Name]=A1531)*(expected_production[Date]=B1531)*ISNUMBER(expected_production[Expected Production (kWh)]))=0,"",SUMIFS(expected_production[Expected Production (kWh)],expected_production[Site Name],A1531,expected_production[Date],B1531)),"")</f>
        <v>6375.45</v>
      </c>
      <c r="E1531" s="9">
        <f t="shared" si="48"/>
        <v>0.98119975844842333</v>
      </c>
      <c r="F1531" t="str">
        <f t="shared" si="49"/>
        <v>Expected</v>
      </c>
    </row>
    <row r="1532" spans="1:6" ht="15" customHeight="1" x14ac:dyDescent="0.3">
      <c r="A1532" t="s">
        <v>149</v>
      </c>
      <c r="B1532" s="2">
        <v>45839</v>
      </c>
      <c r="C1532" cm="1">
        <f t="array" ref="C1532">IFERROR(IF(SUMPRODUCT((measured[Site Name]=A1532)*(measured[Date]=B1532)*ISNUMBER(measured[Measured Value (kWh)]))=0,"",SUMIFS(measured[Measured Value (kWh)],measured[Site Name],A1532,measured[Date],B1532)),"")</f>
        <v>5980</v>
      </c>
      <c r="D1532" cm="1">
        <f t="array" ref="D1532">IFERROR(IF(SUMPRODUCT((expected_production[Site Name]=A1532)*(expected_production[Date]=B1532)*ISNUMBER(expected_production[Expected Production (kWh)]))=0,"",SUMIFS(expected_production[Expected Production (kWh)],expected_production[Site Name],A1532,expected_production[Date],B1532)),"")</f>
        <v>6946.7250000000004</v>
      </c>
      <c r="E1532" s="9">
        <f t="shared" ref="E1532:E1595" si="50">IF(OR(C1532="",D1532="",D1532=0),"",C1532/D1532)</f>
        <v>0.86083730103034162</v>
      </c>
      <c r="F1532" t="str">
        <f t="shared" ref="F1532:F1595" si="51">IF(E1532="","",IF(E1532&gt;=0.9,"Expected",IF(E1532&gt;=0.7,"Moderate","Poor")))</f>
        <v>Moderate</v>
      </c>
    </row>
    <row r="1533" spans="1:6" ht="15" customHeight="1" x14ac:dyDescent="0.3">
      <c r="A1533" t="s">
        <v>149</v>
      </c>
      <c r="B1533" s="2">
        <v>45870</v>
      </c>
      <c r="C1533" cm="1">
        <f t="array" ref="C1533">IFERROR(IF(SUMPRODUCT((measured[Site Name]=A1533)*(measured[Date]=B1533)*ISNUMBER(measured[Measured Value (kWh)]))=0,"",SUMIFS(measured[Measured Value (kWh)],measured[Site Name],A1533,measured[Date],B1533)),"")</f>
        <v>6685</v>
      </c>
      <c r="D1533" cm="1">
        <f t="array" ref="D1533">IFERROR(IF(SUMPRODUCT((expected_production[Site Name]=A1533)*(expected_production[Date]=B1533)*ISNUMBER(expected_production[Expected Production (kWh)]))=0,"",SUMIFS(expected_production[Expected Production (kWh)],expected_production[Site Name],A1533,expected_production[Date],B1533)),"")</f>
        <v>7852.65</v>
      </c>
      <c r="E1533" s="9">
        <f t="shared" si="50"/>
        <v>0.85130497348029011</v>
      </c>
      <c r="F1533" t="str">
        <f t="shared" si="51"/>
        <v>Moderate</v>
      </c>
    </row>
    <row r="1534" spans="1:6" ht="15" customHeight="1" x14ac:dyDescent="0.3">
      <c r="A1534" t="s">
        <v>149</v>
      </c>
      <c r="B1534" s="2">
        <v>45901</v>
      </c>
      <c r="C1534" cm="1">
        <f t="array" ref="C1534">IFERROR(IF(SUMPRODUCT((measured[Site Name]=A1534)*(measured[Date]=B1534)*ISNUMBER(measured[Measured Value (kWh)]))=0,"",SUMIFS(measured[Measured Value (kWh)],measured[Site Name],A1534,measured[Date],B1534)),"")</f>
        <v>7118</v>
      </c>
      <c r="D1534" cm="1">
        <f t="array" ref="D1534">IFERROR(IF(SUMPRODUCT((expected_production[Site Name]=A1534)*(expected_production[Date]=B1534)*ISNUMBER(expected_production[Expected Production (kWh)]))=0,"",SUMIFS(expected_production[Expected Production (kWh)],expected_production[Site Name],A1534,expected_production[Date],B1534)),"")</f>
        <v>8347.0499999999993</v>
      </c>
      <c r="E1534" s="9">
        <f t="shared" si="50"/>
        <v>0.85275636302645852</v>
      </c>
      <c r="F1534" t="str">
        <f t="shared" si="51"/>
        <v>Moderate</v>
      </c>
    </row>
    <row r="1535" spans="1:6" ht="15" customHeight="1" x14ac:dyDescent="0.3">
      <c r="A1535" t="s">
        <v>149</v>
      </c>
      <c r="B1535" s="2">
        <v>45931</v>
      </c>
      <c r="C1535" cm="1">
        <f t="array" ref="C1535">IFERROR(IF(SUMPRODUCT((measured[Site Name]=A1535)*(measured[Date]=B1535)*ISNUMBER(measured[Measured Value (kWh)]))=0,"",SUMIFS(measured[Measured Value (kWh)],measured[Site Name],A1535,measured[Date],B1535)),"")</f>
        <v>7677</v>
      </c>
      <c r="D1535" cm="1">
        <f t="array" ref="D1535">IFERROR(IF(SUMPRODUCT((expected_production[Site Name]=A1535)*(expected_production[Date]=B1535)*ISNUMBER(expected_production[Expected Production (kWh)]))=0,"",SUMIFS(expected_production[Expected Production (kWh)],expected_production[Site Name],A1535,expected_production[Date],B1535)),"")</f>
        <v>8786.625</v>
      </c>
      <c r="E1535" s="9">
        <f t="shared" si="50"/>
        <v>0.87371431010200162</v>
      </c>
      <c r="F1535" t="str">
        <f t="shared" si="51"/>
        <v>Moderate</v>
      </c>
    </row>
    <row r="1536" spans="1:6" ht="15" customHeight="1" x14ac:dyDescent="0.3">
      <c r="A1536" t="s">
        <v>149</v>
      </c>
      <c r="B1536" s="2">
        <v>45962</v>
      </c>
      <c r="C1536" cm="1">
        <f t="array" ref="C1536">IFERROR(IF(SUMPRODUCT((measured[Site Name]=A1536)*(measured[Date]=B1536)*ISNUMBER(measured[Measured Value (kWh)]))=0,"",SUMIFS(measured[Measured Value (kWh)],measured[Site Name],A1536,measured[Date],B1536)),"")</f>
        <v>5691</v>
      </c>
      <c r="D1536" cm="1">
        <f t="array" ref="D1536">IFERROR(IF(SUMPRODUCT((expected_production[Site Name]=A1536)*(expected_production[Date]=B1536)*ISNUMBER(expected_production[Expected Production (kWh)]))=0,"",SUMIFS(expected_production[Expected Production (kWh)],expected_production[Site Name],A1536,expected_production[Date],B1536)),"")</f>
        <v>8551.7999999999993</v>
      </c>
      <c r="E1536" s="9">
        <f t="shared" si="50"/>
        <v>0.66547393531186427</v>
      </c>
      <c r="F1536" t="str">
        <f t="shared" si="51"/>
        <v>Poor</v>
      </c>
    </row>
    <row r="1537" spans="1:7" ht="15" customHeight="1" x14ac:dyDescent="0.3">
      <c r="A1537" t="s">
        <v>149</v>
      </c>
      <c r="B1537" s="2">
        <v>45992</v>
      </c>
      <c r="C1537" cm="1">
        <f t="array" ref="C1537">IFERROR(IF(SUMPRODUCT((measured[Site Name]=A1537)*(measured[Date]=B1537)*ISNUMBER(measured[Measured Value (kWh)]))=0,"",SUMIFS(measured[Measured Value (kWh)],measured[Site Name],A1537,measured[Date],B1537)),"")</f>
        <v>3680</v>
      </c>
      <c r="D1537" cm="1">
        <f t="array" ref="D1537">IFERROR(IF(SUMPRODUCT((expected_production[Site Name]=A1537)*(expected_production[Date]=B1537)*ISNUMBER(expected_production[Expected Production (kWh)]))=0,"",SUMIFS(expected_production[Expected Production (kWh)],expected_production[Site Name],A1537,expected_production[Date],B1537)),"")</f>
        <v>9109.0499999999993</v>
      </c>
      <c r="E1537" s="9">
        <f t="shared" si="50"/>
        <v>0.40399383031161323</v>
      </c>
      <c r="F1537" t="str">
        <f t="shared" si="51"/>
        <v>Poor</v>
      </c>
    </row>
    <row r="1538" spans="1:7" ht="15" customHeight="1" x14ac:dyDescent="0.3">
      <c r="A1538" t="s">
        <v>149</v>
      </c>
      <c r="B1538" s="2">
        <v>46023</v>
      </c>
      <c r="C1538" cm="1">
        <f t="array" ref="C1538">IFERROR(IF(SUMPRODUCT((measured[Site Name]=A1538)*(measured[Date]=B1538)*ISNUMBER(measured[Measured Value (kWh)]))=0,"",SUMIFS(measured[Measured Value (kWh)],measured[Site Name],A1538,measured[Date],B1538)),"")</f>
        <v>5605</v>
      </c>
      <c r="D1538" cm="1">
        <f t="array" ref="D1538">IFERROR(IF(SUMPRODUCT((expected_production[Site Name]=A1538)*(expected_production[Date]=B1538)*ISNUMBER(expected_production[Expected Production (kWh)]))=0,"",SUMIFS(expected_production[Expected Production (kWh)],expected_production[Site Name],A1538,expected_production[Date],B1538)),"")</f>
        <v>8591.0249999999996</v>
      </c>
      <c r="E1538" s="9">
        <f t="shared" si="50"/>
        <v>0.65242505987353083</v>
      </c>
      <c r="F1538" t="str">
        <f t="shared" si="51"/>
        <v>Poor</v>
      </c>
    </row>
    <row r="1539" spans="1:7" ht="15" customHeight="1" x14ac:dyDescent="0.3">
      <c r="A1539" t="s">
        <v>149</v>
      </c>
      <c r="B1539" s="2">
        <v>46054</v>
      </c>
      <c r="C1539" cm="1">
        <f t="array" ref="C1539">IFERROR(IF(SUMPRODUCT((measured[Site Name]=A1539)*(measured[Date]=B1539)*ISNUMBER(measured[Measured Value (kWh)]))=0,"",SUMIFS(measured[Measured Value (kWh)],measured[Site Name],A1539,measured[Date],B1539)),"")</f>
        <v>7388</v>
      </c>
      <c r="D1539" cm="1">
        <f t="array" ref="D1539">IFERROR(IF(SUMPRODUCT((expected_production[Site Name]=A1539)*(expected_production[Date]=B1539)*ISNUMBER(expected_production[Expected Production (kWh)]))=0,"",SUMIFS(expected_production[Expected Production (kWh)],expected_production[Site Name],A1539,expected_production[Date],B1539)),"")</f>
        <v>7466.4750000000004</v>
      </c>
      <c r="E1539" s="9">
        <f t="shared" si="50"/>
        <v>0.98948968556112482</v>
      </c>
      <c r="F1539" t="str">
        <f t="shared" si="51"/>
        <v>Expected</v>
      </c>
    </row>
    <row r="1540" spans="1:7" ht="15" customHeight="1" x14ac:dyDescent="0.3">
      <c r="A1540" t="s">
        <v>149</v>
      </c>
      <c r="B1540" s="2">
        <v>46082</v>
      </c>
      <c r="C1540" cm="1">
        <f t="array" ref="C1540">IFERROR(IF(SUMPRODUCT((measured[Site Name]=A1540)*(measured[Date]=B1540)*ISNUMBER(measured[Measured Value (kWh)]))=0,"",SUMIFS(measured[Measured Value (kWh)],measured[Site Name],A1540,measured[Date],B1540)),"")</f>
        <v>6319.4</v>
      </c>
      <c r="D1540" cm="1">
        <f t="array" ref="D1540">IFERROR(IF(SUMPRODUCT((expected_production[Site Name]=A1540)*(expected_production[Date]=B1540)*ISNUMBER(expected_production[Expected Production (kWh)]))=0,"",SUMIFS(expected_production[Expected Production (kWh)],expected_production[Site Name],A1540,expected_production[Date],B1540)),"")</f>
        <v>7931.85</v>
      </c>
      <c r="E1540" s="9">
        <f t="shared" si="50"/>
        <v>0.79671199026708772</v>
      </c>
      <c r="F1540" t="str">
        <f t="shared" si="51"/>
        <v>Moderate</v>
      </c>
    </row>
    <row r="1541" spans="1:7" ht="15" customHeight="1" x14ac:dyDescent="0.3">
      <c r="A1541" t="s">
        <v>149</v>
      </c>
      <c r="B1541" s="2">
        <v>46113</v>
      </c>
      <c r="C1541" s="5" cm="1">
        <f t="array" ref="C1541">IFERROR(IF(SUMPRODUCT((measured[Site Name]=A1541)*(measured[Date]=B1541)*ISNUMBER(measured[Measured Value (kWh)]))=0,"",SUMIFS(measured[Measured Value (kWh)],measured[Site Name],A1541,measured[Date],B1541)),"")</f>
        <v>4370.4799999999996</v>
      </c>
      <c r="D1541" cm="1">
        <f t="array" ref="D1541">IFERROR(IF(SUMPRODUCT((expected_production[Site Name]=A1541)*(expected_production[Date]=B1541)*ISNUMBER(expected_production[Expected Production (kWh)]))=0,"",SUMIFS(expected_production[Expected Production (kWh)],expected_production[Site Name],A1541,expected_production[Date],B1541)),"")</f>
        <v>6987.15</v>
      </c>
      <c r="E1541" s="9">
        <f t="shared" si="50"/>
        <v>0.62550252964370301</v>
      </c>
      <c r="F1541" t="str">
        <f t="shared" si="51"/>
        <v>Poor</v>
      </c>
    </row>
    <row r="1542" spans="1:7" ht="15" customHeight="1" x14ac:dyDescent="0.3">
      <c r="A1542" t="s">
        <v>149</v>
      </c>
      <c r="B1542" s="2">
        <v>46143</v>
      </c>
      <c r="C1542" s="5" cm="1">
        <f t="array" ref="C1542">IFERROR(IF(SUMPRODUCT((measured[Site Name]=A1542)*(measured[Date]=B1542)*ISNUMBER(measured[Measured Value (kWh)]))=0,"",SUMIFS(measured[Measured Value (kWh)],measured[Site Name],A1542,measured[Date],B1542)),"")</f>
        <v>5968.12</v>
      </c>
      <c r="D1542" cm="1">
        <f t="array" ref="D1542">IFERROR(IF(SUMPRODUCT((expected_production[Site Name]=A1542)*(expected_production[Date]=B1542)*ISNUMBER(expected_production[Expected Production (kWh)]))=0,"",SUMIFS(expected_production[Expected Production (kWh)],expected_production[Site Name],A1542,expected_production[Date],B1542)),"")</f>
        <v>6858.5249999999996</v>
      </c>
      <c r="E1542" s="9">
        <f t="shared" si="50"/>
        <v>0.87017543859649127</v>
      </c>
      <c r="F1542" t="str">
        <f t="shared" si="51"/>
        <v>Moderate</v>
      </c>
    </row>
    <row r="1543" spans="1:7" ht="15" customHeight="1" x14ac:dyDescent="0.3">
      <c r="A1543" t="s">
        <v>149</v>
      </c>
      <c r="B1543" s="2">
        <v>46174</v>
      </c>
      <c r="C1543" cm="1">
        <f t="array" ref="C1543">IFERROR(IF(SUMPRODUCT((measured[Site Name]=A1543)*(measured[Date]=B1543)*ISNUMBER(measured[Measured Value (kWh)]))=0,"",SUMIFS(measured[Measured Value (kWh)],measured[Site Name],A1543,measured[Date],B1543)),"")</f>
        <v>5956</v>
      </c>
      <c r="D1543" cm="1">
        <f t="array" ref="D1543">IFERROR(IF(SUMPRODUCT((expected_production[Site Name]=A1543)*(expected_production[Date]=B1543)*ISNUMBER(expected_production[Expected Production (kWh)]))=0,"",SUMIFS(expected_production[Expected Production (kWh)],expected_production[Site Name],A1543,expected_production[Date],B1543)),"")</f>
        <v>6375.45</v>
      </c>
      <c r="E1543" s="9">
        <f t="shared" si="50"/>
        <v>0.93420856566987431</v>
      </c>
      <c r="F1543" t="str">
        <f t="shared" si="51"/>
        <v>Expected</v>
      </c>
    </row>
    <row r="1544" spans="1:7" ht="15" customHeight="1" x14ac:dyDescent="0.3">
      <c r="A1544" t="s">
        <v>142</v>
      </c>
      <c r="B1544" s="2">
        <v>46204</v>
      </c>
      <c r="C1544" cm="1">
        <f t="array" ref="C1544">IFERROR(IF(SUMPRODUCT((measured[Site Name]=A1544)*(measured[Date]=B1544)*ISNUMBER(measured[Measured Value (kWh)]))=0,"",SUMIFS(measured[Measured Value (kWh)],measured[Site Name],A1544,measured[Date],B1544)),"")</f>
        <v>3812</v>
      </c>
      <c r="D1544" cm="1">
        <f t="array" ref="D1544">IFERROR(IF(SUMPRODUCT((expected_production[Site Name]=A1544)*(expected_production[Date]=B1544)*ISNUMBER(expected_production[Expected Production (kWh)]))=0,"",SUMIFS(expected_production[Expected Production (kWh)],expected_production[Site Name],A1544,expected_production[Date],B1544)),"")</f>
        <v>4217.3999999999996</v>
      </c>
      <c r="E1544" s="9">
        <f t="shared" si="50"/>
        <v>0.90387442500118564</v>
      </c>
      <c r="F1544" t="str">
        <f t="shared" si="51"/>
        <v>Expected</v>
      </c>
      <c r="G1544" t="s">
        <v>874</v>
      </c>
    </row>
    <row r="1545" spans="1:7" ht="15" customHeight="1" x14ac:dyDescent="0.3">
      <c r="A1545" t="s">
        <v>149</v>
      </c>
      <c r="B1545" s="2">
        <v>46235</v>
      </c>
      <c r="C1545" t="str" cm="1">
        <f t="array" ref="C1545">IFERROR(IF(SUMPRODUCT((measured[Site Name]=A1545)*(measured[Date]=B1545)*ISNUMBER(measured[Measured Value (kWh)]))=0,"",SUMIFS(measured[Measured Value (kWh)],measured[Site Name],A1545,measured[Date],B1545)),"")</f>
        <v/>
      </c>
      <c r="D1545" cm="1">
        <f t="array" ref="D1545">IFERROR(IF(SUMPRODUCT((expected_production[Site Name]=A1545)*(expected_production[Date]=B1545)*ISNUMBER(expected_production[Expected Production (kWh)]))=0,"",SUMIFS(expected_production[Expected Production (kWh)],expected_production[Site Name],A1545,expected_production[Date],B1545)),"")</f>
        <v>7852.65</v>
      </c>
      <c r="E1545" s="9" t="str">
        <f t="shared" si="50"/>
        <v/>
      </c>
      <c r="F1545" t="str">
        <f t="shared" si="51"/>
        <v/>
      </c>
    </row>
    <row r="1546" spans="1:7" ht="15" customHeight="1" x14ac:dyDescent="0.3">
      <c r="A1546" t="s">
        <v>149</v>
      </c>
      <c r="B1546" s="2">
        <v>46266</v>
      </c>
      <c r="C1546" t="str" cm="1">
        <f t="array" ref="C1546">IFERROR(IF(SUMPRODUCT((measured[Site Name]=A1546)*(measured[Date]=B1546)*ISNUMBER(measured[Measured Value (kWh)]))=0,"",SUMIFS(measured[Measured Value (kWh)],measured[Site Name],A1546,measured[Date],B1546)),"")</f>
        <v/>
      </c>
      <c r="D1546" cm="1">
        <f t="array" ref="D1546">IFERROR(IF(SUMPRODUCT((expected_production[Site Name]=A1546)*(expected_production[Date]=B1546)*ISNUMBER(expected_production[Expected Production (kWh)]))=0,"",SUMIFS(expected_production[Expected Production (kWh)],expected_production[Site Name],A1546,expected_production[Date],B1546)),"")</f>
        <v>8347.0499999999993</v>
      </c>
      <c r="E1546" s="9" t="str">
        <f t="shared" si="50"/>
        <v/>
      </c>
      <c r="F1546" t="str">
        <f t="shared" si="51"/>
        <v/>
      </c>
    </row>
    <row r="1547" spans="1:7" ht="15" customHeight="1" x14ac:dyDescent="0.3">
      <c r="A1547" t="s">
        <v>149</v>
      </c>
      <c r="B1547" s="2">
        <v>46296</v>
      </c>
      <c r="C1547" t="str" cm="1">
        <f t="array" ref="C1547">IFERROR(IF(SUMPRODUCT((measured[Site Name]=A1547)*(measured[Date]=B1547)*ISNUMBER(measured[Measured Value (kWh)]))=0,"",SUMIFS(measured[Measured Value (kWh)],measured[Site Name],A1547,measured[Date],B1547)),"")</f>
        <v/>
      </c>
      <c r="D1547" cm="1">
        <f t="array" ref="D1547">IFERROR(IF(SUMPRODUCT((expected_production[Site Name]=A1547)*(expected_production[Date]=B1547)*ISNUMBER(expected_production[Expected Production (kWh)]))=0,"",SUMIFS(expected_production[Expected Production (kWh)],expected_production[Site Name],A1547,expected_production[Date],B1547)),"")</f>
        <v>8786.625</v>
      </c>
      <c r="E1547" s="9" t="str">
        <f t="shared" si="50"/>
        <v/>
      </c>
      <c r="F1547" t="str">
        <f t="shared" si="51"/>
        <v/>
      </c>
    </row>
    <row r="1548" spans="1:7" ht="15" customHeight="1" x14ac:dyDescent="0.3">
      <c r="A1548" t="s">
        <v>149</v>
      </c>
      <c r="B1548" s="2">
        <v>46327</v>
      </c>
      <c r="C1548" t="str" cm="1">
        <f t="array" ref="C1548">IFERROR(IF(SUMPRODUCT((measured[Site Name]=A1548)*(measured[Date]=B1548)*ISNUMBER(measured[Measured Value (kWh)]))=0,"",SUMIFS(measured[Measured Value (kWh)],measured[Site Name],A1548,measured[Date],B1548)),"")</f>
        <v/>
      </c>
      <c r="D1548" cm="1">
        <f t="array" ref="D1548">IFERROR(IF(SUMPRODUCT((expected_production[Site Name]=A1548)*(expected_production[Date]=B1548)*ISNUMBER(expected_production[Expected Production (kWh)]))=0,"",SUMIFS(expected_production[Expected Production (kWh)],expected_production[Site Name],A1548,expected_production[Date],B1548)),"")</f>
        <v>8551.7999999999993</v>
      </c>
      <c r="E1548" s="9" t="str">
        <f t="shared" si="50"/>
        <v/>
      </c>
      <c r="F1548" t="str">
        <f t="shared" si="51"/>
        <v/>
      </c>
    </row>
    <row r="1549" spans="1:7" ht="15" customHeight="1" x14ac:dyDescent="0.3">
      <c r="A1549" t="s">
        <v>149</v>
      </c>
      <c r="B1549" s="2">
        <v>46357</v>
      </c>
      <c r="C1549" t="str" cm="1">
        <f t="array" ref="C1549">IFERROR(IF(SUMPRODUCT((measured[Site Name]=A1549)*(measured[Date]=B1549)*ISNUMBER(measured[Measured Value (kWh)]))=0,"",SUMIFS(measured[Measured Value (kWh)],measured[Site Name],A1549,measured[Date],B1549)),"")</f>
        <v/>
      </c>
      <c r="D1549" cm="1">
        <f t="array" ref="D1549">IFERROR(IF(SUMPRODUCT((expected_production[Site Name]=A1549)*(expected_production[Date]=B1549)*ISNUMBER(expected_production[Expected Production (kWh)]))=0,"",SUMIFS(expected_production[Expected Production (kWh)],expected_production[Site Name],A1549,expected_production[Date],B1549)),"")</f>
        <v>9109.0499999999993</v>
      </c>
      <c r="E1549" s="9" t="str">
        <f t="shared" si="50"/>
        <v/>
      </c>
      <c r="F1549" t="str">
        <f t="shared" si="51"/>
        <v/>
      </c>
    </row>
    <row r="1550" spans="1:7" ht="15" customHeight="1" x14ac:dyDescent="0.3">
      <c r="A1550" t="s">
        <v>155</v>
      </c>
      <c r="B1550" s="2">
        <v>45292</v>
      </c>
      <c r="C1550" cm="1">
        <f t="array" ref="C1550">IFERROR(IF(SUMPRODUCT((measured[Site Name]=A1550)*(measured[Date]=B1550)*ISNUMBER(measured[Measured Value (kWh)]))=0,"",SUMIFS(measured[Measured Value (kWh)],measured[Site Name],A1550,measured[Date],B1550)),"")</f>
        <v>4700</v>
      </c>
      <c r="D1550" cm="1">
        <f t="array" ref="D1550">IFERROR(IF(SUMPRODUCT((expected_production[Site Name]=A1550)*(expected_production[Date]=B1550)*ISNUMBER(expected_production[Expected Production (kWh)]))=0,"",SUMIFS(expected_production[Expected Production (kWh)],expected_production[Site Name],A1550,expected_production[Date],B1550)),"")</f>
        <v>4894.29</v>
      </c>
      <c r="E1550" s="9">
        <f t="shared" si="50"/>
        <v>0.96030272010853468</v>
      </c>
      <c r="F1550" t="str">
        <f t="shared" si="51"/>
        <v>Expected</v>
      </c>
    </row>
    <row r="1551" spans="1:7" ht="15" customHeight="1" x14ac:dyDescent="0.3">
      <c r="A1551" t="s">
        <v>155</v>
      </c>
      <c r="B1551" s="2">
        <v>45323</v>
      </c>
      <c r="C1551" cm="1">
        <f t="array" ref="C1551">IFERROR(IF(SUMPRODUCT((measured[Site Name]=A1551)*(measured[Date]=B1551)*ISNUMBER(measured[Measured Value (kWh)]))=0,"",SUMIFS(measured[Measured Value (kWh)],measured[Site Name],A1551,measured[Date],B1551)),"")</f>
        <v>4300</v>
      </c>
      <c r="D1551" cm="1">
        <f t="array" ref="D1551">IFERROR(IF(SUMPRODUCT((expected_production[Site Name]=A1551)*(expected_production[Date]=B1551)*ISNUMBER(expected_production[Expected Production (kWh)]))=0,"",SUMIFS(expected_production[Expected Production (kWh)],expected_production[Site Name],A1551,expected_production[Date],B1551)),"")</f>
        <v>4527.45</v>
      </c>
      <c r="E1551" s="9">
        <f t="shared" si="50"/>
        <v>0.94976200731095872</v>
      </c>
      <c r="F1551" t="str">
        <f t="shared" si="51"/>
        <v>Expected</v>
      </c>
    </row>
    <row r="1552" spans="1:7" ht="15" customHeight="1" x14ac:dyDescent="0.3">
      <c r="A1552" t="s">
        <v>155</v>
      </c>
      <c r="B1552" s="2">
        <v>45352</v>
      </c>
      <c r="C1552" cm="1">
        <f t="array" ref="C1552">IFERROR(IF(SUMPRODUCT((measured[Site Name]=A1552)*(measured[Date]=B1552)*ISNUMBER(measured[Measured Value (kWh)]))=0,"",SUMIFS(measured[Measured Value (kWh)],measured[Site Name],A1552,measured[Date],B1552)),"")</f>
        <v>5200</v>
      </c>
      <c r="D1552" cm="1">
        <f t="array" ref="D1552">IFERROR(IF(SUMPRODUCT((expected_production[Site Name]=A1552)*(expected_production[Date]=B1552)*ISNUMBER(expected_production[Expected Production (kWh)]))=0,"",SUMIFS(expected_production[Expected Production (kWh)],expected_production[Site Name],A1552,expected_production[Date],B1552)),"")</f>
        <v>4754.25</v>
      </c>
      <c r="E1552" s="9">
        <f t="shared" si="50"/>
        <v>1.0937582163327548</v>
      </c>
      <c r="F1552" t="str">
        <f t="shared" si="51"/>
        <v>Expected</v>
      </c>
    </row>
    <row r="1553" spans="1:6" ht="15" customHeight="1" x14ac:dyDescent="0.3">
      <c r="A1553" t="s">
        <v>155</v>
      </c>
      <c r="B1553" s="2">
        <v>45383</v>
      </c>
      <c r="C1553" cm="1">
        <f t="array" ref="C1553">IFERROR(IF(SUMPRODUCT((measured[Site Name]=A1553)*(measured[Date]=B1553)*ISNUMBER(measured[Measured Value (kWh)]))=0,"",SUMIFS(measured[Measured Value (kWh)],measured[Site Name],A1553,measured[Date],B1553)),"")</f>
        <v>4500</v>
      </c>
      <c r="D1553" cm="1">
        <f t="array" ref="D1553">IFERROR(IF(SUMPRODUCT((expected_production[Site Name]=A1553)*(expected_production[Date]=B1553)*ISNUMBER(expected_production[Expected Production (kWh)]))=0,"",SUMIFS(expected_production[Expected Production (kWh)],expected_production[Site Name],A1553,expected_production[Date],B1553)),"")</f>
        <v>4171.59</v>
      </c>
      <c r="E1553" s="9">
        <f t="shared" si="50"/>
        <v>1.0787253780932451</v>
      </c>
      <c r="F1553" t="str">
        <f t="shared" si="51"/>
        <v>Expected</v>
      </c>
    </row>
    <row r="1554" spans="1:6" ht="15" customHeight="1" x14ac:dyDescent="0.3">
      <c r="A1554" t="s">
        <v>155</v>
      </c>
      <c r="B1554" s="2">
        <v>45413</v>
      </c>
      <c r="C1554" cm="1">
        <f t="array" ref="C1554">IFERROR(IF(SUMPRODUCT((measured[Site Name]=A1554)*(measured[Date]=B1554)*ISNUMBER(measured[Measured Value (kWh)]))=0,"",SUMIFS(measured[Measured Value (kWh)],measured[Site Name],A1554,measured[Date],B1554)),"")</f>
        <v>4300</v>
      </c>
      <c r="D1554" cm="1">
        <f t="array" ref="D1554">IFERROR(IF(SUMPRODUCT((expected_production[Site Name]=A1554)*(expected_production[Date]=B1554)*ISNUMBER(expected_production[Expected Production (kWh)]))=0,"",SUMIFS(expected_production[Expected Production (kWh)],expected_production[Site Name],A1554,expected_production[Date],B1554)),"")</f>
        <v>4117.5</v>
      </c>
      <c r="E1554" s="9">
        <f t="shared" si="50"/>
        <v>1.0443230115361264</v>
      </c>
      <c r="F1554" t="str">
        <f t="shared" si="51"/>
        <v>Expected</v>
      </c>
    </row>
    <row r="1555" spans="1:6" ht="15" customHeight="1" x14ac:dyDescent="0.3">
      <c r="A1555" t="s">
        <v>155</v>
      </c>
      <c r="B1555" s="2">
        <v>45444</v>
      </c>
      <c r="C1555" cm="1">
        <f t="array" ref="C1555">IFERROR(IF(SUMPRODUCT((measured[Site Name]=A1555)*(measured[Date]=B1555)*ISNUMBER(measured[Measured Value (kWh)]))=0,"",SUMIFS(measured[Measured Value (kWh)],measured[Site Name],A1555,measured[Date],B1555)),"")</f>
        <v>3800</v>
      </c>
      <c r="D1555" cm="1">
        <f t="array" ref="D1555">IFERROR(IF(SUMPRODUCT((expected_production[Site Name]=A1555)*(expected_production[Date]=B1555)*ISNUMBER(expected_production[Expected Production (kWh)]))=0,"",SUMIFS(expected_production[Expected Production (kWh)],expected_production[Site Name],A1555,expected_production[Date],B1555)),"")</f>
        <v>3729.06</v>
      </c>
      <c r="E1555" s="9">
        <f t="shared" si="50"/>
        <v>1.0190235608973843</v>
      </c>
      <c r="F1555" t="str">
        <f t="shared" si="51"/>
        <v>Expected</v>
      </c>
    </row>
    <row r="1556" spans="1:6" ht="15" customHeight="1" x14ac:dyDescent="0.3">
      <c r="A1556" t="s">
        <v>155</v>
      </c>
      <c r="B1556" s="2">
        <v>45474</v>
      </c>
      <c r="C1556" cm="1">
        <f t="array" ref="C1556">IFERROR(IF(SUMPRODUCT((measured[Site Name]=A1556)*(measured[Date]=B1556)*ISNUMBER(measured[Measured Value (kWh)]))=0,"",SUMIFS(measured[Measured Value (kWh)],measured[Site Name],A1556,measured[Date],B1556)),"")</f>
        <v>4100</v>
      </c>
      <c r="D1556" cm="1">
        <f t="array" ref="D1556">IFERROR(IF(SUMPRODUCT((expected_production[Site Name]=A1556)*(expected_production[Date]=B1556)*ISNUMBER(expected_production[Expected Production (kWh)]))=0,"",SUMIFS(expected_production[Expected Production (kWh)],expected_production[Site Name],A1556,expected_production[Date],B1556)),"")</f>
        <v>4105.53</v>
      </c>
      <c r="E1556" s="9">
        <f t="shared" si="50"/>
        <v>0.99865303627059121</v>
      </c>
      <c r="F1556" t="str">
        <f t="shared" si="51"/>
        <v>Expected</v>
      </c>
    </row>
    <row r="1557" spans="1:6" ht="15" customHeight="1" x14ac:dyDescent="0.3">
      <c r="A1557" t="s">
        <v>155</v>
      </c>
      <c r="B1557" s="2">
        <v>45505</v>
      </c>
      <c r="C1557" cm="1">
        <f t="array" ref="C1557">IFERROR(IF(SUMPRODUCT((measured[Site Name]=A1557)*(measured[Date]=B1557)*ISNUMBER(measured[Measured Value (kWh)]))=0,"",SUMIFS(measured[Measured Value (kWh)],measured[Site Name],A1557,measured[Date],B1557)),"")</f>
        <v>4000</v>
      </c>
      <c r="D1557" cm="1">
        <f t="array" ref="D1557">IFERROR(IF(SUMPRODUCT((expected_production[Site Name]=A1557)*(expected_production[Date]=B1557)*ISNUMBER(expected_production[Expected Production (kWh)]))=0,"",SUMIFS(expected_production[Expected Production (kWh)],expected_production[Site Name],A1557,expected_production[Date],B1557)),"")</f>
        <v>4624.83</v>
      </c>
      <c r="E1557" s="9">
        <f t="shared" si="50"/>
        <v>0.86489665566085672</v>
      </c>
      <c r="F1557" t="str">
        <f t="shared" si="51"/>
        <v>Moderate</v>
      </c>
    </row>
    <row r="1558" spans="1:6" ht="15" customHeight="1" x14ac:dyDescent="0.3">
      <c r="A1558" t="s">
        <v>155</v>
      </c>
      <c r="B1558" s="2">
        <v>45536</v>
      </c>
      <c r="C1558" cm="1">
        <f t="array" ref="C1558">IFERROR(IF(SUMPRODUCT((measured[Site Name]=A1558)*(measured[Date]=B1558)*ISNUMBER(measured[Measured Value (kWh)]))=0,"",SUMIFS(measured[Measured Value (kWh)],measured[Site Name],A1558,measured[Date],B1558)),"")</f>
        <v>3700</v>
      </c>
      <c r="D1558" cm="1">
        <f t="array" ref="D1558">IFERROR(IF(SUMPRODUCT((expected_production[Site Name]=A1558)*(expected_production[Date]=B1558)*ISNUMBER(expected_production[Expected Production (kWh)]))=0,"",SUMIFS(expected_production[Expected Production (kWh)],expected_production[Site Name],A1558,expected_production[Date],B1558)),"")</f>
        <v>4797</v>
      </c>
      <c r="E1558" s="9">
        <f t="shared" si="50"/>
        <v>0.77131540546174693</v>
      </c>
      <c r="F1558" t="str">
        <f t="shared" si="51"/>
        <v>Moderate</v>
      </c>
    </row>
    <row r="1559" spans="1:6" ht="15" customHeight="1" x14ac:dyDescent="0.3">
      <c r="A1559" t="s">
        <v>155</v>
      </c>
      <c r="B1559" s="2">
        <v>45566</v>
      </c>
      <c r="C1559" cm="1">
        <f t="array" ref="C1559">IFERROR(IF(SUMPRODUCT((measured[Site Name]=A1559)*(measured[Date]=B1559)*ISNUMBER(measured[Measured Value (kWh)]))=0,"",SUMIFS(measured[Measured Value (kWh)],measured[Site Name],A1559,measured[Date],B1559)),"")</f>
        <v>5479</v>
      </c>
      <c r="D1559" cm="1">
        <f t="array" ref="D1559">IFERROR(IF(SUMPRODUCT((expected_production[Site Name]=A1559)*(expected_production[Date]=B1559)*ISNUMBER(expected_production[Expected Production (kWh)]))=0,"",SUMIFS(expected_production[Expected Production (kWh)],expected_production[Site Name],A1559,expected_production[Date],B1559)),"")</f>
        <v>5068.9799999999996</v>
      </c>
      <c r="E1559" s="9">
        <f t="shared" si="50"/>
        <v>1.0808880682109616</v>
      </c>
      <c r="F1559" t="str">
        <f t="shared" si="51"/>
        <v>Expected</v>
      </c>
    </row>
    <row r="1560" spans="1:6" ht="15" customHeight="1" x14ac:dyDescent="0.3">
      <c r="A1560" t="s">
        <v>155</v>
      </c>
      <c r="B1560" s="2">
        <v>45597</v>
      </c>
      <c r="C1560" cm="1">
        <f t="array" ref="C1560">IFERROR(IF(SUMPRODUCT((measured[Site Name]=A1560)*(measured[Date]=B1560)*ISNUMBER(measured[Measured Value (kWh)]))=0,"",SUMIFS(measured[Measured Value (kWh)],measured[Site Name],A1560,measured[Date],B1560)),"")</f>
        <v>5500</v>
      </c>
      <c r="D1560" cm="1">
        <f t="array" ref="D1560">IFERROR(IF(SUMPRODUCT((expected_production[Site Name]=A1560)*(expected_production[Date]=B1560)*ISNUMBER(expected_production[Expected Production (kWh)]))=0,"",SUMIFS(expected_production[Expected Production (kWh)],expected_production[Site Name],A1560,expected_production[Date],B1560)),"")</f>
        <v>4862.88</v>
      </c>
      <c r="E1560" s="9">
        <f t="shared" si="50"/>
        <v>1.1310170104958379</v>
      </c>
      <c r="F1560" t="str">
        <f t="shared" si="51"/>
        <v>Expected</v>
      </c>
    </row>
    <row r="1561" spans="1:6" ht="15" customHeight="1" x14ac:dyDescent="0.3">
      <c r="A1561" t="s">
        <v>155</v>
      </c>
      <c r="B1561" s="2">
        <v>45627</v>
      </c>
      <c r="C1561" cm="1">
        <f t="array" ref="C1561">IFERROR(IF(SUMPRODUCT((measured[Site Name]=A1561)*(measured[Date]=B1561)*ISNUMBER(measured[Measured Value (kWh)]))=0,"",SUMIFS(measured[Measured Value (kWh)],measured[Site Name],A1561,measured[Date],B1561)),"")</f>
        <v>2742</v>
      </c>
      <c r="D1561" cm="1">
        <f t="array" ref="D1561">IFERROR(IF(SUMPRODUCT((expected_production[Site Name]=A1561)*(expected_production[Date]=B1561)*ISNUMBER(expected_production[Expected Production (kWh)]))=0,"",SUMIFS(expected_production[Expected Production (kWh)],expected_production[Site Name],A1561,expected_production[Date],B1561)),"")</f>
        <v>5082.3900000000003</v>
      </c>
      <c r="E1561" s="9">
        <f t="shared" si="50"/>
        <v>0.53950995496213394</v>
      </c>
      <c r="F1561" t="str">
        <f t="shared" si="51"/>
        <v>Poor</v>
      </c>
    </row>
    <row r="1562" spans="1:6" ht="15" customHeight="1" x14ac:dyDescent="0.3">
      <c r="A1562" t="s">
        <v>155</v>
      </c>
      <c r="B1562" s="2">
        <v>45658</v>
      </c>
      <c r="C1562" cm="1">
        <f t="array" ref="C1562">IFERROR(IF(SUMPRODUCT((measured[Site Name]=A1562)*(measured[Date]=B1562)*ISNUMBER(measured[Measured Value (kWh)]))=0,"",SUMIFS(measured[Measured Value (kWh)],measured[Site Name],A1562,measured[Date],B1562)),"")</f>
        <v>5100</v>
      </c>
      <c r="D1562" cm="1">
        <f t="array" ref="D1562">IFERROR(IF(SUMPRODUCT((expected_production[Site Name]=A1562)*(expected_production[Date]=B1562)*ISNUMBER(expected_production[Expected Production (kWh)]))=0,"",SUMIFS(expected_production[Expected Production (kWh)],expected_production[Site Name],A1562,expected_production[Date],B1562)),"")</f>
        <v>4894.29</v>
      </c>
      <c r="E1562" s="9">
        <f t="shared" si="50"/>
        <v>1.0420306111816013</v>
      </c>
      <c r="F1562" t="str">
        <f t="shared" si="51"/>
        <v>Expected</v>
      </c>
    </row>
    <row r="1563" spans="1:6" ht="15" customHeight="1" x14ac:dyDescent="0.3">
      <c r="A1563" t="s">
        <v>155</v>
      </c>
      <c r="B1563" s="2">
        <v>45689</v>
      </c>
      <c r="C1563" cm="1">
        <f t="array" ref="C1563">IFERROR(IF(SUMPRODUCT((measured[Site Name]=A1563)*(measured[Date]=B1563)*ISNUMBER(measured[Measured Value (kWh)]))=0,"",SUMIFS(measured[Measured Value (kWh)],measured[Site Name],A1563,measured[Date],B1563)),"")</f>
        <v>3970</v>
      </c>
      <c r="D1563" cm="1">
        <f t="array" ref="D1563">IFERROR(IF(SUMPRODUCT((expected_production[Site Name]=A1563)*(expected_production[Date]=B1563)*ISNUMBER(expected_production[Expected Production (kWh)]))=0,"",SUMIFS(expected_production[Expected Production (kWh)],expected_production[Site Name],A1563,expected_production[Date],B1563)),"")</f>
        <v>4527.45</v>
      </c>
      <c r="E1563" s="9">
        <f t="shared" si="50"/>
        <v>0.8768732951219782</v>
      </c>
      <c r="F1563" t="str">
        <f t="shared" si="51"/>
        <v>Moderate</v>
      </c>
    </row>
    <row r="1564" spans="1:6" ht="15" customHeight="1" x14ac:dyDescent="0.3">
      <c r="A1564" t="s">
        <v>155</v>
      </c>
      <c r="B1564" s="2">
        <v>45717</v>
      </c>
      <c r="C1564" cm="1">
        <f t="array" ref="C1564">IFERROR(IF(SUMPRODUCT((measured[Site Name]=A1564)*(measured[Date]=B1564)*ISNUMBER(measured[Measured Value (kWh)]))=0,"",SUMIFS(measured[Measured Value (kWh)],measured[Site Name],A1564,measured[Date],B1564)),"")</f>
        <v>4540</v>
      </c>
      <c r="D1564" cm="1">
        <f t="array" ref="D1564">IFERROR(IF(SUMPRODUCT((expected_production[Site Name]=A1564)*(expected_production[Date]=B1564)*ISNUMBER(expected_production[Expected Production (kWh)]))=0,"",SUMIFS(expected_production[Expected Production (kWh)],expected_production[Site Name],A1564,expected_production[Date],B1564)),"")</f>
        <v>4754.25</v>
      </c>
      <c r="E1564" s="9">
        <f t="shared" si="50"/>
        <v>0.95493505810590529</v>
      </c>
      <c r="F1564" t="str">
        <f t="shared" si="51"/>
        <v>Expected</v>
      </c>
    </row>
    <row r="1565" spans="1:6" ht="15" customHeight="1" x14ac:dyDescent="0.3">
      <c r="A1565" t="s">
        <v>155</v>
      </c>
      <c r="B1565" s="2">
        <v>45748</v>
      </c>
      <c r="C1565" cm="1">
        <f t="array" ref="C1565">IFERROR(IF(SUMPRODUCT((measured[Site Name]=A1565)*(measured[Date]=B1565)*ISNUMBER(measured[Measured Value (kWh)]))=0,"",SUMIFS(measured[Measured Value (kWh)],measured[Site Name],A1565,measured[Date],B1565)),"")</f>
        <v>3526</v>
      </c>
      <c r="D1565" cm="1">
        <f t="array" ref="D1565">IFERROR(IF(SUMPRODUCT((expected_production[Site Name]=A1565)*(expected_production[Date]=B1565)*ISNUMBER(expected_production[Expected Production (kWh)]))=0,"",SUMIFS(expected_production[Expected Production (kWh)],expected_production[Site Name],A1565,expected_production[Date],B1565)),"")</f>
        <v>4171.59</v>
      </c>
      <c r="E1565" s="9">
        <f t="shared" si="50"/>
        <v>0.84524126292372925</v>
      </c>
      <c r="F1565" t="str">
        <f t="shared" si="51"/>
        <v>Moderate</v>
      </c>
    </row>
    <row r="1566" spans="1:6" ht="15" customHeight="1" x14ac:dyDescent="0.3">
      <c r="A1566" t="s">
        <v>155</v>
      </c>
      <c r="B1566" s="2">
        <v>45778</v>
      </c>
      <c r="C1566" cm="1">
        <f t="array" ref="C1566">IFERROR(IF(SUMPRODUCT((measured[Site Name]=A1566)*(measured[Date]=B1566)*ISNUMBER(measured[Measured Value (kWh)]))=0,"",SUMIFS(measured[Measured Value (kWh)],measured[Site Name],A1566,measured[Date],B1566)),"")</f>
        <v>4309</v>
      </c>
      <c r="D1566" cm="1">
        <f t="array" ref="D1566">IFERROR(IF(SUMPRODUCT((expected_production[Site Name]=A1566)*(expected_production[Date]=B1566)*ISNUMBER(expected_production[Expected Production (kWh)]))=0,"",SUMIFS(expected_production[Expected Production (kWh)],expected_production[Site Name],A1566,expected_production[Date],B1566)),"")</f>
        <v>4117.5</v>
      </c>
      <c r="E1566" s="9">
        <f t="shared" si="50"/>
        <v>1.046508803885853</v>
      </c>
      <c r="F1566" t="str">
        <f t="shared" si="51"/>
        <v>Expected</v>
      </c>
    </row>
    <row r="1567" spans="1:6" ht="15" customHeight="1" x14ac:dyDescent="0.3">
      <c r="A1567" t="s">
        <v>155</v>
      </c>
      <c r="B1567" s="2">
        <v>45809</v>
      </c>
      <c r="C1567" cm="1">
        <f t="array" ref="C1567">IFERROR(IF(SUMPRODUCT((measured[Site Name]=A1567)*(measured[Date]=B1567)*ISNUMBER(measured[Measured Value (kWh)]))=0,"",SUMIFS(measured[Measured Value (kWh)],measured[Site Name],A1567,measured[Date],B1567)),"")</f>
        <v>3564</v>
      </c>
      <c r="D1567" cm="1">
        <f t="array" ref="D1567">IFERROR(IF(SUMPRODUCT((expected_production[Site Name]=A1567)*(expected_production[Date]=B1567)*ISNUMBER(expected_production[Expected Production (kWh)]))=0,"",SUMIFS(expected_production[Expected Production (kWh)],expected_production[Site Name],A1567,expected_production[Date],B1567)),"")</f>
        <v>3729.06</v>
      </c>
      <c r="E1567" s="9">
        <f t="shared" si="50"/>
        <v>0.95573683448375735</v>
      </c>
      <c r="F1567" t="str">
        <f t="shared" si="51"/>
        <v>Expected</v>
      </c>
    </row>
    <row r="1568" spans="1:6" ht="15" customHeight="1" x14ac:dyDescent="0.3">
      <c r="A1568" t="s">
        <v>155</v>
      </c>
      <c r="B1568" s="2">
        <v>45839</v>
      </c>
      <c r="C1568" cm="1">
        <f t="array" ref="C1568">IFERROR(IF(SUMPRODUCT((measured[Site Name]=A1568)*(measured[Date]=B1568)*ISNUMBER(measured[Measured Value (kWh)]))=0,"",SUMIFS(measured[Measured Value (kWh)],measured[Site Name],A1568,measured[Date],B1568)),"")</f>
        <v>3444</v>
      </c>
      <c r="D1568" cm="1">
        <f t="array" ref="D1568">IFERROR(IF(SUMPRODUCT((expected_production[Site Name]=A1568)*(expected_production[Date]=B1568)*ISNUMBER(expected_production[Expected Production (kWh)]))=0,"",SUMIFS(expected_production[Expected Production (kWh)],expected_production[Site Name],A1568,expected_production[Date],B1568)),"")</f>
        <v>4105.53</v>
      </c>
      <c r="E1568" s="9">
        <f t="shared" si="50"/>
        <v>0.83886855046729658</v>
      </c>
      <c r="F1568" t="str">
        <f t="shared" si="51"/>
        <v>Moderate</v>
      </c>
    </row>
    <row r="1569" spans="1:7" ht="15" customHeight="1" x14ac:dyDescent="0.3">
      <c r="A1569" t="s">
        <v>155</v>
      </c>
      <c r="B1569" s="2">
        <v>45870</v>
      </c>
      <c r="C1569" cm="1">
        <f t="array" ref="C1569">IFERROR(IF(SUMPRODUCT((measured[Site Name]=A1569)*(measured[Date]=B1569)*ISNUMBER(measured[Measured Value (kWh)]))=0,"",SUMIFS(measured[Measured Value (kWh)],measured[Site Name],A1569,measured[Date],B1569)),"")</f>
        <v>4434</v>
      </c>
      <c r="D1569" cm="1">
        <f t="array" ref="D1569">IFERROR(IF(SUMPRODUCT((expected_production[Site Name]=A1569)*(expected_production[Date]=B1569)*ISNUMBER(expected_production[Expected Production (kWh)]))=0,"",SUMIFS(expected_production[Expected Production (kWh)],expected_production[Site Name],A1569,expected_production[Date],B1569)),"")</f>
        <v>4624.83</v>
      </c>
      <c r="E1569" s="9">
        <f t="shared" si="50"/>
        <v>0.95873794280005964</v>
      </c>
      <c r="F1569" t="str">
        <f t="shared" si="51"/>
        <v>Expected</v>
      </c>
    </row>
    <row r="1570" spans="1:7" ht="15" customHeight="1" x14ac:dyDescent="0.3">
      <c r="A1570" t="s">
        <v>155</v>
      </c>
      <c r="B1570" s="2">
        <v>45901</v>
      </c>
      <c r="C1570" cm="1">
        <f t="array" ref="C1570">IFERROR(IF(SUMPRODUCT((measured[Site Name]=A1570)*(measured[Date]=B1570)*ISNUMBER(measured[Measured Value (kWh)]))=0,"",SUMIFS(measured[Measured Value (kWh)],measured[Site Name],A1570,measured[Date],B1570)),"")</f>
        <v>4300</v>
      </c>
      <c r="D1570" cm="1">
        <f t="array" ref="D1570">IFERROR(IF(SUMPRODUCT((expected_production[Site Name]=A1570)*(expected_production[Date]=B1570)*ISNUMBER(expected_production[Expected Production (kWh)]))=0,"",SUMIFS(expected_production[Expected Production (kWh)],expected_production[Site Name],A1570,expected_production[Date],B1570)),"")</f>
        <v>4797</v>
      </c>
      <c r="E1570" s="9">
        <f t="shared" si="50"/>
        <v>0.89639357932040864</v>
      </c>
      <c r="F1570" t="str">
        <f t="shared" si="51"/>
        <v>Moderate</v>
      </c>
    </row>
    <row r="1571" spans="1:7" ht="15" customHeight="1" x14ac:dyDescent="0.3">
      <c r="A1571" t="s">
        <v>155</v>
      </c>
      <c r="B1571" s="2">
        <v>45931</v>
      </c>
      <c r="C1571" cm="1">
        <f t="array" ref="C1571">IFERROR(IF(SUMPRODUCT((measured[Site Name]=A1571)*(measured[Date]=B1571)*ISNUMBER(measured[Measured Value (kWh)]))=0,"",SUMIFS(measured[Measured Value (kWh)],measured[Site Name],A1571,measured[Date],B1571)),"")</f>
        <v>4956</v>
      </c>
      <c r="D1571" cm="1">
        <f t="array" ref="D1571">IFERROR(IF(SUMPRODUCT((expected_production[Site Name]=A1571)*(expected_production[Date]=B1571)*ISNUMBER(expected_production[Expected Production (kWh)]))=0,"",SUMIFS(expected_production[Expected Production (kWh)],expected_production[Site Name],A1571,expected_production[Date],B1571)),"")</f>
        <v>5068.9799999999996</v>
      </c>
      <c r="E1571" s="9">
        <f t="shared" si="50"/>
        <v>0.97771149225287934</v>
      </c>
      <c r="F1571" t="str">
        <f t="shared" si="51"/>
        <v>Expected</v>
      </c>
    </row>
    <row r="1572" spans="1:7" ht="15" customHeight="1" x14ac:dyDescent="0.3">
      <c r="A1572" t="s">
        <v>155</v>
      </c>
      <c r="B1572" s="2">
        <v>45962</v>
      </c>
      <c r="C1572" cm="1">
        <f t="array" ref="C1572">IFERROR(IF(SUMPRODUCT((measured[Site Name]=A1572)*(measured[Date]=B1572)*ISNUMBER(measured[Measured Value (kWh)]))=0,"",SUMIFS(measured[Measured Value (kWh)],measured[Site Name],A1572,measured[Date],B1572)),"")</f>
        <v>4173</v>
      </c>
      <c r="D1572" cm="1">
        <f t="array" ref="D1572">IFERROR(IF(SUMPRODUCT((expected_production[Site Name]=A1572)*(expected_production[Date]=B1572)*ISNUMBER(expected_production[Expected Production (kWh)]))=0,"",SUMIFS(expected_production[Expected Production (kWh)],expected_production[Site Name],A1572,expected_production[Date],B1572)),"")</f>
        <v>4862.88</v>
      </c>
      <c r="E1572" s="9">
        <f t="shared" si="50"/>
        <v>0.85813345178166023</v>
      </c>
      <c r="F1572" t="str">
        <f t="shared" si="51"/>
        <v>Moderate</v>
      </c>
    </row>
    <row r="1573" spans="1:7" ht="15" customHeight="1" x14ac:dyDescent="0.3">
      <c r="A1573" t="s">
        <v>155</v>
      </c>
      <c r="B1573" s="2">
        <v>45992</v>
      </c>
      <c r="C1573" cm="1">
        <f t="array" ref="C1573">IFERROR(IF(SUMPRODUCT((measured[Site Name]=A1573)*(measured[Date]=B1573)*ISNUMBER(measured[Measured Value (kWh)]))=0,"",SUMIFS(measured[Measured Value (kWh)],measured[Site Name],A1573,measured[Date],B1573)),"")</f>
        <v>5010</v>
      </c>
      <c r="D1573" cm="1">
        <f t="array" ref="D1573">IFERROR(IF(SUMPRODUCT((expected_production[Site Name]=A1573)*(expected_production[Date]=B1573)*ISNUMBER(expected_production[Expected Production (kWh)]))=0,"",SUMIFS(expected_production[Expected Production (kWh)],expected_production[Site Name],A1573,expected_production[Date],B1573)),"")</f>
        <v>5082.3900000000003</v>
      </c>
      <c r="E1573" s="9">
        <f t="shared" si="50"/>
        <v>0.98575670107961011</v>
      </c>
      <c r="F1573" t="str">
        <f t="shared" si="51"/>
        <v>Expected</v>
      </c>
    </row>
    <row r="1574" spans="1:7" ht="15" customHeight="1" x14ac:dyDescent="0.3">
      <c r="A1574" t="s">
        <v>155</v>
      </c>
      <c r="B1574" s="2">
        <v>46023</v>
      </c>
      <c r="C1574" cm="1">
        <f t="array" ref="C1574">IFERROR(IF(SUMPRODUCT((measured[Site Name]=A1574)*(measured[Date]=B1574)*ISNUMBER(measured[Measured Value (kWh)]))=0,"",SUMIFS(measured[Measured Value (kWh)],measured[Site Name],A1574,measured[Date],B1574)),"")</f>
        <v>4573</v>
      </c>
      <c r="D1574" cm="1">
        <f t="array" ref="D1574">IFERROR(IF(SUMPRODUCT((expected_production[Site Name]=A1574)*(expected_production[Date]=B1574)*ISNUMBER(expected_production[Expected Production (kWh)]))=0,"",SUMIFS(expected_production[Expected Production (kWh)],expected_production[Site Name],A1574,expected_production[Date],B1574)),"")</f>
        <v>4894.29</v>
      </c>
      <c r="E1574" s="9">
        <f t="shared" si="50"/>
        <v>0.93435411469283591</v>
      </c>
      <c r="F1574" t="str">
        <f t="shared" si="51"/>
        <v>Expected</v>
      </c>
    </row>
    <row r="1575" spans="1:7" ht="15" customHeight="1" x14ac:dyDescent="0.3">
      <c r="A1575" t="s">
        <v>155</v>
      </c>
      <c r="B1575" s="2">
        <v>46054</v>
      </c>
      <c r="C1575" cm="1">
        <f t="array" ref="C1575">IFERROR(IF(SUMPRODUCT((measured[Site Name]=A1575)*(measured[Date]=B1575)*ISNUMBER(measured[Measured Value (kWh)]))=0,"",SUMIFS(measured[Measured Value (kWh)],measured[Site Name],A1575,measured[Date],B1575)),"")</f>
        <v>4586.7700000000004</v>
      </c>
      <c r="D1575" cm="1">
        <f t="array" ref="D1575">IFERROR(IF(SUMPRODUCT((expected_production[Site Name]=A1575)*(expected_production[Date]=B1575)*ISNUMBER(expected_production[Expected Production (kWh)]))=0,"",SUMIFS(expected_production[Expected Production (kWh)],expected_production[Site Name],A1575,expected_production[Date],B1575)),"")</f>
        <v>4527.45</v>
      </c>
      <c r="E1575" s="9">
        <f t="shared" si="50"/>
        <v>1.013102298203183</v>
      </c>
      <c r="F1575" t="str">
        <f t="shared" si="51"/>
        <v>Expected</v>
      </c>
    </row>
    <row r="1576" spans="1:7" ht="15" customHeight="1" x14ac:dyDescent="0.3">
      <c r="A1576" t="s">
        <v>155</v>
      </c>
      <c r="B1576" s="2">
        <v>46082</v>
      </c>
      <c r="C1576" cm="1">
        <f t="array" ref="C1576">IFERROR(IF(SUMPRODUCT((measured[Site Name]=A1576)*(measured[Date]=B1576)*ISNUMBER(measured[Measured Value (kWh)]))=0,"",SUMIFS(measured[Measured Value (kWh)],measured[Site Name],A1576,measured[Date],B1576)),"")</f>
        <v>4089</v>
      </c>
      <c r="D1576" cm="1">
        <f t="array" ref="D1576">IFERROR(IF(SUMPRODUCT((expected_production[Site Name]=A1576)*(expected_production[Date]=B1576)*ISNUMBER(expected_production[Expected Production (kWh)]))=0,"",SUMIFS(expected_production[Expected Production (kWh)],expected_production[Site Name],A1576,expected_production[Date],B1576)),"")</f>
        <v>4754.25</v>
      </c>
      <c r="E1576" s="9">
        <f t="shared" si="50"/>
        <v>0.86007256665089127</v>
      </c>
      <c r="F1576" t="str">
        <f t="shared" si="51"/>
        <v>Moderate</v>
      </c>
    </row>
    <row r="1577" spans="1:7" ht="15" customHeight="1" x14ac:dyDescent="0.3">
      <c r="A1577" t="s">
        <v>155</v>
      </c>
      <c r="B1577" s="2">
        <v>46113</v>
      </c>
      <c r="C1577" cm="1">
        <f t="array" ref="C1577">IFERROR(IF(SUMPRODUCT((measured[Site Name]=A1577)*(measured[Date]=B1577)*ISNUMBER(measured[Measured Value (kWh)]))=0,"",SUMIFS(measured[Measured Value (kWh)],measured[Site Name],A1577,measured[Date],B1577)),"")</f>
        <v>844.2</v>
      </c>
      <c r="D1577" cm="1">
        <f t="array" ref="D1577">IFERROR(IF(SUMPRODUCT((expected_production[Site Name]=A1577)*(expected_production[Date]=B1577)*ISNUMBER(expected_production[Expected Production (kWh)]))=0,"",SUMIFS(expected_production[Expected Production (kWh)],expected_production[Site Name],A1577,expected_production[Date],B1577)),"")</f>
        <v>4171.59</v>
      </c>
      <c r="E1577" s="9">
        <f t="shared" si="50"/>
        <v>0.20236888093029276</v>
      </c>
      <c r="F1577" t="str">
        <f t="shared" si="51"/>
        <v>Poor</v>
      </c>
    </row>
    <row r="1578" spans="1:7" ht="15" customHeight="1" x14ac:dyDescent="0.3">
      <c r="A1578" t="s">
        <v>155</v>
      </c>
      <c r="B1578" s="2">
        <v>46143</v>
      </c>
      <c r="C1578" cm="1">
        <f t="array" ref="C1578">IFERROR(IF(SUMPRODUCT((measured[Site Name]=A1578)*(measured[Date]=B1578)*ISNUMBER(measured[Measured Value (kWh)]))=0,"",SUMIFS(measured[Measured Value (kWh)],measured[Site Name],A1578,measured[Date],B1578)),"")</f>
        <v>0</v>
      </c>
      <c r="D1578" cm="1">
        <f t="array" ref="D1578">IFERROR(IF(SUMPRODUCT((expected_production[Site Name]=A1578)*(expected_production[Date]=B1578)*ISNUMBER(expected_production[Expected Production (kWh)]))=0,"",SUMIFS(expected_production[Expected Production (kWh)],expected_production[Site Name],A1578,expected_production[Date],B1578)),"")</f>
        <v>4117.5</v>
      </c>
      <c r="E1578" s="9">
        <f t="shared" si="50"/>
        <v>0</v>
      </c>
      <c r="F1578" t="str">
        <f t="shared" si="51"/>
        <v>Poor</v>
      </c>
    </row>
    <row r="1579" spans="1:7" ht="15" customHeight="1" x14ac:dyDescent="0.3">
      <c r="A1579" t="s">
        <v>155</v>
      </c>
      <c r="B1579" s="2">
        <v>46174</v>
      </c>
      <c r="C1579" t="str" cm="1">
        <f t="array" ref="C1579">IFERROR(IF(SUMPRODUCT((measured[Site Name]=A1579)*(measured[Date]=B1579)*ISNUMBER(measured[Measured Value (kWh)]))=0,"",SUMIFS(measured[Measured Value (kWh)],measured[Site Name],A1579,measured[Date],B1579)),"")</f>
        <v/>
      </c>
      <c r="D1579" cm="1">
        <f t="array" ref="D1579">IFERROR(IF(SUMPRODUCT((expected_production[Site Name]=A1579)*(expected_production[Date]=B1579)*ISNUMBER(expected_production[Expected Production (kWh)]))=0,"",SUMIFS(expected_production[Expected Production (kWh)],expected_production[Site Name],A1579,expected_production[Date],B1579)),"")</f>
        <v>3729.06</v>
      </c>
      <c r="E1579" s="9" t="str">
        <f t="shared" si="50"/>
        <v/>
      </c>
      <c r="F1579" t="str">
        <f t="shared" si="51"/>
        <v/>
      </c>
    </row>
    <row r="1580" spans="1:7" ht="15" customHeight="1" x14ac:dyDescent="0.3">
      <c r="A1580" s="12" t="s">
        <v>145</v>
      </c>
      <c r="B1580" s="43">
        <v>46204</v>
      </c>
      <c r="C1580" s="12" cm="1">
        <f t="array" ref="C1580">IFERROR(IF(SUMPRODUCT((measured[Site Name]=A1580)*(measured[Date]=B1580)*ISNUMBER(measured[Measured Value (kWh)]))=0,"",SUMIFS(measured[Measured Value (kWh)],measured[Site Name],A1580,measured[Date],B1580)),"")</f>
        <v>25915.636999999999</v>
      </c>
      <c r="D1580" s="12" cm="1">
        <f t="array" ref="D1580">IFERROR(IF(SUMPRODUCT((expected_production[Site Name]=A1580)*(expected_production[Date]=B1580)*ISNUMBER(expected_production[Expected Production (kWh)]))=0,"",SUMIFS(expected_production[Expected Production (kWh)],expected_production[Site Name],A1580,expected_production[Date],B1580)),"")</f>
        <v>32459.809590000001</v>
      </c>
      <c r="E1580" s="44">
        <f t="shared" si="50"/>
        <v>0.79839152870397345</v>
      </c>
      <c r="F1580" s="12" t="str">
        <f t="shared" si="51"/>
        <v>Moderate</v>
      </c>
      <c r="G1580" s="12" t="s">
        <v>875</v>
      </c>
    </row>
    <row r="1581" spans="1:7" ht="15" customHeight="1" x14ac:dyDescent="0.3">
      <c r="A1581" t="s">
        <v>155</v>
      </c>
      <c r="B1581" s="2">
        <v>46235</v>
      </c>
      <c r="C1581" t="str" cm="1">
        <f t="array" ref="C1581">IFERROR(IF(SUMPRODUCT((measured[Site Name]=A1581)*(measured[Date]=B1581)*ISNUMBER(measured[Measured Value (kWh)]))=0,"",SUMIFS(measured[Measured Value (kWh)],measured[Site Name],A1581,measured[Date],B1581)),"")</f>
        <v/>
      </c>
      <c r="D1581" cm="1">
        <f t="array" ref="D1581">IFERROR(IF(SUMPRODUCT((expected_production[Site Name]=A1581)*(expected_production[Date]=B1581)*ISNUMBER(expected_production[Expected Production (kWh)]))=0,"",SUMIFS(expected_production[Expected Production (kWh)],expected_production[Site Name],A1581,expected_production[Date],B1581)),"")</f>
        <v>4624.83</v>
      </c>
      <c r="E1581" s="9" t="str">
        <f t="shared" si="50"/>
        <v/>
      </c>
      <c r="F1581" t="str">
        <f t="shared" si="51"/>
        <v/>
      </c>
    </row>
    <row r="1582" spans="1:7" ht="15" customHeight="1" x14ac:dyDescent="0.3">
      <c r="A1582" t="s">
        <v>155</v>
      </c>
      <c r="B1582" s="2">
        <v>46266</v>
      </c>
      <c r="C1582" t="str" cm="1">
        <f t="array" ref="C1582">IFERROR(IF(SUMPRODUCT((measured[Site Name]=A1582)*(measured[Date]=B1582)*ISNUMBER(measured[Measured Value (kWh)]))=0,"",SUMIFS(measured[Measured Value (kWh)],measured[Site Name],A1582,measured[Date],B1582)),"")</f>
        <v/>
      </c>
      <c r="D1582" cm="1">
        <f t="array" ref="D1582">IFERROR(IF(SUMPRODUCT((expected_production[Site Name]=A1582)*(expected_production[Date]=B1582)*ISNUMBER(expected_production[Expected Production (kWh)]))=0,"",SUMIFS(expected_production[Expected Production (kWh)],expected_production[Site Name],A1582,expected_production[Date],B1582)),"")</f>
        <v>4797</v>
      </c>
      <c r="E1582" s="9" t="str">
        <f t="shared" si="50"/>
        <v/>
      </c>
      <c r="F1582" t="str">
        <f t="shared" si="51"/>
        <v/>
      </c>
    </row>
    <row r="1583" spans="1:7" ht="15" customHeight="1" x14ac:dyDescent="0.3">
      <c r="A1583" t="s">
        <v>155</v>
      </c>
      <c r="B1583" s="2">
        <v>46296</v>
      </c>
      <c r="C1583" t="str" cm="1">
        <f t="array" ref="C1583">IFERROR(IF(SUMPRODUCT((measured[Site Name]=A1583)*(measured[Date]=B1583)*ISNUMBER(measured[Measured Value (kWh)]))=0,"",SUMIFS(measured[Measured Value (kWh)],measured[Site Name],A1583,measured[Date],B1583)),"")</f>
        <v/>
      </c>
      <c r="D1583" cm="1">
        <f t="array" ref="D1583">IFERROR(IF(SUMPRODUCT((expected_production[Site Name]=A1583)*(expected_production[Date]=B1583)*ISNUMBER(expected_production[Expected Production (kWh)]))=0,"",SUMIFS(expected_production[Expected Production (kWh)],expected_production[Site Name],A1583,expected_production[Date],B1583)),"")</f>
        <v>5068.9799999999996</v>
      </c>
      <c r="E1583" s="9" t="str">
        <f t="shared" si="50"/>
        <v/>
      </c>
      <c r="F1583" t="str">
        <f t="shared" si="51"/>
        <v/>
      </c>
    </row>
    <row r="1584" spans="1:7" ht="15" customHeight="1" x14ac:dyDescent="0.3">
      <c r="A1584" t="s">
        <v>155</v>
      </c>
      <c r="B1584" s="2">
        <v>46327</v>
      </c>
      <c r="C1584" t="str" cm="1">
        <f t="array" ref="C1584">IFERROR(IF(SUMPRODUCT((measured[Site Name]=A1584)*(measured[Date]=B1584)*ISNUMBER(measured[Measured Value (kWh)]))=0,"",SUMIFS(measured[Measured Value (kWh)],measured[Site Name],A1584,measured[Date],B1584)),"")</f>
        <v/>
      </c>
      <c r="D1584" cm="1">
        <f t="array" ref="D1584">IFERROR(IF(SUMPRODUCT((expected_production[Site Name]=A1584)*(expected_production[Date]=B1584)*ISNUMBER(expected_production[Expected Production (kWh)]))=0,"",SUMIFS(expected_production[Expected Production (kWh)],expected_production[Site Name],A1584,expected_production[Date],B1584)),"")</f>
        <v>4862.88</v>
      </c>
      <c r="E1584" s="9" t="str">
        <f t="shared" si="50"/>
        <v/>
      </c>
      <c r="F1584" t="str">
        <f t="shared" si="51"/>
        <v/>
      </c>
    </row>
    <row r="1585" spans="1:6" ht="15" customHeight="1" x14ac:dyDescent="0.3">
      <c r="A1585" t="s">
        <v>155</v>
      </c>
      <c r="B1585" s="2">
        <v>46357</v>
      </c>
      <c r="C1585" t="str" cm="1">
        <f t="array" ref="C1585">IFERROR(IF(SUMPRODUCT((measured[Site Name]=A1585)*(measured[Date]=B1585)*ISNUMBER(measured[Measured Value (kWh)]))=0,"",SUMIFS(measured[Measured Value (kWh)],measured[Site Name],A1585,measured[Date],B1585)),"")</f>
        <v/>
      </c>
      <c r="D1585" cm="1">
        <f t="array" ref="D1585">IFERROR(IF(SUMPRODUCT((expected_production[Site Name]=A1585)*(expected_production[Date]=B1585)*ISNUMBER(expected_production[Expected Production (kWh)]))=0,"",SUMIFS(expected_production[Expected Production (kWh)],expected_production[Site Name],A1585,expected_production[Date],B1585)),"")</f>
        <v>5082.3900000000003</v>
      </c>
      <c r="E1585" s="9" t="str">
        <f t="shared" si="50"/>
        <v/>
      </c>
      <c r="F1585" t="str">
        <f t="shared" si="51"/>
        <v/>
      </c>
    </row>
    <row r="1586" spans="1:6" ht="15" customHeight="1" x14ac:dyDescent="0.3">
      <c r="A1586" t="s">
        <v>157</v>
      </c>
      <c r="B1586" s="2">
        <v>45292</v>
      </c>
      <c r="C1586" cm="1">
        <f t="array" ref="C1586">IFERROR(IF(SUMPRODUCT((measured[Site Name]=A1586)*(measured[Date]=B1586)*ISNUMBER(measured[Measured Value (kWh)]))=0,"",SUMIFS(measured[Measured Value (kWh)],measured[Site Name],A1586,measured[Date],B1586)),"")</f>
        <v>6159</v>
      </c>
      <c r="D1586" cm="1">
        <f t="array" ref="D1586">IFERROR(IF(SUMPRODUCT((expected_production[Site Name]=A1586)*(expected_production[Date]=B1586)*ISNUMBER(expected_production[Expected Production (kWh)]))=0,"",SUMIFS(expected_production[Expected Production (kWh)],expected_production[Site Name],A1586,expected_production[Date],B1586)),"")</f>
        <v>5902.47</v>
      </c>
      <c r="E1586" s="9">
        <f t="shared" si="50"/>
        <v>1.0434614661319752</v>
      </c>
      <c r="F1586" t="str">
        <f t="shared" si="51"/>
        <v>Expected</v>
      </c>
    </row>
    <row r="1587" spans="1:6" ht="15" customHeight="1" x14ac:dyDescent="0.3">
      <c r="A1587" t="s">
        <v>157</v>
      </c>
      <c r="B1587" s="2">
        <v>45323</v>
      </c>
      <c r="C1587" cm="1">
        <f t="array" ref="C1587">IFERROR(IF(SUMPRODUCT((measured[Site Name]=A1587)*(measured[Date]=B1587)*ISNUMBER(measured[Measured Value (kWh)]))=0,"",SUMIFS(measured[Measured Value (kWh)],measured[Site Name],A1587,measured[Date],B1587)),"")</f>
        <v>4495</v>
      </c>
      <c r="D1587" cm="1">
        <f t="array" ref="D1587">IFERROR(IF(SUMPRODUCT((expected_production[Site Name]=A1587)*(expected_production[Date]=B1587)*ISNUMBER(expected_production[Expected Production (kWh)]))=0,"",SUMIFS(expected_production[Expected Production (kWh)],expected_production[Site Name],A1587,expected_production[Date],B1587)),"")</f>
        <v>5299.2</v>
      </c>
      <c r="E1587" s="9">
        <f t="shared" si="50"/>
        <v>0.8482412439613527</v>
      </c>
      <c r="F1587" t="str">
        <f t="shared" si="51"/>
        <v>Moderate</v>
      </c>
    </row>
    <row r="1588" spans="1:6" ht="15" customHeight="1" x14ac:dyDescent="0.3">
      <c r="A1588" t="s">
        <v>157</v>
      </c>
      <c r="B1588" s="2">
        <v>45352</v>
      </c>
      <c r="C1588" cm="1">
        <f t="array" ref="C1588">IFERROR(IF(SUMPRODUCT((measured[Site Name]=A1588)*(measured[Date]=B1588)*ISNUMBER(measured[Measured Value (kWh)]))=0,"",SUMIFS(measured[Measured Value (kWh)],measured[Site Name],A1588,measured[Date],B1588)),"")</f>
        <v>5040</v>
      </c>
      <c r="D1588" cm="1">
        <f t="array" ref="D1588">IFERROR(IF(SUMPRODUCT((expected_production[Site Name]=A1588)*(expected_production[Date]=B1588)*ISNUMBER(expected_production[Expected Production (kWh)]))=0,"",SUMIFS(expected_production[Expected Production (kWh)],expected_production[Site Name],A1588,expected_production[Date],B1588)),"")</f>
        <v>5701.86</v>
      </c>
      <c r="E1588" s="9">
        <f t="shared" si="50"/>
        <v>0.8839220885816208</v>
      </c>
      <c r="F1588" t="str">
        <f t="shared" si="51"/>
        <v>Moderate</v>
      </c>
    </row>
    <row r="1589" spans="1:6" ht="15" customHeight="1" x14ac:dyDescent="0.3">
      <c r="A1589" t="s">
        <v>157</v>
      </c>
      <c r="B1589" s="2">
        <v>45383</v>
      </c>
      <c r="C1589" cm="1">
        <f t="array" ref="C1589">IFERROR(IF(SUMPRODUCT((measured[Site Name]=A1589)*(measured[Date]=B1589)*ISNUMBER(measured[Measured Value (kWh)]))=0,"",SUMIFS(measured[Measured Value (kWh)],measured[Site Name],A1589,measured[Date],B1589)),"")</f>
        <v>4485</v>
      </c>
      <c r="D1589" cm="1">
        <f t="array" ref="D1589">IFERROR(IF(SUMPRODUCT((expected_production[Site Name]=A1589)*(expected_production[Date]=B1589)*ISNUMBER(expected_production[Expected Production (kWh)]))=0,"",SUMIFS(expected_production[Expected Production (kWh)],expected_production[Site Name],A1589,expected_production[Date],B1589)),"")</f>
        <v>5085.8999999999996</v>
      </c>
      <c r="E1589" s="9">
        <f t="shared" si="50"/>
        <v>0.88184982009083945</v>
      </c>
      <c r="F1589" t="str">
        <f t="shared" si="51"/>
        <v>Moderate</v>
      </c>
    </row>
    <row r="1590" spans="1:6" ht="15" customHeight="1" x14ac:dyDescent="0.3">
      <c r="A1590" t="s">
        <v>157</v>
      </c>
      <c r="B1590" s="2">
        <v>45413</v>
      </c>
      <c r="C1590" cm="1">
        <f t="array" ref="C1590">IFERROR(IF(SUMPRODUCT((measured[Site Name]=A1590)*(measured[Date]=B1590)*ISNUMBER(measured[Measured Value (kWh)]))=0,"",SUMIFS(measured[Measured Value (kWh)],measured[Site Name],A1590,measured[Date],B1590)),"")</f>
        <v>4861</v>
      </c>
      <c r="D1590" cm="1">
        <f t="array" ref="D1590">IFERROR(IF(SUMPRODUCT((expected_production[Site Name]=A1590)*(expected_production[Date]=B1590)*ISNUMBER(expected_production[Expected Production (kWh)]))=0,"",SUMIFS(expected_production[Expected Production (kWh)],expected_production[Site Name],A1590,expected_production[Date],B1590)),"")</f>
        <v>5204.6099999999997</v>
      </c>
      <c r="E1590" s="9">
        <f t="shared" si="50"/>
        <v>0.93397968339606618</v>
      </c>
      <c r="F1590" t="str">
        <f t="shared" si="51"/>
        <v>Expected</v>
      </c>
    </row>
    <row r="1591" spans="1:6" ht="15" customHeight="1" x14ac:dyDescent="0.3">
      <c r="A1591" t="s">
        <v>157</v>
      </c>
      <c r="B1591" s="2">
        <v>45444</v>
      </c>
      <c r="C1591" cm="1">
        <f t="array" ref="C1591">IFERROR(IF(SUMPRODUCT((measured[Site Name]=A1591)*(measured[Date]=B1591)*ISNUMBER(measured[Measured Value (kWh)]))=0,"",SUMIFS(measured[Measured Value (kWh)],measured[Site Name],A1591,measured[Date],B1591)),"")</f>
        <v>3929</v>
      </c>
      <c r="D1591" cm="1">
        <f t="array" ref="D1591">IFERROR(IF(SUMPRODUCT((expected_production[Site Name]=A1591)*(expected_production[Date]=B1591)*ISNUMBER(expected_production[Expected Production (kWh)]))=0,"",SUMIFS(expected_production[Expected Production (kWh)],expected_production[Site Name],A1591,expected_production[Date],B1591)),"")</f>
        <v>4824.3599999999997</v>
      </c>
      <c r="E1591" s="9">
        <f t="shared" si="50"/>
        <v>0.81440854330937162</v>
      </c>
      <c r="F1591" t="str">
        <f t="shared" si="51"/>
        <v>Moderate</v>
      </c>
    </row>
    <row r="1592" spans="1:6" ht="15" customHeight="1" x14ac:dyDescent="0.3">
      <c r="A1592" t="s">
        <v>157</v>
      </c>
      <c r="B1592" s="2">
        <v>45474</v>
      </c>
      <c r="C1592" cm="1">
        <f t="array" ref="C1592">IFERROR(IF(SUMPRODUCT((measured[Site Name]=A1592)*(measured[Date]=B1592)*ISNUMBER(measured[Measured Value (kWh)]))=0,"",SUMIFS(measured[Measured Value (kWh)],measured[Site Name],A1592,measured[Date],B1592)),"")</f>
        <v>4619</v>
      </c>
      <c r="D1592" cm="1">
        <f t="array" ref="D1592">IFERROR(IF(SUMPRODUCT((expected_production[Site Name]=A1592)*(expected_production[Date]=B1592)*ISNUMBER(expected_production[Expected Production (kWh)]))=0,"",SUMIFS(expected_production[Expected Production (kWh)],expected_production[Site Name],A1592,expected_production[Date],B1592)),"")</f>
        <v>5303.16</v>
      </c>
      <c r="E1592" s="9">
        <f t="shared" si="50"/>
        <v>0.87099012664147413</v>
      </c>
      <c r="F1592" t="str">
        <f t="shared" si="51"/>
        <v>Moderate</v>
      </c>
    </row>
    <row r="1593" spans="1:6" ht="15" customHeight="1" x14ac:dyDescent="0.3">
      <c r="A1593" t="s">
        <v>157</v>
      </c>
      <c r="B1593" s="2">
        <v>45505</v>
      </c>
      <c r="C1593" cm="1">
        <f t="array" ref="C1593">IFERROR(IF(SUMPRODUCT((measured[Site Name]=A1593)*(measured[Date]=B1593)*ISNUMBER(measured[Measured Value (kWh)]))=0,"",SUMIFS(measured[Measured Value (kWh)],measured[Site Name],A1593,measured[Date],B1593)),"")</f>
        <v>5354</v>
      </c>
      <c r="D1593" cm="1">
        <f t="array" ref="D1593">IFERROR(IF(SUMPRODUCT((expected_production[Site Name]=A1593)*(expected_production[Date]=B1593)*ISNUMBER(expected_production[Expected Production (kWh)]))=0,"",SUMIFS(expected_production[Expected Production (kWh)],expected_production[Site Name],A1593,expected_production[Date],B1593)),"")</f>
        <v>5833.08</v>
      </c>
      <c r="E1593" s="9">
        <f t="shared" si="50"/>
        <v>0.91786843314338229</v>
      </c>
      <c r="F1593" t="str">
        <f t="shared" si="51"/>
        <v>Expected</v>
      </c>
    </row>
    <row r="1594" spans="1:6" ht="15" customHeight="1" x14ac:dyDescent="0.3">
      <c r="A1594" t="s">
        <v>157</v>
      </c>
      <c r="B1594" s="2">
        <v>45536</v>
      </c>
      <c r="C1594" cm="1">
        <f t="array" ref="C1594">IFERROR(IF(SUMPRODUCT((measured[Site Name]=A1594)*(measured[Date]=B1594)*ISNUMBER(measured[Measured Value (kWh)]))=0,"",SUMIFS(measured[Measured Value (kWh)],measured[Site Name],A1594,measured[Date],B1594)),"")</f>
        <v>4908</v>
      </c>
      <c r="D1594" cm="1">
        <f t="array" ref="D1594">IFERROR(IF(SUMPRODUCT((expected_production[Site Name]=A1594)*(expected_production[Date]=B1594)*ISNUMBER(expected_production[Expected Production (kWh)]))=0,"",SUMIFS(expected_production[Expected Production (kWh)],expected_production[Site Name],A1594,expected_production[Date],B1594)),"")</f>
        <v>6021.81</v>
      </c>
      <c r="E1594" s="9">
        <f t="shared" si="50"/>
        <v>0.81503733927174715</v>
      </c>
      <c r="F1594" t="str">
        <f t="shared" si="51"/>
        <v>Moderate</v>
      </c>
    </row>
    <row r="1595" spans="1:6" ht="15" customHeight="1" x14ac:dyDescent="0.3">
      <c r="A1595" t="s">
        <v>157</v>
      </c>
      <c r="B1595" s="2">
        <v>45566</v>
      </c>
      <c r="C1595" cm="1">
        <f t="array" ref="C1595">IFERROR(IF(SUMPRODUCT((measured[Site Name]=A1595)*(measured[Date]=B1595)*ISNUMBER(measured[Measured Value (kWh)]))=0,"",SUMIFS(measured[Measured Value (kWh)],measured[Site Name],A1595,measured[Date],B1595)),"")</f>
        <v>6335</v>
      </c>
      <c r="D1595" cm="1">
        <f t="array" ref="D1595">IFERROR(IF(SUMPRODUCT((expected_production[Site Name]=A1595)*(expected_production[Date]=B1595)*ISNUMBER(expected_production[Expected Production (kWh)]))=0,"",SUMIFS(expected_production[Expected Production (kWh)],expected_production[Site Name],A1595,expected_production[Date],B1595)),"")</f>
        <v>6128.91</v>
      </c>
      <c r="E1595" s="9">
        <f t="shared" si="50"/>
        <v>1.0336258812741581</v>
      </c>
      <c r="F1595" t="str">
        <f t="shared" si="51"/>
        <v>Expected</v>
      </c>
    </row>
    <row r="1596" spans="1:6" ht="15" customHeight="1" x14ac:dyDescent="0.3">
      <c r="A1596" t="s">
        <v>157</v>
      </c>
      <c r="B1596" s="2">
        <v>45597</v>
      </c>
      <c r="C1596" cm="1">
        <f t="array" ref="C1596">IFERROR(IF(SUMPRODUCT((measured[Site Name]=A1596)*(measured[Date]=B1596)*ISNUMBER(measured[Measured Value (kWh)]))=0,"",SUMIFS(measured[Measured Value (kWh)],measured[Site Name],A1596,measured[Date],B1596)),"")</f>
        <v>5824</v>
      </c>
      <c r="D1596" cm="1">
        <f t="array" ref="D1596">IFERROR(IF(SUMPRODUCT((expected_production[Site Name]=A1596)*(expected_production[Date]=B1596)*ISNUMBER(expected_production[Expected Production (kWh)]))=0,"",SUMIFS(expected_production[Expected Production (kWh)],expected_production[Site Name],A1596,expected_production[Date],B1596)),"")</f>
        <v>5928.57</v>
      </c>
      <c r="E1596" s="9">
        <f t="shared" ref="E1596:E1659" si="52">IF(OR(C1596="",D1596="",D1596=0),"",C1596/D1596)</f>
        <v>0.98236168249679101</v>
      </c>
      <c r="F1596" t="str">
        <f t="shared" ref="F1596:F1659" si="53">IF(E1596="","",IF(E1596&gt;=0.9,"Expected",IF(E1596&gt;=0.7,"Moderate","Poor")))</f>
        <v>Expected</v>
      </c>
    </row>
    <row r="1597" spans="1:6" ht="15" customHeight="1" x14ac:dyDescent="0.3">
      <c r="A1597" t="s">
        <v>157</v>
      </c>
      <c r="B1597" s="2">
        <v>45627</v>
      </c>
      <c r="C1597" cm="1">
        <f t="array" ref="C1597">IFERROR(IF(SUMPRODUCT((measured[Site Name]=A1597)*(measured[Date]=B1597)*ISNUMBER(measured[Measured Value (kWh)]))=0,"",SUMIFS(measured[Measured Value (kWh)],measured[Site Name],A1597,measured[Date],B1597)),"")</f>
        <v>6091</v>
      </c>
      <c r="D1597" cm="1">
        <f t="array" ref="D1597">IFERROR(IF(SUMPRODUCT((expected_production[Site Name]=A1597)*(expected_production[Date]=B1597)*ISNUMBER(expected_production[Expected Production (kWh)]))=0,"",SUMIFS(expected_production[Expected Production (kWh)],expected_production[Site Name],A1597,expected_production[Date],B1597)),"")</f>
        <v>6186.69</v>
      </c>
      <c r="E1597" s="9">
        <f t="shared" si="52"/>
        <v>0.98453292471418485</v>
      </c>
      <c r="F1597" t="str">
        <f t="shared" si="53"/>
        <v>Expected</v>
      </c>
    </row>
    <row r="1598" spans="1:6" ht="15" customHeight="1" x14ac:dyDescent="0.3">
      <c r="A1598" t="s">
        <v>157</v>
      </c>
      <c r="B1598" s="2">
        <v>45658</v>
      </c>
      <c r="C1598" cm="1">
        <f t="array" ref="C1598">IFERROR(IF(SUMPRODUCT((measured[Site Name]=A1598)*(measured[Date]=B1598)*ISNUMBER(measured[Measured Value (kWh)]))=0,"",SUMIFS(measured[Measured Value (kWh)],measured[Site Name],A1598,measured[Date],B1598)),"")</f>
        <v>5309</v>
      </c>
      <c r="D1598" cm="1">
        <f t="array" ref="D1598">IFERROR(IF(SUMPRODUCT((expected_production[Site Name]=A1598)*(expected_production[Date]=B1598)*ISNUMBER(expected_production[Expected Production (kWh)]))=0,"",SUMIFS(expected_production[Expected Production (kWh)],expected_production[Site Name],A1598,expected_production[Date],B1598)),"")</f>
        <v>5902.47</v>
      </c>
      <c r="E1598" s="9">
        <f t="shared" si="52"/>
        <v>0.89945395741104994</v>
      </c>
      <c r="F1598" t="str">
        <f t="shared" si="53"/>
        <v>Moderate</v>
      </c>
    </row>
    <row r="1599" spans="1:6" ht="15" customHeight="1" x14ac:dyDescent="0.3">
      <c r="A1599" t="s">
        <v>157</v>
      </c>
      <c r="B1599" s="2">
        <v>45689</v>
      </c>
      <c r="C1599" cm="1">
        <f t="array" ref="C1599">IFERROR(IF(SUMPRODUCT((measured[Site Name]=A1599)*(measured[Date]=B1599)*ISNUMBER(measured[Measured Value (kWh)]))=0,"",SUMIFS(measured[Measured Value (kWh)],measured[Site Name],A1599,measured[Date],B1599)),"")</f>
        <v>3761</v>
      </c>
      <c r="D1599" cm="1">
        <f t="array" ref="D1599">IFERROR(IF(SUMPRODUCT((expected_production[Site Name]=A1599)*(expected_production[Date]=B1599)*ISNUMBER(expected_production[Expected Production (kWh)]))=0,"",SUMIFS(expected_production[Expected Production (kWh)],expected_production[Site Name],A1599,expected_production[Date],B1599)),"")</f>
        <v>5299.2</v>
      </c>
      <c r="E1599" s="9">
        <f t="shared" si="52"/>
        <v>0.70972977053140096</v>
      </c>
      <c r="F1599" t="str">
        <f t="shared" si="53"/>
        <v>Moderate</v>
      </c>
    </row>
    <row r="1600" spans="1:6" ht="15" customHeight="1" x14ac:dyDescent="0.3">
      <c r="A1600" t="s">
        <v>157</v>
      </c>
      <c r="B1600" s="2">
        <v>45717</v>
      </c>
      <c r="C1600" cm="1">
        <f t="array" ref="C1600">IFERROR(IF(SUMPRODUCT((measured[Site Name]=A1600)*(measured[Date]=B1600)*ISNUMBER(measured[Measured Value (kWh)]))=0,"",SUMIFS(measured[Measured Value (kWh)],measured[Site Name],A1600,measured[Date],B1600)),"")</f>
        <v>4074</v>
      </c>
      <c r="D1600" cm="1">
        <f t="array" ref="D1600">IFERROR(IF(SUMPRODUCT((expected_production[Site Name]=A1600)*(expected_production[Date]=B1600)*ISNUMBER(expected_production[Expected Production (kWh)]))=0,"",SUMIFS(expected_production[Expected Production (kWh)],expected_production[Site Name],A1600,expected_production[Date],B1600)),"")</f>
        <v>5701.86</v>
      </c>
      <c r="E1600" s="9">
        <f t="shared" si="52"/>
        <v>0.71450368827014343</v>
      </c>
      <c r="F1600" t="str">
        <f t="shared" si="53"/>
        <v>Moderate</v>
      </c>
    </row>
    <row r="1601" spans="1:7" ht="15" customHeight="1" x14ac:dyDescent="0.3">
      <c r="A1601" t="s">
        <v>157</v>
      </c>
      <c r="B1601" s="2">
        <v>45748</v>
      </c>
      <c r="C1601" cm="1">
        <f t="array" ref="C1601">IFERROR(IF(SUMPRODUCT((measured[Site Name]=A1601)*(measured[Date]=B1601)*ISNUMBER(measured[Measured Value (kWh)]))=0,"",SUMIFS(measured[Measured Value (kWh)],measured[Site Name],A1601,measured[Date],B1601)),"")</f>
        <v>3902</v>
      </c>
      <c r="D1601" cm="1">
        <f t="array" ref="D1601">IFERROR(IF(SUMPRODUCT((expected_production[Site Name]=A1601)*(expected_production[Date]=B1601)*ISNUMBER(expected_production[Expected Production (kWh)]))=0,"",SUMIFS(expected_production[Expected Production (kWh)],expected_production[Site Name],A1601,expected_production[Date],B1601)),"")</f>
        <v>5085.8999999999996</v>
      </c>
      <c r="E1601" s="9">
        <f t="shared" si="52"/>
        <v>0.76721917458070354</v>
      </c>
      <c r="F1601" t="str">
        <f t="shared" si="53"/>
        <v>Moderate</v>
      </c>
    </row>
    <row r="1602" spans="1:7" ht="15" customHeight="1" x14ac:dyDescent="0.3">
      <c r="A1602" t="s">
        <v>157</v>
      </c>
      <c r="B1602" s="2">
        <v>45778</v>
      </c>
      <c r="C1602" cm="1">
        <f t="array" ref="C1602">IFERROR(IF(SUMPRODUCT((measured[Site Name]=A1602)*(measured[Date]=B1602)*ISNUMBER(measured[Measured Value (kWh)]))=0,"",SUMIFS(measured[Measured Value (kWh)],measured[Site Name],A1602,measured[Date],B1602)),"")</f>
        <v>5047</v>
      </c>
      <c r="D1602" cm="1">
        <f t="array" ref="D1602">IFERROR(IF(SUMPRODUCT((expected_production[Site Name]=A1602)*(expected_production[Date]=B1602)*ISNUMBER(expected_production[Expected Production (kWh)]))=0,"",SUMIFS(expected_production[Expected Production (kWh)],expected_production[Site Name],A1602,expected_production[Date],B1602)),"")</f>
        <v>5204.6099999999997</v>
      </c>
      <c r="E1602" s="9">
        <f t="shared" si="52"/>
        <v>0.96971723145442223</v>
      </c>
      <c r="F1602" t="str">
        <f t="shared" si="53"/>
        <v>Expected</v>
      </c>
    </row>
    <row r="1603" spans="1:7" ht="15" customHeight="1" x14ac:dyDescent="0.3">
      <c r="A1603" t="s">
        <v>157</v>
      </c>
      <c r="B1603" s="2">
        <v>45809</v>
      </c>
      <c r="C1603" cm="1">
        <f t="array" ref="C1603">IFERROR(IF(SUMPRODUCT((measured[Site Name]=A1603)*(measured[Date]=B1603)*ISNUMBER(measured[Measured Value (kWh)]))=0,"",SUMIFS(measured[Measured Value (kWh)],measured[Site Name],A1603,measured[Date],B1603)),"")</f>
        <v>4585.3599999999997</v>
      </c>
      <c r="D1603" cm="1">
        <f t="array" ref="D1603">IFERROR(IF(SUMPRODUCT((expected_production[Site Name]=A1603)*(expected_production[Date]=B1603)*ISNUMBER(expected_production[Expected Production (kWh)]))=0,"",SUMIFS(expected_production[Expected Production (kWh)],expected_production[Site Name],A1603,expected_production[Date],B1603)),"")</f>
        <v>4824.3599999999997</v>
      </c>
      <c r="E1603" s="9">
        <f t="shared" si="52"/>
        <v>0.95045975010156791</v>
      </c>
      <c r="F1603" t="str">
        <f t="shared" si="53"/>
        <v>Expected</v>
      </c>
    </row>
    <row r="1604" spans="1:7" ht="15" customHeight="1" x14ac:dyDescent="0.3">
      <c r="A1604" t="s">
        <v>157</v>
      </c>
      <c r="B1604" s="2">
        <v>45839</v>
      </c>
      <c r="C1604" cm="1">
        <f t="array" ref="C1604">IFERROR(IF(SUMPRODUCT((measured[Site Name]=A1604)*(measured[Date]=B1604)*ISNUMBER(measured[Measured Value (kWh)]))=0,"",SUMIFS(measured[Measured Value (kWh)],measured[Site Name],A1604,measured[Date],B1604)),"")</f>
        <v>4750</v>
      </c>
      <c r="D1604" cm="1">
        <f t="array" ref="D1604">IFERROR(IF(SUMPRODUCT((expected_production[Site Name]=A1604)*(expected_production[Date]=B1604)*ISNUMBER(expected_production[Expected Production (kWh)]))=0,"",SUMIFS(expected_production[Expected Production (kWh)],expected_production[Site Name],A1604,expected_production[Date],B1604)),"")</f>
        <v>5303.16</v>
      </c>
      <c r="E1604" s="9">
        <f t="shared" si="52"/>
        <v>0.89569237963780091</v>
      </c>
      <c r="F1604" t="str">
        <f t="shared" si="53"/>
        <v>Moderate</v>
      </c>
    </row>
    <row r="1605" spans="1:7" ht="15" customHeight="1" x14ac:dyDescent="0.3">
      <c r="A1605" t="s">
        <v>157</v>
      </c>
      <c r="B1605" s="2">
        <v>45870</v>
      </c>
      <c r="C1605" cm="1">
        <f t="array" ref="C1605">IFERROR(IF(SUMPRODUCT((measured[Site Name]=A1605)*(measured[Date]=B1605)*ISNUMBER(measured[Measured Value (kWh)]))=0,"",SUMIFS(measured[Measured Value (kWh)],measured[Site Name],A1605,measured[Date],B1605)),"")</f>
        <v>4940</v>
      </c>
      <c r="D1605" cm="1">
        <f t="array" ref="D1605">IFERROR(IF(SUMPRODUCT((expected_production[Site Name]=A1605)*(expected_production[Date]=B1605)*ISNUMBER(expected_production[Expected Production (kWh)]))=0,"",SUMIFS(expected_production[Expected Production (kWh)],expected_production[Site Name],A1605,expected_production[Date],B1605)),"")</f>
        <v>5833.08</v>
      </c>
      <c r="E1605" s="9">
        <f t="shared" si="52"/>
        <v>0.84689392225033777</v>
      </c>
      <c r="F1605" t="str">
        <f t="shared" si="53"/>
        <v>Moderate</v>
      </c>
    </row>
    <row r="1606" spans="1:7" ht="15" customHeight="1" x14ac:dyDescent="0.3">
      <c r="A1606" t="s">
        <v>157</v>
      </c>
      <c r="B1606" s="2">
        <v>45901</v>
      </c>
      <c r="C1606" cm="1">
        <f t="array" ref="C1606">IFERROR(IF(SUMPRODUCT((measured[Site Name]=A1606)*(measured[Date]=B1606)*ISNUMBER(measured[Measured Value (kWh)]))=0,"",SUMIFS(measured[Measured Value (kWh)],measured[Site Name],A1606,measured[Date],B1606)),"")</f>
        <v>4923</v>
      </c>
      <c r="D1606" cm="1">
        <f t="array" ref="D1606">IFERROR(IF(SUMPRODUCT((expected_production[Site Name]=A1606)*(expected_production[Date]=B1606)*ISNUMBER(expected_production[Expected Production (kWh)]))=0,"",SUMIFS(expected_production[Expected Production (kWh)],expected_production[Site Name],A1606,expected_production[Date],B1606)),"")</f>
        <v>6021.81</v>
      </c>
      <c r="E1606" s="9">
        <f t="shared" si="52"/>
        <v>0.81752828468516936</v>
      </c>
      <c r="F1606" t="str">
        <f t="shared" si="53"/>
        <v>Moderate</v>
      </c>
    </row>
    <row r="1607" spans="1:7" ht="15" customHeight="1" x14ac:dyDescent="0.3">
      <c r="A1607" t="s">
        <v>157</v>
      </c>
      <c r="B1607" s="2">
        <v>45931</v>
      </c>
      <c r="C1607" cm="1">
        <f t="array" ref="C1607">IFERROR(IF(SUMPRODUCT((measured[Site Name]=A1607)*(measured[Date]=B1607)*ISNUMBER(measured[Measured Value (kWh)]))=0,"",SUMIFS(measured[Measured Value (kWh)],measured[Site Name],A1607,measured[Date],B1607)),"")</f>
        <v>5673</v>
      </c>
      <c r="D1607" cm="1">
        <f t="array" ref="D1607">IFERROR(IF(SUMPRODUCT((expected_production[Site Name]=A1607)*(expected_production[Date]=B1607)*ISNUMBER(expected_production[Expected Production (kWh)]))=0,"",SUMIFS(expected_production[Expected Production (kWh)],expected_production[Site Name],A1607,expected_production[Date],B1607)),"")</f>
        <v>6128.91</v>
      </c>
      <c r="E1607" s="9">
        <f t="shared" si="52"/>
        <v>0.9256132003896288</v>
      </c>
      <c r="F1607" t="str">
        <f t="shared" si="53"/>
        <v>Expected</v>
      </c>
    </row>
    <row r="1608" spans="1:7" ht="15" customHeight="1" x14ac:dyDescent="0.3">
      <c r="A1608" t="s">
        <v>157</v>
      </c>
      <c r="B1608" s="2">
        <v>45962</v>
      </c>
      <c r="C1608" cm="1">
        <f t="array" ref="C1608">IFERROR(IF(SUMPRODUCT((measured[Site Name]=A1608)*(measured[Date]=B1608)*ISNUMBER(measured[Measured Value (kWh)]))=0,"",SUMIFS(measured[Measured Value (kWh)],measured[Site Name],A1608,measured[Date],B1608)),"")</f>
        <v>4641</v>
      </c>
      <c r="D1608" cm="1">
        <f t="array" ref="D1608">IFERROR(IF(SUMPRODUCT((expected_production[Site Name]=A1608)*(expected_production[Date]=B1608)*ISNUMBER(expected_production[Expected Production (kWh)]))=0,"",SUMIFS(expected_production[Expected Production (kWh)],expected_production[Site Name],A1608,expected_production[Date],B1608)),"")</f>
        <v>5928.57</v>
      </c>
      <c r="E1608" s="9">
        <f t="shared" si="52"/>
        <v>0.78281946573963035</v>
      </c>
      <c r="F1608" t="str">
        <f t="shared" si="53"/>
        <v>Moderate</v>
      </c>
    </row>
    <row r="1609" spans="1:7" ht="15" customHeight="1" x14ac:dyDescent="0.3">
      <c r="A1609" t="s">
        <v>157</v>
      </c>
      <c r="B1609" s="2">
        <v>45992</v>
      </c>
      <c r="C1609" cm="1">
        <f t="array" ref="C1609">IFERROR(IF(SUMPRODUCT((measured[Site Name]=A1609)*(measured[Date]=B1609)*ISNUMBER(measured[Measured Value (kWh)]))=0,"",SUMIFS(measured[Measured Value (kWh)],measured[Site Name],A1609,measured[Date],B1609)),"")</f>
        <v>5262</v>
      </c>
      <c r="D1609" cm="1">
        <f t="array" ref="D1609">IFERROR(IF(SUMPRODUCT((expected_production[Site Name]=A1609)*(expected_production[Date]=B1609)*ISNUMBER(expected_production[Expected Production (kWh)]))=0,"",SUMIFS(expected_production[Expected Production (kWh)],expected_production[Site Name],A1609,expected_production[Date],B1609)),"")</f>
        <v>6186.69</v>
      </c>
      <c r="E1609" s="9">
        <f t="shared" si="52"/>
        <v>0.85053558526449524</v>
      </c>
      <c r="F1609" t="str">
        <f t="shared" si="53"/>
        <v>Moderate</v>
      </c>
    </row>
    <row r="1610" spans="1:7" ht="15" customHeight="1" x14ac:dyDescent="0.3">
      <c r="A1610" t="s">
        <v>157</v>
      </c>
      <c r="B1610" s="2">
        <v>46023</v>
      </c>
      <c r="C1610" cm="1">
        <f t="array" ref="C1610">IFERROR(IF(SUMPRODUCT((measured[Site Name]=A1610)*(measured[Date]=B1610)*ISNUMBER(measured[Measured Value (kWh)]))=0,"",SUMIFS(measured[Measured Value (kWh)],measured[Site Name],A1610,measured[Date],B1610)),"")</f>
        <v>5546</v>
      </c>
      <c r="D1610" cm="1">
        <f t="array" ref="D1610">IFERROR(IF(SUMPRODUCT((expected_production[Site Name]=A1610)*(expected_production[Date]=B1610)*ISNUMBER(expected_production[Expected Production (kWh)]))=0,"",SUMIFS(expected_production[Expected Production (kWh)],expected_production[Site Name],A1610,expected_production[Date],B1610)),"")</f>
        <v>5902.47</v>
      </c>
      <c r="E1610" s="9">
        <f t="shared" si="52"/>
        <v>0.93960663925441379</v>
      </c>
      <c r="F1610" t="str">
        <f t="shared" si="53"/>
        <v>Expected</v>
      </c>
    </row>
    <row r="1611" spans="1:7" ht="15" customHeight="1" x14ac:dyDescent="0.3">
      <c r="A1611" t="s">
        <v>157</v>
      </c>
      <c r="B1611" s="2">
        <v>46054</v>
      </c>
      <c r="C1611" cm="1">
        <f t="array" ref="C1611">IFERROR(IF(SUMPRODUCT((measured[Site Name]=A1611)*(measured[Date]=B1611)*ISNUMBER(measured[Measured Value (kWh)]))=0,"",SUMIFS(measured[Measured Value (kWh)],measured[Site Name],A1611,measured[Date],B1611)),"")</f>
        <v>5201.2299999999996</v>
      </c>
      <c r="D1611" cm="1">
        <f t="array" ref="D1611">IFERROR(IF(SUMPRODUCT((expected_production[Site Name]=A1611)*(expected_production[Date]=B1611)*ISNUMBER(expected_production[Expected Production (kWh)]))=0,"",SUMIFS(expected_production[Expected Production (kWh)],expected_production[Site Name],A1611,expected_production[Date],B1611)),"")</f>
        <v>5299.2</v>
      </c>
      <c r="E1611" s="9">
        <f t="shared" si="52"/>
        <v>0.98151230374396126</v>
      </c>
      <c r="F1611" t="str">
        <f t="shared" si="53"/>
        <v>Expected</v>
      </c>
    </row>
    <row r="1612" spans="1:7" ht="15" customHeight="1" x14ac:dyDescent="0.3">
      <c r="A1612" t="s">
        <v>157</v>
      </c>
      <c r="B1612" s="2">
        <v>46082</v>
      </c>
      <c r="C1612" cm="1">
        <f t="array" ref="C1612">IFERROR(IF(SUMPRODUCT((measured[Site Name]=A1612)*(measured[Date]=B1612)*ISNUMBER(measured[Measured Value (kWh)]))=0,"",SUMIFS(measured[Measured Value (kWh)],measured[Site Name],A1612,measured[Date],B1612)),"")</f>
        <v>4579</v>
      </c>
      <c r="D1612" cm="1">
        <f t="array" ref="D1612">IFERROR(IF(SUMPRODUCT((expected_production[Site Name]=A1612)*(expected_production[Date]=B1612)*ISNUMBER(expected_production[Expected Production (kWh)]))=0,"",SUMIFS(expected_production[Expected Production (kWh)],expected_production[Site Name],A1612,expected_production[Date],B1612)),"")</f>
        <v>5701.86</v>
      </c>
      <c r="E1612" s="9">
        <f t="shared" si="52"/>
        <v>0.80307127849508764</v>
      </c>
      <c r="F1612" t="str">
        <f t="shared" si="53"/>
        <v>Moderate</v>
      </c>
    </row>
    <row r="1613" spans="1:7" ht="15" customHeight="1" x14ac:dyDescent="0.3">
      <c r="A1613" t="s">
        <v>157</v>
      </c>
      <c r="B1613" s="2">
        <v>46113</v>
      </c>
      <c r="C1613" cm="1">
        <f t="array" ref="C1613">IFERROR(IF(SUMPRODUCT((measured[Site Name]=A1613)*(measured[Date]=B1613)*ISNUMBER(measured[Measured Value (kWh)]))=0,"",SUMIFS(measured[Measured Value (kWh)],measured[Site Name],A1613,measured[Date],B1613)),"")</f>
        <v>4134.1099999999997</v>
      </c>
      <c r="D1613" cm="1">
        <f t="array" ref="D1613">IFERROR(IF(SUMPRODUCT((expected_production[Site Name]=A1613)*(expected_production[Date]=B1613)*ISNUMBER(expected_production[Expected Production (kWh)]))=0,"",SUMIFS(expected_production[Expected Production (kWh)],expected_production[Site Name],A1613,expected_production[Date],B1613)),"")</f>
        <v>5085.8999999999996</v>
      </c>
      <c r="E1613" s="9">
        <f t="shared" si="52"/>
        <v>0.81285711476828093</v>
      </c>
      <c r="F1613" t="str">
        <f t="shared" si="53"/>
        <v>Moderate</v>
      </c>
    </row>
    <row r="1614" spans="1:7" ht="15" customHeight="1" x14ac:dyDescent="0.3">
      <c r="A1614" t="s">
        <v>157</v>
      </c>
      <c r="B1614" s="2">
        <v>46143</v>
      </c>
      <c r="C1614" cm="1">
        <f t="array" ref="C1614">IFERROR(IF(SUMPRODUCT((measured[Site Name]=A1614)*(measured[Date]=B1614)*ISNUMBER(measured[Measured Value (kWh)]))=0,"",SUMIFS(measured[Measured Value (kWh)],measured[Site Name],A1614,measured[Date],B1614)),"")</f>
        <v>4665.67</v>
      </c>
      <c r="D1614" cm="1">
        <f t="array" ref="D1614">IFERROR(IF(SUMPRODUCT((expected_production[Site Name]=A1614)*(expected_production[Date]=B1614)*ISNUMBER(expected_production[Expected Production (kWh)]))=0,"",SUMIFS(expected_production[Expected Production (kWh)],expected_production[Site Name],A1614,expected_production[Date],B1614)),"")</f>
        <v>5204.6099999999997</v>
      </c>
      <c r="E1614" s="9">
        <f t="shared" si="52"/>
        <v>0.89644949381413797</v>
      </c>
      <c r="F1614" t="str">
        <f t="shared" si="53"/>
        <v>Moderate</v>
      </c>
    </row>
    <row r="1615" spans="1:7" ht="15" customHeight="1" x14ac:dyDescent="0.3">
      <c r="A1615" t="s">
        <v>157</v>
      </c>
      <c r="B1615" s="2">
        <v>46174</v>
      </c>
      <c r="C1615" cm="1">
        <f t="array" ref="C1615">IFERROR(IF(SUMPRODUCT((measured[Site Name]=A1615)*(measured[Date]=B1615)*ISNUMBER(measured[Measured Value (kWh)]))=0,"",SUMIFS(measured[Measured Value (kWh)],measured[Site Name],A1615,measured[Date],B1615)),"")</f>
        <v>3785</v>
      </c>
      <c r="D1615" cm="1">
        <f t="array" ref="D1615">IFERROR(IF(SUMPRODUCT((expected_production[Site Name]=A1615)*(expected_production[Date]=B1615)*ISNUMBER(expected_production[Expected Production (kWh)]))=0,"",SUMIFS(expected_production[Expected Production (kWh)],expected_production[Site Name],A1615,expected_production[Date],B1615)),"")</f>
        <v>4824.3599999999997</v>
      </c>
      <c r="E1615" s="9">
        <f t="shared" si="52"/>
        <v>0.78456002454211549</v>
      </c>
      <c r="F1615" t="str">
        <f t="shared" si="53"/>
        <v>Moderate</v>
      </c>
    </row>
    <row r="1616" spans="1:7" ht="15" customHeight="1" x14ac:dyDescent="0.3">
      <c r="A1616" t="s">
        <v>149</v>
      </c>
      <c r="B1616" s="2">
        <v>46204</v>
      </c>
      <c r="C1616" cm="1">
        <f t="array" ref="C1616">IFERROR(IF(SUMPRODUCT((measured[Site Name]=A1616)*(measured[Date]=B1616)*ISNUMBER(measured[Measured Value (kWh)]))=0,"",SUMIFS(measured[Measured Value (kWh)],measured[Site Name],A1616,measured[Date],B1616)),"")</f>
        <v>6917</v>
      </c>
      <c r="D1616" cm="1">
        <f t="array" ref="D1616">IFERROR(IF(SUMPRODUCT((expected_production[Site Name]=A1616)*(expected_production[Date]=B1616)*ISNUMBER(expected_production[Expected Production (kWh)]))=0,"",SUMIFS(expected_production[Expected Production (kWh)],expected_production[Site Name],A1616,expected_production[Date],B1616)),"")</f>
        <v>6946.7250000000004</v>
      </c>
      <c r="E1616" s="9">
        <f t="shared" si="52"/>
        <v>0.99572100522188511</v>
      </c>
      <c r="F1616" t="str">
        <f t="shared" si="53"/>
        <v>Expected</v>
      </c>
      <c r="G1616" t="s">
        <v>874</v>
      </c>
    </row>
    <row r="1617" spans="1:6" ht="15" customHeight="1" x14ac:dyDescent="0.3">
      <c r="A1617" t="s">
        <v>157</v>
      </c>
      <c r="B1617" s="2">
        <v>46235</v>
      </c>
      <c r="C1617" t="str" cm="1">
        <f t="array" ref="C1617">IFERROR(IF(SUMPRODUCT((measured[Site Name]=A1617)*(measured[Date]=B1617)*ISNUMBER(measured[Measured Value (kWh)]))=0,"",SUMIFS(measured[Measured Value (kWh)],measured[Site Name],A1617,measured[Date],B1617)),"")</f>
        <v/>
      </c>
      <c r="D1617" cm="1">
        <f t="array" ref="D1617">IFERROR(IF(SUMPRODUCT((expected_production[Site Name]=A1617)*(expected_production[Date]=B1617)*ISNUMBER(expected_production[Expected Production (kWh)]))=0,"",SUMIFS(expected_production[Expected Production (kWh)],expected_production[Site Name],A1617,expected_production[Date],B1617)),"")</f>
        <v>5833.08</v>
      </c>
      <c r="E1617" s="9" t="str">
        <f t="shared" si="52"/>
        <v/>
      </c>
      <c r="F1617" t="str">
        <f t="shared" si="53"/>
        <v/>
      </c>
    </row>
    <row r="1618" spans="1:6" ht="15" customHeight="1" x14ac:dyDescent="0.3">
      <c r="A1618" t="s">
        <v>157</v>
      </c>
      <c r="B1618" s="2">
        <v>46266</v>
      </c>
      <c r="C1618" t="str" cm="1">
        <f t="array" ref="C1618">IFERROR(IF(SUMPRODUCT((measured[Site Name]=A1618)*(measured[Date]=B1618)*ISNUMBER(measured[Measured Value (kWh)]))=0,"",SUMIFS(measured[Measured Value (kWh)],measured[Site Name],A1618,measured[Date],B1618)),"")</f>
        <v/>
      </c>
      <c r="D1618" cm="1">
        <f t="array" ref="D1618">IFERROR(IF(SUMPRODUCT((expected_production[Site Name]=A1618)*(expected_production[Date]=B1618)*ISNUMBER(expected_production[Expected Production (kWh)]))=0,"",SUMIFS(expected_production[Expected Production (kWh)],expected_production[Site Name],A1618,expected_production[Date],B1618)),"")</f>
        <v>6021.81</v>
      </c>
      <c r="E1618" s="9" t="str">
        <f t="shared" si="52"/>
        <v/>
      </c>
      <c r="F1618" t="str">
        <f t="shared" si="53"/>
        <v/>
      </c>
    </row>
    <row r="1619" spans="1:6" ht="15" customHeight="1" x14ac:dyDescent="0.3">
      <c r="A1619" t="s">
        <v>157</v>
      </c>
      <c r="B1619" s="2">
        <v>46296</v>
      </c>
      <c r="C1619" t="str" cm="1">
        <f t="array" ref="C1619">IFERROR(IF(SUMPRODUCT((measured[Site Name]=A1619)*(measured[Date]=B1619)*ISNUMBER(measured[Measured Value (kWh)]))=0,"",SUMIFS(measured[Measured Value (kWh)],measured[Site Name],A1619,measured[Date],B1619)),"")</f>
        <v/>
      </c>
      <c r="D1619" cm="1">
        <f t="array" ref="D1619">IFERROR(IF(SUMPRODUCT((expected_production[Site Name]=A1619)*(expected_production[Date]=B1619)*ISNUMBER(expected_production[Expected Production (kWh)]))=0,"",SUMIFS(expected_production[Expected Production (kWh)],expected_production[Site Name],A1619,expected_production[Date],B1619)),"")</f>
        <v>6128.91</v>
      </c>
      <c r="E1619" s="9" t="str">
        <f t="shared" si="52"/>
        <v/>
      </c>
      <c r="F1619" t="str">
        <f t="shared" si="53"/>
        <v/>
      </c>
    </row>
    <row r="1620" spans="1:6" ht="15" customHeight="1" x14ac:dyDescent="0.3">
      <c r="A1620" t="s">
        <v>157</v>
      </c>
      <c r="B1620" s="2">
        <v>46327</v>
      </c>
      <c r="C1620" t="str" cm="1">
        <f t="array" ref="C1620">IFERROR(IF(SUMPRODUCT((measured[Site Name]=A1620)*(measured[Date]=B1620)*ISNUMBER(measured[Measured Value (kWh)]))=0,"",SUMIFS(measured[Measured Value (kWh)],measured[Site Name],A1620,measured[Date],B1620)),"")</f>
        <v/>
      </c>
      <c r="D1620" cm="1">
        <f t="array" ref="D1620">IFERROR(IF(SUMPRODUCT((expected_production[Site Name]=A1620)*(expected_production[Date]=B1620)*ISNUMBER(expected_production[Expected Production (kWh)]))=0,"",SUMIFS(expected_production[Expected Production (kWh)],expected_production[Site Name],A1620,expected_production[Date],B1620)),"")</f>
        <v>5928.57</v>
      </c>
      <c r="E1620" s="9" t="str">
        <f t="shared" si="52"/>
        <v/>
      </c>
      <c r="F1620" t="str">
        <f t="shared" si="53"/>
        <v/>
      </c>
    </row>
    <row r="1621" spans="1:6" ht="15" customHeight="1" x14ac:dyDescent="0.3">
      <c r="A1621" t="s">
        <v>157</v>
      </c>
      <c r="B1621" s="2">
        <v>46357</v>
      </c>
      <c r="C1621" t="str" cm="1">
        <f t="array" ref="C1621">IFERROR(IF(SUMPRODUCT((measured[Site Name]=A1621)*(measured[Date]=B1621)*ISNUMBER(measured[Measured Value (kWh)]))=0,"",SUMIFS(measured[Measured Value (kWh)],measured[Site Name],A1621,measured[Date],B1621)),"")</f>
        <v/>
      </c>
      <c r="D1621" cm="1">
        <f t="array" ref="D1621">IFERROR(IF(SUMPRODUCT((expected_production[Site Name]=A1621)*(expected_production[Date]=B1621)*ISNUMBER(expected_production[Expected Production (kWh)]))=0,"",SUMIFS(expected_production[Expected Production (kWh)],expected_production[Site Name],A1621,expected_production[Date],B1621)),"")</f>
        <v>6186.69</v>
      </c>
      <c r="E1621" s="9" t="str">
        <f t="shared" si="52"/>
        <v/>
      </c>
      <c r="F1621" t="str">
        <f t="shared" si="53"/>
        <v/>
      </c>
    </row>
    <row r="1622" spans="1:6" ht="15" customHeight="1" x14ac:dyDescent="0.3">
      <c r="A1622" t="s">
        <v>160</v>
      </c>
      <c r="B1622" s="2">
        <v>45292</v>
      </c>
      <c r="C1622" cm="1">
        <f t="array" ref="C1622">IFERROR(IF(SUMPRODUCT((measured[Site Name]=A1622)*(measured[Date]=B1622)*ISNUMBER(measured[Measured Value (kWh)]))=0,"",SUMIFS(measured[Measured Value (kWh)],measured[Site Name],A1622,measured[Date],B1622)),"")</f>
        <v>6600</v>
      </c>
      <c r="D1622" cm="1">
        <f t="array" ref="D1622">IFERROR(IF(SUMPRODUCT((expected_production[Site Name]=A1622)*(expected_production[Date]=B1622)*ISNUMBER(expected_production[Expected Production (kWh)]))=0,"",SUMIFS(expected_production[Expected Production (kWh)],expected_production[Site Name],A1622,expected_production[Date],B1622)),"")</f>
        <v>17099.45</v>
      </c>
      <c r="E1622" s="9">
        <f t="shared" si="52"/>
        <v>0.38597732675612373</v>
      </c>
      <c r="F1622" t="str">
        <f t="shared" si="53"/>
        <v>Poor</v>
      </c>
    </row>
    <row r="1623" spans="1:6" ht="15" customHeight="1" x14ac:dyDescent="0.3">
      <c r="A1623" t="s">
        <v>160</v>
      </c>
      <c r="B1623" s="2">
        <v>45323</v>
      </c>
      <c r="C1623" cm="1">
        <f t="array" ref="C1623">IFERROR(IF(SUMPRODUCT((measured[Site Name]=A1623)*(measured[Date]=B1623)*ISNUMBER(measured[Measured Value (kWh)]))=0,"",SUMIFS(measured[Measured Value (kWh)],measured[Site Name],A1623,measured[Date],B1623)),"")</f>
        <v>13300</v>
      </c>
      <c r="D1623" cm="1">
        <f t="array" ref="D1623">IFERROR(IF(SUMPRODUCT((expected_production[Site Name]=A1623)*(expected_production[Date]=B1623)*ISNUMBER(expected_production[Expected Production (kWh)]))=0,"",SUMIFS(expected_production[Expected Production (kWh)],expected_production[Site Name],A1623,expected_production[Date],B1623)),"")</f>
        <v>15031.4</v>
      </c>
      <c r="E1623" s="9">
        <f t="shared" si="52"/>
        <v>0.88481445507404499</v>
      </c>
      <c r="F1623" t="str">
        <f t="shared" si="53"/>
        <v>Moderate</v>
      </c>
    </row>
    <row r="1624" spans="1:6" ht="15" customHeight="1" x14ac:dyDescent="0.3">
      <c r="A1624" t="s">
        <v>160</v>
      </c>
      <c r="B1624" s="2">
        <v>45352</v>
      </c>
      <c r="C1624" cm="1">
        <f t="array" ref="C1624">IFERROR(IF(SUMPRODUCT((measured[Site Name]=A1624)*(measured[Date]=B1624)*ISNUMBER(measured[Measured Value (kWh)]))=0,"",SUMIFS(measured[Measured Value (kWh)],measured[Site Name],A1624,measured[Date],B1624)),"")</f>
        <v>15420</v>
      </c>
      <c r="D1624" cm="1">
        <f t="array" ref="D1624">IFERROR(IF(SUMPRODUCT((expected_production[Site Name]=A1624)*(expected_production[Date]=B1624)*ISNUMBER(expected_production[Expected Production (kWh)]))=0,"",SUMIFS(expected_production[Expected Production (kWh)],expected_production[Site Name],A1624,expected_production[Date],B1624)),"")</f>
        <v>16289.4</v>
      </c>
      <c r="E1624" s="9">
        <f t="shared" si="52"/>
        <v>0.94662786842977642</v>
      </c>
      <c r="F1624" t="str">
        <f t="shared" si="53"/>
        <v>Expected</v>
      </c>
    </row>
    <row r="1625" spans="1:6" ht="15" customHeight="1" x14ac:dyDescent="0.3">
      <c r="A1625" t="s">
        <v>160</v>
      </c>
      <c r="B1625" s="2">
        <v>45383</v>
      </c>
      <c r="C1625" cm="1">
        <f t="array" ref="C1625">IFERROR(IF(SUMPRODUCT((measured[Site Name]=A1625)*(measured[Date]=B1625)*ISNUMBER(measured[Measured Value (kWh)]))=0,"",SUMIFS(measured[Measured Value (kWh)],measured[Site Name],A1625,measured[Date],B1625)),"")</f>
        <v>12860</v>
      </c>
      <c r="D1625" cm="1">
        <f t="array" ref="D1625">IFERROR(IF(SUMPRODUCT((expected_production[Site Name]=A1625)*(expected_production[Date]=B1625)*ISNUMBER(expected_production[Expected Production (kWh)]))=0,"",SUMIFS(expected_production[Expected Production (kWh)],expected_production[Site Name],A1625,expected_production[Date],B1625)),"")</f>
        <v>14250.25</v>
      </c>
      <c r="E1625" s="9">
        <f t="shared" si="52"/>
        <v>0.90244030806477082</v>
      </c>
      <c r="F1625" t="str">
        <f t="shared" si="53"/>
        <v>Expected</v>
      </c>
    </row>
    <row r="1626" spans="1:6" ht="15" customHeight="1" x14ac:dyDescent="0.3">
      <c r="A1626" t="s">
        <v>160</v>
      </c>
      <c r="B1626" s="2">
        <v>45413</v>
      </c>
      <c r="C1626" cm="1">
        <f t="array" ref="C1626">IFERROR(IF(SUMPRODUCT((measured[Site Name]=A1626)*(measured[Date]=B1626)*ISNUMBER(measured[Measured Value (kWh)]))=0,"",SUMIFS(measured[Measured Value (kWh)],measured[Site Name],A1626,measured[Date],B1626)),"")</f>
        <v>14610</v>
      </c>
      <c r="D1626" cm="1">
        <f t="array" ref="D1626">IFERROR(IF(SUMPRODUCT((expected_production[Site Name]=A1626)*(expected_production[Date]=B1626)*ISNUMBER(expected_production[Expected Production (kWh)]))=0,"",SUMIFS(expected_production[Expected Production (kWh)],expected_production[Site Name],A1626,expected_production[Date],B1626)),"")</f>
        <v>14783.2</v>
      </c>
      <c r="E1626" s="9">
        <f t="shared" si="52"/>
        <v>0.98828399805184264</v>
      </c>
      <c r="F1626" t="str">
        <f t="shared" si="53"/>
        <v>Expected</v>
      </c>
    </row>
    <row r="1627" spans="1:6" ht="15" customHeight="1" x14ac:dyDescent="0.3">
      <c r="A1627" t="s">
        <v>160</v>
      </c>
      <c r="B1627" s="2">
        <v>45444</v>
      </c>
      <c r="C1627" cm="1">
        <f t="array" ref="C1627">IFERROR(IF(SUMPRODUCT((measured[Site Name]=A1627)*(measured[Date]=B1627)*ISNUMBER(measured[Measured Value (kWh)]))=0,"",SUMIFS(measured[Measured Value (kWh)],measured[Site Name],A1627,measured[Date],B1627)),"")</f>
        <v>12010</v>
      </c>
      <c r="D1627" cm="1">
        <f t="array" ref="D1627">IFERROR(IF(SUMPRODUCT((expected_production[Site Name]=A1627)*(expected_production[Date]=B1627)*ISNUMBER(expected_production[Expected Production (kWh)]))=0,"",SUMIFS(expected_production[Expected Production (kWh)],expected_production[Site Name],A1627,expected_production[Date],B1627)),"")</f>
        <v>13871.15</v>
      </c>
      <c r="E1627" s="9">
        <f t="shared" si="52"/>
        <v>0.86582583275359293</v>
      </c>
      <c r="F1627" t="str">
        <f t="shared" si="53"/>
        <v>Moderate</v>
      </c>
    </row>
    <row r="1628" spans="1:6" ht="15" customHeight="1" x14ac:dyDescent="0.3">
      <c r="A1628" t="s">
        <v>160</v>
      </c>
      <c r="B1628" s="2">
        <v>45474</v>
      </c>
      <c r="C1628" cm="1">
        <f t="array" ref="C1628">IFERROR(IF(SUMPRODUCT((measured[Site Name]=A1628)*(measured[Date]=B1628)*ISNUMBER(measured[Measured Value (kWh)]))=0,"",SUMIFS(measured[Measured Value (kWh)],measured[Site Name],A1628,measured[Date],B1628)),"")</f>
        <v>13050</v>
      </c>
      <c r="D1628" cm="1">
        <f t="array" ref="D1628">IFERROR(IF(SUMPRODUCT((expected_production[Site Name]=A1628)*(expected_production[Date]=B1628)*ISNUMBER(expected_production[Expected Production (kWh)]))=0,"",SUMIFS(expected_production[Expected Production (kWh)],expected_production[Site Name],A1628,expected_production[Date],B1628)),"")</f>
        <v>15110.45</v>
      </c>
      <c r="E1628" s="9">
        <f t="shared" si="52"/>
        <v>0.86364072545820936</v>
      </c>
      <c r="F1628" t="str">
        <f t="shared" si="53"/>
        <v>Moderate</v>
      </c>
    </row>
    <row r="1629" spans="1:6" ht="15" customHeight="1" x14ac:dyDescent="0.3">
      <c r="A1629" t="s">
        <v>160</v>
      </c>
      <c r="B1629" s="2">
        <v>45505</v>
      </c>
      <c r="C1629" cm="1">
        <f t="array" ref="C1629">IFERROR(IF(SUMPRODUCT((measured[Site Name]=A1629)*(measured[Date]=B1629)*ISNUMBER(measured[Measured Value (kWh)]))=0,"",SUMIFS(measured[Measured Value (kWh)],measured[Site Name],A1629,measured[Date],B1629)),"")</f>
        <v>17380</v>
      </c>
      <c r="D1629" cm="1">
        <f t="array" ref="D1629">IFERROR(IF(SUMPRODUCT((expected_production[Site Name]=A1629)*(expected_production[Date]=B1629)*ISNUMBER(expected_production[Expected Production (kWh)]))=0,"",SUMIFS(expected_production[Expected Production (kWh)],expected_production[Site Name],A1629,expected_production[Date],B1629)),"")</f>
        <v>16763.7</v>
      </c>
      <c r="E1629" s="9">
        <f t="shared" si="52"/>
        <v>1.0367639602235783</v>
      </c>
      <c r="F1629" t="str">
        <f t="shared" si="53"/>
        <v>Expected</v>
      </c>
    </row>
    <row r="1630" spans="1:6" ht="15" customHeight="1" x14ac:dyDescent="0.3">
      <c r="A1630" t="s">
        <v>160</v>
      </c>
      <c r="B1630" s="2">
        <v>45536</v>
      </c>
      <c r="C1630" cm="1">
        <f t="array" ref="C1630">IFERROR(IF(SUMPRODUCT((measured[Site Name]=A1630)*(measured[Date]=B1630)*ISNUMBER(measured[Measured Value (kWh)]))=0,"",SUMIFS(measured[Measured Value (kWh)],measured[Site Name],A1630,measured[Date],B1630)),"")</f>
        <v>15040</v>
      </c>
      <c r="D1630" cm="1">
        <f t="array" ref="D1630">IFERROR(IF(SUMPRODUCT((expected_production[Site Name]=A1630)*(expected_production[Date]=B1630)*ISNUMBER(expected_production[Expected Production (kWh)]))=0,"",SUMIFS(expected_production[Expected Production (kWh)],expected_production[Site Name],A1630,expected_production[Date],B1630)),"")</f>
        <v>16935.400000000001</v>
      </c>
      <c r="E1630" s="9">
        <f t="shared" si="52"/>
        <v>0.8880805885895815</v>
      </c>
      <c r="F1630" t="str">
        <f t="shared" si="53"/>
        <v>Moderate</v>
      </c>
    </row>
    <row r="1631" spans="1:6" ht="15" customHeight="1" x14ac:dyDescent="0.3">
      <c r="A1631" t="s">
        <v>160</v>
      </c>
      <c r="B1631" s="2">
        <v>45566</v>
      </c>
      <c r="C1631" cm="1">
        <f t="array" ref="C1631">IFERROR(IF(SUMPRODUCT((measured[Site Name]=A1631)*(measured[Date]=B1631)*ISNUMBER(measured[Measured Value (kWh)]))=0,"",SUMIFS(measured[Measured Value (kWh)],measured[Site Name],A1631,measured[Date],B1631)),"")</f>
        <v>16040</v>
      </c>
      <c r="D1631" cm="1">
        <f t="array" ref="D1631">IFERROR(IF(SUMPRODUCT((expected_production[Site Name]=A1631)*(expected_production[Date]=B1631)*ISNUMBER(expected_production[Expected Production (kWh)]))=0,"",SUMIFS(expected_production[Expected Production (kWh)],expected_production[Site Name],A1631,expected_production[Date],B1631)),"")</f>
        <v>17583.95</v>
      </c>
      <c r="E1631" s="9">
        <f t="shared" si="52"/>
        <v>0.91219549646126152</v>
      </c>
      <c r="F1631" t="str">
        <f t="shared" si="53"/>
        <v>Expected</v>
      </c>
    </row>
    <row r="1632" spans="1:6" ht="15" customHeight="1" x14ac:dyDescent="0.3">
      <c r="A1632" t="s">
        <v>160</v>
      </c>
      <c r="B1632" s="2">
        <v>45597</v>
      </c>
      <c r="C1632" cm="1">
        <f t="array" ref="C1632">IFERROR(IF(SUMPRODUCT((measured[Site Name]=A1632)*(measured[Date]=B1632)*ISNUMBER(measured[Measured Value (kWh)]))=0,"",SUMIFS(measured[Measured Value (kWh)],measured[Site Name],A1632,measured[Date],B1632)),"")</f>
        <v>12800</v>
      </c>
      <c r="D1632" cm="1">
        <f t="array" ref="D1632">IFERROR(IF(SUMPRODUCT((expected_production[Site Name]=A1632)*(expected_production[Date]=B1632)*ISNUMBER(expected_production[Expected Production (kWh)]))=0,"",SUMIFS(expected_production[Expected Production (kWh)],expected_production[Site Name],A1632,expected_production[Date],B1632)),"")</f>
        <v>16597.099999999999</v>
      </c>
      <c r="E1632" s="9">
        <f t="shared" si="52"/>
        <v>0.77121906839146603</v>
      </c>
      <c r="F1632" t="str">
        <f t="shared" si="53"/>
        <v>Moderate</v>
      </c>
    </row>
    <row r="1633" spans="1:6" ht="15" customHeight="1" x14ac:dyDescent="0.3">
      <c r="A1633" t="s">
        <v>160</v>
      </c>
      <c r="B1633" s="2">
        <v>45627</v>
      </c>
      <c r="C1633" cm="1">
        <f t="array" ref="C1633">IFERROR(IF(SUMPRODUCT((measured[Site Name]=A1633)*(measured[Date]=B1633)*ISNUMBER(measured[Measured Value (kWh)]))=0,"",SUMIFS(measured[Measured Value (kWh)],measured[Site Name],A1633,measured[Date],B1633)),"")</f>
        <v>11928</v>
      </c>
      <c r="D1633" cm="1">
        <f t="array" ref="D1633">IFERROR(IF(SUMPRODUCT((expected_production[Site Name]=A1633)*(expected_production[Date]=B1633)*ISNUMBER(expected_production[Expected Production (kWh)]))=0,"",SUMIFS(expected_production[Expected Production (kWh)],expected_production[Site Name],A1633,expected_production[Date],B1633)),"")</f>
        <v>17731</v>
      </c>
      <c r="E1633" s="9">
        <f t="shared" si="52"/>
        <v>0.67272009474930916</v>
      </c>
      <c r="F1633" t="str">
        <f t="shared" si="53"/>
        <v>Poor</v>
      </c>
    </row>
    <row r="1634" spans="1:6" ht="15" customHeight="1" x14ac:dyDescent="0.3">
      <c r="A1634" t="s">
        <v>160</v>
      </c>
      <c r="B1634" s="2">
        <v>45658</v>
      </c>
      <c r="C1634" cm="1">
        <f t="array" ref="C1634">IFERROR(IF(SUMPRODUCT((measured[Site Name]=A1634)*(measured[Date]=B1634)*ISNUMBER(measured[Measured Value (kWh)]))=0,"",SUMIFS(measured[Measured Value (kWh)],measured[Site Name],A1634,measured[Date],B1634)),"")</f>
        <v>11300</v>
      </c>
      <c r="D1634" cm="1">
        <f t="array" ref="D1634">IFERROR(IF(SUMPRODUCT((expected_production[Site Name]=A1634)*(expected_production[Date]=B1634)*ISNUMBER(expected_production[Expected Production (kWh)]))=0,"",SUMIFS(expected_production[Expected Production (kWh)],expected_production[Site Name],A1634,expected_production[Date],B1634)),"")</f>
        <v>17099.45</v>
      </c>
      <c r="E1634" s="9">
        <f t="shared" si="52"/>
        <v>0.66083996853699967</v>
      </c>
      <c r="F1634" t="str">
        <f t="shared" si="53"/>
        <v>Poor</v>
      </c>
    </row>
    <row r="1635" spans="1:6" ht="15" customHeight="1" x14ac:dyDescent="0.3">
      <c r="A1635" t="s">
        <v>160</v>
      </c>
      <c r="B1635" s="2">
        <v>45689</v>
      </c>
      <c r="C1635" cm="1">
        <f t="array" ref="C1635">IFERROR(IF(SUMPRODUCT((measured[Site Name]=A1635)*(measured[Date]=B1635)*ISNUMBER(measured[Measured Value (kWh)]))=0,"",SUMIFS(measured[Measured Value (kWh)],measured[Site Name],A1635,measured[Date],B1635)),"")</f>
        <v>8382</v>
      </c>
      <c r="D1635" cm="1">
        <f t="array" ref="D1635">IFERROR(IF(SUMPRODUCT((expected_production[Site Name]=A1635)*(expected_production[Date]=B1635)*ISNUMBER(expected_production[Expected Production (kWh)]))=0,"",SUMIFS(expected_production[Expected Production (kWh)],expected_production[Site Name],A1635,expected_production[Date],B1635)),"")</f>
        <v>15031.4</v>
      </c>
      <c r="E1635" s="9">
        <f t="shared" si="52"/>
        <v>0.55763268890455975</v>
      </c>
      <c r="F1635" t="str">
        <f t="shared" si="53"/>
        <v>Poor</v>
      </c>
    </row>
    <row r="1636" spans="1:6" ht="15" customHeight="1" x14ac:dyDescent="0.3">
      <c r="A1636" t="s">
        <v>160</v>
      </c>
      <c r="B1636" s="2">
        <v>45717</v>
      </c>
      <c r="C1636" cm="1">
        <f t="array" ref="C1636">IFERROR(IF(SUMPRODUCT((measured[Site Name]=A1636)*(measured[Date]=B1636)*ISNUMBER(measured[Measured Value (kWh)]))=0,"",SUMIFS(measured[Measured Value (kWh)],measured[Site Name],A1636,measured[Date],B1636)),"")</f>
        <v>11945</v>
      </c>
      <c r="D1636" cm="1">
        <f t="array" ref="D1636">IFERROR(IF(SUMPRODUCT((expected_production[Site Name]=A1636)*(expected_production[Date]=B1636)*ISNUMBER(expected_production[Expected Production (kWh)]))=0,"",SUMIFS(expected_production[Expected Production (kWh)],expected_production[Site Name],A1636,expected_production[Date],B1636)),"")</f>
        <v>16289.4</v>
      </c>
      <c r="E1636" s="9">
        <f t="shared" si="52"/>
        <v>0.7332989551487471</v>
      </c>
      <c r="F1636" t="str">
        <f t="shared" si="53"/>
        <v>Moderate</v>
      </c>
    </row>
    <row r="1637" spans="1:6" ht="15" customHeight="1" x14ac:dyDescent="0.3">
      <c r="A1637" t="s">
        <v>160</v>
      </c>
      <c r="B1637" s="2">
        <v>45748</v>
      </c>
      <c r="C1637" cm="1">
        <f t="array" ref="C1637">IFERROR(IF(SUMPRODUCT((measured[Site Name]=A1637)*(measured[Date]=B1637)*ISNUMBER(measured[Measured Value (kWh)]))=0,"",SUMIFS(measured[Measured Value (kWh)],measured[Site Name],A1637,measured[Date],B1637)),"")</f>
        <v>13271</v>
      </c>
      <c r="D1637" cm="1">
        <f t="array" ref="D1637">IFERROR(IF(SUMPRODUCT((expected_production[Site Name]=A1637)*(expected_production[Date]=B1637)*ISNUMBER(expected_production[Expected Production (kWh)]))=0,"",SUMIFS(expected_production[Expected Production (kWh)],expected_production[Site Name],A1637,expected_production[Date],B1637)),"")</f>
        <v>14250.25</v>
      </c>
      <c r="E1637" s="9">
        <f t="shared" si="52"/>
        <v>0.93128190733495908</v>
      </c>
      <c r="F1637" t="str">
        <f t="shared" si="53"/>
        <v>Expected</v>
      </c>
    </row>
    <row r="1638" spans="1:6" ht="15" customHeight="1" x14ac:dyDescent="0.3">
      <c r="A1638" t="s">
        <v>160</v>
      </c>
      <c r="B1638" s="2">
        <v>45778</v>
      </c>
      <c r="C1638" cm="1">
        <f t="array" ref="C1638">IFERROR(IF(SUMPRODUCT((measured[Site Name]=A1638)*(measured[Date]=B1638)*ISNUMBER(measured[Measured Value (kWh)]))=0,"",SUMIFS(measured[Measured Value (kWh)],measured[Site Name],A1638,measured[Date],B1638)),"")</f>
        <v>17380</v>
      </c>
      <c r="D1638" cm="1">
        <f t="array" ref="D1638">IFERROR(IF(SUMPRODUCT((expected_production[Site Name]=A1638)*(expected_production[Date]=B1638)*ISNUMBER(expected_production[Expected Production (kWh)]))=0,"",SUMIFS(expected_production[Expected Production (kWh)],expected_production[Site Name],A1638,expected_production[Date],B1638)),"")</f>
        <v>14783.2</v>
      </c>
      <c r="E1638" s="9">
        <f t="shared" si="52"/>
        <v>1.1756588559987011</v>
      </c>
      <c r="F1638" t="str">
        <f t="shared" si="53"/>
        <v>Expected</v>
      </c>
    </row>
    <row r="1639" spans="1:6" ht="15" customHeight="1" x14ac:dyDescent="0.3">
      <c r="A1639" t="s">
        <v>160</v>
      </c>
      <c r="B1639" s="2">
        <v>45809</v>
      </c>
      <c r="C1639" cm="1">
        <f t="array" ref="C1639">IFERROR(IF(SUMPRODUCT((measured[Site Name]=A1639)*(measured[Date]=B1639)*ISNUMBER(measured[Measured Value (kWh)]))=0,"",SUMIFS(measured[Measured Value (kWh)],measured[Site Name],A1639,measured[Date],B1639)),"")</f>
        <v>15760.44</v>
      </c>
      <c r="D1639" cm="1">
        <f t="array" ref="D1639">IFERROR(IF(SUMPRODUCT((expected_production[Site Name]=A1639)*(expected_production[Date]=B1639)*ISNUMBER(expected_production[Expected Production (kWh)]))=0,"",SUMIFS(expected_production[Expected Production (kWh)],expected_production[Site Name],A1639,expected_production[Date],B1639)),"")</f>
        <v>13871.15</v>
      </c>
      <c r="E1639" s="9">
        <f t="shared" si="52"/>
        <v>1.1362028382650322</v>
      </c>
      <c r="F1639" t="str">
        <f t="shared" si="53"/>
        <v>Expected</v>
      </c>
    </row>
    <row r="1640" spans="1:6" ht="15" customHeight="1" x14ac:dyDescent="0.3">
      <c r="A1640" t="s">
        <v>160</v>
      </c>
      <c r="B1640" s="2">
        <v>45839</v>
      </c>
      <c r="C1640" cm="1">
        <f t="array" ref="C1640">IFERROR(IF(SUMPRODUCT((measured[Site Name]=A1640)*(measured[Date]=B1640)*ISNUMBER(measured[Measured Value (kWh)]))=0,"",SUMIFS(measured[Measured Value (kWh)],measured[Site Name],A1640,measured[Date],B1640)),"")</f>
        <v>15336</v>
      </c>
      <c r="D1640" cm="1">
        <f t="array" ref="D1640">IFERROR(IF(SUMPRODUCT((expected_production[Site Name]=A1640)*(expected_production[Date]=B1640)*ISNUMBER(expected_production[Expected Production (kWh)]))=0,"",SUMIFS(expected_production[Expected Production (kWh)],expected_production[Site Name],A1640,expected_production[Date],B1640)),"")</f>
        <v>15110.45</v>
      </c>
      <c r="E1640" s="9">
        <f t="shared" si="52"/>
        <v>1.0149267559867508</v>
      </c>
      <c r="F1640" t="str">
        <f t="shared" si="53"/>
        <v>Expected</v>
      </c>
    </row>
    <row r="1641" spans="1:6" ht="15" customHeight="1" x14ac:dyDescent="0.3">
      <c r="A1641" t="s">
        <v>160</v>
      </c>
      <c r="B1641" s="2">
        <v>45870</v>
      </c>
      <c r="C1641" cm="1">
        <f t="array" ref="C1641">IFERROR(IF(SUMPRODUCT((measured[Site Name]=A1641)*(measured[Date]=B1641)*ISNUMBER(measured[Measured Value (kWh)]))=0,"",SUMIFS(measured[Measured Value (kWh)],measured[Site Name],A1641,measured[Date],B1641)),"")</f>
        <v>18373</v>
      </c>
      <c r="D1641" cm="1">
        <f t="array" ref="D1641">IFERROR(IF(SUMPRODUCT((expected_production[Site Name]=A1641)*(expected_production[Date]=B1641)*ISNUMBER(expected_production[Expected Production (kWh)]))=0,"",SUMIFS(expected_production[Expected Production (kWh)],expected_production[Site Name],A1641,expected_production[Date],B1641)),"")</f>
        <v>16763.7</v>
      </c>
      <c r="E1641" s="9">
        <f t="shared" si="52"/>
        <v>1.0959990932789301</v>
      </c>
      <c r="F1641" t="str">
        <f t="shared" si="53"/>
        <v>Expected</v>
      </c>
    </row>
    <row r="1642" spans="1:6" ht="15" customHeight="1" x14ac:dyDescent="0.3">
      <c r="A1642" t="s">
        <v>160</v>
      </c>
      <c r="B1642" s="2">
        <v>45901</v>
      </c>
      <c r="C1642" cm="1">
        <f t="array" ref="C1642">IFERROR(IF(SUMPRODUCT((measured[Site Name]=A1642)*(measured[Date]=B1642)*ISNUMBER(measured[Measured Value (kWh)]))=0,"",SUMIFS(measured[Measured Value (kWh)],measured[Site Name],A1642,measured[Date],B1642)),"")</f>
        <v>14826</v>
      </c>
      <c r="D1642" cm="1">
        <f t="array" ref="D1642">IFERROR(IF(SUMPRODUCT((expected_production[Site Name]=A1642)*(expected_production[Date]=B1642)*ISNUMBER(expected_production[Expected Production (kWh)]))=0,"",SUMIFS(expected_production[Expected Production (kWh)],expected_production[Site Name],A1642,expected_production[Date],B1642)),"")</f>
        <v>16935.400000000001</v>
      </c>
      <c r="E1642" s="9">
        <f t="shared" si="52"/>
        <v>0.87544433553385215</v>
      </c>
      <c r="F1642" t="str">
        <f t="shared" si="53"/>
        <v>Moderate</v>
      </c>
    </row>
    <row r="1643" spans="1:6" ht="15" customHeight="1" x14ac:dyDescent="0.3">
      <c r="A1643" t="s">
        <v>160</v>
      </c>
      <c r="B1643" s="2">
        <v>45931</v>
      </c>
      <c r="C1643" cm="1">
        <f t="array" ref="C1643">IFERROR(IF(SUMPRODUCT((measured[Site Name]=A1643)*(measured[Date]=B1643)*ISNUMBER(measured[Measured Value (kWh)]))=0,"",SUMIFS(measured[Measured Value (kWh)],measured[Site Name],A1643,measured[Date],B1643)),"")</f>
        <v>14653</v>
      </c>
      <c r="D1643" cm="1">
        <f t="array" ref="D1643">IFERROR(IF(SUMPRODUCT((expected_production[Site Name]=A1643)*(expected_production[Date]=B1643)*ISNUMBER(expected_production[Expected Production (kWh)]))=0,"",SUMIFS(expected_production[Expected Production (kWh)],expected_production[Site Name],A1643,expected_production[Date],B1643)),"")</f>
        <v>17583.95</v>
      </c>
      <c r="E1643" s="9">
        <f t="shared" si="52"/>
        <v>0.83331674623733576</v>
      </c>
      <c r="F1643" t="str">
        <f t="shared" si="53"/>
        <v>Moderate</v>
      </c>
    </row>
    <row r="1644" spans="1:6" ht="15" customHeight="1" x14ac:dyDescent="0.3">
      <c r="A1644" t="s">
        <v>160</v>
      </c>
      <c r="B1644" s="2">
        <v>45962</v>
      </c>
      <c r="C1644" cm="1">
        <f t="array" ref="C1644">IFERROR(IF(SUMPRODUCT((measured[Site Name]=A1644)*(measured[Date]=B1644)*ISNUMBER(measured[Measured Value (kWh)]))=0,"",SUMIFS(measured[Measured Value (kWh)],measured[Site Name],A1644,measured[Date],B1644)),"")</f>
        <v>11613</v>
      </c>
      <c r="D1644" cm="1">
        <f t="array" ref="D1644">IFERROR(IF(SUMPRODUCT((expected_production[Site Name]=A1644)*(expected_production[Date]=B1644)*ISNUMBER(expected_production[Expected Production (kWh)]))=0,"",SUMIFS(expected_production[Expected Production (kWh)],expected_production[Site Name],A1644,expected_production[Date],B1644)),"")</f>
        <v>16597.099999999999</v>
      </c>
      <c r="E1644" s="9">
        <f t="shared" si="52"/>
        <v>0.69970055009610121</v>
      </c>
      <c r="F1644" t="str">
        <f t="shared" si="53"/>
        <v>Poor</v>
      </c>
    </row>
    <row r="1645" spans="1:6" ht="15" customHeight="1" x14ac:dyDescent="0.3">
      <c r="A1645" t="s">
        <v>160</v>
      </c>
      <c r="B1645" s="2">
        <v>45992</v>
      </c>
      <c r="C1645" cm="1">
        <f t="array" ref="C1645">IFERROR(IF(SUMPRODUCT((measured[Site Name]=A1645)*(measured[Date]=B1645)*ISNUMBER(measured[Measured Value (kWh)]))=0,"",SUMIFS(measured[Measured Value (kWh)],measured[Site Name],A1645,measured[Date],B1645)),"")</f>
        <v>12623</v>
      </c>
      <c r="D1645" cm="1">
        <f t="array" ref="D1645">IFERROR(IF(SUMPRODUCT((expected_production[Site Name]=A1645)*(expected_production[Date]=B1645)*ISNUMBER(expected_production[Expected Production (kWh)]))=0,"",SUMIFS(expected_production[Expected Production (kWh)],expected_production[Site Name],A1645,expected_production[Date],B1645)),"")</f>
        <v>17731</v>
      </c>
      <c r="E1645" s="9">
        <f t="shared" si="52"/>
        <v>0.71191698155772376</v>
      </c>
      <c r="F1645" t="str">
        <f t="shared" si="53"/>
        <v>Moderate</v>
      </c>
    </row>
    <row r="1646" spans="1:6" ht="15" customHeight="1" x14ac:dyDescent="0.3">
      <c r="A1646" t="s">
        <v>160</v>
      </c>
      <c r="B1646" s="2">
        <v>46023</v>
      </c>
      <c r="C1646" cm="1">
        <f t="array" ref="C1646">IFERROR(IF(SUMPRODUCT((measured[Site Name]=A1646)*(measured[Date]=B1646)*ISNUMBER(measured[Measured Value (kWh)]))=0,"",SUMIFS(measured[Measured Value (kWh)],measured[Site Name],A1646,measured[Date],B1646)),"")</f>
        <v>13947</v>
      </c>
      <c r="D1646" cm="1">
        <f t="array" ref="D1646">IFERROR(IF(SUMPRODUCT((expected_production[Site Name]=A1646)*(expected_production[Date]=B1646)*ISNUMBER(expected_production[Expected Production (kWh)]))=0,"",SUMIFS(expected_production[Expected Production (kWh)],expected_production[Site Name],A1646,expected_production[Date],B1646)),"")</f>
        <v>17099.45</v>
      </c>
      <c r="E1646" s="9">
        <f t="shared" si="52"/>
        <v>0.81564026913146326</v>
      </c>
      <c r="F1646" t="str">
        <f t="shared" si="53"/>
        <v>Moderate</v>
      </c>
    </row>
    <row r="1647" spans="1:6" ht="15" customHeight="1" x14ac:dyDescent="0.3">
      <c r="A1647" t="s">
        <v>160</v>
      </c>
      <c r="B1647" s="2">
        <v>46054</v>
      </c>
      <c r="C1647" cm="1">
        <f t="array" ref="C1647">IFERROR(IF(SUMPRODUCT((measured[Site Name]=A1647)*(measured[Date]=B1647)*ISNUMBER(measured[Measured Value (kWh)]))=0,"",SUMIFS(measured[Measured Value (kWh)],measured[Site Name],A1647,measured[Date],B1647)),"")</f>
        <v>15878</v>
      </c>
      <c r="D1647" cm="1">
        <f t="array" ref="D1647">IFERROR(IF(SUMPRODUCT((expected_production[Site Name]=A1647)*(expected_production[Date]=B1647)*ISNUMBER(expected_production[Expected Production (kWh)]))=0,"",SUMIFS(expected_production[Expected Production (kWh)],expected_production[Site Name],A1647,expected_production[Date],B1647)),"")</f>
        <v>15031.4</v>
      </c>
      <c r="E1647" s="9">
        <f t="shared" si="52"/>
        <v>1.0563220990726081</v>
      </c>
      <c r="F1647" t="str">
        <f t="shared" si="53"/>
        <v>Expected</v>
      </c>
    </row>
    <row r="1648" spans="1:6" ht="15" customHeight="1" x14ac:dyDescent="0.3">
      <c r="A1648" t="s">
        <v>160</v>
      </c>
      <c r="B1648" s="2">
        <v>46082</v>
      </c>
      <c r="C1648" cm="1">
        <f t="array" ref="C1648">IFERROR(IF(SUMPRODUCT((measured[Site Name]=A1648)*(measured[Date]=B1648)*ISNUMBER(measured[Measured Value (kWh)]))=0,"",SUMIFS(measured[Measured Value (kWh)],measured[Site Name],A1648,measured[Date],B1648)),"")</f>
        <v>15307</v>
      </c>
      <c r="D1648" cm="1">
        <f t="array" ref="D1648">IFERROR(IF(SUMPRODUCT((expected_production[Site Name]=A1648)*(expected_production[Date]=B1648)*ISNUMBER(expected_production[Expected Production (kWh)]))=0,"",SUMIFS(expected_production[Expected Production (kWh)],expected_production[Site Name],A1648,expected_production[Date],B1648)),"")</f>
        <v>16289.4</v>
      </c>
      <c r="E1648" s="9">
        <f t="shared" si="52"/>
        <v>0.93969084189718466</v>
      </c>
      <c r="F1648" t="str">
        <f t="shared" si="53"/>
        <v>Expected</v>
      </c>
    </row>
    <row r="1649" spans="1:7" ht="15" customHeight="1" x14ac:dyDescent="0.3">
      <c r="A1649" t="s">
        <v>160</v>
      </c>
      <c r="B1649" s="2">
        <v>46113</v>
      </c>
      <c r="C1649" s="5" cm="1">
        <f t="array" ref="C1649">IFERROR(IF(SUMPRODUCT((measured[Site Name]=A1649)*(measured[Date]=B1649)*ISNUMBER(measured[Measured Value (kWh)]))=0,"",SUMIFS(measured[Measured Value (kWh)],measured[Site Name],A1649,measured[Date],B1649)),"")</f>
        <v>13475.98</v>
      </c>
      <c r="D1649" cm="1">
        <f t="array" ref="D1649">IFERROR(IF(SUMPRODUCT((expected_production[Site Name]=A1649)*(expected_production[Date]=B1649)*ISNUMBER(expected_production[Expected Production (kWh)]))=0,"",SUMIFS(expected_production[Expected Production (kWh)],expected_production[Site Name],A1649,expected_production[Date],B1649)),"")</f>
        <v>14250.25</v>
      </c>
      <c r="E1649" s="9">
        <f t="shared" si="52"/>
        <v>0.94566621638216875</v>
      </c>
      <c r="F1649" t="str">
        <f t="shared" si="53"/>
        <v>Expected</v>
      </c>
    </row>
    <row r="1650" spans="1:7" ht="15" customHeight="1" x14ac:dyDescent="0.3">
      <c r="A1650" t="s">
        <v>160</v>
      </c>
      <c r="B1650" s="2">
        <v>46143</v>
      </c>
      <c r="C1650" s="5" cm="1">
        <f t="array" ref="C1650">IFERROR(IF(SUMPRODUCT((measured[Site Name]=A1650)*(measured[Date]=B1650)*ISNUMBER(measured[Measured Value (kWh)]))=0,"",SUMIFS(measured[Measured Value (kWh)],measured[Site Name],A1650,measured[Date],B1650)),"")</f>
        <v>16989.47</v>
      </c>
      <c r="D1650" cm="1">
        <f t="array" ref="D1650">IFERROR(IF(SUMPRODUCT((expected_production[Site Name]=A1650)*(expected_production[Date]=B1650)*ISNUMBER(expected_production[Expected Production (kWh)]))=0,"",SUMIFS(expected_production[Expected Production (kWh)],expected_production[Site Name],A1650,expected_production[Date],B1650)),"")</f>
        <v>14783.2</v>
      </c>
      <c r="E1650" s="9">
        <f t="shared" si="52"/>
        <v>1.1492417068023162</v>
      </c>
      <c r="F1650" t="str">
        <f t="shared" si="53"/>
        <v>Expected</v>
      </c>
    </row>
    <row r="1651" spans="1:7" ht="15" customHeight="1" x14ac:dyDescent="0.3">
      <c r="A1651" t="s">
        <v>160</v>
      </c>
      <c r="B1651" s="2">
        <v>46174</v>
      </c>
      <c r="C1651" cm="1">
        <f t="array" ref="C1651">IFERROR(IF(SUMPRODUCT((measured[Site Name]=A1651)*(measured[Date]=B1651)*ISNUMBER(measured[Measured Value (kWh)]))=0,"",SUMIFS(measured[Measured Value (kWh)],measured[Site Name],A1651,measured[Date],B1651)),"")</f>
        <v>13699</v>
      </c>
      <c r="D1651" cm="1">
        <f t="array" ref="D1651">IFERROR(IF(SUMPRODUCT((expected_production[Site Name]=A1651)*(expected_production[Date]=B1651)*ISNUMBER(expected_production[Expected Production (kWh)]))=0,"",SUMIFS(expected_production[Expected Production (kWh)],expected_production[Site Name],A1651,expected_production[Date],B1651)),"")</f>
        <v>13871.15</v>
      </c>
      <c r="E1651" s="9">
        <f t="shared" si="52"/>
        <v>0.98758934911669183</v>
      </c>
      <c r="F1651" t="str">
        <f t="shared" si="53"/>
        <v>Expected</v>
      </c>
    </row>
    <row r="1652" spans="1:7" ht="15" customHeight="1" x14ac:dyDescent="0.3">
      <c r="A1652" t="s">
        <v>152</v>
      </c>
      <c r="B1652" s="2">
        <v>46204</v>
      </c>
      <c r="C1652" cm="1">
        <f t="array" ref="C1652">IFERROR(IF(SUMPRODUCT((measured[Site Name]=A1652)*(measured[Date]=B1652)*ISNUMBER(measured[Measured Value (kWh)]))=0,"",SUMIFS(measured[Measured Value (kWh)],measured[Site Name],A1652,measured[Date],B1652)),"")</f>
        <v>6388</v>
      </c>
      <c r="D1652" cm="1">
        <f t="array" ref="D1652">IFERROR(IF(SUMPRODUCT((expected_production[Site Name]=A1652)*(expected_production[Date]=B1652)*ISNUMBER(expected_production[Expected Production (kWh)]))=0,"",SUMIFS(expected_production[Expected Production (kWh)],expected_production[Site Name],A1652,expected_production[Date],B1652)),"")</f>
        <v>8487.2000000000007</v>
      </c>
      <c r="E1652" s="9">
        <f t="shared" si="52"/>
        <v>0.75266283344330276</v>
      </c>
      <c r="F1652" t="str">
        <f t="shared" si="53"/>
        <v>Moderate</v>
      </c>
      <c r="G1652" t="s">
        <v>874</v>
      </c>
    </row>
    <row r="1653" spans="1:7" ht="15" customHeight="1" x14ac:dyDescent="0.3">
      <c r="A1653" t="s">
        <v>160</v>
      </c>
      <c r="B1653" s="2">
        <v>46235</v>
      </c>
      <c r="C1653" t="str" cm="1">
        <f t="array" ref="C1653">IFERROR(IF(SUMPRODUCT((measured[Site Name]=A1653)*(measured[Date]=B1653)*ISNUMBER(measured[Measured Value (kWh)]))=0,"",SUMIFS(measured[Measured Value (kWh)],measured[Site Name],A1653,measured[Date],B1653)),"")</f>
        <v/>
      </c>
      <c r="D1653" cm="1">
        <f t="array" ref="D1653">IFERROR(IF(SUMPRODUCT((expected_production[Site Name]=A1653)*(expected_production[Date]=B1653)*ISNUMBER(expected_production[Expected Production (kWh)]))=0,"",SUMIFS(expected_production[Expected Production (kWh)],expected_production[Site Name],A1653,expected_production[Date],B1653)),"")</f>
        <v>16763.7</v>
      </c>
      <c r="E1653" s="9" t="str">
        <f t="shared" si="52"/>
        <v/>
      </c>
      <c r="F1653" t="str">
        <f t="shared" si="53"/>
        <v/>
      </c>
    </row>
    <row r="1654" spans="1:7" ht="15" customHeight="1" x14ac:dyDescent="0.3">
      <c r="A1654" t="s">
        <v>160</v>
      </c>
      <c r="B1654" s="2">
        <v>46266</v>
      </c>
      <c r="C1654" t="str" cm="1">
        <f t="array" ref="C1654">IFERROR(IF(SUMPRODUCT((measured[Site Name]=A1654)*(measured[Date]=B1654)*ISNUMBER(measured[Measured Value (kWh)]))=0,"",SUMIFS(measured[Measured Value (kWh)],measured[Site Name],A1654,measured[Date],B1654)),"")</f>
        <v/>
      </c>
      <c r="D1654" cm="1">
        <f t="array" ref="D1654">IFERROR(IF(SUMPRODUCT((expected_production[Site Name]=A1654)*(expected_production[Date]=B1654)*ISNUMBER(expected_production[Expected Production (kWh)]))=0,"",SUMIFS(expected_production[Expected Production (kWh)],expected_production[Site Name],A1654,expected_production[Date],B1654)),"")</f>
        <v>16935.400000000001</v>
      </c>
      <c r="E1654" s="9" t="str">
        <f t="shared" si="52"/>
        <v/>
      </c>
      <c r="F1654" t="str">
        <f t="shared" si="53"/>
        <v/>
      </c>
    </row>
    <row r="1655" spans="1:7" ht="15" customHeight="1" x14ac:dyDescent="0.3">
      <c r="A1655" t="s">
        <v>160</v>
      </c>
      <c r="B1655" s="2">
        <v>46296</v>
      </c>
      <c r="C1655" t="str" cm="1">
        <f t="array" ref="C1655">IFERROR(IF(SUMPRODUCT((measured[Site Name]=A1655)*(measured[Date]=B1655)*ISNUMBER(measured[Measured Value (kWh)]))=0,"",SUMIFS(measured[Measured Value (kWh)],measured[Site Name],A1655,measured[Date],B1655)),"")</f>
        <v/>
      </c>
      <c r="D1655" cm="1">
        <f t="array" ref="D1655">IFERROR(IF(SUMPRODUCT((expected_production[Site Name]=A1655)*(expected_production[Date]=B1655)*ISNUMBER(expected_production[Expected Production (kWh)]))=0,"",SUMIFS(expected_production[Expected Production (kWh)],expected_production[Site Name],A1655,expected_production[Date],B1655)),"")</f>
        <v>17583.95</v>
      </c>
      <c r="E1655" s="9" t="str">
        <f t="shared" si="52"/>
        <v/>
      </c>
      <c r="F1655" t="str">
        <f t="shared" si="53"/>
        <v/>
      </c>
    </row>
    <row r="1656" spans="1:7" ht="15" customHeight="1" x14ac:dyDescent="0.3">
      <c r="A1656" t="s">
        <v>160</v>
      </c>
      <c r="B1656" s="2">
        <v>46327</v>
      </c>
      <c r="C1656" t="str" cm="1">
        <f t="array" ref="C1656">IFERROR(IF(SUMPRODUCT((measured[Site Name]=A1656)*(measured[Date]=B1656)*ISNUMBER(measured[Measured Value (kWh)]))=0,"",SUMIFS(measured[Measured Value (kWh)],measured[Site Name],A1656,measured[Date],B1656)),"")</f>
        <v/>
      </c>
      <c r="D1656" cm="1">
        <f t="array" ref="D1656">IFERROR(IF(SUMPRODUCT((expected_production[Site Name]=A1656)*(expected_production[Date]=B1656)*ISNUMBER(expected_production[Expected Production (kWh)]))=0,"",SUMIFS(expected_production[Expected Production (kWh)],expected_production[Site Name],A1656,expected_production[Date],B1656)),"")</f>
        <v>16597.099999999999</v>
      </c>
      <c r="E1656" s="9" t="str">
        <f t="shared" si="52"/>
        <v/>
      </c>
      <c r="F1656" t="str">
        <f t="shared" si="53"/>
        <v/>
      </c>
    </row>
    <row r="1657" spans="1:7" ht="15" customHeight="1" x14ac:dyDescent="0.3">
      <c r="A1657" t="s">
        <v>160</v>
      </c>
      <c r="B1657" s="2">
        <v>46357</v>
      </c>
      <c r="C1657" t="str" cm="1">
        <f t="array" ref="C1657">IFERROR(IF(SUMPRODUCT((measured[Site Name]=A1657)*(measured[Date]=B1657)*ISNUMBER(measured[Measured Value (kWh)]))=0,"",SUMIFS(measured[Measured Value (kWh)],measured[Site Name],A1657,measured[Date],B1657)),"")</f>
        <v/>
      </c>
      <c r="D1657" cm="1">
        <f t="array" ref="D1657">IFERROR(IF(SUMPRODUCT((expected_production[Site Name]=A1657)*(expected_production[Date]=B1657)*ISNUMBER(expected_production[Expected Production (kWh)]))=0,"",SUMIFS(expected_production[Expected Production (kWh)],expected_production[Site Name],A1657,expected_production[Date],B1657)),"")</f>
        <v>17731</v>
      </c>
      <c r="E1657" s="9" t="str">
        <f t="shared" si="52"/>
        <v/>
      </c>
      <c r="F1657" t="str">
        <f t="shared" si="53"/>
        <v/>
      </c>
    </row>
    <row r="1658" spans="1:7" ht="15" customHeight="1" x14ac:dyDescent="0.3">
      <c r="A1658" t="s">
        <v>244</v>
      </c>
      <c r="B1658" s="2">
        <v>45292</v>
      </c>
      <c r="C1658" t="str" cm="1">
        <f t="array" ref="C1658">IFERROR(IF(SUMPRODUCT((measured[Site Name]=A1658)*(measured[Date]=B1658)*ISNUMBER(measured[Measured Value (kWh)]))=0,"",SUMIFS(measured[Measured Value (kWh)],measured[Site Name],A1658,measured[Date],B1658)),"")</f>
        <v/>
      </c>
      <c r="D1658" cm="1">
        <f t="array" ref="D1658">IFERROR(IF(SUMPRODUCT((expected_production[Site Name]=A1658)*(expected_production[Date]=B1658)*ISNUMBER(expected_production[Expected Production (kWh)]))=0,"",SUMIFS(expected_production[Expected Production (kWh)],expected_production[Site Name],A1658,expected_production[Date],B1658)),"")</f>
        <v>20178</v>
      </c>
      <c r="E1658" s="9" t="str">
        <f t="shared" si="52"/>
        <v/>
      </c>
      <c r="F1658" t="str">
        <f t="shared" si="53"/>
        <v/>
      </c>
    </row>
    <row r="1659" spans="1:7" ht="15" customHeight="1" x14ac:dyDescent="0.3">
      <c r="A1659" t="s">
        <v>244</v>
      </c>
      <c r="B1659" s="2">
        <v>45323</v>
      </c>
      <c r="C1659" t="str" cm="1">
        <f t="array" ref="C1659">IFERROR(IF(SUMPRODUCT((measured[Site Name]=A1659)*(measured[Date]=B1659)*ISNUMBER(measured[Measured Value (kWh)]))=0,"",SUMIFS(measured[Measured Value (kWh)],measured[Site Name],A1659,measured[Date],B1659)),"")</f>
        <v/>
      </c>
      <c r="D1659" cm="1">
        <f t="array" ref="D1659">IFERROR(IF(SUMPRODUCT((expected_production[Site Name]=A1659)*(expected_production[Date]=B1659)*ISNUMBER(expected_production[Expected Production (kWh)]))=0,"",SUMIFS(expected_production[Expected Production (kWh)],expected_production[Site Name],A1659,expected_production[Date],B1659)),"")</f>
        <v>17954</v>
      </c>
      <c r="E1659" s="9" t="str">
        <f t="shared" si="52"/>
        <v/>
      </c>
      <c r="F1659" t="str">
        <f t="shared" si="53"/>
        <v/>
      </c>
    </row>
    <row r="1660" spans="1:7" ht="15" customHeight="1" x14ac:dyDescent="0.3">
      <c r="A1660" t="s">
        <v>244</v>
      </c>
      <c r="B1660" s="2">
        <v>45352</v>
      </c>
      <c r="C1660" t="str" cm="1">
        <f t="array" ref="C1660">IFERROR(IF(SUMPRODUCT((measured[Site Name]=A1660)*(measured[Date]=B1660)*ISNUMBER(measured[Measured Value (kWh)]))=0,"",SUMIFS(measured[Measured Value (kWh)],measured[Site Name],A1660,measured[Date],B1660)),"")</f>
        <v/>
      </c>
      <c r="D1660" cm="1">
        <f t="array" ref="D1660">IFERROR(IF(SUMPRODUCT((expected_production[Site Name]=A1660)*(expected_production[Date]=B1660)*ISNUMBER(expected_production[Expected Production (kWh)]))=0,"",SUMIFS(expected_production[Expected Production (kWh)],expected_production[Site Name],A1660,expected_production[Date],B1660)),"")</f>
        <v>19150</v>
      </c>
      <c r="E1660" s="9" t="str">
        <f t="shared" ref="E1660:E1723" si="54">IF(OR(C1660="",D1660="",D1660=0),"",C1660/D1660)</f>
        <v/>
      </c>
      <c r="F1660" t="str">
        <f t="shared" ref="F1660:F1723" si="55">IF(E1660="","",IF(E1660&gt;=0.9,"Expected",IF(E1660&gt;=0.7,"Moderate","Poor")))</f>
        <v/>
      </c>
    </row>
    <row r="1661" spans="1:7" ht="15" customHeight="1" x14ac:dyDescent="0.3">
      <c r="A1661" t="s">
        <v>244</v>
      </c>
      <c r="B1661" s="2">
        <v>45383</v>
      </c>
      <c r="C1661" t="str" cm="1">
        <f t="array" ref="C1661">IFERROR(IF(SUMPRODUCT((measured[Site Name]=A1661)*(measured[Date]=B1661)*ISNUMBER(measured[Measured Value (kWh)]))=0,"",SUMIFS(measured[Measured Value (kWh)],measured[Site Name],A1661,measured[Date],B1661)),"")</f>
        <v/>
      </c>
      <c r="D1661" cm="1">
        <f t="array" ref="D1661">IFERROR(IF(SUMPRODUCT((expected_production[Site Name]=A1661)*(expected_production[Date]=B1661)*ISNUMBER(expected_production[Expected Production (kWh)]))=0,"",SUMIFS(expected_production[Expected Production (kWh)],expected_production[Site Name],A1661,expected_production[Date],B1661)),"")</f>
        <v>18060</v>
      </c>
      <c r="E1661" s="9" t="str">
        <f t="shared" si="54"/>
        <v/>
      </c>
      <c r="F1661" t="str">
        <f t="shared" si="55"/>
        <v/>
      </c>
    </row>
    <row r="1662" spans="1:7" ht="15" customHeight="1" x14ac:dyDescent="0.3">
      <c r="A1662" t="s">
        <v>244</v>
      </c>
      <c r="B1662" s="2">
        <v>45413</v>
      </c>
      <c r="C1662" t="str" cm="1">
        <f t="array" ref="C1662">IFERROR(IF(SUMPRODUCT((measured[Site Name]=A1662)*(measured[Date]=B1662)*ISNUMBER(measured[Measured Value (kWh)]))=0,"",SUMIFS(measured[Measured Value (kWh)],measured[Site Name],A1662,measured[Date],B1662)),"")</f>
        <v/>
      </c>
      <c r="D1662" cm="1">
        <f t="array" ref="D1662">IFERROR(IF(SUMPRODUCT((expected_production[Site Name]=A1662)*(expected_production[Date]=B1662)*ISNUMBER(expected_production[Expected Production (kWh)]))=0,"",SUMIFS(expected_production[Expected Production (kWh)],expected_production[Site Name],A1662,expected_production[Date],B1662)),"")</f>
        <v>18124</v>
      </c>
      <c r="E1662" s="9" t="str">
        <f t="shared" si="54"/>
        <v/>
      </c>
      <c r="F1662" t="str">
        <f t="shared" si="55"/>
        <v/>
      </c>
    </row>
    <row r="1663" spans="1:7" ht="15" customHeight="1" x14ac:dyDescent="0.3">
      <c r="A1663" t="s">
        <v>244</v>
      </c>
      <c r="B1663" s="2">
        <v>45444</v>
      </c>
      <c r="C1663" t="str" cm="1">
        <f t="array" ref="C1663">IFERROR(IF(SUMPRODUCT((measured[Site Name]=A1663)*(measured[Date]=B1663)*ISNUMBER(measured[Measured Value (kWh)]))=0,"",SUMIFS(measured[Measured Value (kWh)],measured[Site Name],A1663,measured[Date],B1663)),"")</f>
        <v/>
      </c>
      <c r="D1663" cm="1">
        <f t="array" ref="D1663">IFERROR(IF(SUMPRODUCT((expected_production[Site Name]=A1663)*(expected_production[Date]=B1663)*ISNUMBER(expected_production[Expected Production (kWh)]))=0,"",SUMIFS(expected_production[Expected Production (kWh)],expected_production[Site Name],A1663,expected_production[Date],B1663)),"")</f>
        <v>15908</v>
      </c>
      <c r="E1663" s="9" t="str">
        <f t="shared" si="54"/>
        <v/>
      </c>
      <c r="F1663" t="str">
        <f t="shared" si="55"/>
        <v/>
      </c>
    </row>
    <row r="1664" spans="1:7" ht="15" customHeight="1" x14ac:dyDescent="0.3">
      <c r="A1664" t="s">
        <v>244</v>
      </c>
      <c r="B1664" s="2">
        <v>45474</v>
      </c>
      <c r="C1664" t="str" cm="1">
        <f t="array" ref="C1664">IFERROR(IF(SUMPRODUCT((measured[Site Name]=A1664)*(measured[Date]=B1664)*ISNUMBER(measured[Measured Value (kWh)]))=0,"",SUMIFS(measured[Measured Value (kWh)],measured[Site Name],A1664,measured[Date],B1664)),"")</f>
        <v/>
      </c>
      <c r="D1664" cm="1">
        <f t="array" ref="D1664">IFERROR(IF(SUMPRODUCT((expected_production[Site Name]=A1664)*(expected_production[Date]=B1664)*ISNUMBER(expected_production[Expected Production (kWh)]))=0,"",SUMIFS(expected_production[Expected Production (kWh)],expected_production[Site Name],A1664,expected_production[Date],B1664)),"")</f>
        <v>16827</v>
      </c>
      <c r="E1664" s="9" t="str">
        <f t="shared" si="54"/>
        <v/>
      </c>
      <c r="F1664" t="str">
        <f t="shared" si="55"/>
        <v/>
      </c>
    </row>
    <row r="1665" spans="1:6" ht="15" customHeight="1" x14ac:dyDescent="0.3">
      <c r="A1665" t="s">
        <v>244</v>
      </c>
      <c r="B1665" s="2">
        <v>45505</v>
      </c>
      <c r="C1665" t="str" cm="1">
        <f t="array" ref="C1665">IFERROR(IF(SUMPRODUCT((measured[Site Name]=A1665)*(measured[Date]=B1665)*ISNUMBER(measured[Measured Value (kWh)]))=0,"",SUMIFS(measured[Measured Value (kWh)],measured[Site Name],A1665,measured[Date],B1665)),"")</f>
        <v/>
      </c>
      <c r="D1665" cm="1">
        <f t="array" ref="D1665">IFERROR(IF(SUMPRODUCT((expected_production[Site Name]=A1665)*(expected_production[Date]=B1665)*ISNUMBER(expected_production[Expected Production (kWh)]))=0,"",SUMIFS(expected_production[Expected Production (kWh)],expected_production[Site Name],A1665,expected_production[Date],B1665)),"")</f>
        <v>19405</v>
      </c>
      <c r="E1665" s="9" t="str">
        <f t="shared" si="54"/>
        <v/>
      </c>
      <c r="F1665" t="str">
        <f t="shared" si="55"/>
        <v/>
      </c>
    </row>
    <row r="1666" spans="1:6" ht="15" customHeight="1" x14ac:dyDescent="0.3">
      <c r="A1666" t="s">
        <v>244</v>
      </c>
      <c r="B1666" s="2">
        <v>45536</v>
      </c>
      <c r="C1666" t="str" cm="1">
        <f t="array" ref="C1666">IFERROR(IF(SUMPRODUCT((measured[Site Name]=A1666)*(measured[Date]=B1666)*ISNUMBER(measured[Measured Value (kWh)]))=0,"",SUMIFS(measured[Measured Value (kWh)],measured[Site Name],A1666,measured[Date],B1666)),"")</f>
        <v/>
      </c>
      <c r="D1666" cm="1">
        <f t="array" ref="D1666">IFERROR(IF(SUMPRODUCT((expected_production[Site Name]=A1666)*(expected_production[Date]=B1666)*ISNUMBER(expected_production[Expected Production (kWh)]))=0,"",SUMIFS(expected_production[Expected Production (kWh)],expected_production[Site Name],A1666,expected_production[Date],B1666)),"")</f>
        <v>19981</v>
      </c>
      <c r="E1666" s="9" t="str">
        <f t="shared" si="54"/>
        <v/>
      </c>
      <c r="F1666" t="str">
        <f t="shared" si="55"/>
        <v/>
      </c>
    </row>
    <row r="1667" spans="1:6" ht="15" customHeight="1" x14ac:dyDescent="0.3">
      <c r="A1667" t="s">
        <v>244</v>
      </c>
      <c r="B1667" s="2">
        <v>45566</v>
      </c>
      <c r="C1667" t="str" cm="1">
        <f t="array" ref="C1667">IFERROR(IF(SUMPRODUCT((measured[Site Name]=A1667)*(measured[Date]=B1667)*ISNUMBER(measured[Measured Value (kWh)]))=0,"",SUMIFS(measured[Measured Value (kWh)],measured[Site Name],A1667,measured[Date],B1667)),"")</f>
        <v/>
      </c>
      <c r="D1667" cm="1">
        <f t="array" ref="D1667">IFERROR(IF(SUMPRODUCT((expected_production[Site Name]=A1667)*(expected_production[Date]=B1667)*ISNUMBER(expected_production[Expected Production (kWh)]))=0,"",SUMIFS(expected_production[Expected Production (kWh)],expected_production[Site Name],A1667,expected_production[Date],B1667)),"")</f>
        <v>22401</v>
      </c>
      <c r="E1667" s="9" t="str">
        <f t="shared" si="54"/>
        <v/>
      </c>
      <c r="F1667" t="str">
        <f t="shared" si="55"/>
        <v/>
      </c>
    </row>
    <row r="1668" spans="1:6" ht="15" customHeight="1" x14ac:dyDescent="0.3">
      <c r="A1668" t="s">
        <v>244</v>
      </c>
      <c r="B1668" s="2">
        <v>45597</v>
      </c>
      <c r="C1668" t="str" cm="1">
        <f t="array" ref="C1668">IFERROR(IF(SUMPRODUCT((measured[Site Name]=A1668)*(measured[Date]=B1668)*ISNUMBER(measured[Measured Value (kWh)]))=0,"",SUMIFS(measured[Measured Value (kWh)],measured[Site Name],A1668,measured[Date],B1668)),"")</f>
        <v/>
      </c>
      <c r="D1668" cm="1">
        <f t="array" ref="D1668">IFERROR(IF(SUMPRODUCT((expected_production[Site Name]=A1668)*(expected_production[Date]=B1668)*ISNUMBER(expected_production[Expected Production (kWh)]))=0,"",SUMIFS(expected_production[Expected Production (kWh)],expected_production[Site Name],A1668,expected_production[Date],B1668)),"")</f>
        <v>20125</v>
      </c>
      <c r="E1668" s="9" t="str">
        <f t="shared" si="54"/>
        <v/>
      </c>
      <c r="F1668" t="str">
        <f t="shared" si="55"/>
        <v/>
      </c>
    </row>
    <row r="1669" spans="1:6" ht="15" customHeight="1" x14ac:dyDescent="0.3">
      <c r="A1669" t="s">
        <v>244</v>
      </c>
      <c r="B1669" s="2">
        <v>45627</v>
      </c>
      <c r="C1669" t="str" cm="1">
        <f t="array" ref="C1669">IFERROR(IF(SUMPRODUCT((measured[Site Name]=A1669)*(measured[Date]=B1669)*ISNUMBER(measured[Measured Value (kWh)]))=0,"",SUMIFS(measured[Measured Value (kWh)],measured[Site Name],A1669,measured[Date],B1669)),"")</f>
        <v/>
      </c>
      <c r="D1669" cm="1">
        <f t="array" ref="D1669">IFERROR(IF(SUMPRODUCT((expected_production[Site Name]=A1669)*(expected_production[Date]=B1669)*ISNUMBER(expected_production[Expected Production (kWh)]))=0,"",SUMIFS(expected_production[Expected Production (kWh)],expected_production[Site Name],A1669,expected_production[Date],B1669)),"")</f>
        <v>20771</v>
      </c>
      <c r="E1669" s="9" t="str">
        <f t="shared" si="54"/>
        <v/>
      </c>
      <c r="F1669" t="str">
        <f t="shared" si="55"/>
        <v/>
      </c>
    </row>
    <row r="1670" spans="1:6" ht="15" customHeight="1" x14ac:dyDescent="0.3">
      <c r="A1670" t="s">
        <v>244</v>
      </c>
      <c r="B1670" s="2">
        <v>45658</v>
      </c>
      <c r="C1670" t="str" cm="1">
        <f t="array" ref="C1670">IFERROR(IF(SUMPRODUCT((measured[Site Name]=A1670)*(measured[Date]=B1670)*ISNUMBER(measured[Measured Value (kWh)]))=0,"",SUMIFS(measured[Measured Value (kWh)],measured[Site Name],A1670,measured[Date],B1670)),"")</f>
        <v/>
      </c>
      <c r="D1670" cm="1">
        <f t="array" ref="D1670">IFERROR(IF(SUMPRODUCT((expected_production[Site Name]=A1670)*(expected_production[Date]=B1670)*ISNUMBER(expected_production[Expected Production (kWh)]))=0,"",SUMIFS(expected_production[Expected Production (kWh)],expected_production[Site Name],A1670,expected_production[Date],B1670)),"")</f>
        <v>20178</v>
      </c>
      <c r="E1670" s="9" t="str">
        <f t="shared" si="54"/>
        <v/>
      </c>
      <c r="F1670" t="str">
        <f t="shared" si="55"/>
        <v/>
      </c>
    </row>
    <row r="1671" spans="1:6" ht="15" customHeight="1" x14ac:dyDescent="0.3">
      <c r="A1671" t="s">
        <v>244</v>
      </c>
      <c r="B1671" s="2">
        <v>45689</v>
      </c>
      <c r="C1671" t="str" cm="1">
        <f t="array" ref="C1671">IFERROR(IF(SUMPRODUCT((measured[Site Name]=A1671)*(measured[Date]=B1671)*ISNUMBER(measured[Measured Value (kWh)]))=0,"",SUMIFS(measured[Measured Value (kWh)],measured[Site Name],A1671,measured[Date],B1671)),"")</f>
        <v/>
      </c>
      <c r="D1671" cm="1">
        <f t="array" ref="D1671">IFERROR(IF(SUMPRODUCT((expected_production[Site Name]=A1671)*(expected_production[Date]=B1671)*ISNUMBER(expected_production[Expected Production (kWh)]))=0,"",SUMIFS(expected_production[Expected Production (kWh)],expected_production[Site Name],A1671,expected_production[Date],B1671)),"")</f>
        <v>17954</v>
      </c>
      <c r="E1671" s="9" t="str">
        <f t="shared" si="54"/>
        <v/>
      </c>
      <c r="F1671" t="str">
        <f t="shared" si="55"/>
        <v/>
      </c>
    </row>
    <row r="1672" spans="1:6" ht="15" customHeight="1" x14ac:dyDescent="0.3">
      <c r="A1672" t="s">
        <v>244</v>
      </c>
      <c r="B1672" s="2">
        <v>45717</v>
      </c>
      <c r="C1672" t="str" cm="1">
        <f t="array" ref="C1672">IFERROR(IF(SUMPRODUCT((measured[Site Name]=A1672)*(measured[Date]=B1672)*ISNUMBER(measured[Measured Value (kWh)]))=0,"",SUMIFS(measured[Measured Value (kWh)],measured[Site Name],A1672,measured[Date],B1672)),"")</f>
        <v/>
      </c>
      <c r="D1672" cm="1">
        <f t="array" ref="D1672">IFERROR(IF(SUMPRODUCT((expected_production[Site Name]=A1672)*(expected_production[Date]=B1672)*ISNUMBER(expected_production[Expected Production (kWh)]))=0,"",SUMIFS(expected_production[Expected Production (kWh)],expected_production[Site Name],A1672,expected_production[Date],B1672)),"")</f>
        <v>19150</v>
      </c>
      <c r="E1672" s="9" t="str">
        <f t="shared" si="54"/>
        <v/>
      </c>
      <c r="F1672" t="str">
        <f t="shared" si="55"/>
        <v/>
      </c>
    </row>
    <row r="1673" spans="1:6" ht="15" customHeight="1" x14ac:dyDescent="0.3">
      <c r="A1673" t="s">
        <v>244</v>
      </c>
      <c r="B1673" s="2">
        <v>45748</v>
      </c>
      <c r="C1673" t="str" cm="1">
        <f t="array" ref="C1673">IFERROR(IF(SUMPRODUCT((measured[Site Name]=A1673)*(measured[Date]=B1673)*ISNUMBER(measured[Measured Value (kWh)]))=0,"",SUMIFS(measured[Measured Value (kWh)],measured[Site Name],A1673,measured[Date],B1673)),"")</f>
        <v/>
      </c>
      <c r="D1673" cm="1">
        <f t="array" ref="D1673">IFERROR(IF(SUMPRODUCT((expected_production[Site Name]=A1673)*(expected_production[Date]=B1673)*ISNUMBER(expected_production[Expected Production (kWh)]))=0,"",SUMIFS(expected_production[Expected Production (kWh)],expected_production[Site Name],A1673,expected_production[Date],B1673)),"")</f>
        <v>18060</v>
      </c>
      <c r="E1673" s="9" t="str">
        <f t="shared" si="54"/>
        <v/>
      </c>
      <c r="F1673" t="str">
        <f t="shared" si="55"/>
        <v/>
      </c>
    </row>
    <row r="1674" spans="1:6" ht="15" customHeight="1" x14ac:dyDescent="0.3">
      <c r="A1674" t="s">
        <v>244</v>
      </c>
      <c r="B1674" s="2">
        <v>45778</v>
      </c>
      <c r="C1674" t="str" cm="1">
        <f t="array" ref="C1674">IFERROR(IF(SUMPRODUCT((measured[Site Name]=A1674)*(measured[Date]=B1674)*ISNUMBER(measured[Measured Value (kWh)]))=0,"",SUMIFS(measured[Measured Value (kWh)],measured[Site Name],A1674,measured[Date],B1674)),"")</f>
        <v/>
      </c>
      <c r="D1674" cm="1">
        <f t="array" ref="D1674">IFERROR(IF(SUMPRODUCT((expected_production[Site Name]=A1674)*(expected_production[Date]=B1674)*ISNUMBER(expected_production[Expected Production (kWh)]))=0,"",SUMIFS(expected_production[Expected Production (kWh)],expected_production[Site Name],A1674,expected_production[Date],B1674)),"")</f>
        <v>18124</v>
      </c>
      <c r="E1674" s="9" t="str">
        <f t="shared" si="54"/>
        <v/>
      </c>
      <c r="F1674" t="str">
        <f t="shared" si="55"/>
        <v/>
      </c>
    </row>
    <row r="1675" spans="1:6" ht="15" customHeight="1" x14ac:dyDescent="0.3">
      <c r="A1675" t="s">
        <v>244</v>
      </c>
      <c r="B1675" s="2">
        <v>45809</v>
      </c>
      <c r="C1675" t="str" cm="1">
        <f t="array" ref="C1675">IFERROR(IF(SUMPRODUCT((measured[Site Name]=A1675)*(measured[Date]=B1675)*ISNUMBER(measured[Measured Value (kWh)]))=0,"",SUMIFS(measured[Measured Value (kWh)],measured[Site Name],A1675,measured[Date],B1675)),"")</f>
        <v/>
      </c>
      <c r="D1675" cm="1">
        <f t="array" ref="D1675">IFERROR(IF(SUMPRODUCT((expected_production[Site Name]=A1675)*(expected_production[Date]=B1675)*ISNUMBER(expected_production[Expected Production (kWh)]))=0,"",SUMIFS(expected_production[Expected Production (kWh)],expected_production[Site Name],A1675,expected_production[Date],B1675)),"")</f>
        <v>15908</v>
      </c>
      <c r="E1675" s="9" t="str">
        <f t="shared" si="54"/>
        <v/>
      </c>
      <c r="F1675" t="str">
        <f t="shared" si="55"/>
        <v/>
      </c>
    </row>
    <row r="1676" spans="1:6" ht="15" customHeight="1" x14ac:dyDescent="0.3">
      <c r="A1676" t="s">
        <v>244</v>
      </c>
      <c r="B1676" s="2">
        <v>45839</v>
      </c>
      <c r="C1676" t="str" cm="1">
        <f t="array" ref="C1676">IFERROR(IF(SUMPRODUCT((measured[Site Name]=A1676)*(measured[Date]=B1676)*ISNUMBER(measured[Measured Value (kWh)]))=0,"",SUMIFS(measured[Measured Value (kWh)],measured[Site Name],A1676,measured[Date],B1676)),"")</f>
        <v/>
      </c>
      <c r="D1676" cm="1">
        <f t="array" ref="D1676">IFERROR(IF(SUMPRODUCT((expected_production[Site Name]=A1676)*(expected_production[Date]=B1676)*ISNUMBER(expected_production[Expected Production (kWh)]))=0,"",SUMIFS(expected_production[Expected Production (kWh)],expected_production[Site Name],A1676,expected_production[Date],B1676)),"")</f>
        <v>16827</v>
      </c>
      <c r="E1676" s="9" t="str">
        <f t="shared" si="54"/>
        <v/>
      </c>
      <c r="F1676" t="str">
        <f t="shared" si="55"/>
        <v/>
      </c>
    </row>
    <row r="1677" spans="1:6" ht="15" customHeight="1" x14ac:dyDescent="0.3">
      <c r="A1677" t="s">
        <v>244</v>
      </c>
      <c r="B1677" s="2">
        <v>45870</v>
      </c>
      <c r="C1677" t="str" cm="1">
        <f t="array" ref="C1677">IFERROR(IF(SUMPRODUCT((measured[Site Name]=A1677)*(measured[Date]=B1677)*ISNUMBER(measured[Measured Value (kWh)]))=0,"",SUMIFS(measured[Measured Value (kWh)],measured[Site Name],A1677,measured[Date],B1677)),"")</f>
        <v/>
      </c>
      <c r="D1677" cm="1">
        <f t="array" ref="D1677">IFERROR(IF(SUMPRODUCT((expected_production[Site Name]=A1677)*(expected_production[Date]=B1677)*ISNUMBER(expected_production[Expected Production (kWh)]))=0,"",SUMIFS(expected_production[Expected Production (kWh)],expected_production[Site Name],A1677,expected_production[Date],B1677)),"")</f>
        <v>19405</v>
      </c>
      <c r="E1677" s="9" t="str">
        <f t="shared" si="54"/>
        <v/>
      </c>
      <c r="F1677" t="str">
        <f t="shared" si="55"/>
        <v/>
      </c>
    </row>
    <row r="1678" spans="1:6" ht="15" customHeight="1" x14ac:dyDescent="0.3">
      <c r="A1678" t="s">
        <v>244</v>
      </c>
      <c r="B1678" s="2">
        <v>45901</v>
      </c>
      <c r="C1678" t="str" cm="1">
        <f t="array" ref="C1678">IFERROR(IF(SUMPRODUCT((measured[Site Name]=A1678)*(measured[Date]=B1678)*ISNUMBER(measured[Measured Value (kWh)]))=0,"",SUMIFS(measured[Measured Value (kWh)],measured[Site Name],A1678,measured[Date],B1678)),"")</f>
        <v/>
      </c>
      <c r="D1678" cm="1">
        <f t="array" ref="D1678">IFERROR(IF(SUMPRODUCT((expected_production[Site Name]=A1678)*(expected_production[Date]=B1678)*ISNUMBER(expected_production[Expected Production (kWh)]))=0,"",SUMIFS(expected_production[Expected Production (kWh)],expected_production[Site Name],A1678,expected_production[Date],B1678)),"")</f>
        <v>19981</v>
      </c>
      <c r="E1678" s="9" t="str">
        <f t="shared" si="54"/>
        <v/>
      </c>
      <c r="F1678" t="str">
        <f t="shared" si="55"/>
        <v/>
      </c>
    </row>
    <row r="1679" spans="1:6" ht="15" customHeight="1" x14ac:dyDescent="0.3">
      <c r="A1679" t="s">
        <v>244</v>
      </c>
      <c r="B1679" s="2">
        <v>45931</v>
      </c>
      <c r="C1679" t="str" cm="1">
        <f t="array" ref="C1679">IFERROR(IF(SUMPRODUCT((measured[Site Name]=A1679)*(measured[Date]=B1679)*ISNUMBER(measured[Measured Value (kWh)]))=0,"",SUMIFS(measured[Measured Value (kWh)],measured[Site Name],A1679,measured[Date],B1679)),"")</f>
        <v/>
      </c>
      <c r="D1679" cm="1">
        <f t="array" ref="D1679">IFERROR(IF(SUMPRODUCT((expected_production[Site Name]=A1679)*(expected_production[Date]=B1679)*ISNUMBER(expected_production[Expected Production (kWh)]))=0,"",SUMIFS(expected_production[Expected Production (kWh)],expected_production[Site Name],A1679,expected_production[Date],B1679)),"")</f>
        <v>22401</v>
      </c>
      <c r="E1679" s="9" t="str">
        <f t="shared" si="54"/>
        <v/>
      </c>
      <c r="F1679" t="str">
        <f t="shared" si="55"/>
        <v/>
      </c>
    </row>
    <row r="1680" spans="1:6" ht="15" customHeight="1" x14ac:dyDescent="0.3">
      <c r="A1680" t="s">
        <v>244</v>
      </c>
      <c r="B1680" s="2">
        <v>45962</v>
      </c>
      <c r="C1680" t="str" cm="1">
        <f t="array" ref="C1680">IFERROR(IF(SUMPRODUCT((measured[Site Name]=A1680)*(measured[Date]=B1680)*ISNUMBER(measured[Measured Value (kWh)]))=0,"",SUMIFS(measured[Measured Value (kWh)],measured[Site Name],A1680,measured[Date],B1680)),"")</f>
        <v/>
      </c>
      <c r="D1680" cm="1">
        <f t="array" ref="D1680">IFERROR(IF(SUMPRODUCT((expected_production[Site Name]=A1680)*(expected_production[Date]=B1680)*ISNUMBER(expected_production[Expected Production (kWh)]))=0,"",SUMIFS(expected_production[Expected Production (kWh)],expected_production[Site Name],A1680,expected_production[Date],B1680)),"")</f>
        <v>20125</v>
      </c>
      <c r="E1680" s="9" t="str">
        <f t="shared" si="54"/>
        <v/>
      </c>
      <c r="F1680" t="str">
        <f t="shared" si="55"/>
        <v/>
      </c>
    </row>
    <row r="1681" spans="1:7" ht="15" customHeight="1" x14ac:dyDescent="0.3">
      <c r="A1681" t="s">
        <v>244</v>
      </c>
      <c r="B1681" s="2">
        <v>45992</v>
      </c>
      <c r="C1681" t="str" cm="1">
        <f t="array" ref="C1681">IFERROR(IF(SUMPRODUCT((measured[Site Name]=A1681)*(measured[Date]=B1681)*ISNUMBER(measured[Measured Value (kWh)]))=0,"",SUMIFS(measured[Measured Value (kWh)],measured[Site Name],A1681,measured[Date],B1681)),"")</f>
        <v/>
      </c>
      <c r="D1681" cm="1">
        <f t="array" ref="D1681">IFERROR(IF(SUMPRODUCT((expected_production[Site Name]=A1681)*(expected_production[Date]=B1681)*ISNUMBER(expected_production[Expected Production (kWh)]))=0,"",SUMIFS(expected_production[Expected Production (kWh)],expected_production[Site Name],A1681,expected_production[Date],B1681)),"")</f>
        <v>20771</v>
      </c>
      <c r="E1681" s="9" t="str">
        <f t="shared" si="54"/>
        <v/>
      </c>
      <c r="F1681" t="str">
        <f t="shared" si="55"/>
        <v/>
      </c>
    </row>
    <row r="1682" spans="1:7" ht="15" customHeight="1" x14ac:dyDescent="0.3">
      <c r="A1682" t="s">
        <v>244</v>
      </c>
      <c r="B1682" s="2">
        <v>46023</v>
      </c>
      <c r="C1682" t="str" cm="1">
        <f t="array" ref="C1682">IFERROR(IF(SUMPRODUCT((measured[Site Name]=A1682)*(measured[Date]=B1682)*ISNUMBER(measured[Measured Value (kWh)]))=0,"",SUMIFS(measured[Measured Value (kWh)],measured[Site Name],A1682,measured[Date],B1682)),"")</f>
        <v/>
      </c>
      <c r="D1682" cm="1">
        <f t="array" ref="D1682">IFERROR(IF(SUMPRODUCT((expected_production[Site Name]=A1682)*(expected_production[Date]=B1682)*ISNUMBER(expected_production[Expected Production (kWh)]))=0,"",SUMIFS(expected_production[Expected Production (kWh)],expected_production[Site Name],A1682,expected_production[Date],B1682)),"")</f>
        <v>20178</v>
      </c>
      <c r="E1682" s="9" t="str">
        <f t="shared" si="54"/>
        <v/>
      </c>
      <c r="F1682" t="str">
        <f t="shared" si="55"/>
        <v/>
      </c>
    </row>
    <row r="1683" spans="1:7" ht="15" customHeight="1" x14ac:dyDescent="0.3">
      <c r="A1683" t="s">
        <v>244</v>
      </c>
      <c r="B1683" s="2">
        <v>46054</v>
      </c>
      <c r="C1683" t="str" cm="1">
        <f t="array" ref="C1683">IFERROR(IF(SUMPRODUCT((measured[Site Name]=A1683)*(measured[Date]=B1683)*ISNUMBER(measured[Measured Value (kWh)]))=0,"",SUMIFS(measured[Measured Value (kWh)],measured[Site Name],A1683,measured[Date],B1683)),"")</f>
        <v/>
      </c>
      <c r="D1683" cm="1">
        <f t="array" ref="D1683">IFERROR(IF(SUMPRODUCT((expected_production[Site Name]=A1683)*(expected_production[Date]=B1683)*ISNUMBER(expected_production[Expected Production (kWh)]))=0,"",SUMIFS(expected_production[Expected Production (kWh)],expected_production[Site Name],A1683,expected_production[Date],B1683)),"")</f>
        <v>17954</v>
      </c>
      <c r="E1683" s="9" t="str">
        <f t="shared" si="54"/>
        <v/>
      </c>
      <c r="F1683" t="str">
        <f t="shared" si="55"/>
        <v/>
      </c>
    </row>
    <row r="1684" spans="1:7" ht="15" customHeight="1" x14ac:dyDescent="0.3">
      <c r="A1684" t="s">
        <v>244</v>
      </c>
      <c r="B1684" s="2">
        <v>46082</v>
      </c>
      <c r="C1684" t="str" cm="1">
        <f t="array" ref="C1684">IFERROR(IF(SUMPRODUCT((measured[Site Name]=A1684)*(measured[Date]=B1684)*ISNUMBER(measured[Measured Value (kWh)]))=0,"",SUMIFS(measured[Measured Value (kWh)],measured[Site Name],A1684,measured[Date],B1684)),"")</f>
        <v/>
      </c>
      <c r="D1684" cm="1">
        <f t="array" ref="D1684">IFERROR(IF(SUMPRODUCT((expected_production[Site Name]=A1684)*(expected_production[Date]=B1684)*ISNUMBER(expected_production[Expected Production (kWh)]))=0,"",SUMIFS(expected_production[Expected Production (kWh)],expected_production[Site Name],A1684,expected_production[Date],B1684)),"")</f>
        <v>19150</v>
      </c>
      <c r="E1684" s="9" t="str">
        <f t="shared" si="54"/>
        <v/>
      </c>
      <c r="F1684" t="str">
        <f t="shared" si="55"/>
        <v/>
      </c>
    </row>
    <row r="1685" spans="1:7" ht="15" customHeight="1" x14ac:dyDescent="0.3">
      <c r="A1685" t="s">
        <v>244</v>
      </c>
      <c r="B1685" s="2">
        <v>46113</v>
      </c>
      <c r="C1685" cm="1">
        <f t="array" ref="C1685">IFERROR(IF(SUMPRODUCT((measured[Site Name]=A1685)*(measured[Date]=B1685)*ISNUMBER(measured[Measured Value (kWh)]))=0,"",SUMIFS(measured[Measured Value (kWh)],measured[Site Name],A1685,measured[Date],B1685)),"")</f>
        <v>10820</v>
      </c>
      <c r="D1685" cm="1">
        <f t="array" ref="D1685">IFERROR(IF(SUMPRODUCT((expected_production[Site Name]=A1685)*(expected_production[Date]=B1685)*ISNUMBER(expected_production[Expected Production (kWh)]))=0,"",SUMIFS(expected_production[Expected Production (kWh)],expected_production[Site Name],A1685,expected_production[Date],B1685)),"")</f>
        <v>18060</v>
      </c>
      <c r="E1685" s="9">
        <f t="shared" si="54"/>
        <v>0.5991140642303433</v>
      </c>
      <c r="F1685" t="str">
        <f t="shared" si="55"/>
        <v>Poor</v>
      </c>
    </row>
    <row r="1686" spans="1:7" ht="15" customHeight="1" x14ac:dyDescent="0.3">
      <c r="A1686" t="s">
        <v>244</v>
      </c>
      <c r="B1686" s="2">
        <v>46143</v>
      </c>
      <c r="C1686" cm="1">
        <f t="array" ref="C1686">IFERROR(IF(SUMPRODUCT((measured[Site Name]=A1686)*(measured[Date]=B1686)*ISNUMBER(measured[Measured Value (kWh)]))=0,"",SUMIFS(measured[Measured Value (kWh)],measured[Site Name],A1686,measured[Date],B1686)),"")</f>
        <v>11820</v>
      </c>
      <c r="D1686" cm="1">
        <f t="array" ref="D1686">IFERROR(IF(SUMPRODUCT((expected_production[Site Name]=A1686)*(expected_production[Date]=B1686)*ISNUMBER(expected_production[Expected Production (kWh)]))=0,"",SUMIFS(expected_production[Expected Production (kWh)],expected_production[Site Name],A1686,expected_production[Date],B1686)),"")</f>
        <v>18124</v>
      </c>
      <c r="E1686" s="9">
        <f t="shared" si="54"/>
        <v>0.65217391304347827</v>
      </c>
      <c r="F1686" t="str">
        <f t="shared" si="55"/>
        <v>Poor</v>
      </c>
    </row>
    <row r="1687" spans="1:7" ht="15" customHeight="1" x14ac:dyDescent="0.3">
      <c r="A1687" t="s">
        <v>244</v>
      </c>
      <c r="B1687" s="2">
        <v>46174</v>
      </c>
      <c r="C1687" t="str" cm="1">
        <f t="array" ref="C1687">IFERROR(IF(SUMPRODUCT((measured[Site Name]=A1687)*(measured[Date]=B1687)*ISNUMBER(measured[Measured Value (kWh)]))=0,"",SUMIFS(measured[Measured Value (kWh)],measured[Site Name],A1687,measured[Date],B1687)),"")</f>
        <v/>
      </c>
      <c r="D1687" cm="1">
        <f t="array" ref="D1687">IFERROR(IF(SUMPRODUCT((expected_production[Site Name]=A1687)*(expected_production[Date]=B1687)*ISNUMBER(expected_production[Expected Production (kWh)]))=0,"",SUMIFS(expected_production[Expected Production (kWh)],expected_production[Site Name],A1687,expected_production[Date],B1687)),"")</f>
        <v>15908</v>
      </c>
      <c r="E1687" s="9" t="str">
        <f t="shared" si="54"/>
        <v/>
      </c>
      <c r="F1687" t="str">
        <f t="shared" si="55"/>
        <v/>
      </c>
    </row>
    <row r="1688" spans="1:7" ht="15" customHeight="1" x14ac:dyDescent="0.3">
      <c r="A1688" t="s">
        <v>155</v>
      </c>
      <c r="B1688" s="2">
        <v>46204</v>
      </c>
      <c r="C1688" cm="1">
        <f t="array" ref="C1688">IFERROR(IF(SUMPRODUCT((measured[Site Name]=A1688)*(measured[Date]=B1688)*ISNUMBER(measured[Measured Value (kWh)]))=0,"",SUMIFS(measured[Measured Value (kWh)],measured[Site Name],A1688,measured[Date],B1688)),"")</f>
        <v>0</v>
      </c>
      <c r="D1688" cm="1">
        <f t="array" ref="D1688">IFERROR(IF(SUMPRODUCT((expected_production[Site Name]=A1688)*(expected_production[Date]=B1688)*ISNUMBER(expected_production[Expected Production (kWh)]))=0,"",SUMIFS(expected_production[Expected Production (kWh)],expected_production[Site Name],A1688,expected_production[Date],B1688)),"")</f>
        <v>4105.53</v>
      </c>
      <c r="E1688" s="9">
        <f t="shared" si="54"/>
        <v>0</v>
      </c>
      <c r="F1688" t="str">
        <f t="shared" si="55"/>
        <v>Poor</v>
      </c>
      <c r="G1688" t="s">
        <v>874</v>
      </c>
    </row>
    <row r="1689" spans="1:7" ht="15" customHeight="1" x14ac:dyDescent="0.3">
      <c r="A1689" t="s">
        <v>244</v>
      </c>
      <c r="B1689" s="2">
        <v>46235</v>
      </c>
      <c r="C1689" t="str" cm="1">
        <f t="array" ref="C1689">IFERROR(IF(SUMPRODUCT((measured[Site Name]=A1689)*(measured[Date]=B1689)*ISNUMBER(measured[Measured Value (kWh)]))=0,"",SUMIFS(measured[Measured Value (kWh)],measured[Site Name],A1689,measured[Date],B1689)),"")</f>
        <v/>
      </c>
      <c r="D1689" cm="1">
        <f t="array" ref="D1689">IFERROR(IF(SUMPRODUCT((expected_production[Site Name]=A1689)*(expected_production[Date]=B1689)*ISNUMBER(expected_production[Expected Production (kWh)]))=0,"",SUMIFS(expected_production[Expected Production (kWh)],expected_production[Site Name],A1689,expected_production[Date],B1689)),"")</f>
        <v>19405</v>
      </c>
      <c r="E1689" s="9" t="str">
        <f t="shared" si="54"/>
        <v/>
      </c>
      <c r="F1689" t="str">
        <f t="shared" si="55"/>
        <v/>
      </c>
    </row>
    <row r="1690" spans="1:7" ht="15" customHeight="1" x14ac:dyDescent="0.3">
      <c r="A1690" t="s">
        <v>244</v>
      </c>
      <c r="B1690" s="2">
        <v>46266</v>
      </c>
      <c r="C1690" t="str" cm="1">
        <f t="array" ref="C1690">IFERROR(IF(SUMPRODUCT((measured[Site Name]=A1690)*(measured[Date]=B1690)*ISNUMBER(measured[Measured Value (kWh)]))=0,"",SUMIFS(measured[Measured Value (kWh)],measured[Site Name],A1690,measured[Date],B1690)),"")</f>
        <v/>
      </c>
      <c r="D1690" cm="1">
        <f t="array" ref="D1690">IFERROR(IF(SUMPRODUCT((expected_production[Site Name]=A1690)*(expected_production[Date]=B1690)*ISNUMBER(expected_production[Expected Production (kWh)]))=0,"",SUMIFS(expected_production[Expected Production (kWh)],expected_production[Site Name],A1690,expected_production[Date],B1690)),"")</f>
        <v>19981</v>
      </c>
      <c r="E1690" s="9" t="str">
        <f t="shared" si="54"/>
        <v/>
      </c>
      <c r="F1690" t="str">
        <f t="shared" si="55"/>
        <v/>
      </c>
    </row>
    <row r="1691" spans="1:7" ht="15" customHeight="1" x14ac:dyDescent="0.3">
      <c r="A1691" t="s">
        <v>244</v>
      </c>
      <c r="B1691" s="2">
        <v>46296</v>
      </c>
      <c r="C1691" t="str" cm="1">
        <f t="array" ref="C1691">IFERROR(IF(SUMPRODUCT((measured[Site Name]=A1691)*(measured[Date]=B1691)*ISNUMBER(measured[Measured Value (kWh)]))=0,"",SUMIFS(measured[Measured Value (kWh)],measured[Site Name],A1691,measured[Date],B1691)),"")</f>
        <v/>
      </c>
      <c r="D1691" cm="1">
        <f t="array" ref="D1691">IFERROR(IF(SUMPRODUCT((expected_production[Site Name]=A1691)*(expected_production[Date]=B1691)*ISNUMBER(expected_production[Expected Production (kWh)]))=0,"",SUMIFS(expected_production[Expected Production (kWh)],expected_production[Site Name],A1691,expected_production[Date],B1691)),"")</f>
        <v>22401</v>
      </c>
      <c r="E1691" s="9" t="str">
        <f t="shared" si="54"/>
        <v/>
      </c>
      <c r="F1691" t="str">
        <f t="shared" si="55"/>
        <v/>
      </c>
    </row>
    <row r="1692" spans="1:7" ht="15" customHeight="1" x14ac:dyDescent="0.3">
      <c r="A1692" t="s">
        <v>244</v>
      </c>
      <c r="B1692" s="2">
        <v>46327</v>
      </c>
      <c r="C1692" t="str" cm="1">
        <f t="array" ref="C1692">IFERROR(IF(SUMPRODUCT((measured[Site Name]=A1692)*(measured[Date]=B1692)*ISNUMBER(measured[Measured Value (kWh)]))=0,"",SUMIFS(measured[Measured Value (kWh)],measured[Site Name],A1692,measured[Date],B1692)),"")</f>
        <v/>
      </c>
      <c r="D1692" cm="1">
        <f t="array" ref="D1692">IFERROR(IF(SUMPRODUCT((expected_production[Site Name]=A1692)*(expected_production[Date]=B1692)*ISNUMBER(expected_production[Expected Production (kWh)]))=0,"",SUMIFS(expected_production[Expected Production (kWh)],expected_production[Site Name],A1692,expected_production[Date],B1692)),"")</f>
        <v>20125</v>
      </c>
      <c r="E1692" s="9" t="str">
        <f t="shared" si="54"/>
        <v/>
      </c>
      <c r="F1692" t="str">
        <f t="shared" si="55"/>
        <v/>
      </c>
    </row>
    <row r="1693" spans="1:7" ht="15" customHeight="1" x14ac:dyDescent="0.3">
      <c r="A1693" t="s">
        <v>244</v>
      </c>
      <c r="B1693" s="2">
        <v>46357</v>
      </c>
      <c r="C1693" t="str" cm="1">
        <f t="array" ref="C1693">IFERROR(IF(SUMPRODUCT((measured[Site Name]=A1693)*(measured[Date]=B1693)*ISNUMBER(measured[Measured Value (kWh)]))=0,"",SUMIFS(measured[Measured Value (kWh)],measured[Site Name],A1693,measured[Date],B1693)),"")</f>
        <v/>
      </c>
      <c r="D1693" cm="1">
        <f t="array" ref="D1693">IFERROR(IF(SUMPRODUCT((expected_production[Site Name]=A1693)*(expected_production[Date]=B1693)*ISNUMBER(expected_production[Expected Production (kWh)]))=0,"",SUMIFS(expected_production[Expected Production (kWh)],expected_production[Site Name],A1693,expected_production[Date],B1693)),"")</f>
        <v>20771</v>
      </c>
      <c r="E1693" s="9" t="str">
        <f t="shared" si="54"/>
        <v/>
      </c>
      <c r="F1693" t="str">
        <f t="shared" si="55"/>
        <v/>
      </c>
    </row>
    <row r="1694" spans="1:7" ht="15" customHeight="1" x14ac:dyDescent="0.3">
      <c r="A1694" t="s">
        <v>213</v>
      </c>
      <c r="B1694" s="2">
        <v>45292</v>
      </c>
      <c r="C1694" t="str" cm="1">
        <f t="array" ref="C1694">IFERROR(IF(SUMPRODUCT((measured[Site Name]=A1694)*(measured[Date]=B1694)*ISNUMBER(measured[Measured Value (kWh)]))=0,"",SUMIFS(measured[Measured Value (kWh)],measured[Site Name],A1694,measured[Date],B1694)),"")</f>
        <v/>
      </c>
      <c r="D1694" cm="1">
        <f t="array" ref="D1694">IFERROR(IF(SUMPRODUCT((expected_production[Site Name]=A1694)*(expected_production[Date]=B1694)*ISNUMBER(expected_production[Expected Production (kWh)]))=0,"",SUMIFS(expected_production[Expected Production (kWh)],expected_production[Site Name],A1694,expected_production[Date],B1694)),"")</f>
        <v>9307.7999999999993</v>
      </c>
      <c r="E1694" s="9" t="str">
        <f t="shared" si="54"/>
        <v/>
      </c>
      <c r="F1694" t="str">
        <f t="shared" si="55"/>
        <v/>
      </c>
    </row>
    <row r="1695" spans="1:7" ht="15" customHeight="1" x14ac:dyDescent="0.3">
      <c r="A1695" t="s">
        <v>213</v>
      </c>
      <c r="B1695" s="2">
        <v>45323</v>
      </c>
      <c r="C1695" t="str" cm="1">
        <f t="array" ref="C1695">IFERROR(IF(SUMPRODUCT((measured[Site Name]=A1695)*(measured[Date]=B1695)*ISNUMBER(measured[Measured Value (kWh)]))=0,"",SUMIFS(measured[Measured Value (kWh)],measured[Site Name],A1695,measured[Date],B1695)),"")</f>
        <v/>
      </c>
      <c r="D1695" cm="1">
        <f t="array" ref="D1695">IFERROR(IF(SUMPRODUCT((expected_production[Site Name]=A1695)*(expected_production[Date]=B1695)*ISNUMBER(expected_production[Expected Production (kWh)]))=0,"",SUMIFS(expected_production[Expected Production (kWh)],expected_production[Site Name],A1695,expected_production[Date],B1695)),"")</f>
        <v>8001.9</v>
      </c>
      <c r="E1695" s="9" t="str">
        <f t="shared" si="54"/>
        <v/>
      </c>
      <c r="F1695" t="str">
        <f t="shared" si="55"/>
        <v/>
      </c>
    </row>
    <row r="1696" spans="1:7" ht="15" customHeight="1" x14ac:dyDescent="0.3">
      <c r="A1696" t="s">
        <v>213</v>
      </c>
      <c r="B1696" s="2">
        <v>45352</v>
      </c>
      <c r="C1696" t="str" cm="1">
        <f t="array" ref="C1696">IFERROR(IF(SUMPRODUCT((measured[Site Name]=A1696)*(measured[Date]=B1696)*ISNUMBER(measured[Measured Value (kWh)]))=0,"",SUMIFS(measured[Measured Value (kWh)],measured[Site Name],A1696,measured[Date],B1696)),"")</f>
        <v/>
      </c>
      <c r="D1696" cm="1">
        <f t="array" ref="D1696">IFERROR(IF(SUMPRODUCT((expected_production[Site Name]=A1696)*(expected_production[Date]=B1696)*ISNUMBER(expected_production[Expected Production (kWh)]))=0,"",SUMIFS(expected_production[Expected Production (kWh)],expected_production[Site Name],A1696,expected_production[Date],B1696)),"")</f>
        <v>7803.9</v>
      </c>
      <c r="E1696" s="9" t="str">
        <f t="shared" si="54"/>
        <v/>
      </c>
      <c r="F1696" t="str">
        <f t="shared" si="55"/>
        <v/>
      </c>
    </row>
    <row r="1697" spans="1:6" ht="15" customHeight="1" x14ac:dyDescent="0.3">
      <c r="A1697" t="s">
        <v>213</v>
      </c>
      <c r="B1697" s="2">
        <v>45383</v>
      </c>
      <c r="C1697" t="str" cm="1">
        <f t="array" ref="C1697">IFERROR(IF(SUMPRODUCT((measured[Site Name]=A1697)*(measured[Date]=B1697)*ISNUMBER(measured[Measured Value (kWh)]))=0,"",SUMIFS(measured[Measured Value (kWh)],measured[Site Name],A1697,measured[Date],B1697)),"")</f>
        <v/>
      </c>
      <c r="D1697" cm="1">
        <f t="array" ref="D1697">IFERROR(IF(SUMPRODUCT((expected_production[Site Name]=A1697)*(expected_production[Date]=B1697)*ISNUMBER(expected_production[Expected Production (kWh)]))=0,"",SUMIFS(expected_production[Expected Production (kWh)],expected_production[Site Name],A1697,expected_production[Date],B1697)),"")</f>
        <v>6785.1</v>
      </c>
      <c r="E1697" s="9" t="str">
        <f t="shared" si="54"/>
        <v/>
      </c>
      <c r="F1697" t="str">
        <f t="shared" si="55"/>
        <v/>
      </c>
    </row>
    <row r="1698" spans="1:6" ht="15" customHeight="1" x14ac:dyDescent="0.3">
      <c r="A1698" t="s">
        <v>213</v>
      </c>
      <c r="B1698" s="2">
        <v>45413</v>
      </c>
      <c r="C1698" t="str" cm="1">
        <f t="array" ref="C1698">IFERROR(IF(SUMPRODUCT((measured[Site Name]=A1698)*(measured[Date]=B1698)*ISNUMBER(measured[Measured Value (kWh)]))=0,"",SUMIFS(measured[Measured Value (kWh)],measured[Site Name],A1698,measured[Date],B1698)),"")</f>
        <v/>
      </c>
      <c r="D1698" cm="1">
        <f t="array" ref="D1698">IFERROR(IF(SUMPRODUCT((expected_production[Site Name]=A1698)*(expected_production[Date]=B1698)*ISNUMBER(expected_production[Expected Production (kWh)]))=0,"",SUMIFS(expected_production[Expected Production (kWh)],expected_production[Site Name],A1698,expected_production[Date],B1698)),"")</f>
        <v>6244.2</v>
      </c>
      <c r="E1698" s="9" t="str">
        <f t="shared" si="54"/>
        <v/>
      </c>
      <c r="F1698" t="str">
        <f t="shared" si="55"/>
        <v/>
      </c>
    </row>
    <row r="1699" spans="1:6" ht="15" customHeight="1" x14ac:dyDescent="0.3">
      <c r="A1699" t="s">
        <v>213</v>
      </c>
      <c r="B1699" s="2">
        <v>45444</v>
      </c>
      <c r="C1699" t="str" cm="1">
        <f t="array" ref="C1699">IFERROR(IF(SUMPRODUCT((measured[Site Name]=A1699)*(measured[Date]=B1699)*ISNUMBER(measured[Measured Value (kWh)]))=0,"",SUMIFS(measured[Measured Value (kWh)],measured[Site Name],A1699,measured[Date],B1699)),"")</f>
        <v/>
      </c>
      <c r="D1699" cm="1">
        <f t="array" ref="D1699">IFERROR(IF(SUMPRODUCT((expected_production[Site Name]=A1699)*(expected_production[Date]=B1699)*ISNUMBER(expected_production[Expected Production (kWh)]))=0,"",SUMIFS(expected_production[Expected Production (kWh)],expected_production[Site Name],A1699,expected_production[Date],B1699)),"")</f>
        <v>5524.2</v>
      </c>
      <c r="E1699" s="9" t="str">
        <f t="shared" si="54"/>
        <v/>
      </c>
      <c r="F1699" t="str">
        <f t="shared" si="55"/>
        <v/>
      </c>
    </row>
    <row r="1700" spans="1:6" ht="15" customHeight="1" x14ac:dyDescent="0.3">
      <c r="A1700" t="s">
        <v>213</v>
      </c>
      <c r="B1700" s="2">
        <v>45474</v>
      </c>
      <c r="C1700" t="str" cm="1">
        <f t="array" ref="C1700">IFERROR(IF(SUMPRODUCT((measured[Site Name]=A1700)*(measured[Date]=B1700)*ISNUMBER(measured[Measured Value (kWh)]))=0,"",SUMIFS(measured[Measured Value (kWh)],measured[Site Name],A1700,measured[Date],B1700)),"")</f>
        <v/>
      </c>
      <c r="D1700" cm="1">
        <f t="array" ref="D1700">IFERROR(IF(SUMPRODUCT((expected_production[Site Name]=A1700)*(expected_production[Date]=B1700)*ISNUMBER(expected_production[Expected Production (kWh)]))=0,"",SUMIFS(expected_production[Expected Production (kWh)],expected_production[Site Name],A1700,expected_production[Date],B1700)),"")</f>
        <v>6086.7</v>
      </c>
      <c r="E1700" s="9" t="str">
        <f t="shared" si="54"/>
        <v/>
      </c>
      <c r="F1700" t="str">
        <f t="shared" si="55"/>
        <v/>
      </c>
    </row>
    <row r="1701" spans="1:6" ht="15" customHeight="1" x14ac:dyDescent="0.3">
      <c r="A1701" t="s">
        <v>213</v>
      </c>
      <c r="B1701" s="2">
        <v>45505</v>
      </c>
      <c r="C1701" t="str" cm="1">
        <f t="array" ref="C1701">IFERROR(IF(SUMPRODUCT((measured[Site Name]=A1701)*(measured[Date]=B1701)*ISNUMBER(measured[Measured Value (kWh)]))=0,"",SUMIFS(measured[Measured Value (kWh)],measured[Site Name],A1701,measured[Date],B1701)),"")</f>
        <v/>
      </c>
      <c r="D1701" cm="1">
        <f t="array" ref="D1701">IFERROR(IF(SUMPRODUCT((expected_production[Site Name]=A1701)*(expected_production[Date]=B1701)*ISNUMBER(expected_production[Expected Production (kWh)]))=0,"",SUMIFS(expected_production[Expected Production (kWh)],expected_production[Site Name],A1701,expected_production[Date],B1701)),"")</f>
        <v>2298.1935483870998</v>
      </c>
      <c r="E1701" s="9" t="str">
        <f t="shared" si="54"/>
        <v/>
      </c>
      <c r="F1701" t="str">
        <f t="shared" si="55"/>
        <v/>
      </c>
    </row>
    <row r="1702" spans="1:6" ht="15" customHeight="1" x14ac:dyDescent="0.3">
      <c r="A1702" t="s">
        <v>213</v>
      </c>
      <c r="B1702" s="2">
        <v>45536</v>
      </c>
      <c r="C1702" t="str" cm="1">
        <f t="array" ref="C1702">IFERROR(IF(SUMPRODUCT((measured[Site Name]=A1702)*(measured[Date]=B1702)*ISNUMBER(measured[Measured Value (kWh)]))=0,"",SUMIFS(measured[Measured Value (kWh)],measured[Site Name],A1702,measured[Date],B1702)),"")</f>
        <v/>
      </c>
      <c r="D1702" cm="1">
        <f t="array" ref="D1702">IFERROR(IF(SUMPRODUCT((expected_production[Site Name]=A1702)*(expected_production[Date]=B1702)*ISNUMBER(expected_production[Expected Production (kWh)]))=0,"",SUMIFS(expected_production[Expected Production (kWh)],expected_production[Site Name],A1702,expected_production[Date],B1702)),"")</f>
        <v>7864.2</v>
      </c>
      <c r="E1702" s="9" t="str">
        <f t="shared" si="54"/>
        <v/>
      </c>
      <c r="F1702" t="str">
        <f t="shared" si="55"/>
        <v/>
      </c>
    </row>
    <row r="1703" spans="1:6" ht="15" customHeight="1" x14ac:dyDescent="0.3">
      <c r="A1703" t="s">
        <v>213</v>
      </c>
      <c r="B1703" s="2">
        <v>45566</v>
      </c>
      <c r="C1703" t="str" cm="1">
        <f t="array" ref="C1703">IFERROR(IF(SUMPRODUCT((measured[Site Name]=A1703)*(measured[Date]=B1703)*ISNUMBER(measured[Measured Value (kWh)]))=0,"",SUMIFS(measured[Measured Value (kWh)],measured[Site Name],A1703,measured[Date],B1703)),"")</f>
        <v/>
      </c>
      <c r="D1703" cm="1">
        <f t="array" ref="D1703">IFERROR(IF(SUMPRODUCT((expected_production[Site Name]=A1703)*(expected_production[Date]=B1703)*ISNUMBER(expected_production[Expected Production (kWh)]))=0,"",SUMIFS(expected_production[Expected Production (kWh)],expected_production[Site Name],A1703,expected_production[Date],B1703)),"")</f>
        <v>9007.2000000000007</v>
      </c>
      <c r="E1703" s="9" t="str">
        <f t="shared" si="54"/>
        <v/>
      </c>
      <c r="F1703" t="str">
        <f t="shared" si="55"/>
        <v/>
      </c>
    </row>
    <row r="1704" spans="1:6" ht="15" customHeight="1" x14ac:dyDescent="0.3">
      <c r="A1704" t="s">
        <v>213</v>
      </c>
      <c r="B1704" s="2">
        <v>45597</v>
      </c>
      <c r="C1704" t="str" cm="1">
        <f t="array" ref="C1704">IFERROR(IF(SUMPRODUCT((measured[Site Name]=A1704)*(measured[Date]=B1704)*ISNUMBER(measured[Measured Value (kWh)]))=0,"",SUMIFS(measured[Measured Value (kWh)],measured[Site Name],A1704,measured[Date],B1704)),"")</f>
        <v/>
      </c>
      <c r="D1704" cm="1">
        <f t="array" ref="D1704">IFERROR(IF(SUMPRODUCT((expected_production[Site Name]=A1704)*(expected_production[Date]=B1704)*ISNUMBER(expected_production[Expected Production (kWh)]))=0,"",SUMIFS(expected_production[Expected Production (kWh)],expected_production[Site Name],A1704,expected_production[Date],B1704)),"")</f>
        <v>8999.1</v>
      </c>
      <c r="E1704" s="9" t="str">
        <f t="shared" si="54"/>
        <v/>
      </c>
      <c r="F1704" t="str">
        <f t="shared" si="55"/>
        <v/>
      </c>
    </row>
    <row r="1705" spans="1:6" ht="15" customHeight="1" x14ac:dyDescent="0.3">
      <c r="A1705" t="s">
        <v>213</v>
      </c>
      <c r="B1705" s="2">
        <v>45627</v>
      </c>
      <c r="C1705" t="str" cm="1">
        <f t="array" ref="C1705">IFERROR(IF(SUMPRODUCT((measured[Site Name]=A1705)*(measured[Date]=B1705)*ISNUMBER(measured[Measured Value (kWh)]))=0,"",SUMIFS(measured[Measured Value (kWh)],measured[Site Name],A1705,measured[Date],B1705)),"")</f>
        <v/>
      </c>
      <c r="D1705" cm="1">
        <f t="array" ref="D1705">IFERROR(IF(SUMPRODUCT((expected_production[Site Name]=A1705)*(expected_production[Date]=B1705)*ISNUMBER(expected_production[Expected Production (kWh)]))=0,"",SUMIFS(expected_production[Expected Production (kWh)],expected_production[Site Name],A1705,expected_production[Date],B1705)),"")</f>
        <v>9241.2000000000007</v>
      </c>
      <c r="E1705" s="9" t="str">
        <f t="shared" si="54"/>
        <v/>
      </c>
      <c r="F1705" t="str">
        <f t="shared" si="55"/>
        <v/>
      </c>
    </row>
    <row r="1706" spans="1:6" ht="15" customHeight="1" x14ac:dyDescent="0.3">
      <c r="A1706" t="s">
        <v>213</v>
      </c>
      <c r="B1706" s="2">
        <v>45658</v>
      </c>
      <c r="C1706" t="str" cm="1">
        <f t="array" ref="C1706">IFERROR(IF(SUMPRODUCT((measured[Site Name]=A1706)*(measured[Date]=B1706)*ISNUMBER(measured[Measured Value (kWh)]))=0,"",SUMIFS(measured[Measured Value (kWh)],measured[Site Name],A1706,measured[Date],B1706)),"")</f>
        <v/>
      </c>
      <c r="D1706" cm="1">
        <f t="array" ref="D1706">IFERROR(IF(SUMPRODUCT((expected_production[Site Name]=A1706)*(expected_production[Date]=B1706)*ISNUMBER(expected_production[Expected Production (kWh)]))=0,"",SUMIFS(expected_production[Expected Production (kWh)],expected_production[Site Name],A1706,expected_production[Date],B1706)),"")</f>
        <v>9307.7999999999993</v>
      </c>
      <c r="E1706" s="9" t="str">
        <f t="shared" si="54"/>
        <v/>
      </c>
      <c r="F1706" t="str">
        <f t="shared" si="55"/>
        <v/>
      </c>
    </row>
    <row r="1707" spans="1:6" ht="15" customHeight="1" x14ac:dyDescent="0.3">
      <c r="A1707" t="s">
        <v>213</v>
      </c>
      <c r="B1707" s="2">
        <v>45689</v>
      </c>
      <c r="C1707" t="str" cm="1">
        <f t="array" ref="C1707">IFERROR(IF(SUMPRODUCT((measured[Site Name]=A1707)*(measured[Date]=B1707)*ISNUMBER(measured[Measured Value (kWh)]))=0,"",SUMIFS(measured[Measured Value (kWh)],measured[Site Name],A1707,measured[Date],B1707)),"")</f>
        <v/>
      </c>
      <c r="D1707" cm="1">
        <f t="array" ref="D1707">IFERROR(IF(SUMPRODUCT((expected_production[Site Name]=A1707)*(expected_production[Date]=B1707)*ISNUMBER(expected_production[Expected Production (kWh)]))=0,"",SUMIFS(expected_production[Expected Production (kWh)],expected_production[Site Name],A1707,expected_production[Date],B1707)),"")</f>
        <v>8001.9</v>
      </c>
      <c r="E1707" s="9" t="str">
        <f t="shared" si="54"/>
        <v/>
      </c>
      <c r="F1707" t="str">
        <f t="shared" si="55"/>
        <v/>
      </c>
    </row>
    <row r="1708" spans="1:6" ht="15" customHeight="1" x14ac:dyDescent="0.3">
      <c r="A1708" t="s">
        <v>213</v>
      </c>
      <c r="B1708" s="2">
        <v>45717</v>
      </c>
      <c r="C1708" t="str" cm="1">
        <f t="array" ref="C1708">IFERROR(IF(SUMPRODUCT((measured[Site Name]=A1708)*(measured[Date]=B1708)*ISNUMBER(measured[Measured Value (kWh)]))=0,"",SUMIFS(measured[Measured Value (kWh)],measured[Site Name],A1708,measured[Date],B1708)),"")</f>
        <v/>
      </c>
      <c r="D1708" cm="1">
        <f t="array" ref="D1708">IFERROR(IF(SUMPRODUCT((expected_production[Site Name]=A1708)*(expected_production[Date]=B1708)*ISNUMBER(expected_production[Expected Production (kWh)]))=0,"",SUMIFS(expected_production[Expected Production (kWh)],expected_production[Site Name],A1708,expected_production[Date],B1708)),"")</f>
        <v>7803.9</v>
      </c>
      <c r="E1708" s="9" t="str">
        <f t="shared" si="54"/>
        <v/>
      </c>
      <c r="F1708" t="str">
        <f t="shared" si="55"/>
        <v/>
      </c>
    </row>
    <row r="1709" spans="1:6" ht="15" customHeight="1" x14ac:dyDescent="0.3">
      <c r="A1709" t="s">
        <v>213</v>
      </c>
      <c r="B1709" s="2">
        <v>45748</v>
      </c>
      <c r="C1709" t="str" cm="1">
        <f t="array" ref="C1709">IFERROR(IF(SUMPRODUCT((measured[Site Name]=A1709)*(measured[Date]=B1709)*ISNUMBER(measured[Measured Value (kWh)]))=0,"",SUMIFS(measured[Measured Value (kWh)],measured[Site Name],A1709,measured[Date],B1709)),"")</f>
        <v/>
      </c>
      <c r="D1709" cm="1">
        <f t="array" ref="D1709">IFERROR(IF(SUMPRODUCT((expected_production[Site Name]=A1709)*(expected_production[Date]=B1709)*ISNUMBER(expected_production[Expected Production (kWh)]))=0,"",SUMIFS(expected_production[Expected Production (kWh)],expected_production[Site Name],A1709,expected_production[Date],B1709)),"")</f>
        <v>6785.1</v>
      </c>
      <c r="E1709" s="9" t="str">
        <f t="shared" si="54"/>
        <v/>
      </c>
      <c r="F1709" t="str">
        <f t="shared" si="55"/>
        <v/>
      </c>
    </row>
    <row r="1710" spans="1:6" ht="15" customHeight="1" x14ac:dyDescent="0.3">
      <c r="A1710" t="s">
        <v>213</v>
      </c>
      <c r="B1710" s="2">
        <v>45778</v>
      </c>
      <c r="C1710" t="str" cm="1">
        <f t="array" ref="C1710">IFERROR(IF(SUMPRODUCT((measured[Site Name]=A1710)*(measured[Date]=B1710)*ISNUMBER(measured[Measured Value (kWh)]))=0,"",SUMIFS(measured[Measured Value (kWh)],measured[Site Name],A1710,measured[Date],B1710)),"")</f>
        <v/>
      </c>
      <c r="D1710" cm="1">
        <f t="array" ref="D1710">IFERROR(IF(SUMPRODUCT((expected_production[Site Name]=A1710)*(expected_production[Date]=B1710)*ISNUMBER(expected_production[Expected Production (kWh)]))=0,"",SUMIFS(expected_production[Expected Production (kWh)],expected_production[Site Name],A1710,expected_production[Date],B1710)),"")</f>
        <v>6244.2</v>
      </c>
      <c r="E1710" s="9" t="str">
        <f t="shared" si="54"/>
        <v/>
      </c>
      <c r="F1710" t="str">
        <f t="shared" si="55"/>
        <v/>
      </c>
    </row>
    <row r="1711" spans="1:6" ht="15" customHeight="1" x14ac:dyDescent="0.3">
      <c r="A1711" t="s">
        <v>213</v>
      </c>
      <c r="B1711" s="2">
        <v>45809</v>
      </c>
      <c r="C1711" t="str" cm="1">
        <f t="array" ref="C1711">IFERROR(IF(SUMPRODUCT((measured[Site Name]=A1711)*(measured[Date]=B1711)*ISNUMBER(measured[Measured Value (kWh)]))=0,"",SUMIFS(measured[Measured Value (kWh)],measured[Site Name],A1711,measured[Date],B1711)),"")</f>
        <v/>
      </c>
      <c r="D1711" cm="1">
        <f t="array" ref="D1711">IFERROR(IF(SUMPRODUCT((expected_production[Site Name]=A1711)*(expected_production[Date]=B1711)*ISNUMBER(expected_production[Expected Production (kWh)]))=0,"",SUMIFS(expected_production[Expected Production (kWh)],expected_production[Site Name],A1711,expected_production[Date],B1711)),"")</f>
        <v>5524.2</v>
      </c>
      <c r="E1711" s="9" t="str">
        <f t="shared" si="54"/>
        <v/>
      </c>
      <c r="F1711" t="str">
        <f t="shared" si="55"/>
        <v/>
      </c>
    </row>
    <row r="1712" spans="1:6" ht="15" customHeight="1" x14ac:dyDescent="0.3">
      <c r="A1712" t="s">
        <v>213</v>
      </c>
      <c r="B1712" s="2">
        <v>45839</v>
      </c>
      <c r="C1712" t="str" cm="1">
        <f t="array" ref="C1712">IFERROR(IF(SUMPRODUCT((measured[Site Name]=A1712)*(measured[Date]=B1712)*ISNUMBER(measured[Measured Value (kWh)]))=0,"",SUMIFS(measured[Measured Value (kWh)],measured[Site Name],A1712,measured[Date],B1712)),"")</f>
        <v/>
      </c>
      <c r="D1712" cm="1">
        <f t="array" ref="D1712">IFERROR(IF(SUMPRODUCT((expected_production[Site Name]=A1712)*(expected_production[Date]=B1712)*ISNUMBER(expected_production[Expected Production (kWh)]))=0,"",SUMIFS(expected_production[Expected Production (kWh)],expected_production[Site Name],A1712,expected_production[Date],B1712)),"")</f>
        <v>6086.7</v>
      </c>
      <c r="E1712" s="9" t="str">
        <f t="shared" si="54"/>
        <v/>
      </c>
      <c r="F1712" t="str">
        <f t="shared" si="55"/>
        <v/>
      </c>
    </row>
    <row r="1713" spans="1:7" ht="15" customHeight="1" x14ac:dyDescent="0.3">
      <c r="A1713" t="s">
        <v>213</v>
      </c>
      <c r="B1713" s="2">
        <v>45870</v>
      </c>
      <c r="C1713" cm="1">
        <f t="array" ref="C1713">IFERROR(IF(SUMPRODUCT((measured[Site Name]=A1713)*(measured[Date]=B1713)*ISNUMBER(measured[Measured Value (kWh)]))=0,"",SUMIFS(measured[Measured Value (kWh)],measured[Site Name],A1713,measured[Date],B1713)),"")</f>
        <v>2845</v>
      </c>
      <c r="D1713" cm="1">
        <f t="array" ref="D1713">IFERROR(IF(SUMPRODUCT((expected_production[Site Name]=A1713)*(expected_production[Date]=B1713)*ISNUMBER(expected_production[Expected Production (kWh)]))=0,"",SUMIFS(expected_production[Expected Production (kWh)],expected_production[Site Name],A1713,expected_production[Date],B1713)),"")</f>
        <v>2298.1935483870998</v>
      </c>
      <c r="E1713" s="9">
        <f t="shared" si="54"/>
        <v>1.2379288080399737</v>
      </c>
      <c r="F1713" t="str">
        <f t="shared" si="55"/>
        <v>Expected</v>
      </c>
    </row>
    <row r="1714" spans="1:7" ht="15" customHeight="1" x14ac:dyDescent="0.3">
      <c r="A1714" t="s">
        <v>213</v>
      </c>
      <c r="B1714" s="2">
        <v>45901</v>
      </c>
      <c r="C1714" cm="1">
        <f t="array" ref="C1714">IFERROR(IF(SUMPRODUCT((measured[Site Name]=A1714)*(measured[Date]=B1714)*ISNUMBER(measured[Measured Value (kWh)]))=0,"",SUMIFS(measured[Measured Value (kWh)],measured[Site Name],A1714,measured[Date],B1714)),"")</f>
        <v>7367</v>
      </c>
      <c r="D1714" cm="1">
        <f t="array" ref="D1714">IFERROR(IF(SUMPRODUCT((expected_production[Site Name]=A1714)*(expected_production[Date]=B1714)*ISNUMBER(expected_production[Expected Production (kWh)]))=0,"",SUMIFS(expected_production[Expected Production (kWh)],expected_production[Site Name],A1714,expected_production[Date],B1714)),"")</f>
        <v>7864.2</v>
      </c>
      <c r="E1714" s="9">
        <f t="shared" si="54"/>
        <v>0.9367767859413545</v>
      </c>
      <c r="F1714" t="str">
        <f t="shared" si="55"/>
        <v>Expected</v>
      </c>
    </row>
    <row r="1715" spans="1:7" ht="15" customHeight="1" x14ac:dyDescent="0.3">
      <c r="A1715" t="s">
        <v>213</v>
      </c>
      <c r="B1715" s="2">
        <v>45931</v>
      </c>
      <c r="C1715" cm="1">
        <f t="array" ref="C1715">IFERROR(IF(SUMPRODUCT((measured[Site Name]=A1715)*(measured[Date]=B1715)*ISNUMBER(measured[Measured Value (kWh)]))=0,"",SUMIFS(measured[Measured Value (kWh)],measured[Site Name],A1715,measured[Date],B1715)),"")</f>
        <v>8824</v>
      </c>
      <c r="D1715" cm="1">
        <f t="array" ref="D1715">IFERROR(IF(SUMPRODUCT((expected_production[Site Name]=A1715)*(expected_production[Date]=B1715)*ISNUMBER(expected_production[Expected Production (kWh)]))=0,"",SUMIFS(expected_production[Expected Production (kWh)],expected_production[Site Name],A1715,expected_production[Date],B1715)),"")</f>
        <v>9007.2000000000007</v>
      </c>
      <c r="E1715" s="9">
        <f t="shared" si="54"/>
        <v>0.97966071587174697</v>
      </c>
      <c r="F1715" t="str">
        <f t="shared" si="55"/>
        <v>Expected</v>
      </c>
    </row>
    <row r="1716" spans="1:7" ht="15" customHeight="1" x14ac:dyDescent="0.3">
      <c r="A1716" t="s">
        <v>213</v>
      </c>
      <c r="B1716" s="2">
        <v>45962</v>
      </c>
      <c r="C1716" cm="1">
        <f t="array" ref="C1716">IFERROR(IF(SUMPRODUCT((measured[Site Name]=A1716)*(measured[Date]=B1716)*ISNUMBER(measured[Measured Value (kWh)]))=0,"",SUMIFS(measured[Measured Value (kWh)],measured[Site Name],A1716,measured[Date],B1716)),"")</f>
        <v>7686</v>
      </c>
      <c r="D1716" cm="1">
        <f t="array" ref="D1716">IFERROR(IF(SUMPRODUCT((expected_production[Site Name]=A1716)*(expected_production[Date]=B1716)*ISNUMBER(expected_production[Expected Production (kWh)]))=0,"",SUMIFS(expected_production[Expected Production (kWh)],expected_production[Site Name],A1716,expected_production[Date],B1716)),"")</f>
        <v>8999.1</v>
      </c>
      <c r="E1716" s="9">
        <f t="shared" si="54"/>
        <v>0.85408540854085402</v>
      </c>
      <c r="F1716" t="str">
        <f t="shared" si="55"/>
        <v>Moderate</v>
      </c>
    </row>
    <row r="1717" spans="1:7" ht="15" customHeight="1" x14ac:dyDescent="0.3">
      <c r="A1717" t="s">
        <v>213</v>
      </c>
      <c r="B1717" s="2">
        <v>45992</v>
      </c>
      <c r="C1717" cm="1">
        <f t="array" ref="C1717">IFERROR(IF(SUMPRODUCT((measured[Site Name]=A1717)*(measured[Date]=B1717)*ISNUMBER(measured[Measured Value (kWh)]))=0,"",SUMIFS(measured[Measured Value (kWh)],measured[Site Name],A1717,measured[Date],B1717)),"")</f>
        <v>9330</v>
      </c>
      <c r="D1717" cm="1">
        <f t="array" ref="D1717">IFERROR(IF(SUMPRODUCT((expected_production[Site Name]=A1717)*(expected_production[Date]=B1717)*ISNUMBER(expected_production[Expected Production (kWh)]))=0,"",SUMIFS(expected_production[Expected Production (kWh)],expected_production[Site Name],A1717,expected_production[Date],B1717)),"")</f>
        <v>9241.2000000000007</v>
      </c>
      <c r="E1717" s="9">
        <f t="shared" si="54"/>
        <v>1.0096091416699129</v>
      </c>
      <c r="F1717" t="str">
        <f t="shared" si="55"/>
        <v>Expected</v>
      </c>
    </row>
    <row r="1718" spans="1:7" ht="15" customHeight="1" x14ac:dyDescent="0.3">
      <c r="A1718" t="s">
        <v>213</v>
      </c>
      <c r="B1718" s="2">
        <v>46023</v>
      </c>
      <c r="C1718" cm="1">
        <f t="array" ref="C1718">IFERROR(IF(SUMPRODUCT((measured[Site Name]=A1718)*(measured[Date]=B1718)*ISNUMBER(measured[Measured Value (kWh)]))=0,"",SUMIFS(measured[Measured Value (kWh)],measured[Site Name],A1718,measured[Date],B1718)),"")</f>
        <v>9387</v>
      </c>
      <c r="D1718" cm="1">
        <f t="array" ref="D1718">IFERROR(IF(SUMPRODUCT((expected_production[Site Name]=A1718)*(expected_production[Date]=B1718)*ISNUMBER(expected_production[Expected Production (kWh)]))=0,"",SUMIFS(expected_production[Expected Production (kWh)],expected_production[Site Name],A1718,expected_production[Date],B1718)),"")</f>
        <v>9307.7999999999993</v>
      </c>
      <c r="E1718" s="9">
        <f t="shared" si="54"/>
        <v>1.0085089924579387</v>
      </c>
      <c r="F1718" t="str">
        <f t="shared" si="55"/>
        <v>Expected</v>
      </c>
    </row>
    <row r="1719" spans="1:7" ht="15" customHeight="1" x14ac:dyDescent="0.3">
      <c r="A1719" t="s">
        <v>213</v>
      </c>
      <c r="B1719" s="2">
        <v>46054</v>
      </c>
      <c r="C1719" cm="1">
        <f t="array" ref="C1719">IFERROR(IF(SUMPRODUCT((measured[Site Name]=A1719)*(measured[Date]=B1719)*ISNUMBER(measured[Measured Value (kWh)]))=0,"",SUMIFS(measured[Measured Value (kWh)],measured[Site Name],A1719,measured[Date],B1719)),"")</f>
        <v>8600</v>
      </c>
      <c r="D1719" cm="1">
        <f t="array" ref="D1719">IFERROR(IF(SUMPRODUCT((expected_production[Site Name]=A1719)*(expected_production[Date]=B1719)*ISNUMBER(expected_production[Expected Production (kWh)]))=0,"",SUMIFS(expected_production[Expected Production (kWh)],expected_production[Site Name],A1719,expected_production[Date],B1719)),"")</f>
        <v>8001.9</v>
      </c>
      <c r="E1719" s="9">
        <f t="shared" si="54"/>
        <v>1.0747447481223209</v>
      </c>
      <c r="F1719" t="str">
        <f t="shared" si="55"/>
        <v>Expected</v>
      </c>
    </row>
    <row r="1720" spans="1:7" ht="15" customHeight="1" x14ac:dyDescent="0.3">
      <c r="A1720" t="s">
        <v>213</v>
      </c>
      <c r="B1720" s="2">
        <v>46082</v>
      </c>
      <c r="C1720" cm="1">
        <f t="array" ref="C1720">IFERROR(IF(SUMPRODUCT((measured[Site Name]=A1720)*(measured[Date]=B1720)*ISNUMBER(measured[Measured Value (kWh)]))=0,"",SUMIFS(measured[Measured Value (kWh)],measured[Site Name],A1720,measured[Date],B1720)),"")</f>
        <v>6749</v>
      </c>
      <c r="D1720" cm="1">
        <f t="array" ref="D1720">IFERROR(IF(SUMPRODUCT((expected_production[Site Name]=A1720)*(expected_production[Date]=B1720)*ISNUMBER(expected_production[Expected Production (kWh)]))=0,"",SUMIFS(expected_production[Expected Production (kWh)],expected_production[Site Name],A1720,expected_production[Date],B1720)),"")</f>
        <v>7803.9</v>
      </c>
      <c r="E1720" s="9">
        <f t="shared" si="54"/>
        <v>0.86482399825728162</v>
      </c>
      <c r="F1720" t="str">
        <f t="shared" si="55"/>
        <v>Moderate</v>
      </c>
    </row>
    <row r="1721" spans="1:7" ht="15" customHeight="1" x14ac:dyDescent="0.3">
      <c r="A1721" t="s">
        <v>213</v>
      </c>
      <c r="B1721" s="2">
        <v>46113</v>
      </c>
      <c r="C1721" cm="1">
        <f t="array" ref="C1721">IFERROR(IF(SUMPRODUCT((measured[Site Name]=A1721)*(measured[Date]=B1721)*ISNUMBER(measured[Measured Value (kWh)]))=0,"",SUMIFS(measured[Measured Value (kWh)],measured[Site Name],A1721,measured[Date],B1721)),"")</f>
        <v>6091.51</v>
      </c>
      <c r="D1721" cm="1">
        <f t="array" ref="D1721">IFERROR(IF(SUMPRODUCT((expected_production[Site Name]=A1721)*(expected_production[Date]=B1721)*ISNUMBER(expected_production[Expected Production (kWh)]))=0,"",SUMIFS(expected_production[Expected Production (kWh)],expected_production[Site Name],A1721,expected_production[Date],B1721)),"")</f>
        <v>6785.1</v>
      </c>
      <c r="E1721" s="9">
        <f t="shared" si="54"/>
        <v>0.89777748301425175</v>
      </c>
      <c r="F1721" t="str">
        <f t="shared" si="55"/>
        <v>Moderate</v>
      </c>
    </row>
    <row r="1722" spans="1:7" ht="15" customHeight="1" x14ac:dyDescent="0.3">
      <c r="A1722" t="s">
        <v>213</v>
      </c>
      <c r="B1722" s="2">
        <v>46143</v>
      </c>
      <c r="C1722" cm="1">
        <f t="array" ref="C1722">IFERROR(IF(SUMPRODUCT((measured[Site Name]=A1722)*(measured[Date]=B1722)*ISNUMBER(measured[Measured Value (kWh)]))=0,"",SUMIFS(measured[Measured Value (kWh)],measured[Site Name],A1722,measured[Date],B1722)),"")</f>
        <v>6169.97</v>
      </c>
      <c r="D1722" cm="1">
        <f t="array" ref="D1722">IFERROR(IF(SUMPRODUCT((expected_production[Site Name]=A1722)*(expected_production[Date]=B1722)*ISNUMBER(expected_production[Expected Production (kWh)]))=0,"",SUMIFS(expected_production[Expected Production (kWh)],expected_production[Site Name],A1722,expected_production[Date],B1722)),"")</f>
        <v>6244.2</v>
      </c>
      <c r="E1722" s="9">
        <f t="shared" si="54"/>
        <v>0.98811216809198943</v>
      </c>
      <c r="F1722" t="str">
        <f t="shared" si="55"/>
        <v>Expected</v>
      </c>
    </row>
    <row r="1723" spans="1:7" ht="15" customHeight="1" x14ac:dyDescent="0.3">
      <c r="A1723" t="s">
        <v>213</v>
      </c>
      <c r="B1723" s="2">
        <v>46174</v>
      </c>
      <c r="C1723" cm="1">
        <f t="array" ref="C1723">IFERROR(IF(SUMPRODUCT((measured[Site Name]=A1723)*(measured[Date]=B1723)*ISNUMBER(measured[Measured Value (kWh)]))=0,"",SUMIFS(measured[Measured Value (kWh)],measured[Site Name],A1723,measured[Date],B1723)),"")</f>
        <v>4726</v>
      </c>
      <c r="D1723" cm="1">
        <f t="array" ref="D1723">IFERROR(IF(SUMPRODUCT((expected_production[Site Name]=A1723)*(expected_production[Date]=B1723)*ISNUMBER(expected_production[Expected Production (kWh)]))=0,"",SUMIFS(expected_production[Expected Production (kWh)],expected_production[Site Name],A1723,expected_production[Date],B1723)),"")</f>
        <v>5524.2</v>
      </c>
      <c r="E1723" s="9">
        <f t="shared" si="54"/>
        <v>0.85550848991709205</v>
      </c>
      <c r="F1723" t="str">
        <f t="shared" si="55"/>
        <v>Moderate</v>
      </c>
    </row>
    <row r="1724" spans="1:7" ht="15" customHeight="1" x14ac:dyDescent="0.3">
      <c r="A1724" t="s">
        <v>157</v>
      </c>
      <c r="B1724" s="2">
        <v>46204</v>
      </c>
      <c r="C1724" cm="1">
        <f t="array" ref="C1724">IFERROR(IF(SUMPRODUCT((measured[Site Name]=A1724)*(measured[Date]=B1724)*ISNUMBER(measured[Measured Value (kWh)]))=0,"",SUMIFS(measured[Measured Value (kWh)],measured[Site Name],A1724,measured[Date],B1724)),"")</f>
        <v>4628</v>
      </c>
      <c r="D1724" cm="1">
        <f t="array" ref="D1724">IFERROR(IF(SUMPRODUCT((expected_production[Site Name]=A1724)*(expected_production[Date]=B1724)*ISNUMBER(expected_production[Expected Production (kWh)]))=0,"",SUMIFS(expected_production[Expected Production (kWh)],expected_production[Site Name],A1724,expected_production[Date],B1724)),"")</f>
        <v>5303.16</v>
      </c>
      <c r="E1724" s="9">
        <f t="shared" ref="E1724:E1787" si="56">IF(OR(C1724="",D1724="",D1724=0),"",C1724/D1724)</f>
        <v>0.87268722799236687</v>
      </c>
      <c r="F1724" t="str">
        <f t="shared" ref="F1724:F1787" si="57">IF(E1724="","",IF(E1724&gt;=0.9,"Expected",IF(E1724&gt;=0.7,"Moderate","Poor")))</f>
        <v>Moderate</v>
      </c>
      <c r="G1724" t="s">
        <v>874</v>
      </c>
    </row>
    <row r="1725" spans="1:7" ht="15" customHeight="1" x14ac:dyDescent="0.3">
      <c r="A1725" t="s">
        <v>213</v>
      </c>
      <c r="B1725" s="2">
        <v>46235</v>
      </c>
      <c r="C1725" t="str" cm="1">
        <f t="array" ref="C1725">IFERROR(IF(SUMPRODUCT((measured[Site Name]=A1725)*(measured[Date]=B1725)*ISNUMBER(measured[Measured Value (kWh)]))=0,"",SUMIFS(measured[Measured Value (kWh)],measured[Site Name],A1725,measured[Date],B1725)),"")</f>
        <v/>
      </c>
      <c r="D1725" cm="1">
        <f t="array" ref="D1725">IFERROR(IF(SUMPRODUCT((expected_production[Site Name]=A1725)*(expected_production[Date]=B1725)*ISNUMBER(expected_production[Expected Production (kWh)]))=0,"",SUMIFS(expected_production[Expected Production (kWh)],expected_production[Site Name],A1725,expected_production[Date],B1725)),"")</f>
        <v>2298.1935483870998</v>
      </c>
      <c r="E1725" s="9" t="str">
        <f t="shared" si="56"/>
        <v/>
      </c>
      <c r="F1725" t="str">
        <f t="shared" si="57"/>
        <v/>
      </c>
    </row>
    <row r="1726" spans="1:7" ht="15" customHeight="1" x14ac:dyDescent="0.3">
      <c r="A1726" t="s">
        <v>213</v>
      </c>
      <c r="B1726" s="2">
        <v>46266</v>
      </c>
      <c r="C1726" t="str" cm="1">
        <f t="array" ref="C1726">IFERROR(IF(SUMPRODUCT((measured[Site Name]=A1726)*(measured[Date]=B1726)*ISNUMBER(measured[Measured Value (kWh)]))=0,"",SUMIFS(measured[Measured Value (kWh)],measured[Site Name],A1726,measured[Date],B1726)),"")</f>
        <v/>
      </c>
      <c r="D1726" cm="1">
        <f t="array" ref="D1726">IFERROR(IF(SUMPRODUCT((expected_production[Site Name]=A1726)*(expected_production[Date]=B1726)*ISNUMBER(expected_production[Expected Production (kWh)]))=0,"",SUMIFS(expected_production[Expected Production (kWh)],expected_production[Site Name],A1726,expected_production[Date],B1726)),"")</f>
        <v>7864.2</v>
      </c>
      <c r="E1726" s="9" t="str">
        <f t="shared" si="56"/>
        <v/>
      </c>
      <c r="F1726" t="str">
        <f t="shared" si="57"/>
        <v/>
      </c>
    </row>
    <row r="1727" spans="1:7" ht="15" customHeight="1" x14ac:dyDescent="0.3">
      <c r="A1727" t="s">
        <v>213</v>
      </c>
      <c r="B1727" s="2">
        <v>46296</v>
      </c>
      <c r="C1727" t="str" cm="1">
        <f t="array" ref="C1727">IFERROR(IF(SUMPRODUCT((measured[Site Name]=A1727)*(measured[Date]=B1727)*ISNUMBER(measured[Measured Value (kWh)]))=0,"",SUMIFS(measured[Measured Value (kWh)],measured[Site Name],A1727,measured[Date],B1727)),"")</f>
        <v/>
      </c>
      <c r="D1727" cm="1">
        <f t="array" ref="D1727">IFERROR(IF(SUMPRODUCT((expected_production[Site Name]=A1727)*(expected_production[Date]=B1727)*ISNUMBER(expected_production[Expected Production (kWh)]))=0,"",SUMIFS(expected_production[Expected Production (kWh)],expected_production[Site Name],A1727,expected_production[Date],B1727)),"")</f>
        <v>9007.2000000000007</v>
      </c>
      <c r="E1727" s="9" t="str">
        <f t="shared" si="56"/>
        <v/>
      </c>
      <c r="F1727" t="str">
        <f t="shared" si="57"/>
        <v/>
      </c>
    </row>
    <row r="1728" spans="1:7" ht="15" customHeight="1" x14ac:dyDescent="0.3">
      <c r="A1728" t="s">
        <v>213</v>
      </c>
      <c r="B1728" s="2">
        <v>46327</v>
      </c>
      <c r="C1728" t="str" cm="1">
        <f t="array" ref="C1728">IFERROR(IF(SUMPRODUCT((measured[Site Name]=A1728)*(measured[Date]=B1728)*ISNUMBER(measured[Measured Value (kWh)]))=0,"",SUMIFS(measured[Measured Value (kWh)],measured[Site Name],A1728,measured[Date],B1728)),"")</f>
        <v/>
      </c>
      <c r="D1728" cm="1">
        <f t="array" ref="D1728">IFERROR(IF(SUMPRODUCT((expected_production[Site Name]=A1728)*(expected_production[Date]=B1728)*ISNUMBER(expected_production[Expected Production (kWh)]))=0,"",SUMIFS(expected_production[Expected Production (kWh)],expected_production[Site Name],A1728,expected_production[Date],B1728)),"")</f>
        <v>8999.1</v>
      </c>
      <c r="E1728" s="9" t="str">
        <f t="shared" si="56"/>
        <v/>
      </c>
      <c r="F1728" t="str">
        <f t="shared" si="57"/>
        <v/>
      </c>
    </row>
    <row r="1729" spans="1:6" ht="15" customHeight="1" x14ac:dyDescent="0.3">
      <c r="A1729" t="s">
        <v>213</v>
      </c>
      <c r="B1729" s="2">
        <v>46357</v>
      </c>
      <c r="C1729" t="str" cm="1">
        <f t="array" ref="C1729">IFERROR(IF(SUMPRODUCT((measured[Site Name]=A1729)*(measured[Date]=B1729)*ISNUMBER(measured[Measured Value (kWh)]))=0,"",SUMIFS(measured[Measured Value (kWh)],measured[Site Name],A1729,measured[Date],B1729)),"")</f>
        <v/>
      </c>
      <c r="D1729" cm="1">
        <f t="array" ref="D1729">IFERROR(IF(SUMPRODUCT((expected_production[Site Name]=A1729)*(expected_production[Date]=B1729)*ISNUMBER(expected_production[Expected Production (kWh)]))=0,"",SUMIFS(expected_production[Expected Production (kWh)],expected_production[Site Name],A1729,expected_production[Date],B1729)),"")</f>
        <v>9241.2000000000007</v>
      </c>
      <c r="E1729" s="9" t="str">
        <f t="shared" si="56"/>
        <v/>
      </c>
      <c r="F1729" t="str">
        <f t="shared" si="57"/>
        <v/>
      </c>
    </row>
    <row r="1730" spans="1:6" ht="15" customHeight="1" x14ac:dyDescent="0.3">
      <c r="A1730" t="s">
        <v>216</v>
      </c>
      <c r="B1730" s="2">
        <v>45292</v>
      </c>
      <c r="C1730" t="str" cm="1">
        <f t="array" ref="C1730">IFERROR(IF(SUMPRODUCT((measured[Site Name]=A1730)*(measured[Date]=B1730)*ISNUMBER(measured[Measured Value (kWh)]))=0,"",SUMIFS(measured[Measured Value (kWh)],measured[Site Name],A1730,measured[Date],B1730)),"")</f>
        <v/>
      </c>
      <c r="D1730" cm="1">
        <f t="array" ref="D1730">IFERROR(IF(SUMPRODUCT((expected_production[Site Name]=A1730)*(expected_production[Date]=B1730)*ISNUMBER(expected_production[Expected Production (kWh)]))=0,"",SUMIFS(expected_production[Expected Production (kWh)],expected_production[Site Name],A1730,expected_production[Date],B1730)),"")</f>
        <v>28699.56</v>
      </c>
      <c r="E1730" s="9" t="str">
        <f t="shared" si="56"/>
        <v/>
      </c>
      <c r="F1730" t="str">
        <f t="shared" si="57"/>
        <v/>
      </c>
    </row>
    <row r="1731" spans="1:6" ht="15" customHeight="1" x14ac:dyDescent="0.3">
      <c r="A1731" t="s">
        <v>216</v>
      </c>
      <c r="B1731" s="2">
        <v>45323</v>
      </c>
      <c r="C1731" t="str" cm="1">
        <f t="array" ref="C1731">IFERROR(IF(SUMPRODUCT((measured[Site Name]=A1731)*(measured[Date]=B1731)*ISNUMBER(measured[Measured Value (kWh)]))=0,"",SUMIFS(measured[Measured Value (kWh)],measured[Site Name],A1731,measured[Date],B1731)),"")</f>
        <v/>
      </c>
      <c r="D1731" cm="1">
        <f t="array" ref="D1731">IFERROR(IF(SUMPRODUCT((expected_production[Site Name]=A1731)*(expected_production[Date]=B1731)*ISNUMBER(expected_production[Expected Production (kWh)]))=0,"",SUMIFS(expected_production[Expected Production (kWh)],expected_production[Site Name],A1731,expected_production[Date],B1731)),"")</f>
        <v>24909.3</v>
      </c>
      <c r="E1731" s="9" t="str">
        <f t="shared" si="56"/>
        <v/>
      </c>
      <c r="F1731" t="str">
        <f t="shared" si="57"/>
        <v/>
      </c>
    </row>
    <row r="1732" spans="1:6" ht="15" customHeight="1" x14ac:dyDescent="0.3">
      <c r="A1732" t="s">
        <v>216</v>
      </c>
      <c r="B1732" s="2">
        <v>45352</v>
      </c>
      <c r="C1732" t="str" cm="1">
        <f t="array" ref="C1732">IFERROR(IF(SUMPRODUCT((measured[Site Name]=A1732)*(measured[Date]=B1732)*ISNUMBER(measured[Measured Value (kWh)]))=0,"",SUMIFS(measured[Measured Value (kWh)],measured[Site Name],A1732,measured[Date],B1732)),"")</f>
        <v/>
      </c>
      <c r="D1732" cm="1">
        <f t="array" ref="D1732">IFERROR(IF(SUMPRODUCT((expected_production[Site Name]=A1732)*(expected_production[Date]=B1732)*ISNUMBER(expected_production[Expected Production (kWh)]))=0,"",SUMIFS(expected_production[Expected Production (kWh)],expected_production[Site Name],A1732,expected_production[Date],B1732)),"")</f>
        <v>24570</v>
      </c>
      <c r="E1732" s="9" t="str">
        <f t="shared" si="56"/>
        <v/>
      </c>
      <c r="F1732" t="str">
        <f t="shared" si="57"/>
        <v/>
      </c>
    </row>
    <row r="1733" spans="1:6" ht="15" customHeight="1" x14ac:dyDescent="0.3">
      <c r="A1733" t="s">
        <v>216</v>
      </c>
      <c r="B1733" s="2">
        <v>45383</v>
      </c>
      <c r="C1733" t="str" cm="1">
        <f t="array" ref="C1733">IFERROR(IF(SUMPRODUCT((measured[Site Name]=A1733)*(measured[Date]=B1733)*ISNUMBER(measured[Measured Value (kWh)]))=0,"",SUMIFS(measured[Measured Value (kWh)],measured[Site Name],A1733,measured[Date],B1733)),"")</f>
        <v/>
      </c>
      <c r="D1733" cm="1">
        <f t="array" ref="D1733">IFERROR(IF(SUMPRODUCT((expected_production[Site Name]=A1733)*(expected_production[Date]=B1733)*ISNUMBER(expected_production[Expected Production (kWh)]))=0,"",SUMIFS(expected_production[Expected Production (kWh)],expected_production[Site Name],A1733,expected_production[Date],B1733)),"")</f>
        <v>21388.5</v>
      </c>
      <c r="E1733" s="9" t="str">
        <f t="shared" si="56"/>
        <v/>
      </c>
      <c r="F1733" t="str">
        <f t="shared" si="57"/>
        <v/>
      </c>
    </row>
    <row r="1734" spans="1:6" ht="15" customHeight="1" x14ac:dyDescent="0.3">
      <c r="A1734" t="s">
        <v>216</v>
      </c>
      <c r="B1734" s="2">
        <v>45413</v>
      </c>
      <c r="C1734" t="str" cm="1">
        <f t="array" ref="C1734">IFERROR(IF(SUMPRODUCT((measured[Site Name]=A1734)*(measured[Date]=B1734)*ISNUMBER(measured[Measured Value (kWh)]))=0,"",SUMIFS(measured[Measured Value (kWh)],measured[Site Name],A1734,measured[Date],B1734)),"")</f>
        <v/>
      </c>
      <c r="D1734" cm="1">
        <f t="array" ref="D1734">IFERROR(IF(SUMPRODUCT((expected_production[Site Name]=A1734)*(expected_production[Date]=B1734)*ISNUMBER(expected_production[Expected Production (kWh)]))=0,"",SUMIFS(expected_production[Expected Production (kWh)],expected_production[Site Name],A1734,expected_production[Date],B1734)),"")</f>
        <v>19723.5</v>
      </c>
      <c r="E1734" s="9" t="str">
        <f t="shared" si="56"/>
        <v/>
      </c>
      <c r="F1734" t="str">
        <f t="shared" si="57"/>
        <v/>
      </c>
    </row>
    <row r="1735" spans="1:6" ht="15" customHeight="1" x14ac:dyDescent="0.3">
      <c r="A1735" t="s">
        <v>216</v>
      </c>
      <c r="B1735" s="2">
        <v>45444</v>
      </c>
      <c r="C1735" t="str" cm="1">
        <f t="array" ref="C1735">IFERROR(IF(SUMPRODUCT((measured[Site Name]=A1735)*(measured[Date]=B1735)*ISNUMBER(measured[Measured Value (kWh)]))=0,"",SUMIFS(measured[Measured Value (kWh)],measured[Site Name],A1735,measured[Date],B1735)),"")</f>
        <v/>
      </c>
      <c r="D1735" cm="1">
        <f t="array" ref="D1735">IFERROR(IF(SUMPRODUCT((expected_production[Site Name]=A1735)*(expected_production[Date]=B1735)*ISNUMBER(expected_production[Expected Production (kWh)]))=0,"",SUMIFS(expected_production[Expected Production (kWh)],expected_production[Site Name],A1735,expected_production[Date],B1735)),"")</f>
        <v>17431.2</v>
      </c>
      <c r="E1735" s="9" t="str">
        <f t="shared" si="56"/>
        <v/>
      </c>
      <c r="F1735" t="str">
        <f t="shared" si="57"/>
        <v/>
      </c>
    </row>
    <row r="1736" spans="1:6" ht="15" customHeight="1" x14ac:dyDescent="0.3">
      <c r="A1736" t="s">
        <v>216</v>
      </c>
      <c r="B1736" s="2">
        <v>45474</v>
      </c>
      <c r="C1736" t="str" cm="1">
        <f t="array" ref="C1736">IFERROR(IF(SUMPRODUCT((measured[Site Name]=A1736)*(measured[Date]=B1736)*ISNUMBER(measured[Measured Value (kWh)]))=0,"",SUMIFS(measured[Measured Value (kWh)],measured[Site Name],A1736,measured[Date],B1736)),"")</f>
        <v/>
      </c>
      <c r="D1736" cm="1">
        <f t="array" ref="D1736">IFERROR(IF(SUMPRODUCT((expected_production[Site Name]=A1736)*(expected_production[Date]=B1736)*ISNUMBER(expected_production[Expected Production (kWh)]))=0,"",SUMIFS(expected_production[Expected Production (kWh)],expected_production[Site Name],A1736,expected_production[Date],B1736)),"")</f>
        <v>19181.7</v>
      </c>
      <c r="E1736" s="9" t="str">
        <f t="shared" si="56"/>
        <v/>
      </c>
      <c r="F1736" t="str">
        <f t="shared" si="57"/>
        <v/>
      </c>
    </row>
    <row r="1737" spans="1:6" ht="15" customHeight="1" x14ac:dyDescent="0.3">
      <c r="A1737" t="s">
        <v>216</v>
      </c>
      <c r="B1737" s="2">
        <v>45505</v>
      </c>
      <c r="C1737" t="str" cm="1">
        <f t="array" ref="C1737">IFERROR(IF(SUMPRODUCT((measured[Site Name]=A1737)*(measured[Date]=B1737)*ISNUMBER(measured[Measured Value (kWh)]))=0,"",SUMIFS(measured[Measured Value (kWh)],measured[Site Name],A1737,measured[Date],B1737)),"")</f>
        <v/>
      </c>
      <c r="D1737" cm="1">
        <f t="array" ref="D1737">IFERROR(IF(SUMPRODUCT((expected_production[Site Name]=A1737)*(expected_production[Date]=B1737)*ISNUMBER(expected_production[Expected Production (kWh)]))=0,"",SUMIFS(expected_production[Expected Production (kWh)],expected_production[Site Name],A1737,expected_production[Date],B1737)),"")</f>
        <v>7231.3548387096798</v>
      </c>
      <c r="E1737" s="9" t="str">
        <f t="shared" si="56"/>
        <v/>
      </c>
      <c r="F1737" t="str">
        <f t="shared" si="57"/>
        <v/>
      </c>
    </row>
    <row r="1738" spans="1:6" ht="15" customHeight="1" x14ac:dyDescent="0.3">
      <c r="A1738" t="s">
        <v>216</v>
      </c>
      <c r="B1738" s="2">
        <v>45536</v>
      </c>
      <c r="C1738" t="str" cm="1">
        <f t="array" ref="C1738">IFERROR(IF(SUMPRODUCT((measured[Site Name]=A1738)*(measured[Date]=B1738)*ISNUMBER(measured[Measured Value (kWh)]))=0,"",SUMIFS(measured[Measured Value (kWh)],measured[Site Name],A1738,measured[Date],B1738)),"")</f>
        <v/>
      </c>
      <c r="D1738" cm="1">
        <f t="array" ref="D1738">IFERROR(IF(SUMPRODUCT((expected_production[Site Name]=A1738)*(expected_production[Date]=B1738)*ISNUMBER(expected_production[Expected Production (kWh)]))=0,"",SUMIFS(expected_production[Expected Production (kWh)],expected_production[Site Name],A1738,expected_production[Date],B1738)),"")</f>
        <v>24780.6</v>
      </c>
      <c r="E1738" s="9" t="str">
        <f t="shared" si="56"/>
        <v/>
      </c>
      <c r="F1738" t="str">
        <f t="shared" si="57"/>
        <v/>
      </c>
    </row>
    <row r="1739" spans="1:6" ht="15" customHeight="1" x14ac:dyDescent="0.3">
      <c r="A1739" t="s">
        <v>216</v>
      </c>
      <c r="B1739" s="2">
        <v>45566</v>
      </c>
      <c r="C1739" t="str" cm="1">
        <f t="array" ref="C1739">IFERROR(IF(SUMPRODUCT((measured[Site Name]=A1739)*(measured[Date]=B1739)*ISNUMBER(measured[Measured Value (kWh)]))=0,"",SUMIFS(measured[Measured Value (kWh)],measured[Site Name],A1739,measured[Date],B1739)),"")</f>
        <v/>
      </c>
      <c r="D1739" cm="1">
        <f t="array" ref="D1739">IFERROR(IF(SUMPRODUCT((expected_production[Site Name]=A1739)*(expected_production[Date]=B1739)*ISNUMBER(expected_production[Expected Production (kWh)]))=0,"",SUMIFS(expected_production[Expected Production (kWh)],expected_production[Site Name],A1739,expected_production[Date],B1739)),"")</f>
        <v>28127.7</v>
      </c>
      <c r="E1739" s="9" t="str">
        <f t="shared" si="56"/>
        <v/>
      </c>
      <c r="F1739" t="str">
        <f t="shared" si="57"/>
        <v/>
      </c>
    </row>
    <row r="1740" spans="1:6" ht="15" customHeight="1" x14ac:dyDescent="0.3">
      <c r="A1740" t="s">
        <v>216</v>
      </c>
      <c r="B1740" s="2">
        <v>45597</v>
      </c>
      <c r="C1740" t="str" cm="1">
        <f t="array" ref="C1740">IFERROR(IF(SUMPRODUCT((measured[Site Name]=A1740)*(measured[Date]=B1740)*ISNUMBER(measured[Measured Value (kWh)]))=0,"",SUMIFS(measured[Measured Value (kWh)],measured[Site Name],A1740,measured[Date],B1740)),"")</f>
        <v/>
      </c>
      <c r="D1740" cm="1">
        <f t="array" ref="D1740">IFERROR(IF(SUMPRODUCT((expected_production[Site Name]=A1740)*(expected_production[Date]=B1740)*ISNUMBER(expected_production[Expected Production (kWh)]))=0,"",SUMIFS(expected_production[Expected Production (kWh)],expected_production[Site Name],A1740,expected_production[Date],B1740)),"")</f>
        <v>28061.1</v>
      </c>
      <c r="E1740" s="9" t="str">
        <f t="shared" si="56"/>
        <v/>
      </c>
      <c r="F1740" t="str">
        <f t="shared" si="57"/>
        <v/>
      </c>
    </row>
    <row r="1741" spans="1:6" ht="15" customHeight="1" x14ac:dyDescent="0.3">
      <c r="A1741" t="s">
        <v>216</v>
      </c>
      <c r="B1741" s="2">
        <v>45627</v>
      </c>
      <c r="C1741" t="str" cm="1">
        <f t="array" ref="C1741">IFERROR(IF(SUMPRODUCT((measured[Site Name]=A1741)*(measured[Date]=B1741)*ISNUMBER(measured[Measured Value (kWh)]))=0,"",SUMIFS(measured[Measured Value (kWh)],measured[Site Name],A1741,measured[Date],B1741)),"")</f>
        <v/>
      </c>
      <c r="D1741" cm="1">
        <f t="array" ref="D1741">IFERROR(IF(SUMPRODUCT((expected_production[Site Name]=A1741)*(expected_production[Date]=B1741)*ISNUMBER(expected_production[Expected Production (kWh)]))=0,"",SUMIFS(expected_production[Expected Production (kWh)],expected_production[Site Name],A1741,expected_production[Date],B1741)),"")</f>
        <v>28703.7</v>
      </c>
      <c r="E1741" s="9" t="str">
        <f t="shared" si="56"/>
        <v/>
      </c>
      <c r="F1741" t="str">
        <f t="shared" si="57"/>
        <v/>
      </c>
    </row>
    <row r="1742" spans="1:6" ht="15" customHeight="1" x14ac:dyDescent="0.3">
      <c r="A1742" t="s">
        <v>216</v>
      </c>
      <c r="B1742" s="2">
        <v>45658</v>
      </c>
      <c r="C1742" t="str" cm="1">
        <f t="array" ref="C1742">IFERROR(IF(SUMPRODUCT((measured[Site Name]=A1742)*(measured[Date]=B1742)*ISNUMBER(measured[Measured Value (kWh)]))=0,"",SUMIFS(measured[Measured Value (kWh)],measured[Site Name],A1742,measured[Date],B1742)),"")</f>
        <v/>
      </c>
      <c r="D1742" cm="1">
        <f t="array" ref="D1742">IFERROR(IF(SUMPRODUCT((expected_production[Site Name]=A1742)*(expected_production[Date]=B1742)*ISNUMBER(expected_production[Expected Production (kWh)]))=0,"",SUMIFS(expected_production[Expected Production (kWh)],expected_production[Site Name],A1742,expected_production[Date],B1742)),"")</f>
        <v>28699.56</v>
      </c>
      <c r="E1742" s="9" t="str">
        <f t="shared" si="56"/>
        <v/>
      </c>
      <c r="F1742" t="str">
        <f t="shared" si="57"/>
        <v/>
      </c>
    </row>
    <row r="1743" spans="1:6" ht="15" customHeight="1" x14ac:dyDescent="0.3">
      <c r="A1743" t="s">
        <v>216</v>
      </c>
      <c r="B1743" s="2">
        <v>45689</v>
      </c>
      <c r="C1743" t="str" cm="1">
        <f t="array" ref="C1743">IFERROR(IF(SUMPRODUCT((measured[Site Name]=A1743)*(measured[Date]=B1743)*ISNUMBER(measured[Measured Value (kWh)]))=0,"",SUMIFS(measured[Measured Value (kWh)],measured[Site Name],A1743,measured[Date],B1743)),"")</f>
        <v/>
      </c>
      <c r="D1743" cm="1">
        <f t="array" ref="D1743">IFERROR(IF(SUMPRODUCT((expected_production[Site Name]=A1743)*(expected_production[Date]=B1743)*ISNUMBER(expected_production[Expected Production (kWh)]))=0,"",SUMIFS(expected_production[Expected Production (kWh)],expected_production[Site Name],A1743,expected_production[Date],B1743)),"")</f>
        <v>24909.3</v>
      </c>
      <c r="E1743" s="9" t="str">
        <f t="shared" si="56"/>
        <v/>
      </c>
      <c r="F1743" t="str">
        <f t="shared" si="57"/>
        <v/>
      </c>
    </row>
    <row r="1744" spans="1:6" ht="15" customHeight="1" x14ac:dyDescent="0.3">
      <c r="A1744" t="s">
        <v>216</v>
      </c>
      <c r="B1744" s="2">
        <v>45717</v>
      </c>
      <c r="C1744" t="str" cm="1">
        <f t="array" ref="C1744">IFERROR(IF(SUMPRODUCT((measured[Site Name]=A1744)*(measured[Date]=B1744)*ISNUMBER(measured[Measured Value (kWh)]))=0,"",SUMIFS(measured[Measured Value (kWh)],measured[Site Name],A1744,measured[Date],B1744)),"")</f>
        <v/>
      </c>
      <c r="D1744" cm="1">
        <f t="array" ref="D1744">IFERROR(IF(SUMPRODUCT((expected_production[Site Name]=A1744)*(expected_production[Date]=B1744)*ISNUMBER(expected_production[Expected Production (kWh)]))=0,"",SUMIFS(expected_production[Expected Production (kWh)],expected_production[Site Name],A1744,expected_production[Date],B1744)),"")</f>
        <v>24570</v>
      </c>
      <c r="E1744" s="9" t="str">
        <f t="shared" si="56"/>
        <v/>
      </c>
      <c r="F1744" t="str">
        <f t="shared" si="57"/>
        <v/>
      </c>
    </row>
    <row r="1745" spans="1:7" ht="15" customHeight="1" x14ac:dyDescent="0.3">
      <c r="A1745" t="s">
        <v>216</v>
      </c>
      <c r="B1745" s="2">
        <v>45748</v>
      </c>
      <c r="C1745" t="str" cm="1">
        <f t="array" ref="C1745">IFERROR(IF(SUMPRODUCT((measured[Site Name]=A1745)*(measured[Date]=B1745)*ISNUMBER(measured[Measured Value (kWh)]))=0,"",SUMIFS(measured[Measured Value (kWh)],measured[Site Name],A1745,measured[Date],B1745)),"")</f>
        <v/>
      </c>
      <c r="D1745" cm="1">
        <f t="array" ref="D1745">IFERROR(IF(SUMPRODUCT((expected_production[Site Name]=A1745)*(expected_production[Date]=B1745)*ISNUMBER(expected_production[Expected Production (kWh)]))=0,"",SUMIFS(expected_production[Expected Production (kWh)],expected_production[Site Name],A1745,expected_production[Date],B1745)),"")</f>
        <v>21388.5</v>
      </c>
      <c r="E1745" s="9" t="str">
        <f t="shared" si="56"/>
        <v/>
      </c>
      <c r="F1745" t="str">
        <f t="shared" si="57"/>
        <v/>
      </c>
    </row>
    <row r="1746" spans="1:7" ht="15" customHeight="1" x14ac:dyDescent="0.3">
      <c r="A1746" t="s">
        <v>216</v>
      </c>
      <c r="B1746" s="2">
        <v>45778</v>
      </c>
      <c r="C1746" t="str" cm="1">
        <f t="array" ref="C1746">IFERROR(IF(SUMPRODUCT((measured[Site Name]=A1746)*(measured[Date]=B1746)*ISNUMBER(measured[Measured Value (kWh)]))=0,"",SUMIFS(measured[Measured Value (kWh)],measured[Site Name],A1746,measured[Date],B1746)),"")</f>
        <v/>
      </c>
      <c r="D1746" cm="1">
        <f t="array" ref="D1746">IFERROR(IF(SUMPRODUCT((expected_production[Site Name]=A1746)*(expected_production[Date]=B1746)*ISNUMBER(expected_production[Expected Production (kWh)]))=0,"",SUMIFS(expected_production[Expected Production (kWh)],expected_production[Site Name],A1746,expected_production[Date],B1746)),"")</f>
        <v>19723.5</v>
      </c>
      <c r="E1746" s="9" t="str">
        <f t="shared" si="56"/>
        <v/>
      </c>
      <c r="F1746" t="str">
        <f t="shared" si="57"/>
        <v/>
      </c>
    </row>
    <row r="1747" spans="1:7" ht="15" customHeight="1" x14ac:dyDescent="0.3">
      <c r="A1747" t="s">
        <v>216</v>
      </c>
      <c r="B1747" s="2">
        <v>45809</v>
      </c>
      <c r="C1747" t="str" cm="1">
        <f t="array" ref="C1747">IFERROR(IF(SUMPRODUCT((measured[Site Name]=A1747)*(measured[Date]=B1747)*ISNUMBER(measured[Measured Value (kWh)]))=0,"",SUMIFS(measured[Measured Value (kWh)],measured[Site Name],A1747,measured[Date],B1747)),"")</f>
        <v/>
      </c>
      <c r="D1747" cm="1">
        <f t="array" ref="D1747">IFERROR(IF(SUMPRODUCT((expected_production[Site Name]=A1747)*(expected_production[Date]=B1747)*ISNUMBER(expected_production[Expected Production (kWh)]))=0,"",SUMIFS(expected_production[Expected Production (kWh)],expected_production[Site Name],A1747,expected_production[Date],B1747)),"")</f>
        <v>17431.2</v>
      </c>
      <c r="E1747" s="9" t="str">
        <f t="shared" si="56"/>
        <v/>
      </c>
      <c r="F1747" t="str">
        <f t="shared" si="57"/>
        <v/>
      </c>
    </row>
    <row r="1748" spans="1:7" ht="15" customHeight="1" x14ac:dyDescent="0.3">
      <c r="A1748" t="s">
        <v>216</v>
      </c>
      <c r="B1748" s="2">
        <v>45839</v>
      </c>
      <c r="C1748" t="str" cm="1">
        <f t="array" ref="C1748">IFERROR(IF(SUMPRODUCT((measured[Site Name]=A1748)*(measured[Date]=B1748)*ISNUMBER(measured[Measured Value (kWh)]))=0,"",SUMIFS(measured[Measured Value (kWh)],measured[Site Name],A1748,measured[Date],B1748)),"")</f>
        <v/>
      </c>
      <c r="D1748" cm="1">
        <f t="array" ref="D1748">IFERROR(IF(SUMPRODUCT((expected_production[Site Name]=A1748)*(expected_production[Date]=B1748)*ISNUMBER(expected_production[Expected Production (kWh)]))=0,"",SUMIFS(expected_production[Expected Production (kWh)],expected_production[Site Name],A1748,expected_production[Date],B1748)),"")</f>
        <v>19181.7</v>
      </c>
      <c r="E1748" s="9" t="str">
        <f t="shared" si="56"/>
        <v/>
      </c>
      <c r="F1748" t="str">
        <f t="shared" si="57"/>
        <v/>
      </c>
    </row>
    <row r="1749" spans="1:7" ht="15" customHeight="1" x14ac:dyDescent="0.3">
      <c r="A1749" t="s">
        <v>216</v>
      </c>
      <c r="B1749" s="2">
        <v>45870</v>
      </c>
      <c r="C1749" cm="1">
        <f t="array" ref="C1749">IFERROR(IF(SUMPRODUCT((measured[Site Name]=A1749)*(measured[Date]=B1749)*ISNUMBER(measured[Measured Value (kWh)]))=0,"",SUMIFS(measured[Measured Value (kWh)],measured[Site Name],A1749,measured[Date],B1749)),"")</f>
        <v>8229</v>
      </c>
      <c r="D1749" cm="1">
        <f t="array" ref="D1749">IFERROR(IF(SUMPRODUCT((expected_production[Site Name]=A1749)*(expected_production[Date]=B1749)*ISNUMBER(expected_production[Expected Production (kWh)]))=0,"",SUMIFS(expected_production[Expected Production (kWh)],expected_production[Site Name],A1749,expected_production[Date],B1749)),"")</f>
        <v>7231.3548387096798</v>
      </c>
      <c r="E1749" s="9">
        <f t="shared" si="56"/>
        <v>1.1379610299234513</v>
      </c>
      <c r="F1749" t="str">
        <f t="shared" si="57"/>
        <v>Expected</v>
      </c>
    </row>
    <row r="1750" spans="1:7" ht="15" customHeight="1" x14ac:dyDescent="0.3">
      <c r="A1750" t="s">
        <v>216</v>
      </c>
      <c r="B1750" s="2">
        <v>45901</v>
      </c>
      <c r="C1750" cm="1">
        <f t="array" ref="C1750">IFERROR(IF(SUMPRODUCT((measured[Site Name]=A1750)*(measured[Date]=B1750)*ISNUMBER(measured[Measured Value (kWh)]))=0,"",SUMIFS(measured[Measured Value (kWh)],measured[Site Name],A1750,measured[Date],B1750)),"")</f>
        <v>21334</v>
      </c>
      <c r="D1750" cm="1">
        <f t="array" ref="D1750">IFERROR(IF(SUMPRODUCT((expected_production[Site Name]=A1750)*(expected_production[Date]=B1750)*ISNUMBER(expected_production[Expected Production (kWh)]))=0,"",SUMIFS(expected_production[Expected Production (kWh)],expected_production[Site Name],A1750,expected_production[Date],B1750)),"")</f>
        <v>24780.6</v>
      </c>
      <c r="E1750" s="9">
        <f t="shared" si="56"/>
        <v>0.86091539349329727</v>
      </c>
      <c r="F1750" t="str">
        <f t="shared" si="57"/>
        <v>Moderate</v>
      </c>
    </row>
    <row r="1751" spans="1:7" ht="15" customHeight="1" x14ac:dyDescent="0.3">
      <c r="A1751" t="s">
        <v>216</v>
      </c>
      <c r="B1751" s="2">
        <v>45931</v>
      </c>
      <c r="C1751" cm="1">
        <f t="array" ref="C1751">IFERROR(IF(SUMPRODUCT((measured[Site Name]=A1751)*(measured[Date]=B1751)*ISNUMBER(measured[Measured Value (kWh)]))=0,"",SUMIFS(measured[Measured Value (kWh)],measured[Site Name],A1751,measured[Date],B1751)),"")</f>
        <v>26578</v>
      </c>
      <c r="D1751" cm="1">
        <f t="array" ref="D1751">IFERROR(IF(SUMPRODUCT((expected_production[Site Name]=A1751)*(expected_production[Date]=B1751)*ISNUMBER(expected_production[Expected Production (kWh)]))=0,"",SUMIFS(expected_production[Expected Production (kWh)],expected_production[Site Name],A1751,expected_production[Date],B1751)),"")</f>
        <v>28127.7</v>
      </c>
      <c r="E1751" s="9">
        <f t="shared" si="56"/>
        <v>0.94490484469046521</v>
      </c>
      <c r="F1751" t="str">
        <f t="shared" si="57"/>
        <v>Expected</v>
      </c>
    </row>
    <row r="1752" spans="1:7" ht="15" customHeight="1" x14ac:dyDescent="0.3">
      <c r="A1752" t="s">
        <v>216</v>
      </c>
      <c r="B1752" s="2">
        <v>45962</v>
      </c>
      <c r="C1752" cm="1">
        <f t="array" ref="C1752">IFERROR(IF(SUMPRODUCT((measured[Site Name]=A1752)*(measured[Date]=B1752)*ISNUMBER(measured[Measured Value (kWh)]))=0,"",SUMIFS(measured[Measured Value (kWh)],measured[Site Name],A1752,measured[Date],B1752)),"")</f>
        <v>22629</v>
      </c>
      <c r="D1752" cm="1">
        <f t="array" ref="D1752">IFERROR(IF(SUMPRODUCT((expected_production[Site Name]=A1752)*(expected_production[Date]=B1752)*ISNUMBER(expected_production[Expected Production (kWh)]))=0,"",SUMIFS(expected_production[Expected Production (kWh)],expected_production[Site Name],A1752,expected_production[Date],B1752)),"")</f>
        <v>28061.1</v>
      </c>
      <c r="E1752" s="9">
        <f t="shared" si="56"/>
        <v>0.80641885029453586</v>
      </c>
      <c r="F1752" t="str">
        <f t="shared" si="57"/>
        <v>Moderate</v>
      </c>
    </row>
    <row r="1753" spans="1:7" ht="15" customHeight="1" x14ac:dyDescent="0.3">
      <c r="A1753" t="s">
        <v>216</v>
      </c>
      <c r="B1753" s="2">
        <v>45992</v>
      </c>
      <c r="C1753" cm="1">
        <f t="array" ref="C1753">IFERROR(IF(SUMPRODUCT((measured[Site Name]=A1753)*(measured[Date]=B1753)*ISNUMBER(measured[Measured Value (kWh)]))=0,"",SUMIFS(measured[Measured Value (kWh)],measured[Site Name],A1753,measured[Date],B1753)),"")</f>
        <v>27791</v>
      </c>
      <c r="D1753" cm="1">
        <f t="array" ref="D1753">IFERROR(IF(SUMPRODUCT((expected_production[Site Name]=A1753)*(expected_production[Date]=B1753)*ISNUMBER(expected_production[Expected Production (kWh)]))=0,"",SUMIFS(expected_production[Expected Production (kWh)],expected_production[Site Name],A1753,expected_production[Date],B1753)),"")</f>
        <v>28703.7</v>
      </c>
      <c r="E1753" s="9">
        <f t="shared" si="56"/>
        <v>0.96820270557454258</v>
      </c>
      <c r="F1753" t="str">
        <f t="shared" si="57"/>
        <v>Expected</v>
      </c>
    </row>
    <row r="1754" spans="1:7" ht="15" customHeight="1" x14ac:dyDescent="0.3">
      <c r="A1754" t="s">
        <v>216</v>
      </c>
      <c r="B1754" s="2">
        <v>46023</v>
      </c>
      <c r="C1754" cm="1">
        <f t="array" ref="C1754">IFERROR(IF(SUMPRODUCT((measured[Site Name]=A1754)*(measured[Date]=B1754)*ISNUMBER(measured[Measured Value (kWh)]))=0,"",SUMIFS(measured[Measured Value (kWh)],measured[Site Name],A1754,measured[Date],B1754)),"")</f>
        <v>27879</v>
      </c>
      <c r="D1754" cm="1">
        <f t="array" ref="D1754">IFERROR(IF(SUMPRODUCT((expected_production[Site Name]=A1754)*(expected_production[Date]=B1754)*ISNUMBER(expected_production[Expected Production (kWh)]))=0,"",SUMIFS(expected_production[Expected Production (kWh)],expected_production[Site Name],A1754,expected_production[Date],B1754)),"")</f>
        <v>28699.56</v>
      </c>
      <c r="E1754" s="9">
        <f t="shared" si="56"/>
        <v>0.9714086208987176</v>
      </c>
      <c r="F1754" t="str">
        <f t="shared" si="57"/>
        <v>Expected</v>
      </c>
    </row>
    <row r="1755" spans="1:7" ht="15" customHeight="1" x14ac:dyDescent="0.3">
      <c r="A1755" t="s">
        <v>216</v>
      </c>
      <c r="B1755" s="2">
        <v>46054</v>
      </c>
      <c r="C1755" cm="1">
        <f t="array" ref="C1755">IFERROR(IF(SUMPRODUCT((measured[Site Name]=A1755)*(measured[Date]=B1755)*ISNUMBER(measured[Measured Value (kWh)]))=0,"",SUMIFS(measured[Measured Value (kWh)],measured[Site Name],A1755,measured[Date],B1755)),"")</f>
        <v>25500</v>
      </c>
      <c r="D1755" cm="1">
        <f t="array" ref="D1755">IFERROR(IF(SUMPRODUCT((expected_production[Site Name]=A1755)*(expected_production[Date]=B1755)*ISNUMBER(expected_production[Expected Production (kWh)]))=0,"",SUMIFS(expected_production[Expected Production (kWh)],expected_production[Site Name],A1755,expected_production[Date],B1755)),"")</f>
        <v>24909.3</v>
      </c>
      <c r="E1755" s="9">
        <f t="shared" si="56"/>
        <v>1.0237140345172286</v>
      </c>
      <c r="F1755" t="str">
        <f t="shared" si="57"/>
        <v>Expected</v>
      </c>
    </row>
    <row r="1756" spans="1:7" ht="15" customHeight="1" x14ac:dyDescent="0.3">
      <c r="A1756" t="s">
        <v>216</v>
      </c>
      <c r="B1756" s="2">
        <v>46082</v>
      </c>
      <c r="C1756" cm="1">
        <f t="array" ref="C1756">IFERROR(IF(SUMPRODUCT((measured[Site Name]=A1756)*(measured[Date]=B1756)*ISNUMBER(measured[Measured Value (kWh)]))=0,"",SUMIFS(measured[Measured Value (kWh)],measured[Site Name],A1756,measured[Date],B1756)),"")</f>
        <v>20753</v>
      </c>
      <c r="D1756" cm="1">
        <f t="array" ref="D1756">IFERROR(IF(SUMPRODUCT((expected_production[Site Name]=A1756)*(expected_production[Date]=B1756)*ISNUMBER(expected_production[Expected Production (kWh)]))=0,"",SUMIFS(expected_production[Expected Production (kWh)],expected_production[Site Name],A1756,expected_production[Date],B1756)),"")</f>
        <v>24570</v>
      </c>
      <c r="E1756" s="9">
        <f t="shared" si="56"/>
        <v>0.84464794464794468</v>
      </c>
      <c r="F1756" t="str">
        <f t="shared" si="57"/>
        <v>Moderate</v>
      </c>
    </row>
    <row r="1757" spans="1:7" ht="15" customHeight="1" x14ac:dyDescent="0.3">
      <c r="A1757" t="s">
        <v>216</v>
      </c>
      <c r="B1757" s="2">
        <v>46113</v>
      </c>
      <c r="C1757" cm="1">
        <f t="array" ref="C1757">IFERROR(IF(SUMPRODUCT((measured[Site Name]=A1757)*(measured[Date]=B1757)*ISNUMBER(measured[Measured Value (kWh)]))=0,"",SUMIFS(measured[Measured Value (kWh)],measured[Site Name],A1757,measured[Date],B1757)),"")</f>
        <v>18061.39</v>
      </c>
      <c r="D1757" cm="1">
        <f t="array" ref="D1757">IFERROR(IF(SUMPRODUCT((expected_production[Site Name]=A1757)*(expected_production[Date]=B1757)*ISNUMBER(expected_production[Expected Production (kWh)]))=0,"",SUMIFS(expected_production[Expected Production (kWh)],expected_production[Site Name],A1757,expected_production[Date],B1757)),"")</f>
        <v>21388.5</v>
      </c>
      <c r="E1757" s="9">
        <f t="shared" si="56"/>
        <v>0.84444397690347617</v>
      </c>
      <c r="F1757" t="str">
        <f t="shared" si="57"/>
        <v>Moderate</v>
      </c>
    </row>
    <row r="1758" spans="1:7" ht="15" customHeight="1" x14ac:dyDescent="0.3">
      <c r="A1758" t="s">
        <v>216</v>
      </c>
      <c r="B1758" s="2">
        <v>46143</v>
      </c>
      <c r="C1758" cm="1">
        <f t="array" ref="C1758">IFERROR(IF(SUMPRODUCT((measured[Site Name]=A1758)*(measured[Date]=B1758)*ISNUMBER(measured[Measured Value (kWh)]))=0,"",SUMIFS(measured[Measured Value (kWh)],measured[Site Name],A1758,measured[Date],B1758)),"")</f>
        <v>18908.48</v>
      </c>
      <c r="D1758" cm="1">
        <f t="array" ref="D1758">IFERROR(IF(SUMPRODUCT((expected_production[Site Name]=A1758)*(expected_production[Date]=B1758)*ISNUMBER(expected_production[Expected Production (kWh)]))=0,"",SUMIFS(expected_production[Expected Production (kWh)],expected_production[Site Name],A1758,expected_production[Date],B1758)),"")</f>
        <v>19723.5</v>
      </c>
      <c r="E1758" s="9">
        <f t="shared" si="56"/>
        <v>0.95867771947169622</v>
      </c>
      <c r="F1758" t="str">
        <f t="shared" si="57"/>
        <v>Expected</v>
      </c>
    </row>
    <row r="1759" spans="1:7" ht="15" customHeight="1" x14ac:dyDescent="0.3">
      <c r="A1759" t="s">
        <v>216</v>
      </c>
      <c r="B1759" s="2">
        <v>46174</v>
      </c>
      <c r="C1759" cm="1">
        <f t="array" ref="C1759">IFERROR(IF(SUMPRODUCT((measured[Site Name]=A1759)*(measured[Date]=B1759)*ISNUMBER(measured[Measured Value (kWh)]))=0,"",SUMIFS(measured[Measured Value (kWh)],measured[Site Name],A1759,measured[Date],B1759)),"")</f>
        <v>14035.5</v>
      </c>
      <c r="D1759" cm="1">
        <f t="array" ref="D1759">IFERROR(IF(SUMPRODUCT((expected_production[Site Name]=A1759)*(expected_production[Date]=B1759)*ISNUMBER(expected_production[Expected Production (kWh)]))=0,"",SUMIFS(expected_production[Expected Production (kWh)],expected_production[Site Name],A1759,expected_production[Date],B1759)),"")</f>
        <v>17431.2</v>
      </c>
      <c r="E1759" s="9">
        <f t="shared" si="56"/>
        <v>0.80519413465510115</v>
      </c>
      <c r="F1759" t="str">
        <f t="shared" si="57"/>
        <v>Moderate</v>
      </c>
    </row>
    <row r="1760" spans="1:7" ht="15" customHeight="1" x14ac:dyDescent="0.3">
      <c r="A1760" t="s">
        <v>160</v>
      </c>
      <c r="B1760" s="2">
        <v>46204</v>
      </c>
      <c r="C1760" cm="1">
        <f t="array" ref="C1760">IFERROR(IF(SUMPRODUCT((measured[Site Name]=A1760)*(measured[Date]=B1760)*ISNUMBER(measured[Measured Value (kWh)]))=0,"",SUMIFS(measured[Measured Value (kWh)],measured[Site Name],A1760,measured[Date],B1760)),"")</f>
        <v>16691</v>
      </c>
      <c r="D1760" cm="1">
        <f t="array" ref="D1760">IFERROR(IF(SUMPRODUCT((expected_production[Site Name]=A1760)*(expected_production[Date]=B1760)*ISNUMBER(expected_production[Expected Production (kWh)]))=0,"",SUMIFS(expected_production[Expected Production (kWh)],expected_production[Site Name],A1760,expected_production[Date],B1760)),"")</f>
        <v>15110.45</v>
      </c>
      <c r="E1760" s="9">
        <f t="shared" si="56"/>
        <v>1.1045997968293466</v>
      </c>
      <c r="F1760" t="str">
        <f t="shared" si="57"/>
        <v>Expected</v>
      </c>
      <c r="G1760" t="s">
        <v>874</v>
      </c>
    </row>
    <row r="1761" spans="1:6" ht="15" customHeight="1" x14ac:dyDescent="0.3">
      <c r="A1761" t="s">
        <v>216</v>
      </c>
      <c r="B1761" s="2">
        <v>46235</v>
      </c>
      <c r="C1761" t="str" cm="1">
        <f t="array" ref="C1761">IFERROR(IF(SUMPRODUCT((measured[Site Name]=A1761)*(measured[Date]=B1761)*ISNUMBER(measured[Measured Value (kWh)]))=0,"",SUMIFS(measured[Measured Value (kWh)],measured[Site Name],A1761,measured[Date],B1761)),"")</f>
        <v/>
      </c>
      <c r="D1761" cm="1">
        <f t="array" ref="D1761">IFERROR(IF(SUMPRODUCT((expected_production[Site Name]=A1761)*(expected_production[Date]=B1761)*ISNUMBER(expected_production[Expected Production (kWh)]))=0,"",SUMIFS(expected_production[Expected Production (kWh)],expected_production[Site Name],A1761,expected_production[Date],B1761)),"")</f>
        <v>7231.3548387096798</v>
      </c>
      <c r="E1761" s="9" t="str">
        <f t="shared" si="56"/>
        <v/>
      </c>
      <c r="F1761" t="str">
        <f t="shared" si="57"/>
        <v/>
      </c>
    </row>
    <row r="1762" spans="1:6" ht="15" customHeight="1" x14ac:dyDescent="0.3">
      <c r="A1762" t="s">
        <v>216</v>
      </c>
      <c r="B1762" s="2">
        <v>46266</v>
      </c>
      <c r="C1762" t="str" cm="1">
        <f t="array" ref="C1762">IFERROR(IF(SUMPRODUCT((measured[Site Name]=A1762)*(measured[Date]=B1762)*ISNUMBER(measured[Measured Value (kWh)]))=0,"",SUMIFS(measured[Measured Value (kWh)],measured[Site Name],A1762,measured[Date],B1762)),"")</f>
        <v/>
      </c>
      <c r="D1762" cm="1">
        <f t="array" ref="D1762">IFERROR(IF(SUMPRODUCT((expected_production[Site Name]=A1762)*(expected_production[Date]=B1762)*ISNUMBER(expected_production[Expected Production (kWh)]))=0,"",SUMIFS(expected_production[Expected Production (kWh)],expected_production[Site Name],A1762,expected_production[Date],B1762)),"")</f>
        <v>24780.6</v>
      </c>
      <c r="E1762" s="9" t="str">
        <f t="shared" si="56"/>
        <v/>
      </c>
      <c r="F1762" t="str">
        <f t="shared" si="57"/>
        <v/>
      </c>
    </row>
    <row r="1763" spans="1:6" ht="15" customHeight="1" x14ac:dyDescent="0.3">
      <c r="A1763" t="s">
        <v>216</v>
      </c>
      <c r="B1763" s="2">
        <v>46296</v>
      </c>
      <c r="C1763" t="str" cm="1">
        <f t="array" ref="C1763">IFERROR(IF(SUMPRODUCT((measured[Site Name]=A1763)*(measured[Date]=B1763)*ISNUMBER(measured[Measured Value (kWh)]))=0,"",SUMIFS(measured[Measured Value (kWh)],measured[Site Name],A1763,measured[Date],B1763)),"")</f>
        <v/>
      </c>
      <c r="D1763" cm="1">
        <f t="array" ref="D1763">IFERROR(IF(SUMPRODUCT((expected_production[Site Name]=A1763)*(expected_production[Date]=B1763)*ISNUMBER(expected_production[Expected Production (kWh)]))=0,"",SUMIFS(expected_production[Expected Production (kWh)],expected_production[Site Name],A1763,expected_production[Date],B1763)),"")</f>
        <v>28127.7</v>
      </c>
      <c r="E1763" s="9" t="str">
        <f t="shared" si="56"/>
        <v/>
      </c>
      <c r="F1763" t="str">
        <f t="shared" si="57"/>
        <v/>
      </c>
    </row>
    <row r="1764" spans="1:6" ht="15" customHeight="1" x14ac:dyDescent="0.3">
      <c r="A1764" t="s">
        <v>216</v>
      </c>
      <c r="B1764" s="2">
        <v>46327</v>
      </c>
      <c r="C1764" t="str" cm="1">
        <f t="array" ref="C1764">IFERROR(IF(SUMPRODUCT((measured[Site Name]=A1764)*(measured[Date]=B1764)*ISNUMBER(measured[Measured Value (kWh)]))=0,"",SUMIFS(measured[Measured Value (kWh)],measured[Site Name],A1764,measured[Date],B1764)),"")</f>
        <v/>
      </c>
      <c r="D1764" cm="1">
        <f t="array" ref="D1764">IFERROR(IF(SUMPRODUCT((expected_production[Site Name]=A1764)*(expected_production[Date]=B1764)*ISNUMBER(expected_production[Expected Production (kWh)]))=0,"",SUMIFS(expected_production[Expected Production (kWh)],expected_production[Site Name],A1764,expected_production[Date],B1764)),"")</f>
        <v>28061.1</v>
      </c>
      <c r="E1764" s="9" t="str">
        <f t="shared" si="56"/>
        <v/>
      </c>
      <c r="F1764" t="str">
        <f t="shared" si="57"/>
        <v/>
      </c>
    </row>
    <row r="1765" spans="1:6" ht="15" customHeight="1" x14ac:dyDescent="0.3">
      <c r="A1765" t="s">
        <v>216</v>
      </c>
      <c r="B1765" s="2">
        <v>46357</v>
      </c>
      <c r="C1765" t="str" cm="1">
        <f t="array" ref="C1765">IFERROR(IF(SUMPRODUCT((measured[Site Name]=A1765)*(measured[Date]=B1765)*ISNUMBER(measured[Measured Value (kWh)]))=0,"",SUMIFS(measured[Measured Value (kWh)],measured[Site Name],A1765,measured[Date],B1765)),"")</f>
        <v/>
      </c>
      <c r="D1765" cm="1">
        <f t="array" ref="D1765">IFERROR(IF(SUMPRODUCT((expected_production[Site Name]=A1765)*(expected_production[Date]=B1765)*ISNUMBER(expected_production[Expected Production (kWh)]))=0,"",SUMIFS(expected_production[Expected Production (kWh)],expected_production[Site Name],A1765,expected_production[Date],B1765)),"")</f>
        <v>28703.7</v>
      </c>
      <c r="E1765" s="9" t="str">
        <f t="shared" si="56"/>
        <v/>
      </c>
      <c r="F1765" t="str">
        <f t="shared" si="57"/>
        <v/>
      </c>
    </row>
    <row r="1766" spans="1:6" ht="15" customHeight="1" x14ac:dyDescent="0.3">
      <c r="A1766" t="s">
        <v>218</v>
      </c>
      <c r="B1766" s="2">
        <v>45292</v>
      </c>
      <c r="C1766" t="str" cm="1">
        <f t="array" ref="C1766">IFERROR(IF(SUMPRODUCT((measured[Site Name]=A1766)*(measured[Date]=B1766)*ISNUMBER(measured[Measured Value (kWh)]))=0,"",SUMIFS(measured[Measured Value (kWh)],measured[Site Name],A1766,measured[Date],B1766)),"")</f>
        <v/>
      </c>
      <c r="D1766" cm="1">
        <f t="array" ref="D1766">IFERROR(IF(SUMPRODUCT((expected_production[Site Name]=A1766)*(expected_production[Date]=B1766)*ISNUMBER(expected_production[Expected Production (kWh)]))=0,"",SUMIFS(expected_production[Expected Production (kWh)],expected_production[Site Name],A1766,expected_production[Date],B1766)),"")</f>
        <v>9601.92</v>
      </c>
      <c r="E1766" s="9" t="str">
        <f t="shared" si="56"/>
        <v/>
      </c>
      <c r="F1766" t="str">
        <f t="shared" si="57"/>
        <v/>
      </c>
    </row>
    <row r="1767" spans="1:6" ht="15" customHeight="1" x14ac:dyDescent="0.3">
      <c r="A1767" t="s">
        <v>218</v>
      </c>
      <c r="B1767" s="2">
        <v>45323</v>
      </c>
      <c r="C1767" t="str" cm="1">
        <f t="array" ref="C1767">IFERROR(IF(SUMPRODUCT((measured[Site Name]=A1767)*(measured[Date]=B1767)*ISNUMBER(measured[Measured Value (kWh)]))=0,"",SUMIFS(measured[Measured Value (kWh)],measured[Site Name],A1767,measured[Date],B1767)),"")</f>
        <v/>
      </c>
      <c r="D1767" cm="1">
        <f t="array" ref="D1767">IFERROR(IF(SUMPRODUCT((expected_production[Site Name]=A1767)*(expected_production[Date]=B1767)*ISNUMBER(expected_production[Expected Production (kWh)]))=0,"",SUMIFS(expected_production[Expected Production (kWh)],expected_production[Site Name],A1767,expected_production[Date],B1767)),"")</f>
        <v>8296.74</v>
      </c>
      <c r="E1767" s="9" t="str">
        <f t="shared" si="56"/>
        <v/>
      </c>
      <c r="F1767" t="str">
        <f t="shared" si="57"/>
        <v/>
      </c>
    </row>
    <row r="1768" spans="1:6" ht="15" customHeight="1" x14ac:dyDescent="0.3">
      <c r="A1768" t="s">
        <v>218</v>
      </c>
      <c r="B1768" s="2">
        <v>45352</v>
      </c>
      <c r="C1768" t="str" cm="1">
        <f t="array" ref="C1768">IFERROR(IF(SUMPRODUCT((measured[Site Name]=A1768)*(measured[Date]=B1768)*ISNUMBER(measured[Measured Value (kWh)]))=0,"",SUMIFS(measured[Measured Value (kWh)],measured[Site Name],A1768,measured[Date],B1768)),"")</f>
        <v/>
      </c>
      <c r="D1768" cm="1">
        <f t="array" ref="D1768">IFERROR(IF(SUMPRODUCT((expected_production[Site Name]=A1768)*(expected_production[Date]=B1768)*ISNUMBER(expected_production[Expected Production (kWh)]))=0,"",SUMIFS(expected_production[Expected Production (kWh)],expected_production[Site Name],A1768,expected_production[Date],B1768)),"")</f>
        <v>8140.5</v>
      </c>
      <c r="E1768" s="9" t="str">
        <f t="shared" si="56"/>
        <v/>
      </c>
      <c r="F1768" t="str">
        <f t="shared" si="57"/>
        <v/>
      </c>
    </row>
    <row r="1769" spans="1:6" ht="15" customHeight="1" x14ac:dyDescent="0.3">
      <c r="A1769" t="s">
        <v>218</v>
      </c>
      <c r="B1769" s="2">
        <v>45383</v>
      </c>
      <c r="C1769" t="str" cm="1">
        <f t="array" ref="C1769">IFERROR(IF(SUMPRODUCT((measured[Site Name]=A1769)*(measured[Date]=B1769)*ISNUMBER(measured[Measured Value (kWh)]))=0,"",SUMIFS(measured[Measured Value (kWh)],measured[Site Name],A1769,measured[Date],B1769)),"")</f>
        <v/>
      </c>
      <c r="D1769" cm="1">
        <f t="array" ref="D1769">IFERROR(IF(SUMPRODUCT((expected_production[Site Name]=A1769)*(expected_production[Date]=B1769)*ISNUMBER(expected_production[Expected Production (kWh)]))=0,"",SUMIFS(expected_production[Expected Production (kWh)],expected_production[Site Name],A1769,expected_production[Date],B1769)),"")</f>
        <v>7017.3</v>
      </c>
      <c r="E1769" s="9" t="str">
        <f t="shared" si="56"/>
        <v/>
      </c>
      <c r="F1769" t="str">
        <f t="shared" si="57"/>
        <v/>
      </c>
    </row>
    <row r="1770" spans="1:6" ht="15" customHeight="1" x14ac:dyDescent="0.3">
      <c r="A1770" t="s">
        <v>218</v>
      </c>
      <c r="B1770" s="2">
        <v>45413</v>
      </c>
      <c r="C1770" t="str" cm="1">
        <f t="array" ref="C1770">IFERROR(IF(SUMPRODUCT((measured[Site Name]=A1770)*(measured[Date]=B1770)*ISNUMBER(measured[Measured Value (kWh)]))=0,"",SUMIFS(measured[Measured Value (kWh)],measured[Site Name],A1770,measured[Date],B1770)),"")</f>
        <v/>
      </c>
      <c r="D1770" cm="1">
        <f t="array" ref="D1770">IFERROR(IF(SUMPRODUCT((expected_production[Site Name]=A1770)*(expected_production[Date]=B1770)*ISNUMBER(expected_production[Expected Production (kWh)]))=0,"",SUMIFS(expected_production[Expected Production (kWh)],expected_production[Site Name],A1770,expected_production[Date],B1770)),"")</f>
        <v>6430.32</v>
      </c>
      <c r="E1770" s="9" t="str">
        <f t="shared" si="56"/>
        <v/>
      </c>
      <c r="F1770" t="str">
        <f t="shared" si="57"/>
        <v/>
      </c>
    </row>
    <row r="1771" spans="1:6" ht="15" customHeight="1" x14ac:dyDescent="0.3">
      <c r="A1771" t="s">
        <v>218</v>
      </c>
      <c r="B1771" s="2">
        <v>45444</v>
      </c>
      <c r="C1771" t="str" cm="1">
        <f t="array" ref="C1771">IFERROR(IF(SUMPRODUCT((measured[Site Name]=A1771)*(measured[Date]=B1771)*ISNUMBER(measured[Measured Value (kWh)]))=0,"",SUMIFS(measured[Measured Value (kWh)],measured[Site Name],A1771,measured[Date],B1771)),"")</f>
        <v/>
      </c>
      <c r="D1771" cm="1">
        <f t="array" ref="D1771">IFERROR(IF(SUMPRODUCT((expected_production[Site Name]=A1771)*(expected_production[Date]=B1771)*ISNUMBER(expected_production[Expected Production (kWh)]))=0,"",SUMIFS(expected_production[Expected Production (kWh)],expected_production[Site Name],A1771,expected_production[Date],B1771)),"")</f>
        <v>5669.28</v>
      </c>
      <c r="E1771" s="9" t="str">
        <f t="shared" si="56"/>
        <v/>
      </c>
      <c r="F1771" t="str">
        <f t="shared" si="57"/>
        <v/>
      </c>
    </row>
    <row r="1772" spans="1:6" ht="15" customHeight="1" x14ac:dyDescent="0.3">
      <c r="A1772" t="s">
        <v>218</v>
      </c>
      <c r="B1772" s="2">
        <v>45474</v>
      </c>
      <c r="C1772" t="str" cm="1">
        <f t="array" ref="C1772">IFERROR(IF(SUMPRODUCT((measured[Site Name]=A1772)*(measured[Date]=B1772)*ISNUMBER(measured[Measured Value (kWh)]))=0,"",SUMIFS(measured[Measured Value (kWh)],measured[Site Name],A1772,measured[Date],B1772)),"")</f>
        <v/>
      </c>
      <c r="D1772" cm="1">
        <f t="array" ref="D1772">IFERROR(IF(SUMPRODUCT((expected_production[Site Name]=A1772)*(expected_production[Date]=B1772)*ISNUMBER(expected_production[Expected Production (kWh)]))=0,"",SUMIFS(expected_production[Expected Production (kWh)],expected_production[Site Name],A1772,expected_production[Date],B1772)),"")</f>
        <v>6247.44</v>
      </c>
      <c r="E1772" s="9" t="str">
        <f t="shared" si="56"/>
        <v/>
      </c>
      <c r="F1772" t="str">
        <f t="shared" si="57"/>
        <v/>
      </c>
    </row>
    <row r="1773" spans="1:6" ht="15" customHeight="1" x14ac:dyDescent="0.3">
      <c r="A1773" t="s">
        <v>218</v>
      </c>
      <c r="B1773" s="2">
        <v>45505</v>
      </c>
      <c r="C1773" t="str" cm="1">
        <f t="array" ref="C1773">IFERROR(IF(SUMPRODUCT((measured[Site Name]=A1773)*(measured[Date]=B1773)*ISNUMBER(measured[Measured Value (kWh)]))=0,"",SUMIFS(measured[Measured Value (kWh)],measured[Site Name],A1773,measured[Date],B1773)),"")</f>
        <v/>
      </c>
      <c r="D1773" cm="1">
        <f t="array" ref="D1773">IFERROR(IF(SUMPRODUCT((expected_production[Site Name]=A1773)*(expected_production[Date]=B1773)*ISNUMBER(expected_production[Expected Production (kWh)]))=0,"",SUMIFS(expected_production[Expected Production (kWh)],expected_production[Site Name],A1773,expected_production[Date],B1773)),"")</f>
        <v>2367.7838709677399</v>
      </c>
      <c r="E1773" s="9" t="str">
        <f t="shared" si="56"/>
        <v/>
      </c>
      <c r="F1773" t="str">
        <f t="shared" si="57"/>
        <v/>
      </c>
    </row>
    <row r="1774" spans="1:6" ht="15" customHeight="1" x14ac:dyDescent="0.3">
      <c r="A1774" t="s">
        <v>218</v>
      </c>
      <c r="B1774" s="2">
        <v>45536</v>
      </c>
      <c r="C1774" t="str" cm="1">
        <f t="array" ref="C1774">IFERROR(IF(SUMPRODUCT((measured[Site Name]=A1774)*(measured[Date]=B1774)*ISNUMBER(measured[Measured Value (kWh)]))=0,"",SUMIFS(measured[Measured Value (kWh)],measured[Site Name],A1774,measured[Date],B1774)),"")</f>
        <v/>
      </c>
      <c r="D1774" cm="1">
        <f t="array" ref="D1774">IFERROR(IF(SUMPRODUCT((expected_production[Site Name]=A1774)*(expected_production[Date]=B1774)*ISNUMBER(expected_production[Expected Production (kWh)]))=0,"",SUMIFS(expected_production[Expected Production (kWh)],expected_production[Site Name],A1774,expected_production[Date],B1774)),"")</f>
        <v>8154</v>
      </c>
      <c r="E1774" s="9" t="str">
        <f t="shared" si="56"/>
        <v/>
      </c>
      <c r="F1774" t="str">
        <f t="shared" si="57"/>
        <v/>
      </c>
    </row>
    <row r="1775" spans="1:6" ht="15" customHeight="1" x14ac:dyDescent="0.3">
      <c r="A1775" t="s">
        <v>218</v>
      </c>
      <c r="B1775" s="2">
        <v>45566</v>
      </c>
      <c r="C1775" t="str" cm="1">
        <f t="array" ref="C1775">IFERROR(IF(SUMPRODUCT((measured[Site Name]=A1775)*(measured[Date]=B1775)*ISNUMBER(measured[Measured Value (kWh)]))=0,"",SUMIFS(measured[Measured Value (kWh)],measured[Site Name],A1775,measured[Date],B1775)),"")</f>
        <v/>
      </c>
      <c r="D1775" cm="1">
        <f t="array" ref="D1775">IFERROR(IF(SUMPRODUCT((expected_production[Site Name]=A1775)*(expected_production[Date]=B1775)*ISNUMBER(expected_production[Expected Production (kWh)]))=0,"",SUMIFS(expected_production[Expected Production (kWh)],expected_production[Site Name],A1775,expected_production[Date],B1775)),"")</f>
        <v>9352.7999999999993</v>
      </c>
      <c r="E1775" s="9" t="str">
        <f t="shared" si="56"/>
        <v/>
      </c>
      <c r="F1775" t="str">
        <f t="shared" si="57"/>
        <v/>
      </c>
    </row>
    <row r="1776" spans="1:6" ht="15" customHeight="1" x14ac:dyDescent="0.3">
      <c r="A1776" t="s">
        <v>218</v>
      </c>
      <c r="B1776" s="2">
        <v>45597</v>
      </c>
      <c r="C1776" t="str" cm="1">
        <f t="array" ref="C1776">IFERROR(IF(SUMPRODUCT((measured[Site Name]=A1776)*(measured[Date]=B1776)*ISNUMBER(measured[Measured Value (kWh)]))=0,"",SUMIFS(measured[Measured Value (kWh)],measured[Site Name],A1776,measured[Date],B1776)),"")</f>
        <v/>
      </c>
      <c r="D1776" cm="1">
        <f t="array" ref="D1776">IFERROR(IF(SUMPRODUCT((expected_production[Site Name]=A1776)*(expected_production[Date]=B1776)*ISNUMBER(expected_production[Expected Production (kWh)]))=0,"",SUMIFS(expected_production[Expected Production (kWh)],expected_production[Site Name],A1776,expected_production[Date],B1776)),"")</f>
        <v>9353.7000000000007</v>
      </c>
      <c r="E1776" s="9" t="str">
        <f t="shared" si="56"/>
        <v/>
      </c>
      <c r="F1776" t="str">
        <f t="shared" si="57"/>
        <v/>
      </c>
    </row>
    <row r="1777" spans="1:6" ht="15" customHeight="1" x14ac:dyDescent="0.3">
      <c r="A1777" t="s">
        <v>218</v>
      </c>
      <c r="B1777" s="2">
        <v>45627</v>
      </c>
      <c r="C1777" t="str" cm="1">
        <f t="array" ref="C1777">IFERROR(IF(SUMPRODUCT((measured[Site Name]=A1777)*(measured[Date]=B1777)*ISNUMBER(measured[Measured Value (kWh)]))=0,"",SUMIFS(measured[Measured Value (kWh)],measured[Site Name],A1777,measured[Date],B1777)),"")</f>
        <v/>
      </c>
      <c r="D1777" cm="1">
        <f t="array" ref="D1777">IFERROR(IF(SUMPRODUCT((expected_production[Site Name]=A1777)*(expected_production[Date]=B1777)*ISNUMBER(expected_production[Expected Production (kWh)]))=0,"",SUMIFS(expected_production[Expected Production (kWh)],expected_production[Site Name],A1777,expected_production[Date],B1777)),"")</f>
        <v>9582.2999999999993</v>
      </c>
      <c r="E1777" s="9" t="str">
        <f t="shared" si="56"/>
        <v/>
      </c>
      <c r="F1777" t="str">
        <f t="shared" si="57"/>
        <v/>
      </c>
    </row>
    <row r="1778" spans="1:6" ht="15" customHeight="1" x14ac:dyDescent="0.3">
      <c r="A1778" t="s">
        <v>218</v>
      </c>
      <c r="B1778" s="2">
        <v>45658</v>
      </c>
      <c r="C1778" t="str" cm="1">
        <f t="array" ref="C1778">IFERROR(IF(SUMPRODUCT((measured[Site Name]=A1778)*(measured[Date]=B1778)*ISNUMBER(measured[Measured Value (kWh)]))=0,"",SUMIFS(measured[Measured Value (kWh)],measured[Site Name],A1778,measured[Date],B1778)),"")</f>
        <v/>
      </c>
      <c r="D1778" cm="1">
        <f t="array" ref="D1778">IFERROR(IF(SUMPRODUCT((expected_production[Site Name]=A1778)*(expected_production[Date]=B1778)*ISNUMBER(expected_production[Expected Production (kWh)]))=0,"",SUMIFS(expected_production[Expected Production (kWh)],expected_production[Site Name],A1778,expected_production[Date],B1778)),"")</f>
        <v>9601.92</v>
      </c>
      <c r="E1778" s="9" t="str">
        <f t="shared" si="56"/>
        <v/>
      </c>
      <c r="F1778" t="str">
        <f t="shared" si="57"/>
        <v/>
      </c>
    </row>
    <row r="1779" spans="1:6" ht="15" customHeight="1" x14ac:dyDescent="0.3">
      <c r="A1779" t="s">
        <v>218</v>
      </c>
      <c r="B1779" s="2">
        <v>45689</v>
      </c>
      <c r="C1779" t="str" cm="1">
        <f t="array" ref="C1779">IFERROR(IF(SUMPRODUCT((measured[Site Name]=A1779)*(measured[Date]=B1779)*ISNUMBER(measured[Measured Value (kWh)]))=0,"",SUMIFS(measured[Measured Value (kWh)],measured[Site Name],A1779,measured[Date],B1779)),"")</f>
        <v/>
      </c>
      <c r="D1779" cm="1">
        <f t="array" ref="D1779">IFERROR(IF(SUMPRODUCT((expected_production[Site Name]=A1779)*(expected_production[Date]=B1779)*ISNUMBER(expected_production[Expected Production (kWh)]))=0,"",SUMIFS(expected_production[Expected Production (kWh)],expected_production[Site Name],A1779,expected_production[Date],B1779)),"")</f>
        <v>8296.74</v>
      </c>
      <c r="E1779" s="9" t="str">
        <f t="shared" si="56"/>
        <v/>
      </c>
      <c r="F1779" t="str">
        <f t="shared" si="57"/>
        <v/>
      </c>
    </row>
    <row r="1780" spans="1:6" ht="15" customHeight="1" x14ac:dyDescent="0.3">
      <c r="A1780" t="s">
        <v>218</v>
      </c>
      <c r="B1780" s="2">
        <v>45717</v>
      </c>
      <c r="C1780" t="str" cm="1">
        <f t="array" ref="C1780">IFERROR(IF(SUMPRODUCT((measured[Site Name]=A1780)*(measured[Date]=B1780)*ISNUMBER(measured[Measured Value (kWh)]))=0,"",SUMIFS(measured[Measured Value (kWh)],measured[Site Name],A1780,measured[Date],B1780)),"")</f>
        <v/>
      </c>
      <c r="D1780" cm="1">
        <f t="array" ref="D1780">IFERROR(IF(SUMPRODUCT((expected_production[Site Name]=A1780)*(expected_production[Date]=B1780)*ISNUMBER(expected_production[Expected Production (kWh)]))=0,"",SUMIFS(expected_production[Expected Production (kWh)],expected_production[Site Name],A1780,expected_production[Date],B1780)),"")</f>
        <v>8140.5</v>
      </c>
      <c r="E1780" s="9" t="str">
        <f t="shared" si="56"/>
        <v/>
      </c>
      <c r="F1780" t="str">
        <f t="shared" si="57"/>
        <v/>
      </c>
    </row>
    <row r="1781" spans="1:6" ht="15" customHeight="1" x14ac:dyDescent="0.3">
      <c r="A1781" t="s">
        <v>218</v>
      </c>
      <c r="B1781" s="2">
        <v>45748</v>
      </c>
      <c r="C1781" t="str" cm="1">
        <f t="array" ref="C1781">IFERROR(IF(SUMPRODUCT((measured[Site Name]=A1781)*(measured[Date]=B1781)*ISNUMBER(measured[Measured Value (kWh)]))=0,"",SUMIFS(measured[Measured Value (kWh)],measured[Site Name],A1781,measured[Date],B1781)),"")</f>
        <v/>
      </c>
      <c r="D1781" cm="1">
        <f t="array" ref="D1781">IFERROR(IF(SUMPRODUCT((expected_production[Site Name]=A1781)*(expected_production[Date]=B1781)*ISNUMBER(expected_production[Expected Production (kWh)]))=0,"",SUMIFS(expected_production[Expected Production (kWh)],expected_production[Site Name],A1781,expected_production[Date],B1781)),"")</f>
        <v>7017.3</v>
      </c>
      <c r="E1781" s="9" t="str">
        <f t="shared" si="56"/>
        <v/>
      </c>
      <c r="F1781" t="str">
        <f t="shared" si="57"/>
        <v/>
      </c>
    </row>
    <row r="1782" spans="1:6" ht="15" customHeight="1" x14ac:dyDescent="0.3">
      <c r="A1782" t="s">
        <v>218</v>
      </c>
      <c r="B1782" s="2">
        <v>45778</v>
      </c>
      <c r="C1782" t="str" cm="1">
        <f t="array" ref="C1782">IFERROR(IF(SUMPRODUCT((measured[Site Name]=A1782)*(measured[Date]=B1782)*ISNUMBER(measured[Measured Value (kWh)]))=0,"",SUMIFS(measured[Measured Value (kWh)],measured[Site Name],A1782,measured[Date],B1782)),"")</f>
        <v/>
      </c>
      <c r="D1782" cm="1">
        <f t="array" ref="D1782">IFERROR(IF(SUMPRODUCT((expected_production[Site Name]=A1782)*(expected_production[Date]=B1782)*ISNUMBER(expected_production[Expected Production (kWh)]))=0,"",SUMIFS(expected_production[Expected Production (kWh)],expected_production[Site Name],A1782,expected_production[Date],B1782)),"")</f>
        <v>6430.32</v>
      </c>
      <c r="E1782" s="9" t="str">
        <f t="shared" si="56"/>
        <v/>
      </c>
      <c r="F1782" t="str">
        <f t="shared" si="57"/>
        <v/>
      </c>
    </row>
    <row r="1783" spans="1:6" ht="15" customHeight="1" x14ac:dyDescent="0.3">
      <c r="A1783" t="s">
        <v>218</v>
      </c>
      <c r="B1783" s="2">
        <v>45809</v>
      </c>
      <c r="C1783" t="str" cm="1">
        <f t="array" ref="C1783">IFERROR(IF(SUMPRODUCT((measured[Site Name]=A1783)*(measured[Date]=B1783)*ISNUMBER(measured[Measured Value (kWh)]))=0,"",SUMIFS(measured[Measured Value (kWh)],measured[Site Name],A1783,measured[Date],B1783)),"")</f>
        <v/>
      </c>
      <c r="D1783" cm="1">
        <f t="array" ref="D1783">IFERROR(IF(SUMPRODUCT((expected_production[Site Name]=A1783)*(expected_production[Date]=B1783)*ISNUMBER(expected_production[Expected Production (kWh)]))=0,"",SUMIFS(expected_production[Expected Production (kWh)],expected_production[Site Name],A1783,expected_production[Date],B1783)),"")</f>
        <v>5669.28</v>
      </c>
      <c r="E1783" s="9" t="str">
        <f t="shared" si="56"/>
        <v/>
      </c>
      <c r="F1783" t="str">
        <f t="shared" si="57"/>
        <v/>
      </c>
    </row>
    <row r="1784" spans="1:6" ht="15" customHeight="1" x14ac:dyDescent="0.3">
      <c r="A1784" t="s">
        <v>218</v>
      </c>
      <c r="B1784" s="2">
        <v>45839</v>
      </c>
      <c r="C1784" t="str" cm="1">
        <f t="array" ref="C1784">IFERROR(IF(SUMPRODUCT((measured[Site Name]=A1784)*(measured[Date]=B1784)*ISNUMBER(measured[Measured Value (kWh)]))=0,"",SUMIFS(measured[Measured Value (kWh)],measured[Site Name],A1784,measured[Date],B1784)),"")</f>
        <v/>
      </c>
      <c r="D1784" cm="1">
        <f t="array" ref="D1784">IFERROR(IF(SUMPRODUCT((expected_production[Site Name]=A1784)*(expected_production[Date]=B1784)*ISNUMBER(expected_production[Expected Production (kWh)]))=0,"",SUMIFS(expected_production[Expected Production (kWh)],expected_production[Site Name],A1784,expected_production[Date],B1784)),"")</f>
        <v>6247.44</v>
      </c>
      <c r="E1784" s="9" t="str">
        <f t="shared" si="56"/>
        <v/>
      </c>
      <c r="F1784" t="str">
        <f t="shared" si="57"/>
        <v/>
      </c>
    </row>
    <row r="1785" spans="1:6" ht="15" customHeight="1" x14ac:dyDescent="0.3">
      <c r="A1785" t="s">
        <v>218</v>
      </c>
      <c r="B1785" s="2">
        <v>45870</v>
      </c>
      <c r="C1785" cm="1">
        <f t="array" ref="C1785">IFERROR(IF(SUMPRODUCT((measured[Site Name]=A1785)*(measured[Date]=B1785)*ISNUMBER(measured[Measured Value (kWh)]))=0,"",SUMIFS(measured[Measured Value (kWh)],measured[Site Name],A1785,measured[Date],B1785)),"")</f>
        <v>2512</v>
      </c>
      <c r="D1785" cm="1">
        <f t="array" ref="D1785">IFERROR(IF(SUMPRODUCT((expected_production[Site Name]=A1785)*(expected_production[Date]=B1785)*ISNUMBER(expected_production[Expected Production (kWh)]))=0,"",SUMIFS(expected_production[Expected Production (kWh)],expected_production[Site Name],A1785,expected_production[Date],B1785)),"")</f>
        <v>2367.7838709677399</v>
      </c>
      <c r="E1785" s="9">
        <f t="shared" si="56"/>
        <v>1.0609076406003717</v>
      </c>
      <c r="F1785" t="str">
        <f t="shared" si="57"/>
        <v>Expected</v>
      </c>
    </row>
    <row r="1786" spans="1:6" ht="15" customHeight="1" x14ac:dyDescent="0.3">
      <c r="A1786" t="s">
        <v>218</v>
      </c>
      <c r="B1786" s="2">
        <v>45901</v>
      </c>
      <c r="C1786" cm="1">
        <f t="array" ref="C1786">IFERROR(IF(SUMPRODUCT((measured[Site Name]=A1786)*(measured[Date]=B1786)*ISNUMBER(measured[Measured Value (kWh)]))=0,"",SUMIFS(measured[Measured Value (kWh)],measured[Site Name],A1786,measured[Date],B1786)),"")</f>
        <v>7570</v>
      </c>
      <c r="D1786" cm="1">
        <f t="array" ref="D1786">IFERROR(IF(SUMPRODUCT((expected_production[Site Name]=A1786)*(expected_production[Date]=B1786)*ISNUMBER(expected_production[Expected Production (kWh)]))=0,"",SUMIFS(expected_production[Expected Production (kWh)],expected_production[Site Name],A1786,expected_production[Date],B1786)),"")</f>
        <v>8154</v>
      </c>
      <c r="E1786" s="9">
        <f t="shared" si="56"/>
        <v>0.92837870983566351</v>
      </c>
      <c r="F1786" t="str">
        <f t="shared" si="57"/>
        <v>Expected</v>
      </c>
    </row>
    <row r="1787" spans="1:6" ht="15" customHeight="1" x14ac:dyDescent="0.3">
      <c r="A1787" t="s">
        <v>218</v>
      </c>
      <c r="B1787" s="2">
        <v>45931</v>
      </c>
      <c r="C1787" cm="1">
        <f t="array" ref="C1787">IFERROR(IF(SUMPRODUCT((measured[Site Name]=A1787)*(measured[Date]=B1787)*ISNUMBER(measured[Measured Value (kWh)]))=0,"",SUMIFS(measured[Measured Value (kWh)],measured[Site Name],A1787,measured[Date],B1787)),"")</f>
        <v>8856</v>
      </c>
      <c r="D1787" cm="1">
        <f t="array" ref="D1787">IFERROR(IF(SUMPRODUCT((expected_production[Site Name]=A1787)*(expected_production[Date]=B1787)*ISNUMBER(expected_production[Expected Production (kWh)]))=0,"",SUMIFS(expected_production[Expected Production (kWh)],expected_production[Site Name],A1787,expected_production[Date],B1787)),"")</f>
        <v>9352.7999999999993</v>
      </c>
      <c r="E1787" s="9">
        <f t="shared" si="56"/>
        <v>0.94688221709006937</v>
      </c>
      <c r="F1787" t="str">
        <f t="shared" si="57"/>
        <v>Expected</v>
      </c>
    </row>
    <row r="1788" spans="1:6" ht="15" customHeight="1" x14ac:dyDescent="0.3">
      <c r="A1788" t="s">
        <v>218</v>
      </c>
      <c r="B1788" s="2">
        <v>45962</v>
      </c>
      <c r="C1788" cm="1">
        <f t="array" ref="C1788">IFERROR(IF(SUMPRODUCT((measured[Site Name]=A1788)*(measured[Date]=B1788)*ISNUMBER(measured[Measured Value (kWh)]))=0,"",SUMIFS(measured[Measured Value (kWh)],measured[Site Name],A1788,measured[Date],B1788)),"")</f>
        <v>7508</v>
      </c>
      <c r="D1788" cm="1">
        <f t="array" ref="D1788">IFERROR(IF(SUMPRODUCT((expected_production[Site Name]=A1788)*(expected_production[Date]=B1788)*ISNUMBER(expected_production[Expected Production (kWh)]))=0,"",SUMIFS(expected_production[Expected Production (kWh)],expected_production[Site Name],A1788,expected_production[Date],B1788)),"")</f>
        <v>9353.7000000000007</v>
      </c>
      <c r="E1788" s="9">
        <f t="shared" ref="E1788:E1851" si="58">IF(OR(C1788="",D1788="",D1788=0),"",C1788/D1788)</f>
        <v>0.80267701551257786</v>
      </c>
      <c r="F1788" t="str">
        <f t="shared" ref="F1788:F1851" si="59">IF(E1788="","",IF(E1788&gt;=0.9,"Expected",IF(E1788&gt;=0.7,"Moderate","Poor")))</f>
        <v>Moderate</v>
      </c>
    </row>
    <row r="1789" spans="1:6" ht="15" customHeight="1" x14ac:dyDescent="0.3">
      <c r="A1789" t="s">
        <v>218</v>
      </c>
      <c r="B1789" s="2">
        <v>45992</v>
      </c>
      <c r="C1789" cm="1">
        <f t="array" ref="C1789">IFERROR(IF(SUMPRODUCT((measured[Site Name]=A1789)*(measured[Date]=B1789)*ISNUMBER(measured[Measured Value (kWh)]))=0,"",SUMIFS(measured[Measured Value (kWh)],measured[Site Name],A1789,measured[Date],B1789)),"")</f>
        <v>9313</v>
      </c>
      <c r="D1789" cm="1">
        <f t="array" ref="D1789">IFERROR(IF(SUMPRODUCT((expected_production[Site Name]=A1789)*(expected_production[Date]=B1789)*ISNUMBER(expected_production[Expected Production (kWh)]))=0,"",SUMIFS(expected_production[Expected Production (kWh)],expected_production[Site Name],A1789,expected_production[Date],B1789)),"")</f>
        <v>9582.2999999999993</v>
      </c>
      <c r="E1789" s="9">
        <f t="shared" si="58"/>
        <v>0.9718961001012284</v>
      </c>
      <c r="F1789" t="str">
        <f t="shared" si="59"/>
        <v>Expected</v>
      </c>
    </row>
    <row r="1790" spans="1:6" ht="15" customHeight="1" x14ac:dyDescent="0.3">
      <c r="A1790" t="s">
        <v>218</v>
      </c>
      <c r="B1790" s="2">
        <v>46023</v>
      </c>
      <c r="C1790" cm="1">
        <f t="array" ref="C1790">IFERROR(IF(SUMPRODUCT((measured[Site Name]=A1790)*(measured[Date]=B1790)*ISNUMBER(measured[Measured Value (kWh)]))=0,"",SUMIFS(measured[Measured Value (kWh)],measured[Site Name],A1790,measured[Date],B1790)),"")</f>
        <v>9484</v>
      </c>
      <c r="D1790" cm="1">
        <f t="array" ref="D1790">IFERROR(IF(SUMPRODUCT((expected_production[Site Name]=A1790)*(expected_production[Date]=B1790)*ISNUMBER(expected_production[Expected Production (kWh)]))=0,"",SUMIFS(expected_production[Expected Production (kWh)],expected_production[Site Name],A1790,expected_production[Date],B1790)),"")</f>
        <v>9601.92</v>
      </c>
      <c r="E1790" s="9">
        <f t="shared" si="58"/>
        <v>0.98771912284209828</v>
      </c>
      <c r="F1790" t="str">
        <f t="shared" si="59"/>
        <v>Expected</v>
      </c>
    </row>
    <row r="1791" spans="1:6" ht="15" customHeight="1" x14ac:dyDescent="0.3">
      <c r="A1791" t="s">
        <v>218</v>
      </c>
      <c r="B1791" s="2">
        <v>46054</v>
      </c>
      <c r="C1791" cm="1">
        <f t="array" ref="C1791">IFERROR(IF(SUMPRODUCT((measured[Site Name]=A1791)*(measured[Date]=B1791)*ISNUMBER(measured[Measured Value (kWh)]))=0,"",SUMIFS(measured[Measured Value (kWh)],measured[Site Name],A1791,measured[Date],B1791)),"")</f>
        <v>8425.7999999999993</v>
      </c>
      <c r="D1791" cm="1">
        <f t="array" ref="D1791">IFERROR(IF(SUMPRODUCT((expected_production[Site Name]=A1791)*(expected_production[Date]=B1791)*ISNUMBER(expected_production[Expected Production (kWh)]))=0,"",SUMIFS(expected_production[Expected Production (kWh)],expected_production[Site Name],A1791,expected_production[Date],B1791)),"")</f>
        <v>8296.74</v>
      </c>
      <c r="E1791" s="9">
        <f t="shared" si="58"/>
        <v>1.0155555073438483</v>
      </c>
      <c r="F1791" t="str">
        <f t="shared" si="59"/>
        <v>Expected</v>
      </c>
    </row>
    <row r="1792" spans="1:6" ht="15" customHeight="1" x14ac:dyDescent="0.3">
      <c r="A1792" t="s">
        <v>218</v>
      </c>
      <c r="B1792" s="2">
        <v>46082</v>
      </c>
      <c r="C1792" cm="1">
        <f t="array" ref="C1792">IFERROR(IF(SUMPRODUCT((measured[Site Name]=A1792)*(measured[Date]=B1792)*ISNUMBER(measured[Measured Value (kWh)]))=0,"",SUMIFS(measured[Measured Value (kWh)],measured[Site Name],A1792,measured[Date],B1792)),"")</f>
        <v>7083</v>
      </c>
      <c r="D1792" cm="1">
        <f t="array" ref="D1792">IFERROR(IF(SUMPRODUCT((expected_production[Site Name]=A1792)*(expected_production[Date]=B1792)*ISNUMBER(expected_production[Expected Production (kWh)]))=0,"",SUMIFS(expected_production[Expected Production (kWh)],expected_production[Site Name],A1792,expected_production[Date],B1792)),"")</f>
        <v>8140.5</v>
      </c>
      <c r="E1792" s="9">
        <f t="shared" si="58"/>
        <v>0.87009397457158655</v>
      </c>
      <c r="F1792" t="str">
        <f t="shared" si="59"/>
        <v>Moderate</v>
      </c>
    </row>
    <row r="1793" spans="1:7" ht="15" customHeight="1" x14ac:dyDescent="0.3">
      <c r="A1793" t="s">
        <v>218</v>
      </c>
      <c r="B1793" s="2">
        <v>46113</v>
      </c>
      <c r="C1793" cm="1">
        <f t="array" ref="C1793">IFERROR(IF(SUMPRODUCT((measured[Site Name]=A1793)*(measured[Date]=B1793)*ISNUMBER(measured[Measured Value (kWh)]))=0,"",SUMIFS(measured[Measured Value (kWh)],measured[Site Name],A1793,measured[Date],B1793)),"")</f>
        <v>6207.8</v>
      </c>
      <c r="D1793" cm="1">
        <f t="array" ref="D1793">IFERROR(IF(SUMPRODUCT((expected_production[Site Name]=A1793)*(expected_production[Date]=B1793)*ISNUMBER(expected_production[Expected Production (kWh)]))=0,"",SUMIFS(expected_production[Expected Production (kWh)],expected_production[Site Name],A1793,expected_production[Date],B1793)),"")</f>
        <v>7017.3</v>
      </c>
      <c r="E1793" s="9">
        <f t="shared" si="58"/>
        <v>0.88464224131788582</v>
      </c>
      <c r="F1793" t="str">
        <f t="shared" si="59"/>
        <v>Moderate</v>
      </c>
    </row>
    <row r="1794" spans="1:7" ht="15" customHeight="1" x14ac:dyDescent="0.3">
      <c r="A1794" t="s">
        <v>218</v>
      </c>
      <c r="B1794" s="2">
        <v>46143</v>
      </c>
      <c r="C1794" cm="1">
        <f t="array" ref="C1794">IFERROR(IF(SUMPRODUCT((measured[Site Name]=A1794)*(measured[Date]=B1794)*ISNUMBER(measured[Measured Value (kWh)]))=0,"",SUMIFS(measured[Measured Value (kWh)],measured[Site Name],A1794,measured[Date],B1794)),"")</f>
        <v>6478.04</v>
      </c>
      <c r="D1794" cm="1">
        <f t="array" ref="D1794">IFERROR(IF(SUMPRODUCT((expected_production[Site Name]=A1794)*(expected_production[Date]=B1794)*ISNUMBER(expected_production[Expected Production (kWh)]))=0,"",SUMIFS(expected_production[Expected Production (kWh)],expected_production[Site Name],A1794,expected_production[Date],B1794)),"")</f>
        <v>6430.32</v>
      </c>
      <c r="E1794" s="9">
        <f t="shared" si="58"/>
        <v>1.0074210925739311</v>
      </c>
      <c r="F1794" t="str">
        <f t="shared" si="59"/>
        <v>Expected</v>
      </c>
    </row>
    <row r="1795" spans="1:7" ht="15" customHeight="1" x14ac:dyDescent="0.3">
      <c r="A1795" t="s">
        <v>218</v>
      </c>
      <c r="B1795" s="2">
        <v>46174</v>
      </c>
      <c r="C1795" cm="1">
        <f t="array" ref="C1795">IFERROR(IF(SUMPRODUCT((measured[Site Name]=A1795)*(measured[Date]=B1795)*ISNUMBER(measured[Measured Value (kWh)]))=0,"",SUMIFS(measured[Measured Value (kWh)],measured[Site Name],A1795,measured[Date],B1795)),"")</f>
        <v>4827</v>
      </c>
      <c r="D1795" cm="1">
        <f t="array" ref="D1795">IFERROR(IF(SUMPRODUCT((expected_production[Site Name]=A1795)*(expected_production[Date]=B1795)*ISNUMBER(expected_production[Expected Production (kWh)]))=0,"",SUMIFS(expected_production[Expected Production (kWh)],expected_production[Site Name],A1795,expected_production[Date],B1795)),"")</f>
        <v>5669.28</v>
      </c>
      <c r="E1795" s="9">
        <f t="shared" si="58"/>
        <v>0.85143086952840574</v>
      </c>
      <c r="F1795" t="str">
        <f t="shared" si="59"/>
        <v>Moderate</v>
      </c>
    </row>
    <row r="1796" spans="1:7" ht="15" customHeight="1" x14ac:dyDescent="0.3">
      <c r="A1796" t="s">
        <v>244</v>
      </c>
      <c r="B1796" s="2">
        <v>46204</v>
      </c>
      <c r="C1796" cm="1">
        <f t="array" ref="C1796">IFERROR(IF(SUMPRODUCT((measured[Site Name]=A1796)*(measured[Date]=B1796)*ISNUMBER(measured[Measured Value (kWh)]))=0,"",SUMIFS(measured[Measured Value (kWh)],measured[Site Name],A1796,measured[Date],B1796)),"")</f>
        <v>10570</v>
      </c>
      <c r="D1796" cm="1">
        <f t="array" ref="D1796">IFERROR(IF(SUMPRODUCT((expected_production[Site Name]=A1796)*(expected_production[Date]=B1796)*ISNUMBER(expected_production[Expected Production (kWh)]))=0,"",SUMIFS(expected_production[Expected Production (kWh)],expected_production[Site Name],A1796,expected_production[Date],B1796)),"")</f>
        <v>16827</v>
      </c>
      <c r="E1796" s="9">
        <f t="shared" si="58"/>
        <v>0.62815712842455573</v>
      </c>
      <c r="F1796" t="str">
        <f t="shared" si="59"/>
        <v>Poor</v>
      </c>
      <c r="G1796" t="s">
        <v>874</v>
      </c>
    </row>
    <row r="1797" spans="1:7" ht="15" customHeight="1" x14ac:dyDescent="0.3">
      <c r="A1797" t="s">
        <v>218</v>
      </c>
      <c r="B1797" s="2">
        <v>46235</v>
      </c>
      <c r="C1797" t="str" cm="1">
        <f t="array" ref="C1797">IFERROR(IF(SUMPRODUCT((measured[Site Name]=A1797)*(measured[Date]=B1797)*ISNUMBER(measured[Measured Value (kWh)]))=0,"",SUMIFS(measured[Measured Value (kWh)],measured[Site Name],A1797,measured[Date],B1797)),"")</f>
        <v/>
      </c>
      <c r="D1797" cm="1">
        <f t="array" ref="D1797">IFERROR(IF(SUMPRODUCT((expected_production[Site Name]=A1797)*(expected_production[Date]=B1797)*ISNUMBER(expected_production[Expected Production (kWh)]))=0,"",SUMIFS(expected_production[Expected Production (kWh)],expected_production[Site Name],A1797,expected_production[Date],B1797)),"")</f>
        <v>2367.7838709677399</v>
      </c>
      <c r="E1797" s="9" t="str">
        <f t="shared" si="58"/>
        <v/>
      </c>
      <c r="F1797" t="str">
        <f t="shared" si="59"/>
        <v/>
      </c>
    </row>
    <row r="1798" spans="1:7" ht="15" customHeight="1" x14ac:dyDescent="0.3">
      <c r="A1798" t="s">
        <v>218</v>
      </c>
      <c r="B1798" s="2">
        <v>46266</v>
      </c>
      <c r="C1798" t="str" cm="1">
        <f t="array" ref="C1798">IFERROR(IF(SUMPRODUCT((measured[Site Name]=A1798)*(measured[Date]=B1798)*ISNUMBER(measured[Measured Value (kWh)]))=0,"",SUMIFS(measured[Measured Value (kWh)],measured[Site Name],A1798,measured[Date],B1798)),"")</f>
        <v/>
      </c>
      <c r="D1798" cm="1">
        <f t="array" ref="D1798">IFERROR(IF(SUMPRODUCT((expected_production[Site Name]=A1798)*(expected_production[Date]=B1798)*ISNUMBER(expected_production[Expected Production (kWh)]))=0,"",SUMIFS(expected_production[Expected Production (kWh)],expected_production[Site Name],A1798,expected_production[Date],B1798)),"")</f>
        <v>8154</v>
      </c>
      <c r="E1798" s="9" t="str">
        <f t="shared" si="58"/>
        <v/>
      </c>
      <c r="F1798" t="str">
        <f t="shared" si="59"/>
        <v/>
      </c>
    </row>
    <row r="1799" spans="1:7" ht="15" customHeight="1" x14ac:dyDescent="0.3">
      <c r="A1799" t="s">
        <v>218</v>
      </c>
      <c r="B1799" s="2">
        <v>46296</v>
      </c>
      <c r="C1799" t="str" cm="1">
        <f t="array" ref="C1799">IFERROR(IF(SUMPRODUCT((measured[Site Name]=A1799)*(measured[Date]=B1799)*ISNUMBER(measured[Measured Value (kWh)]))=0,"",SUMIFS(measured[Measured Value (kWh)],measured[Site Name],A1799,measured[Date],B1799)),"")</f>
        <v/>
      </c>
      <c r="D1799" cm="1">
        <f t="array" ref="D1799">IFERROR(IF(SUMPRODUCT((expected_production[Site Name]=A1799)*(expected_production[Date]=B1799)*ISNUMBER(expected_production[Expected Production (kWh)]))=0,"",SUMIFS(expected_production[Expected Production (kWh)],expected_production[Site Name],A1799,expected_production[Date],B1799)),"")</f>
        <v>9352.7999999999993</v>
      </c>
      <c r="E1799" s="9" t="str">
        <f t="shared" si="58"/>
        <v/>
      </c>
      <c r="F1799" t="str">
        <f t="shared" si="59"/>
        <v/>
      </c>
    </row>
    <row r="1800" spans="1:7" ht="15" customHeight="1" x14ac:dyDescent="0.3">
      <c r="A1800" t="s">
        <v>218</v>
      </c>
      <c r="B1800" s="2">
        <v>46327</v>
      </c>
      <c r="C1800" t="str" cm="1">
        <f t="array" ref="C1800">IFERROR(IF(SUMPRODUCT((measured[Site Name]=A1800)*(measured[Date]=B1800)*ISNUMBER(measured[Measured Value (kWh)]))=0,"",SUMIFS(measured[Measured Value (kWh)],measured[Site Name],A1800,measured[Date],B1800)),"")</f>
        <v/>
      </c>
      <c r="D1800" cm="1">
        <f t="array" ref="D1800">IFERROR(IF(SUMPRODUCT((expected_production[Site Name]=A1800)*(expected_production[Date]=B1800)*ISNUMBER(expected_production[Expected Production (kWh)]))=0,"",SUMIFS(expected_production[Expected Production (kWh)],expected_production[Site Name],A1800,expected_production[Date],B1800)),"")</f>
        <v>9353.7000000000007</v>
      </c>
      <c r="E1800" s="9" t="str">
        <f t="shared" si="58"/>
        <v/>
      </c>
      <c r="F1800" t="str">
        <f t="shared" si="59"/>
        <v/>
      </c>
    </row>
    <row r="1801" spans="1:7" ht="15" customHeight="1" x14ac:dyDescent="0.3">
      <c r="A1801" t="s">
        <v>218</v>
      </c>
      <c r="B1801" s="2">
        <v>46357</v>
      </c>
      <c r="C1801" t="str" cm="1">
        <f t="array" ref="C1801">IFERROR(IF(SUMPRODUCT((measured[Site Name]=A1801)*(measured[Date]=B1801)*ISNUMBER(measured[Measured Value (kWh)]))=0,"",SUMIFS(measured[Measured Value (kWh)],measured[Site Name],A1801,measured[Date],B1801)),"")</f>
        <v/>
      </c>
      <c r="D1801" cm="1">
        <f t="array" ref="D1801">IFERROR(IF(SUMPRODUCT((expected_production[Site Name]=A1801)*(expected_production[Date]=B1801)*ISNUMBER(expected_production[Expected Production (kWh)]))=0,"",SUMIFS(expected_production[Expected Production (kWh)],expected_production[Site Name],A1801,expected_production[Date],B1801)),"")</f>
        <v>9582.2999999999993</v>
      </c>
      <c r="E1801" s="9" t="str">
        <f t="shared" si="58"/>
        <v/>
      </c>
      <c r="F1801" t="str">
        <f t="shared" si="59"/>
        <v/>
      </c>
    </row>
    <row r="1802" spans="1:7" ht="15" customHeight="1" x14ac:dyDescent="0.3">
      <c r="A1802" t="s">
        <v>163</v>
      </c>
      <c r="B1802" s="2">
        <v>45292</v>
      </c>
      <c r="C1802" cm="1">
        <f t="array" ref="C1802">IFERROR(IF(SUMPRODUCT((measured[Site Name]=A1802)*(measured[Date]=B1802)*ISNUMBER(measured[Measured Value (kWh)]))=0,"",SUMIFS(measured[Measured Value (kWh)],measured[Site Name],A1802,measured[Date],B1802)),"")</f>
        <v>1720</v>
      </c>
      <c r="D1802" cm="1">
        <f t="array" ref="D1802">IFERROR(IF(SUMPRODUCT((expected_production[Site Name]=A1802)*(expected_production[Date]=B1802)*ISNUMBER(expected_production[Expected Production (kWh)]))=0,"",SUMIFS(expected_production[Expected Production (kWh)],expected_production[Site Name],A1802,expected_production[Date],B1802)),"")</f>
        <v>5191.4789549999996</v>
      </c>
      <c r="E1802" s="9">
        <f t="shared" si="58"/>
        <v>0.33131213954810301</v>
      </c>
      <c r="F1802" t="str">
        <f t="shared" si="59"/>
        <v>Poor</v>
      </c>
    </row>
    <row r="1803" spans="1:7" ht="15" customHeight="1" x14ac:dyDescent="0.3">
      <c r="A1803" t="s">
        <v>163</v>
      </c>
      <c r="B1803" s="2">
        <v>45323</v>
      </c>
      <c r="C1803" cm="1">
        <f t="array" ref="C1803">IFERROR(IF(SUMPRODUCT((measured[Site Name]=A1803)*(measured[Date]=B1803)*ISNUMBER(measured[Measured Value (kWh)]))=0,"",SUMIFS(measured[Measured Value (kWh)],measured[Site Name],A1803,measured[Date],B1803)),"")</f>
        <v>1864</v>
      </c>
      <c r="D1803" cm="1">
        <f t="array" ref="D1803">IFERROR(IF(SUMPRODUCT((expected_production[Site Name]=A1803)*(expected_production[Date]=B1803)*ISNUMBER(expected_production[Expected Production (kWh)]))=0,"",SUMIFS(expected_production[Expected Production (kWh)],expected_production[Site Name],A1803,expected_production[Date],B1803)),"")</f>
        <v>4656.5572949999996</v>
      </c>
      <c r="E1803" s="9">
        <f t="shared" si="58"/>
        <v>0.40029572963731785</v>
      </c>
      <c r="F1803" t="str">
        <f t="shared" si="59"/>
        <v>Poor</v>
      </c>
    </row>
    <row r="1804" spans="1:7" ht="15" customHeight="1" x14ac:dyDescent="0.3">
      <c r="A1804" t="s">
        <v>163</v>
      </c>
      <c r="B1804" s="2">
        <v>45352</v>
      </c>
      <c r="C1804" cm="1">
        <f t="array" ref="C1804">IFERROR(IF(SUMPRODUCT((measured[Site Name]=A1804)*(measured[Date]=B1804)*ISNUMBER(measured[Measured Value (kWh)]))=0,"",SUMIFS(measured[Measured Value (kWh)],measured[Site Name],A1804,measured[Date],B1804)),"")</f>
        <v>2167</v>
      </c>
      <c r="D1804" cm="1">
        <f t="array" ref="D1804">IFERROR(IF(SUMPRODUCT((expected_production[Site Name]=A1804)*(expected_production[Date]=B1804)*ISNUMBER(expected_production[Expected Production (kWh)]))=0,"",SUMIFS(expected_production[Expected Production (kWh)],expected_production[Site Name],A1804,expected_production[Date],B1804)),"")</f>
        <v>5018.2718624999998</v>
      </c>
      <c r="E1804" s="9">
        <f t="shared" si="58"/>
        <v>0.4318219616982738</v>
      </c>
      <c r="F1804" t="str">
        <f t="shared" si="59"/>
        <v>Poor</v>
      </c>
    </row>
    <row r="1805" spans="1:7" ht="15" customHeight="1" x14ac:dyDescent="0.3">
      <c r="A1805" t="s">
        <v>163</v>
      </c>
      <c r="B1805" s="2">
        <v>45383</v>
      </c>
      <c r="C1805" cm="1">
        <f t="array" ref="C1805">IFERROR(IF(SUMPRODUCT((measured[Site Name]=A1805)*(measured[Date]=B1805)*ISNUMBER(measured[Measured Value (kWh)]))=0,"",SUMIFS(measured[Measured Value (kWh)],measured[Site Name],A1805,measured[Date],B1805)),"")</f>
        <v>1409</v>
      </c>
      <c r="D1805" cm="1">
        <f t="array" ref="D1805">IFERROR(IF(SUMPRODUCT((expected_production[Site Name]=A1805)*(expected_production[Date]=B1805)*ISNUMBER(expected_production[Expected Production (kWh)]))=0,"",SUMIFS(expected_production[Expected Production (kWh)],expected_production[Site Name],A1805,expected_production[Date],B1805)),"")</f>
        <v>4498.5660525000003</v>
      </c>
      <c r="E1805" s="9">
        <f t="shared" si="58"/>
        <v>0.31321091733597478</v>
      </c>
      <c r="F1805" t="str">
        <f t="shared" si="59"/>
        <v>Poor</v>
      </c>
    </row>
    <row r="1806" spans="1:7" ht="15" customHeight="1" x14ac:dyDescent="0.3">
      <c r="A1806" t="s">
        <v>163</v>
      </c>
      <c r="B1806" s="2">
        <v>45413</v>
      </c>
      <c r="C1806" cm="1">
        <f t="array" ref="C1806">IFERROR(IF(SUMPRODUCT((measured[Site Name]=A1806)*(measured[Date]=B1806)*ISNUMBER(measured[Measured Value (kWh)]))=0,"",SUMIFS(measured[Measured Value (kWh)],measured[Site Name],A1806,measured[Date],B1806)),"")</f>
        <v>1672</v>
      </c>
      <c r="D1806" cm="1">
        <f t="array" ref="D1806">IFERROR(IF(SUMPRODUCT((expected_production[Site Name]=A1806)*(expected_production[Date]=B1806)*ISNUMBER(expected_production[Expected Production (kWh)]))=0,"",SUMIFS(expected_production[Expected Production (kWh)],expected_production[Site Name],A1806,expected_production[Date],B1806)),"")</f>
        <v>4604.0626124999999</v>
      </c>
      <c r="E1806" s="9">
        <f t="shared" si="58"/>
        <v>0.36315752862711531</v>
      </c>
      <c r="F1806" t="str">
        <f t="shared" si="59"/>
        <v>Poor</v>
      </c>
    </row>
    <row r="1807" spans="1:7" ht="15" customHeight="1" x14ac:dyDescent="0.3">
      <c r="A1807" t="s">
        <v>163</v>
      </c>
      <c r="B1807" s="2">
        <v>45444</v>
      </c>
      <c r="C1807" cm="1">
        <f t="array" ref="C1807">IFERROR(IF(SUMPRODUCT((measured[Site Name]=A1807)*(measured[Date]=B1807)*ISNUMBER(measured[Measured Value (kWh)]))=0,"",SUMIFS(measured[Measured Value (kWh)],measured[Site Name],A1807,measured[Date],B1807)),"")</f>
        <v>1125</v>
      </c>
      <c r="D1807" cm="1">
        <f t="array" ref="D1807">IFERROR(IF(SUMPRODUCT((expected_production[Site Name]=A1807)*(expected_production[Date]=B1807)*ISNUMBER(expected_production[Expected Production (kWh)]))=0,"",SUMIFS(expected_production[Expected Production (kWh)],expected_production[Site Name],A1807,expected_production[Date],B1807)),"")</f>
        <v>4265.4254174999996</v>
      </c>
      <c r="E1807" s="9">
        <f t="shared" si="58"/>
        <v>0.26374860415666851</v>
      </c>
      <c r="F1807" t="str">
        <f t="shared" si="59"/>
        <v>Poor</v>
      </c>
    </row>
    <row r="1808" spans="1:7" ht="15" customHeight="1" x14ac:dyDescent="0.3">
      <c r="A1808" t="s">
        <v>163</v>
      </c>
      <c r="B1808" s="2">
        <v>45474</v>
      </c>
      <c r="C1808" cm="1">
        <f t="array" ref="C1808">IFERROR(IF(SUMPRODUCT((measured[Site Name]=A1808)*(measured[Date]=B1808)*ISNUMBER(measured[Measured Value (kWh)]))=0,"",SUMIFS(measured[Measured Value (kWh)],measured[Site Name],A1808,measured[Date],B1808)),"")</f>
        <v>2628</v>
      </c>
      <c r="D1808" cm="1">
        <f t="array" ref="D1808">IFERROR(IF(SUMPRODUCT((expected_production[Site Name]=A1808)*(expected_production[Date]=B1808)*ISNUMBER(expected_production[Expected Production (kWh)]))=0,"",SUMIFS(expected_production[Expected Production (kWh)],expected_production[Site Name],A1808,expected_production[Date],B1808)),"")</f>
        <v>4694.8505175</v>
      </c>
      <c r="E1808" s="9">
        <f t="shared" si="58"/>
        <v>0.55976223102400402</v>
      </c>
      <c r="F1808" t="str">
        <f t="shared" si="59"/>
        <v>Poor</v>
      </c>
    </row>
    <row r="1809" spans="1:6" ht="15" customHeight="1" x14ac:dyDescent="0.3">
      <c r="A1809" t="s">
        <v>163</v>
      </c>
      <c r="B1809" s="2">
        <v>45505</v>
      </c>
      <c r="C1809" cm="1">
        <f t="array" ref="C1809">IFERROR(IF(SUMPRODUCT((measured[Site Name]=A1809)*(measured[Date]=B1809)*ISNUMBER(measured[Measured Value (kWh)]))=0,"",SUMIFS(measured[Measured Value (kWh)],measured[Site Name],A1809,measured[Date],B1809)),"")</f>
        <v>794</v>
      </c>
      <c r="D1809" cm="1">
        <f t="array" ref="D1809">IFERROR(IF(SUMPRODUCT((expected_production[Site Name]=A1809)*(expected_production[Date]=B1809)*ISNUMBER(expected_production[Expected Production (kWh)]))=0,"",SUMIFS(expected_production[Expected Production (kWh)],expected_production[Site Name],A1809,expected_production[Date],B1809)),"")</f>
        <v>5144.2252875000004</v>
      </c>
      <c r="E1809" s="9">
        <f t="shared" si="58"/>
        <v>0.1543478280256014</v>
      </c>
      <c r="F1809" t="str">
        <f t="shared" si="59"/>
        <v>Poor</v>
      </c>
    </row>
    <row r="1810" spans="1:6" ht="15" customHeight="1" x14ac:dyDescent="0.3">
      <c r="A1810" t="s">
        <v>163</v>
      </c>
      <c r="B1810" s="2">
        <v>45536</v>
      </c>
      <c r="C1810" cm="1">
        <f t="array" ref="C1810">IFERROR(IF(SUMPRODUCT((measured[Site Name]=A1810)*(measured[Date]=B1810)*ISNUMBER(measured[Measured Value (kWh)]))=0,"",SUMIFS(measured[Measured Value (kWh)],measured[Site Name],A1810,measured[Date],B1810)),"")</f>
        <v>1822</v>
      </c>
      <c r="D1810" cm="1">
        <f t="array" ref="D1810">IFERROR(IF(SUMPRODUCT((expected_production[Site Name]=A1810)*(expected_production[Date]=B1810)*ISNUMBER(expected_production[Expected Production (kWh)]))=0,"",SUMIFS(expected_production[Expected Production (kWh)],expected_production[Site Name],A1810,expected_production[Date],B1810)),"")</f>
        <v>5295.0312674999996</v>
      </c>
      <c r="E1810" s="9">
        <f t="shared" si="58"/>
        <v>0.34409617393255554</v>
      </c>
      <c r="F1810" t="str">
        <f t="shared" si="59"/>
        <v>Poor</v>
      </c>
    </row>
    <row r="1811" spans="1:6" ht="15" customHeight="1" x14ac:dyDescent="0.3">
      <c r="A1811" t="s">
        <v>163</v>
      </c>
      <c r="B1811" s="2">
        <v>45566</v>
      </c>
      <c r="C1811" cm="1">
        <f t="array" ref="C1811">IFERROR(IF(SUMPRODUCT((measured[Site Name]=A1811)*(measured[Date]=B1811)*ISNUMBER(measured[Measured Value (kWh)]))=0,"",SUMIFS(measured[Measured Value (kWh)],measured[Site Name],A1811,measured[Date],B1811)),"")</f>
        <v>2044</v>
      </c>
      <c r="D1811" cm="1">
        <f t="array" ref="D1811">IFERROR(IF(SUMPRODUCT((expected_production[Site Name]=A1811)*(expected_production[Date]=B1811)*ISNUMBER(expected_production[Expected Production (kWh)]))=0,"",SUMIFS(expected_production[Expected Production (kWh)],expected_production[Site Name],A1811,expected_production[Date],B1811)),"")</f>
        <v>5391.4828500000003</v>
      </c>
      <c r="E1811" s="9">
        <f t="shared" si="58"/>
        <v>0.37911647998657733</v>
      </c>
      <c r="F1811" t="str">
        <f t="shared" si="59"/>
        <v>Poor</v>
      </c>
    </row>
    <row r="1812" spans="1:6" ht="15" customHeight="1" x14ac:dyDescent="0.3">
      <c r="A1812" t="s">
        <v>163</v>
      </c>
      <c r="B1812" s="2">
        <v>45597</v>
      </c>
      <c r="C1812" cm="1">
        <f t="array" ref="C1812">IFERROR(IF(SUMPRODUCT((measured[Site Name]=A1812)*(measured[Date]=B1812)*ISNUMBER(measured[Measured Value (kWh)]))=0,"",SUMIFS(measured[Measured Value (kWh)],measured[Site Name],A1812,measured[Date],B1812)),"")</f>
        <v>1984</v>
      </c>
      <c r="D1812" cm="1">
        <f t="array" ref="D1812">IFERROR(IF(SUMPRODUCT((expected_production[Site Name]=A1812)*(expected_production[Date]=B1812)*ISNUMBER(expected_production[Expected Production (kWh)]))=0,"",SUMIFS(expected_production[Expected Production (kWh)],expected_production[Site Name],A1812,expected_production[Date],B1812)),"")</f>
        <v>5210.6678325000003</v>
      </c>
      <c r="E1812" s="9">
        <f t="shared" si="58"/>
        <v>0.38075733548498075</v>
      </c>
      <c r="F1812" t="str">
        <f t="shared" si="59"/>
        <v>Poor</v>
      </c>
    </row>
    <row r="1813" spans="1:6" ht="15" customHeight="1" x14ac:dyDescent="0.3">
      <c r="A1813" t="s">
        <v>163</v>
      </c>
      <c r="B1813" s="2">
        <v>45627</v>
      </c>
      <c r="C1813" cm="1">
        <f t="array" ref="C1813">IFERROR(IF(SUMPRODUCT((measured[Site Name]=A1813)*(measured[Date]=B1813)*ISNUMBER(measured[Measured Value (kWh)]))=0,"",SUMIFS(measured[Measured Value (kWh)],measured[Site Name],A1813,measured[Date],B1813)),"")</f>
        <v>1687</v>
      </c>
      <c r="D1813" cm="1">
        <f t="array" ref="D1813">IFERROR(IF(SUMPRODUCT((expected_production[Site Name]=A1813)*(expected_production[Date]=B1813)*ISNUMBER(expected_production[Expected Production (kWh)]))=0,"",SUMIFS(expected_production[Expected Production (kWh)],expected_production[Site Name],A1813,expected_production[Date],B1813)),"")</f>
        <v>5439.6663749999998</v>
      </c>
      <c r="E1813" s="9">
        <f t="shared" si="58"/>
        <v>0.31012931376696795</v>
      </c>
      <c r="F1813" t="str">
        <f t="shared" si="59"/>
        <v>Poor</v>
      </c>
    </row>
    <row r="1814" spans="1:6" ht="15" customHeight="1" x14ac:dyDescent="0.3">
      <c r="A1814" t="s">
        <v>163</v>
      </c>
      <c r="B1814" s="2">
        <v>45658</v>
      </c>
      <c r="C1814" cm="1">
        <f t="array" ref="C1814">IFERROR(IF(SUMPRODUCT((measured[Site Name]=A1814)*(measured[Date]=B1814)*ISNUMBER(measured[Measured Value (kWh)]))=0,"",SUMIFS(measured[Measured Value (kWh)],measured[Site Name],A1814,measured[Date],B1814)),"")</f>
        <v>2354</v>
      </c>
      <c r="D1814" cm="1">
        <f t="array" ref="D1814">IFERROR(IF(SUMPRODUCT((expected_production[Site Name]=A1814)*(expected_production[Date]=B1814)*ISNUMBER(expected_production[Expected Production (kWh)]))=0,"",SUMIFS(expected_production[Expected Production (kWh)],expected_production[Site Name],A1814,expected_production[Date],B1814)),"")</f>
        <v>5191.4789549999996</v>
      </c>
      <c r="E1814" s="9">
        <f t="shared" si="58"/>
        <v>0.45343533517222939</v>
      </c>
      <c r="F1814" t="str">
        <f t="shared" si="59"/>
        <v>Poor</v>
      </c>
    </row>
    <row r="1815" spans="1:6" ht="15" customHeight="1" x14ac:dyDescent="0.3">
      <c r="A1815" t="s">
        <v>163</v>
      </c>
      <c r="B1815" s="2">
        <v>45689</v>
      </c>
      <c r="C1815" cm="1">
        <f t="array" ref="C1815">IFERROR(IF(SUMPRODUCT((measured[Site Name]=A1815)*(measured[Date]=B1815)*ISNUMBER(measured[Measured Value (kWh)]))=0,"",SUMIFS(measured[Measured Value (kWh)],measured[Site Name],A1815,measured[Date],B1815)),"")</f>
        <v>1728</v>
      </c>
      <c r="D1815" cm="1">
        <f t="array" ref="D1815">IFERROR(IF(SUMPRODUCT((expected_production[Site Name]=A1815)*(expected_production[Date]=B1815)*ISNUMBER(expected_production[Expected Production (kWh)]))=0,"",SUMIFS(expected_production[Expected Production (kWh)],expected_production[Site Name],A1815,expected_production[Date],B1815)),"")</f>
        <v>4656.5572949999996</v>
      </c>
      <c r="E1815" s="9">
        <f t="shared" si="58"/>
        <v>0.37108960344060365</v>
      </c>
      <c r="F1815" t="str">
        <f t="shared" si="59"/>
        <v>Poor</v>
      </c>
    </row>
    <row r="1816" spans="1:6" ht="15" customHeight="1" x14ac:dyDescent="0.3">
      <c r="A1816" t="s">
        <v>163</v>
      </c>
      <c r="B1816" s="2">
        <v>45717</v>
      </c>
      <c r="C1816" cm="1">
        <f t="array" ref="C1816">IFERROR(IF(SUMPRODUCT((measured[Site Name]=A1816)*(measured[Date]=B1816)*ISNUMBER(measured[Measured Value (kWh)]))=0,"",SUMIFS(measured[Measured Value (kWh)],measured[Site Name],A1816,measured[Date],B1816)),"")</f>
        <v>1704</v>
      </c>
      <c r="D1816" cm="1">
        <f t="array" ref="D1816">IFERROR(IF(SUMPRODUCT((expected_production[Site Name]=A1816)*(expected_production[Date]=B1816)*ISNUMBER(expected_production[Expected Production (kWh)]))=0,"",SUMIFS(expected_production[Expected Production (kWh)],expected_production[Site Name],A1816,expected_production[Date],B1816)),"")</f>
        <v>5018.2718624999998</v>
      </c>
      <c r="E1816" s="9">
        <f t="shared" si="58"/>
        <v>0.33955912447340036</v>
      </c>
      <c r="F1816" t="str">
        <f t="shared" si="59"/>
        <v>Poor</v>
      </c>
    </row>
    <row r="1817" spans="1:6" ht="15" customHeight="1" x14ac:dyDescent="0.3">
      <c r="A1817" t="s">
        <v>163</v>
      </c>
      <c r="B1817" s="2">
        <v>45748</v>
      </c>
      <c r="C1817" cm="1">
        <f t="array" ref="C1817">IFERROR(IF(SUMPRODUCT((measured[Site Name]=A1817)*(measured[Date]=B1817)*ISNUMBER(measured[Measured Value (kWh)]))=0,"",SUMIFS(measured[Measured Value (kWh)],measured[Site Name],A1817,measured[Date],B1817)),"")</f>
        <v>1518</v>
      </c>
      <c r="D1817" cm="1">
        <f t="array" ref="D1817">IFERROR(IF(SUMPRODUCT((expected_production[Site Name]=A1817)*(expected_production[Date]=B1817)*ISNUMBER(expected_production[Expected Production (kWh)]))=0,"",SUMIFS(expected_production[Expected Production (kWh)],expected_production[Site Name],A1817,expected_production[Date],B1817)),"")</f>
        <v>4498.5660525000003</v>
      </c>
      <c r="E1817" s="9">
        <f t="shared" si="58"/>
        <v>0.33744086055075212</v>
      </c>
      <c r="F1817" t="str">
        <f t="shared" si="59"/>
        <v>Poor</v>
      </c>
    </row>
    <row r="1818" spans="1:6" ht="15" customHeight="1" x14ac:dyDescent="0.3">
      <c r="A1818" t="s">
        <v>163</v>
      </c>
      <c r="B1818" s="2">
        <v>45778</v>
      </c>
      <c r="C1818" cm="1">
        <f t="array" ref="C1818">IFERROR(IF(SUMPRODUCT((measured[Site Name]=A1818)*(measured[Date]=B1818)*ISNUMBER(measured[Measured Value (kWh)]))=0,"",SUMIFS(measured[Measured Value (kWh)],measured[Site Name],A1818,measured[Date],B1818)),"")</f>
        <v>2450</v>
      </c>
      <c r="D1818" cm="1">
        <f t="array" ref="D1818">IFERROR(IF(SUMPRODUCT((expected_production[Site Name]=A1818)*(expected_production[Date]=B1818)*ISNUMBER(expected_production[Expected Production (kWh)]))=0,"",SUMIFS(expected_production[Expected Production (kWh)],expected_production[Site Name],A1818,expected_production[Date],B1818)),"")</f>
        <v>4604.0626124999999</v>
      </c>
      <c r="E1818" s="9">
        <f t="shared" si="58"/>
        <v>0.53213872316772282</v>
      </c>
      <c r="F1818" t="str">
        <f t="shared" si="59"/>
        <v>Poor</v>
      </c>
    </row>
    <row r="1819" spans="1:6" ht="15" customHeight="1" x14ac:dyDescent="0.3">
      <c r="A1819" t="s">
        <v>163</v>
      </c>
      <c r="B1819" s="2">
        <v>45809</v>
      </c>
      <c r="C1819" cm="1">
        <f t="array" ref="C1819">IFERROR(IF(SUMPRODUCT((measured[Site Name]=A1819)*(measured[Date]=B1819)*ISNUMBER(measured[Measured Value (kWh)]))=0,"",SUMIFS(measured[Measured Value (kWh)],measured[Site Name],A1819,measured[Date],B1819)),"")</f>
        <v>2470.27</v>
      </c>
      <c r="D1819" cm="1">
        <f t="array" ref="D1819">IFERROR(IF(SUMPRODUCT((expected_production[Site Name]=A1819)*(expected_production[Date]=B1819)*ISNUMBER(expected_production[Expected Production (kWh)]))=0,"",SUMIFS(expected_production[Expected Production (kWh)],expected_production[Site Name],A1819,expected_production[Date],B1819)),"")</f>
        <v>4265.4254174999996</v>
      </c>
      <c r="E1819" s="9">
        <f t="shared" si="58"/>
        <v>0.57913801279119426</v>
      </c>
      <c r="F1819" t="str">
        <f t="shared" si="59"/>
        <v>Poor</v>
      </c>
    </row>
    <row r="1820" spans="1:6" ht="15" customHeight="1" x14ac:dyDescent="0.3">
      <c r="A1820" t="s">
        <v>163</v>
      </c>
      <c r="B1820" s="2">
        <v>45839</v>
      </c>
      <c r="C1820" cm="1">
        <f t="array" ref="C1820">IFERROR(IF(SUMPRODUCT((measured[Site Name]=A1820)*(measured[Date]=B1820)*ISNUMBER(measured[Measured Value (kWh)]))=0,"",SUMIFS(measured[Measured Value (kWh)],measured[Site Name],A1820,measured[Date],B1820)),"")</f>
        <v>2714</v>
      </c>
      <c r="D1820" cm="1">
        <f t="array" ref="D1820">IFERROR(IF(SUMPRODUCT((expected_production[Site Name]=A1820)*(expected_production[Date]=B1820)*ISNUMBER(expected_production[Expected Production (kWh)]))=0,"",SUMIFS(expected_production[Expected Production (kWh)],expected_production[Site Name],A1820,expected_production[Date],B1820)),"")</f>
        <v>4694.8505175</v>
      </c>
      <c r="E1820" s="9">
        <f t="shared" si="58"/>
        <v>0.5780801731351396</v>
      </c>
      <c r="F1820" t="str">
        <f t="shared" si="59"/>
        <v>Poor</v>
      </c>
    </row>
    <row r="1821" spans="1:6" ht="15" customHeight="1" x14ac:dyDescent="0.3">
      <c r="A1821" t="s">
        <v>163</v>
      </c>
      <c r="B1821" s="2">
        <v>45870</v>
      </c>
      <c r="C1821" cm="1">
        <f t="array" ref="C1821">IFERROR(IF(SUMPRODUCT((measured[Site Name]=A1821)*(measured[Date]=B1821)*ISNUMBER(measured[Measured Value (kWh)]))=0,"",SUMIFS(measured[Measured Value (kWh)],measured[Site Name],A1821,measured[Date],B1821)),"")</f>
        <v>2694</v>
      </c>
      <c r="D1821" cm="1">
        <f t="array" ref="D1821">IFERROR(IF(SUMPRODUCT((expected_production[Site Name]=A1821)*(expected_production[Date]=B1821)*ISNUMBER(expected_production[Expected Production (kWh)]))=0,"",SUMIFS(expected_production[Expected Production (kWh)],expected_production[Site Name],A1821,expected_production[Date],B1821)),"")</f>
        <v>5144.2252875000004</v>
      </c>
      <c r="E1821" s="9">
        <f t="shared" si="58"/>
        <v>0.52369401599618415</v>
      </c>
      <c r="F1821" t="str">
        <f t="shared" si="59"/>
        <v>Poor</v>
      </c>
    </row>
    <row r="1822" spans="1:6" ht="15" customHeight="1" x14ac:dyDescent="0.3">
      <c r="A1822" t="s">
        <v>163</v>
      </c>
      <c r="B1822" s="2">
        <v>45901</v>
      </c>
      <c r="C1822" cm="1">
        <f t="array" ref="C1822">IFERROR(IF(SUMPRODUCT((measured[Site Name]=A1822)*(measured[Date]=B1822)*ISNUMBER(measured[Measured Value (kWh)]))=0,"",SUMIFS(measured[Measured Value (kWh)],measured[Site Name],A1822,measured[Date],B1822)),"")</f>
        <v>1488</v>
      </c>
      <c r="D1822" cm="1">
        <f t="array" ref="D1822">IFERROR(IF(SUMPRODUCT((expected_production[Site Name]=A1822)*(expected_production[Date]=B1822)*ISNUMBER(expected_production[Expected Production (kWh)]))=0,"",SUMIFS(expected_production[Expected Production (kWh)],expected_production[Site Name],A1822,expected_production[Date],B1822)),"")</f>
        <v>5295.0312674999996</v>
      </c>
      <c r="E1822" s="9">
        <f t="shared" si="58"/>
        <v>0.2810181705881683</v>
      </c>
      <c r="F1822" t="str">
        <f t="shared" si="59"/>
        <v>Poor</v>
      </c>
    </row>
    <row r="1823" spans="1:6" ht="15" customHeight="1" x14ac:dyDescent="0.3">
      <c r="A1823" t="s">
        <v>163</v>
      </c>
      <c r="B1823" s="2">
        <v>45931</v>
      </c>
      <c r="C1823" cm="1">
        <f t="array" ref="C1823">IFERROR(IF(SUMPRODUCT((measured[Site Name]=A1823)*(measured[Date]=B1823)*ISNUMBER(measured[Measured Value (kWh)]))=0,"",SUMIFS(measured[Measured Value (kWh)],measured[Site Name],A1823,measured[Date],B1823)),"")</f>
        <v>380</v>
      </c>
      <c r="D1823" cm="1">
        <f t="array" ref="D1823">IFERROR(IF(SUMPRODUCT((expected_production[Site Name]=A1823)*(expected_production[Date]=B1823)*ISNUMBER(expected_production[Expected Production (kWh)]))=0,"",SUMIFS(expected_production[Expected Production (kWh)],expected_production[Site Name],A1823,expected_production[Date],B1823)),"")</f>
        <v>5391.4828500000003</v>
      </c>
      <c r="E1823" s="9">
        <f t="shared" si="58"/>
        <v>7.0481537375195399E-2</v>
      </c>
      <c r="F1823" t="str">
        <f t="shared" si="59"/>
        <v>Poor</v>
      </c>
    </row>
    <row r="1824" spans="1:6" ht="15" customHeight="1" x14ac:dyDescent="0.3">
      <c r="A1824" t="s">
        <v>163</v>
      </c>
      <c r="B1824" s="2">
        <v>45962</v>
      </c>
      <c r="C1824" t="str" cm="1">
        <f t="array" ref="C1824">IFERROR(IF(SUMPRODUCT((measured[Site Name]=A1824)*(measured[Date]=B1824)*ISNUMBER(measured[Measured Value (kWh)]))=0,"",SUMIFS(measured[Measured Value (kWh)],measured[Site Name],A1824,measured[Date],B1824)),"")</f>
        <v/>
      </c>
      <c r="D1824" cm="1">
        <f t="array" ref="D1824">IFERROR(IF(SUMPRODUCT((expected_production[Site Name]=A1824)*(expected_production[Date]=B1824)*ISNUMBER(expected_production[Expected Production (kWh)]))=0,"",SUMIFS(expected_production[Expected Production (kWh)],expected_production[Site Name],A1824,expected_production[Date],B1824)),"")</f>
        <v>5210.6678325000003</v>
      </c>
      <c r="E1824" s="9" t="str">
        <f t="shared" si="58"/>
        <v/>
      </c>
      <c r="F1824" t="str">
        <f t="shared" si="59"/>
        <v/>
      </c>
    </row>
    <row r="1825" spans="1:7" ht="15" customHeight="1" x14ac:dyDescent="0.3">
      <c r="A1825" t="s">
        <v>163</v>
      </c>
      <c r="B1825" s="2">
        <v>45992</v>
      </c>
      <c r="C1825" t="str" cm="1">
        <f t="array" ref="C1825">IFERROR(IF(SUMPRODUCT((measured[Site Name]=A1825)*(measured[Date]=B1825)*ISNUMBER(measured[Measured Value (kWh)]))=0,"",SUMIFS(measured[Measured Value (kWh)],measured[Site Name],A1825,measured[Date],B1825)),"")</f>
        <v/>
      </c>
      <c r="D1825" cm="1">
        <f t="array" ref="D1825">IFERROR(IF(SUMPRODUCT((expected_production[Site Name]=A1825)*(expected_production[Date]=B1825)*ISNUMBER(expected_production[Expected Production (kWh)]))=0,"",SUMIFS(expected_production[Expected Production (kWh)],expected_production[Site Name],A1825,expected_production[Date],B1825)),"")</f>
        <v>5439.6663749999998</v>
      </c>
      <c r="E1825" s="9" t="str">
        <f t="shared" si="58"/>
        <v/>
      </c>
      <c r="F1825" t="str">
        <f t="shared" si="59"/>
        <v/>
      </c>
    </row>
    <row r="1826" spans="1:7" ht="15" customHeight="1" x14ac:dyDescent="0.3">
      <c r="A1826" t="s">
        <v>163</v>
      </c>
      <c r="B1826" s="2">
        <v>46023</v>
      </c>
      <c r="C1826" t="str" cm="1">
        <f t="array" ref="C1826">IFERROR(IF(SUMPRODUCT((measured[Site Name]=A1826)*(measured[Date]=B1826)*ISNUMBER(measured[Measured Value (kWh)]))=0,"",SUMIFS(measured[Measured Value (kWh)],measured[Site Name],A1826,measured[Date],B1826)),"")</f>
        <v/>
      </c>
      <c r="D1826" cm="1">
        <f t="array" ref="D1826">IFERROR(IF(SUMPRODUCT((expected_production[Site Name]=A1826)*(expected_production[Date]=B1826)*ISNUMBER(expected_production[Expected Production (kWh)]))=0,"",SUMIFS(expected_production[Expected Production (kWh)],expected_production[Site Name],A1826,expected_production[Date],B1826)),"")</f>
        <v>5191.4789549999996</v>
      </c>
      <c r="E1826" s="9" t="str">
        <f t="shared" si="58"/>
        <v/>
      </c>
      <c r="F1826" t="str">
        <f t="shared" si="59"/>
        <v/>
      </c>
    </row>
    <row r="1827" spans="1:7" ht="15" customHeight="1" x14ac:dyDescent="0.3">
      <c r="A1827" t="s">
        <v>163</v>
      </c>
      <c r="B1827" s="2">
        <v>46054</v>
      </c>
      <c r="C1827" t="str" cm="1">
        <f t="array" ref="C1827">IFERROR(IF(SUMPRODUCT((measured[Site Name]=A1827)*(measured[Date]=B1827)*ISNUMBER(measured[Measured Value (kWh)]))=0,"",SUMIFS(measured[Measured Value (kWh)],measured[Site Name],A1827,measured[Date],B1827)),"")</f>
        <v/>
      </c>
      <c r="D1827" cm="1">
        <f t="array" ref="D1827">IFERROR(IF(SUMPRODUCT((expected_production[Site Name]=A1827)*(expected_production[Date]=B1827)*ISNUMBER(expected_production[Expected Production (kWh)]))=0,"",SUMIFS(expected_production[Expected Production (kWh)],expected_production[Site Name],A1827,expected_production[Date],B1827)),"")</f>
        <v>4656.5572949999996</v>
      </c>
      <c r="E1827" s="9" t="str">
        <f t="shared" si="58"/>
        <v/>
      </c>
      <c r="F1827" t="str">
        <f t="shared" si="59"/>
        <v/>
      </c>
    </row>
    <row r="1828" spans="1:7" ht="15" customHeight="1" x14ac:dyDescent="0.3">
      <c r="A1828" t="s">
        <v>163</v>
      </c>
      <c r="B1828" s="2">
        <v>46082</v>
      </c>
      <c r="C1828" t="str" cm="1">
        <f t="array" ref="C1828">IFERROR(IF(SUMPRODUCT((measured[Site Name]=A1828)*(measured[Date]=B1828)*ISNUMBER(measured[Measured Value (kWh)]))=0,"",SUMIFS(measured[Measured Value (kWh)],measured[Site Name],A1828,measured[Date],B1828)),"")</f>
        <v/>
      </c>
      <c r="D1828" cm="1">
        <f t="array" ref="D1828">IFERROR(IF(SUMPRODUCT((expected_production[Site Name]=A1828)*(expected_production[Date]=B1828)*ISNUMBER(expected_production[Expected Production (kWh)]))=0,"",SUMIFS(expected_production[Expected Production (kWh)],expected_production[Site Name],A1828,expected_production[Date],B1828)),"")</f>
        <v>5018.2718624999998</v>
      </c>
      <c r="E1828" s="9" t="str">
        <f t="shared" si="58"/>
        <v/>
      </c>
      <c r="F1828" t="str">
        <f t="shared" si="59"/>
        <v/>
      </c>
    </row>
    <row r="1829" spans="1:7" ht="15" customHeight="1" x14ac:dyDescent="0.3">
      <c r="A1829" t="s">
        <v>163</v>
      </c>
      <c r="B1829" s="2">
        <v>46113</v>
      </c>
      <c r="C1829" t="str" cm="1">
        <f t="array" ref="C1829">IFERROR(IF(SUMPRODUCT((measured[Site Name]=A1829)*(measured[Date]=B1829)*ISNUMBER(measured[Measured Value (kWh)]))=0,"",SUMIFS(measured[Measured Value (kWh)],measured[Site Name],A1829,measured[Date],B1829)),"")</f>
        <v/>
      </c>
      <c r="D1829" cm="1">
        <f t="array" ref="D1829">IFERROR(IF(SUMPRODUCT((expected_production[Site Name]=A1829)*(expected_production[Date]=B1829)*ISNUMBER(expected_production[Expected Production (kWh)]))=0,"",SUMIFS(expected_production[Expected Production (kWh)],expected_production[Site Name],A1829,expected_production[Date],B1829)),"")</f>
        <v>4498.5660525000003</v>
      </c>
      <c r="E1829" s="9" t="str">
        <f t="shared" si="58"/>
        <v/>
      </c>
      <c r="F1829" t="str">
        <f t="shared" si="59"/>
        <v/>
      </c>
    </row>
    <row r="1830" spans="1:7" ht="15" customHeight="1" x14ac:dyDescent="0.3">
      <c r="A1830" t="s">
        <v>163</v>
      </c>
      <c r="B1830" s="2">
        <v>46143</v>
      </c>
      <c r="C1830" t="str" cm="1">
        <f t="array" ref="C1830">IFERROR(IF(SUMPRODUCT((measured[Site Name]=A1830)*(measured[Date]=B1830)*ISNUMBER(measured[Measured Value (kWh)]))=0,"",SUMIFS(measured[Measured Value (kWh)],measured[Site Name],A1830,measured[Date],B1830)),"")</f>
        <v/>
      </c>
      <c r="D1830" cm="1">
        <f t="array" ref="D1830">IFERROR(IF(SUMPRODUCT((expected_production[Site Name]=A1830)*(expected_production[Date]=B1830)*ISNUMBER(expected_production[Expected Production (kWh)]))=0,"",SUMIFS(expected_production[Expected Production (kWh)],expected_production[Site Name],A1830,expected_production[Date],B1830)),"")</f>
        <v>4604.0626124999999</v>
      </c>
      <c r="E1830" s="9" t="str">
        <f t="shared" si="58"/>
        <v/>
      </c>
      <c r="F1830" t="str">
        <f t="shared" si="59"/>
        <v/>
      </c>
    </row>
    <row r="1831" spans="1:7" ht="15" customHeight="1" x14ac:dyDescent="0.3">
      <c r="A1831" t="s">
        <v>163</v>
      </c>
      <c r="B1831" s="2">
        <v>46174</v>
      </c>
      <c r="C1831" t="str" cm="1">
        <f t="array" ref="C1831">IFERROR(IF(SUMPRODUCT((measured[Site Name]=A1831)*(measured[Date]=B1831)*ISNUMBER(measured[Measured Value (kWh)]))=0,"",SUMIFS(measured[Measured Value (kWh)],measured[Site Name],A1831,measured[Date],B1831)),"")</f>
        <v/>
      </c>
      <c r="D1831" cm="1">
        <f t="array" ref="D1831">IFERROR(IF(SUMPRODUCT((expected_production[Site Name]=A1831)*(expected_production[Date]=B1831)*ISNUMBER(expected_production[Expected Production (kWh)]))=0,"",SUMIFS(expected_production[Expected Production (kWh)],expected_production[Site Name],A1831,expected_production[Date],B1831)),"")</f>
        <v>4265.4254174999996</v>
      </c>
      <c r="E1831" s="9" t="str">
        <f t="shared" si="58"/>
        <v/>
      </c>
      <c r="F1831" t="str">
        <f t="shared" si="59"/>
        <v/>
      </c>
    </row>
    <row r="1832" spans="1:7" ht="15" customHeight="1" x14ac:dyDescent="0.3">
      <c r="A1832" t="s">
        <v>163</v>
      </c>
      <c r="B1832" s="2">
        <v>46204</v>
      </c>
      <c r="C1832" cm="1">
        <f t="array" ref="C1832">IFERROR(IF(SUMPRODUCT((measured[Site Name]=A1832)*(measured[Date]=B1832)*ISNUMBER(measured[Measured Value (kWh)]))=0,"",SUMIFS(measured[Measured Value (kWh)],measured[Site Name],A1832,measured[Date],B1832)),"")</f>
        <v>0</v>
      </c>
      <c r="D1832" cm="1">
        <f t="array" ref="D1832">IFERROR(IF(SUMPRODUCT((expected_production[Site Name]=A1832)*(expected_production[Date]=B1832)*ISNUMBER(expected_production[Expected Production (kWh)]))=0,"",SUMIFS(expected_production[Expected Production (kWh)],expected_production[Site Name],A1832,expected_production[Date],B1832)),"")</f>
        <v>4694.8505175</v>
      </c>
      <c r="E1832" s="9">
        <f t="shared" si="58"/>
        <v>0</v>
      </c>
      <c r="F1832" t="str">
        <f t="shared" si="59"/>
        <v>Poor</v>
      </c>
      <c r="G1832" t="s">
        <v>874</v>
      </c>
    </row>
    <row r="1833" spans="1:7" ht="15" customHeight="1" x14ac:dyDescent="0.3">
      <c r="A1833" t="s">
        <v>163</v>
      </c>
      <c r="B1833" s="2">
        <v>46235</v>
      </c>
      <c r="C1833" t="str" cm="1">
        <f t="array" ref="C1833">IFERROR(IF(SUMPRODUCT((measured[Site Name]=A1833)*(measured[Date]=B1833)*ISNUMBER(measured[Measured Value (kWh)]))=0,"",SUMIFS(measured[Measured Value (kWh)],measured[Site Name],A1833,measured[Date],B1833)),"")</f>
        <v/>
      </c>
      <c r="D1833" cm="1">
        <f t="array" ref="D1833">IFERROR(IF(SUMPRODUCT((expected_production[Site Name]=A1833)*(expected_production[Date]=B1833)*ISNUMBER(expected_production[Expected Production (kWh)]))=0,"",SUMIFS(expected_production[Expected Production (kWh)],expected_production[Site Name],A1833,expected_production[Date],B1833)),"")</f>
        <v>5144.2252875000004</v>
      </c>
      <c r="E1833" s="9" t="str">
        <f t="shared" si="58"/>
        <v/>
      </c>
      <c r="F1833" t="str">
        <f t="shared" si="59"/>
        <v/>
      </c>
    </row>
    <row r="1834" spans="1:7" ht="15" customHeight="1" x14ac:dyDescent="0.3">
      <c r="A1834" t="s">
        <v>163</v>
      </c>
      <c r="B1834" s="2">
        <v>46266</v>
      </c>
      <c r="C1834" t="str" cm="1">
        <f t="array" ref="C1834">IFERROR(IF(SUMPRODUCT((measured[Site Name]=A1834)*(measured[Date]=B1834)*ISNUMBER(measured[Measured Value (kWh)]))=0,"",SUMIFS(measured[Measured Value (kWh)],measured[Site Name],A1834,measured[Date],B1834)),"")</f>
        <v/>
      </c>
      <c r="D1834" cm="1">
        <f t="array" ref="D1834">IFERROR(IF(SUMPRODUCT((expected_production[Site Name]=A1834)*(expected_production[Date]=B1834)*ISNUMBER(expected_production[Expected Production (kWh)]))=0,"",SUMIFS(expected_production[Expected Production (kWh)],expected_production[Site Name],A1834,expected_production[Date],B1834)),"")</f>
        <v>5295.0312674999996</v>
      </c>
      <c r="E1834" s="9" t="str">
        <f t="shared" si="58"/>
        <v/>
      </c>
      <c r="F1834" t="str">
        <f t="shared" si="59"/>
        <v/>
      </c>
    </row>
    <row r="1835" spans="1:7" ht="15" customHeight="1" x14ac:dyDescent="0.3">
      <c r="A1835" t="s">
        <v>163</v>
      </c>
      <c r="B1835" s="2">
        <v>46296</v>
      </c>
      <c r="C1835" t="str" cm="1">
        <f t="array" ref="C1835">IFERROR(IF(SUMPRODUCT((measured[Site Name]=A1835)*(measured[Date]=B1835)*ISNUMBER(measured[Measured Value (kWh)]))=0,"",SUMIFS(measured[Measured Value (kWh)],measured[Site Name],A1835,measured[Date],B1835)),"")</f>
        <v/>
      </c>
      <c r="D1835" cm="1">
        <f t="array" ref="D1835">IFERROR(IF(SUMPRODUCT((expected_production[Site Name]=A1835)*(expected_production[Date]=B1835)*ISNUMBER(expected_production[Expected Production (kWh)]))=0,"",SUMIFS(expected_production[Expected Production (kWh)],expected_production[Site Name],A1835,expected_production[Date],B1835)),"")</f>
        <v>5391.4828500000003</v>
      </c>
      <c r="E1835" s="9" t="str">
        <f t="shared" si="58"/>
        <v/>
      </c>
      <c r="F1835" t="str">
        <f t="shared" si="59"/>
        <v/>
      </c>
    </row>
    <row r="1836" spans="1:7" ht="15" customHeight="1" x14ac:dyDescent="0.3">
      <c r="A1836" t="s">
        <v>163</v>
      </c>
      <c r="B1836" s="2">
        <v>46327</v>
      </c>
      <c r="C1836" t="str" cm="1">
        <f t="array" ref="C1836">IFERROR(IF(SUMPRODUCT((measured[Site Name]=A1836)*(measured[Date]=B1836)*ISNUMBER(measured[Measured Value (kWh)]))=0,"",SUMIFS(measured[Measured Value (kWh)],measured[Site Name],A1836,measured[Date],B1836)),"")</f>
        <v/>
      </c>
      <c r="D1836" cm="1">
        <f t="array" ref="D1836">IFERROR(IF(SUMPRODUCT((expected_production[Site Name]=A1836)*(expected_production[Date]=B1836)*ISNUMBER(expected_production[Expected Production (kWh)]))=0,"",SUMIFS(expected_production[Expected Production (kWh)],expected_production[Site Name],A1836,expected_production[Date],B1836)),"")</f>
        <v>5210.6678325000003</v>
      </c>
      <c r="E1836" s="9" t="str">
        <f t="shared" si="58"/>
        <v/>
      </c>
      <c r="F1836" t="str">
        <f t="shared" si="59"/>
        <v/>
      </c>
    </row>
    <row r="1837" spans="1:7" ht="15" customHeight="1" x14ac:dyDescent="0.3">
      <c r="A1837" t="s">
        <v>163</v>
      </c>
      <c r="B1837" s="2">
        <v>46357</v>
      </c>
      <c r="C1837" t="str" cm="1">
        <f t="array" ref="C1837">IFERROR(IF(SUMPRODUCT((measured[Site Name]=A1837)*(measured[Date]=B1837)*ISNUMBER(measured[Measured Value (kWh)]))=0,"",SUMIFS(measured[Measured Value (kWh)],measured[Site Name],A1837,measured[Date],B1837)),"")</f>
        <v/>
      </c>
      <c r="D1837" cm="1">
        <f t="array" ref="D1837">IFERROR(IF(SUMPRODUCT((expected_production[Site Name]=A1837)*(expected_production[Date]=B1837)*ISNUMBER(expected_production[Expected Production (kWh)]))=0,"",SUMIFS(expected_production[Expected Production (kWh)],expected_production[Site Name],A1837,expected_production[Date],B1837)),"")</f>
        <v>5439.6663749999998</v>
      </c>
      <c r="E1837" s="9" t="str">
        <f t="shared" si="58"/>
        <v/>
      </c>
      <c r="F1837" t="str">
        <f t="shared" si="59"/>
        <v/>
      </c>
    </row>
    <row r="1838" spans="1:7" ht="15" customHeight="1" x14ac:dyDescent="0.3">
      <c r="A1838" t="s">
        <v>166</v>
      </c>
      <c r="B1838" s="2">
        <v>45292</v>
      </c>
      <c r="C1838" cm="1">
        <f t="array" ref="C1838">IFERROR(IF(SUMPRODUCT((measured[Site Name]=A1838)*(measured[Date]=B1838)*ISNUMBER(measured[Measured Value (kWh)]))=0,"",SUMIFS(measured[Measured Value (kWh)],measured[Site Name],A1838,measured[Date],B1838)),"")</f>
        <v>17948</v>
      </c>
      <c r="D1838" cm="1">
        <f t="array" ref="D1838">IFERROR(IF(SUMPRODUCT((expected_production[Site Name]=A1838)*(expected_production[Date]=B1838)*ISNUMBER(expected_production[Expected Production (kWh)]))=0,"",SUMIFS(expected_production[Expected Production (kWh)],expected_production[Site Name],A1838,expected_production[Date],B1838)),"")</f>
        <v>23005.8</v>
      </c>
      <c r="E1838" s="9">
        <f t="shared" si="58"/>
        <v>0.78015109233323776</v>
      </c>
      <c r="F1838" t="str">
        <f t="shared" si="59"/>
        <v>Moderate</v>
      </c>
    </row>
    <row r="1839" spans="1:7" ht="15" customHeight="1" x14ac:dyDescent="0.3">
      <c r="A1839" t="s">
        <v>166</v>
      </c>
      <c r="B1839" s="2">
        <v>45323</v>
      </c>
      <c r="C1839" cm="1">
        <f t="array" ref="C1839">IFERROR(IF(SUMPRODUCT((measured[Site Name]=A1839)*(measured[Date]=B1839)*ISNUMBER(measured[Measured Value (kWh)]))=0,"",SUMIFS(measured[Measured Value (kWh)],measured[Site Name],A1839,measured[Date],B1839)),"")</f>
        <v>16954</v>
      </c>
      <c r="D1839" cm="1">
        <f t="array" ref="D1839">IFERROR(IF(SUMPRODUCT((expected_production[Site Name]=A1839)*(expected_production[Date]=B1839)*ISNUMBER(expected_production[Expected Production (kWh)]))=0,"",SUMIFS(expected_production[Expected Production (kWh)],expected_production[Site Name],A1839,expected_production[Date],B1839)),"")</f>
        <v>19888.2</v>
      </c>
      <c r="E1839" s="9">
        <f t="shared" si="58"/>
        <v>0.85246528092034468</v>
      </c>
      <c r="F1839" t="str">
        <f t="shared" si="59"/>
        <v>Moderate</v>
      </c>
    </row>
    <row r="1840" spans="1:7" ht="15" customHeight="1" x14ac:dyDescent="0.3">
      <c r="A1840" t="s">
        <v>166</v>
      </c>
      <c r="B1840" s="2">
        <v>45352</v>
      </c>
      <c r="C1840" cm="1">
        <f t="array" ref="C1840">IFERROR(IF(SUMPRODUCT((measured[Site Name]=A1840)*(measured[Date]=B1840)*ISNUMBER(measured[Measured Value (kWh)]))=0,"",SUMIFS(measured[Measured Value (kWh)],measured[Site Name],A1840,measured[Date],B1840)),"")</f>
        <v>16498</v>
      </c>
      <c r="D1840" cm="1">
        <f t="array" ref="D1840">IFERROR(IF(SUMPRODUCT((expected_production[Site Name]=A1840)*(expected_production[Date]=B1840)*ISNUMBER(expected_production[Expected Production (kWh)]))=0,"",SUMIFS(expected_production[Expected Production (kWh)],expected_production[Site Name],A1840,expected_production[Date],B1840)),"")</f>
        <v>21952.799999999999</v>
      </c>
      <c r="E1840" s="9">
        <f t="shared" si="58"/>
        <v>0.75152144601144277</v>
      </c>
      <c r="F1840" t="str">
        <f t="shared" si="59"/>
        <v>Moderate</v>
      </c>
    </row>
    <row r="1841" spans="1:6" ht="15" customHeight="1" x14ac:dyDescent="0.3">
      <c r="A1841" t="s">
        <v>166</v>
      </c>
      <c r="B1841" s="2">
        <v>45383</v>
      </c>
      <c r="C1841" cm="1">
        <f t="array" ref="C1841">IFERROR(IF(SUMPRODUCT((measured[Site Name]=A1841)*(measured[Date]=B1841)*ISNUMBER(measured[Measured Value (kWh)]))=0,"",SUMIFS(measured[Measured Value (kWh)],measured[Site Name],A1841,measured[Date],B1841)),"")</f>
        <v>13514</v>
      </c>
      <c r="D1841" cm="1">
        <f t="array" ref="D1841">IFERROR(IF(SUMPRODUCT((expected_production[Site Name]=A1841)*(expected_production[Date]=B1841)*ISNUMBER(expected_production[Expected Production (kWh)]))=0,"",SUMIFS(expected_production[Expected Production (kWh)],expected_production[Site Name],A1841,expected_production[Date],B1841)),"")</f>
        <v>21444.3</v>
      </c>
      <c r="E1841" s="9">
        <f t="shared" si="58"/>
        <v>0.63019077330572693</v>
      </c>
      <c r="F1841" t="str">
        <f t="shared" si="59"/>
        <v>Poor</v>
      </c>
    </row>
    <row r="1842" spans="1:6" ht="15" customHeight="1" x14ac:dyDescent="0.3">
      <c r="A1842" t="s">
        <v>166</v>
      </c>
      <c r="B1842" s="2">
        <v>45413</v>
      </c>
      <c r="C1842" cm="1">
        <f t="array" ref="C1842">IFERROR(IF(SUMPRODUCT((measured[Site Name]=A1842)*(measured[Date]=B1842)*ISNUMBER(measured[Measured Value (kWh)]))=0,"",SUMIFS(measured[Measured Value (kWh)],measured[Site Name],A1842,measured[Date],B1842)),"")</f>
        <v>13524</v>
      </c>
      <c r="D1842" cm="1">
        <f t="array" ref="D1842">IFERROR(IF(SUMPRODUCT((expected_production[Site Name]=A1842)*(expected_production[Date]=B1842)*ISNUMBER(expected_production[Expected Production (kWh)]))=0,"",SUMIFS(expected_production[Expected Production (kWh)],expected_production[Site Name],A1842,expected_production[Date],B1842)),"")</f>
        <v>20688.3</v>
      </c>
      <c r="E1842" s="9">
        <f t="shared" si="58"/>
        <v>0.65370281753454851</v>
      </c>
      <c r="F1842" t="str">
        <f t="shared" si="59"/>
        <v>Poor</v>
      </c>
    </row>
    <row r="1843" spans="1:6" ht="15" customHeight="1" x14ac:dyDescent="0.3">
      <c r="A1843" t="s">
        <v>166</v>
      </c>
      <c r="B1843" s="2">
        <v>45444</v>
      </c>
      <c r="C1843" cm="1">
        <f t="array" ref="C1843">IFERROR(IF(SUMPRODUCT((measured[Site Name]=A1843)*(measured[Date]=B1843)*ISNUMBER(measured[Measured Value (kWh)]))=0,"",SUMIFS(measured[Measured Value (kWh)],measured[Site Name],A1843,measured[Date],B1843)),"")</f>
        <v>11348</v>
      </c>
      <c r="D1843" cm="1">
        <f t="array" ref="D1843">IFERROR(IF(SUMPRODUCT((expected_production[Site Name]=A1843)*(expected_production[Date]=B1843)*ISNUMBER(expected_production[Expected Production (kWh)]))=0,"",SUMIFS(expected_production[Expected Production (kWh)],expected_production[Site Name],A1843,expected_production[Date],B1843)),"")</f>
        <v>18646.2</v>
      </c>
      <c r="E1843" s="9">
        <f t="shared" si="58"/>
        <v>0.60859585331059407</v>
      </c>
      <c r="F1843" t="str">
        <f t="shared" si="59"/>
        <v>Poor</v>
      </c>
    </row>
    <row r="1844" spans="1:6" ht="15" customHeight="1" x14ac:dyDescent="0.3">
      <c r="A1844" t="s">
        <v>166</v>
      </c>
      <c r="B1844" s="2">
        <v>45474</v>
      </c>
      <c r="C1844" cm="1">
        <f t="array" ref="C1844">IFERROR(IF(SUMPRODUCT((measured[Site Name]=A1844)*(measured[Date]=B1844)*ISNUMBER(measured[Measured Value (kWh)]))=0,"",SUMIFS(measured[Measured Value (kWh)],measured[Site Name],A1844,measured[Date],B1844)),"")</f>
        <v>12215</v>
      </c>
      <c r="D1844" cm="1">
        <f t="array" ref="D1844">IFERROR(IF(SUMPRODUCT((expected_production[Site Name]=A1844)*(expected_production[Date]=B1844)*ISNUMBER(expected_production[Expected Production (kWh)]))=0,"",SUMIFS(expected_production[Expected Production (kWh)],expected_production[Site Name],A1844,expected_production[Date],B1844)),"")</f>
        <v>19629.900000000001</v>
      </c>
      <c r="E1844" s="9">
        <f t="shared" si="58"/>
        <v>0.62226501408565504</v>
      </c>
      <c r="F1844" t="str">
        <f t="shared" si="59"/>
        <v>Poor</v>
      </c>
    </row>
    <row r="1845" spans="1:6" ht="15" customHeight="1" x14ac:dyDescent="0.3">
      <c r="A1845" t="s">
        <v>166</v>
      </c>
      <c r="B1845" s="2">
        <v>45505</v>
      </c>
      <c r="C1845" cm="1">
        <f t="array" ref="C1845">IFERROR(IF(SUMPRODUCT((measured[Site Name]=A1845)*(measured[Date]=B1845)*ISNUMBER(measured[Measured Value (kWh)]))=0,"",SUMIFS(measured[Measured Value (kWh)],measured[Site Name],A1845,measured[Date],B1845)),"")</f>
        <v>12637</v>
      </c>
      <c r="D1845" cm="1">
        <f t="array" ref="D1845">IFERROR(IF(SUMPRODUCT((expected_production[Site Name]=A1845)*(expected_production[Date]=B1845)*ISNUMBER(expected_production[Expected Production (kWh)]))=0,"",SUMIFS(expected_production[Expected Production (kWh)],expected_production[Site Name],A1845,expected_production[Date],B1845)),"")</f>
        <v>22998.6</v>
      </c>
      <c r="E1845" s="9">
        <f t="shared" si="58"/>
        <v>0.5494682285008653</v>
      </c>
      <c r="F1845" t="str">
        <f t="shared" si="59"/>
        <v>Poor</v>
      </c>
    </row>
    <row r="1846" spans="1:6" ht="15" customHeight="1" x14ac:dyDescent="0.3">
      <c r="A1846" t="s">
        <v>166</v>
      </c>
      <c r="B1846" s="2">
        <v>45536</v>
      </c>
      <c r="C1846" cm="1">
        <f t="array" ref="C1846">IFERROR(IF(SUMPRODUCT((measured[Site Name]=A1846)*(measured[Date]=B1846)*ISNUMBER(measured[Measured Value (kWh)]))=0,"",SUMIFS(measured[Measured Value (kWh)],measured[Site Name],A1846,measured[Date],B1846)),"")</f>
        <v>12990</v>
      </c>
      <c r="D1846" cm="1">
        <f t="array" ref="D1846">IFERROR(IF(SUMPRODUCT((expected_production[Site Name]=A1846)*(expected_production[Date]=B1846)*ISNUMBER(expected_production[Expected Production (kWh)]))=0,"",SUMIFS(expected_production[Expected Production (kWh)],expected_production[Site Name],A1846,expected_production[Date],B1846)),"")</f>
        <v>22670.1</v>
      </c>
      <c r="E1846" s="9">
        <f t="shared" si="58"/>
        <v>0.57300144242857332</v>
      </c>
      <c r="F1846" t="str">
        <f t="shared" si="59"/>
        <v>Poor</v>
      </c>
    </row>
    <row r="1847" spans="1:6" ht="15" customHeight="1" x14ac:dyDescent="0.3">
      <c r="A1847" t="s">
        <v>166</v>
      </c>
      <c r="B1847" s="2">
        <v>45566</v>
      </c>
      <c r="C1847" cm="1">
        <f t="array" ref="C1847">IFERROR(IF(SUMPRODUCT((measured[Site Name]=A1847)*(measured[Date]=B1847)*ISNUMBER(measured[Measured Value (kWh)]))=0,"",SUMIFS(measured[Measured Value (kWh)],measured[Site Name],A1847,measured[Date],B1847)),"")</f>
        <v>10518</v>
      </c>
      <c r="D1847" cm="1">
        <f t="array" ref="D1847">IFERROR(IF(SUMPRODUCT((expected_production[Site Name]=A1847)*(expected_production[Date]=B1847)*ISNUMBER(expected_production[Expected Production (kWh)]))=0,"",SUMIFS(expected_production[Expected Production (kWh)],expected_production[Site Name],A1847,expected_production[Date],B1847)),"")</f>
        <v>22045.5</v>
      </c>
      <c r="E1847" s="9">
        <f t="shared" si="58"/>
        <v>0.47710417091923524</v>
      </c>
      <c r="F1847" t="str">
        <f t="shared" si="59"/>
        <v>Poor</v>
      </c>
    </row>
    <row r="1848" spans="1:6" ht="15" customHeight="1" x14ac:dyDescent="0.3">
      <c r="A1848" t="s">
        <v>166</v>
      </c>
      <c r="B1848" s="2">
        <v>45597</v>
      </c>
      <c r="C1848" cm="1">
        <f t="array" ref="C1848">IFERROR(IF(SUMPRODUCT((measured[Site Name]=A1848)*(measured[Date]=B1848)*ISNUMBER(measured[Measured Value (kWh)]))=0,"",SUMIFS(measured[Measured Value (kWh)],measured[Site Name],A1848,measured[Date],B1848)),"")</f>
        <v>5878</v>
      </c>
      <c r="D1848" cm="1">
        <f t="array" ref="D1848">IFERROR(IF(SUMPRODUCT((expected_production[Site Name]=A1848)*(expected_production[Date]=B1848)*ISNUMBER(expected_production[Expected Production (kWh)]))=0,"",SUMIFS(expected_production[Expected Production (kWh)],expected_production[Site Name],A1848,expected_production[Date],B1848)),"")</f>
        <v>22062.6</v>
      </c>
      <c r="E1848" s="9">
        <f t="shared" si="58"/>
        <v>0.26642372159219679</v>
      </c>
      <c r="F1848" t="str">
        <f t="shared" si="59"/>
        <v>Poor</v>
      </c>
    </row>
    <row r="1849" spans="1:6" ht="15" customHeight="1" x14ac:dyDescent="0.3">
      <c r="A1849" t="s">
        <v>166</v>
      </c>
      <c r="B1849" s="2">
        <v>45627</v>
      </c>
      <c r="C1849" cm="1">
        <f t="array" ref="C1849">IFERROR(IF(SUMPRODUCT((measured[Site Name]=A1849)*(measured[Date]=B1849)*ISNUMBER(measured[Measured Value (kWh)]))=0,"",SUMIFS(measured[Measured Value (kWh)],measured[Site Name],A1849,measured[Date],B1849)),"")</f>
        <v>17496</v>
      </c>
      <c r="D1849" cm="1">
        <f t="array" ref="D1849">IFERROR(IF(SUMPRODUCT((expected_production[Site Name]=A1849)*(expected_production[Date]=B1849)*ISNUMBER(expected_production[Expected Production (kWh)]))=0,"",SUMIFS(expected_production[Expected Production (kWh)],expected_production[Site Name],A1849,expected_production[Date],B1849)),"")</f>
        <v>23333.4</v>
      </c>
      <c r="E1849" s="9">
        <f t="shared" si="58"/>
        <v>0.74982642906734542</v>
      </c>
      <c r="F1849" t="str">
        <f t="shared" si="59"/>
        <v>Moderate</v>
      </c>
    </row>
    <row r="1850" spans="1:6" ht="15" customHeight="1" x14ac:dyDescent="0.3">
      <c r="A1850" t="s">
        <v>166</v>
      </c>
      <c r="B1850" s="2">
        <v>45658</v>
      </c>
      <c r="C1850" cm="1">
        <f t="array" ref="C1850">IFERROR(IF(SUMPRODUCT((measured[Site Name]=A1850)*(measured[Date]=B1850)*ISNUMBER(measured[Measured Value (kWh)]))=0,"",SUMIFS(measured[Measured Value (kWh)],measured[Site Name],A1850,measured[Date],B1850)),"")</f>
        <v>16026</v>
      </c>
      <c r="D1850" cm="1">
        <f t="array" ref="D1850">IFERROR(IF(SUMPRODUCT((expected_production[Site Name]=A1850)*(expected_production[Date]=B1850)*ISNUMBER(expected_production[Expected Production (kWh)]))=0,"",SUMIFS(expected_production[Expected Production (kWh)],expected_production[Site Name],A1850,expected_production[Date],B1850)),"")</f>
        <v>23005.8</v>
      </c>
      <c r="E1850" s="9">
        <f t="shared" si="58"/>
        <v>0.69660694259708422</v>
      </c>
      <c r="F1850" t="str">
        <f t="shared" si="59"/>
        <v>Poor</v>
      </c>
    </row>
    <row r="1851" spans="1:6" ht="15" customHeight="1" x14ac:dyDescent="0.3">
      <c r="A1851" t="s">
        <v>166</v>
      </c>
      <c r="B1851" s="2">
        <v>45689</v>
      </c>
      <c r="C1851" cm="1">
        <f t="array" ref="C1851">IFERROR(IF(SUMPRODUCT((measured[Site Name]=A1851)*(measured[Date]=B1851)*ISNUMBER(measured[Measured Value (kWh)]))=0,"",SUMIFS(measured[Measured Value (kWh)],measured[Site Name],A1851,measured[Date],B1851)),"")</f>
        <v>13689</v>
      </c>
      <c r="D1851" cm="1">
        <f t="array" ref="D1851">IFERROR(IF(SUMPRODUCT((expected_production[Site Name]=A1851)*(expected_production[Date]=B1851)*ISNUMBER(expected_production[Expected Production (kWh)]))=0,"",SUMIFS(expected_production[Expected Production (kWh)],expected_production[Site Name],A1851,expected_production[Date],B1851)),"")</f>
        <v>19888.2</v>
      </c>
      <c r="E1851" s="9">
        <f t="shared" si="58"/>
        <v>0.68829758349171866</v>
      </c>
      <c r="F1851" t="str">
        <f t="shared" si="59"/>
        <v>Poor</v>
      </c>
    </row>
    <row r="1852" spans="1:6" ht="15" customHeight="1" x14ac:dyDescent="0.3">
      <c r="A1852" t="s">
        <v>166</v>
      </c>
      <c r="B1852" s="2">
        <v>45717</v>
      </c>
      <c r="C1852" cm="1">
        <f t="array" ref="C1852">IFERROR(IF(SUMPRODUCT((measured[Site Name]=A1852)*(measured[Date]=B1852)*ISNUMBER(measured[Measured Value (kWh)]))=0,"",SUMIFS(measured[Measured Value (kWh)],measured[Site Name],A1852,measured[Date],B1852)),"")</f>
        <v>11995</v>
      </c>
      <c r="D1852" cm="1">
        <f t="array" ref="D1852">IFERROR(IF(SUMPRODUCT((expected_production[Site Name]=A1852)*(expected_production[Date]=B1852)*ISNUMBER(expected_production[Expected Production (kWh)]))=0,"",SUMIFS(expected_production[Expected Production (kWh)],expected_production[Site Name],A1852,expected_production[Date],B1852)),"")</f>
        <v>21952.799999999999</v>
      </c>
      <c r="E1852" s="9">
        <f t="shared" ref="E1852:E1915" si="60">IF(OR(C1852="",D1852="",D1852=0),"",C1852/D1852)</f>
        <v>0.54639954812142422</v>
      </c>
      <c r="F1852" t="str">
        <f t="shared" ref="F1852:F1915" si="61">IF(E1852="","",IF(E1852&gt;=0.9,"Expected",IF(E1852&gt;=0.7,"Moderate","Poor")))</f>
        <v>Poor</v>
      </c>
    </row>
    <row r="1853" spans="1:6" ht="15" customHeight="1" x14ac:dyDescent="0.3">
      <c r="A1853" t="s">
        <v>166</v>
      </c>
      <c r="B1853" s="2">
        <v>45748</v>
      </c>
      <c r="C1853" cm="1">
        <f t="array" ref="C1853">IFERROR(IF(SUMPRODUCT((measured[Site Name]=A1853)*(measured[Date]=B1853)*ISNUMBER(measured[Measured Value (kWh)]))=0,"",SUMIFS(measured[Measured Value (kWh)],measured[Site Name],A1853,measured[Date],B1853)),"")</f>
        <v>6680</v>
      </c>
      <c r="D1853" cm="1">
        <f t="array" ref="D1853">IFERROR(IF(SUMPRODUCT((expected_production[Site Name]=A1853)*(expected_production[Date]=B1853)*ISNUMBER(expected_production[Expected Production (kWh)]))=0,"",SUMIFS(expected_production[Expected Production (kWh)],expected_production[Site Name],A1853,expected_production[Date],B1853)),"")</f>
        <v>21444.3</v>
      </c>
      <c r="E1853" s="9">
        <f t="shared" si="60"/>
        <v>0.31150468889168687</v>
      </c>
      <c r="F1853" t="str">
        <f t="shared" si="61"/>
        <v>Poor</v>
      </c>
    </row>
    <row r="1854" spans="1:6" ht="15" customHeight="1" x14ac:dyDescent="0.3">
      <c r="A1854" t="s">
        <v>166</v>
      </c>
      <c r="B1854" s="2">
        <v>45778</v>
      </c>
      <c r="C1854" cm="1">
        <f t="array" ref="C1854">IFERROR(IF(SUMPRODUCT((measured[Site Name]=A1854)*(measured[Date]=B1854)*ISNUMBER(measured[Measured Value (kWh)]))=0,"",SUMIFS(measured[Measured Value (kWh)],measured[Site Name],A1854,measured[Date],B1854)),"")</f>
        <v>11933</v>
      </c>
      <c r="D1854" cm="1">
        <f t="array" ref="D1854">IFERROR(IF(SUMPRODUCT((expected_production[Site Name]=A1854)*(expected_production[Date]=B1854)*ISNUMBER(expected_production[Expected Production (kWh)]))=0,"",SUMIFS(expected_production[Expected Production (kWh)],expected_production[Site Name],A1854,expected_production[Date],B1854)),"")</f>
        <v>20688.3</v>
      </c>
      <c r="E1854" s="9">
        <f t="shared" si="60"/>
        <v>0.57679944703044717</v>
      </c>
      <c r="F1854" t="str">
        <f t="shared" si="61"/>
        <v>Poor</v>
      </c>
    </row>
    <row r="1855" spans="1:6" ht="15" customHeight="1" x14ac:dyDescent="0.3">
      <c r="A1855" t="s">
        <v>166</v>
      </c>
      <c r="B1855" s="2">
        <v>45809</v>
      </c>
      <c r="C1855" cm="1">
        <f t="array" ref="C1855">IFERROR(IF(SUMPRODUCT((measured[Site Name]=A1855)*(measured[Date]=B1855)*ISNUMBER(measured[Measured Value (kWh)]))=0,"",SUMIFS(measured[Measured Value (kWh)],measured[Site Name],A1855,measured[Date],B1855)),"")</f>
        <v>9797.26</v>
      </c>
      <c r="D1855" cm="1">
        <f t="array" ref="D1855">IFERROR(IF(SUMPRODUCT((expected_production[Site Name]=A1855)*(expected_production[Date]=B1855)*ISNUMBER(expected_production[Expected Production (kWh)]))=0,"",SUMIFS(expected_production[Expected Production (kWh)],expected_production[Site Name],A1855,expected_production[Date],B1855)),"")</f>
        <v>18646.2</v>
      </c>
      <c r="E1855" s="9">
        <f t="shared" si="60"/>
        <v>0.52542930999345705</v>
      </c>
      <c r="F1855" t="str">
        <f t="shared" si="61"/>
        <v>Poor</v>
      </c>
    </row>
    <row r="1856" spans="1:6" ht="15" customHeight="1" x14ac:dyDescent="0.3">
      <c r="A1856" t="s">
        <v>166</v>
      </c>
      <c r="B1856" s="2">
        <v>45839</v>
      </c>
      <c r="C1856" cm="1">
        <f t="array" ref="C1856">IFERROR(IF(SUMPRODUCT((measured[Site Name]=A1856)*(measured[Date]=B1856)*ISNUMBER(measured[Measured Value (kWh)]))=0,"",SUMIFS(measured[Measured Value (kWh)],measured[Site Name],A1856,measured[Date],B1856)),"")</f>
        <v>9134.4</v>
      </c>
      <c r="D1856" cm="1">
        <f t="array" ref="D1856">IFERROR(IF(SUMPRODUCT((expected_production[Site Name]=A1856)*(expected_production[Date]=B1856)*ISNUMBER(expected_production[Expected Production (kWh)]))=0,"",SUMIFS(expected_production[Expected Production (kWh)],expected_production[Site Name],A1856,expected_production[Date],B1856)),"")</f>
        <v>19629.900000000001</v>
      </c>
      <c r="E1856" s="9">
        <f t="shared" si="60"/>
        <v>0.46533094921522772</v>
      </c>
      <c r="F1856" t="str">
        <f t="shared" si="61"/>
        <v>Poor</v>
      </c>
    </row>
    <row r="1857" spans="1:7" ht="15" customHeight="1" x14ac:dyDescent="0.3">
      <c r="A1857" t="s">
        <v>166</v>
      </c>
      <c r="B1857" s="2">
        <v>45870</v>
      </c>
      <c r="C1857" cm="1">
        <f t="array" ref="C1857">IFERROR(IF(SUMPRODUCT((measured[Site Name]=A1857)*(measured[Date]=B1857)*ISNUMBER(measured[Measured Value (kWh)]))=0,"",SUMIFS(measured[Measured Value (kWh)],measured[Site Name],A1857,measured[Date],B1857)),"")</f>
        <v>15551</v>
      </c>
      <c r="D1857" cm="1">
        <f t="array" ref="D1857">IFERROR(IF(SUMPRODUCT((expected_production[Site Name]=A1857)*(expected_production[Date]=B1857)*ISNUMBER(expected_production[Expected Production (kWh)]))=0,"",SUMIFS(expected_production[Expected Production (kWh)],expected_production[Site Name],A1857,expected_production[Date],B1857)),"")</f>
        <v>22998.6</v>
      </c>
      <c r="E1857" s="9">
        <f t="shared" si="60"/>
        <v>0.67617159305349028</v>
      </c>
      <c r="F1857" t="str">
        <f t="shared" si="61"/>
        <v>Poor</v>
      </c>
    </row>
    <row r="1858" spans="1:7" ht="15" customHeight="1" x14ac:dyDescent="0.3">
      <c r="A1858" t="s">
        <v>166</v>
      </c>
      <c r="B1858" s="2">
        <v>45901</v>
      </c>
      <c r="C1858" cm="1">
        <f t="array" ref="C1858">IFERROR(IF(SUMPRODUCT((measured[Site Name]=A1858)*(measured[Date]=B1858)*ISNUMBER(measured[Measured Value (kWh)]))=0,"",SUMIFS(measured[Measured Value (kWh)],measured[Site Name],A1858,measured[Date],B1858)),"")</f>
        <v>14894</v>
      </c>
      <c r="D1858" cm="1">
        <f t="array" ref="D1858">IFERROR(IF(SUMPRODUCT((expected_production[Site Name]=A1858)*(expected_production[Date]=B1858)*ISNUMBER(expected_production[Expected Production (kWh)]))=0,"",SUMIFS(expected_production[Expected Production (kWh)],expected_production[Site Name],A1858,expected_production[Date],B1858)),"")</f>
        <v>22670.1</v>
      </c>
      <c r="E1858" s="9">
        <f t="shared" si="60"/>
        <v>0.65698872082611015</v>
      </c>
      <c r="F1858" t="str">
        <f t="shared" si="61"/>
        <v>Poor</v>
      </c>
    </row>
    <row r="1859" spans="1:7" ht="15" customHeight="1" x14ac:dyDescent="0.3">
      <c r="A1859" t="s">
        <v>166</v>
      </c>
      <c r="B1859" s="2">
        <v>45931</v>
      </c>
      <c r="C1859" cm="1">
        <f t="array" ref="C1859">IFERROR(IF(SUMPRODUCT((measured[Site Name]=A1859)*(measured[Date]=B1859)*ISNUMBER(measured[Measured Value (kWh)]))=0,"",SUMIFS(measured[Measured Value (kWh)],measured[Site Name],A1859,measured[Date],B1859)),"")</f>
        <v>17167</v>
      </c>
      <c r="D1859" cm="1">
        <f t="array" ref="D1859">IFERROR(IF(SUMPRODUCT((expected_production[Site Name]=A1859)*(expected_production[Date]=B1859)*ISNUMBER(expected_production[Expected Production (kWh)]))=0,"",SUMIFS(expected_production[Expected Production (kWh)],expected_production[Site Name],A1859,expected_production[Date],B1859)),"")</f>
        <v>22045.5</v>
      </c>
      <c r="E1859" s="9">
        <f t="shared" si="60"/>
        <v>0.77870767276768504</v>
      </c>
      <c r="F1859" t="str">
        <f t="shared" si="61"/>
        <v>Moderate</v>
      </c>
    </row>
    <row r="1860" spans="1:7" ht="15" customHeight="1" x14ac:dyDescent="0.3">
      <c r="A1860" t="s">
        <v>166</v>
      </c>
      <c r="B1860" s="2">
        <v>45962</v>
      </c>
      <c r="C1860" cm="1">
        <f t="array" ref="C1860">IFERROR(IF(SUMPRODUCT((measured[Site Name]=A1860)*(measured[Date]=B1860)*ISNUMBER(measured[Measured Value (kWh)]))=0,"",SUMIFS(measured[Measured Value (kWh)],measured[Site Name],A1860,measured[Date],B1860)),"")</f>
        <v>14437</v>
      </c>
      <c r="D1860" cm="1">
        <f t="array" ref="D1860">IFERROR(IF(SUMPRODUCT((expected_production[Site Name]=A1860)*(expected_production[Date]=B1860)*ISNUMBER(expected_production[Expected Production (kWh)]))=0,"",SUMIFS(expected_production[Expected Production (kWh)],expected_production[Site Name],A1860,expected_production[Date],B1860)),"")</f>
        <v>22062.6</v>
      </c>
      <c r="E1860" s="9">
        <f t="shared" si="60"/>
        <v>0.6543653059929474</v>
      </c>
      <c r="F1860" t="str">
        <f t="shared" si="61"/>
        <v>Poor</v>
      </c>
    </row>
    <row r="1861" spans="1:7" ht="15" customHeight="1" x14ac:dyDescent="0.3">
      <c r="A1861" t="s">
        <v>166</v>
      </c>
      <c r="B1861" s="2">
        <v>45992</v>
      </c>
      <c r="C1861" cm="1">
        <f t="array" ref="C1861">IFERROR(IF(SUMPRODUCT((measured[Site Name]=A1861)*(measured[Date]=B1861)*ISNUMBER(measured[Measured Value (kWh)]))=0,"",SUMIFS(measured[Measured Value (kWh)],measured[Site Name],A1861,measured[Date],B1861)),"")</f>
        <v>14721</v>
      </c>
      <c r="D1861" cm="1">
        <f t="array" ref="D1861">IFERROR(IF(SUMPRODUCT((expected_production[Site Name]=A1861)*(expected_production[Date]=B1861)*ISNUMBER(expected_production[Expected Production (kWh)]))=0,"",SUMIFS(expected_production[Expected Production (kWh)],expected_production[Site Name],A1861,expected_production[Date],B1861)),"")</f>
        <v>23333.4</v>
      </c>
      <c r="E1861" s="9">
        <f t="shared" si="60"/>
        <v>0.63089819743372155</v>
      </c>
      <c r="F1861" t="str">
        <f t="shared" si="61"/>
        <v>Poor</v>
      </c>
    </row>
    <row r="1862" spans="1:7" ht="15" customHeight="1" x14ac:dyDescent="0.3">
      <c r="A1862" t="s">
        <v>166</v>
      </c>
      <c r="B1862" s="2">
        <v>46023</v>
      </c>
      <c r="C1862" cm="1">
        <f t="array" ref="C1862">IFERROR(IF(SUMPRODUCT((measured[Site Name]=A1862)*(measured[Date]=B1862)*ISNUMBER(measured[Measured Value (kWh)]))=0,"",SUMIFS(measured[Measured Value (kWh)],measured[Site Name],A1862,measured[Date],B1862)),"")</f>
        <v>16129</v>
      </c>
      <c r="D1862" cm="1">
        <f t="array" ref="D1862">IFERROR(IF(SUMPRODUCT((expected_production[Site Name]=A1862)*(expected_production[Date]=B1862)*ISNUMBER(expected_production[Expected Production (kWh)]))=0,"",SUMIFS(expected_production[Expected Production (kWh)],expected_production[Site Name],A1862,expected_production[Date],B1862)),"")</f>
        <v>23005.8</v>
      </c>
      <c r="E1862" s="9">
        <f t="shared" si="60"/>
        <v>0.70108407445079068</v>
      </c>
      <c r="F1862" t="str">
        <f t="shared" si="61"/>
        <v>Moderate</v>
      </c>
    </row>
    <row r="1863" spans="1:7" ht="15" customHeight="1" x14ac:dyDescent="0.3">
      <c r="A1863" t="s">
        <v>166</v>
      </c>
      <c r="B1863" s="2">
        <v>46054</v>
      </c>
      <c r="C1863" cm="1">
        <f t="array" ref="C1863">IFERROR(IF(SUMPRODUCT((measured[Site Name]=A1863)*(measured[Date]=B1863)*ISNUMBER(measured[Measured Value (kWh)]))=0,"",SUMIFS(measured[Measured Value (kWh)],measured[Site Name],A1863,measured[Date],B1863)),"")</f>
        <v>15901</v>
      </c>
      <c r="D1863" cm="1">
        <f t="array" ref="D1863">IFERROR(IF(SUMPRODUCT((expected_production[Site Name]=A1863)*(expected_production[Date]=B1863)*ISNUMBER(expected_production[Expected Production (kWh)]))=0,"",SUMIFS(expected_production[Expected Production (kWh)],expected_production[Site Name],A1863,expected_production[Date],B1863)),"")</f>
        <v>19888.2</v>
      </c>
      <c r="E1863" s="9">
        <f t="shared" si="60"/>
        <v>0.79951931295944323</v>
      </c>
      <c r="F1863" t="str">
        <f t="shared" si="61"/>
        <v>Moderate</v>
      </c>
    </row>
    <row r="1864" spans="1:7" ht="15" customHeight="1" x14ac:dyDescent="0.3">
      <c r="A1864" t="s">
        <v>166</v>
      </c>
      <c r="B1864" s="2">
        <v>46082</v>
      </c>
      <c r="C1864" cm="1">
        <f t="array" ref="C1864">IFERROR(IF(SUMPRODUCT((measured[Site Name]=A1864)*(measured[Date]=B1864)*ISNUMBER(measured[Measured Value (kWh)]))=0,"",SUMIFS(measured[Measured Value (kWh)],measured[Site Name],A1864,measured[Date],B1864)),"")</f>
        <v>13942</v>
      </c>
      <c r="D1864" cm="1">
        <f t="array" ref="D1864">IFERROR(IF(SUMPRODUCT((expected_production[Site Name]=A1864)*(expected_production[Date]=B1864)*ISNUMBER(expected_production[Expected Production (kWh)]))=0,"",SUMIFS(expected_production[Expected Production (kWh)],expected_production[Site Name],A1864,expected_production[Date],B1864)),"")</f>
        <v>21952.799999999999</v>
      </c>
      <c r="E1864" s="9">
        <f t="shared" si="60"/>
        <v>0.63508982908786127</v>
      </c>
      <c r="F1864" t="str">
        <f t="shared" si="61"/>
        <v>Poor</v>
      </c>
    </row>
    <row r="1865" spans="1:7" ht="15" customHeight="1" x14ac:dyDescent="0.3">
      <c r="A1865" t="s">
        <v>166</v>
      </c>
      <c r="B1865" s="2">
        <v>46113</v>
      </c>
      <c r="C1865" cm="1">
        <f t="array" ref="C1865">IFERROR(IF(SUMPRODUCT((measured[Site Name]=A1865)*(measured[Date]=B1865)*ISNUMBER(measured[Measured Value (kWh)]))=0,"",SUMIFS(measured[Measured Value (kWh)],measured[Site Name],A1865,measured[Date],B1865)),"")</f>
        <v>12240.56</v>
      </c>
      <c r="D1865" cm="1">
        <f t="array" ref="D1865">IFERROR(IF(SUMPRODUCT((expected_production[Site Name]=A1865)*(expected_production[Date]=B1865)*ISNUMBER(expected_production[Expected Production (kWh)]))=0,"",SUMIFS(expected_production[Expected Production (kWh)],expected_production[Site Name],A1865,expected_production[Date],B1865)),"")</f>
        <v>21444.3</v>
      </c>
      <c r="E1865" s="9">
        <f t="shared" si="60"/>
        <v>0.57080716087724948</v>
      </c>
      <c r="F1865" t="str">
        <f t="shared" si="61"/>
        <v>Poor</v>
      </c>
    </row>
    <row r="1866" spans="1:7" ht="15" customHeight="1" x14ac:dyDescent="0.3">
      <c r="A1866" t="s">
        <v>166</v>
      </c>
      <c r="B1866" s="2">
        <v>46143</v>
      </c>
      <c r="C1866" cm="1">
        <f t="array" ref="C1866">IFERROR(IF(SUMPRODUCT((measured[Site Name]=A1866)*(measured[Date]=B1866)*ISNUMBER(measured[Measured Value (kWh)]))=0,"",SUMIFS(measured[Measured Value (kWh)],measured[Site Name],A1866,measured[Date],B1866)),"")</f>
        <v>12352.61</v>
      </c>
      <c r="D1866" cm="1">
        <f t="array" ref="D1866">IFERROR(IF(SUMPRODUCT((expected_production[Site Name]=A1866)*(expected_production[Date]=B1866)*ISNUMBER(expected_production[Expected Production (kWh)]))=0,"",SUMIFS(expected_production[Expected Production (kWh)],expected_production[Site Name],A1866,expected_production[Date],B1866)),"")</f>
        <v>20688.3</v>
      </c>
      <c r="E1866" s="9">
        <f t="shared" si="60"/>
        <v>0.59708192553278916</v>
      </c>
      <c r="F1866" t="str">
        <f t="shared" si="61"/>
        <v>Poor</v>
      </c>
    </row>
    <row r="1867" spans="1:7" ht="15" customHeight="1" x14ac:dyDescent="0.3">
      <c r="A1867" t="s">
        <v>166</v>
      </c>
      <c r="B1867" s="2">
        <v>46174</v>
      </c>
      <c r="C1867" cm="1">
        <f t="array" ref="C1867">IFERROR(IF(SUMPRODUCT((measured[Site Name]=A1867)*(measured[Date]=B1867)*ISNUMBER(measured[Measured Value (kWh)]))=0,"",SUMIFS(measured[Measured Value (kWh)],measured[Site Name],A1867,measured[Date],B1867)),"")</f>
        <v>11089</v>
      </c>
      <c r="D1867" cm="1">
        <f t="array" ref="D1867">IFERROR(IF(SUMPRODUCT((expected_production[Site Name]=A1867)*(expected_production[Date]=B1867)*ISNUMBER(expected_production[Expected Production (kWh)]))=0,"",SUMIFS(expected_production[Expected Production (kWh)],expected_production[Site Name],A1867,expected_production[Date],B1867)),"")</f>
        <v>18646.2</v>
      </c>
      <c r="E1867" s="9">
        <f t="shared" si="60"/>
        <v>0.59470562366594804</v>
      </c>
      <c r="F1867" t="str">
        <f t="shared" si="61"/>
        <v>Poor</v>
      </c>
    </row>
    <row r="1868" spans="1:7" ht="15" customHeight="1" x14ac:dyDescent="0.3">
      <c r="A1868" t="s">
        <v>166</v>
      </c>
      <c r="B1868" s="2">
        <v>46204</v>
      </c>
      <c r="C1868" cm="1">
        <f t="array" ref="C1868">IFERROR(IF(SUMPRODUCT((measured[Site Name]=A1868)*(measured[Date]=B1868)*ISNUMBER(measured[Measured Value (kWh)]))=0,"",SUMIFS(measured[Measured Value (kWh)],measured[Site Name],A1868,measured[Date],B1868)),"")</f>
        <v>12059</v>
      </c>
      <c r="D1868" cm="1">
        <f t="array" ref="D1868">IFERROR(IF(SUMPRODUCT((expected_production[Site Name]=A1868)*(expected_production[Date]=B1868)*ISNUMBER(expected_production[Expected Production (kWh)]))=0,"",SUMIFS(expected_production[Expected Production (kWh)],expected_production[Site Name],A1868,expected_production[Date],B1868)),"")</f>
        <v>19629.900000000001</v>
      </c>
      <c r="E1868" s="9">
        <f t="shared" si="60"/>
        <v>0.61431795373384479</v>
      </c>
      <c r="F1868" t="str">
        <f t="shared" si="61"/>
        <v>Poor</v>
      </c>
      <c r="G1868" t="s">
        <v>874</v>
      </c>
    </row>
    <row r="1869" spans="1:7" ht="15" customHeight="1" x14ac:dyDescent="0.3">
      <c r="A1869" t="s">
        <v>166</v>
      </c>
      <c r="B1869" s="2">
        <v>46235</v>
      </c>
      <c r="C1869" t="str" cm="1">
        <f t="array" ref="C1869">IFERROR(IF(SUMPRODUCT((measured[Site Name]=A1869)*(measured[Date]=B1869)*ISNUMBER(measured[Measured Value (kWh)]))=0,"",SUMIFS(measured[Measured Value (kWh)],measured[Site Name],A1869,measured[Date],B1869)),"")</f>
        <v/>
      </c>
      <c r="D1869" cm="1">
        <f t="array" ref="D1869">IFERROR(IF(SUMPRODUCT((expected_production[Site Name]=A1869)*(expected_production[Date]=B1869)*ISNUMBER(expected_production[Expected Production (kWh)]))=0,"",SUMIFS(expected_production[Expected Production (kWh)],expected_production[Site Name],A1869,expected_production[Date],B1869)),"")</f>
        <v>22998.6</v>
      </c>
      <c r="E1869" s="9" t="str">
        <f t="shared" si="60"/>
        <v/>
      </c>
      <c r="F1869" t="str">
        <f t="shared" si="61"/>
        <v/>
      </c>
    </row>
    <row r="1870" spans="1:7" ht="15" customHeight="1" x14ac:dyDescent="0.3">
      <c r="A1870" t="s">
        <v>166</v>
      </c>
      <c r="B1870" s="2">
        <v>46266</v>
      </c>
      <c r="C1870" t="str" cm="1">
        <f t="array" ref="C1870">IFERROR(IF(SUMPRODUCT((measured[Site Name]=A1870)*(measured[Date]=B1870)*ISNUMBER(measured[Measured Value (kWh)]))=0,"",SUMIFS(measured[Measured Value (kWh)],measured[Site Name],A1870,measured[Date],B1870)),"")</f>
        <v/>
      </c>
      <c r="D1870" cm="1">
        <f t="array" ref="D1870">IFERROR(IF(SUMPRODUCT((expected_production[Site Name]=A1870)*(expected_production[Date]=B1870)*ISNUMBER(expected_production[Expected Production (kWh)]))=0,"",SUMIFS(expected_production[Expected Production (kWh)],expected_production[Site Name],A1870,expected_production[Date],B1870)),"")</f>
        <v>22670.1</v>
      </c>
      <c r="E1870" s="9" t="str">
        <f t="shared" si="60"/>
        <v/>
      </c>
      <c r="F1870" t="str">
        <f t="shared" si="61"/>
        <v/>
      </c>
    </row>
    <row r="1871" spans="1:7" ht="15" customHeight="1" x14ac:dyDescent="0.3">
      <c r="A1871" t="s">
        <v>166</v>
      </c>
      <c r="B1871" s="2">
        <v>46296</v>
      </c>
      <c r="C1871" t="str" cm="1">
        <f t="array" ref="C1871">IFERROR(IF(SUMPRODUCT((measured[Site Name]=A1871)*(measured[Date]=B1871)*ISNUMBER(measured[Measured Value (kWh)]))=0,"",SUMIFS(measured[Measured Value (kWh)],measured[Site Name],A1871,measured[Date],B1871)),"")</f>
        <v/>
      </c>
      <c r="D1871" cm="1">
        <f t="array" ref="D1871">IFERROR(IF(SUMPRODUCT((expected_production[Site Name]=A1871)*(expected_production[Date]=B1871)*ISNUMBER(expected_production[Expected Production (kWh)]))=0,"",SUMIFS(expected_production[Expected Production (kWh)],expected_production[Site Name],A1871,expected_production[Date],B1871)),"")</f>
        <v>22045.5</v>
      </c>
      <c r="E1871" s="9" t="str">
        <f t="shared" si="60"/>
        <v/>
      </c>
      <c r="F1871" t="str">
        <f t="shared" si="61"/>
        <v/>
      </c>
    </row>
    <row r="1872" spans="1:7" ht="15" customHeight="1" x14ac:dyDescent="0.3">
      <c r="A1872" t="s">
        <v>166</v>
      </c>
      <c r="B1872" s="2">
        <v>46327</v>
      </c>
      <c r="C1872" t="str" cm="1">
        <f t="array" ref="C1872">IFERROR(IF(SUMPRODUCT((measured[Site Name]=A1872)*(measured[Date]=B1872)*ISNUMBER(measured[Measured Value (kWh)]))=0,"",SUMIFS(measured[Measured Value (kWh)],measured[Site Name],A1872,measured[Date],B1872)),"")</f>
        <v/>
      </c>
      <c r="D1872" cm="1">
        <f t="array" ref="D1872">IFERROR(IF(SUMPRODUCT((expected_production[Site Name]=A1872)*(expected_production[Date]=B1872)*ISNUMBER(expected_production[Expected Production (kWh)]))=0,"",SUMIFS(expected_production[Expected Production (kWh)],expected_production[Site Name],A1872,expected_production[Date],B1872)),"")</f>
        <v>22062.6</v>
      </c>
      <c r="E1872" s="9" t="str">
        <f t="shared" si="60"/>
        <v/>
      </c>
      <c r="F1872" t="str">
        <f t="shared" si="61"/>
        <v/>
      </c>
    </row>
    <row r="1873" spans="1:6" ht="15" customHeight="1" x14ac:dyDescent="0.3">
      <c r="A1873" t="s">
        <v>166</v>
      </c>
      <c r="B1873" s="2">
        <v>46357</v>
      </c>
      <c r="C1873" t="str" cm="1">
        <f t="array" ref="C1873">IFERROR(IF(SUMPRODUCT((measured[Site Name]=A1873)*(measured[Date]=B1873)*ISNUMBER(measured[Measured Value (kWh)]))=0,"",SUMIFS(measured[Measured Value (kWh)],measured[Site Name],A1873,measured[Date],B1873)),"")</f>
        <v/>
      </c>
      <c r="D1873" cm="1">
        <f t="array" ref="D1873">IFERROR(IF(SUMPRODUCT((expected_production[Site Name]=A1873)*(expected_production[Date]=B1873)*ISNUMBER(expected_production[Expected Production (kWh)]))=0,"",SUMIFS(expected_production[Expected Production (kWh)],expected_production[Site Name],A1873,expected_production[Date],B1873)),"")</f>
        <v>23333.4</v>
      </c>
      <c r="E1873" s="9" t="str">
        <f t="shared" si="60"/>
        <v/>
      </c>
      <c r="F1873" t="str">
        <f t="shared" si="61"/>
        <v/>
      </c>
    </row>
    <row r="1874" spans="1:6" ht="15" customHeight="1" x14ac:dyDescent="0.3">
      <c r="A1874" t="s">
        <v>169</v>
      </c>
      <c r="B1874" s="2">
        <v>45292</v>
      </c>
      <c r="C1874" cm="1">
        <f t="array" ref="C1874">IFERROR(IF(SUMPRODUCT((measured[Site Name]=A1874)*(measured[Date]=B1874)*ISNUMBER(measured[Measured Value (kWh)]))=0,"",SUMIFS(measured[Measured Value (kWh)],measured[Site Name],A1874,measured[Date],B1874)),"")</f>
        <v>1424</v>
      </c>
      <c r="D1874" cm="1">
        <f t="array" ref="D1874">IFERROR(IF(SUMPRODUCT((expected_production[Site Name]=A1874)*(expected_production[Date]=B1874)*ISNUMBER(expected_production[Expected Production (kWh)]))=0,"",SUMIFS(expected_production[Expected Production (kWh)],expected_production[Site Name],A1874,expected_production[Date],B1874)),"")</f>
        <v>3308.4549999999999</v>
      </c>
      <c r="E1874" s="9">
        <f t="shared" si="60"/>
        <v>0.43041238281917088</v>
      </c>
      <c r="F1874" t="str">
        <f t="shared" si="61"/>
        <v>Poor</v>
      </c>
    </row>
    <row r="1875" spans="1:6" ht="15" customHeight="1" x14ac:dyDescent="0.3">
      <c r="A1875" t="s">
        <v>169</v>
      </c>
      <c r="B1875" s="2">
        <v>45323</v>
      </c>
      <c r="C1875" cm="1">
        <f t="array" ref="C1875">IFERROR(IF(SUMPRODUCT((measured[Site Name]=A1875)*(measured[Date]=B1875)*ISNUMBER(measured[Measured Value (kWh)]))=0,"",SUMIFS(measured[Measured Value (kWh)],measured[Site Name],A1875,measured[Date],B1875)),"")</f>
        <v>1471</v>
      </c>
      <c r="D1875" cm="1">
        <f t="array" ref="D1875">IFERROR(IF(SUMPRODUCT((expected_production[Site Name]=A1875)*(expected_production[Date]=B1875)*ISNUMBER(expected_production[Expected Production (kWh)]))=0,"",SUMIFS(expected_production[Expected Production (kWh)],expected_production[Site Name],A1875,expected_production[Date],B1875)),"")</f>
        <v>2856.5949999999998</v>
      </c>
      <c r="E1875" s="9">
        <f t="shared" si="60"/>
        <v>0.51494874142116753</v>
      </c>
      <c r="F1875" t="str">
        <f t="shared" si="61"/>
        <v>Poor</v>
      </c>
    </row>
    <row r="1876" spans="1:6" ht="15" customHeight="1" x14ac:dyDescent="0.3">
      <c r="A1876" t="s">
        <v>169</v>
      </c>
      <c r="B1876" s="2">
        <v>45352</v>
      </c>
      <c r="C1876" cm="1">
        <f t="array" ref="C1876">IFERROR(IF(SUMPRODUCT((measured[Site Name]=A1876)*(measured[Date]=B1876)*ISNUMBER(measured[Measured Value (kWh)]))=0,"",SUMIFS(measured[Measured Value (kWh)],measured[Site Name],A1876,measured[Date],B1876)),"")</f>
        <v>1705</v>
      </c>
      <c r="D1876" cm="1">
        <f t="array" ref="D1876">IFERROR(IF(SUMPRODUCT((expected_production[Site Name]=A1876)*(expected_production[Date]=B1876)*ISNUMBER(expected_production[Expected Production (kWh)]))=0,"",SUMIFS(expected_production[Expected Production (kWh)],expected_production[Site Name],A1876,expected_production[Date],B1876)),"")</f>
        <v>3155.625</v>
      </c>
      <c r="E1876" s="9">
        <f t="shared" si="60"/>
        <v>0.54030501089324623</v>
      </c>
      <c r="F1876" t="str">
        <f t="shared" si="61"/>
        <v>Poor</v>
      </c>
    </row>
    <row r="1877" spans="1:6" ht="15" customHeight="1" x14ac:dyDescent="0.3">
      <c r="A1877" t="s">
        <v>169</v>
      </c>
      <c r="B1877" s="2">
        <v>45383</v>
      </c>
      <c r="C1877" cm="1">
        <f t="array" ref="C1877">IFERROR(IF(SUMPRODUCT((measured[Site Name]=A1877)*(measured[Date]=B1877)*ISNUMBER(measured[Measured Value (kWh)]))=0,"",SUMIFS(measured[Measured Value (kWh)],measured[Site Name],A1877,measured[Date],B1877)),"")</f>
        <v>1306</v>
      </c>
      <c r="D1877" cm="1">
        <f t="array" ref="D1877">IFERROR(IF(SUMPRODUCT((expected_production[Site Name]=A1877)*(expected_production[Date]=B1877)*ISNUMBER(expected_production[Expected Production (kWh)]))=0,"",SUMIFS(expected_production[Expected Production (kWh)],expected_production[Site Name],A1877,expected_production[Date],B1877)),"")</f>
        <v>3081.8449999999998</v>
      </c>
      <c r="E1877" s="9">
        <f t="shared" si="60"/>
        <v>0.42377212351691929</v>
      </c>
      <c r="F1877" t="str">
        <f t="shared" si="61"/>
        <v>Poor</v>
      </c>
    </row>
    <row r="1878" spans="1:6" ht="15" customHeight="1" x14ac:dyDescent="0.3">
      <c r="A1878" t="s">
        <v>169</v>
      </c>
      <c r="B1878" s="2">
        <v>45413</v>
      </c>
      <c r="C1878" cm="1">
        <f t="array" ref="C1878">IFERROR(IF(SUMPRODUCT((measured[Site Name]=A1878)*(measured[Date]=B1878)*ISNUMBER(measured[Measured Value (kWh)]))=0,"",SUMIFS(measured[Measured Value (kWh)],measured[Site Name],A1878,measured[Date],B1878)),"")</f>
        <v>856</v>
      </c>
      <c r="D1878" cm="1">
        <f t="array" ref="D1878">IFERROR(IF(SUMPRODUCT((expected_production[Site Name]=A1878)*(expected_production[Date]=B1878)*ISNUMBER(expected_production[Expected Production (kWh)]))=0,"",SUMIFS(expected_production[Expected Production (kWh)],expected_production[Site Name],A1878,expected_production[Date],B1878)),"")</f>
        <v>2972.875</v>
      </c>
      <c r="E1878" s="9">
        <f t="shared" si="60"/>
        <v>0.28793676155236936</v>
      </c>
      <c r="F1878" t="str">
        <f t="shared" si="61"/>
        <v>Poor</v>
      </c>
    </row>
    <row r="1879" spans="1:6" ht="15" customHeight="1" x14ac:dyDescent="0.3">
      <c r="A1879" t="s">
        <v>169</v>
      </c>
      <c r="B1879" s="2">
        <v>45444</v>
      </c>
      <c r="C1879" cm="1">
        <f t="array" ref="C1879">IFERROR(IF(SUMPRODUCT((measured[Site Name]=A1879)*(measured[Date]=B1879)*ISNUMBER(measured[Measured Value (kWh)]))=0,"",SUMIFS(measured[Measured Value (kWh)],measured[Site Name],A1879,measured[Date],B1879)),"")</f>
        <v>1086</v>
      </c>
      <c r="D1879" cm="1">
        <f t="array" ref="D1879">IFERROR(IF(SUMPRODUCT((expected_production[Site Name]=A1879)*(expected_production[Date]=B1879)*ISNUMBER(expected_production[Expected Production (kWh)]))=0,"",SUMIFS(expected_production[Expected Production (kWh)],expected_production[Site Name],A1879,expected_production[Date],B1879)),"")</f>
        <v>2678.69</v>
      </c>
      <c r="E1879" s="9">
        <f t="shared" si="60"/>
        <v>0.40542205331710651</v>
      </c>
      <c r="F1879" t="str">
        <f t="shared" si="61"/>
        <v>Poor</v>
      </c>
    </row>
    <row r="1880" spans="1:6" ht="15" customHeight="1" x14ac:dyDescent="0.3">
      <c r="A1880" t="s">
        <v>169</v>
      </c>
      <c r="B1880" s="2">
        <v>45474</v>
      </c>
      <c r="C1880" cm="1">
        <f t="array" ref="C1880">IFERROR(IF(SUMPRODUCT((measured[Site Name]=A1880)*(measured[Date]=B1880)*ISNUMBER(measured[Measured Value (kWh)]))=0,"",SUMIFS(measured[Measured Value (kWh)],measured[Site Name],A1880,measured[Date],B1880)),"")</f>
        <v>1232</v>
      </c>
      <c r="D1880" cm="1">
        <f t="array" ref="D1880">IFERROR(IF(SUMPRODUCT((expected_production[Site Name]=A1880)*(expected_production[Date]=B1880)*ISNUMBER(expected_production[Expected Production (kWh)]))=0,"",SUMIFS(expected_production[Expected Production (kWh)],expected_production[Site Name],A1880,expected_production[Date],B1880)),"")</f>
        <v>2819.0250000000001</v>
      </c>
      <c r="E1880" s="9">
        <f t="shared" si="60"/>
        <v>0.43703053360647742</v>
      </c>
      <c r="F1880" t="str">
        <f t="shared" si="61"/>
        <v>Poor</v>
      </c>
    </row>
    <row r="1881" spans="1:6" ht="15" customHeight="1" x14ac:dyDescent="0.3">
      <c r="A1881" t="s">
        <v>169</v>
      </c>
      <c r="B1881" s="2">
        <v>45505</v>
      </c>
      <c r="C1881" cm="1">
        <f t="array" ref="C1881">IFERROR(IF(SUMPRODUCT((measured[Site Name]=A1881)*(measured[Date]=B1881)*ISNUMBER(measured[Measured Value (kWh)]))=0,"",SUMIFS(measured[Measured Value (kWh)],measured[Site Name],A1881,measured[Date],B1881)),"")</f>
        <v>1007</v>
      </c>
      <c r="D1881" cm="1">
        <f t="array" ref="D1881">IFERROR(IF(SUMPRODUCT((expected_production[Site Name]=A1881)*(expected_production[Date]=B1881)*ISNUMBER(expected_production[Expected Production (kWh)]))=0,"",SUMIFS(expected_production[Expected Production (kWh)],expected_production[Site Name],A1881,expected_production[Date],B1881)),"")</f>
        <v>3304.375</v>
      </c>
      <c r="E1881" s="9">
        <f t="shared" si="60"/>
        <v>0.30474749385284661</v>
      </c>
      <c r="F1881" t="str">
        <f t="shared" si="61"/>
        <v>Poor</v>
      </c>
    </row>
    <row r="1882" spans="1:6" ht="15" customHeight="1" x14ac:dyDescent="0.3">
      <c r="A1882" t="s">
        <v>169</v>
      </c>
      <c r="B1882" s="2">
        <v>45536</v>
      </c>
      <c r="C1882" cm="1">
        <f t="array" ref="C1882">IFERROR(IF(SUMPRODUCT((measured[Site Name]=A1882)*(measured[Date]=B1882)*ISNUMBER(measured[Measured Value (kWh)]))=0,"",SUMIFS(measured[Measured Value (kWh)],measured[Site Name],A1882,measured[Date],B1882)),"")</f>
        <v>1218</v>
      </c>
      <c r="D1882" cm="1">
        <f t="array" ref="D1882">IFERROR(IF(SUMPRODUCT((expected_production[Site Name]=A1882)*(expected_production[Date]=B1882)*ISNUMBER(expected_production[Expected Production (kWh)]))=0,"",SUMIFS(expected_production[Expected Production (kWh)],expected_production[Site Name],A1882,expected_production[Date],B1882)),"")</f>
        <v>3255.7550000000001</v>
      </c>
      <c r="E1882" s="9">
        <f t="shared" si="60"/>
        <v>0.37410677400480069</v>
      </c>
      <c r="F1882" t="str">
        <f t="shared" si="61"/>
        <v>Poor</v>
      </c>
    </row>
    <row r="1883" spans="1:6" ht="15" customHeight="1" x14ac:dyDescent="0.3">
      <c r="A1883" t="s">
        <v>169</v>
      </c>
      <c r="B1883" s="2">
        <v>45566</v>
      </c>
      <c r="C1883" cm="1">
        <f t="array" ref="C1883">IFERROR(IF(SUMPRODUCT((measured[Site Name]=A1883)*(measured[Date]=B1883)*ISNUMBER(measured[Measured Value (kWh)]))=0,"",SUMIFS(measured[Measured Value (kWh)],measured[Site Name],A1883,measured[Date],B1883)),"")</f>
        <v>1389</v>
      </c>
      <c r="D1883" cm="1">
        <f t="array" ref="D1883">IFERROR(IF(SUMPRODUCT((expected_production[Site Name]=A1883)*(expected_production[Date]=B1883)*ISNUMBER(expected_production[Expected Production (kWh)]))=0,"",SUMIFS(expected_production[Expected Production (kWh)],expected_production[Site Name],A1883,expected_production[Date],B1883)),"")</f>
        <v>3170.2449999999999</v>
      </c>
      <c r="E1883" s="9">
        <f t="shared" si="60"/>
        <v>0.43813648471963523</v>
      </c>
      <c r="F1883" t="str">
        <f t="shared" si="61"/>
        <v>Poor</v>
      </c>
    </row>
    <row r="1884" spans="1:6" ht="15" customHeight="1" x14ac:dyDescent="0.3">
      <c r="A1884" t="s">
        <v>169</v>
      </c>
      <c r="B1884" s="2">
        <v>45597</v>
      </c>
      <c r="C1884" cm="1">
        <f t="array" ref="C1884">IFERROR(IF(SUMPRODUCT((measured[Site Name]=A1884)*(measured[Date]=B1884)*ISNUMBER(measured[Measured Value (kWh)]))=0,"",SUMIFS(measured[Measured Value (kWh)],measured[Site Name],A1884,measured[Date],B1884)),"")</f>
        <v>1731</v>
      </c>
      <c r="D1884" cm="1">
        <f t="array" ref="D1884">IFERROR(IF(SUMPRODUCT((expected_production[Site Name]=A1884)*(expected_production[Date]=B1884)*ISNUMBER(expected_production[Expected Production (kWh)]))=0,"",SUMIFS(expected_production[Expected Production (kWh)],expected_production[Site Name],A1884,expected_production[Date],B1884)),"")</f>
        <v>3173.1350000000002</v>
      </c>
      <c r="E1884" s="9">
        <f t="shared" si="60"/>
        <v>0.54551728810781763</v>
      </c>
      <c r="F1884" t="str">
        <f t="shared" si="61"/>
        <v>Poor</v>
      </c>
    </row>
    <row r="1885" spans="1:6" ht="15" customHeight="1" x14ac:dyDescent="0.3">
      <c r="A1885" t="s">
        <v>169</v>
      </c>
      <c r="B1885" s="2">
        <v>45627</v>
      </c>
      <c r="C1885" cm="1">
        <f t="array" ref="C1885">IFERROR(IF(SUMPRODUCT((measured[Site Name]=A1885)*(measured[Date]=B1885)*ISNUMBER(measured[Measured Value (kWh)]))=0,"",SUMIFS(measured[Measured Value (kWh)],measured[Site Name],A1885,measured[Date],B1885)),"")</f>
        <v>1418</v>
      </c>
      <c r="D1885" cm="1">
        <f t="array" ref="D1885">IFERROR(IF(SUMPRODUCT((expected_production[Site Name]=A1885)*(expected_production[Date]=B1885)*ISNUMBER(expected_production[Expected Production (kWh)]))=0,"",SUMIFS(expected_production[Expected Production (kWh)],expected_production[Site Name],A1885,expected_production[Date],B1885)),"")</f>
        <v>3354.1849999999999</v>
      </c>
      <c r="E1885" s="9">
        <f t="shared" si="60"/>
        <v>0.42275545326211883</v>
      </c>
      <c r="F1885" t="str">
        <f t="shared" si="61"/>
        <v>Poor</v>
      </c>
    </row>
    <row r="1886" spans="1:6" ht="15" customHeight="1" x14ac:dyDescent="0.3">
      <c r="A1886" t="s">
        <v>169</v>
      </c>
      <c r="B1886" s="2">
        <v>45658</v>
      </c>
      <c r="C1886" cm="1">
        <f t="array" ref="C1886">IFERROR(IF(SUMPRODUCT((measured[Site Name]=A1886)*(measured[Date]=B1886)*ISNUMBER(measured[Measured Value (kWh)]))=0,"",SUMIFS(measured[Measured Value (kWh)],measured[Site Name],A1886,measured[Date],B1886)),"")</f>
        <v>1493</v>
      </c>
      <c r="D1886" cm="1">
        <f t="array" ref="D1886">IFERROR(IF(SUMPRODUCT((expected_production[Site Name]=A1886)*(expected_production[Date]=B1886)*ISNUMBER(expected_production[Expected Production (kWh)]))=0,"",SUMIFS(expected_production[Expected Production (kWh)],expected_production[Site Name],A1886,expected_production[Date],B1886)),"")</f>
        <v>3308.4549999999999</v>
      </c>
      <c r="E1886" s="9">
        <f t="shared" si="60"/>
        <v>0.45126803900914475</v>
      </c>
      <c r="F1886" t="str">
        <f t="shared" si="61"/>
        <v>Poor</v>
      </c>
    </row>
    <row r="1887" spans="1:6" ht="15" customHeight="1" x14ac:dyDescent="0.3">
      <c r="A1887" t="s">
        <v>169</v>
      </c>
      <c r="B1887" s="2">
        <v>45689</v>
      </c>
      <c r="C1887" cm="1">
        <f t="array" ref="C1887">IFERROR(IF(SUMPRODUCT((measured[Site Name]=A1887)*(measured[Date]=B1887)*ISNUMBER(measured[Measured Value (kWh)]))=0,"",SUMIFS(measured[Measured Value (kWh)],measured[Site Name],A1887,measured[Date],B1887)),"")</f>
        <v>1368.9</v>
      </c>
      <c r="D1887" cm="1">
        <f t="array" ref="D1887">IFERROR(IF(SUMPRODUCT((expected_production[Site Name]=A1887)*(expected_production[Date]=B1887)*ISNUMBER(expected_production[Expected Production (kWh)]))=0,"",SUMIFS(expected_production[Expected Production (kWh)],expected_production[Site Name],A1887,expected_production[Date],B1887)),"")</f>
        <v>2856.5949999999998</v>
      </c>
      <c r="E1887" s="9">
        <f t="shared" si="60"/>
        <v>0.47920688792075888</v>
      </c>
      <c r="F1887" t="str">
        <f t="shared" si="61"/>
        <v>Poor</v>
      </c>
    </row>
    <row r="1888" spans="1:6" ht="15" customHeight="1" x14ac:dyDescent="0.3">
      <c r="A1888" t="s">
        <v>169</v>
      </c>
      <c r="B1888" s="2">
        <v>45717</v>
      </c>
      <c r="C1888" cm="1">
        <f t="array" ref="C1888">IFERROR(IF(SUMPRODUCT((measured[Site Name]=A1888)*(measured[Date]=B1888)*ISNUMBER(measured[Measured Value (kWh)]))=0,"",SUMIFS(measured[Measured Value (kWh)],measured[Site Name],A1888,measured[Date],B1888)),"")</f>
        <v>960</v>
      </c>
      <c r="D1888" cm="1">
        <f t="array" ref="D1888">IFERROR(IF(SUMPRODUCT((expected_production[Site Name]=A1888)*(expected_production[Date]=B1888)*ISNUMBER(expected_production[Expected Production (kWh)]))=0,"",SUMIFS(expected_production[Expected Production (kWh)],expected_production[Site Name],A1888,expected_production[Date],B1888)),"")</f>
        <v>3155.625</v>
      </c>
      <c r="E1888" s="9">
        <f t="shared" si="60"/>
        <v>0.30421865715983365</v>
      </c>
      <c r="F1888" t="str">
        <f t="shared" si="61"/>
        <v>Poor</v>
      </c>
    </row>
    <row r="1889" spans="1:7" ht="15" customHeight="1" x14ac:dyDescent="0.3">
      <c r="A1889" t="s">
        <v>169</v>
      </c>
      <c r="B1889" s="2">
        <v>45748</v>
      </c>
      <c r="C1889" cm="1">
        <f t="array" ref="C1889">IFERROR(IF(SUMPRODUCT((measured[Site Name]=A1889)*(measured[Date]=B1889)*ISNUMBER(measured[Measured Value (kWh)]))=0,"",SUMIFS(measured[Measured Value (kWh)],measured[Site Name],A1889,measured[Date],B1889)),"")</f>
        <v>694</v>
      </c>
      <c r="D1889" cm="1">
        <f t="array" ref="D1889">IFERROR(IF(SUMPRODUCT((expected_production[Site Name]=A1889)*(expected_production[Date]=B1889)*ISNUMBER(expected_production[Expected Production (kWh)]))=0,"",SUMIFS(expected_production[Expected Production (kWh)],expected_production[Site Name],A1889,expected_production[Date],B1889)),"")</f>
        <v>3081.8449999999998</v>
      </c>
      <c r="E1889" s="9">
        <f t="shared" si="60"/>
        <v>0.22518978079689278</v>
      </c>
      <c r="F1889" t="str">
        <f t="shared" si="61"/>
        <v>Poor</v>
      </c>
    </row>
    <row r="1890" spans="1:7" ht="15" customHeight="1" x14ac:dyDescent="0.3">
      <c r="A1890" t="s">
        <v>169</v>
      </c>
      <c r="B1890" s="2">
        <v>45778</v>
      </c>
      <c r="C1890" cm="1">
        <f t="array" ref="C1890">IFERROR(IF(SUMPRODUCT((measured[Site Name]=A1890)*(measured[Date]=B1890)*ISNUMBER(measured[Measured Value (kWh)]))=0,"",SUMIFS(measured[Measured Value (kWh)],measured[Site Name],A1890,measured[Date],B1890)),"")</f>
        <v>580</v>
      </c>
      <c r="D1890" cm="1">
        <f t="array" ref="D1890">IFERROR(IF(SUMPRODUCT((expected_production[Site Name]=A1890)*(expected_production[Date]=B1890)*ISNUMBER(expected_production[Expected Production (kWh)]))=0,"",SUMIFS(expected_production[Expected Production (kWh)],expected_production[Site Name],A1890,expected_production[Date],B1890)),"")</f>
        <v>2972.875</v>
      </c>
      <c r="E1890" s="9">
        <f t="shared" si="60"/>
        <v>0.19509733843501662</v>
      </c>
      <c r="F1890" t="str">
        <f t="shared" si="61"/>
        <v>Poor</v>
      </c>
    </row>
    <row r="1891" spans="1:7" ht="15" customHeight="1" x14ac:dyDescent="0.3">
      <c r="A1891" t="s">
        <v>169</v>
      </c>
      <c r="B1891" s="2">
        <v>45809</v>
      </c>
      <c r="C1891" cm="1">
        <f t="array" ref="C1891">IFERROR(IF(SUMPRODUCT((measured[Site Name]=A1891)*(measured[Date]=B1891)*ISNUMBER(measured[Measured Value (kWh)]))=0,"",SUMIFS(measured[Measured Value (kWh)],measured[Site Name],A1891,measured[Date],B1891)),"")</f>
        <v>449.2</v>
      </c>
      <c r="D1891" cm="1">
        <f t="array" ref="D1891">IFERROR(IF(SUMPRODUCT((expected_production[Site Name]=A1891)*(expected_production[Date]=B1891)*ISNUMBER(expected_production[Expected Production (kWh)]))=0,"",SUMIFS(expected_production[Expected Production (kWh)],expected_production[Site Name],A1891,expected_production[Date],B1891)),"")</f>
        <v>2678.69</v>
      </c>
      <c r="E1891" s="9">
        <f t="shared" si="60"/>
        <v>0.16769391008291365</v>
      </c>
      <c r="F1891" t="str">
        <f t="shared" si="61"/>
        <v>Poor</v>
      </c>
    </row>
    <row r="1892" spans="1:7" ht="15" customHeight="1" x14ac:dyDescent="0.3">
      <c r="A1892" t="s">
        <v>169</v>
      </c>
      <c r="B1892" s="2">
        <v>45839</v>
      </c>
      <c r="C1892" cm="1">
        <f t="array" ref="C1892">IFERROR(IF(SUMPRODUCT((measured[Site Name]=A1892)*(measured[Date]=B1892)*ISNUMBER(measured[Measured Value (kWh)]))=0,"",SUMIFS(measured[Measured Value (kWh)],measured[Site Name],A1892,measured[Date],B1892)),"")</f>
        <v>575</v>
      </c>
      <c r="D1892" cm="1">
        <f t="array" ref="D1892">IFERROR(IF(SUMPRODUCT((expected_production[Site Name]=A1892)*(expected_production[Date]=B1892)*ISNUMBER(expected_production[Expected Production (kWh)]))=0,"",SUMIFS(expected_production[Expected Production (kWh)],expected_production[Site Name],A1892,expected_production[Date],B1892)),"")</f>
        <v>2819.0250000000001</v>
      </c>
      <c r="E1892" s="9">
        <f t="shared" si="60"/>
        <v>0.20397123118808808</v>
      </c>
      <c r="F1892" t="str">
        <f t="shared" si="61"/>
        <v>Poor</v>
      </c>
    </row>
    <row r="1893" spans="1:7" ht="15" customHeight="1" x14ac:dyDescent="0.3">
      <c r="A1893" t="s">
        <v>169</v>
      </c>
      <c r="B1893" s="2">
        <v>45870</v>
      </c>
      <c r="C1893" cm="1">
        <f t="array" ref="C1893">IFERROR(IF(SUMPRODUCT((measured[Site Name]=A1893)*(measured[Date]=B1893)*ISNUMBER(measured[Measured Value (kWh)]))=0,"",SUMIFS(measured[Measured Value (kWh)],measured[Site Name],A1893,measured[Date],B1893)),"")</f>
        <v>1437</v>
      </c>
      <c r="D1893" cm="1">
        <f t="array" ref="D1893">IFERROR(IF(SUMPRODUCT((expected_production[Site Name]=A1893)*(expected_production[Date]=B1893)*ISNUMBER(expected_production[Expected Production (kWh)]))=0,"",SUMIFS(expected_production[Expected Production (kWh)],expected_production[Site Name],A1893,expected_production[Date],B1893)),"")</f>
        <v>3304.375</v>
      </c>
      <c r="E1893" s="9">
        <f t="shared" si="60"/>
        <v>0.43487800264800452</v>
      </c>
      <c r="F1893" t="str">
        <f t="shared" si="61"/>
        <v>Poor</v>
      </c>
    </row>
    <row r="1894" spans="1:7" ht="15" customHeight="1" x14ac:dyDescent="0.3">
      <c r="A1894" t="s">
        <v>169</v>
      </c>
      <c r="B1894" s="2">
        <v>45901</v>
      </c>
      <c r="C1894" cm="1">
        <f t="array" ref="C1894">IFERROR(IF(SUMPRODUCT((measured[Site Name]=A1894)*(measured[Date]=B1894)*ISNUMBER(measured[Measured Value (kWh)]))=0,"",SUMIFS(measured[Measured Value (kWh)],measured[Site Name],A1894,measured[Date],B1894)),"")</f>
        <v>1257</v>
      </c>
      <c r="D1894" cm="1">
        <f t="array" ref="D1894">IFERROR(IF(SUMPRODUCT((expected_production[Site Name]=A1894)*(expected_production[Date]=B1894)*ISNUMBER(expected_production[Expected Production (kWh)]))=0,"",SUMIFS(expected_production[Expected Production (kWh)],expected_production[Site Name],A1894,expected_production[Date],B1894)),"")</f>
        <v>3255.7550000000001</v>
      </c>
      <c r="E1894" s="9">
        <f t="shared" si="60"/>
        <v>0.38608556233500368</v>
      </c>
      <c r="F1894" t="str">
        <f t="shared" si="61"/>
        <v>Poor</v>
      </c>
    </row>
    <row r="1895" spans="1:7" ht="15" customHeight="1" x14ac:dyDescent="0.3">
      <c r="A1895" t="s">
        <v>169</v>
      </c>
      <c r="B1895" s="2">
        <v>45931</v>
      </c>
      <c r="C1895" cm="1">
        <f t="array" ref="C1895">IFERROR(IF(SUMPRODUCT((measured[Site Name]=A1895)*(measured[Date]=B1895)*ISNUMBER(measured[Measured Value (kWh)]))=0,"",SUMIFS(measured[Measured Value (kWh)],measured[Site Name],A1895,measured[Date],B1895)),"")</f>
        <v>1616</v>
      </c>
      <c r="D1895" cm="1">
        <f t="array" ref="D1895">IFERROR(IF(SUMPRODUCT((expected_production[Site Name]=A1895)*(expected_production[Date]=B1895)*ISNUMBER(expected_production[Expected Production (kWh)]))=0,"",SUMIFS(expected_production[Expected Production (kWh)],expected_production[Site Name],A1895,expected_production[Date],B1895)),"")</f>
        <v>3170.2449999999999</v>
      </c>
      <c r="E1895" s="9">
        <f t="shared" si="60"/>
        <v>0.50973978351830851</v>
      </c>
      <c r="F1895" t="str">
        <f t="shared" si="61"/>
        <v>Poor</v>
      </c>
    </row>
    <row r="1896" spans="1:7" ht="15" customHeight="1" x14ac:dyDescent="0.3">
      <c r="A1896" t="s">
        <v>169</v>
      </c>
      <c r="B1896" s="2">
        <v>45962</v>
      </c>
      <c r="C1896" cm="1">
        <f t="array" ref="C1896">IFERROR(IF(SUMPRODUCT((measured[Site Name]=A1896)*(measured[Date]=B1896)*ISNUMBER(measured[Measured Value (kWh)]))=0,"",SUMIFS(measured[Measured Value (kWh)],measured[Site Name],A1896,measured[Date],B1896)),"")</f>
        <v>1463</v>
      </c>
      <c r="D1896" cm="1">
        <f t="array" ref="D1896">IFERROR(IF(SUMPRODUCT((expected_production[Site Name]=A1896)*(expected_production[Date]=B1896)*ISNUMBER(expected_production[Expected Production (kWh)]))=0,"",SUMIFS(expected_production[Expected Production (kWh)],expected_production[Site Name],A1896,expected_production[Date],B1896)),"")</f>
        <v>3173.1350000000002</v>
      </c>
      <c r="E1896" s="9">
        <f t="shared" si="60"/>
        <v>0.46105822790394985</v>
      </c>
      <c r="F1896" t="str">
        <f t="shared" si="61"/>
        <v>Poor</v>
      </c>
    </row>
    <row r="1897" spans="1:7" ht="15" customHeight="1" x14ac:dyDescent="0.3">
      <c r="A1897" t="s">
        <v>169</v>
      </c>
      <c r="B1897" s="2">
        <v>45992</v>
      </c>
      <c r="C1897" cm="1">
        <f t="array" ref="C1897">IFERROR(IF(SUMPRODUCT((measured[Site Name]=A1897)*(measured[Date]=B1897)*ISNUMBER(measured[Measured Value (kWh)]))=0,"",SUMIFS(measured[Measured Value (kWh)],measured[Site Name],A1897,measured[Date],B1897)),"")</f>
        <v>1836</v>
      </c>
      <c r="D1897" cm="1">
        <f t="array" ref="D1897">IFERROR(IF(SUMPRODUCT((expected_production[Site Name]=A1897)*(expected_production[Date]=B1897)*ISNUMBER(expected_production[Expected Production (kWh)]))=0,"",SUMIFS(expected_production[Expected Production (kWh)],expected_production[Site Name],A1897,expected_production[Date],B1897)),"")</f>
        <v>3354.1849999999999</v>
      </c>
      <c r="E1897" s="9">
        <f t="shared" si="60"/>
        <v>0.54737589011935839</v>
      </c>
      <c r="F1897" t="str">
        <f t="shared" si="61"/>
        <v>Poor</v>
      </c>
    </row>
    <row r="1898" spans="1:7" ht="15" customHeight="1" x14ac:dyDescent="0.3">
      <c r="A1898" t="s">
        <v>169</v>
      </c>
      <c r="B1898" s="2">
        <v>46023</v>
      </c>
      <c r="C1898" cm="1">
        <f t="array" ref="C1898">IFERROR(IF(SUMPRODUCT((measured[Site Name]=A1898)*(measured[Date]=B1898)*ISNUMBER(measured[Measured Value (kWh)]))=0,"",SUMIFS(measured[Measured Value (kWh)],measured[Site Name],A1898,measured[Date],B1898)),"")</f>
        <v>1637</v>
      </c>
      <c r="D1898" cm="1">
        <f t="array" ref="D1898">IFERROR(IF(SUMPRODUCT((expected_production[Site Name]=A1898)*(expected_production[Date]=B1898)*ISNUMBER(expected_production[Expected Production (kWh)]))=0,"",SUMIFS(expected_production[Expected Production (kWh)],expected_production[Site Name],A1898,expected_production[Date],B1898)),"")</f>
        <v>3308.4549999999999</v>
      </c>
      <c r="E1898" s="9">
        <f t="shared" si="60"/>
        <v>0.4947928867099598</v>
      </c>
      <c r="F1898" t="str">
        <f t="shared" si="61"/>
        <v>Poor</v>
      </c>
    </row>
    <row r="1899" spans="1:7" ht="15" customHeight="1" x14ac:dyDescent="0.3">
      <c r="A1899" t="s">
        <v>169</v>
      </c>
      <c r="B1899" s="2">
        <v>46054</v>
      </c>
      <c r="C1899" cm="1">
        <f t="array" ref="C1899">IFERROR(IF(SUMPRODUCT((measured[Site Name]=A1899)*(measured[Date]=B1899)*ISNUMBER(measured[Measured Value (kWh)]))=0,"",SUMIFS(measured[Measured Value (kWh)],measured[Site Name],A1899,measured[Date],B1899)),"")</f>
        <v>1801</v>
      </c>
      <c r="D1899" cm="1">
        <f t="array" ref="D1899">IFERROR(IF(SUMPRODUCT((expected_production[Site Name]=A1899)*(expected_production[Date]=B1899)*ISNUMBER(expected_production[Expected Production (kWh)]))=0,"",SUMIFS(expected_production[Expected Production (kWh)],expected_production[Site Name],A1899,expected_production[Date],B1899)),"")</f>
        <v>2856.5949999999998</v>
      </c>
      <c r="E1899" s="9">
        <f t="shared" si="60"/>
        <v>0.63047089279369328</v>
      </c>
      <c r="F1899" t="str">
        <f t="shared" si="61"/>
        <v>Poor</v>
      </c>
    </row>
    <row r="1900" spans="1:7" ht="15" customHeight="1" x14ac:dyDescent="0.3">
      <c r="A1900" t="s">
        <v>169</v>
      </c>
      <c r="B1900" s="2">
        <v>46082</v>
      </c>
      <c r="C1900" cm="1">
        <f t="array" ref="C1900">IFERROR(IF(SUMPRODUCT((measured[Site Name]=A1900)*(measured[Date]=B1900)*ISNUMBER(measured[Measured Value (kWh)]))=0,"",SUMIFS(measured[Measured Value (kWh)],measured[Site Name],A1900,measured[Date],B1900)),"")</f>
        <v>1516</v>
      </c>
      <c r="D1900" cm="1">
        <f t="array" ref="D1900">IFERROR(IF(SUMPRODUCT((expected_production[Site Name]=A1900)*(expected_production[Date]=B1900)*ISNUMBER(expected_production[Expected Production (kWh)]))=0,"",SUMIFS(expected_production[Expected Production (kWh)],expected_production[Site Name],A1900,expected_production[Date],B1900)),"")</f>
        <v>3155.625</v>
      </c>
      <c r="E1900" s="9">
        <f t="shared" si="60"/>
        <v>0.48041196276490394</v>
      </c>
      <c r="F1900" t="str">
        <f t="shared" si="61"/>
        <v>Poor</v>
      </c>
    </row>
    <row r="1901" spans="1:7" ht="15" customHeight="1" x14ac:dyDescent="0.3">
      <c r="A1901" t="s">
        <v>169</v>
      </c>
      <c r="B1901" s="2">
        <v>46113</v>
      </c>
      <c r="C1901" cm="1">
        <f t="array" ref="C1901">IFERROR(IF(SUMPRODUCT((measured[Site Name]=A1901)*(measured[Date]=B1901)*ISNUMBER(measured[Measured Value (kWh)]))=0,"",SUMIFS(measured[Measured Value (kWh)],measured[Site Name],A1901,measured[Date],B1901)),"")</f>
        <v>1353.29</v>
      </c>
      <c r="D1901" cm="1">
        <f t="array" ref="D1901">IFERROR(IF(SUMPRODUCT((expected_production[Site Name]=A1901)*(expected_production[Date]=B1901)*ISNUMBER(expected_production[Expected Production (kWh)]))=0,"",SUMIFS(expected_production[Expected Production (kWh)],expected_production[Site Name],A1901,expected_production[Date],B1901)),"")</f>
        <v>3081.8449999999998</v>
      </c>
      <c r="E1901" s="9">
        <f t="shared" si="60"/>
        <v>0.43911682774441935</v>
      </c>
      <c r="F1901" t="str">
        <f t="shared" si="61"/>
        <v>Poor</v>
      </c>
    </row>
    <row r="1902" spans="1:7" ht="15" customHeight="1" x14ac:dyDescent="0.3">
      <c r="A1902" t="s">
        <v>169</v>
      </c>
      <c r="B1902" s="2">
        <v>46143</v>
      </c>
      <c r="C1902" cm="1">
        <f t="array" ref="C1902">IFERROR(IF(SUMPRODUCT((measured[Site Name]=A1902)*(measured[Date]=B1902)*ISNUMBER(measured[Measured Value (kWh)]))=0,"",SUMIFS(measured[Measured Value (kWh)],measured[Site Name],A1902,measured[Date],B1902)),"")</f>
        <v>1302.0899999999999</v>
      </c>
      <c r="D1902" cm="1">
        <f t="array" ref="D1902">IFERROR(IF(SUMPRODUCT((expected_production[Site Name]=A1902)*(expected_production[Date]=B1902)*ISNUMBER(expected_production[Expected Production (kWh)]))=0,"",SUMIFS(expected_production[Expected Production (kWh)],expected_production[Site Name],A1902,expected_production[Date],B1902)),"")</f>
        <v>2972.875</v>
      </c>
      <c r="E1902" s="9">
        <f t="shared" si="60"/>
        <v>0.43799016103939786</v>
      </c>
      <c r="F1902" t="str">
        <f t="shared" si="61"/>
        <v>Poor</v>
      </c>
    </row>
    <row r="1903" spans="1:7" ht="15" customHeight="1" x14ac:dyDescent="0.3">
      <c r="A1903" t="s">
        <v>169</v>
      </c>
      <c r="B1903" s="2">
        <v>46174</v>
      </c>
      <c r="C1903" cm="1">
        <f t="array" ref="C1903">IFERROR(IF(SUMPRODUCT((measured[Site Name]=A1903)*(measured[Date]=B1903)*ISNUMBER(measured[Measured Value (kWh)]))=0,"",SUMIFS(measured[Measured Value (kWh)],measured[Site Name],A1903,measured[Date],B1903)),"")</f>
        <v>1100</v>
      </c>
      <c r="D1903" cm="1">
        <f t="array" ref="D1903">IFERROR(IF(SUMPRODUCT((expected_production[Site Name]=A1903)*(expected_production[Date]=B1903)*ISNUMBER(expected_production[Expected Production (kWh)]))=0,"",SUMIFS(expected_production[Expected Production (kWh)],expected_production[Site Name],A1903,expected_production[Date],B1903)),"")</f>
        <v>2678.69</v>
      </c>
      <c r="E1903" s="9">
        <f t="shared" si="60"/>
        <v>0.41064848862690345</v>
      </c>
      <c r="F1903" t="str">
        <f t="shared" si="61"/>
        <v>Poor</v>
      </c>
    </row>
    <row r="1904" spans="1:7" ht="15" customHeight="1" x14ac:dyDescent="0.3">
      <c r="A1904" t="s">
        <v>169</v>
      </c>
      <c r="B1904" s="2">
        <v>46204</v>
      </c>
      <c r="C1904" cm="1">
        <f t="array" ref="C1904">IFERROR(IF(SUMPRODUCT((measured[Site Name]=A1904)*(measured[Date]=B1904)*ISNUMBER(measured[Measured Value (kWh)]))=0,"",SUMIFS(measured[Measured Value (kWh)],measured[Site Name],A1904,measured[Date],B1904)),"")</f>
        <v>1098</v>
      </c>
      <c r="D1904" cm="1">
        <f t="array" ref="D1904">IFERROR(IF(SUMPRODUCT((expected_production[Site Name]=A1904)*(expected_production[Date]=B1904)*ISNUMBER(expected_production[Expected Production (kWh)]))=0,"",SUMIFS(expected_production[Expected Production (kWh)],expected_production[Site Name],A1904,expected_production[Date],B1904)),"")</f>
        <v>2819.0250000000001</v>
      </c>
      <c r="E1904" s="9">
        <f t="shared" si="60"/>
        <v>0.38949636842525343</v>
      </c>
      <c r="F1904" t="str">
        <f t="shared" si="61"/>
        <v>Poor</v>
      </c>
      <c r="G1904" t="s">
        <v>874</v>
      </c>
    </row>
    <row r="1905" spans="1:6" ht="15" customHeight="1" x14ac:dyDescent="0.3">
      <c r="A1905" t="s">
        <v>169</v>
      </c>
      <c r="B1905" s="2">
        <v>46235</v>
      </c>
      <c r="C1905" t="str" cm="1">
        <f t="array" ref="C1905">IFERROR(IF(SUMPRODUCT((measured[Site Name]=A1905)*(measured[Date]=B1905)*ISNUMBER(measured[Measured Value (kWh)]))=0,"",SUMIFS(measured[Measured Value (kWh)],measured[Site Name],A1905,measured[Date],B1905)),"")</f>
        <v/>
      </c>
      <c r="D1905" cm="1">
        <f t="array" ref="D1905">IFERROR(IF(SUMPRODUCT((expected_production[Site Name]=A1905)*(expected_production[Date]=B1905)*ISNUMBER(expected_production[Expected Production (kWh)]))=0,"",SUMIFS(expected_production[Expected Production (kWh)],expected_production[Site Name],A1905,expected_production[Date],B1905)),"")</f>
        <v>3304.375</v>
      </c>
      <c r="E1905" s="9" t="str">
        <f t="shared" si="60"/>
        <v/>
      </c>
      <c r="F1905" t="str">
        <f t="shared" si="61"/>
        <v/>
      </c>
    </row>
    <row r="1906" spans="1:6" ht="15" customHeight="1" x14ac:dyDescent="0.3">
      <c r="A1906" t="s">
        <v>169</v>
      </c>
      <c r="B1906" s="2">
        <v>46266</v>
      </c>
      <c r="C1906" t="str" cm="1">
        <f t="array" ref="C1906">IFERROR(IF(SUMPRODUCT((measured[Site Name]=A1906)*(measured[Date]=B1906)*ISNUMBER(measured[Measured Value (kWh)]))=0,"",SUMIFS(measured[Measured Value (kWh)],measured[Site Name],A1906,measured[Date],B1906)),"")</f>
        <v/>
      </c>
      <c r="D1906" cm="1">
        <f t="array" ref="D1906">IFERROR(IF(SUMPRODUCT((expected_production[Site Name]=A1906)*(expected_production[Date]=B1906)*ISNUMBER(expected_production[Expected Production (kWh)]))=0,"",SUMIFS(expected_production[Expected Production (kWh)],expected_production[Site Name],A1906,expected_production[Date],B1906)),"")</f>
        <v>3255.7550000000001</v>
      </c>
      <c r="E1906" s="9" t="str">
        <f t="shared" si="60"/>
        <v/>
      </c>
      <c r="F1906" t="str">
        <f t="shared" si="61"/>
        <v/>
      </c>
    </row>
    <row r="1907" spans="1:6" ht="15" customHeight="1" x14ac:dyDescent="0.3">
      <c r="A1907" t="s">
        <v>169</v>
      </c>
      <c r="B1907" s="2">
        <v>46296</v>
      </c>
      <c r="C1907" t="str" cm="1">
        <f t="array" ref="C1907">IFERROR(IF(SUMPRODUCT((measured[Site Name]=A1907)*(measured[Date]=B1907)*ISNUMBER(measured[Measured Value (kWh)]))=0,"",SUMIFS(measured[Measured Value (kWh)],measured[Site Name],A1907,measured[Date],B1907)),"")</f>
        <v/>
      </c>
      <c r="D1907" cm="1">
        <f t="array" ref="D1907">IFERROR(IF(SUMPRODUCT((expected_production[Site Name]=A1907)*(expected_production[Date]=B1907)*ISNUMBER(expected_production[Expected Production (kWh)]))=0,"",SUMIFS(expected_production[Expected Production (kWh)],expected_production[Site Name],A1907,expected_production[Date],B1907)),"")</f>
        <v>3170.2449999999999</v>
      </c>
      <c r="E1907" s="9" t="str">
        <f t="shared" si="60"/>
        <v/>
      </c>
      <c r="F1907" t="str">
        <f t="shared" si="61"/>
        <v/>
      </c>
    </row>
    <row r="1908" spans="1:6" ht="15" customHeight="1" x14ac:dyDescent="0.3">
      <c r="A1908" t="s">
        <v>169</v>
      </c>
      <c r="B1908" s="2">
        <v>46327</v>
      </c>
      <c r="C1908" t="str" cm="1">
        <f t="array" ref="C1908">IFERROR(IF(SUMPRODUCT((measured[Site Name]=A1908)*(measured[Date]=B1908)*ISNUMBER(measured[Measured Value (kWh)]))=0,"",SUMIFS(measured[Measured Value (kWh)],measured[Site Name],A1908,measured[Date],B1908)),"")</f>
        <v/>
      </c>
      <c r="D1908" cm="1">
        <f t="array" ref="D1908">IFERROR(IF(SUMPRODUCT((expected_production[Site Name]=A1908)*(expected_production[Date]=B1908)*ISNUMBER(expected_production[Expected Production (kWh)]))=0,"",SUMIFS(expected_production[Expected Production (kWh)],expected_production[Site Name],A1908,expected_production[Date],B1908)),"")</f>
        <v>3173.1350000000002</v>
      </c>
      <c r="E1908" s="9" t="str">
        <f t="shared" si="60"/>
        <v/>
      </c>
      <c r="F1908" t="str">
        <f t="shared" si="61"/>
        <v/>
      </c>
    </row>
    <row r="1909" spans="1:6" ht="15" customHeight="1" x14ac:dyDescent="0.3">
      <c r="A1909" t="s">
        <v>169</v>
      </c>
      <c r="B1909" s="2">
        <v>46357</v>
      </c>
      <c r="C1909" t="str" cm="1">
        <f t="array" ref="C1909">IFERROR(IF(SUMPRODUCT((measured[Site Name]=A1909)*(measured[Date]=B1909)*ISNUMBER(measured[Measured Value (kWh)]))=0,"",SUMIFS(measured[Measured Value (kWh)],measured[Site Name],A1909,measured[Date],B1909)),"")</f>
        <v/>
      </c>
      <c r="D1909" cm="1">
        <f t="array" ref="D1909">IFERROR(IF(SUMPRODUCT((expected_production[Site Name]=A1909)*(expected_production[Date]=B1909)*ISNUMBER(expected_production[Expected Production (kWh)]))=0,"",SUMIFS(expected_production[Expected Production (kWh)],expected_production[Site Name],A1909,expected_production[Date],B1909)),"")</f>
        <v>3354.1849999999999</v>
      </c>
      <c r="E1909" s="9" t="str">
        <f t="shared" si="60"/>
        <v/>
      </c>
      <c r="F1909" t="str">
        <f t="shared" si="61"/>
        <v/>
      </c>
    </row>
    <row r="1910" spans="1:6" ht="15" customHeight="1" x14ac:dyDescent="0.3">
      <c r="A1910" t="s">
        <v>171</v>
      </c>
      <c r="B1910" s="2">
        <v>45292</v>
      </c>
      <c r="C1910" cm="1">
        <f t="array" ref="C1910">IFERROR(IF(SUMPRODUCT((measured[Site Name]=A1910)*(measured[Date]=B1910)*ISNUMBER(measured[Measured Value (kWh)]))=0,"",SUMIFS(measured[Measured Value (kWh)],measured[Site Name],A1910,measured[Date],B1910)),"")</f>
        <v>8341</v>
      </c>
      <c r="D1910" cm="1">
        <f t="array" ref="D1910">IFERROR(IF(SUMPRODUCT((expected_production[Site Name]=A1910)*(expected_production[Date]=B1910)*ISNUMBER(expected_production[Expected Production (kWh)]))=0,"",SUMIFS(expected_production[Expected Production (kWh)],expected_production[Site Name],A1910,expected_production[Date],B1910)),"")</f>
        <v>12489.555</v>
      </c>
      <c r="E1910" s="9">
        <f t="shared" si="60"/>
        <v>0.66783804547079539</v>
      </c>
      <c r="F1910" t="str">
        <f t="shared" si="61"/>
        <v>Poor</v>
      </c>
    </row>
    <row r="1911" spans="1:6" ht="15" customHeight="1" x14ac:dyDescent="0.3">
      <c r="A1911" t="s">
        <v>171</v>
      </c>
      <c r="B1911" s="2">
        <v>45323</v>
      </c>
      <c r="C1911" cm="1">
        <f t="array" ref="C1911">IFERROR(IF(SUMPRODUCT((measured[Site Name]=A1911)*(measured[Date]=B1911)*ISNUMBER(measured[Measured Value (kWh)]))=0,"",SUMIFS(measured[Measured Value (kWh)],measured[Site Name],A1911,measured[Date],B1911)),"")</f>
        <v>8056</v>
      </c>
      <c r="D1911" cm="1">
        <f t="array" ref="D1911">IFERROR(IF(SUMPRODUCT((expected_production[Site Name]=A1911)*(expected_production[Date]=B1911)*ISNUMBER(expected_production[Expected Production (kWh)]))=0,"",SUMIFS(expected_production[Expected Production (kWh)],expected_production[Site Name],A1911,expected_production[Date],B1911)),"")</f>
        <v>10877.69</v>
      </c>
      <c r="E1911" s="9">
        <f t="shared" si="60"/>
        <v>0.74059841749489086</v>
      </c>
      <c r="F1911" t="str">
        <f t="shared" si="61"/>
        <v>Moderate</v>
      </c>
    </row>
    <row r="1912" spans="1:6" ht="15" customHeight="1" x14ac:dyDescent="0.3">
      <c r="A1912" t="s">
        <v>171</v>
      </c>
      <c r="B1912" s="2">
        <v>45352</v>
      </c>
      <c r="C1912" cm="1">
        <f t="array" ref="C1912">IFERROR(IF(SUMPRODUCT((measured[Site Name]=A1912)*(measured[Date]=B1912)*ISNUMBER(measured[Measured Value (kWh)]))=0,"",SUMIFS(measured[Measured Value (kWh)],measured[Site Name],A1912,measured[Date],B1912)),"")</f>
        <v>7588</v>
      </c>
      <c r="D1912" cm="1">
        <f t="array" ref="D1912">IFERROR(IF(SUMPRODUCT((expected_production[Site Name]=A1912)*(expected_production[Date]=B1912)*ISNUMBER(expected_production[Expected Production (kWh)]))=0,"",SUMIFS(expected_production[Expected Production (kWh)],expected_production[Site Name],A1912,expected_production[Date],B1912)),"")</f>
        <v>10897.355</v>
      </c>
      <c r="E1912" s="9">
        <f t="shared" si="60"/>
        <v>0.69631575735579876</v>
      </c>
      <c r="F1912" t="str">
        <f t="shared" si="61"/>
        <v>Poor</v>
      </c>
    </row>
    <row r="1913" spans="1:6" ht="15" customHeight="1" x14ac:dyDescent="0.3">
      <c r="A1913" t="s">
        <v>171</v>
      </c>
      <c r="B1913" s="2">
        <v>45383</v>
      </c>
      <c r="C1913" cm="1">
        <f t="array" ref="C1913">IFERROR(IF(SUMPRODUCT((measured[Site Name]=A1913)*(measured[Date]=B1913)*ISNUMBER(measured[Measured Value (kWh)]))=0,"",SUMIFS(measured[Measured Value (kWh)],measured[Site Name],A1913,measured[Date],B1913)),"")</f>
        <v>6746</v>
      </c>
      <c r="D1913" cm="1">
        <f t="array" ref="D1913">IFERROR(IF(SUMPRODUCT((expected_production[Site Name]=A1913)*(expected_production[Date]=B1913)*ISNUMBER(expected_production[Expected Production (kWh)]))=0,"",SUMIFS(expected_production[Expected Production (kWh)],expected_production[Site Name],A1913,expected_production[Date],B1913)),"")</f>
        <v>8757.9549999999999</v>
      </c>
      <c r="E1913" s="9">
        <f t="shared" si="60"/>
        <v>0.77027114206455727</v>
      </c>
      <c r="F1913" t="str">
        <f t="shared" si="61"/>
        <v>Moderate</v>
      </c>
    </row>
    <row r="1914" spans="1:6" ht="15" customHeight="1" x14ac:dyDescent="0.3">
      <c r="A1914" t="s">
        <v>171</v>
      </c>
      <c r="B1914" s="2">
        <v>45413</v>
      </c>
      <c r="C1914" cm="1">
        <f t="array" ref="C1914">IFERROR(IF(SUMPRODUCT((measured[Site Name]=A1914)*(measured[Date]=B1914)*ISNUMBER(measured[Measured Value (kWh)]))=0,"",SUMIFS(measured[Measured Value (kWh)],measured[Site Name],A1914,measured[Date],B1914)),"")</f>
        <v>6595</v>
      </c>
      <c r="D1914" cm="1">
        <f t="array" ref="D1914">IFERROR(IF(SUMPRODUCT((expected_production[Site Name]=A1914)*(expected_production[Date]=B1914)*ISNUMBER(expected_production[Expected Production (kWh)]))=0,"",SUMIFS(expected_production[Expected Production (kWh)],expected_production[Site Name],A1914,expected_production[Date],B1914)),"")</f>
        <v>7449.4250000000002</v>
      </c>
      <c r="E1914" s="9">
        <f t="shared" si="60"/>
        <v>0.88530322810149775</v>
      </c>
      <c r="F1914" t="str">
        <f t="shared" si="61"/>
        <v>Moderate</v>
      </c>
    </row>
    <row r="1915" spans="1:6" ht="15" customHeight="1" x14ac:dyDescent="0.3">
      <c r="A1915" t="s">
        <v>171</v>
      </c>
      <c r="B1915" s="2">
        <v>45444</v>
      </c>
      <c r="C1915" cm="1">
        <f t="array" ref="C1915">IFERROR(IF(SUMPRODUCT((measured[Site Name]=A1915)*(measured[Date]=B1915)*ISNUMBER(measured[Measured Value (kWh)]))=0,"",SUMIFS(measured[Measured Value (kWh)],measured[Site Name],A1915,measured[Date],B1915)),"")</f>
        <v>5221</v>
      </c>
      <c r="D1915" cm="1">
        <f t="array" ref="D1915">IFERROR(IF(SUMPRODUCT((expected_production[Site Name]=A1915)*(expected_production[Date]=B1915)*ISNUMBER(expected_production[Expected Production (kWh)]))=0,"",SUMIFS(expected_production[Expected Production (kWh)],expected_production[Site Name],A1915,expected_production[Date],B1915)),"")</f>
        <v>6752.6949999999997</v>
      </c>
      <c r="E1915" s="9">
        <f t="shared" si="60"/>
        <v>0.77317278508802789</v>
      </c>
      <c r="F1915" t="str">
        <f t="shared" si="61"/>
        <v>Moderate</v>
      </c>
    </row>
    <row r="1916" spans="1:6" ht="15" customHeight="1" x14ac:dyDescent="0.3">
      <c r="A1916" t="s">
        <v>171</v>
      </c>
      <c r="B1916" s="2">
        <v>45474</v>
      </c>
      <c r="C1916" cm="1">
        <f t="array" ref="C1916">IFERROR(IF(SUMPRODUCT((measured[Site Name]=A1916)*(measured[Date]=B1916)*ISNUMBER(measured[Measured Value (kWh)]))=0,"",SUMIFS(measured[Measured Value (kWh)],measured[Site Name],A1916,measured[Date],B1916)),"")</f>
        <v>6498</v>
      </c>
      <c r="D1916" cm="1">
        <f t="array" ref="D1916">IFERROR(IF(SUMPRODUCT((expected_production[Site Name]=A1916)*(expected_production[Date]=B1916)*ISNUMBER(expected_production[Expected Production (kWh)]))=0,"",SUMIFS(expected_production[Expected Production (kWh)],expected_production[Site Name],A1916,expected_production[Date],B1916)),"")</f>
        <v>7274.2449999999999</v>
      </c>
      <c r="E1916" s="9">
        <f t="shared" ref="E1916:E1979" si="62">IF(OR(C1916="",D1916="",D1916=0),"",C1916/D1916)</f>
        <v>0.89328858183907744</v>
      </c>
      <c r="F1916" t="str">
        <f t="shared" ref="F1916:F1979" si="63">IF(E1916="","",IF(E1916&gt;=0.9,"Expected",IF(E1916&gt;=0.7,"Moderate","Poor")))</f>
        <v>Moderate</v>
      </c>
    </row>
    <row r="1917" spans="1:6" ht="15" customHeight="1" x14ac:dyDescent="0.3">
      <c r="A1917" t="s">
        <v>171</v>
      </c>
      <c r="B1917" s="2">
        <v>45505</v>
      </c>
      <c r="C1917" cm="1">
        <f t="array" ref="C1917">IFERROR(IF(SUMPRODUCT((measured[Site Name]=A1917)*(measured[Date]=B1917)*ISNUMBER(measured[Measured Value (kWh)]))=0,"",SUMIFS(measured[Measured Value (kWh)],measured[Site Name],A1917,measured[Date],B1917)),"")</f>
        <v>6727</v>
      </c>
      <c r="D1917" cm="1">
        <f t="array" ref="D1917">IFERROR(IF(SUMPRODUCT((expected_production[Site Name]=A1917)*(expected_production[Date]=B1917)*ISNUMBER(expected_production[Expected Production (kWh)]))=0,"",SUMIFS(expected_production[Expected Production (kWh)],expected_production[Site Name],A1917,expected_production[Date],B1917)),"")</f>
        <v>8568.7150000000001</v>
      </c>
      <c r="E1917" s="9">
        <f t="shared" si="62"/>
        <v>0.78506520522622114</v>
      </c>
      <c r="F1917" t="str">
        <f t="shared" si="63"/>
        <v>Moderate</v>
      </c>
    </row>
    <row r="1918" spans="1:6" ht="15" customHeight="1" x14ac:dyDescent="0.3">
      <c r="A1918" t="s">
        <v>171</v>
      </c>
      <c r="B1918" s="2">
        <v>45536</v>
      </c>
      <c r="C1918" cm="1">
        <f t="array" ref="C1918">IFERROR(IF(SUMPRODUCT((measured[Site Name]=A1918)*(measured[Date]=B1918)*ISNUMBER(measured[Measured Value (kWh)]))=0,"",SUMIFS(measured[Measured Value (kWh)],measured[Site Name],A1918,measured[Date],B1918)),"")</f>
        <v>5408</v>
      </c>
      <c r="D1918" cm="1">
        <f t="array" ref="D1918">IFERROR(IF(SUMPRODUCT((expected_production[Site Name]=A1918)*(expected_production[Date]=B1918)*ISNUMBER(expected_production[Expected Production (kWh)]))=0,"",SUMIFS(expected_production[Expected Production (kWh)],expected_production[Site Name],A1918,expected_production[Date],B1918)),"")</f>
        <v>9196</v>
      </c>
      <c r="E1918" s="9">
        <f t="shared" si="62"/>
        <v>0.58808177468464551</v>
      </c>
      <c r="F1918" t="str">
        <f t="shared" si="63"/>
        <v>Poor</v>
      </c>
    </row>
    <row r="1919" spans="1:6" ht="15" customHeight="1" x14ac:dyDescent="0.3">
      <c r="A1919" t="s">
        <v>171</v>
      </c>
      <c r="B1919" s="2">
        <v>45566</v>
      </c>
      <c r="C1919" cm="1">
        <f t="array" ref="C1919">IFERROR(IF(SUMPRODUCT((measured[Site Name]=A1919)*(measured[Date]=B1919)*ISNUMBER(measured[Measured Value (kWh)]))=0,"",SUMIFS(measured[Measured Value (kWh)],measured[Site Name],A1919,measured[Date],B1919)),"")</f>
        <v>8018</v>
      </c>
      <c r="D1919" cm="1">
        <f t="array" ref="D1919">IFERROR(IF(SUMPRODUCT((expected_production[Site Name]=A1919)*(expected_production[Date]=B1919)*ISNUMBER(expected_production[Expected Production (kWh)]))=0,"",SUMIFS(expected_production[Expected Production (kWh)],expected_production[Site Name],A1919,expected_production[Date],B1919)),"")</f>
        <v>10753.525</v>
      </c>
      <c r="E1919" s="9">
        <f t="shared" si="62"/>
        <v>0.74561597243694511</v>
      </c>
      <c r="F1919" t="str">
        <f t="shared" si="63"/>
        <v>Moderate</v>
      </c>
    </row>
    <row r="1920" spans="1:6" ht="15" customHeight="1" x14ac:dyDescent="0.3">
      <c r="A1920" t="s">
        <v>171</v>
      </c>
      <c r="B1920" s="2">
        <v>45597</v>
      </c>
      <c r="C1920" cm="1">
        <f t="array" ref="C1920">IFERROR(IF(SUMPRODUCT((measured[Site Name]=A1920)*(measured[Date]=B1920)*ISNUMBER(measured[Measured Value (kWh)]))=0,"",SUMIFS(measured[Measured Value (kWh)],measured[Site Name],A1920,measured[Date],B1920)),"")</f>
        <v>7818</v>
      </c>
      <c r="D1920" cm="1">
        <f t="array" ref="D1920">IFERROR(IF(SUMPRODUCT((expected_production[Site Name]=A1920)*(expected_production[Date]=B1920)*ISNUMBER(expected_production[Expected Production (kWh)]))=0,"",SUMIFS(expected_production[Expected Production (kWh)],expected_production[Site Name],A1920,expected_production[Date],B1920)),"")</f>
        <v>11159.27</v>
      </c>
      <c r="E1920" s="9">
        <f t="shared" si="62"/>
        <v>0.70058346110453462</v>
      </c>
      <c r="F1920" t="str">
        <f t="shared" si="63"/>
        <v>Moderate</v>
      </c>
    </row>
    <row r="1921" spans="1:6" ht="15" customHeight="1" x14ac:dyDescent="0.3">
      <c r="A1921" t="s">
        <v>171</v>
      </c>
      <c r="B1921" s="2">
        <v>45627</v>
      </c>
      <c r="C1921" cm="1">
        <f t="array" ref="C1921">IFERROR(IF(SUMPRODUCT((measured[Site Name]=A1921)*(measured[Date]=B1921)*ISNUMBER(measured[Measured Value (kWh)]))=0,"",SUMIFS(measured[Measured Value (kWh)],measured[Site Name],A1921,measured[Date],B1921)),"")</f>
        <v>9041</v>
      </c>
      <c r="D1921" cm="1">
        <f t="array" ref="D1921">IFERROR(IF(SUMPRODUCT((expected_production[Site Name]=A1921)*(expected_production[Date]=B1921)*ISNUMBER(expected_production[Expected Production (kWh)]))=0,"",SUMIFS(expected_production[Expected Production (kWh)],expected_production[Site Name],A1921,expected_production[Date],B1921)),"")</f>
        <v>12687.82</v>
      </c>
      <c r="E1921" s="9">
        <f t="shared" si="62"/>
        <v>0.71257316071634058</v>
      </c>
      <c r="F1921" t="str">
        <f t="shared" si="63"/>
        <v>Moderate</v>
      </c>
    </row>
    <row r="1922" spans="1:6" ht="15" customHeight="1" x14ac:dyDescent="0.3">
      <c r="A1922" t="s">
        <v>171</v>
      </c>
      <c r="B1922" s="2">
        <v>45658</v>
      </c>
      <c r="C1922" cm="1">
        <f t="array" ref="C1922">IFERROR(IF(SUMPRODUCT((measured[Site Name]=A1922)*(measured[Date]=B1922)*ISNUMBER(measured[Measured Value (kWh)]))=0,"",SUMIFS(measured[Measured Value (kWh)],measured[Site Name],A1922,measured[Date],B1922)),"")</f>
        <v>9601</v>
      </c>
      <c r="D1922" cm="1">
        <f t="array" ref="D1922">IFERROR(IF(SUMPRODUCT((expected_production[Site Name]=A1922)*(expected_production[Date]=B1922)*ISNUMBER(expected_production[Expected Production (kWh)]))=0,"",SUMIFS(expected_production[Expected Production (kWh)],expected_production[Site Name],A1922,expected_production[Date],B1922)),"")</f>
        <v>12489.555</v>
      </c>
      <c r="E1922" s="9">
        <f t="shared" si="62"/>
        <v>0.76872234439097309</v>
      </c>
      <c r="F1922" t="str">
        <f t="shared" si="63"/>
        <v>Moderate</v>
      </c>
    </row>
    <row r="1923" spans="1:6" ht="15" customHeight="1" x14ac:dyDescent="0.3">
      <c r="A1923" t="s">
        <v>171</v>
      </c>
      <c r="B1923" s="2">
        <v>45689</v>
      </c>
      <c r="C1923" cm="1">
        <f t="array" ref="C1923">IFERROR(IF(SUMPRODUCT((measured[Site Name]=A1923)*(measured[Date]=B1923)*ISNUMBER(measured[Measured Value (kWh)]))=0,"",SUMIFS(measured[Measured Value (kWh)],measured[Site Name],A1923,measured[Date],B1923)),"")</f>
        <v>7317</v>
      </c>
      <c r="D1923" cm="1">
        <f t="array" ref="D1923">IFERROR(IF(SUMPRODUCT((expected_production[Site Name]=A1923)*(expected_production[Date]=B1923)*ISNUMBER(expected_production[Expected Production (kWh)]))=0,"",SUMIFS(expected_production[Expected Production (kWh)],expected_production[Site Name],A1923,expected_production[Date],B1923)),"")</f>
        <v>10877.69</v>
      </c>
      <c r="E1923" s="9">
        <f t="shared" si="62"/>
        <v>0.67266119920681688</v>
      </c>
      <c r="F1923" t="str">
        <f t="shared" si="63"/>
        <v>Poor</v>
      </c>
    </row>
    <row r="1924" spans="1:6" ht="15" customHeight="1" x14ac:dyDescent="0.3">
      <c r="A1924" t="s">
        <v>171</v>
      </c>
      <c r="B1924" s="2">
        <v>45717</v>
      </c>
      <c r="C1924" cm="1">
        <f t="array" ref="C1924">IFERROR(IF(SUMPRODUCT((measured[Site Name]=A1924)*(measured[Date]=B1924)*ISNUMBER(measured[Measured Value (kWh)]))=0,"",SUMIFS(measured[Measured Value (kWh)],measured[Site Name],A1924,measured[Date],B1924)),"")</f>
        <v>8211</v>
      </c>
      <c r="D1924" cm="1">
        <f t="array" ref="D1924">IFERROR(IF(SUMPRODUCT((expected_production[Site Name]=A1924)*(expected_production[Date]=B1924)*ISNUMBER(expected_production[Expected Production (kWh)]))=0,"",SUMIFS(expected_production[Expected Production (kWh)],expected_production[Site Name],A1924,expected_production[Date],B1924)),"")</f>
        <v>10897.355</v>
      </c>
      <c r="E1924" s="9">
        <f t="shared" si="62"/>
        <v>0.75348559352246491</v>
      </c>
      <c r="F1924" t="str">
        <f t="shared" si="63"/>
        <v>Moderate</v>
      </c>
    </row>
    <row r="1925" spans="1:6" ht="15" customHeight="1" x14ac:dyDescent="0.3">
      <c r="A1925" t="s">
        <v>171</v>
      </c>
      <c r="B1925" s="2">
        <v>45748</v>
      </c>
      <c r="C1925" cm="1">
        <f t="array" ref="C1925">IFERROR(IF(SUMPRODUCT((measured[Site Name]=A1925)*(measured[Date]=B1925)*ISNUMBER(measured[Measured Value (kWh)]))=0,"",SUMIFS(measured[Measured Value (kWh)],measured[Site Name],A1925,measured[Date],B1925)),"")</f>
        <v>6924</v>
      </c>
      <c r="D1925" cm="1">
        <f t="array" ref="D1925">IFERROR(IF(SUMPRODUCT((expected_production[Site Name]=A1925)*(expected_production[Date]=B1925)*ISNUMBER(expected_production[Expected Production (kWh)]))=0,"",SUMIFS(expected_production[Expected Production (kWh)],expected_production[Site Name],A1925,expected_production[Date],B1925)),"")</f>
        <v>8757.9549999999999</v>
      </c>
      <c r="E1925" s="9">
        <f t="shared" si="62"/>
        <v>0.79059552144307665</v>
      </c>
      <c r="F1925" t="str">
        <f t="shared" si="63"/>
        <v>Moderate</v>
      </c>
    </row>
    <row r="1926" spans="1:6" ht="15" customHeight="1" x14ac:dyDescent="0.3">
      <c r="A1926" t="s">
        <v>171</v>
      </c>
      <c r="B1926" s="2">
        <v>45778</v>
      </c>
      <c r="C1926" cm="1">
        <f t="array" ref="C1926">IFERROR(IF(SUMPRODUCT((measured[Site Name]=A1926)*(measured[Date]=B1926)*ISNUMBER(measured[Measured Value (kWh)]))=0,"",SUMIFS(measured[Measured Value (kWh)],measured[Site Name],A1926,measured[Date],B1926)),"")</f>
        <v>7428</v>
      </c>
      <c r="D1926" cm="1">
        <f t="array" ref="D1926">IFERROR(IF(SUMPRODUCT((expected_production[Site Name]=A1926)*(expected_production[Date]=B1926)*ISNUMBER(expected_production[Expected Production (kWh)]))=0,"",SUMIFS(expected_production[Expected Production (kWh)],expected_production[Site Name],A1926,expected_production[Date],B1926)),"")</f>
        <v>7449.4250000000002</v>
      </c>
      <c r="E1926" s="9">
        <f t="shared" si="62"/>
        <v>0.99712393909597052</v>
      </c>
      <c r="F1926" t="str">
        <f t="shared" si="63"/>
        <v>Expected</v>
      </c>
    </row>
    <row r="1927" spans="1:6" ht="15" customHeight="1" x14ac:dyDescent="0.3">
      <c r="A1927" t="s">
        <v>171</v>
      </c>
      <c r="B1927" s="2">
        <v>45809</v>
      </c>
      <c r="C1927" cm="1">
        <f t="array" ref="C1927">IFERROR(IF(SUMPRODUCT((measured[Site Name]=A1927)*(measured[Date]=B1927)*ISNUMBER(measured[Measured Value (kWh)]))=0,"",SUMIFS(measured[Measured Value (kWh)],measured[Site Name],A1927,measured[Date],B1927)),"")</f>
        <v>7026.25</v>
      </c>
      <c r="D1927" cm="1">
        <f t="array" ref="D1927">IFERROR(IF(SUMPRODUCT((expected_production[Site Name]=A1927)*(expected_production[Date]=B1927)*ISNUMBER(expected_production[Expected Production (kWh)]))=0,"",SUMIFS(expected_production[Expected Production (kWh)],expected_production[Site Name],A1927,expected_production[Date],B1927)),"")</f>
        <v>6752.6949999999997</v>
      </c>
      <c r="E1927" s="9">
        <f t="shared" si="62"/>
        <v>1.040510492477448</v>
      </c>
      <c r="F1927" t="str">
        <f t="shared" si="63"/>
        <v>Expected</v>
      </c>
    </row>
    <row r="1928" spans="1:6" ht="15" customHeight="1" x14ac:dyDescent="0.3">
      <c r="A1928" t="s">
        <v>171</v>
      </c>
      <c r="B1928" s="2">
        <v>45839</v>
      </c>
      <c r="C1928" cm="1">
        <f t="array" ref="C1928">IFERROR(IF(SUMPRODUCT((measured[Site Name]=A1928)*(measured[Date]=B1928)*ISNUMBER(measured[Measured Value (kWh)]))=0,"",SUMIFS(measured[Measured Value (kWh)],measured[Site Name],A1928,measured[Date],B1928)),"")</f>
        <v>7318</v>
      </c>
      <c r="D1928" cm="1">
        <f t="array" ref="D1928">IFERROR(IF(SUMPRODUCT((expected_production[Site Name]=A1928)*(expected_production[Date]=B1928)*ISNUMBER(expected_production[Expected Production (kWh)]))=0,"",SUMIFS(expected_production[Expected Production (kWh)],expected_production[Site Name],A1928,expected_production[Date],B1928)),"")</f>
        <v>7274.2449999999999</v>
      </c>
      <c r="E1928" s="9">
        <f t="shared" si="62"/>
        <v>1.0060150572327438</v>
      </c>
      <c r="F1928" t="str">
        <f t="shared" si="63"/>
        <v>Expected</v>
      </c>
    </row>
    <row r="1929" spans="1:6" ht="15" customHeight="1" x14ac:dyDescent="0.3">
      <c r="A1929" t="s">
        <v>171</v>
      </c>
      <c r="B1929" s="2">
        <v>45870</v>
      </c>
      <c r="C1929" cm="1">
        <f t="array" ref="C1929">IFERROR(IF(SUMPRODUCT((measured[Site Name]=A1929)*(measured[Date]=B1929)*ISNUMBER(measured[Measured Value (kWh)]))=0,"",SUMIFS(measured[Measured Value (kWh)],measured[Site Name],A1929,measured[Date],B1929)),"")</f>
        <v>7873</v>
      </c>
      <c r="D1929" cm="1">
        <f t="array" ref="D1929">IFERROR(IF(SUMPRODUCT((expected_production[Site Name]=A1929)*(expected_production[Date]=B1929)*ISNUMBER(expected_production[Expected Production (kWh)]))=0,"",SUMIFS(expected_production[Expected Production (kWh)],expected_production[Site Name],A1929,expected_production[Date],B1929)),"")</f>
        <v>8568.7150000000001</v>
      </c>
      <c r="E1929" s="9">
        <f t="shared" si="62"/>
        <v>0.91880754582221491</v>
      </c>
      <c r="F1929" t="str">
        <f t="shared" si="63"/>
        <v>Expected</v>
      </c>
    </row>
    <row r="1930" spans="1:6" ht="15" customHeight="1" x14ac:dyDescent="0.3">
      <c r="A1930" t="s">
        <v>171</v>
      </c>
      <c r="B1930" s="2">
        <v>45901</v>
      </c>
      <c r="C1930" cm="1">
        <f t="array" ref="C1930">IFERROR(IF(SUMPRODUCT((measured[Site Name]=A1930)*(measured[Date]=B1930)*ISNUMBER(measured[Measured Value (kWh)]))=0,"",SUMIFS(measured[Measured Value (kWh)],measured[Site Name],A1930,measured[Date],B1930)),"")</f>
        <v>6985</v>
      </c>
      <c r="D1930" cm="1">
        <f t="array" ref="D1930">IFERROR(IF(SUMPRODUCT((expected_production[Site Name]=A1930)*(expected_production[Date]=B1930)*ISNUMBER(expected_production[Expected Production (kWh)]))=0,"",SUMIFS(expected_production[Expected Production (kWh)],expected_production[Site Name],A1930,expected_production[Date],B1930)),"")</f>
        <v>9196</v>
      </c>
      <c r="E1930" s="9">
        <f t="shared" si="62"/>
        <v>0.75956937799043067</v>
      </c>
      <c r="F1930" t="str">
        <f t="shared" si="63"/>
        <v>Moderate</v>
      </c>
    </row>
    <row r="1931" spans="1:6" ht="15" customHeight="1" x14ac:dyDescent="0.3">
      <c r="A1931" t="s">
        <v>171</v>
      </c>
      <c r="B1931" s="2">
        <v>45931</v>
      </c>
      <c r="C1931" cm="1">
        <f t="array" ref="C1931">IFERROR(IF(SUMPRODUCT((measured[Site Name]=A1931)*(measured[Date]=B1931)*ISNUMBER(measured[Measured Value (kWh)]))=0,"",SUMIFS(measured[Measured Value (kWh)],measured[Site Name],A1931,measured[Date],B1931)),"")</f>
        <v>9680.31</v>
      </c>
      <c r="D1931" cm="1">
        <f t="array" ref="D1931">IFERROR(IF(SUMPRODUCT((expected_production[Site Name]=A1931)*(expected_production[Date]=B1931)*ISNUMBER(expected_production[Expected Production (kWh)]))=0,"",SUMIFS(expected_production[Expected Production (kWh)],expected_production[Site Name],A1931,expected_production[Date],B1931)),"")</f>
        <v>10753.525</v>
      </c>
      <c r="E1931" s="9">
        <f t="shared" si="62"/>
        <v>0.90019877203056675</v>
      </c>
      <c r="F1931" t="str">
        <f t="shared" si="63"/>
        <v>Expected</v>
      </c>
    </row>
    <row r="1932" spans="1:6" ht="15" customHeight="1" x14ac:dyDescent="0.3">
      <c r="A1932" t="s">
        <v>171</v>
      </c>
      <c r="B1932" s="2">
        <v>45962</v>
      </c>
      <c r="C1932" cm="1">
        <f t="array" ref="C1932">IFERROR(IF(SUMPRODUCT((measured[Site Name]=A1932)*(measured[Date]=B1932)*ISNUMBER(measured[Measured Value (kWh)]))=0,"",SUMIFS(measured[Measured Value (kWh)],measured[Site Name],A1932,measured[Date],B1932)),"")</f>
        <v>11102</v>
      </c>
      <c r="D1932" cm="1">
        <f t="array" ref="D1932">IFERROR(IF(SUMPRODUCT((expected_production[Site Name]=A1932)*(expected_production[Date]=B1932)*ISNUMBER(expected_production[Expected Production (kWh)]))=0,"",SUMIFS(expected_production[Expected Production (kWh)],expected_production[Site Name],A1932,expected_production[Date],B1932)),"")</f>
        <v>11159.27</v>
      </c>
      <c r="E1932" s="9">
        <f t="shared" si="62"/>
        <v>0.9948679438708804</v>
      </c>
      <c r="F1932" t="str">
        <f t="shared" si="63"/>
        <v>Expected</v>
      </c>
    </row>
    <row r="1933" spans="1:6" ht="15" customHeight="1" x14ac:dyDescent="0.3">
      <c r="A1933" t="s">
        <v>171</v>
      </c>
      <c r="B1933" s="2">
        <v>45992</v>
      </c>
      <c r="C1933" cm="1">
        <f t="array" ref="C1933">IFERROR(IF(SUMPRODUCT((measured[Site Name]=A1933)*(measured[Date]=B1933)*ISNUMBER(measured[Measured Value (kWh)]))=0,"",SUMIFS(measured[Measured Value (kWh)],measured[Site Name],A1933,measured[Date],B1933)),"")</f>
        <v>11384</v>
      </c>
      <c r="D1933" cm="1">
        <f t="array" ref="D1933">IFERROR(IF(SUMPRODUCT((expected_production[Site Name]=A1933)*(expected_production[Date]=B1933)*ISNUMBER(expected_production[Expected Production (kWh)]))=0,"",SUMIFS(expected_production[Expected Production (kWh)],expected_production[Site Name],A1933,expected_production[Date],B1933)),"")</f>
        <v>12687.82</v>
      </c>
      <c r="E1933" s="9">
        <f t="shared" si="62"/>
        <v>0.89723845388727141</v>
      </c>
      <c r="F1933" t="str">
        <f t="shared" si="63"/>
        <v>Moderate</v>
      </c>
    </row>
    <row r="1934" spans="1:6" ht="15" customHeight="1" x14ac:dyDescent="0.3">
      <c r="A1934" t="s">
        <v>171</v>
      </c>
      <c r="B1934" s="2">
        <v>46023</v>
      </c>
      <c r="C1934" cm="1">
        <f t="array" ref="C1934">IFERROR(IF(SUMPRODUCT((measured[Site Name]=A1934)*(measured[Date]=B1934)*ISNUMBER(measured[Measured Value (kWh)]))=0,"",SUMIFS(measured[Measured Value (kWh)],measured[Site Name],A1934,measured[Date],B1934)),"")</f>
        <v>12215</v>
      </c>
      <c r="D1934" cm="1">
        <f t="array" ref="D1934">IFERROR(IF(SUMPRODUCT((expected_production[Site Name]=A1934)*(expected_production[Date]=B1934)*ISNUMBER(expected_production[Expected Production (kWh)]))=0,"",SUMIFS(expected_production[Expected Production (kWh)],expected_production[Site Name],A1934,expected_production[Date],B1934)),"")</f>
        <v>12489.555</v>
      </c>
      <c r="E1934" s="9">
        <f t="shared" si="62"/>
        <v>0.97801723119838935</v>
      </c>
      <c r="F1934" t="str">
        <f t="shared" si="63"/>
        <v>Expected</v>
      </c>
    </row>
    <row r="1935" spans="1:6" ht="15" customHeight="1" x14ac:dyDescent="0.3">
      <c r="A1935" t="s">
        <v>171</v>
      </c>
      <c r="B1935" s="2">
        <v>46054</v>
      </c>
      <c r="C1935" cm="1">
        <f t="array" ref="C1935">IFERROR(IF(SUMPRODUCT((measured[Site Name]=A1935)*(measured[Date]=B1935)*ISNUMBER(measured[Measured Value (kWh)]))=0,"",SUMIFS(measured[Measured Value (kWh)],measured[Site Name],A1935,measured[Date],B1935)),"")</f>
        <v>11691</v>
      </c>
      <c r="D1935" cm="1">
        <f t="array" ref="D1935">IFERROR(IF(SUMPRODUCT((expected_production[Site Name]=A1935)*(expected_production[Date]=B1935)*ISNUMBER(expected_production[Expected Production (kWh)]))=0,"",SUMIFS(expected_production[Expected Production (kWh)],expected_production[Site Name],A1935,expected_production[Date],B1935)),"")</f>
        <v>10877.69</v>
      </c>
      <c r="E1935" s="9">
        <f t="shared" si="62"/>
        <v>1.0747686319429952</v>
      </c>
      <c r="F1935" t="str">
        <f t="shared" si="63"/>
        <v>Expected</v>
      </c>
    </row>
    <row r="1936" spans="1:6" ht="15" customHeight="1" x14ac:dyDescent="0.3">
      <c r="A1936" t="s">
        <v>171</v>
      </c>
      <c r="B1936" s="2">
        <v>46082</v>
      </c>
      <c r="C1936" cm="1">
        <f t="array" ref="C1936">IFERROR(IF(SUMPRODUCT((measured[Site Name]=A1936)*(measured[Date]=B1936)*ISNUMBER(measured[Measured Value (kWh)]))=0,"",SUMIFS(measured[Measured Value (kWh)],measured[Site Name],A1936,measured[Date],B1936)),"")</f>
        <v>10159</v>
      </c>
      <c r="D1936" cm="1">
        <f t="array" ref="D1936">IFERROR(IF(SUMPRODUCT((expected_production[Site Name]=A1936)*(expected_production[Date]=B1936)*ISNUMBER(expected_production[Expected Production (kWh)]))=0,"",SUMIFS(expected_production[Expected Production (kWh)],expected_production[Site Name],A1936,expected_production[Date],B1936)),"")</f>
        <v>10897.355</v>
      </c>
      <c r="E1936" s="9">
        <f t="shared" si="62"/>
        <v>0.93224456760379015</v>
      </c>
      <c r="F1936" t="str">
        <f t="shared" si="63"/>
        <v>Expected</v>
      </c>
    </row>
    <row r="1937" spans="1:7" ht="15" customHeight="1" x14ac:dyDescent="0.3">
      <c r="A1937" t="s">
        <v>171</v>
      </c>
      <c r="B1937" s="2">
        <v>46113</v>
      </c>
      <c r="C1937" s="5" cm="1">
        <f t="array" ref="C1937">IFERROR(IF(SUMPRODUCT((measured[Site Name]=A1937)*(measured[Date]=B1937)*ISNUMBER(measured[Measured Value (kWh)]))=0,"",SUMIFS(measured[Measured Value (kWh)],measured[Site Name],A1937,measured[Date],B1937)),"")</f>
        <v>8032.01</v>
      </c>
      <c r="D1937" cm="1">
        <f t="array" ref="D1937">IFERROR(IF(SUMPRODUCT((expected_production[Site Name]=A1937)*(expected_production[Date]=B1937)*ISNUMBER(expected_production[Expected Production (kWh)]))=0,"",SUMIFS(expected_production[Expected Production (kWh)],expected_production[Site Name],A1937,expected_production[Date],B1937)),"")</f>
        <v>8757.9549999999999</v>
      </c>
      <c r="E1937" s="9">
        <f t="shared" si="62"/>
        <v>0.91711021579809449</v>
      </c>
      <c r="F1937" t="str">
        <f t="shared" si="63"/>
        <v>Expected</v>
      </c>
    </row>
    <row r="1938" spans="1:7" ht="15" customHeight="1" x14ac:dyDescent="0.3">
      <c r="A1938" t="s">
        <v>171</v>
      </c>
      <c r="B1938" s="2">
        <v>46143</v>
      </c>
      <c r="C1938" s="5" cm="1">
        <f t="array" ref="C1938">IFERROR(IF(SUMPRODUCT((measured[Site Name]=A1938)*(measured[Date]=B1938)*ISNUMBER(measured[Measured Value (kWh)]))=0,"",SUMIFS(measured[Measured Value (kWh)],measured[Site Name],A1938,measured[Date],B1938)),"")</f>
        <v>7738.42</v>
      </c>
      <c r="D1938" cm="1">
        <f t="array" ref="D1938">IFERROR(IF(SUMPRODUCT((expected_production[Site Name]=A1938)*(expected_production[Date]=B1938)*ISNUMBER(expected_production[Expected Production (kWh)]))=0,"",SUMIFS(expected_production[Expected Production (kWh)],expected_production[Site Name],A1938,expected_production[Date],B1938)),"")</f>
        <v>7449.4250000000002</v>
      </c>
      <c r="E1938" s="9">
        <f t="shared" si="62"/>
        <v>1.0387942693563597</v>
      </c>
      <c r="F1938" t="str">
        <f t="shared" si="63"/>
        <v>Expected</v>
      </c>
    </row>
    <row r="1939" spans="1:7" ht="15" customHeight="1" x14ac:dyDescent="0.3">
      <c r="A1939" t="s">
        <v>171</v>
      </c>
      <c r="B1939" s="2">
        <v>46174</v>
      </c>
      <c r="C1939" cm="1">
        <f t="array" ref="C1939">IFERROR(IF(SUMPRODUCT((measured[Site Name]=A1939)*(measured[Date]=B1939)*ISNUMBER(measured[Measured Value (kWh)]))=0,"",SUMIFS(measured[Measured Value (kWh)],measured[Site Name],A1939,measured[Date],B1939)),"")</f>
        <v>6442</v>
      </c>
      <c r="D1939" cm="1">
        <f t="array" ref="D1939">IFERROR(IF(SUMPRODUCT((expected_production[Site Name]=A1939)*(expected_production[Date]=B1939)*ISNUMBER(expected_production[Expected Production (kWh)]))=0,"",SUMIFS(expected_production[Expected Production (kWh)],expected_production[Site Name],A1939,expected_production[Date],B1939)),"")</f>
        <v>6752.6949999999997</v>
      </c>
      <c r="E1939" s="9">
        <f t="shared" si="62"/>
        <v>0.95398948123675065</v>
      </c>
      <c r="F1939" t="str">
        <f t="shared" si="63"/>
        <v>Expected</v>
      </c>
    </row>
    <row r="1940" spans="1:7" ht="15" customHeight="1" x14ac:dyDescent="0.3">
      <c r="A1940" t="s">
        <v>171</v>
      </c>
      <c r="B1940" s="2">
        <v>46204</v>
      </c>
      <c r="C1940" cm="1">
        <f t="array" ref="C1940">IFERROR(IF(SUMPRODUCT((measured[Site Name]=A1940)*(measured[Date]=B1940)*ISNUMBER(measured[Measured Value (kWh)]))=0,"",SUMIFS(measured[Measured Value (kWh)],measured[Site Name],A1940,measured[Date],B1940)),"")</f>
        <v>6823</v>
      </c>
      <c r="D1940" cm="1">
        <f t="array" ref="D1940">IFERROR(IF(SUMPRODUCT((expected_production[Site Name]=A1940)*(expected_production[Date]=B1940)*ISNUMBER(expected_production[Expected Production (kWh)]))=0,"",SUMIFS(expected_production[Expected Production (kWh)],expected_production[Site Name],A1940,expected_production[Date],B1940)),"")</f>
        <v>7274.2449999999999</v>
      </c>
      <c r="E1940" s="9">
        <f t="shared" si="62"/>
        <v>0.93796675806217689</v>
      </c>
      <c r="F1940" t="str">
        <f t="shared" si="63"/>
        <v>Expected</v>
      </c>
      <c r="G1940" t="s">
        <v>874</v>
      </c>
    </row>
    <row r="1941" spans="1:7" ht="15" customHeight="1" x14ac:dyDescent="0.3">
      <c r="A1941" t="s">
        <v>171</v>
      </c>
      <c r="B1941" s="2">
        <v>46235</v>
      </c>
      <c r="C1941" t="str" cm="1">
        <f t="array" ref="C1941">IFERROR(IF(SUMPRODUCT((measured[Site Name]=A1941)*(measured[Date]=B1941)*ISNUMBER(measured[Measured Value (kWh)]))=0,"",SUMIFS(measured[Measured Value (kWh)],measured[Site Name],A1941,measured[Date],B1941)),"")</f>
        <v/>
      </c>
      <c r="D1941" cm="1">
        <f t="array" ref="D1941">IFERROR(IF(SUMPRODUCT((expected_production[Site Name]=A1941)*(expected_production[Date]=B1941)*ISNUMBER(expected_production[Expected Production (kWh)]))=0,"",SUMIFS(expected_production[Expected Production (kWh)],expected_production[Site Name],A1941,expected_production[Date],B1941)),"")</f>
        <v>8568.7150000000001</v>
      </c>
      <c r="E1941" s="9" t="str">
        <f t="shared" si="62"/>
        <v/>
      </c>
      <c r="F1941" t="str">
        <f t="shared" si="63"/>
        <v/>
      </c>
    </row>
    <row r="1942" spans="1:7" ht="15" customHeight="1" x14ac:dyDescent="0.3">
      <c r="A1942" t="s">
        <v>171</v>
      </c>
      <c r="B1942" s="2">
        <v>46266</v>
      </c>
      <c r="C1942" t="str" cm="1">
        <f t="array" ref="C1942">IFERROR(IF(SUMPRODUCT((measured[Site Name]=A1942)*(measured[Date]=B1942)*ISNUMBER(measured[Measured Value (kWh)]))=0,"",SUMIFS(measured[Measured Value (kWh)],measured[Site Name],A1942,measured[Date],B1942)),"")</f>
        <v/>
      </c>
      <c r="D1942" cm="1">
        <f t="array" ref="D1942">IFERROR(IF(SUMPRODUCT((expected_production[Site Name]=A1942)*(expected_production[Date]=B1942)*ISNUMBER(expected_production[Expected Production (kWh)]))=0,"",SUMIFS(expected_production[Expected Production (kWh)],expected_production[Site Name],A1942,expected_production[Date],B1942)),"")</f>
        <v>9196</v>
      </c>
      <c r="E1942" s="9" t="str">
        <f t="shared" si="62"/>
        <v/>
      </c>
      <c r="F1942" t="str">
        <f t="shared" si="63"/>
        <v/>
      </c>
    </row>
    <row r="1943" spans="1:7" ht="15" customHeight="1" x14ac:dyDescent="0.3">
      <c r="A1943" t="s">
        <v>171</v>
      </c>
      <c r="B1943" s="2">
        <v>46296</v>
      </c>
      <c r="C1943" t="str" cm="1">
        <f t="array" ref="C1943">IFERROR(IF(SUMPRODUCT((measured[Site Name]=A1943)*(measured[Date]=B1943)*ISNUMBER(measured[Measured Value (kWh)]))=0,"",SUMIFS(measured[Measured Value (kWh)],measured[Site Name],A1943,measured[Date],B1943)),"")</f>
        <v/>
      </c>
      <c r="D1943" cm="1">
        <f t="array" ref="D1943">IFERROR(IF(SUMPRODUCT((expected_production[Site Name]=A1943)*(expected_production[Date]=B1943)*ISNUMBER(expected_production[Expected Production (kWh)]))=0,"",SUMIFS(expected_production[Expected Production (kWh)],expected_production[Site Name],A1943,expected_production[Date],B1943)),"")</f>
        <v>10753.525</v>
      </c>
      <c r="E1943" s="9" t="str">
        <f t="shared" si="62"/>
        <v/>
      </c>
      <c r="F1943" t="str">
        <f t="shared" si="63"/>
        <v/>
      </c>
    </row>
    <row r="1944" spans="1:7" ht="15" customHeight="1" x14ac:dyDescent="0.3">
      <c r="A1944" t="s">
        <v>171</v>
      </c>
      <c r="B1944" s="2">
        <v>46327</v>
      </c>
      <c r="C1944" t="str" cm="1">
        <f t="array" ref="C1944">IFERROR(IF(SUMPRODUCT((measured[Site Name]=A1944)*(measured[Date]=B1944)*ISNUMBER(measured[Measured Value (kWh)]))=0,"",SUMIFS(measured[Measured Value (kWh)],measured[Site Name],A1944,measured[Date],B1944)),"")</f>
        <v/>
      </c>
      <c r="D1944" cm="1">
        <f t="array" ref="D1944">IFERROR(IF(SUMPRODUCT((expected_production[Site Name]=A1944)*(expected_production[Date]=B1944)*ISNUMBER(expected_production[Expected Production (kWh)]))=0,"",SUMIFS(expected_production[Expected Production (kWh)],expected_production[Site Name],A1944,expected_production[Date],B1944)),"")</f>
        <v>11159.27</v>
      </c>
      <c r="E1944" s="9" t="str">
        <f t="shared" si="62"/>
        <v/>
      </c>
      <c r="F1944" t="str">
        <f t="shared" si="63"/>
        <v/>
      </c>
    </row>
    <row r="1945" spans="1:7" ht="15" customHeight="1" x14ac:dyDescent="0.3">
      <c r="A1945" t="s">
        <v>171</v>
      </c>
      <c r="B1945" s="2">
        <v>46357</v>
      </c>
      <c r="C1945" t="str" cm="1">
        <f t="array" ref="C1945">IFERROR(IF(SUMPRODUCT((measured[Site Name]=A1945)*(measured[Date]=B1945)*ISNUMBER(measured[Measured Value (kWh)]))=0,"",SUMIFS(measured[Measured Value (kWh)],measured[Site Name],A1945,measured[Date],B1945)),"")</f>
        <v/>
      </c>
      <c r="D1945" cm="1">
        <f t="array" ref="D1945">IFERROR(IF(SUMPRODUCT((expected_production[Site Name]=A1945)*(expected_production[Date]=B1945)*ISNUMBER(expected_production[Expected Production (kWh)]))=0,"",SUMIFS(expected_production[Expected Production (kWh)],expected_production[Site Name],A1945,expected_production[Date],B1945)),"")</f>
        <v>12687.82</v>
      </c>
      <c r="E1945" s="9" t="str">
        <f t="shared" si="62"/>
        <v/>
      </c>
      <c r="F1945" t="str">
        <f t="shared" si="63"/>
        <v/>
      </c>
    </row>
    <row r="1946" spans="1:7" ht="15" customHeight="1" x14ac:dyDescent="0.3">
      <c r="A1946" t="s">
        <v>172</v>
      </c>
      <c r="B1946" s="2">
        <v>45292</v>
      </c>
      <c r="C1946" cm="1">
        <f t="array" ref="C1946">IFERROR(IF(SUMPRODUCT((measured[Site Name]=A1946)*(measured[Date]=B1946)*ISNUMBER(measured[Measured Value (kWh)]))=0,"",SUMIFS(measured[Measured Value (kWh)],measured[Site Name],A1946,measured[Date],B1946)),"")</f>
        <v>11804</v>
      </c>
      <c r="D1946" cm="1">
        <f t="array" ref="D1946">IFERROR(IF(SUMPRODUCT((expected_production[Site Name]=A1946)*(expected_production[Date]=B1946)*ISNUMBER(expected_production[Expected Production (kWh)]))=0,"",SUMIFS(expected_production[Expected Production (kWh)],expected_production[Site Name],A1946,expected_production[Date],B1946)),"")</f>
        <v>13218.014999999999</v>
      </c>
      <c r="E1946" s="9">
        <f t="shared" si="62"/>
        <v>0.89302364992020367</v>
      </c>
      <c r="F1946" t="str">
        <f t="shared" si="63"/>
        <v>Moderate</v>
      </c>
    </row>
    <row r="1947" spans="1:7" ht="15" customHeight="1" x14ac:dyDescent="0.3">
      <c r="A1947" t="s">
        <v>172</v>
      </c>
      <c r="B1947" s="2">
        <v>45323</v>
      </c>
      <c r="C1947" cm="1">
        <f t="array" ref="C1947">IFERROR(IF(SUMPRODUCT((measured[Site Name]=A1947)*(measured[Date]=B1947)*ISNUMBER(measured[Measured Value (kWh)]))=0,"",SUMIFS(measured[Measured Value (kWh)],measured[Site Name],A1947,measured[Date],B1947)),"")</f>
        <v>9158</v>
      </c>
      <c r="D1947" cm="1">
        <f t="array" ref="D1947">IFERROR(IF(SUMPRODUCT((expected_production[Site Name]=A1947)*(expected_production[Date]=B1947)*ISNUMBER(expected_production[Expected Production (kWh)]))=0,"",SUMIFS(expected_production[Expected Production (kWh)],expected_production[Site Name],A1947,expected_production[Date],B1947)),"")</f>
        <v>10966.135</v>
      </c>
      <c r="E1947" s="9">
        <f t="shared" si="62"/>
        <v>0.83511647449169646</v>
      </c>
      <c r="F1947" t="str">
        <f t="shared" si="63"/>
        <v>Moderate</v>
      </c>
    </row>
    <row r="1948" spans="1:7" ht="15" customHeight="1" x14ac:dyDescent="0.3">
      <c r="A1948" t="s">
        <v>172</v>
      </c>
      <c r="B1948" s="2">
        <v>45352</v>
      </c>
      <c r="C1948" cm="1">
        <f t="array" ref="C1948">IFERROR(IF(SUMPRODUCT((measured[Site Name]=A1948)*(measured[Date]=B1948)*ISNUMBER(measured[Measured Value (kWh)]))=0,"",SUMIFS(measured[Measured Value (kWh)],measured[Site Name],A1948,measured[Date],B1948)),"")</f>
        <v>9784</v>
      </c>
      <c r="D1948" cm="1">
        <f t="array" ref="D1948">IFERROR(IF(SUMPRODUCT((expected_production[Site Name]=A1948)*(expected_production[Date]=B1948)*ISNUMBER(expected_production[Expected Production (kWh)]))=0,"",SUMIFS(expected_production[Expected Production (kWh)],expected_production[Site Name],A1948,expected_production[Date],B1948)),"")</f>
        <v>11441.135</v>
      </c>
      <c r="E1948" s="9">
        <f t="shared" si="62"/>
        <v>0.85515991201921837</v>
      </c>
      <c r="F1948" t="str">
        <f t="shared" si="63"/>
        <v>Moderate</v>
      </c>
    </row>
    <row r="1949" spans="1:7" ht="15" customHeight="1" x14ac:dyDescent="0.3">
      <c r="A1949" t="s">
        <v>172</v>
      </c>
      <c r="B1949" s="2">
        <v>45383</v>
      </c>
      <c r="C1949" cm="1">
        <f t="array" ref="C1949">IFERROR(IF(SUMPRODUCT((measured[Site Name]=A1949)*(measured[Date]=B1949)*ISNUMBER(measured[Measured Value (kWh)]))=0,"",SUMIFS(measured[Measured Value (kWh)],measured[Site Name],A1949,measured[Date],B1949)),"")</f>
        <v>7858</v>
      </c>
      <c r="D1949" cm="1">
        <f t="array" ref="D1949">IFERROR(IF(SUMPRODUCT((expected_production[Site Name]=A1949)*(expected_production[Date]=B1949)*ISNUMBER(expected_production[Expected Production (kWh)]))=0,"",SUMIFS(expected_production[Expected Production (kWh)],expected_production[Site Name],A1949,expected_production[Date],B1949)),"")</f>
        <v>10004.07</v>
      </c>
      <c r="E1949" s="9">
        <f t="shared" si="62"/>
        <v>0.78548030951402781</v>
      </c>
      <c r="F1949" t="str">
        <f t="shared" si="63"/>
        <v>Moderate</v>
      </c>
    </row>
    <row r="1950" spans="1:7" ht="15" customHeight="1" x14ac:dyDescent="0.3">
      <c r="A1950" t="s">
        <v>172</v>
      </c>
      <c r="B1950" s="2">
        <v>45413</v>
      </c>
      <c r="C1950" cm="1">
        <f t="array" ref="C1950">IFERROR(IF(SUMPRODUCT((measured[Site Name]=A1950)*(measured[Date]=B1950)*ISNUMBER(measured[Measured Value (kWh)]))=0,"",SUMIFS(measured[Measured Value (kWh)],measured[Site Name],A1950,measured[Date],B1950)),"")</f>
        <v>7246</v>
      </c>
      <c r="D1950" cm="1">
        <f t="array" ref="D1950">IFERROR(IF(SUMPRODUCT((expected_production[Site Name]=A1950)*(expected_production[Date]=B1950)*ISNUMBER(expected_production[Expected Production (kWh)]))=0,"",SUMIFS(expected_production[Expected Production (kWh)],expected_production[Site Name],A1950,expected_production[Date],B1950)),"")</f>
        <v>8979.59</v>
      </c>
      <c r="E1950" s="9">
        <f t="shared" si="62"/>
        <v>0.80694107414703786</v>
      </c>
      <c r="F1950" t="str">
        <f t="shared" si="63"/>
        <v>Moderate</v>
      </c>
    </row>
    <row r="1951" spans="1:7" ht="15" customHeight="1" x14ac:dyDescent="0.3">
      <c r="A1951" t="s">
        <v>172</v>
      </c>
      <c r="B1951" s="2">
        <v>45444</v>
      </c>
      <c r="C1951" cm="1">
        <f t="array" ref="C1951">IFERROR(IF(SUMPRODUCT((measured[Site Name]=A1951)*(measured[Date]=B1951)*ISNUMBER(measured[Measured Value (kWh)]))=0,"",SUMIFS(measured[Measured Value (kWh)],measured[Site Name],A1951,measured[Date],B1951)),"")</f>
        <v>6127</v>
      </c>
      <c r="D1951" cm="1">
        <f t="array" ref="D1951">IFERROR(IF(SUMPRODUCT((expected_production[Site Name]=A1951)*(expected_production[Date]=B1951)*ISNUMBER(expected_production[Expected Production (kWh)]))=0,"",SUMIFS(expected_production[Expected Production (kWh)],expected_production[Site Name],A1951,expected_production[Date],B1951)),"")</f>
        <v>7800.26</v>
      </c>
      <c r="E1951" s="9">
        <f t="shared" si="62"/>
        <v>0.78548663762489968</v>
      </c>
      <c r="F1951" t="str">
        <f t="shared" si="63"/>
        <v>Moderate</v>
      </c>
    </row>
    <row r="1952" spans="1:7" ht="15" customHeight="1" x14ac:dyDescent="0.3">
      <c r="A1952" t="s">
        <v>172</v>
      </c>
      <c r="B1952" s="2">
        <v>45474</v>
      </c>
      <c r="C1952" cm="1">
        <f t="array" ref="C1952">IFERROR(IF(SUMPRODUCT((measured[Site Name]=A1952)*(measured[Date]=B1952)*ISNUMBER(measured[Measured Value (kWh)]))=0,"",SUMIFS(measured[Measured Value (kWh)],measured[Site Name],A1952,measured[Date],B1952)),"")</f>
        <v>8521</v>
      </c>
      <c r="D1952" cm="1">
        <f t="array" ref="D1952">IFERROR(IF(SUMPRODUCT((expected_production[Site Name]=A1952)*(expected_production[Date]=B1952)*ISNUMBER(expected_production[Expected Production (kWh)]))=0,"",SUMIFS(expected_production[Expected Production (kWh)],expected_production[Site Name],A1952,expected_production[Date],B1952)),"")</f>
        <v>8635.69</v>
      </c>
      <c r="E1952" s="9">
        <f t="shared" si="62"/>
        <v>0.98671906935056719</v>
      </c>
      <c r="F1952" t="str">
        <f t="shared" si="63"/>
        <v>Expected</v>
      </c>
    </row>
    <row r="1953" spans="1:6" ht="15" customHeight="1" x14ac:dyDescent="0.3">
      <c r="A1953" t="s">
        <v>172</v>
      </c>
      <c r="B1953" s="2">
        <v>45505</v>
      </c>
      <c r="C1953" cm="1">
        <f t="array" ref="C1953">IFERROR(IF(SUMPRODUCT((measured[Site Name]=A1953)*(measured[Date]=B1953)*ISNUMBER(measured[Measured Value (kWh)]))=0,"",SUMIFS(measured[Measured Value (kWh)],measured[Site Name],A1953,measured[Date],B1953)),"")</f>
        <v>9050</v>
      </c>
      <c r="D1953" cm="1">
        <f t="array" ref="D1953">IFERROR(IF(SUMPRODUCT((expected_production[Site Name]=A1953)*(expected_production[Date]=B1953)*ISNUMBER(expected_production[Expected Production (kWh)]))=0,"",SUMIFS(expected_production[Expected Production (kWh)],expected_production[Site Name],A1953,expected_production[Date],B1953)),"")</f>
        <v>9829.9349999999995</v>
      </c>
      <c r="E1953" s="9">
        <f t="shared" si="62"/>
        <v>0.92065715592219077</v>
      </c>
      <c r="F1953" t="str">
        <f t="shared" si="63"/>
        <v>Expected</v>
      </c>
    </row>
    <row r="1954" spans="1:6" ht="15" customHeight="1" x14ac:dyDescent="0.3">
      <c r="A1954" t="s">
        <v>172</v>
      </c>
      <c r="B1954" s="2">
        <v>45536</v>
      </c>
      <c r="C1954" cm="1">
        <f t="array" ref="C1954">IFERROR(IF(SUMPRODUCT((measured[Site Name]=A1954)*(measured[Date]=B1954)*ISNUMBER(measured[Measured Value (kWh)]))=0,"",SUMIFS(measured[Measured Value (kWh)],measured[Site Name],A1954,measured[Date],B1954)),"")</f>
        <v>8302</v>
      </c>
      <c r="D1954" cm="1">
        <f t="array" ref="D1954">IFERROR(IF(SUMPRODUCT((expected_production[Site Name]=A1954)*(expected_production[Date]=B1954)*ISNUMBER(expected_production[Expected Production (kWh)]))=0,"",SUMIFS(expected_production[Expected Production (kWh)],expected_production[Site Name],A1954,expected_production[Date],B1954)),"")</f>
        <v>10568.94</v>
      </c>
      <c r="E1954" s="9">
        <f t="shared" si="62"/>
        <v>0.78550923744481471</v>
      </c>
      <c r="F1954" t="str">
        <f t="shared" si="63"/>
        <v>Moderate</v>
      </c>
    </row>
    <row r="1955" spans="1:6" ht="15" customHeight="1" x14ac:dyDescent="0.3">
      <c r="A1955" t="s">
        <v>172</v>
      </c>
      <c r="B1955" s="2">
        <v>45566</v>
      </c>
      <c r="C1955" cm="1">
        <f t="array" ref="C1955">IFERROR(IF(SUMPRODUCT((measured[Site Name]=A1955)*(measured[Date]=B1955)*ISNUMBER(measured[Measured Value (kWh)]))=0,"",SUMIFS(measured[Measured Value (kWh)],measured[Site Name],A1955,measured[Date],B1955)),"")</f>
        <v>11290</v>
      </c>
      <c r="D1955" cm="1">
        <f t="array" ref="D1955">IFERROR(IF(SUMPRODUCT((expected_production[Site Name]=A1955)*(expected_production[Date]=B1955)*ISNUMBER(expected_production[Expected Production (kWh)]))=0,"",SUMIFS(expected_production[Expected Production (kWh)],expected_production[Site Name],A1955,expected_production[Date],B1955)),"")</f>
        <v>11606.34</v>
      </c>
      <c r="E1955" s="9">
        <f t="shared" si="62"/>
        <v>0.97274420704545961</v>
      </c>
      <c r="F1955" t="str">
        <f t="shared" si="63"/>
        <v>Expected</v>
      </c>
    </row>
    <row r="1956" spans="1:6" ht="15" customHeight="1" x14ac:dyDescent="0.3">
      <c r="A1956" t="s">
        <v>172</v>
      </c>
      <c r="B1956" s="2">
        <v>45597</v>
      </c>
      <c r="C1956" cm="1">
        <f t="array" ref="C1956">IFERROR(IF(SUMPRODUCT((measured[Site Name]=A1956)*(measured[Date]=B1956)*ISNUMBER(measured[Measured Value (kWh)]))=0,"",SUMIFS(measured[Measured Value (kWh)],measured[Site Name],A1956,measured[Date],B1956)),"")</f>
        <v>10513</v>
      </c>
      <c r="D1956" cm="1">
        <f t="array" ref="D1956">IFERROR(IF(SUMPRODUCT((expected_production[Site Name]=A1956)*(expected_production[Date]=B1956)*ISNUMBER(expected_production[Expected Production (kWh)]))=0,"",SUMIFS(expected_production[Expected Production (kWh)],expected_production[Site Name],A1956,expected_production[Date],B1956)),"")</f>
        <v>12483.285</v>
      </c>
      <c r="E1956" s="9">
        <f t="shared" si="62"/>
        <v>0.84216614456851702</v>
      </c>
      <c r="F1956" t="str">
        <f t="shared" si="63"/>
        <v>Moderate</v>
      </c>
    </row>
    <row r="1957" spans="1:6" ht="15" customHeight="1" x14ac:dyDescent="0.3">
      <c r="A1957" t="s">
        <v>172</v>
      </c>
      <c r="B1957" s="2">
        <v>45627</v>
      </c>
      <c r="C1957" cm="1">
        <f t="array" ref="C1957">IFERROR(IF(SUMPRODUCT((measured[Site Name]=A1957)*(measured[Date]=B1957)*ISNUMBER(measured[Measured Value (kWh)]))=0,"",SUMIFS(measured[Measured Value (kWh)],measured[Site Name],A1957,measured[Date],B1957)),"")</f>
        <v>11507</v>
      </c>
      <c r="D1957" cm="1">
        <f t="array" ref="D1957">IFERROR(IF(SUMPRODUCT((expected_production[Site Name]=A1957)*(expected_production[Date]=B1957)*ISNUMBER(expected_production[Expected Production (kWh)]))=0,"",SUMIFS(expected_production[Expected Production (kWh)],expected_production[Site Name],A1957,expected_production[Date],B1957)),"")</f>
        <v>13393.575000000001</v>
      </c>
      <c r="E1957" s="9">
        <f t="shared" si="62"/>
        <v>0.85914328325335088</v>
      </c>
      <c r="F1957" t="str">
        <f t="shared" si="63"/>
        <v>Moderate</v>
      </c>
    </row>
    <row r="1958" spans="1:6" ht="15" customHeight="1" x14ac:dyDescent="0.3">
      <c r="A1958" t="s">
        <v>172</v>
      </c>
      <c r="B1958" s="2">
        <v>45658</v>
      </c>
      <c r="C1958" cm="1">
        <f t="array" ref="C1958">IFERROR(IF(SUMPRODUCT((measured[Site Name]=A1958)*(measured[Date]=B1958)*ISNUMBER(measured[Measured Value (kWh)]))=0,"",SUMIFS(measured[Measured Value (kWh)],measured[Site Name],A1958,measured[Date],B1958)),"")</f>
        <v>11679</v>
      </c>
      <c r="D1958" cm="1">
        <f t="array" ref="D1958">IFERROR(IF(SUMPRODUCT((expected_production[Site Name]=A1958)*(expected_production[Date]=B1958)*ISNUMBER(expected_production[Expected Production (kWh)]))=0,"",SUMIFS(expected_production[Expected Production (kWh)],expected_production[Site Name],A1958,expected_production[Date],B1958)),"")</f>
        <v>13218.014999999999</v>
      </c>
      <c r="E1958" s="9">
        <f t="shared" si="62"/>
        <v>0.8835668593204048</v>
      </c>
      <c r="F1958" t="str">
        <f t="shared" si="63"/>
        <v>Moderate</v>
      </c>
    </row>
    <row r="1959" spans="1:6" ht="15" customHeight="1" x14ac:dyDescent="0.3">
      <c r="A1959" t="s">
        <v>172</v>
      </c>
      <c r="B1959" s="2">
        <v>45689</v>
      </c>
      <c r="C1959" cm="1">
        <f t="array" ref="C1959">IFERROR(IF(SUMPRODUCT((measured[Site Name]=A1959)*(measured[Date]=B1959)*ISNUMBER(measured[Measured Value (kWh)]))=0,"",SUMIFS(measured[Measured Value (kWh)],measured[Site Name],A1959,measured[Date],B1959)),"")</f>
        <v>7567</v>
      </c>
      <c r="D1959" cm="1">
        <f t="array" ref="D1959">IFERROR(IF(SUMPRODUCT((expected_production[Site Name]=A1959)*(expected_production[Date]=B1959)*ISNUMBER(expected_production[Expected Production (kWh)]))=0,"",SUMIFS(expected_production[Expected Production (kWh)],expected_production[Site Name],A1959,expected_production[Date],B1959)),"")</f>
        <v>10966.135</v>
      </c>
      <c r="E1959" s="9">
        <f t="shared" si="62"/>
        <v>0.69003345298959018</v>
      </c>
      <c r="F1959" t="str">
        <f t="shared" si="63"/>
        <v>Poor</v>
      </c>
    </row>
    <row r="1960" spans="1:6" ht="15" customHeight="1" x14ac:dyDescent="0.3">
      <c r="A1960" t="s">
        <v>172</v>
      </c>
      <c r="B1960" s="2">
        <v>45717</v>
      </c>
      <c r="C1960" cm="1">
        <f t="array" ref="C1960">IFERROR(IF(SUMPRODUCT((measured[Site Name]=A1960)*(measured[Date]=B1960)*ISNUMBER(measured[Measured Value (kWh)]))=0,"",SUMIFS(measured[Measured Value (kWh)],measured[Site Name],A1960,measured[Date],B1960)),"")</f>
        <v>9564</v>
      </c>
      <c r="D1960" cm="1">
        <f t="array" ref="D1960">IFERROR(IF(SUMPRODUCT((expected_production[Site Name]=A1960)*(expected_production[Date]=B1960)*ISNUMBER(expected_production[Expected Production (kWh)]))=0,"",SUMIFS(expected_production[Expected Production (kWh)],expected_production[Site Name],A1960,expected_production[Date],B1960)),"")</f>
        <v>11441.135</v>
      </c>
      <c r="E1960" s="9">
        <f t="shared" si="62"/>
        <v>0.83593105054699557</v>
      </c>
      <c r="F1960" t="str">
        <f t="shared" si="63"/>
        <v>Moderate</v>
      </c>
    </row>
    <row r="1961" spans="1:6" ht="15" customHeight="1" x14ac:dyDescent="0.3">
      <c r="A1961" t="s">
        <v>172</v>
      </c>
      <c r="B1961" s="2">
        <v>45748</v>
      </c>
      <c r="C1961" cm="1">
        <f t="array" ref="C1961">IFERROR(IF(SUMPRODUCT((measured[Site Name]=A1961)*(measured[Date]=B1961)*ISNUMBER(measured[Measured Value (kWh)]))=0,"",SUMIFS(measured[Measured Value (kWh)],measured[Site Name],A1961,measured[Date],B1961)),"")</f>
        <v>6957</v>
      </c>
      <c r="D1961" cm="1">
        <f t="array" ref="D1961">IFERROR(IF(SUMPRODUCT((expected_production[Site Name]=A1961)*(expected_production[Date]=B1961)*ISNUMBER(expected_production[Expected Production (kWh)]))=0,"",SUMIFS(expected_production[Expected Production (kWh)],expected_production[Site Name],A1961,expected_production[Date],B1961)),"")</f>
        <v>10004.07</v>
      </c>
      <c r="E1961" s="9">
        <f t="shared" si="62"/>
        <v>0.69541696529512487</v>
      </c>
      <c r="F1961" t="str">
        <f t="shared" si="63"/>
        <v>Poor</v>
      </c>
    </row>
    <row r="1962" spans="1:6" ht="15" customHeight="1" x14ac:dyDescent="0.3">
      <c r="A1962" t="s">
        <v>172</v>
      </c>
      <c r="B1962" s="2">
        <v>45778</v>
      </c>
      <c r="C1962" cm="1">
        <f t="array" ref="C1962">IFERROR(IF(SUMPRODUCT((measured[Site Name]=A1962)*(measured[Date]=B1962)*ISNUMBER(measured[Measured Value (kWh)]))=0,"",SUMIFS(measured[Measured Value (kWh)],measured[Site Name],A1962,measured[Date],B1962)),"")</f>
        <v>7705</v>
      </c>
      <c r="D1962" cm="1">
        <f t="array" ref="D1962">IFERROR(IF(SUMPRODUCT((expected_production[Site Name]=A1962)*(expected_production[Date]=B1962)*ISNUMBER(expected_production[Expected Production (kWh)]))=0,"",SUMIFS(expected_production[Expected Production (kWh)],expected_production[Site Name],A1962,expected_production[Date],B1962)),"")</f>
        <v>8979.59</v>
      </c>
      <c r="E1962" s="9">
        <f t="shared" si="62"/>
        <v>0.85805699369347599</v>
      </c>
      <c r="F1962" t="str">
        <f t="shared" si="63"/>
        <v>Moderate</v>
      </c>
    </row>
    <row r="1963" spans="1:6" ht="15" customHeight="1" x14ac:dyDescent="0.3">
      <c r="A1963" t="s">
        <v>172</v>
      </c>
      <c r="B1963" s="2">
        <v>45809</v>
      </c>
      <c r="C1963" cm="1">
        <f t="array" ref="C1963">IFERROR(IF(SUMPRODUCT((measured[Site Name]=A1963)*(measured[Date]=B1963)*ISNUMBER(measured[Measured Value (kWh)]))=0,"",SUMIFS(measured[Measured Value (kWh)],measured[Site Name],A1963,measured[Date],B1963)),"")</f>
        <v>6515.6</v>
      </c>
      <c r="D1963" cm="1">
        <f t="array" ref="D1963">IFERROR(IF(SUMPRODUCT((expected_production[Site Name]=A1963)*(expected_production[Date]=B1963)*ISNUMBER(expected_production[Expected Production (kWh)]))=0,"",SUMIFS(expected_production[Expected Production (kWh)],expected_production[Site Name],A1963,expected_production[Date],B1963)),"")</f>
        <v>7800.26</v>
      </c>
      <c r="E1963" s="9">
        <f t="shared" si="62"/>
        <v>0.83530548981700614</v>
      </c>
      <c r="F1963" t="str">
        <f t="shared" si="63"/>
        <v>Moderate</v>
      </c>
    </row>
    <row r="1964" spans="1:6" ht="15" customHeight="1" x14ac:dyDescent="0.3">
      <c r="A1964" t="s">
        <v>172</v>
      </c>
      <c r="B1964" s="2">
        <v>45839</v>
      </c>
      <c r="C1964" cm="1">
        <f t="array" ref="C1964">IFERROR(IF(SUMPRODUCT((measured[Site Name]=A1964)*(measured[Date]=B1964)*ISNUMBER(measured[Measured Value (kWh)]))=0,"",SUMIFS(measured[Measured Value (kWh)],measured[Site Name],A1964,measured[Date],B1964)),"")</f>
        <v>7651</v>
      </c>
      <c r="D1964" cm="1">
        <f t="array" ref="D1964">IFERROR(IF(SUMPRODUCT((expected_production[Site Name]=A1964)*(expected_production[Date]=B1964)*ISNUMBER(expected_production[Expected Production (kWh)]))=0,"",SUMIFS(expected_production[Expected Production (kWh)],expected_production[Site Name],A1964,expected_production[Date],B1964)),"")</f>
        <v>8635.69</v>
      </c>
      <c r="E1964" s="9">
        <f t="shared" si="62"/>
        <v>0.8859743691586891</v>
      </c>
      <c r="F1964" t="str">
        <f t="shared" si="63"/>
        <v>Moderate</v>
      </c>
    </row>
    <row r="1965" spans="1:6" ht="15" customHeight="1" x14ac:dyDescent="0.3">
      <c r="A1965" t="s">
        <v>172</v>
      </c>
      <c r="B1965" s="2">
        <v>45870</v>
      </c>
      <c r="C1965" cm="1">
        <f t="array" ref="C1965">IFERROR(IF(SUMPRODUCT((measured[Site Name]=A1965)*(measured[Date]=B1965)*ISNUMBER(measured[Measured Value (kWh)]))=0,"",SUMIFS(measured[Measured Value (kWh)],measured[Site Name],A1965,measured[Date],B1965)),"")</f>
        <v>8548</v>
      </c>
      <c r="D1965" cm="1">
        <f t="array" ref="D1965">IFERROR(IF(SUMPRODUCT((expected_production[Site Name]=A1965)*(expected_production[Date]=B1965)*ISNUMBER(expected_production[Expected Production (kWh)]))=0,"",SUMIFS(expected_production[Expected Production (kWh)],expected_production[Site Name],A1965,expected_production[Date],B1965)),"")</f>
        <v>9829.9349999999995</v>
      </c>
      <c r="E1965" s="9">
        <f t="shared" si="62"/>
        <v>0.86958865953844056</v>
      </c>
      <c r="F1965" t="str">
        <f t="shared" si="63"/>
        <v>Moderate</v>
      </c>
    </row>
    <row r="1966" spans="1:6" ht="15" customHeight="1" x14ac:dyDescent="0.3">
      <c r="A1966" t="s">
        <v>172</v>
      </c>
      <c r="B1966" s="2">
        <v>45901</v>
      </c>
      <c r="C1966" cm="1">
        <f t="array" ref="C1966">IFERROR(IF(SUMPRODUCT((measured[Site Name]=A1966)*(measured[Date]=B1966)*ISNUMBER(measured[Measured Value (kWh)]))=0,"",SUMIFS(measured[Measured Value (kWh)],measured[Site Name],A1966,measured[Date],B1966)),"")</f>
        <v>7542</v>
      </c>
      <c r="D1966" cm="1">
        <f t="array" ref="D1966">IFERROR(IF(SUMPRODUCT((expected_production[Site Name]=A1966)*(expected_production[Date]=B1966)*ISNUMBER(expected_production[Expected Production (kWh)]))=0,"",SUMIFS(expected_production[Expected Production (kWh)],expected_production[Site Name],A1966,expected_production[Date],B1966)),"")</f>
        <v>10568.94</v>
      </c>
      <c r="E1966" s="9">
        <f t="shared" si="62"/>
        <v>0.7136004178280887</v>
      </c>
      <c r="F1966" t="str">
        <f t="shared" si="63"/>
        <v>Moderate</v>
      </c>
    </row>
    <row r="1967" spans="1:6" ht="15" customHeight="1" x14ac:dyDescent="0.3">
      <c r="A1967" t="s">
        <v>172</v>
      </c>
      <c r="B1967" s="2">
        <v>45931</v>
      </c>
      <c r="C1967" cm="1">
        <f t="array" ref="C1967">IFERROR(IF(SUMPRODUCT((measured[Site Name]=A1967)*(measured[Date]=B1967)*ISNUMBER(measured[Measured Value (kWh)]))=0,"",SUMIFS(measured[Measured Value (kWh)],measured[Site Name],A1967,measured[Date],B1967)),"")</f>
        <v>10186</v>
      </c>
      <c r="D1967" cm="1">
        <f t="array" ref="D1967">IFERROR(IF(SUMPRODUCT((expected_production[Site Name]=A1967)*(expected_production[Date]=B1967)*ISNUMBER(expected_production[Expected Production (kWh)]))=0,"",SUMIFS(expected_production[Expected Production (kWh)],expected_production[Site Name],A1967,expected_production[Date],B1967)),"")</f>
        <v>11606.34</v>
      </c>
      <c r="E1967" s="9">
        <f t="shared" si="62"/>
        <v>0.87762378148494702</v>
      </c>
      <c r="F1967" t="str">
        <f t="shared" si="63"/>
        <v>Moderate</v>
      </c>
    </row>
    <row r="1968" spans="1:6" ht="15" customHeight="1" x14ac:dyDescent="0.3">
      <c r="A1968" t="s">
        <v>172</v>
      </c>
      <c r="B1968" s="2">
        <v>45962</v>
      </c>
      <c r="C1968" cm="1">
        <f t="array" ref="C1968">IFERROR(IF(SUMPRODUCT((measured[Site Name]=A1968)*(measured[Date]=B1968)*ISNUMBER(measured[Measured Value (kWh)]))=0,"",SUMIFS(measured[Measured Value (kWh)],measured[Site Name],A1968,measured[Date],B1968)),"")</f>
        <v>10802</v>
      </c>
      <c r="D1968" cm="1">
        <f t="array" ref="D1968">IFERROR(IF(SUMPRODUCT((expected_production[Site Name]=A1968)*(expected_production[Date]=B1968)*ISNUMBER(expected_production[Expected Production (kWh)]))=0,"",SUMIFS(expected_production[Expected Production (kWh)],expected_production[Site Name],A1968,expected_production[Date],B1968)),"")</f>
        <v>12483.285</v>
      </c>
      <c r="E1968" s="9">
        <f t="shared" si="62"/>
        <v>0.86531710202883294</v>
      </c>
      <c r="F1968" t="str">
        <f t="shared" si="63"/>
        <v>Moderate</v>
      </c>
    </row>
    <row r="1969" spans="1:7" ht="15" customHeight="1" x14ac:dyDescent="0.3">
      <c r="A1969" t="s">
        <v>172</v>
      </c>
      <c r="B1969" s="2">
        <v>45992</v>
      </c>
      <c r="C1969" cm="1">
        <f t="array" ref="C1969">IFERROR(IF(SUMPRODUCT((measured[Site Name]=A1969)*(measured[Date]=B1969)*ISNUMBER(measured[Measured Value (kWh)]))=0,"",SUMIFS(measured[Measured Value (kWh)],measured[Site Name],A1969,measured[Date],B1969)),"")</f>
        <v>11033</v>
      </c>
      <c r="D1969" cm="1">
        <f t="array" ref="D1969">IFERROR(IF(SUMPRODUCT((expected_production[Site Name]=A1969)*(expected_production[Date]=B1969)*ISNUMBER(expected_production[Expected Production (kWh)]))=0,"",SUMIFS(expected_production[Expected Production (kWh)],expected_production[Site Name],A1969,expected_production[Date],B1969)),"")</f>
        <v>13393.575000000001</v>
      </c>
      <c r="E1969" s="9">
        <f t="shared" si="62"/>
        <v>0.82375318016287657</v>
      </c>
      <c r="F1969" t="str">
        <f t="shared" si="63"/>
        <v>Moderate</v>
      </c>
    </row>
    <row r="1970" spans="1:7" ht="15" customHeight="1" x14ac:dyDescent="0.3">
      <c r="A1970" t="s">
        <v>172</v>
      </c>
      <c r="B1970" s="2">
        <v>46023</v>
      </c>
      <c r="C1970" cm="1">
        <f t="array" ref="C1970">IFERROR(IF(SUMPRODUCT((measured[Site Name]=A1970)*(measured[Date]=B1970)*ISNUMBER(measured[Measured Value (kWh)]))=0,"",SUMIFS(measured[Measured Value (kWh)],measured[Site Name],A1970,measured[Date],B1970)),"")</f>
        <v>7790</v>
      </c>
      <c r="D1970" cm="1">
        <f t="array" ref="D1970">IFERROR(IF(SUMPRODUCT((expected_production[Site Name]=A1970)*(expected_production[Date]=B1970)*ISNUMBER(expected_production[Expected Production (kWh)]))=0,"",SUMIFS(expected_production[Expected Production (kWh)],expected_production[Site Name],A1970,expected_production[Date],B1970)),"")</f>
        <v>13218.014999999999</v>
      </c>
      <c r="E1970" s="9">
        <f t="shared" si="62"/>
        <v>0.58934719017946346</v>
      </c>
      <c r="F1970" t="str">
        <f t="shared" si="63"/>
        <v>Poor</v>
      </c>
    </row>
    <row r="1971" spans="1:7" ht="15" customHeight="1" x14ac:dyDescent="0.3">
      <c r="A1971" t="s">
        <v>172</v>
      </c>
      <c r="B1971" s="2">
        <v>46054</v>
      </c>
      <c r="C1971" cm="1">
        <f t="array" ref="C1971">IFERROR(IF(SUMPRODUCT((measured[Site Name]=A1971)*(measured[Date]=B1971)*ISNUMBER(measured[Measured Value (kWh)]))=0,"",SUMIFS(measured[Measured Value (kWh)],measured[Site Name],A1971,measured[Date],B1971)),"")</f>
        <v>5171.0646999999999</v>
      </c>
      <c r="D1971" cm="1">
        <f t="array" ref="D1971">IFERROR(IF(SUMPRODUCT((expected_production[Site Name]=A1971)*(expected_production[Date]=B1971)*ISNUMBER(expected_production[Expected Production (kWh)]))=0,"",SUMIFS(expected_production[Expected Production (kWh)],expected_production[Site Name],A1971,expected_production[Date],B1971)),"")</f>
        <v>10966.135</v>
      </c>
      <c r="E1971" s="9">
        <f t="shared" si="62"/>
        <v>0.47154851732173642</v>
      </c>
      <c r="F1971" t="str">
        <f t="shared" si="63"/>
        <v>Poor</v>
      </c>
    </row>
    <row r="1972" spans="1:7" ht="15" customHeight="1" x14ac:dyDescent="0.3">
      <c r="A1972" t="s">
        <v>172</v>
      </c>
      <c r="B1972" s="2">
        <v>46082</v>
      </c>
      <c r="C1972" cm="1">
        <f t="array" ref="C1972">IFERROR(IF(SUMPRODUCT((measured[Site Name]=A1972)*(measured[Date]=B1972)*ISNUMBER(measured[Measured Value (kWh)]))=0,"",SUMIFS(measured[Measured Value (kWh)],measured[Site Name],A1972,measured[Date],B1972)),"")</f>
        <v>8153.5</v>
      </c>
      <c r="D1972" cm="1">
        <f t="array" ref="D1972">IFERROR(IF(SUMPRODUCT((expected_production[Site Name]=A1972)*(expected_production[Date]=B1972)*ISNUMBER(expected_production[Expected Production (kWh)]))=0,"",SUMIFS(expected_production[Expected Production (kWh)],expected_production[Site Name],A1972,expected_production[Date],B1972)),"")</f>
        <v>11441.135</v>
      </c>
      <c r="E1972" s="9">
        <f t="shared" si="62"/>
        <v>0.7126478273353124</v>
      </c>
      <c r="F1972" t="str">
        <f t="shared" si="63"/>
        <v>Moderate</v>
      </c>
    </row>
    <row r="1973" spans="1:7" ht="15" customHeight="1" x14ac:dyDescent="0.3">
      <c r="A1973" t="s">
        <v>172</v>
      </c>
      <c r="B1973" s="2">
        <v>46113</v>
      </c>
      <c r="C1973" cm="1">
        <f t="array" ref="C1973">IFERROR(IF(SUMPRODUCT((measured[Site Name]=A1973)*(measured[Date]=B1973)*ISNUMBER(measured[Measured Value (kWh)]))=0,"",SUMIFS(measured[Measured Value (kWh)],measured[Site Name],A1973,measured[Date],B1973)),"")</f>
        <v>7873.17</v>
      </c>
      <c r="D1973" cm="1">
        <f t="array" ref="D1973">IFERROR(IF(SUMPRODUCT((expected_production[Site Name]=A1973)*(expected_production[Date]=B1973)*ISNUMBER(expected_production[Expected Production (kWh)]))=0,"",SUMIFS(expected_production[Expected Production (kWh)],expected_production[Site Name],A1973,expected_production[Date],B1973)),"")</f>
        <v>10004.07</v>
      </c>
      <c r="E1973" s="9">
        <f t="shared" si="62"/>
        <v>0.78699669234621517</v>
      </c>
      <c r="F1973" t="str">
        <f t="shared" si="63"/>
        <v>Moderate</v>
      </c>
    </row>
    <row r="1974" spans="1:7" ht="15" customHeight="1" x14ac:dyDescent="0.3">
      <c r="A1974" t="s">
        <v>172</v>
      </c>
      <c r="B1974" s="2">
        <v>46143</v>
      </c>
      <c r="C1974" cm="1">
        <f t="array" ref="C1974">IFERROR(IF(SUMPRODUCT((measured[Site Name]=A1974)*(measured[Date]=B1974)*ISNUMBER(measured[Measured Value (kWh)]))=0,"",SUMIFS(measured[Measured Value (kWh)],measured[Site Name],A1974,measured[Date],B1974)),"")</f>
        <v>7767.8</v>
      </c>
      <c r="D1974" cm="1">
        <f t="array" ref="D1974">IFERROR(IF(SUMPRODUCT((expected_production[Site Name]=A1974)*(expected_production[Date]=B1974)*ISNUMBER(expected_production[Expected Production (kWh)]))=0,"",SUMIFS(expected_production[Expected Production (kWh)],expected_production[Site Name],A1974,expected_production[Date],B1974)),"")</f>
        <v>8979.59</v>
      </c>
      <c r="E1974" s="9">
        <f t="shared" si="62"/>
        <v>0.86505063148762917</v>
      </c>
      <c r="F1974" t="str">
        <f t="shared" si="63"/>
        <v>Moderate</v>
      </c>
    </row>
    <row r="1975" spans="1:7" ht="15" customHeight="1" x14ac:dyDescent="0.3">
      <c r="A1975" t="s">
        <v>172</v>
      </c>
      <c r="B1975" s="2">
        <v>46174</v>
      </c>
      <c r="C1975" cm="1">
        <f t="array" ref="C1975">IFERROR(IF(SUMPRODUCT((measured[Site Name]=A1975)*(measured[Date]=B1975)*ISNUMBER(measured[Measured Value (kWh)]))=0,"",SUMIFS(measured[Measured Value (kWh)],measured[Site Name],A1975,measured[Date],B1975)),"")</f>
        <v>7190.68</v>
      </c>
      <c r="D1975" cm="1">
        <f t="array" ref="D1975">IFERROR(IF(SUMPRODUCT((expected_production[Site Name]=A1975)*(expected_production[Date]=B1975)*ISNUMBER(expected_production[Expected Production (kWh)]))=0,"",SUMIFS(expected_production[Expected Production (kWh)],expected_production[Site Name],A1975,expected_production[Date],B1975)),"")</f>
        <v>7800.26</v>
      </c>
      <c r="E1975" s="9">
        <f t="shared" si="62"/>
        <v>0.92185132290462113</v>
      </c>
      <c r="F1975" t="str">
        <f t="shared" si="63"/>
        <v>Expected</v>
      </c>
    </row>
    <row r="1976" spans="1:7" ht="15" customHeight="1" x14ac:dyDescent="0.3">
      <c r="A1976" t="s">
        <v>172</v>
      </c>
      <c r="B1976" s="2">
        <v>46204</v>
      </c>
      <c r="C1976" cm="1">
        <f t="array" ref="C1976">IFERROR(IF(SUMPRODUCT((measured[Site Name]=A1976)*(measured[Date]=B1976)*ISNUMBER(measured[Measured Value (kWh)]))=0,"",SUMIFS(measured[Measured Value (kWh)],measured[Site Name],A1976,measured[Date],B1976)),"")</f>
        <v>6825.8941000000004</v>
      </c>
      <c r="D1976" cm="1">
        <f t="array" ref="D1976">IFERROR(IF(SUMPRODUCT((expected_production[Site Name]=A1976)*(expected_production[Date]=B1976)*ISNUMBER(expected_production[Expected Production (kWh)]))=0,"",SUMIFS(expected_production[Expected Production (kWh)],expected_production[Site Name],A1976,expected_production[Date],B1976)),"")</f>
        <v>8635.69</v>
      </c>
      <c r="E1976" s="9">
        <f t="shared" si="62"/>
        <v>0.79042833867357443</v>
      </c>
      <c r="F1976" t="str">
        <f t="shared" si="63"/>
        <v>Moderate</v>
      </c>
      <c r="G1976" t="s">
        <v>874</v>
      </c>
    </row>
    <row r="1977" spans="1:7" ht="15" customHeight="1" x14ac:dyDescent="0.3">
      <c r="A1977" t="s">
        <v>172</v>
      </c>
      <c r="B1977" s="2">
        <v>46235</v>
      </c>
      <c r="C1977" t="str" cm="1">
        <f t="array" ref="C1977">IFERROR(IF(SUMPRODUCT((measured[Site Name]=A1977)*(measured[Date]=B1977)*ISNUMBER(measured[Measured Value (kWh)]))=0,"",SUMIFS(measured[Measured Value (kWh)],measured[Site Name],A1977,measured[Date],B1977)),"")</f>
        <v/>
      </c>
      <c r="D1977" cm="1">
        <f t="array" ref="D1977">IFERROR(IF(SUMPRODUCT((expected_production[Site Name]=A1977)*(expected_production[Date]=B1977)*ISNUMBER(expected_production[Expected Production (kWh)]))=0,"",SUMIFS(expected_production[Expected Production (kWh)],expected_production[Site Name],A1977,expected_production[Date],B1977)),"")</f>
        <v>9829.9349999999995</v>
      </c>
      <c r="E1977" s="9" t="str">
        <f t="shared" si="62"/>
        <v/>
      </c>
      <c r="F1977" t="str">
        <f t="shared" si="63"/>
        <v/>
      </c>
    </row>
    <row r="1978" spans="1:7" ht="15" customHeight="1" x14ac:dyDescent="0.3">
      <c r="A1978" t="s">
        <v>172</v>
      </c>
      <c r="B1978" s="2">
        <v>46266</v>
      </c>
      <c r="C1978" t="str" cm="1">
        <f t="array" ref="C1978">IFERROR(IF(SUMPRODUCT((measured[Site Name]=A1978)*(measured[Date]=B1978)*ISNUMBER(measured[Measured Value (kWh)]))=0,"",SUMIFS(measured[Measured Value (kWh)],measured[Site Name],A1978,measured[Date],B1978)),"")</f>
        <v/>
      </c>
      <c r="D1978" cm="1">
        <f t="array" ref="D1978">IFERROR(IF(SUMPRODUCT((expected_production[Site Name]=A1978)*(expected_production[Date]=B1978)*ISNUMBER(expected_production[Expected Production (kWh)]))=0,"",SUMIFS(expected_production[Expected Production (kWh)],expected_production[Site Name],A1978,expected_production[Date],B1978)),"")</f>
        <v>10568.94</v>
      </c>
      <c r="E1978" s="9" t="str">
        <f t="shared" si="62"/>
        <v/>
      </c>
      <c r="F1978" t="str">
        <f t="shared" si="63"/>
        <v/>
      </c>
    </row>
    <row r="1979" spans="1:7" ht="15" customHeight="1" x14ac:dyDescent="0.3">
      <c r="A1979" t="s">
        <v>172</v>
      </c>
      <c r="B1979" s="2">
        <v>46296</v>
      </c>
      <c r="C1979" t="str" cm="1">
        <f t="array" ref="C1979">IFERROR(IF(SUMPRODUCT((measured[Site Name]=A1979)*(measured[Date]=B1979)*ISNUMBER(measured[Measured Value (kWh)]))=0,"",SUMIFS(measured[Measured Value (kWh)],measured[Site Name],A1979,measured[Date],B1979)),"")</f>
        <v/>
      </c>
      <c r="D1979" cm="1">
        <f t="array" ref="D1979">IFERROR(IF(SUMPRODUCT((expected_production[Site Name]=A1979)*(expected_production[Date]=B1979)*ISNUMBER(expected_production[Expected Production (kWh)]))=0,"",SUMIFS(expected_production[Expected Production (kWh)],expected_production[Site Name],A1979,expected_production[Date],B1979)),"")</f>
        <v>11606.34</v>
      </c>
      <c r="E1979" s="9" t="str">
        <f t="shared" si="62"/>
        <v/>
      </c>
      <c r="F1979" t="str">
        <f t="shared" si="63"/>
        <v/>
      </c>
    </row>
    <row r="1980" spans="1:7" ht="15" customHeight="1" x14ac:dyDescent="0.3">
      <c r="A1980" t="s">
        <v>172</v>
      </c>
      <c r="B1980" s="2">
        <v>46327</v>
      </c>
      <c r="C1980" t="str" cm="1">
        <f t="array" ref="C1980">IFERROR(IF(SUMPRODUCT((measured[Site Name]=A1980)*(measured[Date]=B1980)*ISNUMBER(measured[Measured Value (kWh)]))=0,"",SUMIFS(measured[Measured Value (kWh)],measured[Site Name],A1980,measured[Date],B1980)),"")</f>
        <v/>
      </c>
      <c r="D1980" cm="1">
        <f t="array" ref="D1980">IFERROR(IF(SUMPRODUCT((expected_production[Site Name]=A1980)*(expected_production[Date]=B1980)*ISNUMBER(expected_production[Expected Production (kWh)]))=0,"",SUMIFS(expected_production[Expected Production (kWh)],expected_production[Site Name],A1980,expected_production[Date],B1980)),"")</f>
        <v>12483.285</v>
      </c>
      <c r="E1980" s="9" t="str">
        <f t="shared" ref="E1980:E2043" si="64">IF(OR(C1980="",D1980="",D1980=0),"",C1980/D1980)</f>
        <v/>
      </c>
      <c r="F1980" t="str">
        <f t="shared" ref="F1980:F2043" si="65">IF(E1980="","",IF(E1980&gt;=0.9,"Expected",IF(E1980&gt;=0.7,"Moderate","Poor")))</f>
        <v/>
      </c>
    </row>
    <row r="1981" spans="1:7" ht="15" customHeight="1" x14ac:dyDescent="0.3">
      <c r="A1981" t="s">
        <v>172</v>
      </c>
      <c r="B1981" s="2">
        <v>46357</v>
      </c>
      <c r="C1981" t="str" cm="1">
        <f t="array" ref="C1981">IFERROR(IF(SUMPRODUCT((measured[Site Name]=A1981)*(measured[Date]=B1981)*ISNUMBER(measured[Measured Value (kWh)]))=0,"",SUMIFS(measured[Measured Value (kWh)],measured[Site Name],A1981,measured[Date],B1981)),"")</f>
        <v/>
      </c>
      <c r="D1981" cm="1">
        <f t="array" ref="D1981">IFERROR(IF(SUMPRODUCT((expected_production[Site Name]=A1981)*(expected_production[Date]=B1981)*ISNUMBER(expected_production[Expected Production (kWh)]))=0,"",SUMIFS(expected_production[Expected Production (kWh)],expected_production[Site Name],A1981,expected_production[Date],B1981)),"")</f>
        <v>13393.575000000001</v>
      </c>
      <c r="E1981" s="9" t="str">
        <f t="shared" si="64"/>
        <v/>
      </c>
      <c r="F1981" t="str">
        <f t="shared" si="65"/>
        <v/>
      </c>
    </row>
    <row r="1982" spans="1:7" ht="15" customHeight="1" x14ac:dyDescent="0.3">
      <c r="A1982" t="s">
        <v>177</v>
      </c>
      <c r="B1982" s="2">
        <v>45292</v>
      </c>
      <c r="C1982" cm="1">
        <f t="array" ref="C1982">IFERROR(IF(SUMPRODUCT((measured[Site Name]=A1982)*(measured[Date]=B1982)*ISNUMBER(measured[Measured Value (kWh)]))=0,"",SUMIFS(measured[Measured Value (kWh)],measured[Site Name],A1982,measured[Date],B1982)),"")</f>
        <v>4297</v>
      </c>
      <c r="D1982" cm="1">
        <f t="array" ref="D1982">IFERROR(IF(SUMPRODUCT((expected_production[Site Name]=A1982)*(expected_production[Date]=B1982)*ISNUMBER(expected_production[Expected Production (kWh)]))=0,"",SUMIFS(expected_production[Expected Production (kWh)],expected_production[Site Name],A1982,expected_production[Date],B1982)),"")</f>
        <v>4359.6000000000004</v>
      </c>
      <c r="E1982" s="9">
        <f t="shared" si="64"/>
        <v>0.98564088448481502</v>
      </c>
      <c r="F1982" t="str">
        <f t="shared" si="65"/>
        <v>Expected</v>
      </c>
    </row>
    <row r="1983" spans="1:7" ht="15" customHeight="1" x14ac:dyDescent="0.3">
      <c r="A1983" t="s">
        <v>177</v>
      </c>
      <c r="B1983" s="2">
        <v>45323</v>
      </c>
      <c r="C1983" cm="1">
        <f t="array" ref="C1983">IFERROR(IF(SUMPRODUCT((measured[Site Name]=A1983)*(measured[Date]=B1983)*ISNUMBER(measured[Measured Value (kWh)]))=0,"",SUMIFS(measured[Measured Value (kWh)],measured[Site Name],A1983,measured[Date],B1983)),"")</f>
        <v>4176</v>
      </c>
      <c r="D1983" cm="1">
        <f t="array" ref="D1983">IFERROR(IF(SUMPRODUCT((expected_production[Site Name]=A1983)*(expected_production[Date]=B1983)*ISNUMBER(expected_production[Expected Production (kWh)]))=0,"",SUMIFS(expected_production[Expected Production (kWh)],expected_production[Site Name],A1983,expected_production[Date],B1983)),"")</f>
        <v>3825.9</v>
      </c>
      <c r="E1983" s="9">
        <f t="shared" si="64"/>
        <v>1.0915078804987062</v>
      </c>
      <c r="F1983" t="str">
        <f t="shared" si="65"/>
        <v>Expected</v>
      </c>
    </row>
    <row r="1984" spans="1:7" ht="15" customHeight="1" x14ac:dyDescent="0.3">
      <c r="A1984" t="s">
        <v>177</v>
      </c>
      <c r="B1984" s="2">
        <v>45352</v>
      </c>
      <c r="C1984" cm="1">
        <f t="array" ref="C1984">IFERROR(IF(SUMPRODUCT((measured[Site Name]=A1984)*(measured[Date]=B1984)*ISNUMBER(measured[Measured Value (kWh)]))=0,"",SUMIFS(measured[Measured Value (kWh)],measured[Site Name],A1984,measured[Date],B1984)),"")</f>
        <v>4682</v>
      </c>
      <c r="D1984" cm="1">
        <f t="array" ref="D1984">IFERROR(IF(SUMPRODUCT((expected_production[Site Name]=A1984)*(expected_production[Date]=B1984)*ISNUMBER(expected_production[Expected Production (kWh)]))=0,"",SUMIFS(expected_production[Expected Production (kWh)],expected_production[Site Name],A1984,expected_production[Date],B1984)),"")</f>
        <v>4077</v>
      </c>
      <c r="E1984" s="9">
        <f t="shared" si="64"/>
        <v>1.1483934265391218</v>
      </c>
      <c r="F1984" t="str">
        <f t="shared" si="65"/>
        <v>Expected</v>
      </c>
    </row>
    <row r="1985" spans="1:6" ht="15" customHeight="1" x14ac:dyDescent="0.3">
      <c r="A1985" t="s">
        <v>177</v>
      </c>
      <c r="B1985" s="2">
        <v>45383</v>
      </c>
      <c r="C1985" cm="1">
        <f t="array" ref="C1985">IFERROR(IF(SUMPRODUCT((measured[Site Name]=A1985)*(measured[Date]=B1985)*ISNUMBER(measured[Measured Value (kWh)]))=0,"",SUMIFS(measured[Measured Value (kWh)],measured[Site Name],A1985,measured[Date],B1985)),"")</f>
        <v>3965</v>
      </c>
      <c r="D1985" cm="1">
        <f t="array" ref="D1985">IFERROR(IF(SUMPRODUCT((expected_production[Site Name]=A1985)*(expected_production[Date]=B1985)*ISNUMBER(expected_production[Expected Production (kWh)]))=0,"",SUMIFS(expected_production[Expected Production (kWh)],expected_production[Site Name],A1985,expected_production[Date],B1985)),"")</f>
        <v>3573.9</v>
      </c>
      <c r="E1985" s="9">
        <f t="shared" si="64"/>
        <v>1.1094322728671759</v>
      </c>
      <c r="F1985" t="str">
        <f t="shared" si="65"/>
        <v>Expected</v>
      </c>
    </row>
    <row r="1986" spans="1:6" ht="15" customHeight="1" x14ac:dyDescent="0.3">
      <c r="A1986" t="s">
        <v>177</v>
      </c>
      <c r="B1986" s="2">
        <v>45413</v>
      </c>
      <c r="C1986" cm="1">
        <f t="array" ref="C1986">IFERROR(IF(SUMPRODUCT((measured[Site Name]=A1986)*(measured[Date]=B1986)*ISNUMBER(measured[Measured Value (kWh)]))=0,"",SUMIFS(measured[Measured Value (kWh)],measured[Site Name],A1986,measured[Date],B1986)),"")</f>
        <v>3760</v>
      </c>
      <c r="D1986" cm="1">
        <f t="array" ref="D1986">IFERROR(IF(SUMPRODUCT((expected_production[Site Name]=A1986)*(expected_production[Date]=B1986)*ISNUMBER(expected_production[Expected Production (kWh)]))=0,"",SUMIFS(expected_production[Expected Production (kWh)],expected_production[Site Name],A1986,expected_production[Date],B1986)),"")</f>
        <v>3623.4</v>
      </c>
      <c r="E1986" s="9">
        <f t="shared" si="64"/>
        <v>1.0376993983551361</v>
      </c>
      <c r="F1986" t="str">
        <f t="shared" si="65"/>
        <v>Expected</v>
      </c>
    </row>
    <row r="1987" spans="1:6" ht="15" customHeight="1" x14ac:dyDescent="0.3">
      <c r="A1987" t="s">
        <v>177</v>
      </c>
      <c r="B1987" s="2">
        <v>45444</v>
      </c>
      <c r="C1987" cm="1">
        <f t="array" ref="C1987">IFERROR(IF(SUMPRODUCT((measured[Site Name]=A1987)*(measured[Date]=B1987)*ISNUMBER(measured[Measured Value (kWh)]))=0,"",SUMIFS(measured[Measured Value (kWh)],measured[Site Name],A1987,measured[Date],B1987)),"")</f>
        <v>3240</v>
      </c>
      <c r="D1987" cm="1">
        <f t="array" ref="D1987">IFERROR(IF(SUMPRODUCT((expected_production[Site Name]=A1987)*(expected_production[Date]=B1987)*ISNUMBER(expected_production[Expected Production (kWh)]))=0,"",SUMIFS(expected_production[Expected Production (kWh)],expected_production[Site Name],A1987,expected_production[Date],B1987)),"")</f>
        <v>3360.6</v>
      </c>
      <c r="E1987" s="9">
        <f t="shared" si="64"/>
        <v>0.96411355115158015</v>
      </c>
      <c r="F1987" t="str">
        <f t="shared" si="65"/>
        <v>Expected</v>
      </c>
    </row>
    <row r="1988" spans="1:6" ht="15" customHeight="1" x14ac:dyDescent="0.3">
      <c r="A1988" t="s">
        <v>177</v>
      </c>
      <c r="B1988" s="2">
        <v>45474</v>
      </c>
      <c r="C1988" cm="1">
        <f t="array" ref="C1988">IFERROR(IF(SUMPRODUCT((measured[Site Name]=A1988)*(measured[Date]=B1988)*ISNUMBER(measured[Measured Value (kWh)]))=0,"",SUMIFS(measured[Measured Value (kWh)],measured[Site Name],A1988,measured[Date],B1988)),"")</f>
        <v>3836</v>
      </c>
      <c r="D1988" cm="1">
        <f t="array" ref="D1988">IFERROR(IF(SUMPRODUCT((expected_production[Site Name]=A1988)*(expected_production[Date]=B1988)*ISNUMBER(expected_production[Expected Production (kWh)]))=0,"",SUMIFS(expected_production[Expected Production (kWh)],expected_production[Site Name],A1988,expected_production[Date],B1988)),"")</f>
        <v>3665.7</v>
      </c>
      <c r="E1988" s="9">
        <f t="shared" si="64"/>
        <v>1.0464577024852006</v>
      </c>
      <c r="F1988" t="str">
        <f t="shared" si="65"/>
        <v>Expected</v>
      </c>
    </row>
    <row r="1989" spans="1:6" ht="15" customHeight="1" x14ac:dyDescent="0.3">
      <c r="A1989" t="s">
        <v>177</v>
      </c>
      <c r="B1989" s="2">
        <v>45505</v>
      </c>
      <c r="C1989" cm="1">
        <f t="array" ref="C1989">IFERROR(IF(SUMPRODUCT((measured[Site Name]=A1989)*(measured[Date]=B1989)*ISNUMBER(measured[Measured Value (kWh)]))=0,"",SUMIFS(measured[Measured Value (kWh)],measured[Site Name],A1989,measured[Date],B1989)),"")</f>
        <v>3915</v>
      </c>
      <c r="D1989" cm="1">
        <f t="array" ref="D1989">IFERROR(IF(SUMPRODUCT((expected_production[Site Name]=A1989)*(expected_production[Date]=B1989)*ISNUMBER(expected_production[Expected Production (kWh)]))=0,"",SUMIFS(expected_production[Expected Production (kWh)],expected_production[Site Name],A1989,expected_production[Date],B1989)),"")</f>
        <v>4104</v>
      </c>
      <c r="E1989" s="9">
        <f t="shared" si="64"/>
        <v>0.95394736842105265</v>
      </c>
      <c r="F1989" t="str">
        <f t="shared" si="65"/>
        <v>Expected</v>
      </c>
    </row>
    <row r="1990" spans="1:6" ht="15" customHeight="1" x14ac:dyDescent="0.3">
      <c r="A1990" t="s">
        <v>177</v>
      </c>
      <c r="B1990" s="2">
        <v>45536</v>
      </c>
      <c r="C1990" cm="1">
        <f t="array" ref="C1990">IFERROR(IF(SUMPRODUCT((measured[Site Name]=A1990)*(measured[Date]=B1990)*ISNUMBER(measured[Measured Value (kWh)]))=0,"",SUMIFS(measured[Measured Value (kWh)],measured[Site Name],A1990,measured[Date],B1990)),"")</f>
        <v>3746</v>
      </c>
      <c r="D1990" cm="1">
        <f t="array" ref="D1990">IFERROR(IF(SUMPRODUCT((expected_production[Site Name]=A1990)*(expected_production[Date]=B1990)*ISNUMBER(expected_production[Expected Production (kWh)]))=0,"",SUMIFS(expected_production[Expected Production (kWh)],expected_production[Site Name],A1990,expected_production[Date],B1990)),"")</f>
        <v>4274.1000000000004</v>
      </c>
      <c r="E1990" s="9">
        <f t="shared" si="64"/>
        <v>0.87644182400973292</v>
      </c>
      <c r="F1990" t="str">
        <f t="shared" si="65"/>
        <v>Moderate</v>
      </c>
    </row>
    <row r="1991" spans="1:6" ht="15" customHeight="1" x14ac:dyDescent="0.3">
      <c r="A1991" t="s">
        <v>177</v>
      </c>
      <c r="B1991" s="2">
        <v>45566</v>
      </c>
      <c r="C1991" cm="1">
        <f t="array" ref="C1991">IFERROR(IF(SUMPRODUCT((measured[Site Name]=A1991)*(measured[Date]=B1991)*ISNUMBER(measured[Measured Value (kWh)]))=0,"",SUMIFS(measured[Measured Value (kWh)],measured[Site Name],A1991,measured[Date],B1991)),"")</f>
        <v>3449</v>
      </c>
      <c r="D1991" cm="1">
        <f t="array" ref="D1991">IFERROR(IF(SUMPRODUCT((expected_production[Site Name]=A1991)*(expected_production[Date]=B1991)*ISNUMBER(expected_production[Expected Production (kWh)]))=0,"",SUMIFS(expected_production[Expected Production (kWh)],expected_production[Site Name],A1991,expected_production[Date],B1991)),"")</f>
        <v>4289.3999999999996</v>
      </c>
      <c r="E1991" s="9">
        <f t="shared" si="64"/>
        <v>0.80407516202732321</v>
      </c>
      <c r="F1991" t="str">
        <f t="shared" si="65"/>
        <v>Moderate</v>
      </c>
    </row>
    <row r="1992" spans="1:6" ht="15" customHeight="1" x14ac:dyDescent="0.3">
      <c r="A1992" t="s">
        <v>177</v>
      </c>
      <c r="B1992" s="2">
        <v>45597</v>
      </c>
      <c r="C1992" cm="1">
        <f t="array" ref="C1992">IFERROR(IF(SUMPRODUCT((measured[Site Name]=A1992)*(measured[Date]=B1992)*ISNUMBER(measured[Measured Value (kWh)]))=0,"",SUMIFS(measured[Measured Value (kWh)],measured[Site Name],A1992,measured[Date],B1992)),"")</f>
        <v>4630</v>
      </c>
      <c r="D1992" cm="1">
        <f t="array" ref="D1992">IFERROR(IF(SUMPRODUCT((expected_production[Site Name]=A1992)*(expected_production[Date]=B1992)*ISNUMBER(expected_production[Expected Production (kWh)]))=0,"",SUMIFS(expected_production[Expected Production (kWh)],expected_production[Site Name],A1992,expected_production[Date],B1992)),"")</f>
        <v>4249.8</v>
      </c>
      <c r="E1992" s="9">
        <f t="shared" si="64"/>
        <v>1.0894630335545201</v>
      </c>
      <c r="F1992" t="str">
        <f t="shared" si="65"/>
        <v>Expected</v>
      </c>
    </row>
    <row r="1993" spans="1:6" ht="15" customHeight="1" x14ac:dyDescent="0.3">
      <c r="A1993" t="s">
        <v>177</v>
      </c>
      <c r="B1993" s="2">
        <v>45627</v>
      </c>
      <c r="C1993" cm="1">
        <f t="array" ref="C1993">IFERROR(IF(SUMPRODUCT((measured[Site Name]=A1993)*(measured[Date]=B1993)*ISNUMBER(measured[Measured Value (kWh)]))=0,"",SUMIFS(measured[Measured Value (kWh)],measured[Site Name],A1993,measured[Date],B1993)),"")</f>
        <v>5059</v>
      </c>
      <c r="D1993" cm="1">
        <f t="array" ref="D1993">IFERROR(IF(SUMPRODUCT((expected_production[Site Name]=A1993)*(expected_production[Date]=B1993)*ISNUMBER(expected_production[Expected Production (kWh)]))=0,"",SUMIFS(expected_production[Expected Production (kWh)],expected_production[Site Name],A1993,expected_production[Date],B1993)),"")</f>
        <v>4446</v>
      </c>
      <c r="E1993" s="9">
        <f t="shared" si="64"/>
        <v>1.1378767431399011</v>
      </c>
      <c r="F1993" t="str">
        <f t="shared" si="65"/>
        <v>Expected</v>
      </c>
    </row>
    <row r="1994" spans="1:6" ht="15" customHeight="1" x14ac:dyDescent="0.3">
      <c r="A1994" t="s">
        <v>177</v>
      </c>
      <c r="B1994" s="2">
        <v>45658</v>
      </c>
      <c r="C1994" cm="1">
        <f t="array" ref="C1994">IFERROR(IF(SUMPRODUCT((measured[Site Name]=A1994)*(measured[Date]=B1994)*ISNUMBER(measured[Measured Value (kWh)]))=0,"",SUMIFS(measured[Measured Value (kWh)],measured[Site Name],A1994,measured[Date],B1994)),"")</f>
        <v>4475</v>
      </c>
      <c r="D1994" cm="1">
        <f t="array" ref="D1994">IFERROR(IF(SUMPRODUCT((expected_production[Site Name]=A1994)*(expected_production[Date]=B1994)*ISNUMBER(expected_production[Expected Production (kWh)]))=0,"",SUMIFS(expected_production[Expected Production (kWh)],expected_production[Site Name],A1994,expected_production[Date],B1994)),"")</f>
        <v>4359.6000000000004</v>
      </c>
      <c r="E1994" s="9">
        <f t="shared" si="64"/>
        <v>1.0264703183778328</v>
      </c>
      <c r="F1994" t="str">
        <f t="shared" si="65"/>
        <v>Expected</v>
      </c>
    </row>
    <row r="1995" spans="1:6" ht="15" customHeight="1" x14ac:dyDescent="0.3">
      <c r="A1995" t="s">
        <v>177</v>
      </c>
      <c r="B1995" s="2">
        <v>45689</v>
      </c>
      <c r="C1995" cm="1">
        <f t="array" ref="C1995">IFERROR(IF(SUMPRODUCT((measured[Site Name]=A1995)*(measured[Date]=B1995)*ISNUMBER(measured[Measured Value (kWh)]))=0,"",SUMIFS(measured[Measured Value (kWh)],measured[Site Name],A1995,measured[Date],B1995)),"")</f>
        <v>3651</v>
      </c>
      <c r="D1995" cm="1">
        <f t="array" ref="D1995">IFERROR(IF(SUMPRODUCT((expected_production[Site Name]=A1995)*(expected_production[Date]=B1995)*ISNUMBER(expected_production[Expected Production (kWh)]))=0,"",SUMIFS(expected_production[Expected Production (kWh)],expected_production[Site Name],A1995,expected_production[Date],B1995)),"")</f>
        <v>3825.9</v>
      </c>
      <c r="E1995" s="9">
        <f t="shared" si="64"/>
        <v>0.95428526621187171</v>
      </c>
      <c r="F1995" t="str">
        <f t="shared" si="65"/>
        <v>Expected</v>
      </c>
    </row>
    <row r="1996" spans="1:6" ht="15" customHeight="1" x14ac:dyDescent="0.3">
      <c r="A1996" t="s">
        <v>177</v>
      </c>
      <c r="B1996" s="2">
        <v>45717</v>
      </c>
      <c r="C1996" cm="1">
        <f t="array" ref="C1996">IFERROR(IF(SUMPRODUCT((measured[Site Name]=A1996)*(measured[Date]=B1996)*ISNUMBER(measured[Measured Value (kWh)]))=0,"",SUMIFS(measured[Measured Value (kWh)],measured[Site Name],A1996,measured[Date],B1996)),"")</f>
        <v>3912</v>
      </c>
      <c r="D1996" cm="1">
        <f t="array" ref="D1996">IFERROR(IF(SUMPRODUCT((expected_production[Site Name]=A1996)*(expected_production[Date]=B1996)*ISNUMBER(expected_production[Expected Production (kWh)]))=0,"",SUMIFS(expected_production[Expected Production (kWh)],expected_production[Site Name],A1996,expected_production[Date],B1996)),"")</f>
        <v>4077</v>
      </c>
      <c r="E1996" s="9">
        <f t="shared" si="64"/>
        <v>0.95952906548933037</v>
      </c>
      <c r="F1996" t="str">
        <f t="shared" si="65"/>
        <v>Expected</v>
      </c>
    </row>
    <row r="1997" spans="1:6" ht="15" customHeight="1" x14ac:dyDescent="0.3">
      <c r="A1997" t="s">
        <v>177</v>
      </c>
      <c r="B1997" s="2">
        <v>45748</v>
      </c>
      <c r="C1997" cm="1">
        <f t="array" ref="C1997">IFERROR(IF(SUMPRODUCT((measured[Site Name]=A1997)*(measured[Date]=B1997)*ISNUMBER(measured[Measured Value (kWh)]))=0,"",SUMIFS(measured[Measured Value (kWh)],measured[Site Name],A1997,measured[Date],B1997)),"")</f>
        <v>3361</v>
      </c>
      <c r="D1997" cm="1">
        <f t="array" ref="D1997">IFERROR(IF(SUMPRODUCT((expected_production[Site Name]=A1997)*(expected_production[Date]=B1997)*ISNUMBER(expected_production[Expected Production (kWh)]))=0,"",SUMIFS(expected_production[Expected Production (kWh)],expected_production[Site Name],A1997,expected_production[Date],B1997)),"")</f>
        <v>3573.9</v>
      </c>
      <c r="E1997" s="9">
        <f t="shared" si="64"/>
        <v>0.94042922297769938</v>
      </c>
      <c r="F1997" t="str">
        <f t="shared" si="65"/>
        <v>Expected</v>
      </c>
    </row>
    <row r="1998" spans="1:6" ht="15" customHeight="1" x14ac:dyDescent="0.3">
      <c r="A1998" t="s">
        <v>177</v>
      </c>
      <c r="B1998" s="2">
        <v>45778</v>
      </c>
      <c r="C1998" cm="1">
        <f t="array" ref="C1998">IFERROR(IF(SUMPRODUCT((measured[Site Name]=A1998)*(measured[Date]=B1998)*ISNUMBER(measured[Measured Value (kWh)]))=0,"",SUMIFS(measured[Measured Value (kWh)],measured[Site Name],A1998,measured[Date],B1998)),"")</f>
        <v>3626</v>
      </c>
      <c r="D1998" cm="1">
        <f t="array" ref="D1998">IFERROR(IF(SUMPRODUCT((expected_production[Site Name]=A1998)*(expected_production[Date]=B1998)*ISNUMBER(expected_production[Expected Production (kWh)]))=0,"",SUMIFS(expected_production[Expected Production (kWh)],expected_production[Site Name],A1998,expected_production[Date],B1998)),"")</f>
        <v>3623.4</v>
      </c>
      <c r="E1998" s="9">
        <f t="shared" si="64"/>
        <v>1.0007175580946073</v>
      </c>
      <c r="F1998" t="str">
        <f t="shared" si="65"/>
        <v>Expected</v>
      </c>
    </row>
    <row r="1999" spans="1:6" ht="15" customHeight="1" x14ac:dyDescent="0.3">
      <c r="A1999" t="s">
        <v>177</v>
      </c>
      <c r="B1999" s="2">
        <v>45809</v>
      </c>
      <c r="C1999" cm="1">
        <f t="array" ref="C1999">IFERROR(IF(SUMPRODUCT((measured[Site Name]=A1999)*(measured[Date]=B1999)*ISNUMBER(measured[Measured Value (kWh)]))=0,"",SUMIFS(measured[Measured Value (kWh)],measured[Site Name],A1999,measured[Date],B1999)),"")</f>
        <v>3199.19</v>
      </c>
      <c r="D1999" cm="1">
        <f t="array" ref="D1999">IFERROR(IF(SUMPRODUCT((expected_production[Site Name]=A1999)*(expected_production[Date]=B1999)*ISNUMBER(expected_production[Expected Production (kWh)]))=0,"",SUMIFS(expected_production[Expected Production (kWh)],expected_production[Site Name],A1999,expected_production[Date],B1999)),"")</f>
        <v>3360.6</v>
      </c>
      <c r="E1999" s="9">
        <f t="shared" si="64"/>
        <v>0.95196988632982205</v>
      </c>
      <c r="F1999" t="str">
        <f t="shared" si="65"/>
        <v>Expected</v>
      </c>
    </row>
    <row r="2000" spans="1:6" ht="15" customHeight="1" x14ac:dyDescent="0.3">
      <c r="A2000" t="s">
        <v>177</v>
      </c>
      <c r="B2000" s="2">
        <v>45839</v>
      </c>
      <c r="C2000" cm="1">
        <f t="array" ref="C2000">IFERROR(IF(SUMPRODUCT((measured[Site Name]=A2000)*(measured[Date]=B2000)*ISNUMBER(measured[Measured Value (kWh)]))=0,"",SUMIFS(measured[Measured Value (kWh)],measured[Site Name],A2000,measured[Date],B2000)),"")</f>
        <v>3303</v>
      </c>
      <c r="D2000" cm="1">
        <f t="array" ref="D2000">IFERROR(IF(SUMPRODUCT((expected_production[Site Name]=A2000)*(expected_production[Date]=B2000)*ISNUMBER(expected_production[Expected Production (kWh)]))=0,"",SUMIFS(expected_production[Expected Production (kWh)],expected_production[Site Name],A2000,expected_production[Date],B2000)),"")</f>
        <v>3665.7</v>
      </c>
      <c r="E2000" s="9">
        <f t="shared" si="64"/>
        <v>0.90105573287503071</v>
      </c>
      <c r="F2000" t="str">
        <f t="shared" si="65"/>
        <v>Expected</v>
      </c>
    </row>
    <row r="2001" spans="1:7" ht="15" customHeight="1" x14ac:dyDescent="0.3">
      <c r="A2001" t="s">
        <v>177</v>
      </c>
      <c r="B2001" s="2">
        <v>45870</v>
      </c>
      <c r="C2001" cm="1">
        <f t="array" ref="C2001">IFERROR(IF(SUMPRODUCT((measured[Site Name]=A2001)*(measured[Date]=B2001)*ISNUMBER(measured[Measured Value (kWh)]))=0,"",SUMIFS(measured[Measured Value (kWh)],measured[Site Name],A2001,measured[Date],B2001)),"")</f>
        <v>3882</v>
      </c>
      <c r="D2001" cm="1">
        <f t="array" ref="D2001">IFERROR(IF(SUMPRODUCT((expected_production[Site Name]=A2001)*(expected_production[Date]=B2001)*ISNUMBER(expected_production[Expected Production (kWh)]))=0,"",SUMIFS(expected_production[Expected Production (kWh)],expected_production[Site Name],A2001,expected_production[Date],B2001)),"")</f>
        <v>4104</v>
      </c>
      <c r="E2001" s="9">
        <f t="shared" si="64"/>
        <v>0.94590643274853803</v>
      </c>
      <c r="F2001" t="str">
        <f t="shared" si="65"/>
        <v>Expected</v>
      </c>
    </row>
    <row r="2002" spans="1:7" ht="15" customHeight="1" x14ac:dyDescent="0.3">
      <c r="A2002" t="s">
        <v>177</v>
      </c>
      <c r="B2002" s="2">
        <v>45901</v>
      </c>
      <c r="C2002" cm="1">
        <f t="array" ref="C2002">IFERROR(IF(SUMPRODUCT((measured[Site Name]=A2002)*(measured[Date]=B2002)*ISNUMBER(measured[Measured Value (kWh)]))=0,"",SUMIFS(measured[Measured Value (kWh)],measured[Site Name],A2002,measured[Date],B2002)),"")</f>
        <v>4064</v>
      </c>
      <c r="D2002" cm="1">
        <f t="array" ref="D2002">IFERROR(IF(SUMPRODUCT((expected_production[Site Name]=A2002)*(expected_production[Date]=B2002)*ISNUMBER(expected_production[Expected Production (kWh)]))=0,"",SUMIFS(expected_production[Expected Production (kWh)],expected_production[Site Name],A2002,expected_production[Date],B2002)),"")</f>
        <v>4274.1000000000004</v>
      </c>
      <c r="E2002" s="9">
        <f t="shared" si="64"/>
        <v>0.95084345242273216</v>
      </c>
      <c r="F2002" t="str">
        <f t="shared" si="65"/>
        <v>Expected</v>
      </c>
    </row>
    <row r="2003" spans="1:7" ht="15" customHeight="1" x14ac:dyDescent="0.3">
      <c r="A2003" t="s">
        <v>177</v>
      </c>
      <c r="B2003" s="2">
        <v>45931</v>
      </c>
      <c r="C2003" cm="1">
        <f t="array" ref="C2003">IFERROR(IF(SUMPRODUCT((measured[Site Name]=A2003)*(measured[Date]=B2003)*ISNUMBER(measured[Measured Value (kWh)]))=0,"",SUMIFS(measured[Measured Value (kWh)],measured[Site Name],A2003,measured[Date],B2003)),"")</f>
        <v>4609</v>
      </c>
      <c r="D2003" cm="1">
        <f t="array" ref="D2003">IFERROR(IF(SUMPRODUCT((expected_production[Site Name]=A2003)*(expected_production[Date]=B2003)*ISNUMBER(expected_production[Expected Production (kWh)]))=0,"",SUMIFS(expected_production[Expected Production (kWh)],expected_production[Site Name],A2003,expected_production[Date],B2003)),"")</f>
        <v>4289.3999999999996</v>
      </c>
      <c r="E2003" s="9">
        <f t="shared" si="64"/>
        <v>1.0745092553737121</v>
      </c>
      <c r="F2003" t="str">
        <f t="shared" si="65"/>
        <v>Expected</v>
      </c>
    </row>
    <row r="2004" spans="1:7" ht="15" customHeight="1" x14ac:dyDescent="0.3">
      <c r="A2004" t="s">
        <v>177</v>
      </c>
      <c r="B2004" s="2">
        <v>45962</v>
      </c>
      <c r="C2004" cm="1">
        <f t="array" ref="C2004">IFERROR(IF(SUMPRODUCT((measured[Site Name]=A2004)*(measured[Date]=B2004)*ISNUMBER(measured[Measured Value (kWh)]))=0,"",SUMIFS(measured[Measured Value (kWh)],measured[Site Name],A2004,measured[Date],B2004)),"")</f>
        <v>3681</v>
      </c>
      <c r="D2004" cm="1">
        <f t="array" ref="D2004">IFERROR(IF(SUMPRODUCT((expected_production[Site Name]=A2004)*(expected_production[Date]=B2004)*ISNUMBER(expected_production[Expected Production (kWh)]))=0,"",SUMIFS(expected_production[Expected Production (kWh)],expected_production[Site Name],A2004,expected_production[Date],B2004)),"")</f>
        <v>4249.8</v>
      </c>
      <c r="E2004" s="9">
        <f t="shared" si="64"/>
        <v>0.86615840745446837</v>
      </c>
      <c r="F2004" t="str">
        <f t="shared" si="65"/>
        <v>Moderate</v>
      </c>
    </row>
    <row r="2005" spans="1:7" ht="15" customHeight="1" x14ac:dyDescent="0.3">
      <c r="A2005" t="s">
        <v>177</v>
      </c>
      <c r="B2005" s="2">
        <v>45992</v>
      </c>
      <c r="C2005" cm="1">
        <f t="array" ref="C2005">IFERROR(IF(SUMPRODUCT((measured[Site Name]=A2005)*(measured[Date]=B2005)*ISNUMBER(measured[Measured Value (kWh)]))=0,"",SUMIFS(measured[Measured Value (kWh)],measured[Site Name],A2005,measured[Date],B2005)),"")</f>
        <v>1203</v>
      </c>
      <c r="D2005" cm="1">
        <f t="array" ref="D2005">IFERROR(IF(SUMPRODUCT((expected_production[Site Name]=A2005)*(expected_production[Date]=B2005)*ISNUMBER(expected_production[Expected Production (kWh)]))=0,"",SUMIFS(expected_production[Expected Production (kWh)],expected_production[Site Name],A2005,expected_production[Date],B2005)),"")</f>
        <v>4446</v>
      </c>
      <c r="E2005" s="9">
        <f t="shared" si="64"/>
        <v>0.27058029689608637</v>
      </c>
      <c r="F2005" t="str">
        <f t="shared" si="65"/>
        <v>Poor</v>
      </c>
    </row>
    <row r="2006" spans="1:7" ht="15" customHeight="1" x14ac:dyDescent="0.3">
      <c r="A2006" t="s">
        <v>177</v>
      </c>
      <c r="B2006" s="2">
        <v>46023</v>
      </c>
      <c r="C2006" cm="1">
        <f t="array" ref="C2006">IFERROR(IF(SUMPRODUCT((measured[Site Name]=A2006)*(measured[Date]=B2006)*ISNUMBER(measured[Measured Value (kWh)]))=0,"",SUMIFS(measured[Measured Value (kWh)],measured[Site Name],A2006,measured[Date],B2006)),"")</f>
        <v>3014</v>
      </c>
      <c r="D2006" cm="1">
        <f t="array" ref="D2006">IFERROR(IF(SUMPRODUCT((expected_production[Site Name]=A2006)*(expected_production[Date]=B2006)*ISNUMBER(expected_production[Expected Production (kWh)]))=0,"",SUMIFS(expected_production[Expected Production (kWh)],expected_production[Site Name],A2006,expected_production[Date],B2006)),"")</f>
        <v>4359.6000000000004</v>
      </c>
      <c r="E2006" s="9">
        <f t="shared" si="64"/>
        <v>0.69134783007615375</v>
      </c>
      <c r="F2006" t="str">
        <f t="shared" si="65"/>
        <v>Poor</v>
      </c>
    </row>
    <row r="2007" spans="1:7" ht="15" customHeight="1" x14ac:dyDescent="0.3">
      <c r="A2007" t="s">
        <v>177</v>
      </c>
      <c r="B2007" s="2">
        <v>46054</v>
      </c>
      <c r="C2007" cm="1">
        <f t="array" ref="C2007">IFERROR(IF(SUMPRODUCT((measured[Site Name]=A2007)*(measured[Date]=B2007)*ISNUMBER(measured[Measured Value (kWh)]))=0,"",SUMIFS(measured[Measured Value (kWh)],measured[Site Name],A2007,measured[Date],B2007)),"")</f>
        <v>4641.05</v>
      </c>
      <c r="D2007" cm="1">
        <f t="array" ref="D2007">IFERROR(IF(SUMPRODUCT((expected_production[Site Name]=A2007)*(expected_production[Date]=B2007)*ISNUMBER(expected_production[Expected Production (kWh)]))=0,"",SUMIFS(expected_production[Expected Production (kWh)],expected_production[Site Name],A2007,expected_production[Date],B2007)),"")</f>
        <v>3825.9</v>
      </c>
      <c r="E2007" s="9">
        <f t="shared" si="64"/>
        <v>1.213060979116025</v>
      </c>
      <c r="F2007" t="str">
        <f t="shared" si="65"/>
        <v>Expected</v>
      </c>
    </row>
    <row r="2008" spans="1:7" ht="15" customHeight="1" x14ac:dyDescent="0.3">
      <c r="A2008" t="s">
        <v>177</v>
      </c>
      <c r="B2008" s="2">
        <v>46082</v>
      </c>
      <c r="C2008" cm="1">
        <f t="array" ref="C2008">IFERROR(IF(SUMPRODUCT((measured[Site Name]=A2008)*(measured[Date]=B2008)*ISNUMBER(measured[Measured Value (kWh)]))=0,"",SUMIFS(measured[Measured Value (kWh)],measured[Site Name],A2008,measured[Date],B2008)),"")</f>
        <v>3756</v>
      </c>
      <c r="D2008" cm="1">
        <f t="array" ref="D2008">IFERROR(IF(SUMPRODUCT((expected_production[Site Name]=A2008)*(expected_production[Date]=B2008)*ISNUMBER(expected_production[Expected Production (kWh)]))=0,"",SUMIFS(expected_production[Expected Production (kWh)],expected_production[Site Name],A2008,expected_production[Date],B2008)),"")</f>
        <v>4077</v>
      </c>
      <c r="E2008" s="9">
        <f t="shared" si="64"/>
        <v>0.92126563649742454</v>
      </c>
      <c r="F2008" t="str">
        <f t="shared" si="65"/>
        <v>Expected</v>
      </c>
    </row>
    <row r="2009" spans="1:7" ht="15" customHeight="1" x14ac:dyDescent="0.3">
      <c r="A2009" t="s">
        <v>177</v>
      </c>
      <c r="B2009" s="2">
        <v>46113</v>
      </c>
      <c r="C2009" cm="1">
        <f t="array" ref="C2009">IFERROR(IF(SUMPRODUCT((measured[Site Name]=A2009)*(measured[Date]=B2009)*ISNUMBER(measured[Measured Value (kWh)]))=0,"",SUMIFS(measured[Measured Value (kWh)],measured[Site Name],A2009,measured[Date],B2009)),"")</f>
        <v>3294.1</v>
      </c>
      <c r="D2009" cm="1">
        <f t="array" ref="D2009">IFERROR(IF(SUMPRODUCT((expected_production[Site Name]=A2009)*(expected_production[Date]=B2009)*ISNUMBER(expected_production[Expected Production (kWh)]))=0,"",SUMIFS(expected_production[Expected Production (kWh)],expected_production[Site Name],A2009,expected_production[Date],B2009)),"")</f>
        <v>3573.9</v>
      </c>
      <c r="E2009" s="9">
        <f t="shared" si="64"/>
        <v>0.92171017655782195</v>
      </c>
      <c r="F2009" t="str">
        <f t="shared" si="65"/>
        <v>Expected</v>
      </c>
    </row>
    <row r="2010" spans="1:7" ht="15" customHeight="1" x14ac:dyDescent="0.3">
      <c r="A2010" t="s">
        <v>177</v>
      </c>
      <c r="B2010" s="2">
        <v>46143</v>
      </c>
      <c r="C2010" cm="1">
        <f t="array" ref="C2010">IFERROR(IF(SUMPRODUCT((measured[Site Name]=A2010)*(measured[Date]=B2010)*ISNUMBER(measured[Measured Value (kWh)]))=0,"",SUMIFS(measured[Measured Value (kWh)],measured[Site Name],A2010,measured[Date],B2010)),"")</f>
        <v>3420.82</v>
      </c>
      <c r="D2010" cm="1">
        <f t="array" ref="D2010">IFERROR(IF(SUMPRODUCT((expected_production[Site Name]=A2010)*(expected_production[Date]=B2010)*ISNUMBER(expected_production[Expected Production (kWh)]))=0,"",SUMIFS(expected_production[Expected Production (kWh)],expected_production[Site Name],A2010,expected_production[Date],B2010)),"")</f>
        <v>3623.4</v>
      </c>
      <c r="E2010" s="9">
        <f t="shared" si="64"/>
        <v>0.94409118507479162</v>
      </c>
      <c r="F2010" t="str">
        <f t="shared" si="65"/>
        <v>Expected</v>
      </c>
    </row>
    <row r="2011" spans="1:7" ht="15" customHeight="1" x14ac:dyDescent="0.3">
      <c r="A2011" t="s">
        <v>177</v>
      </c>
      <c r="B2011" s="2">
        <v>46174</v>
      </c>
      <c r="C2011" cm="1">
        <f t="array" ref="C2011">IFERROR(IF(SUMPRODUCT((measured[Site Name]=A2011)*(measured[Date]=B2011)*ISNUMBER(measured[Measured Value (kWh)]))=0,"",SUMIFS(measured[Measured Value (kWh)],measured[Site Name],A2011,measured[Date],B2011)),"")</f>
        <v>2882</v>
      </c>
      <c r="D2011" cm="1">
        <f t="array" ref="D2011">IFERROR(IF(SUMPRODUCT((expected_production[Site Name]=A2011)*(expected_production[Date]=B2011)*ISNUMBER(expected_production[Expected Production (kWh)]))=0,"",SUMIFS(expected_production[Expected Production (kWh)],expected_production[Site Name],A2011,expected_production[Date],B2011)),"")</f>
        <v>3360.6</v>
      </c>
      <c r="E2011" s="9">
        <f t="shared" si="64"/>
        <v>0.85758495506754751</v>
      </c>
      <c r="F2011" t="str">
        <f t="shared" si="65"/>
        <v>Moderate</v>
      </c>
    </row>
    <row r="2012" spans="1:7" ht="15" customHeight="1" x14ac:dyDescent="0.3">
      <c r="A2012" t="s">
        <v>265</v>
      </c>
      <c r="B2012" s="2">
        <v>46204</v>
      </c>
      <c r="C2012" cm="1">
        <f t="array" ref="C2012">IFERROR(IF(SUMPRODUCT((measured[Site Name]=A2012)*(measured[Date]=B2012)*ISNUMBER(measured[Measured Value (kWh)]))=0,"",SUMIFS(measured[Measured Value (kWh)],measured[Site Name],A2012,measured[Date],B2012)),"")</f>
        <v>0</v>
      </c>
      <c r="D2012" cm="1">
        <f t="array" ref="D2012">IFERROR(IF(SUMPRODUCT((expected_production[Site Name]=A2012)*(expected_production[Date]=B2012)*ISNUMBER(expected_production[Expected Production (kWh)]))=0,"",SUMIFS(expected_production[Expected Production (kWh)],expected_production[Site Name],A2012,expected_production[Date],B2012)),"")</f>
        <v>18821.97</v>
      </c>
      <c r="E2012" s="9">
        <f t="shared" si="64"/>
        <v>0</v>
      </c>
      <c r="F2012" t="str">
        <f t="shared" si="65"/>
        <v>Poor</v>
      </c>
      <c r="G2012" t="s">
        <v>874</v>
      </c>
    </row>
    <row r="2013" spans="1:7" ht="15" customHeight="1" x14ac:dyDescent="0.3">
      <c r="A2013" t="s">
        <v>177</v>
      </c>
      <c r="B2013" s="2">
        <v>46235</v>
      </c>
      <c r="C2013" t="str" cm="1">
        <f t="array" ref="C2013">IFERROR(IF(SUMPRODUCT((measured[Site Name]=A2013)*(measured[Date]=B2013)*ISNUMBER(measured[Measured Value (kWh)]))=0,"",SUMIFS(measured[Measured Value (kWh)],measured[Site Name],A2013,measured[Date],B2013)),"")</f>
        <v/>
      </c>
      <c r="D2013" cm="1">
        <f t="array" ref="D2013">IFERROR(IF(SUMPRODUCT((expected_production[Site Name]=A2013)*(expected_production[Date]=B2013)*ISNUMBER(expected_production[Expected Production (kWh)]))=0,"",SUMIFS(expected_production[Expected Production (kWh)],expected_production[Site Name],A2013,expected_production[Date],B2013)),"")</f>
        <v>4104</v>
      </c>
      <c r="E2013" s="9" t="str">
        <f t="shared" si="64"/>
        <v/>
      </c>
      <c r="F2013" t="str">
        <f t="shared" si="65"/>
        <v/>
      </c>
    </row>
    <row r="2014" spans="1:7" ht="15" customHeight="1" x14ac:dyDescent="0.3">
      <c r="A2014" t="s">
        <v>177</v>
      </c>
      <c r="B2014" s="2">
        <v>46266</v>
      </c>
      <c r="C2014" t="str" cm="1">
        <f t="array" ref="C2014">IFERROR(IF(SUMPRODUCT((measured[Site Name]=A2014)*(measured[Date]=B2014)*ISNUMBER(measured[Measured Value (kWh)]))=0,"",SUMIFS(measured[Measured Value (kWh)],measured[Site Name],A2014,measured[Date],B2014)),"")</f>
        <v/>
      </c>
      <c r="D2014" cm="1">
        <f t="array" ref="D2014">IFERROR(IF(SUMPRODUCT((expected_production[Site Name]=A2014)*(expected_production[Date]=B2014)*ISNUMBER(expected_production[Expected Production (kWh)]))=0,"",SUMIFS(expected_production[Expected Production (kWh)],expected_production[Site Name],A2014,expected_production[Date],B2014)),"")</f>
        <v>4274.1000000000004</v>
      </c>
      <c r="E2014" s="9" t="str">
        <f t="shared" si="64"/>
        <v/>
      </c>
      <c r="F2014" t="str">
        <f t="shared" si="65"/>
        <v/>
      </c>
    </row>
    <row r="2015" spans="1:7" ht="15" customHeight="1" x14ac:dyDescent="0.3">
      <c r="A2015" t="s">
        <v>177</v>
      </c>
      <c r="B2015" s="2">
        <v>46296</v>
      </c>
      <c r="C2015" t="str" cm="1">
        <f t="array" ref="C2015">IFERROR(IF(SUMPRODUCT((measured[Site Name]=A2015)*(measured[Date]=B2015)*ISNUMBER(measured[Measured Value (kWh)]))=0,"",SUMIFS(measured[Measured Value (kWh)],measured[Site Name],A2015,measured[Date],B2015)),"")</f>
        <v/>
      </c>
      <c r="D2015" cm="1">
        <f t="array" ref="D2015">IFERROR(IF(SUMPRODUCT((expected_production[Site Name]=A2015)*(expected_production[Date]=B2015)*ISNUMBER(expected_production[Expected Production (kWh)]))=0,"",SUMIFS(expected_production[Expected Production (kWh)],expected_production[Site Name],A2015,expected_production[Date],B2015)),"")</f>
        <v>4289.3999999999996</v>
      </c>
      <c r="E2015" s="9" t="str">
        <f t="shared" si="64"/>
        <v/>
      </c>
      <c r="F2015" t="str">
        <f t="shared" si="65"/>
        <v/>
      </c>
    </row>
    <row r="2016" spans="1:7" ht="15" customHeight="1" x14ac:dyDescent="0.3">
      <c r="A2016" t="s">
        <v>177</v>
      </c>
      <c r="B2016" s="2">
        <v>46327</v>
      </c>
      <c r="C2016" t="str" cm="1">
        <f t="array" ref="C2016">IFERROR(IF(SUMPRODUCT((measured[Site Name]=A2016)*(measured[Date]=B2016)*ISNUMBER(measured[Measured Value (kWh)]))=0,"",SUMIFS(measured[Measured Value (kWh)],measured[Site Name],A2016,measured[Date],B2016)),"")</f>
        <v/>
      </c>
      <c r="D2016" cm="1">
        <f t="array" ref="D2016">IFERROR(IF(SUMPRODUCT((expected_production[Site Name]=A2016)*(expected_production[Date]=B2016)*ISNUMBER(expected_production[Expected Production (kWh)]))=0,"",SUMIFS(expected_production[Expected Production (kWh)],expected_production[Site Name],A2016,expected_production[Date],B2016)),"")</f>
        <v>4249.8</v>
      </c>
      <c r="E2016" s="9" t="str">
        <f t="shared" si="64"/>
        <v/>
      </c>
      <c r="F2016" t="str">
        <f t="shared" si="65"/>
        <v/>
      </c>
    </row>
    <row r="2017" spans="1:6" ht="15" customHeight="1" x14ac:dyDescent="0.3">
      <c r="A2017" t="s">
        <v>177</v>
      </c>
      <c r="B2017" s="2">
        <v>46357</v>
      </c>
      <c r="C2017" t="str" cm="1">
        <f t="array" ref="C2017">IFERROR(IF(SUMPRODUCT((measured[Site Name]=A2017)*(measured[Date]=B2017)*ISNUMBER(measured[Measured Value (kWh)]))=0,"",SUMIFS(measured[Measured Value (kWh)],measured[Site Name],A2017,measured[Date],B2017)),"")</f>
        <v/>
      </c>
      <c r="D2017" cm="1">
        <f t="array" ref="D2017">IFERROR(IF(SUMPRODUCT((expected_production[Site Name]=A2017)*(expected_production[Date]=B2017)*ISNUMBER(expected_production[Expected Production (kWh)]))=0,"",SUMIFS(expected_production[Expected Production (kWh)],expected_production[Site Name],A2017,expected_production[Date],B2017)),"")</f>
        <v>4446</v>
      </c>
      <c r="E2017" s="9" t="str">
        <f t="shared" si="64"/>
        <v/>
      </c>
      <c r="F2017" t="str">
        <f t="shared" si="65"/>
        <v/>
      </c>
    </row>
    <row r="2018" spans="1:6" ht="15" customHeight="1" x14ac:dyDescent="0.3">
      <c r="A2018" t="s">
        <v>265</v>
      </c>
      <c r="B2018" s="2">
        <v>45292</v>
      </c>
      <c r="C2018" cm="1">
        <f t="array" ref="C2018">IFERROR(IF(SUMPRODUCT((measured[Site Name]=A2018)*(measured[Date]=B2018)*ISNUMBER(measured[Measured Value (kWh)]))=0,"",SUMIFS(measured[Measured Value (kWh)],measured[Site Name],A2018,measured[Date],B2018)),"")</f>
        <v>14153</v>
      </c>
      <c r="D2018" cm="1">
        <f t="array" ref="D2018">IFERROR(IF(SUMPRODUCT((expected_production[Site Name]=A2018)*(expected_production[Date]=B2018)*ISNUMBER(expected_production[Expected Production (kWh)]))=0,"",SUMIFS(expected_production[Expected Production (kWh)],expected_production[Site Name],A2018,expected_production[Date],B2018)),"")</f>
        <v>23065.02</v>
      </c>
      <c r="E2018" s="9">
        <f t="shared" si="64"/>
        <v>0.6136131683388959</v>
      </c>
      <c r="F2018" t="str">
        <f t="shared" si="65"/>
        <v>Poor</v>
      </c>
    </row>
    <row r="2019" spans="1:6" ht="15" customHeight="1" x14ac:dyDescent="0.3">
      <c r="A2019" t="s">
        <v>265</v>
      </c>
      <c r="B2019" s="2">
        <v>45323</v>
      </c>
      <c r="C2019" cm="1">
        <f t="array" ref="C2019">IFERROR(IF(SUMPRODUCT((measured[Site Name]=A2019)*(measured[Date]=B2019)*ISNUMBER(measured[Measured Value (kWh)]))=0,"",SUMIFS(measured[Measured Value (kWh)],measured[Site Name],A2019,measured[Date],B2019)),"")</f>
        <v>12255</v>
      </c>
      <c r="D2019" cm="1">
        <f t="array" ref="D2019">IFERROR(IF(SUMPRODUCT((expected_production[Site Name]=A2019)*(expected_production[Date]=B2019)*ISNUMBER(expected_production[Expected Production (kWh)]))=0,"",SUMIFS(expected_production[Expected Production (kWh)],expected_production[Site Name],A2019,expected_production[Date],B2019)),"")</f>
        <v>20354.849999999999</v>
      </c>
      <c r="E2019" s="9">
        <f t="shared" si="64"/>
        <v>0.60206781184828195</v>
      </c>
      <c r="F2019" t="str">
        <f t="shared" si="65"/>
        <v>Poor</v>
      </c>
    </row>
    <row r="2020" spans="1:6" ht="15" customHeight="1" x14ac:dyDescent="0.3">
      <c r="A2020" t="s">
        <v>265</v>
      </c>
      <c r="B2020" s="2">
        <v>45352</v>
      </c>
      <c r="C2020" cm="1">
        <f t="array" ref="C2020">IFERROR(IF(SUMPRODUCT((measured[Site Name]=A2020)*(measured[Date]=B2020)*ISNUMBER(measured[Measured Value (kWh)]))=0,"",SUMIFS(measured[Measured Value (kWh)],measured[Site Name],A2020,measured[Date],B2020)),"")</f>
        <v>14981</v>
      </c>
      <c r="D2020" cm="1">
        <f t="array" ref="D2020">IFERROR(IF(SUMPRODUCT((expected_production[Site Name]=A2020)*(expected_production[Date]=B2020)*ISNUMBER(expected_production[Expected Production (kWh)]))=0,"",SUMIFS(expected_production[Expected Production (kWh)],expected_production[Site Name],A2020,expected_production[Date],B2020)),"")</f>
        <v>21716.37</v>
      </c>
      <c r="E2020" s="9">
        <f t="shared" si="64"/>
        <v>0.68984825732845778</v>
      </c>
      <c r="F2020" t="str">
        <f t="shared" si="65"/>
        <v>Poor</v>
      </c>
    </row>
    <row r="2021" spans="1:6" ht="15" customHeight="1" x14ac:dyDescent="0.3">
      <c r="A2021" t="s">
        <v>265</v>
      </c>
      <c r="B2021" s="2">
        <v>45383</v>
      </c>
      <c r="C2021" cm="1">
        <f t="array" ref="C2021">IFERROR(IF(SUMPRODUCT((measured[Site Name]=A2021)*(measured[Date]=B2021)*ISNUMBER(measured[Measured Value (kWh)]))=0,"",SUMIFS(measured[Measured Value (kWh)],measured[Site Name],A2021,measured[Date],B2021)),"")</f>
        <v>12548</v>
      </c>
      <c r="D2021" cm="1">
        <f t="array" ref="D2021">IFERROR(IF(SUMPRODUCT((expected_production[Site Name]=A2021)*(expected_production[Date]=B2021)*ISNUMBER(expected_production[Expected Production (kWh)]))=0,"",SUMIFS(expected_production[Expected Production (kWh)],expected_production[Site Name],A2021,expected_production[Date],B2021)),"")</f>
        <v>18847.89</v>
      </c>
      <c r="E2021" s="9">
        <f t="shared" si="64"/>
        <v>0.66575091429332411</v>
      </c>
      <c r="F2021" t="str">
        <f t="shared" si="65"/>
        <v>Poor</v>
      </c>
    </row>
    <row r="2022" spans="1:6" ht="15" customHeight="1" x14ac:dyDescent="0.3">
      <c r="A2022" t="s">
        <v>265</v>
      </c>
      <c r="B2022" s="2">
        <v>45413</v>
      </c>
      <c r="C2022" cm="1">
        <f t="array" ref="C2022">IFERROR(IF(SUMPRODUCT((measured[Site Name]=A2022)*(measured[Date]=B2022)*ISNUMBER(measured[Measured Value (kWh)]))=0,"",SUMIFS(measured[Measured Value (kWh)],measured[Site Name],A2022,measured[Date],B2022)),"")</f>
        <v>12499</v>
      </c>
      <c r="D2022" cm="1">
        <f t="array" ref="D2022">IFERROR(IF(SUMPRODUCT((expected_production[Site Name]=A2022)*(expected_production[Date]=B2022)*ISNUMBER(expected_production[Expected Production (kWh)]))=0,"",SUMIFS(expected_production[Expected Production (kWh)],expected_production[Site Name],A2022,expected_production[Date],B2022)),"")</f>
        <v>18700.919999999998</v>
      </c>
      <c r="E2022" s="9">
        <f t="shared" si="64"/>
        <v>0.66836283990306367</v>
      </c>
      <c r="F2022" t="str">
        <f t="shared" si="65"/>
        <v>Poor</v>
      </c>
    </row>
    <row r="2023" spans="1:6" ht="15" customHeight="1" x14ac:dyDescent="0.3">
      <c r="A2023" t="s">
        <v>265</v>
      </c>
      <c r="B2023" s="2">
        <v>45444</v>
      </c>
      <c r="C2023" cm="1">
        <f t="array" ref="C2023">IFERROR(IF(SUMPRODUCT((measured[Site Name]=A2023)*(measured[Date]=B2023)*ISNUMBER(measured[Measured Value (kWh)]))=0,"",SUMIFS(measured[Measured Value (kWh)],measured[Site Name],A2023,measured[Date],B2023)),"")</f>
        <v>10764</v>
      </c>
      <c r="D2023" cm="1">
        <f t="array" ref="D2023">IFERROR(IF(SUMPRODUCT((expected_production[Site Name]=A2023)*(expected_production[Date]=B2023)*ISNUMBER(expected_production[Expected Production (kWh)]))=0,"",SUMIFS(expected_production[Expected Production (kWh)],expected_production[Site Name],A2023,expected_production[Date],B2023)),"")</f>
        <v>17164.439999999999</v>
      </c>
      <c r="E2023" s="9">
        <f t="shared" si="64"/>
        <v>0.62711046792088765</v>
      </c>
      <c r="F2023" t="str">
        <f t="shared" si="65"/>
        <v>Poor</v>
      </c>
    </row>
    <row r="2024" spans="1:6" ht="15" customHeight="1" x14ac:dyDescent="0.3">
      <c r="A2024" t="s">
        <v>265</v>
      </c>
      <c r="B2024" s="2">
        <v>45474</v>
      </c>
      <c r="C2024" cm="1">
        <f t="array" ref="C2024">IFERROR(IF(SUMPRODUCT((measured[Site Name]=A2024)*(measured[Date]=B2024)*ISNUMBER(measured[Measured Value (kWh)]))=0,"",SUMIFS(measured[Measured Value (kWh)],measured[Site Name],A2024,measured[Date],B2024)),"")</f>
        <v>12646</v>
      </c>
      <c r="D2024" cm="1">
        <f t="array" ref="D2024">IFERROR(IF(SUMPRODUCT((expected_production[Site Name]=A2024)*(expected_production[Date]=B2024)*ISNUMBER(expected_production[Expected Production (kWh)]))=0,"",SUMIFS(expected_production[Expected Production (kWh)],expected_production[Site Name],A2024,expected_production[Date],B2024)),"")</f>
        <v>18821.97</v>
      </c>
      <c r="E2024" s="9">
        <f t="shared" si="64"/>
        <v>0.67187441059570274</v>
      </c>
      <c r="F2024" t="str">
        <f t="shared" si="65"/>
        <v>Poor</v>
      </c>
    </row>
    <row r="2025" spans="1:6" ht="15" customHeight="1" x14ac:dyDescent="0.3">
      <c r="A2025" t="s">
        <v>265</v>
      </c>
      <c r="B2025" s="2">
        <v>45505</v>
      </c>
      <c r="C2025" cm="1">
        <f t="array" ref="C2025">IFERROR(IF(SUMPRODUCT((measured[Site Name]=A2025)*(measured[Date]=B2025)*ISNUMBER(measured[Measured Value (kWh)]))=0,"",SUMIFS(measured[Measured Value (kWh)],measured[Site Name],A2025,measured[Date],B2025)),"")</f>
        <v>13284</v>
      </c>
      <c r="D2025" cm="1">
        <f t="array" ref="D2025">IFERROR(IF(SUMPRODUCT((expected_production[Site Name]=A2025)*(expected_production[Date]=B2025)*ISNUMBER(expected_production[Expected Production (kWh)]))=0,"",SUMIFS(expected_production[Expected Production (kWh)],expected_production[Site Name],A2025,expected_production[Date],B2025)),"")</f>
        <v>21497.67</v>
      </c>
      <c r="E2025" s="9">
        <f t="shared" si="64"/>
        <v>0.61792743120533533</v>
      </c>
      <c r="F2025" t="str">
        <f t="shared" si="65"/>
        <v>Poor</v>
      </c>
    </row>
    <row r="2026" spans="1:6" ht="15" customHeight="1" x14ac:dyDescent="0.3">
      <c r="A2026" t="s">
        <v>265</v>
      </c>
      <c r="B2026" s="2">
        <v>45536</v>
      </c>
      <c r="C2026" cm="1">
        <f t="array" ref="C2026">IFERROR(IF(SUMPRODUCT((measured[Site Name]=A2026)*(measured[Date]=B2026)*ISNUMBER(measured[Measured Value (kWh)]))=0,"",SUMIFS(measured[Measured Value (kWh)],measured[Site Name],A2026,measured[Date],B2026)),"")</f>
        <v>12781</v>
      </c>
      <c r="D2026" cm="1">
        <f t="array" ref="D2026">IFERROR(IF(SUMPRODUCT((expected_production[Site Name]=A2026)*(expected_production[Date]=B2026)*ISNUMBER(expected_production[Expected Production (kWh)]))=0,"",SUMIFS(expected_production[Expected Production (kWh)],expected_production[Site Name],A2026,expected_production[Date],B2026)),"")</f>
        <v>22688.37</v>
      </c>
      <c r="E2026" s="9">
        <f t="shared" si="64"/>
        <v>0.56332826024963456</v>
      </c>
      <c r="F2026" t="str">
        <f t="shared" si="65"/>
        <v>Poor</v>
      </c>
    </row>
    <row r="2027" spans="1:6" ht="15" customHeight="1" x14ac:dyDescent="0.3">
      <c r="A2027" t="s">
        <v>265</v>
      </c>
      <c r="B2027" s="2">
        <v>45566</v>
      </c>
      <c r="C2027" cm="1">
        <f t="array" ref="C2027">IFERROR(IF(SUMPRODUCT((measured[Site Name]=A2027)*(measured[Date]=B2027)*ISNUMBER(measured[Measured Value (kWh)]))=0,"",SUMIFS(measured[Measured Value (kWh)],measured[Site Name],A2027,measured[Date],B2027)),"")</f>
        <v>16310</v>
      </c>
      <c r="D2027" cm="1">
        <f t="array" ref="D2027">IFERROR(IF(SUMPRODUCT((expected_production[Site Name]=A2027)*(expected_production[Date]=B2027)*ISNUMBER(expected_production[Expected Production (kWh)]))=0,"",SUMIFS(expected_production[Expected Production (kWh)],expected_production[Site Name],A2027,expected_production[Date],B2027)),"")</f>
        <v>22841.55</v>
      </c>
      <c r="E2027" s="9">
        <f t="shared" si="64"/>
        <v>0.71404961572222558</v>
      </c>
      <c r="F2027" t="str">
        <f t="shared" si="65"/>
        <v>Moderate</v>
      </c>
    </row>
    <row r="2028" spans="1:6" ht="15" customHeight="1" x14ac:dyDescent="0.3">
      <c r="A2028" t="s">
        <v>265</v>
      </c>
      <c r="B2028" s="2">
        <v>45597</v>
      </c>
      <c r="C2028" cm="1">
        <f t="array" ref="C2028">IFERROR(IF(SUMPRODUCT((measured[Site Name]=A2028)*(measured[Date]=B2028)*ISNUMBER(measured[Measured Value (kWh)]))=0,"",SUMIFS(measured[Measured Value (kWh)],measured[Site Name],A2028,measured[Date],B2028)),"")</f>
        <v>16857</v>
      </c>
      <c r="D2028" cm="1">
        <f t="array" ref="D2028">IFERROR(IF(SUMPRODUCT((expected_production[Site Name]=A2028)*(expected_production[Date]=B2028)*ISNUMBER(expected_production[Expected Production (kWh)]))=0,"",SUMIFS(expected_production[Expected Production (kWh)],expected_production[Site Name],A2028,expected_production[Date],B2028)),"")</f>
        <v>22507.919999999998</v>
      </c>
      <c r="E2028" s="9">
        <f t="shared" si="64"/>
        <v>0.74893637439621263</v>
      </c>
      <c r="F2028" t="str">
        <f t="shared" si="65"/>
        <v>Moderate</v>
      </c>
    </row>
    <row r="2029" spans="1:6" ht="15" customHeight="1" x14ac:dyDescent="0.3">
      <c r="A2029" t="s">
        <v>265</v>
      </c>
      <c r="B2029" s="2">
        <v>45627</v>
      </c>
      <c r="C2029" cm="1">
        <f t="array" ref="C2029">IFERROR(IF(SUMPRODUCT((measured[Site Name]=A2029)*(measured[Date]=B2029)*ISNUMBER(measured[Measured Value (kWh)]))=0,"",SUMIFS(measured[Measured Value (kWh)],measured[Site Name],A2029,measured[Date],B2029)),"")</f>
        <v>17902</v>
      </c>
      <c r="D2029" cm="1">
        <f t="array" ref="D2029">IFERROR(IF(SUMPRODUCT((expected_production[Site Name]=A2029)*(expected_production[Date]=B2029)*ISNUMBER(expected_production[Expected Production (kWh)]))=0,"",SUMIFS(expected_production[Expected Production (kWh)],expected_production[Site Name],A2029,expected_production[Date],B2029)),"")</f>
        <v>23494.59</v>
      </c>
      <c r="E2029" s="9">
        <f t="shared" si="64"/>
        <v>0.7619626475712068</v>
      </c>
      <c r="F2029" t="str">
        <f t="shared" si="65"/>
        <v>Moderate</v>
      </c>
    </row>
    <row r="2030" spans="1:6" ht="15" customHeight="1" x14ac:dyDescent="0.3">
      <c r="A2030" t="s">
        <v>265</v>
      </c>
      <c r="B2030" s="2">
        <v>45658</v>
      </c>
      <c r="C2030" cm="1">
        <f t="array" ref="C2030">IFERROR(IF(SUMPRODUCT((measured[Site Name]=A2030)*(measured[Date]=B2030)*ISNUMBER(measured[Measured Value (kWh)]))=0,"",SUMIFS(measured[Measured Value (kWh)],measured[Site Name],A2030,measured[Date],B2030)),"")</f>
        <v>16357</v>
      </c>
      <c r="D2030" cm="1">
        <f t="array" ref="D2030">IFERROR(IF(SUMPRODUCT((expected_production[Site Name]=A2030)*(expected_production[Date]=B2030)*ISNUMBER(expected_production[Expected Production (kWh)]))=0,"",SUMIFS(expected_production[Expected Production (kWh)],expected_production[Site Name],A2030,expected_production[Date],B2030)),"")</f>
        <v>23065.02</v>
      </c>
      <c r="E2030" s="9">
        <f t="shared" si="64"/>
        <v>0.70916912276685651</v>
      </c>
      <c r="F2030" t="str">
        <f t="shared" si="65"/>
        <v>Moderate</v>
      </c>
    </row>
    <row r="2031" spans="1:6" ht="15" customHeight="1" x14ac:dyDescent="0.3">
      <c r="A2031" t="s">
        <v>265</v>
      </c>
      <c r="B2031" s="2">
        <v>45689</v>
      </c>
      <c r="C2031" cm="1">
        <f t="array" ref="C2031">IFERROR(IF(SUMPRODUCT((measured[Site Name]=A2031)*(measured[Date]=B2031)*ISNUMBER(measured[Measured Value (kWh)]))=0,"",SUMIFS(measured[Measured Value (kWh)],measured[Site Name],A2031,measured[Date],B2031)),"")</f>
        <v>13076</v>
      </c>
      <c r="D2031" cm="1">
        <f t="array" ref="D2031">IFERROR(IF(SUMPRODUCT((expected_production[Site Name]=A2031)*(expected_production[Date]=B2031)*ISNUMBER(expected_production[Expected Production (kWh)]))=0,"",SUMIFS(expected_production[Expected Production (kWh)],expected_production[Site Name],A2031,expected_production[Date],B2031)),"")</f>
        <v>20354.849999999999</v>
      </c>
      <c r="E2031" s="9">
        <f t="shared" si="64"/>
        <v>0.64240217933318111</v>
      </c>
      <c r="F2031" t="str">
        <f t="shared" si="65"/>
        <v>Poor</v>
      </c>
    </row>
    <row r="2032" spans="1:6" ht="15" customHeight="1" x14ac:dyDescent="0.3">
      <c r="A2032" t="s">
        <v>265</v>
      </c>
      <c r="B2032" s="2">
        <v>45717</v>
      </c>
      <c r="C2032" cm="1">
        <f t="array" ref="C2032">IFERROR(IF(SUMPRODUCT((measured[Site Name]=A2032)*(measured[Date]=B2032)*ISNUMBER(measured[Measured Value (kWh)]))=0,"",SUMIFS(measured[Measured Value (kWh)],measured[Site Name],A2032,measured[Date],B2032)),"")</f>
        <v>13410</v>
      </c>
      <c r="D2032" cm="1">
        <f t="array" ref="D2032">IFERROR(IF(SUMPRODUCT((expected_production[Site Name]=A2032)*(expected_production[Date]=B2032)*ISNUMBER(expected_production[Expected Production (kWh)]))=0,"",SUMIFS(expected_production[Expected Production (kWh)],expected_production[Site Name],A2032,expected_production[Date],B2032)),"")</f>
        <v>21716.37</v>
      </c>
      <c r="E2032" s="9">
        <f t="shared" si="64"/>
        <v>0.61750651697314052</v>
      </c>
      <c r="F2032" t="str">
        <f t="shared" si="65"/>
        <v>Poor</v>
      </c>
    </row>
    <row r="2033" spans="1:7" ht="15" customHeight="1" x14ac:dyDescent="0.3">
      <c r="A2033" t="s">
        <v>265</v>
      </c>
      <c r="B2033" s="2">
        <v>45748</v>
      </c>
      <c r="C2033" cm="1">
        <f t="array" ref="C2033">IFERROR(IF(SUMPRODUCT((measured[Site Name]=A2033)*(measured[Date]=B2033)*ISNUMBER(measured[Measured Value (kWh)]))=0,"",SUMIFS(measured[Measured Value (kWh)],measured[Site Name],A2033,measured[Date],B2033)),"")</f>
        <v>11361</v>
      </c>
      <c r="D2033" cm="1">
        <f t="array" ref="D2033">IFERROR(IF(SUMPRODUCT((expected_production[Site Name]=A2033)*(expected_production[Date]=B2033)*ISNUMBER(expected_production[Expected Production (kWh)]))=0,"",SUMIFS(expected_production[Expected Production (kWh)],expected_production[Site Name],A2033,expected_production[Date],B2033)),"")</f>
        <v>18847.89</v>
      </c>
      <c r="E2033" s="9">
        <f t="shared" si="64"/>
        <v>0.60277304249971753</v>
      </c>
      <c r="F2033" t="str">
        <f t="shared" si="65"/>
        <v>Poor</v>
      </c>
    </row>
    <row r="2034" spans="1:7" ht="15" customHeight="1" x14ac:dyDescent="0.3">
      <c r="A2034" t="s">
        <v>265</v>
      </c>
      <c r="B2034" s="2">
        <v>45778</v>
      </c>
      <c r="C2034" cm="1">
        <f t="array" ref="C2034">IFERROR(IF(SUMPRODUCT((measured[Site Name]=A2034)*(measured[Date]=B2034)*ISNUMBER(measured[Measured Value (kWh)]))=0,"",SUMIFS(measured[Measured Value (kWh)],measured[Site Name],A2034,measured[Date],B2034)),"")</f>
        <v>12073</v>
      </c>
      <c r="D2034" cm="1">
        <f t="array" ref="D2034">IFERROR(IF(SUMPRODUCT((expected_production[Site Name]=A2034)*(expected_production[Date]=B2034)*ISNUMBER(expected_production[Expected Production (kWh)]))=0,"",SUMIFS(expected_production[Expected Production (kWh)],expected_production[Site Name],A2034,expected_production[Date],B2034)),"")</f>
        <v>18700.919999999998</v>
      </c>
      <c r="E2034" s="9">
        <f t="shared" si="64"/>
        <v>0.64558321194893087</v>
      </c>
      <c r="F2034" t="str">
        <f t="shared" si="65"/>
        <v>Poor</v>
      </c>
    </row>
    <row r="2035" spans="1:7" ht="15" customHeight="1" x14ac:dyDescent="0.3">
      <c r="A2035" t="s">
        <v>265</v>
      </c>
      <c r="B2035" s="2">
        <v>45809</v>
      </c>
      <c r="C2035" cm="1">
        <f t="array" ref="C2035">IFERROR(IF(SUMPRODUCT((measured[Site Name]=A2035)*(measured[Date]=B2035)*ISNUMBER(measured[Measured Value (kWh)]))=0,"",SUMIFS(measured[Measured Value (kWh)],measured[Site Name],A2035,measured[Date],B2035)),"")</f>
        <v>10687.39</v>
      </c>
      <c r="D2035" cm="1">
        <f t="array" ref="D2035">IFERROR(IF(SUMPRODUCT((expected_production[Site Name]=A2035)*(expected_production[Date]=B2035)*ISNUMBER(expected_production[Expected Production (kWh)]))=0,"",SUMIFS(expected_production[Expected Production (kWh)],expected_production[Site Name],A2035,expected_production[Date],B2035)),"")</f>
        <v>17164.439999999999</v>
      </c>
      <c r="E2035" s="9">
        <f t="shared" si="64"/>
        <v>0.62264717054561647</v>
      </c>
      <c r="F2035" t="str">
        <f t="shared" si="65"/>
        <v>Poor</v>
      </c>
    </row>
    <row r="2036" spans="1:7" ht="15" customHeight="1" x14ac:dyDescent="0.3">
      <c r="A2036" t="s">
        <v>265</v>
      </c>
      <c r="B2036" s="2">
        <v>45839</v>
      </c>
      <c r="C2036" cm="1">
        <f t="array" ref="C2036">IFERROR(IF(SUMPRODUCT((measured[Site Name]=A2036)*(measured[Date]=B2036)*ISNUMBER(measured[Measured Value (kWh)]))=0,"",SUMIFS(measured[Measured Value (kWh)],measured[Site Name],A2036,measured[Date],B2036)),"")</f>
        <v>10449</v>
      </c>
      <c r="D2036" cm="1">
        <f t="array" ref="D2036">IFERROR(IF(SUMPRODUCT((expected_production[Site Name]=A2036)*(expected_production[Date]=B2036)*ISNUMBER(expected_production[Expected Production (kWh)]))=0,"",SUMIFS(expected_production[Expected Production (kWh)],expected_production[Site Name],A2036,expected_production[Date],B2036)),"")</f>
        <v>18821.97</v>
      </c>
      <c r="E2036" s="9">
        <f t="shared" si="64"/>
        <v>0.55514911563454827</v>
      </c>
      <c r="F2036" t="str">
        <f t="shared" si="65"/>
        <v>Poor</v>
      </c>
    </row>
    <row r="2037" spans="1:7" ht="15" customHeight="1" x14ac:dyDescent="0.3">
      <c r="A2037" t="s">
        <v>265</v>
      </c>
      <c r="B2037" s="2">
        <v>45870</v>
      </c>
      <c r="C2037" cm="1">
        <f t="array" ref="C2037">IFERROR(IF(SUMPRODUCT((measured[Site Name]=A2037)*(measured[Date]=B2037)*ISNUMBER(measured[Measured Value (kWh)]))=0,"",SUMIFS(measured[Measured Value (kWh)],measured[Site Name],A2037,measured[Date],B2037)),"")</f>
        <v>10325</v>
      </c>
      <c r="D2037" cm="1">
        <f t="array" ref="D2037">IFERROR(IF(SUMPRODUCT((expected_production[Site Name]=A2037)*(expected_production[Date]=B2037)*ISNUMBER(expected_production[Expected Production (kWh)]))=0,"",SUMIFS(expected_production[Expected Production (kWh)],expected_production[Site Name],A2037,expected_production[Date],B2037)),"")</f>
        <v>21497.67</v>
      </c>
      <c r="E2037" s="9">
        <f t="shared" si="64"/>
        <v>0.48028460758770608</v>
      </c>
      <c r="F2037" t="str">
        <f t="shared" si="65"/>
        <v>Poor</v>
      </c>
    </row>
    <row r="2038" spans="1:7" ht="15" customHeight="1" x14ac:dyDescent="0.3">
      <c r="A2038" t="s">
        <v>265</v>
      </c>
      <c r="B2038" s="2">
        <v>45901</v>
      </c>
      <c r="C2038" cm="1">
        <f t="array" ref="C2038">IFERROR(IF(SUMPRODUCT((measured[Site Name]=A2038)*(measured[Date]=B2038)*ISNUMBER(measured[Measured Value (kWh)]))=0,"",SUMIFS(measured[Measured Value (kWh)],measured[Site Name],A2038,measured[Date],B2038)),"")</f>
        <v>9595</v>
      </c>
      <c r="D2038" cm="1">
        <f t="array" ref="D2038">IFERROR(IF(SUMPRODUCT((expected_production[Site Name]=A2038)*(expected_production[Date]=B2038)*ISNUMBER(expected_production[Expected Production (kWh)]))=0,"",SUMIFS(expected_production[Expected Production (kWh)],expected_production[Site Name],A2038,expected_production[Date],B2038)),"")</f>
        <v>22688.37</v>
      </c>
      <c r="E2038" s="9">
        <f t="shared" si="64"/>
        <v>0.42290389305181469</v>
      </c>
      <c r="F2038" t="str">
        <f t="shared" si="65"/>
        <v>Poor</v>
      </c>
    </row>
    <row r="2039" spans="1:7" ht="15" customHeight="1" x14ac:dyDescent="0.3">
      <c r="A2039" t="s">
        <v>265</v>
      </c>
      <c r="B2039" s="2">
        <v>45931</v>
      </c>
      <c r="C2039" cm="1">
        <f t="array" ref="C2039">IFERROR(IF(SUMPRODUCT((measured[Site Name]=A2039)*(measured[Date]=B2039)*ISNUMBER(measured[Measured Value (kWh)]))=0,"",SUMIFS(measured[Measured Value (kWh)],measured[Site Name],A2039,measured[Date],B2039)),"")</f>
        <v>11068</v>
      </c>
      <c r="D2039" cm="1">
        <f t="array" ref="D2039">IFERROR(IF(SUMPRODUCT((expected_production[Site Name]=A2039)*(expected_production[Date]=B2039)*ISNUMBER(expected_production[Expected Production (kWh)]))=0,"",SUMIFS(expected_production[Expected Production (kWh)],expected_production[Site Name],A2039,expected_production[Date],B2039)),"")</f>
        <v>22841.55</v>
      </c>
      <c r="E2039" s="9">
        <f t="shared" si="64"/>
        <v>0.48455555774454889</v>
      </c>
      <c r="F2039" t="str">
        <f t="shared" si="65"/>
        <v>Poor</v>
      </c>
    </row>
    <row r="2040" spans="1:7" ht="15" customHeight="1" x14ac:dyDescent="0.3">
      <c r="A2040" t="s">
        <v>265</v>
      </c>
      <c r="B2040" s="2">
        <v>45962</v>
      </c>
      <c r="C2040" cm="1">
        <f t="array" ref="C2040">IFERROR(IF(SUMPRODUCT((measured[Site Name]=A2040)*(measured[Date]=B2040)*ISNUMBER(measured[Measured Value (kWh)]))=0,"",SUMIFS(measured[Measured Value (kWh)],measured[Site Name],A2040,measured[Date],B2040)),"")</f>
        <v>10671</v>
      </c>
      <c r="D2040" cm="1">
        <f t="array" ref="D2040">IFERROR(IF(SUMPRODUCT((expected_production[Site Name]=A2040)*(expected_production[Date]=B2040)*ISNUMBER(expected_production[Expected Production (kWh)]))=0,"",SUMIFS(expected_production[Expected Production (kWh)],expected_production[Site Name],A2040,expected_production[Date],B2040)),"")</f>
        <v>22507.919999999998</v>
      </c>
      <c r="E2040" s="9">
        <f t="shared" si="64"/>
        <v>0.47409978354285964</v>
      </c>
      <c r="F2040" t="str">
        <f t="shared" si="65"/>
        <v>Poor</v>
      </c>
    </row>
    <row r="2041" spans="1:7" ht="15" customHeight="1" x14ac:dyDescent="0.3">
      <c r="A2041" t="s">
        <v>265</v>
      </c>
      <c r="B2041" s="2">
        <v>45992</v>
      </c>
      <c r="C2041" cm="1">
        <f t="array" ref="C2041">IFERROR(IF(SUMPRODUCT((measured[Site Name]=A2041)*(measured[Date]=B2041)*ISNUMBER(measured[Measured Value (kWh)]))=0,"",SUMIFS(measured[Measured Value (kWh)],measured[Site Name],A2041,measured[Date],B2041)),"")</f>
        <v>1812</v>
      </c>
      <c r="D2041" cm="1">
        <f t="array" ref="D2041">IFERROR(IF(SUMPRODUCT((expected_production[Site Name]=A2041)*(expected_production[Date]=B2041)*ISNUMBER(expected_production[Expected Production (kWh)]))=0,"",SUMIFS(expected_production[Expected Production (kWh)],expected_production[Site Name],A2041,expected_production[Date],B2041)),"")</f>
        <v>23494.59</v>
      </c>
      <c r="E2041" s="9">
        <f t="shared" si="64"/>
        <v>7.7124137939840617E-2</v>
      </c>
      <c r="F2041" t="str">
        <f t="shared" si="65"/>
        <v>Poor</v>
      </c>
    </row>
    <row r="2042" spans="1:7" ht="15" customHeight="1" x14ac:dyDescent="0.3">
      <c r="A2042" t="s">
        <v>265</v>
      </c>
      <c r="B2042" s="2">
        <v>46023</v>
      </c>
      <c r="C2042" cm="1">
        <f t="array" ref="C2042">IFERROR(IF(SUMPRODUCT((measured[Site Name]=A2042)*(measured[Date]=B2042)*ISNUMBER(measured[Measured Value (kWh)]))=0,"",SUMIFS(measured[Measured Value (kWh)],measured[Site Name],A2042,measured[Date],B2042)),"")</f>
        <v>306</v>
      </c>
      <c r="D2042" cm="1">
        <f t="array" ref="D2042">IFERROR(IF(SUMPRODUCT((expected_production[Site Name]=A2042)*(expected_production[Date]=B2042)*ISNUMBER(expected_production[Expected Production (kWh)]))=0,"",SUMIFS(expected_production[Expected Production (kWh)],expected_production[Site Name],A2042,expected_production[Date],B2042)),"")</f>
        <v>23065.02</v>
      </c>
      <c r="E2042" s="9">
        <f t="shared" si="64"/>
        <v>1.3266843037638814E-2</v>
      </c>
      <c r="F2042" t="str">
        <f t="shared" si="65"/>
        <v>Poor</v>
      </c>
    </row>
    <row r="2043" spans="1:7" ht="15" customHeight="1" x14ac:dyDescent="0.3">
      <c r="A2043" t="s">
        <v>265</v>
      </c>
      <c r="B2043" s="2">
        <v>46054</v>
      </c>
      <c r="C2043" cm="1">
        <f t="array" ref="C2043">IFERROR(IF(SUMPRODUCT((measured[Site Name]=A2043)*(measured[Date]=B2043)*ISNUMBER(measured[Measured Value (kWh)]))=0,"",SUMIFS(measured[Measured Value (kWh)],measured[Site Name],A2043,measured[Date],B2043)),"")</f>
        <v>522.44464000000005</v>
      </c>
      <c r="D2043" cm="1">
        <f t="array" ref="D2043">IFERROR(IF(SUMPRODUCT((expected_production[Site Name]=A2043)*(expected_production[Date]=B2043)*ISNUMBER(expected_production[Expected Production (kWh)]))=0,"",SUMIFS(expected_production[Expected Production (kWh)],expected_production[Site Name],A2043,expected_production[Date],B2043)),"")</f>
        <v>20354.849999999999</v>
      </c>
      <c r="E2043" s="9">
        <f t="shared" si="64"/>
        <v>2.5666838124574737E-2</v>
      </c>
      <c r="F2043" t="str">
        <f t="shared" si="65"/>
        <v>Poor</v>
      </c>
    </row>
    <row r="2044" spans="1:7" ht="15" customHeight="1" x14ac:dyDescent="0.3">
      <c r="A2044" t="s">
        <v>265</v>
      </c>
      <c r="B2044" s="2">
        <v>46082</v>
      </c>
      <c r="C2044" cm="1">
        <f t="array" ref="C2044">IFERROR(IF(SUMPRODUCT((measured[Site Name]=A2044)*(measured[Date]=B2044)*ISNUMBER(measured[Measured Value (kWh)]))=0,"",SUMIFS(measured[Measured Value (kWh)],measured[Site Name],A2044,measured[Date],B2044)),"")</f>
        <v>372</v>
      </c>
      <c r="D2044" cm="1">
        <f t="array" ref="D2044">IFERROR(IF(SUMPRODUCT((expected_production[Site Name]=A2044)*(expected_production[Date]=B2044)*ISNUMBER(expected_production[Expected Production (kWh)]))=0,"",SUMIFS(expected_production[Expected Production (kWh)],expected_production[Site Name],A2044,expected_production[Date],B2044)),"")</f>
        <v>21716.37</v>
      </c>
      <c r="E2044" s="9">
        <f t="shared" ref="E2044:E2107" si="66">IF(OR(C2044="",D2044="",D2044=0),"",C2044/D2044)</f>
        <v>1.7129934699031193E-2</v>
      </c>
      <c r="F2044" t="str">
        <f t="shared" ref="F2044:F2107" si="67">IF(E2044="","",IF(E2044&gt;=0.9,"Expected",IF(E2044&gt;=0.7,"Moderate","Poor")))</f>
        <v>Poor</v>
      </c>
    </row>
    <row r="2045" spans="1:7" ht="15" customHeight="1" x14ac:dyDescent="0.3">
      <c r="A2045" t="s">
        <v>265</v>
      </c>
      <c r="B2045" s="2">
        <v>46113</v>
      </c>
      <c r="C2045" cm="1">
        <f t="array" ref="C2045">IFERROR(IF(SUMPRODUCT((measured[Site Name]=A2045)*(measured[Date]=B2045)*ISNUMBER(measured[Measured Value (kWh)]))=0,"",SUMIFS(measured[Measured Value (kWh)],measured[Site Name],A2045,measured[Date],B2045)),"")</f>
        <v>44.97</v>
      </c>
      <c r="D2045" cm="1">
        <f t="array" ref="D2045">IFERROR(IF(SUMPRODUCT((expected_production[Site Name]=A2045)*(expected_production[Date]=B2045)*ISNUMBER(expected_production[Expected Production (kWh)]))=0,"",SUMIFS(expected_production[Expected Production (kWh)],expected_production[Site Name],A2045,expected_production[Date],B2045)),"")</f>
        <v>18847.89</v>
      </c>
      <c r="E2045" s="9">
        <f t="shared" si="66"/>
        <v>2.3859434663508752E-3</v>
      </c>
      <c r="F2045" t="str">
        <f t="shared" si="67"/>
        <v>Poor</v>
      </c>
    </row>
    <row r="2046" spans="1:7" ht="15" customHeight="1" x14ac:dyDescent="0.3">
      <c r="A2046" t="s">
        <v>265</v>
      </c>
      <c r="B2046" s="2">
        <v>46143</v>
      </c>
      <c r="C2046" cm="1">
        <f t="array" ref="C2046">IFERROR(IF(SUMPRODUCT((measured[Site Name]=A2046)*(measured[Date]=B2046)*ISNUMBER(measured[Measured Value (kWh)]))=0,"",SUMIFS(measured[Measured Value (kWh)],measured[Site Name],A2046,measured[Date],B2046)),"")</f>
        <v>0</v>
      </c>
      <c r="D2046" cm="1">
        <f t="array" ref="D2046">IFERROR(IF(SUMPRODUCT((expected_production[Site Name]=A2046)*(expected_production[Date]=B2046)*ISNUMBER(expected_production[Expected Production (kWh)]))=0,"",SUMIFS(expected_production[Expected Production (kWh)],expected_production[Site Name],A2046,expected_production[Date],B2046)),"")</f>
        <v>18700.919999999998</v>
      </c>
      <c r="E2046" s="9">
        <f t="shared" si="66"/>
        <v>0</v>
      </c>
      <c r="F2046" t="str">
        <f t="shared" si="67"/>
        <v>Poor</v>
      </c>
    </row>
    <row r="2047" spans="1:7" ht="15" customHeight="1" x14ac:dyDescent="0.3">
      <c r="A2047" t="s">
        <v>265</v>
      </c>
      <c r="B2047" s="2">
        <v>46174</v>
      </c>
      <c r="C2047" t="str" cm="1">
        <f t="array" ref="C2047">IFERROR(IF(SUMPRODUCT((measured[Site Name]=A2047)*(measured[Date]=B2047)*ISNUMBER(measured[Measured Value (kWh)]))=0,"",SUMIFS(measured[Measured Value (kWh)],measured[Site Name],A2047,measured[Date],B2047)),"")</f>
        <v/>
      </c>
      <c r="D2047" cm="1">
        <f t="array" ref="D2047">IFERROR(IF(SUMPRODUCT((expected_production[Site Name]=A2047)*(expected_production[Date]=B2047)*ISNUMBER(expected_production[Expected Production (kWh)]))=0,"",SUMIFS(expected_production[Expected Production (kWh)],expected_production[Site Name],A2047,expected_production[Date],B2047)),"")</f>
        <v>17164.439999999999</v>
      </c>
      <c r="E2047" s="9" t="str">
        <f t="shared" si="66"/>
        <v/>
      </c>
      <c r="F2047" t="str">
        <f t="shared" si="67"/>
        <v/>
      </c>
    </row>
    <row r="2048" spans="1:7" ht="15" customHeight="1" x14ac:dyDescent="0.3">
      <c r="A2048" t="s">
        <v>177</v>
      </c>
      <c r="B2048" s="2">
        <v>46204</v>
      </c>
      <c r="C2048" cm="1">
        <f t="array" ref="C2048">IFERROR(IF(SUMPRODUCT((measured[Site Name]=A2048)*(measured[Date]=B2048)*ISNUMBER(measured[Measured Value (kWh)]))=0,"",SUMIFS(measured[Measured Value (kWh)],measured[Site Name],A2048,measured[Date],B2048)),"")</f>
        <v>2926.66</v>
      </c>
      <c r="D2048" cm="1">
        <f t="array" ref="D2048">IFERROR(IF(SUMPRODUCT((expected_production[Site Name]=A2048)*(expected_production[Date]=B2048)*ISNUMBER(expected_production[Expected Production (kWh)]))=0,"",SUMIFS(expected_production[Expected Production (kWh)],expected_production[Site Name],A2048,expected_production[Date],B2048)),"")</f>
        <v>3665.7</v>
      </c>
      <c r="E2048" s="9">
        <f t="shared" si="66"/>
        <v>0.79839048476416508</v>
      </c>
      <c r="F2048" t="str">
        <f t="shared" si="67"/>
        <v>Moderate</v>
      </c>
      <c r="G2048" t="s">
        <v>874</v>
      </c>
    </row>
    <row r="2049" spans="1:6" ht="15" customHeight="1" x14ac:dyDescent="0.3">
      <c r="A2049" t="s">
        <v>265</v>
      </c>
      <c r="B2049" s="2">
        <v>46235</v>
      </c>
      <c r="C2049" t="str" cm="1">
        <f t="array" ref="C2049">IFERROR(IF(SUMPRODUCT((measured[Site Name]=A2049)*(measured[Date]=B2049)*ISNUMBER(measured[Measured Value (kWh)]))=0,"",SUMIFS(measured[Measured Value (kWh)],measured[Site Name],A2049,measured[Date],B2049)),"")</f>
        <v/>
      </c>
      <c r="D2049" cm="1">
        <f t="array" ref="D2049">IFERROR(IF(SUMPRODUCT((expected_production[Site Name]=A2049)*(expected_production[Date]=B2049)*ISNUMBER(expected_production[Expected Production (kWh)]))=0,"",SUMIFS(expected_production[Expected Production (kWh)],expected_production[Site Name],A2049,expected_production[Date],B2049)),"")</f>
        <v>21497.67</v>
      </c>
      <c r="E2049" s="9" t="str">
        <f t="shared" si="66"/>
        <v/>
      </c>
      <c r="F2049" t="str">
        <f t="shared" si="67"/>
        <v/>
      </c>
    </row>
    <row r="2050" spans="1:6" ht="15" customHeight="1" x14ac:dyDescent="0.3">
      <c r="A2050" t="s">
        <v>265</v>
      </c>
      <c r="B2050" s="2">
        <v>46266</v>
      </c>
      <c r="C2050" t="str" cm="1">
        <f t="array" ref="C2050">IFERROR(IF(SUMPRODUCT((measured[Site Name]=A2050)*(measured[Date]=B2050)*ISNUMBER(measured[Measured Value (kWh)]))=0,"",SUMIFS(measured[Measured Value (kWh)],measured[Site Name],A2050,measured[Date],B2050)),"")</f>
        <v/>
      </c>
      <c r="D2050" cm="1">
        <f t="array" ref="D2050">IFERROR(IF(SUMPRODUCT((expected_production[Site Name]=A2050)*(expected_production[Date]=B2050)*ISNUMBER(expected_production[Expected Production (kWh)]))=0,"",SUMIFS(expected_production[Expected Production (kWh)],expected_production[Site Name],A2050,expected_production[Date],B2050)),"")</f>
        <v>22688.37</v>
      </c>
      <c r="E2050" s="9" t="str">
        <f t="shared" si="66"/>
        <v/>
      </c>
      <c r="F2050" t="str">
        <f t="shared" si="67"/>
        <v/>
      </c>
    </row>
    <row r="2051" spans="1:6" ht="15" customHeight="1" x14ac:dyDescent="0.3">
      <c r="A2051" t="s">
        <v>265</v>
      </c>
      <c r="B2051" s="2">
        <v>46296</v>
      </c>
      <c r="C2051" t="str" cm="1">
        <f t="array" ref="C2051">IFERROR(IF(SUMPRODUCT((measured[Site Name]=A2051)*(measured[Date]=B2051)*ISNUMBER(measured[Measured Value (kWh)]))=0,"",SUMIFS(measured[Measured Value (kWh)],measured[Site Name],A2051,measured[Date],B2051)),"")</f>
        <v/>
      </c>
      <c r="D2051" cm="1">
        <f t="array" ref="D2051">IFERROR(IF(SUMPRODUCT((expected_production[Site Name]=A2051)*(expected_production[Date]=B2051)*ISNUMBER(expected_production[Expected Production (kWh)]))=0,"",SUMIFS(expected_production[Expected Production (kWh)],expected_production[Site Name],A2051,expected_production[Date],B2051)),"")</f>
        <v>22841.55</v>
      </c>
      <c r="E2051" s="9" t="str">
        <f t="shared" si="66"/>
        <v/>
      </c>
      <c r="F2051" t="str">
        <f t="shared" si="67"/>
        <v/>
      </c>
    </row>
    <row r="2052" spans="1:6" ht="15" customHeight="1" x14ac:dyDescent="0.3">
      <c r="A2052" t="s">
        <v>265</v>
      </c>
      <c r="B2052" s="2">
        <v>46327</v>
      </c>
      <c r="C2052" t="str" cm="1">
        <f t="array" ref="C2052">IFERROR(IF(SUMPRODUCT((measured[Site Name]=A2052)*(measured[Date]=B2052)*ISNUMBER(measured[Measured Value (kWh)]))=0,"",SUMIFS(measured[Measured Value (kWh)],measured[Site Name],A2052,measured[Date],B2052)),"")</f>
        <v/>
      </c>
      <c r="D2052" cm="1">
        <f t="array" ref="D2052">IFERROR(IF(SUMPRODUCT((expected_production[Site Name]=A2052)*(expected_production[Date]=B2052)*ISNUMBER(expected_production[Expected Production (kWh)]))=0,"",SUMIFS(expected_production[Expected Production (kWh)],expected_production[Site Name],A2052,expected_production[Date],B2052)),"")</f>
        <v>22507.919999999998</v>
      </c>
      <c r="E2052" s="9" t="str">
        <f t="shared" si="66"/>
        <v/>
      </c>
      <c r="F2052" t="str">
        <f t="shared" si="67"/>
        <v/>
      </c>
    </row>
    <row r="2053" spans="1:6" ht="15" customHeight="1" x14ac:dyDescent="0.3">
      <c r="A2053" t="s">
        <v>265</v>
      </c>
      <c r="B2053" s="2">
        <v>46357</v>
      </c>
      <c r="C2053" t="str" cm="1">
        <f t="array" ref="C2053">IFERROR(IF(SUMPRODUCT((measured[Site Name]=A2053)*(measured[Date]=B2053)*ISNUMBER(measured[Measured Value (kWh)]))=0,"",SUMIFS(measured[Measured Value (kWh)],measured[Site Name],A2053,measured[Date],B2053)),"")</f>
        <v/>
      </c>
      <c r="D2053" cm="1">
        <f t="array" ref="D2053">IFERROR(IF(SUMPRODUCT((expected_production[Site Name]=A2053)*(expected_production[Date]=B2053)*ISNUMBER(expected_production[Expected Production (kWh)]))=0,"",SUMIFS(expected_production[Expected Production (kWh)],expected_production[Site Name],A2053,expected_production[Date],B2053)),"")</f>
        <v>23494.59</v>
      </c>
      <c r="E2053" s="9" t="str">
        <f t="shared" si="66"/>
        <v/>
      </c>
      <c r="F2053" t="str">
        <f t="shared" si="67"/>
        <v/>
      </c>
    </row>
    <row r="2054" spans="1:6" ht="15" customHeight="1" x14ac:dyDescent="0.3">
      <c r="A2054" t="s">
        <v>180</v>
      </c>
      <c r="B2054" s="2">
        <v>45292</v>
      </c>
      <c r="C2054" t="str" cm="1">
        <f t="array" ref="C2054">IFERROR(IF(SUMPRODUCT((measured[Site Name]=A2054)*(measured[Date]=B2054)*ISNUMBER(measured[Measured Value (kWh)]))=0,"",SUMIFS(measured[Measured Value (kWh)],measured[Site Name],A2054,measured[Date],B2054)),"")</f>
        <v/>
      </c>
      <c r="D2054" cm="1">
        <f t="array" ref="D2054">IFERROR(IF(SUMPRODUCT((expected_production[Site Name]=A2054)*(expected_production[Date]=B2054)*ISNUMBER(expected_production[Expected Production (kWh)]))=0,"",SUMIFS(expected_production[Expected Production (kWh)],expected_production[Site Name],A2054,expected_production[Date],B2054)),"")</f>
        <v>23724</v>
      </c>
      <c r="E2054" s="9" t="str">
        <f t="shared" si="66"/>
        <v/>
      </c>
      <c r="F2054" t="str">
        <f t="shared" si="67"/>
        <v/>
      </c>
    </row>
    <row r="2055" spans="1:6" ht="15" customHeight="1" x14ac:dyDescent="0.3">
      <c r="A2055" t="s">
        <v>180</v>
      </c>
      <c r="B2055" s="2">
        <v>45323</v>
      </c>
      <c r="C2055" t="str" cm="1">
        <f t="array" ref="C2055">IFERROR(IF(SUMPRODUCT((measured[Site Name]=A2055)*(measured[Date]=B2055)*ISNUMBER(measured[Measured Value (kWh)]))=0,"",SUMIFS(measured[Measured Value (kWh)],measured[Site Name],A2055,measured[Date],B2055)),"")</f>
        <v/>
      </c>
      <c r="D2055" cm="1">
        <f t="array" ref="D2055">IFERROR(IF(SUMPRODUCT((expected_production[Site Name]=A2055)*(expected_production[Date]=B2055)*ISNUMBER(expected_production[Expected Production (kWh)]))=0,"",SUMIFS(expected_production[Expected Production (kWh)],expected_production[Site Name],A2055,expected_production[Date],B2055)),"")</f>
        <v>20448</v>
      </c>
      <c r="E2055" s="9" t="str">
        <f t="shared" si="66"/>
        <v/>
      </c>
      <c r="F2055" t="str">
        <f t="shared" si="67"/>
        <v/>
      </c>
    </row>
    <row r="2056" spans="1:6" ht="15" customHeight="1" x14ac:dyDescent="0.3">
      <c r="A2056" t="s">
        <v>180</v>
      </c>
      <c r="B2056" s="2">
        <v>45352</v>
      </c>
      <c r="C2056" t="str" cm="1">
        <f t="array" ref="C2056">IFERROR(IF(SUMPRODUCT((measured[Site Name]=A2056)*(measured[Date]=B2056)*ISNUMBER(measured[Measured Value (kWh)]))=0,"",SUMIFS(measured[Measured Value (kWh)],measured[Site Name],A2056,measured[Date],B2056)),"")</f>
        <v/>
      </c>
      <c r="D2056" cm="1">
        <f t="array" ref="D2056">IFERROR(IF(SUMPRODUCT((expected_production[Site Name]=A2056)*(expected_production[Date]=B2056)*ISNUMBER(expected_production[Expected Production (kWh)]))=0,"",SUMIFS(expected_production[Expected Production (kWh)],expected_production[Site Name],A2056,expected_production[Date],B2056)),"")</f>
        <v>19986.3</v>
      </c>
      <c r="E2056" s="9" t="str">
        <f t="shared" si="66"/>
        <v/>
      </c>
      <c r="F2056" t="str">
        <f t="shared" si="67"/>
        <v/>
      </c>
    </row>
    <row r="2057" spans="1:6" ht="15" customHeight="1" x14ac:dyDescent="0.3">
      <c r="A2057" t="s">
        <v>180</v>
      </c>
      <c r="B2057" s="2">
        <v>45383</v>
      </c>
      <c r="C2057" t="str" cm="1">
        <f t="array" ref="C2057">IFERROR(IF(SUMPRODUCT((measured[Site Name]=A2057)*(measured[Date]=B2057)*ISNUMBER(measured[Measured Value (kWh)]))=0,"",SUMIFS(measured[Measured Value (kWh)],measured[Site Name],A2057,measured[Date],B2057)),"")</f>
        <v/>
      </c>
      <c r="D2057" cm="1">
        <f t="array" ref="D2057">IFERROR(IF(SUMPRODUCT((expected_production[Site Name]=A2057)*(expected_production[Date]=B2057)*ISNUMBER(expected_production[Expected Production (kWh)]))=0,"",SUMIFS(expected_production[Expected Production (kWh)],expected_production[Site Name],A2057,expected_production[Date],B2057)),"")</f>
        <v>17181.900000000001</v>
      </c>
      <c r="E2057" s="9" t="str">
        <f t="shared" si="66"/>
        <v/>
      </c>
      <c r="F2057" t="str">
        <f t="shared" si="67"/>
        <v/>
      </c>
    </row>
    <row r="2058" spans="1:6" ht="15" customHeight="1" x14ac:dyDescent="0.3">
      <c r="A2058" t="s">
        <v>180</v>
      </c>
      <c r="B2058" s="2">
        <v>45413</v>
      </c>
      <c r="C2058" t="str" cm="1">
        <f t="array" ref="C2058">IFERROR(IF(SUMPRODUCT((measured[Site Name]=A2058)*(measured[Date]=B2058)*ISNUMBER(measured[Measured Value (kWh)]))=0,"",SUMIFS(measured[Measured Value (kWh)],measured[Site Name],A2058,measured[Date],B2058)),"")</f>
        <v/>
      </c>
      <c r="D2058" cm="1">
        <f t="array" ref="D2058">IFERROR(IF(SUMPRODUCT((expected_production[Site Name]=A2058)*(expected_production[Date]=B2058)*ISNUMBER(expected_production[Expected Production (kWh)]))=0,"",SUMIFS(expected_production[Expected Production (kWh)],expected_production[Site Name],A2058,expected_production[Date],B2058)),"")</f>
        <v>15369.3</v>
      </c>
      <c r="E2058" s="9" t="str">
        <f t="shared" si="66"/>
        <v/>
      </c>
      <c r="F2058" t="str">
        <f t="shared" si="67"/>
        <v/>
      </c>
    </row>
    <row r="2059" spans="1:6" ht="15" customHeight="1" x14ac:dyDescent="0.3">
      <c r="A2059" t="s">
        <v>180</v>
      </c>
      <c r="B2059" s="2">
        <v>45444</v>
      </c>
      <c r="C2059" t="str" cm="1">
        <f t="array" ref="C2059">IFERROR(IF(SUMPRODUCT((measured[Site Name]=A2059)*(measured[Date]=B2059)*ISNUMBER(measured[Measured Value (kWh)]))=0,"",SUMIFS(measured[Measured Value (kWh)],measured[Site Name],A2059,measured[Date],B2059)),"")</f>
        <v/>
      </c>
      <c r="D2059" cm="1">
        <f t="array" ref="D2059">IFERROR(IF(SUMPRODUCT((expected_production[Site Name]=A2059)*(expected_production[Date]=B2059)*ISNUMBER(expected_production[Expected Production (kWh)]))=0,"",SUMIFS(expected_production[Expected Production (kWh)],expected_production[Site Name],A2059,expected_production[Date],B2059)),"")</f>
        <v>13381.2</v>
      </c>
      <c r="E2059" s="9" t="str">
        <f t="shared" si="66"/>
        <v/>
      </c>
      <c r="F2059" t="str">
        <f t="shared" si="67"/>
        <v/>
      </c>
    </row>
    <row r="2060" spans="1:6" ht="15" customHeight="1" x14ac:dyDescent="0.3">
      <c r="A2060" t="s">
        <v>180</v>
      </c>
      <c r="B2060" s="2">
        <v>45474</v>
      </c>
      <c r="C2060" t="str" cm="1">
        <f t="array" ref="C2060">IFERROR(IF(SUMPRODUCT((measured[Site Name]=A2060)*(measured[Date]=B2060)*ISNUMBER(measured[Measured Value (kWh)]))=0,"",SUMIFS(measured[Measured Value (kWh)],measured[Site Name],A2060,measured[Date],B2060)),"")</f>
        <v/>
      </c>
      <c r="D2060" cm="1">
        <f t="array" ref="D2060">IFERROR(IF(SUMPRODUCT((expected_production[Site Name]=A2060)*(expected_production[Date]=B2060)*ISNUMBER(expected_production[Expected Production (kWh)]))=0,"",SUMIFS(expected_production[Expected Production (kWh)],expected_production[Site Name],A2060,expected_production[Date],B2060)),"")</f>
        <v>15023.7</v>
      </c>
      <c r="E2060" s="9" t="str">
        <f t="shared" si="66"/>
        <v/>
      </c>
      <c r="F2060" t="str">
        <f t="shared" si="67"/>
        <v/>
      </c>
    </row>
    <row r="2061" spans="1:6" ht="15" customHeight="1" x14ac:dyDescent="0.3">
      <c r="A2061" t="s">
        <v>180</v>
      </c>
      <c r="B2061" s="2">
        <v>45505</v>
      </c>
      <c r="C2061" t="str" cm="1">
        <f t="array" ref="C2061">IFERROR(IF(SUMPRODUCT((measured[Site Name]=A2061)*(measured[Date]=B2061)*ISNUMBER(measured[Measured Value (kWh)]))=0,"",SUMIFS(measured[Measured Value (kWh)],measured[Site Name],A2061,measured[Date],B2061)),"")</f>
        <v/>
      </c>
      <c r="D2061" cm="1">
        <f t="array" ref="D2061">IFERROR(IF(SUMPRODUCT((expected_production[Site Name]=A2061)*(expected_production[Date]=B2061)*ISNUMBER(expected_production[Expected Production (kWh)]))=0,"",SUMIFS(expected_production[Expected Production (kWh)],expected_production[Site Name],A2061,expected_production[Date],B2061)),"")</f>
        <v>18071.099999999999</v>
      </c>
      <c r="E2061" s="9" t="str">
        <f t="shared" si="66"/>
        <v/>
      </c>
      <c r="F2061" t="str">
        <f t="shared" si="67"/>
        <v/>
      </c>
    </row>
    <row r="2062" spans="1:6" ht="15" customHeight="1" x14ac:dyDescent="0.3">
      <c r="A2062" t="s">
        <v>180</v>
      </c>
      <c r="B2062" s="2">
        <v>45536</v>
      </c>
      <c r="C2062" t="str" cm="1">
        <f t="array" ref="C2062">IFERROR(IF(SUMPRODUCT((measured[Site Name]=A2062)*(measured[Date]=B2062)*ISNUMBER(measured[Measured Value (kWh)]))=0,"",SUMIFS(measured[Measured Value (kWh)],measured[Site Name],A2062,measured[Date],B2062)),"")</f>
        <v/>
      </c>
      <c r="D2062" cm="1">
        <f t="array" ref="D2062">IFERROR(IF(SUMPRODUCT((expected_production[Site Name]=A2062)*(expected_production[Date]=B2062)*ISNUMBER(expected_production[Expected Production (kWh)]))=0,"",SUMIFS(expected_production[Expected Production (kWh)],expected_production[Site Name],A2062,expected_production[Date],B2062)),"")</f>
        <v>20545.2</v>
      </c>
      <c r="E2062" s="9" t="str">
        <f t="shared" si="66"/>
        <v/>
      </c>
      <c r="F2062" t="str">
        <f t="shared" si="67"/>
        <v/>
      </c>
    </row>
    <row r="2063" spans="1:6" ht="15" customHeight="1" x14ac:dyDescent="0.3">
      <c r="A2063" t="s">
        <v>180</v>
      </c>
      <c r="B2063" s="2">
        <v>45566</v>
      </c>
      <c r="C2063" t="str" cm="1">
        <f t="array" ref="C2063">IFERROR(IF(SUMPRODUCT((measured[Site Name]=A2063)*(measured[Date]=B2063)*ISNUMBER(measured[Measured Value (kWh)]))=0,"",SUMIFS(measured[Measured Value (kWh)],measured[Site Name],A2063,measured[Date],B2063)),"")</f>
        <v/>
      </c>
      <c r="D2063" cm="1">
        <f t="array" ref="D2063">IFERROR(IF(SUMPRODUCT((expected_production[Site Name]=A2063)*(expected_production[Date]=B2063)*ISNUMBER(expected_production[Expected Production (kWh)]))=0,"",SUMIFS(expected_production[Expected Production (kWh)],expected_production[Site Name],A2063,expected_production[Date],B2063)),"")</f>
        <v>23411.7</v>
      </c>
      <c r="E2063" s="9" t="str">
        <f t="shared" si="66"/>
        <v/>
      </c>
      <c r="F2063" t="str">
        <f t="shared" si="67"/>
        <v/>
      </c>
    </row>
    <row r="2064" spans="1:6" ht="15" customHeight="1" x14ac:dyDescent="0.3">
      <c r="A2064" t="s">
        <v>180</v>
      </c>
      <c r="B2064" s="2">
        <v>45597</v>
      </c>
      <c r="C2064" t="str" cm="1">
        <f t="array" ref="C2064">IFERROR(IF(SUMPRODUCT((measured[Site Name]=A2064)*(measured[Date]=B2064)*ISNUMBER(measured[Measured Value (kWh)]))=0,"",SUMIFS(measured[Measured Value (kWh)],measured[Site Name],A2064,measured[Date],B2064)),"")</f>
        <v/>
      </c>
      <c r="D2064" cm="1">
        <f t="array" ref="D2064">IFERROR(IF(SUMPRODUCT((expected_production[Site Name]=A2064)*(expected_production[Date]=B2064)*ISNUMBER(expected_production[Expected Production (kWh)]))=0,"",SUMIFS(expected_production[Expected Production (kWh)],expected_production[Site Name],A2064,expected_production[Date],B2064)),"")</f>
        <v>23583.599999999999</v>
      </c>
      <c r="E2064" s="9" t="str">
        <f t="shared" si="66"/>
        <v/>
      </c>
      <c r="F2064" t="str">
        <f t="shared" si="67"/>
        <v/>
      </c>
    </row>
    <row r="2065" spans="1:6" ht="15" customHeight="1" x14ac:dyDescent="0.3">
      <c r="A2065" t="s">
        <v>180</v>
      </c>
      <c r="B2065" s="2">
        <v>45627</v>
      </c>
      <c r="C2065" t="str" cm="1">
        <f t="array" ref="C2065">IFERROR(IF(SUMPRODUCT((measured[Site Name]=A2065)*(measured[Date]=B2065)*ISNUMBER(measured[Measured Value (kWh)]))=0,"",SUMIFS(measured[Measured Value (kWh)],measured[Site Name],A2065,measured[Date],B2065)),"")</f>
        <v/>
      </c>
      <c r="D2065" cm="1">
        <f t="array" ref="D2065">IFERROR(IF(SUMPRODUCT((expected_production[Site Name]=A2065)*(expected_production[Date]=B2065)*ISNUMBER(expected_production[Expected Production (kWh)]))=0,"",SUMIFS(expected_production[Expected Production (kWh)],expected_production[Site Name],A2065,expected_production[Date],B2065)),"")</f>
        <v>24027.3</v>
      </c>
      <c r="E2065" s="9" t="str">
        <f t="shared" si="66"/>
        <v/>
      </c>
      <c r="F2065" t="str">
        <f t="shared" si="67"/>
        <v/>
      </c>
    </row>
    <row r="2066" spans="1:6" ht="15" customHeight="1" x14ac:dyDescent="0.3">
      <c r="A2066" t="s">
        <v>180</v>
      </c>
      <c r="B2066" s="2">
        <v>45658</v>
      </c>
      <c r="C2066" cm="1">
        <f t="array" ref="C2066">IFERROR(IF(SUMPRODUCT((measured[Site Name]=A2066)*(measured[Date]=B2066)*ISNUMBER(measured[Measured Value (kWh)]))=0,"",SUMIFS(measured[Measured Value (kWh)],measured[Site Name],A2066,measured[Date],B2066)),"")</f>
        <v>10100</v>
      </c>
      <c r="D2066" cm="1">
        <f t="array" ref="D2066">IFERROR(IF(SUMPRODUCT((expected_production[Site Name]=A2066)*(expected_production[Date]=B2066)*ISNUMBER(expected_production[Expected Production (kWh)]))=0,"",SUMIFS(expected_production[Expected Production (kWh)],expected_production[Site Name],A2066,expected_production[Date],B2066)),"")</f>
        <v>23724</v>
      </c>
      <c r="E2066" s="9">
        <f t="shared" si="66"/>
        <v>0.4257292193559265</v>
      </c>
      <c r="F2066" t="str">
        <f t="shared" si="67"/>
        <v>Poor</v>
      </c>
    </row>
    <row r="2067" spans="1:6" ht="15" customHeight="1" x14ac:dyDescent="0.3">
      <c r="A2067" t="s">
        <v>180</v>
      </c>
      <c r="B2067" s="2">
        <v>45689</v>
      </c>
      <c r="C2067" cm="1">
        <f t="array" ref="C2067">IFERROR(IF(SUMPRODUCT((measured[Site Name]=A2067)*(measured[Date]=B2067)*ISNUMBER(measured[Measured Value (kWh)]))=0,"",SUMIFS(measured[Measured Value (kWh)],measured[Site Name],A2067,measured[Date],B2067)),"")</f>
        <v>12001</v>
      </c>
      <c r="D2067" cm="1">
        <f t="array" ref="D2067">IFERROR(IF(SUMPRODUCT((expected_production[Site Name]=A2067)*(expected_production[Date]=B2067)*ISNUMBER(expected_production[Expected Production (kWh)]))=0,"",SUMIFS(expected_production[Expected Production (kWh)],expected_production[Site Name],A2067,expected_production[Date],B2067)),"")</f>
        <v>20448</v>
      </c>
      <c r="E2067" s="9">
        <f t="shared" si="66"/>
        <v>0.58690336463223791</v>
      </c>
      <c r="F2067" t="str">
        <f t="shared" si="67"/>
        <v>Poor</v>
      </c>
    </row>
    <row r="2068" spans="1:6" ht="15" customHeight="1" x14ac:dyDescent="0.3">
      <c r="A2068" t="s">
        <v>180</v>
      </c>
      <c r="B2068" s="2">
        <v>45717</v>
      </c>
      <c r="C2068" cm="1">
        <f t="array" ref="C2068">IFERROR(IF(SUMPRODUCT((measured[Site Name]=A2068)*(measured[Date]=B2068)*ISNUMBER(measured[Measured Value (kWh)]))=0,"",SUMIFS(measured[Measured Value (kWh)],measured[Site Name],A2068,measured[Date],B2068)),"")</f>
        <v>13213</v>
      </c>
      <c r="D2068" cm="1">
        <f t="array" ref="D2068">IFERROR(IF(SUMPRODUCT((expected_production[Site Name]=A2068)*(expected_production[Date]=B2068)*ISNUMBER(expected_production[Expected Production (kWh)]))=0,"",SUMIFS(expected_production[Expected Production (kWh)],expected_production[Site Name],A2068,expected_production[Date],B2068)),"")</f>
        <v>19986.3</v>
      </c>
      <c r="E2068" s="9">
        <f t="shared" si="66"/>
        <v>0.66110285545598735</v>
      </c>
      <c r="F2068" t="str">
        <f t="shared" si="67"/>
        <v>Poor</v>
      </c>
    </row>
    <row r="2069" spans="1:6" ht="15" customHeight="1" x14ac:dyDescent="0.3">
      <c r="A2069" t="s">
        <v>180</v>
      </c>
      <c r="B2069" s="2">
        <v>45748</v>
      </c>
      <c r="C2069" cm="1">
        <f t="array" ref="C2069">IFERROR(IF(SUMPRODUCT((measured[Site Name]=A2069)*(measured[Date]=B2069)*ISNUMBER(measured[Measured Value (kWh)]))=0,"",SUMIFS(measured[Measured Value (kWh)],measured[Site Name],A2069,measured[Date],B2069)),"")</f>
        <v>9636</v>
      </c>
      <c r="D2069" cm="1">
        <f t="array" ref="D2069">IFERROR(IF(SUMPRODUCT((expected_production[Site Name]=A2069)*(expected_production[Date]=B2069)*ISNUMBER(expected_production[Expected Production (kWh)]))=0,"",SUMIFS(expected_production[Expected Production (kWh)],expected_production[Site Name],A2069,expected_production[Date],B2069)),"")</f>
        <v>17181.900000000001</v>
      </c>
      <c r="E2069" s="9">
        <f t="shared" si="66"/>
        <v>0.56082272624098606</v>
      </c>
      <c r="F2069" t="str">
        <f t="shared" si="67"/>
        <v>Poor</v>
      </c>
    </row>
    <row r="2070" spans="1:6" ht="15" customHeight="1" x14ac:dyDescent="0.3">
      <c r="A2070" t="s">
        <v>180</v>
      </c>
      <c r="B2070" s="2">
        <v>45778</v>
      </c>
      <c r="C2070" cm="1">
        <f t="array" ref="C2070">IFERROR(IF(SUMPRODUCT((measured[Site Name]=A2070)*(measured[Date]=B2070)*ISNUMBER(measured[Measured Value (kWh)]))=0,"",SUMIFS(measured[Measured Value (kWh)],measured[Site Name],A2070,measured[Date],B2070)),"")</f>
        <v>10261</v>
      </c>
      <c r="D2070" cm="1">
        <f t="array" ref="D2070">IFERROR(IF(SUMPRODUCT((expected_production[Site Name]=A2070)*(expected_production[Date]=B2070)*ISNUMBER(expected_production[Expected Production (kWh)]))=0,"",SUMIFS(expected_production[Expected Production (kWh)],expected_production[Site Name],A2070,expected_production[Date],B2070)),"")</f>
        <v>15369.3</v>
      </c>
      <c r="E2070" s="9">
        <f t="shared" si="66"/>
        <v>0.66762962529197822</v>
      </c>
      <c r="F2070" t="str">
        <f t="shared" si="67"/>
        <v>Poor</v>
      </c>
    </row>
    <row r="2071" spans="1:6" ht="15" customHeight="1" x14ac:dyDescent="0.3">
      <c r="A2071" t="s">
        <v>180</v>
      </c>
      <c r="B2071" s="2">
        <v>45809</v>
      </c>
      <c r="C2071" cm="1">
        <f t="array" ref="C2071">IFERROR(IF(SUMPRODUCT((measured[Site Name]=A2071)*(measured[Date]=B2071)*ISNUMBER(measured[Measured Value (kWh)]))=0,"",SUMIFS(measured[Measured Value (kWh)],measured[Site Name],A2071,measured[Date],B2071)),"")</f>
        <v>11348.4</v>
      </c>
      <c r="D2071" cm="1">
        <f t="array" ref="D2071">IFERROR(IF(SUMPRODUCT((expected_production[Site Name]=A2071)*(expected_production[Date]=B2071)*ISNUMBER(expected_production[Expected Production (kWh)]))=0,"",SUMIFS(expected_production[Expected Production (kWh)],expected_production[Site Name],A2071,expected_production[Date],B2071)),"")</f>
        <v>13381.2</v>
      </c>
      <c r="E2071" s="9">
        <f t="shared" si="66"/>
        <v>0.84808537350910229</v>
      </c>
      <c r="F2071" t="str">
        <f t="shared" si="67"/>
        <v>Moderate</v>
      </c>
    </row>
    <row r="2072" spans="1:6" ht="15" customHeight="1" x14ac:dyDescent="0.3">
      <c r="A2072" t="s">
        <v>180</v>
      </c>
      <c r="B2072" s="2">
        <v>45839</v>
      </c>
      <c r="C2072" cm="1">
        <f t="array" ref="C2072">IFERROR(IF(SUMPRODUCT((measured[Site Name]=A2072)*(measured[Date]=B2072)*ISNUMBER(measured[Measured Value (kWh)]))=0,"",SUMIFS(measured[Measured Value (kWh)],measured[Site Name],A2072,measured[Date],B2072)),"")</f>
        <v>14705</v>
      </c>
      <c r="D2072" cm="1">
        <f t="array" ref="D2072">IFERROR(IF(SUMPRODUCT((expected_production[Site Name]=A2072)*(expected_production[Date]=B2072)*ISNUMBER(expected_production[Expected Production (kWh)]))=0,"",SUMIFS(expected_production[Expected Production (kWh)],expected_production[Site Name],A2072,expected_production[Date],B2072)),"")</f>
        <v>15023.7</v>
      </c>
      <c r="E2072" s="9">
        <f t="shared" si="66"/>
        <v>0.9787868501101592</v>
      </c>
      <c r="F2072" t="str">
        <f t="shared" si="67"/>
        <v>Expected</v>
      </c>
    </row>
    <row r="2073" spans="1:6" ht="15" customHeight="1" x14ac:dyDescent="0.3">
      <c r="A2073" t="s">
        <v>180</v>
      </c>
      <c r="B2073" s="2">
        <v>45870</v>
      </c>
      <c r="C2073" cm="1">
        <f t="array" ref="C2073">IFERROR(IF(SUMPRODUCT((measured[Site Name]=A2073)*(measured[Date]=B2073)*ISNUMBER(measured[Measured Value (kWh)]))=0,"",SUMIFS(measured[Measured Value (kWh)],measured[Site Name],A2073,measured[Date],B2073)),"")</f>
        <v>16958</v>
      </c>
      <c r="D2073" cm="1">
        <f t="array" ref="D2073">IFERROR(IF(SUMPRODUCT((expected_production[Site Name]=A2073)*(expected_production[Date]=B2073)*ISNUMBER(expected_production[Expected Production (kWh)]))=0,"",SUMIFS(expected_production[Expected Production (kWh)],expected_production[Site Name],A2073,expected_production[Date],B2073)),"")</f>
        <v>18071.099999999999</v>
      </c>
      <c r="E2073" s="9">
        <f t="shared" si="66"/>
        <v>0.93840441367708671</v>
      </c>
      <c r="F2073" t="str">
        <f t="shared" si="67"/>
        <v>Expected</v>
      </c>
    </row>
    <row r="2074" spans="1:6" ht="15" customHeight="1" x14ac:dyDescent="0.3">
      <c r="A2074" t="s">
        <v>180</v>
      </c>
      <c r="B2074" s="2">
        <v>45901</v>
      </c>
      <c r="C2074" cm="1">
        <f t="array" ref="C2074">IFERROR(IF(SUMPRODUCT((measured[Site Name]=A2074)*(measured[Date]=B2074)*ISNUMBER(measured[Measured Value (kWh)]))=0,"",SUMIFS(measured[Measured Value (kWh)],measured[Site Name],A2074,measured[Date],B2074)),"")</f>
        <v>17766</v>
      </c>
      <c r="D2074" cm="1">
        <f t="array" ref="D2074">IFERROR(IF(SUMPRODUCT((expected_production[Site Name]=A2074)*(expected_production[Date]=B2074)*ISNUMBER(expected_production[Expected Production (kWh)]))=0,"",SUMIFS(expected_production[Expected Production (kWh)],expected_production[Site Name],A2074,expected_production[Date],B2074)),"")</f>
        <v>20545.2</v>
      </c>
      <c r="E2074" s="9">
        <f t="shared" si="66"/>
        <v>0.86472752759768701</v>
      </c>
      <c r="F2074" t="str">
        <f t="shared" si="67"/>
        <v>Moderate</v>
      </c>
    </row>
    <row r="2075" spans="1:6" ht="15" customHeight="1" x14ac:dyDescent="0.3">
      <c r="A2075" t="s">
        <v>180</v>
      </c>
      <c r="B2075" s="2">
        <v>45931</v>
      </c>
      <c r="C2075" cm="1">
        <f t="array" ref="C2075">IFERROR(IF(SUMPRODUCT((measured[Site Name]=A2075)*(measured[Date]=B2075)*ISNUMBER(measured[Measured Value (kWh)]))=0,"",SUMIFS(measured[Measured Value (kWh)],measured[Site Name],A2075,measured[Date],B2075)),"")</f>
        <v>22849</v>
      </c>
      <c r="D2075" cm="1">
        <f t="array" ref="D2075">IFERROR(IF(SUMPRODUCT((expected_production[Site Name]=A2075)*(expected_production[Date]=B2075)*ISNUMBER(expected_production[Expected Production (kWh)]))=0,"",SUMIFS(expected_production[Expected Production (kWh)],expected_production[Site Name],A2075,expected_production[Date],B2075)),"")</f>
        <v>23411.7</v>
      </c>
      <c r="E2075" s="9">
        <f t="shared" si="66"/>
        <v>0.97596500894851712</v>
      </c>
      <c r="F2075" t="str">
        <f t="shared" si="67"/>
        <v>Expected</v>
      </c>
    </row>
    <row r="2076" spans="1:6" ht="15" customHeight="1" x14ac:dyDescent="0.3">
      <c r="A2076" t="s">
        <v>180</v>
      </c>
      <c r="B2076" s="2">
        <v>45962</v>
      </c>
      <c r="C2076" cm="1">
        <f t="array" ref="C2076">IFERROR(IF(SUMPRODUCT((measured[Site Name]=A2076)*(measured[Date]=B2076)*ISNUMBER(measured[Measured Value (kWh)]))=0,"",SUMIFS(measured[Measured Value (kWh)],measured[Site Name],A2076,measured[Date],B2076)),"")</f>
        <v>20014</v>
      </c>
      <c r="D2076" cm="1">
        <f t="array" ref="D2076">IFERROR(IF(SUMPRODUCT((expected_production[Site Name]=A2076)*(expected_production[Date]=B2076)*ISNUMBER(expected_production[Expected Production (kWh)]))=0,"",SUMIFS(expected_production[Expected Production (kWh)],expected_production[Site Name],A2076,expected_production[Date],B2076)),"")</f>
        <v>23583.599999999999</v>
      </c>
      <c r="E2076" s="9">
        <f t="shared" si="66"/>
        <v>0.84864058074255</v>
      </c>
      <c r="F2076" t="str">
        <f t="shared" si="67"/>
        <v>Moderate</v>
      </c>
    </row>
    <row r="2077" spans="1:6" ht="15" customHeight="1" x14ac:dyDescent="0.3">
      <c r="A2077" t="s">
        <v>180</v>
      </c>
      <c r="B2077" s="2">
        <v>45992</v>
      </c>
      <c r="C2077" cm="1">
        <f t="array" ref="C2077">IFERROR(IF(SUMPRODUCT((measured[Site Name]=A2077)*(measured[Date]=B2077)*ISNUMBER(measured[Measured Value (kWh)]))=0,"",SUMIFS(measured[Measured Value (kWh)],measured[Site Name],A2077,measured[Date],B2077)),"")</f>
        <v>21334.1162</v>
      </c>
      <c r="D2077" cm="1">
        <f t="array" ref="D2077">IFERROR(IF(SUMPRODUCT((expected_production[Site Name]=A2077)*(expected_production[Date]=B2077)*ISNUMBER(expected_production[Expected Production (kWh)]))=0,"",SUMIFS(expected_production[Expected Production (kWh)],expected_production[Site Name],A2077,expected_production[Date],B2077)),"")</f>
        <v>24027.3</v>
      </c>
      <c r="E2077" s="9">
        <f t="shared" si="66"/>
        <v>0.88791150899185511</v>
      </c>
      <c r="F2077" t="str">
        <f t="shared" si="67"/>
        <v>Moderate</v>
      </c>
    </row>
    <row r="2078" spans="1:6" ht="15" customHeight="1" x14ac:dyDescent="0.3">
      <c r="A2078" t="s">
        <v>180</v>
      </c>
      <c r="B2078" s="2">
        <v>46023</v>
      </c>
      <c r="C2078" cm="1">
        <f t="array" ref="C2078">IFERROR(IF(SUMPRODUCT((measured[Site Name]=A2078)*(measured[Date]=B2078)*ISNUMBER(measured[Measured Value (kWh)]))=0,"",SUMIFS(measured[Measured Value (kWh)],measured[Site Name],A2078,measured[Date],B2078)),"")</f>
        <v>23434</v>
      </c>
      <c r="D2078" cm="1">
        <f t="array" ref="D2078">IFERROR(IF(SUMPRODUCT((expected_production[Site Name]=A2078)*(expected_production[Date]=B2078)*ISNUMBER(expected_production[Expected Production (kWh)]))=0,"",SUMIFS(expected_production[Expected Production (kWh)],expected_production[Site Name],A2078,expected_production[Date],B2078)),"")</f>
        <v>23724</v>
      </c>
      <c r="E2078" s="9">
        <f t="shared" si="66"/>
        <v>0.98777609172146352</v>
      </c>
      <c r="F2078" t="str">
        <f t="shared" si="67"/>
        <v>Expected</v>
      </c>
    </row>
    <row r="2079" spans="1:6" ht="15" customHeight="1" x14ac:dyDescent="0.3">
      <c r="A2079" t="s">
        <v>180</v>
      </c>
      <c r="B2079" s="2">
        <v>46054</v>
      </c>
      <c r="C2079" cm="1">
        <f t="array" ref="C2079">IFERROR(IF(SUMPRODUCT((measured[Site Name]=A2079)*(measured[Date]=B2079)*ISNUMBER(measured[Measured Value (kWh)]))=0,"",SUMIFS(measured[Measured Value (kWh)],measured[Site Name],A2079,measured[Date],B2079)),"")</f>
        <v>21742.196199999998</v>
      </c>
      <c r="D2079" cm="1">
        <f t="array" ref="D2079">IFERROR(IF(SUMPRODUCT((expected_production[Site Name]=A2079)*(expected_production[Date]=B2079)*ISNUMBER(expected_production[Expected Production (kWh)]))=0,"",SUMIFS(expected_production[Expected Production (kWh)],expected_production[Site Name],A2079,expected_production[Date],B2079)),"")</f>
        <v>20448</v>
      </c>
      <c r="E2079" s="9">
        <f t="shared" si="66"/>
        <v>1.0632920676838811</v>
      </c>
      <c r="F2079" t="str">
        <f t="shared" si="67"/>
        <v>Expected</v>
      </c>
    </row>
    <row r="2080" spans="1:6" ht="15" customHeight="1" x14ac:dyDescent="0.3">
      <c r="A2080" t="s">
        <v>180</v>
      </c>
      <c r="B2080" s="2">
        <v>46082</v>
      </c>
      <c r="C2080" cm="1">
        <f t="array" ref="C2080">IFERROR(IF(SUMPRODUCT((measured[Site Name]=A2080)*(measured[Date]=B2080)*ISNUMBER(measured[Measured Value (kWh)]))=0,"",SUMIFS(measured[Measured Value (kWh)],measured[Site Name],A2080,measured[Date],B2080)),"")</f>
        <v>18523</v>
      </c>
      <c r="D2080" cm="1">
        <f t="array" ref="D2080">IFERROR(IF(SUMPRODUCT((expected_production[Site Name]=A2080)*(expected_production[Date]=B2080)*ISNUMBER(expected_production[Expected Production (kWh)]))=0,"",SUMIFS(expected_production[Expected Production (kWh)],expected_production[Site Name],A2080,expected_production[Date],B2080)),"")</f>
        <v>19986.3</v>
      </c>
      <c r="E2080" s="9">
        <f t="shared" si="66"/>
        <v>0.92678484762062019</v>
      </c>
      <c r="F2080" t="str">
        <f t="shared" si="67"/>
        <v>Expected</v>
      </c>
    </row>
    <row r="2081" spans="1:7" ht="15" customHeight="1" x14ac:dyDescent="0.3">
      <c r="A2081" t="s">
        <v>180</v>
      </c>
      <c r="B2081" s="2">
        <v>46113</v>
      </c>
      <c r="C2081" cm="1">
        <f t="array" ref="C2081">IFERROR(IF(SUMPRODUCT((measured[Site Name]=A2081)*(measured[Date]=B2081)*ISNUMBER(measured[Measured Value (kWh)]))=0,"",SUMIFS(measured[Measured Value (kWh)],measured[Site Name],A2081,measured[Date],B2081)),"")</f>
        <v>15379.43</v>
      </c>
      <c r="D2081" cm="1">
        <f t="array" ref="D2081">IFERROR(IF(SUMPRODUCT((expected_production[Site Name]=A2081)*(expected_production[Date]=B2081)*ISNUMBER(expected_production[Expected Production (kWh)]))=0,"",SUMIFS(expected_production[Expected Production (kWh)],expected_production[Site Name],A2081,expected_production[Date],B2081)),"")</f>
        <v>17181.900000000001</v>
      </c>
      <c r="E2081" s="9">
        <f t="shared" si="66"/>
        <v>0.89509483817272817</v>
      </c>
      <c r="F2081" t="str">
        <f t="shared" si="67"/>
        <v>Moderate</v>
      </c>
    </row>
    <row r="2082" spans="1:7" ht="15" customHeight="1" x14ac:dyDescent="0.3">
      <c r="A2082" t="s">
        <v>180</v>
      </c>
      <c r="B2082" s="2">
        <v>46143</v>
      </c>
      <c r="C2082" cm="1">
        <f t="array" ref="C2082">IFERROR(IF(SUMPRODUCT((measured[Site Name]=A2082)*(measured[Date]=B2082)*ISNUMBER(measured[Measured Value (kWh)]))=0,"",SUMIFS(measured[Measured Value (kWh)],measured[Site Name],A2082,measured[Date],B2082)),"")</f>
        <v>15576.52</v>
      </c>
      <c r="D2082" cm="1">
        <f t="array" ref="D2082">IFERROR(IF(SUMPRODUCT((expected_production[Site Name]=A2082)*(expected_production[Date]=B2082)*ISNUMBER(expected_production[Expected Production (kWh)]))=0,"",SUMIFS(expected_production[Expected Production (kWh)],expected_production[Site Name],A2082,expected_production[Date],B2082)),"")</f>
        <v>15369.3</v>
      </c>
      <c r="E2082" s="9">
        <f t="shared" si="66"/>
        <v>1.0134827220498006</v>
      </c>
      <c r="F2082" t="str">
        <f t="shared" si="67"/>
        <v>Expected</v>
      </c>
    </row>
    <row r="2083" spans="1:7" ht="15" customHeight="1" x14ac:dyDescent="0.3">
      <c r="A2083" t="s">
        <v>180</v>
      </c>
      <c r="B2083" s="2">
        <v>46174</v>
      </c>
      <c r="C2083" cm="1">
        <f t="array" ref="C2083">IFERROR(IF(SUMPRODUCT((measured[Site Name]=A2083)*(measured[Date]=B2083)*ISNUMBER(measured[Measured Value (kWh)]))=0,"",SUMIFS(measured[Measured Value (kWh)],measured[Site Name],A2083,measured[Date],B2083)),"")</f>
        <v>12252.53</v>
      </c>
      <c r="D2083" cm="1">
        <f t="array" ref="D2083">IFERROR(IF(SUMPRODUCT((expected_production[Site Name]=A2083)*(expected_production[Date]=B2083)*ISNUMBER(expected_production[Expected Production (kWh)]))=0,"",SUMIFS(expected_production[Expected Production (kWh)],expected_production[Site Name],A2083,expected_production[Date],B2083)),"")</f>
        <v>13381.2</v>
      </c>
      <c r="E2083" s="9">
        <f t="shared" si="66"/>
        <v>0.91565255731922401</v>
      </c>
      <c r="F2083" t="str">
        <f t="shared" si="67"/>
        <v>Expected</v>
      </c>
    </row>
    <row r="2084" spans="1:7" ht="15" customHeight="1" x14ac:dyDescent="0.3">
      <c r="A2084" t="s">
        <v>180</v>
      </c>
      <c r="B2084" s="2">
        <v>46204</v>
      </c>
      <c r="C2084" cm="1">
        <f t="array" ref="C2084">IFERROR(IF(SUMPRODUCT((measured[Site Name]=A2084)*(measured[Date]=B2084)*ISNUMBER(measured[Measured Value (kWh)]))=0,"",SUMIFS(measured[Measured Value (kWh)],measured[Site Name],A2084,measured[Date],B2084)),"")</f>
        <v>13658</v>
      </c>
      <c r="D2084" cm="1">
        <f t="array" ref="D2084">IFERROR(IF(SUMPRODUCT((expected_production[Site Name]=A2084)*(expected_production[Date]=B2084)*ISNUMBER(expected_production[Expected Production (kWh)]))=0,"",SUMIFS(expected_production[Expected Production (kWh)],expected_production[Site Name],A2084,expected_production[Date],B2084)),"")</f>
        <v>15023.7</v>
      </c>
      <c r="E2084" s="9">
        <f t="shared" si="66"/>
        <v>0.90909696013631791</v>
      </c>
      <c r="F2084" t="str">
        <f t="shared" si="67"/>
        <v>Expected</v>
      </c>
      <c r="G2084" t="s">
        <v>874</v>
      </c>
    </row>
    <row r="2085" spans="1:7" ht="15" customHeight="1" x14ac:dyDescent="0.3">
      <c r="A2085" t="s">
        <v>180</v>
      </c>
      <c r="B2085" s="2">
        <v>46235</v>
      </c>
      <c r="C2085" t="str" cm="1">
        <f t="array" ref="C2085">IFERROR(IF(SUMPRODUCT((measured[Site Name]=A2085)*(measured[Date]=B2085)*ISNUMBER(measured[Measured Value (kWh)]))=0,"",SUMIFS(measured[Measured Value (kWh)],measured[Site Name],A2085,measured[Date],B2085)),"")</f>
        <v/>
      </c>
      <c r="D2085" cm="1">
        <f t="array" ref="D2085">IFERROR(IF(SUMPRODUCT((expected_production[Site Name]=A2085)*(expected_production[Date]=B2085)*ISNUMBER(expected_production[Expected Production (kWh)]))=0,"",SUMIFS(expected_production[Expected Production (kWh)],expected_production[Site Name],A2085,expected_production[Date],B2085)),"")</f>
        <v>18071.099999999999</v>
      </c>
      <c r="E2085" s="9" t="str">
        <f t="shared" si="66"/>
        <v/>
      </c>
      <c r="F2085" t="str">
        <f t="shared" si="67"/>
        <v/>
      </c>
    </row>
    <row r="2086" spans="1:7" ht="15" customHeight="1" x14ac:dyDescent="0.3">
      <c r="A2086" t="s">
        <v>180</v>
      </c>
      <c r="B2086" s="2">
        <v>46266</v>
      </c>
      <c r="C2086" t="str" cm="1">
        <f t="array" ref="C2086">IFERROR(IF(SUMPRODUCT((measured[Site Name]=A2086)*(measured[Date]=B2086)*ISNUMBER(measured[Measured Value (kWh)]))=0,"",SUMIFS(measured[Measured Value (kWh)],measured[Site Name],A2086,measured[Date],B2086)),"")</f>
        <v/>
      </c>
      <c r="D2086" cm="1">
        <f t="array" ref="D2086">IFERROR(IF(SUMPRODUCT((expected_production[Site Name]=A2086)*(expected_production[Date]=B2086)*ISNUMBER(expected_production[Expected Production (kWh)]))=0,"",SUMIFS(expected_production[Expected Production (kWh)],expected_production[Site Name],A2086,expected_production[Date],B2086)),"")</f>
        <v>20545.2</v>
      </c>
      <c r="E2086" s="9" t="str">
        <f t="shared" si="66"/>
        <v/>
      </c>
      <c r="F2086" t="str">
        <f t="shared" si="67"/>
        <v/>
      </c>
    </row>
    <row r="2087" spans="1:7" ht="15" customHeight="1" x14ac:dyDescent="0.3">
      <c r="A2087" t="s">
        <v>180</v>
      </c>
      <c r="B2087" s="2">
        <v>46296</v>
      </c>
      <c r="C2087" t="str" cm="1">
        <f t="array" ref="C2087">IFERROR(IF(SUMPRODUCT((measured[Site Name]=A2087)*(measured[Date]=B2087)*ISNUMBER(measured[Measured Value (kWh)]))=0,"",SUMIFS(measured[Measured Value (kWh)],measured[Site Name],A2087,measured[Date],B2087)),"")</f>
        <v/>
      </c>
      <c r="D2087" cm="1">
        <f t="array" ref="D2087">IFERROR(IF(SUMPRODUCT((expected_production[Site Name]=A2087)*(expected_production[Date]=B2087)*ISNUMBER(expected_production[Expected Production (kWh)]))=0,"",SUMIFS(expected_production[Expected Production (kWh)],expected_production[Site Name],A2087,expected_production[Date],B2087)),"")</f>
        <v>23411.7</v>
      </c>
      <c r="E2087" s="9" t="str">
        <f t="shared" si="66"/>
        <v/>
      </c>
      <c r="F2087" t="str">
        <f t="shared" si="67"/>
        <v/>
      </c>
    </row>
    <row r="2088" spans="1:7" ht="15" customHeight="1" x14ac:dyDescent="0.3">
      <c r="A2088" t="s">
        <v>180</v>
      </c>
      <c r="B2088" s="2">
        <v>46327</v>
      </c>
      <c r="C2088" t="str" cm="1">
        <f t="array" ref="C2088">IFERROR(IF(SUMPRODUCT((measured[Site Name]=A2088)*(measured[Date]=B2088)*ISNUMBER(measured[Measured Value (kWh)]))=0,"",SUMIFS(measured[Measured Value (kWh)],measured[Site Name],A2088,measured[Date],B2088)),"")</f>
        <v/>
      </c>
      <c r="D2088" cm="1">
        <f t="array" ref="D2088">IFERROR(IF(SUMPRODUCT((expected_production[Site Name]=A2088)*(expected_production[Date]=B2088)*ISNUMBER(expected_production[Expected Production (kWh)]))=0,"",SUMIFS(expected_production[Expected Production (kWh)],expected_production[Site Name],A2088,expected_production[Date],B2088)),"")</f>
        <v>23583.599999999999</v>
      </c>
      <c r="E2088" s="9" t="str">
        <f t="shared" si="66"/>
        <v/>
      </c>
      <c r="F2088" t="str">
        <f t="shared" si="67"/>
        <v/>
      </c>
    </row>
    <row r="2089" spans="1:7" ht="15" customHeight="1" x14ac:dyDescent="0.3">
      <c r="A2089" t="s">
        <v>180</v>
      </c>
      <c r="B2089" s="2">
        <v>46357</v>
      </c>
      <c r="C2089" t="str" cm="1">
        <f t="array" ref="C2089">IFERROR(IF(SUMPRODUCT((measured[Site Name]=A2089)*(measured[Date]=B2089)*ISNUMBER(measured[Measured Value (kWh)]))=0,"",SUMIFS(measured[Measured Value (kWh)],measured[Site Name],A2089,measured[Date],B2089)),"")</f>
        <v/>
      </c>
      <c r="D2089" cm="1">
        <f t="array" ref="D2089">IFERROR(IF(SUMPRODUCT((expected_production[Site Name]=A2089)*(expected_production[Date]=B2089)*ISNUMBER(expected_production[Expected Production (kWh)]))=0,"",SUMIFS(expected_production[Expected Production (kWh)],expected_production[Site Name],A2089,expected_production[Date],B2089)),"")</f>
        <v>24027.3</v>
      </c>
      <c r="E2089" s="9" t="str">
        <f t="shared" si="66"/>
        <v/>
      </c>
      <c r="F2089" t="str">
        <f t="shared" si="67"/>
        <v/>
      </c>
    </row>
    <row r="2090" spans="1:7" ht="15" customHeight="1" x14ac:dyDescent="0.3">
      <c r="A2090" t="s">
        <v>241</v>
      </c>
      <c r="B2090" s="2">
        <v>45292</v>
      </c>
      <c r="C2090" t="str" cm="1">
        <f t="array" ref="C2090">IFERROR(IF(SUMPRODUCT((measured[Site Name]=A2090)*(measured[Date]=B2090)*ISNUMBER(measured[Measured Value (kWh)]))=0,"",SUMIFS(measured[Measured Value (kWh)],measured[Site Name],A2090,measured[Date],B2090)),"")</f>
        <v/>
      </c>
      <c r="D2090" cm="1">
        <f t="array" ref="D2090">IFERROR(IF(SUMPRODUCT((expected_production[Site Name]=A2090)*(expected_production[Date]=B2090)*ISNUMBER(expected_production[Expected Production (kWh)]))=0,"",SUMIFS(expected_production[Expected Production (kWh)],expected_production[Site Name],A2090,expected_production[Date],B2090)),"")</f>
        <v>28380.6</v>
      </c>
      <c r="E2090" s="9" t="str">
        <f t="shared" si="66"/>
        <v/>
      </c>
      <c r="F2090" t="str">
        <f t="shared" si="67"/>
        <v/>
      </c>
    </row>
    <row r="2091" spans="1:7" ht="15" customHeight="1" x14ac:dyDescent="0.3">
      <c r="A2091" t="s">
        <v>241</v>
      </c>
      <c r="B2091" s="2">
        <v>45323</v>
      </c>
      <c r="C2091" t="str" cm="1">
        <f t="array" ref="C2091">IFERROR(IF(SUMPRODUCT((measured[Site Name]=A2091)*(measured[Date]=B2091)*ISNUMBER(measured[Measured Value (kWh)]))=0,"",SUMIFS(measured[Measured Value (kWh)],measured[Site Name],A2091,measured[Date],B2091)),"")</f>
        <v/>
      </c>
      <c r="D2091" cm="1">
        <f t="array" ref="D2091">IFERROR(IF(SUMPRODUCT((expected_production[Site Name]=A2091)*(expected_production[Date]=B2091)*ISNUMBER(expected_production[Expected Production (kWh)]))=0,"",SUMIFS(expected_production[Expected Production (kWh)],expected_production[Site Name],A2091,expected_production[Date],B2091)),"")</f>
        <v>24379.200000000001</v>
      </c>
      <c r="E2091" s="9" t="str">
        <f t="shared" si="66"/>
        <v/>
      </c>
      <c r="F2091" t="str">
        <f t="shared" si="67"/>
        <v/>
      </c>
    </row>
    <row r="2092" spans="1:7" ht="15" customHeight="1" x14ac:dyDescent="0.3">
      <c r="A2092" t="s">
        <v>241</v>
      </c>
      <c r="B2092" s="2">
        <v>45352</v>
      </c>
      <c r="C2092" t="str" cm="1">
        <f t="array" ref="C2092">IFERROR(IF(SUMPRODUCT((measured[Site Name]=A2092)*(measured[Date]=B2092)*ISNUMBER(measured[Measured Value (kWh)]))=0,"",SUMIFS(measured[Measured Value (kWh)],measured[Site Name],A2092,measured[Date],B2092)),"")</f>
        <v/>
      </c>
      <c r="D2092" cm="1">
        <f t="array" ref="D2092">IFERROR(IF(SUMPRODUCT((expected_production[Site Name]=A2092)*(expected_production[Date]=B2092)*ISNUMBER(expected_production[Expected Production (kWh)]))=0,"",SUMIFS(expected_production[Expected Production (kWh)],expected_production[Site Name],A2092,expected_production[Date],B2092)),"")</f>
        <v>23351.4</v>
      </c>
      <c r="E2092" s="9" t="str">
        <f t="shared" si="66"/>
        <v/>
      </c>
      <c r="F2092" t="str">
        <f t="shared" si="67"/>
        <v/>
      </c>
    </row>
    <row r="2093" spans="1:7" ht="15" customHeight="1" x14ac:dyDescent="0.3">
      <c r="A2093" t="s">
        <v>241</v>
      </c>
      <c r="B2093" s="2">
        <v>45383</v>
      </c>
      <c r="C2093" t="str" cm="1">
        <f t="array" ref="C2093">IFERROR(IF(SUMPRODUCT((measured[Site Name]=A2093)*(measured[Date]=B2093)*ISNUMBER(measured[Measured Value (kWh)]))=0,"",SUMIFS(measured[Measured Value (kWh)],measured[Site Name],A2093,measured[Date],B2093)),"")</f>
        <v/>
      </c>
      <c r="D2093" cm="1">
        <f t="array" ref="D2093">IFERROR(IF(SUMPRODUCT((expected_production[Site Name]=A2093)*(expected_production[Date]=B2093)*ISNUMBER(expected_production[Expected Production (kWh)]))=0,"",SUMIFS(expected_production[Expected Production (kWh)],expected_production[Site Name],A2093,expected_production[Date],B2093)),"")</f>
        <v>19887.3</v>
      </c>
      <c r="E2093" s="9" t="str">
        <f t="shared" si="66"/>
        <v/>
      </c>
      <c r="F2093" t="str">
        <f t="shared" si="67"/>
        <v/>
      </c>
    </row>
    <row r="2094" spans="1:7" ht="15" customHeight="1" x14ac:dyDescent="0.3">
      <c r="A2094" t="s">
        <v>241</v>
      </c>
      <c r="B2094" s="2">
        <v>45413</v>
      </c>
      <c r="C2094" t="str" cm="1">
        <f t="array" ref="C2094">IFERROR(IF(SUMPRODUCT((measured[Site Name]=A2094)*(measured[Date]=B2094)*ISNUMBER(measured[Measured Value (kWh)]))=0,"",SUMIFS(measured[Measured Value (kWh)],measured[Site Name],A2094,measured[Date],B2094)),"")</f>
        <v/>
      </c>
      <c r="D2094" cm="1">
        <f t="array" ref="D2094">IFERROR(IF(SUMPRODUCT((expected_production[Site Name]=A2094)*(expected_production[Date]=B2094)*ISNUMBER(expected_production[Expected Production (kWh)]))=0,"",SUMIFS(expected_production[Expected Production (kWh)],expected_production[Site Name],A2094,expected_production[Date],B2094)),"")</f>
        <v>17745.3</v>
      </c>
      <c r="E2094" s="9" t="str">
        <f t="shared" si="66"/>
        <v/>
      </c>
      <c r="F2094" t="str">
        <f t="shared" si="67"/>
        <v/>
      </c>
    </row>
    <row r="2095" spans="1:7" ht="15" customHeight="1" x14ac:dyDescent="0.3">
      <c r="A2095" t="s">
        <v>241</v>
      </c>
      <c r="B2095" s="2">
        <v>45444</v>
      </c>
      <c r="C2095" t="str" cm="1">
        <f t="array" ref="C2095">IFERROR(IF(SUMPRODUCT((measured[Site Name]=A2095)*(measured[Date]=B2095)*ISNUMBER(measured[Measured Value (kWh)]))=0,"",SUMIFS(measured[Measured Value (kWh)],measured[Site Name],A2095,measured[Date],B2095)),"")</f>
        <v/>
      </c>
      <c r="D2095" cm="1">
        <f t="array" ref="D2095">IFERROR(IF(SUMPRODUCT((expected_production[Site Name]=A2095)*(expected_production[Date]=B2095)*ISNUMBER(expected_production[Expected Production (kWh)]))=0,"",SUMIFS(expected_production[Expected Production (kWh)],expected_production[Site Name],A2095,expected_production[Date],B2095)),"")</f>
        <v>15502.5</v>
      </c>
      <c r="E2095" s="9" t="str">
        <f t="shared" si="66"/>
        <v/>
      </c>
      <c r="F2095" t="str">
        <f t="shared" si="67"/>
        <v/>
      </c>
    </row>
    <row r="2096" spans="1:7" ht="15" customHeight="1" x14ac:dyDescent="0.3">
      <c r="A2096" t="s">
        <v>241</v>
      </c>
      <c r="B2096" s="2">
        <v>45474</v>
      </c>
      <c r="C2096" t="str" cm="1">
        <f t="array" ref="C2096">IFERROR(IF(SUMPRODUCT((measured[Site Name]=A2096)*(measured[Date]=B2096)*ISNUMBER(measured[Measured Value (kWh)]))=0,"",SUMIFS(measured[Measured Value (kWh)],measured[Site Name],A2096,measured[Date],B2096)),"")</f>
        <v/>
      </c>
      <c r="D2096" cm="1">
        <f t="array" ref="D2096">IFERROR(IF(SUMPRODUCT((expected_production[Site Name]=A2096)*(expected_production[Date]=B2096)*ISNUMBER(expected_production[Expected Production (kWh)]))=0,"",SUMIFS(expected_production[Expected Production (kWh)],expected_production[Site Name],A2096,expected_production[Date],B2096)),"")</f>
        <v>17358.3</v>
      </c>
      <c r="E2096" s="9" t="str">
        <f t="shared" si="66"/>
        <v/>
      </c>
      <c r="F2096" t="str">
        <f t="shared" si="67"/>
        <v/>
      </c>
    </row>
    <row r="2097" spans="1:6" ht="15" customHeight="1" x14ac:dyDescent="0.3">
      <c r="A2097" t="s">
        <v>241</v>
      </c>
      <c r="B2097" s="2">
        <v>45505</v>
      </c>
      <c r="C2097" t="str" cm="1">
        <f t="array" ref="C2097">IFERROR(IF(SUMPRODUCT((measured[Site Name]=A2097)*(measured[Date]=B2097)*ISNUMBER(measured[Measured Value (kWh)]))=0,"",SUMIFS(measured[Measured Value (kWh)],measured[Site Name],A2097,measured[Date],B2097)),"")</f>
        <v/>
      </c>
      <c r="D2097" cm="1">
        <f t="array" ref="D2097">IFERROR(IF(SUMPRODUCT((expected_production[Site Name]=A2097)*(expected_production[Date]=B2097)*ISNUMBER(expected_production[Expected Production (kWh)]))=0,"",SUMIFS(expected_production[Expected Production (kWh)],expected_production[Site Name],A2097,expected_production[Date],B2097)),"")</f>
        <v>20842.2</v>
      </c>
      <c r="E2097" s="9" t="str">
        <f t="shared" si="66"/>
        <v/>
      </c>
      <c r="F2097" t="str">
        <f t="shared" si="67"/>
        <v/>
      </c>
    </row>
    <row r="2098" spans="1:6" ht="15" customHeight="1" x14ac:dyDescent="0.3">
      <c r="A2098" t="s">
        <v>241</v>
      </c>
      <c r="B2098" s="2">
        <v>45536</v>
      </c>
      <c r="C2098" t="str" cm="1">
        <f t="array" ref="C2098">IFERROR(IF(SUMPRODUCT((measured[Site Name]=A2098)*(measured[Date]=B2098)*ISNUMBER(measured[Measured Value (kWh)]))=0,"",SUMIFS(measured[Measured Value (kWh)],measured[Site Name],A2098,measured[Date],B2098)),"")</f>
        <v/>
      </c>
      <c r="D2098" cm="1">
        <f t="array" ref="D2098">IFERROR(IF(SUMPRODUCT((expected_production[Site Name]=A2098)*(expected_production[Date]=B2098)*ISNUMBER(expected_production[Expected Production (kWh)]))=0,"",SUMIFS(expected_production[Expected Production (kWh)],expected_production[Site Name],A2098,expected_production[Date],B2098)),"")</f>
        <v>23841</v>
      </c>
      <c r="E2098" s="9" t="str">
        <f t="shared" si="66"/>
        <v/>
      </c>
      <c r="F2098" t="str">
        <f t="shared" si="67"/>
        <v/>
      </c>
    </row>
    <row r="2099" spans="1:6" ht="15" customHeight="1" x14ac:dyDescent="0.3">
      <c r="A2099" t="s">
        <v>241</v>
      </c>
      <c r="B2099" s="2">
        <v>45566</v>
      </c>
      <c r="C2099" t="str" cm="1">
        <f t="array" ref="C2099">IFERROR(IF(SUMPRODUCT((measured[Site Name]=A2099)*(measured[Date]=B2099)*ISNUMBER(measured[Measured Value (kWh)]))=0,"",SUMIFS(measured[Measured Value (kWh)],measured[Site Name],A2099,measured[Date],B2099)),"")</f>
        <v/>
      </c>
      <c r="D2099" cm="1">
        <f t="array" ref="D2099">IFERROR(IF(SUMPRODUCT((expected_production[Site Name]=A2099)*(expected_production[Date]=B2099)*ISNUMBER(expected_production[Expected Production (kWh)]))=0,"",SUMIFS(expected_production[Expected Production (kWh)],expected_production[Site Name],A2099,expected_production[Date],B2099)),"")</f>
        <v>27285.3</v>
      </c>
      <c r="E2099" s="9" t="str">
        <f t="shared" si="66"/>
        <v/>
      </c>
      <c r="F2099" t="str">
        <f t="shared" si="67"/>
        <v/>
      </c>
    </row>
    <row r="2100" spans="1:6" ht="15" customHeight="1" x14ac:dyDescent="0.3">
      <c r="A2100" t="s">
        <v>241</v>
      </c>
      <c r="B2100" s="2">
        <v>45597</v>
      </c>
      <c r="C2100" t="str" cm="1">
        <f t="array" ref="C2100">IFERROR(IF(SUMPRODUCT((measured[Site Name]=A2100)*(measured[Date]=B2100)*ISNUMBER(measured[Measured Value (kWh)]))=0,"",SUMIFS(measured[Measured Value (kWh)],measured[Site Name],A2100,measured[Date],B2100)),"")</f>
        <v/>
      </c>
      <c r="D2100" cm="1">
        <f t="array" ref="D2100">IFERROR(IF(SUMPRODUCT((expected_production[Site Name]=A2100)*(expected_production[Date]=B2100)*ISNUMBER(expected_production[Expected Production (kWh)]))=0,"",SUMIFS(expected_production[Expected Production (kWh)],expected_production[Site Name],A2100,expected_production[Date],B2100)),"")</f>
        <v>27841.5</v>
      </c>
      <c r="E2100" s="9" t="str">
        <f t="shared" si="66"/>
        <v/>
      </c>
      <c r="F2100" t="str">
        <f t="shared" si="67"/>
        <v/>
      </c>
    </row>
    <row r="2101" spans="1:6" ht="15" customHeight="1" x14ac:dyDescent="0.3">
      <c r="A2101" t="s">
        <v>241</v>
      </c>
      <c r="B2101" s="2">
        <v>45627</v>
      </c>
      <c r="C2101" t="str" cm="1">
        <f t="array" ref="C2101">IFERROR(IF(SUMPRODUCT((measured[Site Name]=A2101)*(measured[Date]=B2101)*ISNUMBER(measured[Measured Value (kWh)]))=0,"",SUMIFS(measured[Measured Value (kWh)],measured[Site Name],A2101,measured[Date],B2101)),"")</f>
        <v/>
      </c>
      <c r="D2101" cm="1">
        <f t="array" ref="D2101">IFERROR(IF(SUMPRODUCT((expected_production[Site Name]=A2101)*(expected_production[Date]=B2101)*ISNUMBER(expected_production[Expected Production (kWh)]))=0,"",SUMIFS(expected_production[Expected Production (kWh)],expected_production[Site Name],A2101,expected_production[Date],B2101)),"")</f>
        <v>28779.3</v>
      </c>
      <c r="E2101" s="9" t="str">
        <f t="shared" si="66"/>
        <v/>
      </c>
      <c r="F2101" t="str">
        <f t="shared" si="67"/>
        <v/>
      </c>
    </row>
    <row r="2102" spans="1:6" ht="15" customHeight="1" x14ac:dyDescent="0.3">
      <c r="A2102" t="s">
        <v>241</v>
      </c>
      <c r="B2102" s="2">
        <v>45658</v>
      </c>
      <c r="C2102" t="str" cm="1">
        <f t="array" ref="C2102">IFERROR(IF(SUMPRODUCT((measured[Site Name]=A2102)*(measured[Date]=B2102)*ISNUMBER(measured[Measured Value (kWh)]))=0,"",SUMIFS(measured[Measured Value (kWh)],measured[Site Name],A2102,measured[Date],B2102)),"")</f>
        <v/>
      </c>
      <c r="D2102" cm="1">
        <f t="array" ref="D2102">IFERROR(IF(SUMPRODUCT((expected_production[Site Name]=A2102)*(expected_production[Date]=B2102)*ISNUMBER(expected_production[Expected Production (kWh)]))=0,"",SUMIFS(expected_production[Expected Production (kWh)],expected_production[Site Name],A2102,expected_production[Date],B2102)),"")</f>
        <v>28380.6</v>
      </c>
      <c r="E2102" s="9" t="str">
        <f t="shared" si="66"/>
        <v/>
      </c>
      <c r="F2102" t="str">
        <f t="shared" si="67"/>
        <v/>
      </c>
    </row>
    <row r="2103" spans="1:6" ht="15" customHeight="1" x14ac:dyDescent="0.3">
      <c r="A2103" t="s">
        <v>241</v>
      </c>
      <c r="B2103" s="2">
        <v>45689</v>
      </c>
      <c r="C2103" t="str" cm="1">
        <f t="array" ref="C2103">IFERROR(IF(SUMPRODUCT((measured[Site Name]=A2103)*(measured[Date]=B2103)*ISNUMBER(measured[Measured Value (kWh)]))=0,"",SUMIFS(measured[Measured Value (kWh)],measured[Site Name],A2103,measured[Date],B2103)),"")</f>
        <v/>
      </c>
      <c r="D2103" cm="1">
        <f t="array" ref="D2103">IFERROR(IF(SUMPRODUCT((expected_production[Site Name]=A2103)*(expected_production[Date]=B2103)*ISNUMBER(expected_production[Expected Production (kWh)]))=0,"",SUMIFS(expected_production[Expected Production (kWh)],expected_production[Site Name],A2103,expected_production[Date],B2103)),"")</f>
        <v>24379.200000000001</v>
      </c>
      <c r="E2103" s="9" t="str">
        <f t="shared" si="66"/>
        <v/>
      </c>
      <c r="F2103" t="str">
        <f t="shared" si="67"/>
        <v/>
      </c>
    </row>
    <row r="2104" spans="1:6" ht="15" customHeight="1" x14ac:dyDescent="0.3">
      <c r="A2104" t="s">
        <v>241</v>
      </c>
      <c r="B2104" s="2">
        <v>45717</v>
      </c>
      <c r="C2104" t="str" cm="1">
        <f t="array" ref="C2104">IFERROR(IF(SUMPRODUCT((measured[Site Name]=A2104)*(measured[Date]=B2104)*ISNUMBER(measured[Measured Value (kWh)]))=0,"",SUMIFS(measured[Measured Value (kWh)],measured[Site Name],A2104,measured[Date],B2104)),"")</f>
        <v/>
      </c>
      <c r="D2104" cm="1">
        <f t="array" ref="D2104">IFERROR(IF(SUMPRODUCT((expected_production[Site Name]=A2104)*(expected_production[Date]=B2104)*ISNUMBER(expected_production[Expected Production (kWh)]))=0,"",SUMIFS(expected_production[Expected Production (kWh)],expected_production[Site Name],A2104,expected_production[Date],B2104)),"")</f>
        <v>23351.4</v>
      </c>
      <c r="E2104" s="9" t="str">
        <f t="shared" si="66"/>
        <v/>
      </c>
      <c r="F2104" t="str">
        <f t="shared" si="67"/>
        <v/>
      </c>
    </row>
    <row r="2105" spans="1:6" ht="15" customHeight="1" x14ac:dyDescent="0.3">
      <c r="A2105" t="s">
        <v>241</v>
      </c>
      <c r="B2105" s="2">
        <v>45748</v>
      </c>
      <c r="C2105" t="str" cm="1">
        <f t="array" ref="C2105">IFERROR(IF(SUMPRODUCT((measured[Site Name]=A2105)*(measured[Date]=B2105)*ISNUMBER(measured[Measured Value (kWh)]))=0,"",SUMIFS(measured[Measured Value (kWh)],measured[Site Name],A2105,measured[Date],B2105)),"")</f>
        <v/>
      </c>
      <c r="D2105" cm="1">
        <f t="array" ref="D2105">IFERROR(IF(SUMPRODUCT((expected_production[Site Name]=A2105)*(expected_production[Date]=B2105)*ISNUMBER(expected_production[Expected Production (kWh)]))=0,"",SUMIFS(expected_production[Expected Production (kWh)],expected_production[Site Name],A2105,expected_production[Date],B2105)),"")</f>
        <v>19887.3</v>
      </c>
      <c r="E2105" s="9" t="str">
        <f t="shared" si="66"/>
        <v/>
      </c>
      <c r="F2105" t="str">
        <f t="shared" si="67"/>
        <v/>
      </c>
    </row>
    <row r="2106" spans="1:6" ht="15" customHeight="1" x14ac:dyDescent="0.3">
      <c r="A2106" t="s">
        <v>241</v>
      </c>
      <c r="B2106" s="2">
        <v>45778</v>
      </c>
      <c r="C2106" t="str" cm="1">
        <f t="array" ref="C2106">IFERROR(IF(SUMPRODUCT((measured[Site Name]=A2106)*(measured[Date]=B2106)*ISNUMBER(measured[Measured Value (kWh)]))=0,"",SUMIFS(measured[Measured Value (kWh)],measured[Site Name],A2106,measured[Date],B2106)),"")</f>
        <v/>
      </c>
      <c r="D2106" cm="1">
        <f t="array" ref="D2106">IFERROR(IF(SUMPRODUCT((expected_production[Site Name]=A2106)*(expected_production[Date]=B2106)*ISNUMBER(expected_production[Expected Production (kWh)]))=0,"",SUMIFS(expected_production[Expected Production (kWh)],expected_production[Site Name],A2106,expected_production[Date],B2106)),"")</f>
        <v>17745.3</v>
      </c>
      <c r="E2106" s="9" t="str">
        <f t="shared" si="66"/>
        <v/>
      </c>
      <c r="F2106" t="str">
        <f t="shared" si="67"/>
        <v/>
      </c>
    </row>
    <row r="2107" spans="1:6" ht="15" customHeight="1" x14ac:dyDescent="0.3">
      <c r="A2107" t="s">
        <v>241</v>
      </c>
      <c r="B2107" s="2">
        <v>45809</v>
      </c>
      <c r="C2107" t="str" cm="1">
        <f t="array" ref="C2107">IFERROR(IF(SUMPRODUCT((measured[Site Name]=A2107)*(measured[Date]=B2107)*ISNUMBER(measured[Measured Value (kWh)]))=0,"",SUMIFS(measured[Measured Value (kWh)],measured[Site Name],A2107,measured[Date],B2107)),"")</f>
        <v/>
      </c>
      <c r="D2107" cm="1">
        <f t="array" ref="D2107">IFERROR(IF(SUMPRODUCT((expected_production[Site Name]=A2107)*(expected_production[Date]=B2107)*ISNUMBER(expected_production[Expected Production (kWh)]))=0,"",SUMIFS(expected_production[Expected Production (kWh)],expected_production[Site Name],A2107,expected_production[Date],B2107)),"")</f>
        <v>15502.5</v>
      </c>
      <c r="E2107" s="9" t="str">
        <f t="shared" si="66"/>
        <v/>
      </c>
      <c r="F2107" t="str">
        <f t="shared" si="67"/>
        <v/>
      </c>
    </row>
    <row r="2108" spans="1:6" ht="15" customHeight="1" x14ac:dyDescent="0.3">
      <c r="A2108" t="s">
        <v>241</v>
      </c>
      <c r="B2108" s="2">
        <v>45839</v>
      </c>
      <c r="C2108" t="str" cm="1">
        <f t="array" ref="C2108">IFERROR(IF(SUMPRODUCT((measured[Site Name]=A2108)*(measured[Date]=B2108)*ISNUMBER(measured[Measured Value (kWh)]))=0,"",SUMIFS(measured[Measured Value (kWh)],measured[Site Name],A2108,measured[Date],B2108)),"")</f>
        <v/>
      </c>
      <c r="D2108" cm="1">
        <f t="array" ref="D2108">IFERROR(IF(SUMPRODUCT((expected_production[Site Name]=A2108)*(expected_production[Date]=B2108)*ISNUMBER(expected_production[Expected Production (kWh)]))=0,"",SUMIFS(expected_production[Expected Production (kWh)],expected_production[Site Name],A2108,expected_production[Date],B2108)),"")</f>
        <v>17358.3</v>
      </c>
      <c r="E2108" s="9" t="str">
        <f t="shared" ref="E2108:E2171" si="68">IF(OR(C2108="",D2108="",D2108=0),"",C2108/D2108)</f>
        <v/>
      </c>
      <c r="F2108" t="str">
        <f t="shared" ref="F2108:F2171" si="69">IF(E2108="","",IF(E2108&gt;=0.9,"Expected",IF(E2108&gt;=0.7,"Moderate","Poor")))</f>
        <v/>
      </c>
    </row>
    <row r="2109" spans="1:6" ht="15" customHeight="1" x14ac:dyDescent="0.3">
      <c r="A2109" t="s">
        <v>241</v>
      </c>
      <c r="B2109" s="2">
        <v>45870</v>
      </c>
      <c r="C2109" t="str" cm="1">
        <f t="array" ref="C2109">IFERROR(IF(SUMPRODUCT((measured[Site Name]=A2109)*(measured[Date]=B2109)*ISNUMBER(measured[Measured Value (kWh)]))=0,"",SUMIFS(measured[Measured Value (kWh)],measured[Site Name],A2109,measured[Date],B2109)),"")</f>
        <v/>
      </c>
      <c r="D2109" cm="1">
        <f t="array" ref="D2109">IFERROR(IF(SUMPRODUCT((expected_production[Site Name]=A2109)*(expected_production[Date]=B2109)*ISNUMBER(expected_production[Expected Production (kWh)]))=0,"",SUMIFS(expected_production[Expected Production (kWh)],expected_production[Site Name],A2109,expected_production[Date],B2109)),"")</f>
        <v>20842.2</v>
      </c>
      <c r="E2109" s="9" t="str">
        <f t="shared" si="68"/>
        <v/>
      </c>
      <c r="F2109" t="str">
        <f t="shared" si="69"/>
        <v/>
      </c>
    </row>
    <row r="2110" spans="1:6" ht="15" customHeight="1" x14ac:dyDescent="0.3">
      <c r="A2110" t="s">
        <v>241</v>
      </c>
      <c r="B2110" s="2">
        <v>45901</v>
      </c>
      <c r="C2110" t="str" cm="1">
        <f t="array" ref="C2110">IFERROR(IF(SUMPRODUCT((measured[Site Name]=A2110)*(measured[Date]=B2110)*ISNUMBER(measured[Measured Value (kWh)]))=0,"",SUMIFS(measured[Measured Value (kWh)],measured[Site Name],A2110,measured[Date],B2110)),"")</f>
        <v/>
      </c>
      <c r="D2110" cm="1">
        <f t="array" ref="D2110">IFERROR(IF(SUMPRODUCT((expected_production[Site Name]=A2110)*(expected_production[Date]=B2110)*ISNUMBER(expected_production[Expected Production (kWh)]))=0,"",SUMIFS(expected_production[Expected Production (kWh)],expected_production[Site Name],A2110,expected_production[Date],B2110)),"")</f>
        <v>23841</v>
      </c>
      <c r="E2110" s="9" t="str">
        <f t="shared" si="68"/>
        <v/>
      </c>
      <c r="F2110" t="str">
        <f t="shared" si="69"/>
        <v/>
      </c>
    </row>
    <row r="2111" spans="1:6" ht="15" customHeight="1" x14ac:dyDescent="0.3">
      <c r="A2111" t="s">
        <v>241</v>
      </c>
      <c r="B2111" s="2">
        <v>45931</v>
      </c>
      <c r="C2111" t="str" cm="1">
        <f t="array" ref="C2111">IFERROR(IF(SUMPRODUCT((measured[Site Name]=A2111)*(measured[Date]=B2111)*ISNUMBER(measured[Measured Value (kWh)]))=0,"",SUMIFS(measured[Measured Value (kWh)],measured[Site Name],A2111,measured[Date],B2111)),"")</f>
        <v/>
      </c>
      <c r="D2111" cm="1">
        <f t="array" ref="D2111">IFERROR(IF(SUMPRODUCT((expected_production[Site Name]=A2111)*(expected_production[Date]=B2111)*ISNUMBER(expected_production[Expected Production (kWh)]))=0,"",SUMIFS(expected_production[Expected Production (kWh)],expected_production[Site Name],A2111,expected_production[Date],B2111)),"")</f>
        <v>27285.3</v>
      </c>
      <c r="E2111" s="9" t="str">
        <f t="shared" si="68"/>
        <v/>
      </c>
      <c r="F2111" t="str">
        <f t="shared" si="69"/>
        <v/>
      </c>
    </row>
    <row r="2112" spans="1:6" ht="15" customHeight="1" x14ac:dyDescent="0.3">
      <c r="A2112" t="s">
        <v>241</v>
      </c>
      <c r="B2112" s="2">
        <v>45962</v>
      </c>
      <c r="C2112" t="str" cm="1">
        <f t="array" ref="C2112">IFERROR(IF(SUMPRODUCT((measured[Site Name]=A2112)*(measured[Date]=B2112)*ISNUMBER(measured[Measured Value (kWh)]))=0,"",SUMIFS(measured[Measured Value (kWh)],measured[Site Name],A2112,measured[Date],B2112)),"")</f>
        <v/>
      </c>
      <c r="D2112" cm="1">
        <f t="array" ref="D2112">IFERROR(IF(SUMPRODUCT((expected_production[Site Name]=A2112)*(expected_production[Date]=B2112)*ISNUMBER(expected_production[Expected Production (kWh)]))=0,"",SUMIFS(expected_production[Expected Production (kWh)],expected_production[Site Name],A2112,expected_production[Date],B2112)),"")</f>
        <v>27841.5</v>
      </c>
      <c r="E2112" s="9" t="str">
        <f t="shared" si="68"/>
        <v/>
      </c>
      <c r="F2112" t="str">
        <f t="shared" si="69"/>
        <v/>
      </c>
    </row>
    <row r="2113" spans="1:7" ht="15" customHeight="1" x14ac:dyDescent="0.3">
      <c r="A2113" t="s">
        <v>241</v>
      </c>
      <c r="B2113" s="2">
        <v>45992</v>
      </c>
      <c r="C2113" t="str" cm="1">
        <f t="array" ref="C2113">IFERROR(IF(SUMPRODUCT((measured[Site Name]=A2113)*(measured[Date]=B2113)*ISNUMBER(measured[Measured Value (kWh)]))=0,"",SUMIFS(measured[Measured Value (kWh)],measured[Site Name],A2113,measured[Date],B2113)),"")</f>
        <v/>
      </c>
      <c r="D2113" cm="1">
        <f t="array" ref="D2113">IFERROR(IF(SUMPRODUCT((expected_production[Site Name]=A2113)*(expected_production[Date]=B2113)*ISNUMBER(expected_production[Expected Production (kWh)]))=0,"",SUMIFS(expected_production[Expected Production (kWh)],expected_production[Site Name],A2113,expected_production[Date],B2113)),"")</f>
        <v>28779.3</v>
      </c>
      <c r="E2113" s="9" t="str">
        <f t="shared" si="68"/>
        <v/>
      </c>
      <c r="F2113" t="str">
        <f t="shared" si="69"/>
        <v/>
      </c>
    </row>
    <row r="2114" spans="1:7" ht="15" customHeight="1" x14ac:dyDescent="0.3">
      <c r="A2114" t="s">
        <v>241</v>
      </c>
      <c r="B2114" s="2">
        <v>46023</v>
      </c>
      <c r="C2114" t="str" cm="1">
        <f t="array" ref="C2114">IFERROR(IF(SUMPRODUCT((measured[Site Name]=A2114)*(measured[Date]=B2114)*ISNUMBER(measured[Measured Value (kWh)]))=0,"",SUMIFS(measured[Measured Value (kWh)],measured[Site Name],A2114,measured[Date],B2114)),"")</f>
        <v/>
      </c>
      <c r="D2114" cm="1">
        <f t="array" ref="D2114">IFERROR(IF(SUMPRODUCT((expected_production[Site Name]=A2114)*(expected_production[Date]=B2114)*ISNUMBER(expected_production[Expected Production (kWh)]))=0,"",SUMIFS(expected_production[Expected Production (kWh)],expected_production[Site Name],A2114,expected_production[Date],B2114)),"")</f>
        <v>28380.6</v>
      </c>
      <c r="E2114" s="9" t="str">
        <f t="shared" si="68"/>
        <v/>
      </c>
      <c r="F2114" t="str">
        <f t="shared" si="69"/>
        <v/>
      </c>
    </row>
    <row r="2115" spans="1:7" ht="15" customHeight="1" x14ac:dyDescent="0.3">
      <c r="A2115" t="s">
        <v>241</v>
      </c>
      <c r="B2115" s="2">
        <v>46054</v>
      </c>
      <c r="C2115" t="str" cm="1">
        <f t="array" ref="C2115">IFERROR(IF(SUMPRODUCT((measured[Site Name]=A2115)*(measured[Date]=B2115)*ISNUMBER(measured[Measured Value (kWh)]))=0,"",SUMIFS(measured[Measured Value (kWh)],measured[Site Name],A2115,measured[Date],B2115)),"")</f>
        <v/>
      </c>
      <c r="D2115" cm="1">
        <f t="array" ref="D2115">IFERROR(IF(SUMPRODUCT((expected_production[Site Name]=A2115)*(expected_production[Date]=B2115)*ISNUMBER(expected_production[Expected Production (kWh)]))=0,"",SUMIFS(expected_production[Expected Production (kWh)],expected_production[Site Name],A2115,expected_production[Date],B2115)),"")</f>
        <v>24379.200000000001</v>
      </c>
      <c r="E2115" s="9" t="str">
        <f t="shared" si="68"/>
        <v/>
      </c>
      <c r="F2115" t="str">
        <f t="shared" si="69"/>
        <v/>
      </c>
    </row>
    <row r="2116" spans="1:7" ht="15" customHeight="1" x14ac:dyDescent="0.3">
      <c r="A2116" t="s">
        <v>241</v>
      </c>
      <c r="B2116" s="2">
        <v>46082</v>
      </c>
      <c r="C2116" cm="1">
        <f t="array" ref="C2116">IFERROR(IF(SUMPRODUCT((measured[Site Name]=A2116)*(measured[Date]=B2116)*ISNUMBER(measured[Measured Value (kWh)]))=0,"",SUMIFS(measured[Measured Value (kWh)],measured[Site Name],A2116,measured[Date],B2116)),"")</f>
        <v>10022</v>
      </c>
      <c r="D2116" cm="1">
        <f t="array" ref="D2116">IFERROR(IF(SUMPRODUCT((expected_production[Site Name]=A2116)*(expected_production[Date]=B2116)*ISNUMBER(expected_production[Expected Production (kWh)]))=0,"",SUMIFS(expected_production[Expected Production (kWh)],expected_production[Site Name],A2116,expected_production[Date],B2116)),"")</f>
        <v>23351.4</v>
      </c>
      <c r="E2116" s="9">
        <f t="shared" si="68"/>
        <v>0.42918197624125315</v>
      </c>
      <c r="F2116" t="str">
        <f t="shared" si="69"/>
        <v>Poor</v>
      </c>
    </row>
    <row r="2117" spans="1:7" ht="15" customHeight="1" x14ac:dyDescent="0.3">
      <c r="A2117" t="s">
        <v>241</v>
      </c>
      <c r="B2117" s="2">
        <v>46113</v>
      </c>
      <c r="C2117" cm="1">
        <f t="array" ref="C2117">IFERROR(IF(SUMPRODUCT((measured[Site Name]=A2117)*(measured[Date]=B2117)*ISNUMBER(measured[Measured Value (kWh)]))=0,"",SUMIFS(measured[Measured Value (kWh)],measured[Site Name],A2117,measured[Date],B2117)),"")</f>
        <v>11511.86</v>
      </c>
      <c r="D2117" cm="1">
        <f t="array" ref="D2117">IFERROR(IF(SUMPRODUCT((expected_production[Site Name]=A2117)*(expected_production[Date]=B2117)*ISNUMBER(expected_production[Expected Production (kWh)]))=0,"",SUMIFS(expected_production[Expected Production (kWh)],expected_production[Site Name],A2117,expected_production[Date],B2117)),"")</f>
        <v>19887.3</v>
      </c>
      <c r="E2117" s="9">
        <f t="shared" si="68"/>
        <v>0.57885484706320123</v>
      </c>
      <c r="F2117" t="str">
        <f t="shared" si="69"/>
        <v>Poor</v>
      </c>
    </row>
    <row r="2118" spans="1:7" ht="15" customHeight="1" x14ac:dyDescent="0.3">
      <c r="A2118" t="s">
        <v>241</v>
      </c>
      <c r="B2118" s="2">
        <v>46143</v>
      </c>
      <c r="C2118" cm="1">
        <f t="array" ref="C2118">IFERROR(IF(SUMPRODUCT((measured[Site Name]=A2118)*(measured[Date]=B2118)*ISNUMBER(measured[Measured Value (kWh)]))=0,"",SUMIFS(measured[Measured Value (kWh)],measured[Site Name],A2118,measured[Date],B2118)),"")</f>
        <v>14709.43</v>
      </c>
      <c r="D2118" cm="1">
        <f t="array" ref="D2118">IFERROR(IF(SUMPRODUCT((expected_production[Site Name]=A2118)*(expected_production[Date]=B2118)*ISNUMBER(expected_production[Expected Production (kWh)]))=0,"",SUMIFS(expected_production[Expected Production (kWh)],expected_production[Site Name],A2118,expected_production[Date],B2118)),"")</f>
        <v>17745.3</v>
      </c>
      <c r="E2118" s="9">
        <f t="shared" si="68"/>
        <v>0.82891977030537667</v>
      </c>
      <c r="F2118" t="str">
        <f t="shared" si="69"/>
        <v>Moderate</v>
      </c>
    </row>
    <row r="2119" spans="1:7" ht="15" customHeight="1" x14ac:dyDescent="0.3">
      <c r="A2119" t="s">
        <v>241</v>
      </c>
      <c r="B2119" s="2">
        <v>46174</v>
      </c>
      <c r="C2119" cm="1">
        <f t="array" ref="C2119">IFERROR(IF(SUMPRODUCT((measured[Site Name]=A2119)*(measured[Date]=B2119)*ISNUMBER(measured[Measured Value (kWh)]))=0,"",SUMIFS(measured[Measured Value (kWh)],measured[Site Name],A2119,measured[Date],B2119)),"")</f>
        <v>12264.7</v>
      </c>
      <c r="D2119" cm="1">
        <f t="array" ref="D2119">IFERROR(IF(SUMPRODUCT((expected_production[Site Name]=A2119)*(expected_production[Date]=B2119)*ISNUMBER(expected_production[Expected Production (kWh)]))=0,"",SUMIFS(expected_production[Expected Production (kWh)],expected_production[Site Name],A2119,expected_production[Date],B2119)),"")</f>
        <v>15502.5</v>
      </c>
      <c r="E2119" s="9">
        <f t="shared" si="68"/>
        <v>0.79114336397355267</v>
      </c>
      <c r="F2119" t="str">
        <f t="shared" si="69"/>
        <v>Moderate</v>
      </c>
    </row>
    <row r="2120" spans="1:7" ht="15" customHeight="1" x14ac:dyDescent="0.3">
      <c r="A2120" t="s">
        <v>241</v>
      </c>
      <c r="B2120" s="2">
        <v>46204</v>
      </c>
      <c r="C2120" cm="1">
        <f t="array" ref="C2120">IFERROR(IF(SUMPRODUCT((measured[Site Name]=A2120)*(measured[Date]=B2120)*ISNUMBER(measured[Measured Value (kWh)]))=0,"",SUMIFS(measured[Measured Value (kWh)],measured[Site Name],A2120,measured[Date],B2120)),"")</f>
        <v>11339.6067</v>
      </c>
      <c r="D2120" cm="1">
        <f t="array" ref="D2120">IFERROR(IF(SUMPRODUCT((expected_production[Site Name]=A2120)*(expected_production[Date]=B2120)*ISNUMBER(expected_production[Expected Production (kWh)]))=0,"",SUMIFS(expected_production[Expected Production (kWh)],expected_production[Site Name],A2120,expected_production[Date],B2120)),"")</f>
        <v>17358.3</v>
      </c>
      <c r="E2120" s="9">
        <f t="shared" si="68"/>
        <v>0.6532671229325453</v>
      </c>
      <c r="F2120" t="str">
        <f t="shared" si="69"/>
        <v>Poor</v>
      </c>
      <c r="G2120" t="s">
        <v>875</v>
      </c>
    </row>
    <row r="2121" spans="1:7" ht="15" customHeight="1" x14ac:dyDescent="0.3">
      <c r="A2121" t="s">
        <v>241</v>
      </c>
      <c r="B2121" s="2">
        <v>46235</v>
      </c>
      <c r="C2121" t="str" cm="1">
        <f t="array" ref="C2121">IFERROR(IF(SUMPRODUCT((measured[Site Name]=A2121)*(measured[Date]=B2121)*ISNUMBER(measured[Measured Value (kWh)]))=0,"",SUMIFS(measured[Measured Value (kWh)],measured[Site Name],A2121,measured[Date],B2121)),"")</f>
        <v/>
      </c>
      <c r="D2121" cm="1">
        <f t="array" ref="D2121">IFERROR(IF(SUMPRODUCT((expected_production[Site Name]=A2121)*(expected_production[Date]=B2121)*ISNUMBER(expected_production[Expected Production (kWh)]))=0,"",SUMIFS(expected_production[Expected Production (kWh)],expected_production[Site Name],A2121,expected_production[Date],B2121)),"")</f>
        <v>20842.2</v>
      </c>
      <c r="E2121" s="9" t="str">
        <f t="shared" si="68"/>
        <v/>
      </c>
      <c r="F2121" t="str">
        <f t="shared" si="69"/>
        <v/>
      </c>
    </row>
    <row r="2122" spans="1:7" ht="15" customHeight="1" x14ac:dyDescent="0.3">
      <c r="A2122" t="s">
        <v>241</v>
      </c>
      <c r="B2122" s="2">
        <v>46266</v>
      </c>
      <c r="C2122" t="str" cm="1">
        <f t="array" ref="C2122">IFERROR(IF(SUMPRODUCT((measured[Site Name]=A2122)*(measured[Date]=B2122)*ISNUMBER(measured[Measured Value (kWh)]))=0,"",SUMIFS(measured[Measured Value (kWh)],measured[Site Name],A2122,measured[Date],B2122)),"")</f>
        <v/>
      </c>
      <c r="D2122" cm="1">
        <f t="array" ref="D2122">IFERROR(IF(SUMPRODUCT((expected_production[Site Name]=A2122)*(expected_production[Date]=B2122)*ISNUMBER(expected_production[Expected Production (kWh)]))=0,"",SUMIFS(expected_production[Expected Production (kWh)],expected_production[Site Name],A2122,expected_production[Date],B2122)),"")</f>
        <v>23841</v>
      </c>
      <c r="E2122" s="9" t="str">
        <f t="shared" si="68"/>
        <v/>
      </c>
      <c r="F2122" t="str">
        <f t="shared" si="69"/>
        <v/>
      </c>
    </row>
    <row r="2123" spans="1:7" ht="15" customHeight="1" x14ac:dyDescent="0.3">
      <c r="A2123" t="s">
        <v>241</v>
      </c>
      <c r="B2123" s="2">
        <v>46296</v>
      </c>
      <c r="C2123" t="str" cm="1">
        <f t="array" ref="C2123">IFERROR(IF(SUMPRODUCT((measured[Site Name]=A2123)*(measured[Date]=B2123)*ISNUMBER(measured[Measured Value (kWh)]))=0,"",SUMIFS(measured[Measured Value (kWh)],measured[Site Name],A2123,measured[Date],B2123)),"")</f>
        <v/>
      </c>
      <c r="D2123" cm="1">
        <f t="array" ref="D2123">IFERROR(IF(SUMPRODUCT((expected_production[Site Name]=A2123)*(expected_production[Date]=B2123)*ISNUMBER(expected_production[Expected Production (kWh)]))=0,"",SUMIFS(expected_production[Expected Production (kWh)],expected_production[Site Name],A2123,expected_production[Date],B2123)),"")</f>
        <v>27285.3</v>
      </c>
      <c r="E2123" s="9" t="str">
        <f t="shared" si="68"/>
        <v/>
      </c>
      <c r="F2123" t="str">
        <f t="shared" si="69"/>
        <v/>
      </c>
    </row>
    <row r="2124" spans="1:7" ht="15" customHeight="1" x14ac:dyDescent="0.3">
      <c r="A2124" t="s">
        <v>241</v>
      </c>
      <c r="B2124" s="2">
        <v>46327</v>
      </c>
      <c r="C2124" t="str" cm="1">
        <f t="array" ref="C2124">IFERROR(IF(SUMPRODUCT((measured[Site Name]=A2124)*(measured[Date]=B2124)*ISNUMBER(measured[Measured Value (kWh)]))=0,"",SUMIFS(measured[Measured Value (kWh)],measured[Site Name],A2124,measured[Date],B2124)),"")</f>
        <v/>
      </c>
      <c r="D2124" cm="1">
        <f t="array" ref="D2124">IFERROR(IF(SUMPRODUCT((expected_production[Site Name]=A2124)*(expected_production[Date]=B2124)*ISNUMBER(expected_production[Expected Production (kWh)]))=0,"",SUMIFS(expected_production[Expected Production (kWh)],expected_production[Site Name],A2124,expected_production[Date],B2124)),"")</f>
        <v>27841.5</v>
      </c>
      <c r="E2124" s="9" t="str">
        <f t="shared" si="68"/>
        <v/>
      </c>
      <c r="F2124" t="str">
        <f t="shared" si="69"/>
        <v/>
      </c>
    </row>
    <row r="2125" spans="1:7" ht="15" customHeight="1" x14ac:dyDescent="0.3">
      <c r="A2125" t="s">
        <v>241</v>
      </c>
      <c r="B2125" s="2">
        <v>46357</v>
      </c>
      <c r="C2125" t="str" cm="1">
        <f t="array" ref="C2125">IFERROR(IF(SUMPRODUCT((measured[Site Name]=A2125)*(measured[Date]=B2125)*ISNUMBER(measured[Measured Value (kWh)]))=0,"",SUMIFS(measured[Measured Value (kWh)],measured[Site Name],A2125,measured[Date],B2125)),"")</f>
        <v/>
      </c>
      <c r="D2125" cm="1">
        <f t="array" ref="D2125">IFERROR(IF(SUMPRODUCT((expected_production[Site Name]=A2125)*(expected_production[Date]=B2125)*ISNUMBER(expected_production[Expected Production (kWh)]))=0,"",SUMIFS(expected_production[Expected Production (kWh)],expected_production[Site Name],A2125,expected_production[Date],B2125)),"")</f>
        <v>28779.3</v>
      </c>
      <c r="E2125" s="9" t="str">
        <f t="shared" si="68"/>
        <v/>
      </c>
      <c r="F2125" t="str">
        <f t="shared" si="69"/>
        <v/>
      </c>
    </row>
    <row r="2126" spans="1:7" ht="15" customHeight="1" x14ac:dyDescent="0.3">
      <c r="A2126" t="s">
        <v>182</v>
      </c>
      <c r="B2126" s="2">
        <v>45292</v>
      </c>
      <c r="C2126" t="str" cm="1">
        <f t="array" ref="C2126">IFERROR(IF(SUMPRODUCT((measured[Site Name]=A2126)*(measured[Date]=B2126)*ISNUMBER(measured[Measured Value (kWh)]))=0,"",SUMIFS(measured[Measured Value (kWh)],measured[Site Name],A2126,measured[Date],B2126)),"")</f>
        <v/>
      </c>
      <c r="D2126" cm="1">
        <f t="array" ref="D2126">IFERROR(IF(SUMPRODUCT((expected_production[Site Name]=A2126)*(expected_production[Date]=B2126)*ISNUMBER(expected_production[Expected Production (kWh)]))=0,"",SUMIFS(expected_production[Expected Production (kWh)],expected_production[Site Name],A2126,expected_production[Date],B2126)),"")</f>
        <v>20564.650000000001</v>
      </c>
      <c r="E2126" s="9" t="str">
        <f t="shared" si="68"/>
        <v/>
      </c>
      <c r="F2126" t="str">
        <f t="shared" si="69"/>
        <v/>
      </c>
    </row>
    <row r="2127" spans="1:7" ht="15" customHeight="1" x14ac:dyDescent="0.3">
      <c r="A2127" t="s">
        <v>182</v>
      </c>
      <c r="B2127" s="2">
        <v>45323</v>
      </c>
      <c r="C2127" t="str" cm="1">
        <f t="array" ref="C2127">IFERROR(IF(SUMPRODUCT((measured[Site Name]=A2127)*(measured[Date]=B2127)*ISNUMBER(measured[Measured Value (kWh)]))=0,"",SUMIFS(measured[Measured Value (kWh)],measured[Site Name],A2127,measured[Date],B2127)),"")</f>
        <v/>
      </c>
      <c r="D2127" cm="1">
        <f t="array" ref="D2127">IFERROR(IF(SUMPRODUCT((expected_production[Site Name]=A2127)*(expected_production[Date]=B2127)*ISNUMBER(expected_production[Expected Production (kWh)]))=0,"",SUMIFS(expected_production[Expected Production (kWh)],expected_production[Site Name],A2127,expected_production[Date],B2127)),"")</f>
        <v>17491.400000000001</v>
      </c>
      <c r="E2127" s="9" t="str">
        <f t="shared" si="68"/>
        <v/>
      </c>
      <c r="F2127" t="str">
        <f t="shared" si="69"/>
        <v/>
      </c>
    </row>
    <row r="2128" spans="1:7" ht="15" customHeight="1" x14ac:dyDescent="0.3">
      <c r="A2128" t="s">
        <v>182</v>
      </c>
      <c r="B2128" s="2">
        <v>45352</v>
      </c>
      <c r="C2128" t="str" cm="1">
        <f t="array" ref="C2128">IFERROR(IF(SUMPRODUCT((measured[Site Name]=A2128)*(measured[Date]=B2128)*ISNUMBER(measured[Measured Value (kWh)]))=0,"",SUMIFS(measured[Measured Value (kWh)],measured[Site Name],A2128,measured[Date],B2128)),"")</f>
        <v/>
      </c>
      <c r="D2128" cm="1">
        <f t="array" ref="D2128">IFERROR(IF(SUMPRODUCT((expected_production[Site Name]=A2128)*(expected_production[Date]=B2128)*ISNUMBER(expected_production[Expected Production (kWh)]))=0,"",SUMIFS(expected_production[Expected Production (kWh)],expected_production[Site Name],A2128,expected_production[Date],B2128)),"")</f>
        <v>18246.650000000001</v>
      </c>
      <c r="E2128" s="9" t="str">
        <f t="shared" si="68"/>
        <v/>
      </c>
      <c r="F2128" t="str">
        <f t="shared" si="69"/>
        <v/>
      </c>
    </row>
    <row r="2129" spans="1:6" ht="15" customHeight="1" x14ac:dyDescent="0.3">
      <c r="A2129" t="s">
        <v>182</v>
      </c>
      <c r="B2129" s="2">
        <v>45383</v>
      </c>
      <c r="C2129" t="str" cm="1">
        <f t="array" ref="C2129">IFERROR(IF(SUMPRODUCT((measured[Site Name]=A2129)*(measured[Date]=B2129)*ISNUMBER(measured[Measured Value (kWh)]))=0,"",SUMIFS(measured[Measured Value (kWh)],measured[Site Name],A2129,measured[Date],B2129)),"")</f>
        <v/>
      </c>
      <c r="D2129" cm="1">
        <f t="array" ref="D2129">IFERROR(IF(SUMPRODUCT((expected_production[Site Name]=A2129)*(expected_production[Date]=B2129)*ISNUMBER(expected_production[Expected Production (kWh)]))=0,"",SUMIFS(expected_production[Expected Production (kWh)],expected_production[Site Name],A2129,expected_production[Date],B2129)),"")</f>
        <v>15297.85</v>
      </c>
      <c r="E2129" s="9" t="str">
        <f t="shared" si="68"/>
        <v/>
      </c>
      <c r="F2129" t="str">
        <f t="shared" si="69"/>
        <v/>
      </c>
    </row>
    <row r="2130" spans="1:6" ht="15" customHeight="1" x14ac:dyDescent="0.3">
      <c r="A2130" t="s">
        <v>182</v>
      </c>
      <c r="B2130" s="2">
        <v>45413</v>
      </c>
      <c r="C2130" t="str" cm="1">
        <f t="array" ref="C2130">IFERROR(IF(SUMPRODUCT((measured[Site Name]=A2130)*(measured[Date]=B2130)*ISNUMBER(measured[Measured Value (kWh)]))=0,"",SUMIFS(measured[Measured Value (kWh)],measured[Site Name],A2130,measured[Date],B2130)),"")</f>
        <v/>
      </c>
      <c r="D2130" cm="1">
        <f t="array" ref="D2130">IFERROR(IF(SUMPRODUCT((expected_production[Site Name]=A2130)*(expected_production[Date]=B2130)*ISNUMBER(expected_production[Expected Production (kWh)]))=0,"",SUMIFS(expected_production[Expected Production (kWh)],expected_production[Site Name],A2130,expected_production[Date],B2130)),"")</f>
        <v>14953</v>
      </c>
      <c r="E2130" s="9" t="str">
        <f t="shared" si="68"/>
        <v/>
      </c>
      <c r="F2130" t="str">
        <f t="shared" si="69"/>
        <v/>
      </c>
    </row>
    <row r="2131" spans="1:6" ht="15" customHeight="1" x14ac:dyDescent="0.3">
      <c r="A2131" t="s">
        <v>182</v>
      </c>
      <c r="B2131" s="2">
        <v>45444</v>
      </c>
      <c r="C2131" t="str" cm="1">
        <f t="array" ref="C2131">IFERROR(IF(SUMPRODUCT((measured[Site Name]=A2131)*(measured[Date]=B2131)*ISNUMBER(measured[Measured Value (kWh)]))=0,"",SUMIFS(measured[Measured Value (kWh)],measured[Site Name],A2131,measured[Date],B2131)),"")</f>
        <v/>
      </c>
      <c r="D2131" cm="1">
        <f t="array" ref="D2131">IFERROR(IF(SUMPRODUCT((expected_production[Site Name]=A2131)*(expected_production[Date]=B2131)*ISNUMBER(expected_production[Expected Production (kWh)]))=0,"",SUMIFS(expected_production[Expected Production (kWh)],expected_production[Site Name],A2131,expected_production[Date],B2131)),"")</f>
        <v>13275.3</v>
      </c>
      <c r="E2131" s="9" t="str">
        <f t="shared" si="68"/>
        <v/>
      </c>
      <c r="F2131" t="str">
        <f t="shared" si="69"/>
        <v/>
      </c>
    </row>
    <row r="2132" spans="1:6" ht="15" customHeight="1" x14ac:dyDescent="0.3">
      <c r="A2132" t="s">
        <v>182</v>
      </c>
      <c r="B2132" s="2">
        <v>45474</v>
      </c>
      <c r="C2132" t="str" cm="1">
        <f t="array" ref="C2132">IFERROR(IF(SUMPRODUCT((measured[Site Name]=A2132)*(measured[Date]=B2132)*ISNUMBER(measured[Measured Value (kWh)]))=0,"",SUMIFS(measured[Measured Value (kWh)],measured[Site Name],A2132,measured[Date],B2132)),"")</f>
        <v/>
      </c>
      <c r="D2132" cm="1">
        <f t="array" ref="D2132">IFERROR(IF(SUMPRODUCT((expected_production[Site Name]=A2132)*(expected_production[Date]=B2132)*ISNUMBER(expected_production[Expected Production (kWh)]))=0,"",SUMIFS(expected_production[Expected Production (kWh)],expected_production[Site Name],A2132,expected_production[Date],B2132)),"")</f>
        <v>14678.45</v>
      </c>
      <c r="E2132" s="9" t="str">
        <f t="shared" si="68"/>
        <v/>
      </c>
      <c r="F2132" t="str">
        <f t="shared" si="69"/>
        <v/>
      </c>
    </row>
    <row r="2133" spans="1:6" ht="15" customHeight="1" x14ac:dyDescent="0.3">
      <c r="A2133" t="s">
        <v>182</v>
      </c>
      <c r="B2133" s="2">
        <v>45505</v>
      </c>
      <c r="C2133" t="str" cm="1">
        <f t="array" ref="C2133">IFERROR(IF(SUMPRODUCT((measured[Site Name]=A2133)*(measured[Date]=B2133)*ISNUMBER(measured[Measured Value (kWh)]))=0,"",SUMIFS(measured[Measured Value (kWh)],measured[Site Name],A2133,measured[Date],B2133)),"")</f>
        <v/>
      </c>
      <c r="D2133" cm="1">
        <f t="array" ref="D2133">IFERROR(IF(SUMPRODUCT((expected_production[Site Name]=A2133)*(expected_production[Date]=B2133)*ISNUMBER(expected_production[Expected Production (kWh)]))=0,"",SUMIFS(expected_production[Expected Production (kWh)],expected_production[Site Name],A2133,expected_production[Date],B2133)),"")</f>
        <v>17062.95</v>
      </c>
      <c r="E2133" s="9" t="str">
        <f t="shared" si="68"/>
        <v/>
      </c>
      <c r="F2133" t="str">
        <f t="shared" si="69"/>
        <v/>
      </c>
    </row>
    <row r="2134" spans="1:6" ht="15" customHeight="1" x14ac:dyDescent="0.3">
      <c r="A2134" t="s">
        <v>182</v>
      </c>
      <c r="B2134" s="2">
        <v>45536</v>
      </c>
      <c r="C2134" t="str" cm="1">
        <f t="array" ref="C2134">IFERROR(IF(SUMPRODUCT((measured[Site Name]=A2134)*(measured[Date]=B2134)*ISNUMBER(measured[Measured Value (kWh)]))=0,"",SUMIFS(measured[Measured Value (kWh)],measured[Site Name],A2134,measured[Date],B2134)),"")</f>
        <v/>
      </c>
      <c r="D2134" cm="1">
        <f t="array" ref="D2134">IFERROR(IF(SUMPRODUCT((expected_production[Site Name]=A2134)*(expected_production[Date]=B2134)*ISNUMBER(expected_production[Expected Production (kWh)]))=0,"",SUMIFS(expected_production[Expected Production (kWh)],expected_production[Site Name],A2134,expected_production[Date],B2134)),"")</f>
        <v>18937.3</v>
      </c>
      <c r="E2134" s="9" t="str">
        <f t="shared" si="68"/>
        <v/>
      </c>
      <c r="F2134" t="str">
        <f t="shared" si="69"/>
        <v/>
      </c>
    </row>
    <row r="2135" spans="1:6" ht="15" customHeight="1" x14ac:dyDescent="0.3">
      <c r="A2135" t="s">
        <v>182</v>
      </c>
      <c r="B2135" s="2">
        <v>45566</v>
      </c>
      <c r="C2135" t="str" cm="1">
        <f t="array" ref="C2135">IFERROR(IF(SUMPRODUCT((measured[Site Name]=A2135)*(measured[Date]=B2135)*ISNUMBER(measured[Measured Value (kWh)]))=0,"",SUMIFS(measured[Measured Value (kWh)],measured[Site Name],A2135,measured[Date],B2135)),"")</f>
        <v/>
      </c>
      <c r="D2135" cm="1">
        <f t="array" ref="D2135">IFERROR(IF(SUMPRODUCT((expected_production[Site Name]=A2135)*(expected_production[Date]=B2135)*ISNUMBER(expected_production[Expected Production (kWh)]))=0,"",SUMIFS(expected_production[Expected Production (kWh)],expected_production[Site Name],A2135,expected_production[Date],B2135)),"")</f>
        <v>20481.05</v>
      </c>
      <c r="E2135" s="9" t="str">
        <f t="shared" si="68"/>
        <v/>
      </c>
      <c r="F2135" t="str">
        <f t="shared" si="69"/>
        <v/>
      </c>
    </row>
    <row r="2136" spans="1:6" ht="15" customHeight="1" x14ac:dyDescent="0.3">
      <c r="A2136" t="s">
        <v>182</v>
      </c>
      <c r="B2136" s="2">
        <v>45597</v>
      </c>
      <c r="C2136" t="str" cm="1">
        <f t="array" ref="C2136">IFERROR(IF(SUMPRODUCT((measured[Site Name]=A2136)*(measured[Date]=B2136)*ISNUMBER(measured[Measured Value (kWh)]))=0,"",SUMIFS(measured[Measured Value (kWh)],measured[Site Name],A2136,measured[Date],B2136)),"")</f>
        <v/>
      </c>
      <c r="D2136" cm="1">
        <f t="array" ref="D2136">IFERROR(IF(SUMPRODUCT((expected_production[Site Name]=A2136)*(expected_production[Date]=B2136)*ISNUMBER(expected_production[Expected Production (kWh)]))=0,"",SUMIFS(expected_production[Expected Production (kWh)],expected_production[Site Name],A2136,expected_production[Date],B2136)),"")</f>
        <v>20366.099999999999</v>
      </c>
      <c r="E2136" s="9" t="str">
        <f t="shared" si="68"/>
        <v/>
      </c>
      <c r="F2136" t="str">
        <f t="shared" si="69"/>
        <v/>
      </c>
    </row>
    <row r="2137" spans="1:6" ht="15" customHeight="1" x14ac:dyDescent="0.3">
      <c r="A2137" t="s">
        <v>182</v>
      </c>
      <c r="B2137" s="2">
        <v>45627</v>
      </c>
      <c r="C2137" t="str" cm="1">
        <f t="array" ref="C2137">IFERROR(IF(SUMPRODUCT((measured[Site Name]=A2137)*(measured[Date]=B2137)*ISNUMBER(measured[Measured Value (kWh)]))=0,"",SUMIFS(measured[Measured Value (kWh)],measured[Site Name],A2137,measured[Date],B2137)),"")</f>
        <v/>
      </c>
      <c r="D2137" cm="1">
        <f t="array" ref="D2137">IFERROR(IF(SUMPRODUCT((expected_production[Site Name]=A2137)*(expected_production[Date]=B2137)*ISNUMBER(expected_production[Expected Production (kWh)]))=0,"",SUMIFS(expected_production[Expected Production (kWh)],expected_production[Site Name],A2137,expected_production[Date],B2137)),"")</f>
        <v>21890.85</v>
      </c>
      <c r="E2137" s="9" t="str">
        <f t="shared" si="68"/>
        <v/>
      </c>
      <c r="F2137" t="str">
        <f t="shared" si="69"/>
        <v/>
      </c>
    </row>
    <row r="2138" spans="1:6" ht="15" customHeight="1" x14ac:dyDescent="0.3">
      <c r="A2138" t="s">
        <v>182</v>
      </c>
      <c r="B2138" s="2">
        <v>45658</v>
      </c>
      <c r="C2138" cm="1">
        <f t="array" ref="C2138">IFERROR(IF(SUMPRODUCT((measured[Site Name]=A2138)*(measured[Date]=B2138)*ISNUMBER(measured[Measured Value (kWh)]))=0,"",SUMIFS(measured[Measured Value (kWh)],measured[Site Name],A2138,measured[Date],B2138)),"")</f>
        <v>18900</v>
      </c>
      <c r="D2138" cm="1">
        <f t="array" ref="D2138">IFERROR(IF(SUMPRODUCT((expected_production[Site Name]=A2138)*(expected_production[Date]=B2138)*ISNUMBER(expected_production[Expected Production (kWh)]))=0,"",SUMIFS(expected_production[Expected Production (kWh)],expected_production[Site Name],A2138,expected_production[Date],B2138)),"")</f>
        <v>20564.650000000001</v>
      </c>
      <c r="E2138" s="9">
        <f t="shared" si="68"/>
        <v>0.91905284067562532</v>
      </c>
      <c r="F2138" t="str">
        <f t="shared" si="69"/>
        <v>Expected</v>
      </c>
    </row>
    <row r="2139" spans="1:6" ht="15" customHeight="1" x14ac:dyDescent="0.3">
      <c r="A2139" t="s">
        <v>182</v>
      </c>
      <c r="B2139" s="2">
        <v>45689</v>
      </c>
      <c r="C2139" cm="1">
        <f t="array" ref="C2139">IFERROR(IF(SUMPRODUCT((measured[Site Name]=A2139)*(measured[Date]=B2139)*ISNUMBER(measured[Measured Value (kWh)]))=0,"",SUMIFS(measured[Measured Value (kWh)],measured[Site Name],A2139,measured[Date],B2139)),"")</f>
        <v>13110</v>
      </c>
      <c r="D2139" cm="1">
        <f t="array" ref="D2139">IFERROR(IF(SUMPRODUCT((expected_production[Site Name]=A2139)*(expected_production[Date]=B2139)*ISNUMBER(expected_production[Expected Production (kWh)]))=0,"",SUMIFS(expected_production[Expected Production (kWh)],expected_production[Site Name],A2139,expected_production[Date],B2139)),"")</f>
        <v>17491.400000000001</v>
      </c>
      <c r="E2139" s="9">
        <f t="shared" si="68"/>
        <v>0.7495111883554203</v>
      </c>
      <c r="F2139" t="str">
        <f t="shared" si="69"/>
        <v>Moderate</v>
      </c>
    </row>
    <row r="2140" spans="1:6" ht="15" customHeight="1" x14ac:dyDescent="0.3">
      <c r="A2140" t="s">
        <v>182</v>
      </c>
      <c r="B2140" s="2">
        <v>45717</v>
      </c>
      <c r="C2140" cm="1">
        <f t="array" ref="C2140">IFERROR(IF(SUMPRODUCT((measured[Site Name]=A2140)*(measured[Date]=B2140)*ISNUMBER(measured[Measured Value (kWh)]))=0,"",SUMIFS(measured[Measured Value (kWh)],measured[Site Name],A2140,measured[Date],B2140)),"")</f>
        <v>11124</v>
      </c>
      <c r="D2140" cm="1">
        <f t="array" ref="D2140">IFERROR(IF(SUMPRODUCT((expected_production[Site Name]=A2140)*(expected_production[Date]=B2140)*ISNUMBER(expected_production[Expected Production (kWh)]))=0,"",SUMIFS(expected_production[Expected Production (kWh)],expected_production[Site Name],A2140,expected_production[Date],B2140)),"")</f>
        <v>18246.650000000001</v>
      </c>
      <c r="E2140" s="9">
        <f t="shared" si="68"/>
        <v>0.60964615422557011</v>
      </c>
      <c r="F2140" t="str">
        <f t="shared" si="69"/>
        <v>Poor</v>
      </c>
    </row>
    <row r="2141" spans="1:6" ht="15" customHeight="1" x14ac:dyDescent="0.3">
      <c r="A2141" t="s">
        <v>182</v>
      </c>
      <c r="B2141" s="2">
        <v>45748</v>
      </c>
      <c r="C2141" cm="1">
        <f t="array" ref="C2141">IFERROR(IF(SUMPRODUCT((measured[Site Name]=A2141)*(measured[Date]=B2141)*ISNUMBER(measured[Measured Value (kWh)]))=0,"",SUMIFS(measured[Measured Value (kWh)],measured[Site Name],A2141,measured[Date],B2141)),"")</f>
        <v>9398</v>
      </c>
      <c r="D2141" cm="1">
        <f t="array" ref="D2141">IFERROR(IF(SUMPRODUCT((expected_production[Site Name]=A2141)*(expected_production[Date]=B2141)*ISNUMBER(expected_production[Expected Production (kWh)]))=0,"",SUMIFS(expected_production[Expected Production (kWh)],expected_production[Site Name],A2141,expected_production[Date],B2141)),"")</f>
        <v>15297.85</v>
      </c>
      <c r="E2141" s="9">
        <f t="shared" si="68"/>
        <v>0.61433469409099972</v>
      </c>
      <c r="F2141" t="str">
        <f t="shared" si="69"/>
        <v>Poor</v>
      </c>
    </row>
    <row r="2142" spans="1:6" ht="15" customHeight="1" x14ac:dyDescent="0.3">
      <c r="A2142" t="s">
        <v>182</v>
      </c>
      <c r="B2142" s="2">
        <v>45778</v>
      </c>
      <c r="C2142" cm="1">
        <f t="array" ref="C2142">IFERROR(IF(SUMPRODUCT((measured[Site Name]=A2142)*(measured[Date]=B2142)*ISNUMBER(measured[Measured Value (kWh)]))=0,"",SUMIFS(measured[Measured Value (kWh)],measured[Site Name],A2142,measured[Date],B2142)),"")</f>
        <v>10507</v>
      </c>
      <c r="D2142" cm="1">
        <f t="array" ref="D2142">IFERROR(IF(SUMPRODUCT((expected_production[Site Name]=A2142)*(expected_production[Date]=B2142)*ISNUMBER(expected_production[Expected Production (kWh)]))=0,"",SUMIFS(expected_production[Expected Production (kWh)],expected_production[Site Name],A2142,expected_production[Date],B2142)),"")</f>
        <v>14953</v>
      </c>
      <c r="E2142" s="9">
        <f t="shared" si="68"/>
        <v>0.70266836086404061</v>
      </c>
      <c r="F2142" t="str">
        <f t="shared" si="69"/>
        <v>Moderate</v>
      </c>
    </row>
    <row r="2143" spans="1:6" ht="15" customHeight="1" x14ac:dyDescent="0.3">
      <c r="A2143" t="s">
        <v>182</v>
      </c>
      <c r="B2143" s="2">
        <v>45809</v>
      </c>
      <c r="C2143" cm="1">
        <f t="array" ref="C2143">IFERROR(IF(SUMPRODUCT((measured[Site Name]=A2143)*(measured[Date]=B2143)*ISNUMBER(measured[Measured Value (kWh)]))=0,"",SUMIFS(measured[Measured Value (kWh)],measured[Site Name],A2143,measured[Date],B2143)),"")</f>
        <v>8615</v>
      </c>
      <c r="D2143" cm="1">
        <f t="array" ref="D2143">IFERROR(IF(SUMPRODUCT((expected_production[Site Name]=A2143)*(expected_production[Date]=B2143)*ISNUMBER(expected_production[Expected Production (kWh)]))=0,"",SUMIFS(expected_production[Expected Production (kWh)],expected_production[Site Name],A2143,expected_production[Date],B2143)),"")</f>
        <v>13275.3</v>
      </c>
      <c r="E2143" s="9">
        <f t="shared" si="68"/>
        <v>0.64894955292912404</v>
      </c>
      <c r="F2143" t="str">
        <f t="shared" si="69"/>
        <v>Poor</v>
      </c>
    </row>
    <row r="2144" spans="1:6" ht="15" customHeight="1" x14ac:dyDescent="0.3">
      <c r="A2144" t="s">
        <v>182</v>
      </c>
      <c r="B2144" s="2">
        <v>45839</v>
      </c>
      <c r="C2144" cm="1">
        <f t="array" ref="C2144">IFERROR(IF(SUMPRODUCT((measured[Site Name]=A2144)*(measured[Date]=B2144)*ISNUMBER(measured[Measured Value (kWh)]))=0,"",SUMIFS(measured[Measured Value (kWh)],measured[Site Name],A2144,measured[Date],B2144)),"")</f>
        <v>9297</v>
      </c>
      <c r="D2144" cm="1">
        <f t="array" ref="D2144">IFERROR(IF(SUMPRODUCT((expected_production[Site Name]=A2144)*(expected_production[Date]=B2144)*ISNUMBER(expected_production[Expected Production (kWh)]))=0,"",SUMIFS(expected_production[Expected Production (kWh)],expected_production[Site Name],A2144,expected_production[Date],B2144)),"")</f>
        <v>14678.45</v>
      </c>
      <c r="E2144" s="9">
        <f t="shared" si="68"/>
        <v>0.63337750239296375</v>
      </c>
      <c r="F2144" t="str">
        <f t="shared" si="69"/>
        <v>Poor</v>
      </c>
    </row>
    <row r="2145" spans="1:7" ht="15" customHeight="1" x14ac:dyDescent="0.3">
      <c r="A2145" t="s">
        <v>182</v>
      </c>
      <c r="B2145" s="2">
        <v>45870</v>
      </c>
      <c r="C2145" cm="1">
        <f t="array" ref="C2145">IFERROR(IF(SUMPRODUCT((measured[Site Name]=A2145)*(measured[Date]=B2145)*ISNUMBER(measured[Measured Value (kWh)]))=0,"",SUMIFS(measured[Measured Value (kWh)],measured[Site Name],A2145,measured[Date],B2145)),"")</f>
        <v>11805</v>
      </c>
      <c r="D2145" cm="1">
        <f t="array" ref="D2145">IFERROR(IF(SUMPRODUCT((expected_production[Site Name]=A2145)*(expected_production[Date]=B2145)*ISNUMBER(expected_production[Expected Production (kWh)]))=0,"",SUMIFS(expected_production[Expected Production (kWh)],expected_production[Site Name],A2145,expected_production[Date],B2145)),"")</f>
        <v>17062.95</v>
      </c>
      <c r="E2145" s="9">
        <f t="shared" si="68"/>
        <v>0.69184988527775093</v>
      </c>
      <c r="F2145" t="str">
        <f t="shared" si="69"/>
        <v>Poor</v>
      </c>
    </row>
    <row r="2146" spans="1:7" ht="15" customHeight="1" x14ac:dyDescent="0.3">
      <c r="A2146" t="s">
        <v>182</v>
      </c>
      <c r="B2146" s="2">
        <v>45901</v>
      </c>
      <c r="C2146" cm="1">
        <f t="array" ref="C2146">IFERROR(IF(SUMPRODUCT((measured[Site Name]=A2146)*(measured[Date]=B2146)*ISNUMBER(measured[Measured Value (kWh)]))=0,"",SUMIFS(measured[Measured Value (kWh)],measured[Site Name],A2146,measured[Date],B2146)),"")</f>
        <v>12829</v>
      </c>
      <c r="D2146" cm="1">
        <f t="array" ref="D2146">IFERROR(IF(SUMPRODUCT((expected_production[Site Name]=A2146)*(expected_production[Date]=B2146)*ISNUMBER(expected_production[Expected Production (kWh)]))=0,"",SUMIFS(expected_production[Expected Production (kWh)],expected_production[Site Name],A2146,expected_production[Date],B2146)),"")</f>
        <v>18937.3</v>
      </c>
      <c r="E2146" s="9">
        <f t="shared" si="68"/>
        <v>0.67744609844064363</v>
      </c>
      <c r="F2146" t="str">
        <f t="shared" si="69"/>
        <v>Poor</v>
      </c>
    </row>
    <row r="2147" spans="1:7" ht="15" customHeight="1" x14ac:dyDescent="0.3">
      <c r="A2147" t="s">
        <v>182</v>
      </c>
      <c r="B2147" s="2">
        <v>45931</v>
      </c>
      <c r="C2147" cm="1">
        <f t="array" ref="C2147">IFERROR(IF(SUMPRODUCT((measured[Site Name]=A2147)*(measured[Date]=B2147)*ISNUMBER(measured[Measured Value (kWh)]))=0,"",SUMIFS(measured[Measured Value (kWh)],measured[Site Name],A2147,measured[Date],B2147)),"")</f>
        <v>18800</v>
      </c>
      <c r="D2147" cm="1">
        <f t="array" ref="D2147">IFERROR(IF(SUMPRODUCT((expected_production[Site Name]=A2147)*(expected_production[Date]=B2147)*ISNUMBER(expected_production[Expected Production (kWh)]))=0,"",SUMIFS(expected_production[Expected Production (kWh)],expected_production[Site Name],A2147,expected_production[Date],B2147)),"")</f>
        <v>20481.05</v>
      </c>
      <c r="E2147" s="9">
        <f t="shared" si="68"/>
        <v>0.9179216885853021</v>
      </c>
      <c r="F2147" t="str">
        <f t="shared" si="69"/>
        <v>Expected</v>
      </c>
    </row>
    <row r="2148" spans="1:7" ht="15" customHeight="1" x14ac:dyDescent="0.3">
      <c r="A2148" t="s">
        <v>182</v>
      </c>
      <c r="B2148" s="2">
        <v>45962</v>
      </c>
      <c r="C2148" cm="1">
        <f t="array" ref="C2148">IFERROR(IF(SUMPRODUCT((measured[Site Name]=A2148)*(measured[Date]=B2148)*ISNUMBER(measured[Measured Value (kWh)]))=0,"",SUMIFS(measured[Measured Value (kWh)],measured[Site Name],A2148,measured[Date],B2148)),"")</f>
        <v>15186</v>
      </c>
      <c r="D2148" cm="1">
        <f t="array" ref="D2148">IFERROR(IF(SUMPRODUCT((expected_production[Site Name]=A2148)*(expected_production[Date]=B2148)*ISNUMBER(expected_production[Expected Production (kWh)]))=0,"",SUMIFS(expected_production[Expected Production (kWh)],expected_production[Site Name],A2148,expected_production[Date],B2148)),"")</f>
        <v>20366.099999999999</v>
      </c>
      <c r="E2148" s="9">
        <f t="shared" si="68"/>
        <v>0.74565086098958566</v>
      </c>
      <c r="F2148" t="str">
        <f t="shared" si="69"/>
        <v>Moderate</v>
      </c>
    </row>
    <row r="2149" spans="1:7" ht="15" customHeight="1" x14ac:dyDescent="0.3">
      <c r="A2149" t="s">
        <v>182</v>
      </c>
      <c r="B2149" s="2">
        <v>45992</v>
      </c>
      <c r="C2149" cm="1">
        <f t="array" ref="C2149">IFERROR(IF(SUMPRODUCT((measured[Site Name]=A2149)*(measured[Date]=B2149)*ISNUMBER(measured[Measured Value (kWh)]))=0,"",SUMIFS(measured[Measured Value (kWh)],measured[Site Name],A2149,measured[Date],B2149)),"")</f>
        <v>17488.270700000001</v>
      </c>
      <c r="D2149" cm="1">
        <f t="array" ref="D2149">IFERROR(IF(SUMPRODUCT((expected_production[Site Name]=A2149)*(expected_production[Date]=B2149)*ISNUMBER(expected_production[Expected Production (kWh)]))=0,"",SUMIFS(expected_production[Expected Production (kWh)],expected_production[Site Name],A2149,expected_production[Date],B2149)),"")</f>
        <v>21890.85</v>
      </c>
      <c r="E2149" s="9">
        <f t="shared" si="68"/>
        <v>0.79888495421603101</v>
      </c>
      <c r="F2149" t="str">
        <f t="shared" si="69"/>
        <v>Moderate</v>
      </c>
    </row>
    <row r="2150" spans="1:7" ht="15" customHeight="1" x14ac:dyDescent="0.3">
      <c r="A2150" t="s">
        <v>182</v>
      </c>
      <c r="B2150" s="2">
        <v>46023</v>
      </c>
      <c r="C2150" cm="1">
        <f t="array" ref="C2150">IFERROR(IF(SUMPRODUCT((measured[Site Name]=A2150)*(measured[Date]=B2150)*ISNUMBER(measured[Measured Value (kWh)]))=0,"",SUMIFS(measured[Measured Value (kWh)],measured[Site Name],A2150,measured[Date],B2150)),"")</f>
        <v>18755</v>
      </c>
      <c r="D2150" cm="1">
        <f t="array" ref="D2150">IFERROR(IF(SUMPRODUCT((expected_production[Site Name]=A2150)*(expected_production[Date]=B2150)*ISNUMBER(expected_production[Expected Production (kWh)]))=0,"",SUMIFS(expected_production[Expected Production (kWh)],expected_production[Site Name],A2150,expected_production[Date],B2150)),"")</f>
        <v>20564.650000000001</v>
      </c>
      <c r="E2150" s="9">
        <f t="shared" si="68"/>
        <v>0.9120019061836695</v>
      </c>
      <c r="F2150" t="str">
        <f t="shared" si="69"/>
        <v>Expected</v>
      </c>
    </row>
    <row r="2151" spans="1:7" ht="15" customHeight="1" x14ac:dyDescent="0.3">
      <c r="A2151" t="s">
        <v>182</v>
      </c>
      <c r="B2151" s="2">
        <v>46054</v>
      </c>
      <c r="C2151" cm="1">
        <f t="array" ref="C2151">IFERROR(IF(SUMPRODUCT((measured[Site Name]=A2151)*(measured[Date]=B2151)*ISNUMBER(measured[Measured Value (kWh)]))=0,"",SUMIFS(measured[Measured Value (kWh)],measured[Site Name],A2151,measured[Date],B2151)),"")</f>
        <v>15395.716200000001</v>
      </c>
      <c r="D2151" cm="1">
        <f t="array" ref="D2151">IFERROR(IF(SUMPRODUCT((expected_production[Site Name]=A2151)*(expected_production[Date]=B2151)*ISNUMBER(expected_production[Expected Production (kWh)]))=0,"",SUMIFS(expected_production[Expected Production (kWh)],expected_production[Site Name],A2151,expected_production[Date],B2151)),"")</f>
        <v>17491.400000000001</v>
      </c>
      <c r="E2151" s="9">
        <f t="shared" si="68"/>
        <v>0.88018776084247108</v>
      </c>
      <c r="F2151" t="str">
        <f t="shared" si="69"/>
        <v>Moderate</v>
      </c>
    </row>
    <row r="2152" spans="1:7" ht="15" customHeight="1" x14ac:dyDescent="0.3">
      <c r="A2152" t="s">
        <v>182</v>
      </c>
      <c r="B2152" s="2">
        <v>46082</v>
      </c>
      <c r="C2152" cm="1">
        <f t="array" ref="C2152">IFERROR(IF(SUMPRODUCT((measured[Site Name]=A2152)*(measured[Date]=B2152)*ISNUMBER(measured[Measured Value (kWh)]))=0,"",SUMIFS(measured[Measured Value (kWh)],measured[Site Name],A2152,measured[Date],B2152)),"")</f>
        <v>11700</v>
      </c>
      <c r="D2152" cm="1">
        <f t="array" ref="D2152">IFERROR(IF(SUMPRODUCT((expected_production[Site Name]=A2152)*(expected_production[Date]=B2152)*ISNUMBER(expected_production[Expected Production (kWh)]))=0,"",SUMIFS(expected_production[Expected Production (kWh)],expected_production[Site Name],A2152,expected_production[Date],B2152)),"")</f>
        <v>18246.650000000001</v>
      </c>
      <c r="E2152" s="9">
        <f t="shared" si="68"/>
        <v>0.64121359263207212</v>
      </c>
      <c r="F2152" t="str">
        <f t="shared" si="69"/>
        <v>Poor</v>
      </c>
    </row>
    <row r="2153" spans="1:7" ht="15" customHeight="1" x14ac:dyDescent="0.3">
      <c r="A2153" t="s">
        <v>182</v>
      </c>
      <c r="B2153" s="2">
        <v>46113</v>
      </c>
      <c r="C2153" cm="1">
        <f t="array" ref="C2153">IFERROR(IF(SUMPRODUCT((measured[Site Name]=A2153)*(measured[Date]=B2153)*ISNUMBER(measured[Measured Value (kWh)]))=0,"",SUMIFS(measured[Measured Value (kWh)],measured[Site Name],A2153,measured[Date],B2153)),"")</f>
        <v>8798.9599999999991</v>
      </c>
      <c r="D2153" cm="1">
        <f t="array" ref="D2153">IFERROR(IF(SUMPRODUCT((expected_production[Site Name]=A2153)*(expected_production[Date]=B2153)*ISNUMBER(expected_production[Expected Production (kWh)]))=0,"",SUMIFS(expected_production[Expected Production (kWh)],expected_production[Site Name],A2153,expected_production[Date],B2153)),"")</f>
        <v>15297.85</v>
      </c>
      <c r="E2153" s="9">
        <f t="shared" si="68"/>
        <v>0.57517625025738905</v>
      </c>
      <c r="F2153" t="str">
        <f t="shared" si="69"/>
        <v>Poor</v>
      </c>
    </row>
    <row r="2154" spans="1:7" ht="15" customHeight="1" x14ac:dyDescent="0.3">
      <c r="A2154" t="s">
        <v>182</v>
      </c>
      <c r="B2154" s="2">
        <v>46143</v>
      </c>
      <c r="C2154" cm="1">
        <f t="array" ref="C2154">IFERROR(IF(SUMPRODUCT((measured[Site Name]=A2154)*(measured[Date]=B2154)*ISNUMBER(measured[Measured Value (kWh)]))=0,"",SUMIFS(measured[Measured Value (kWh)],measured[Site Name],A2154,measured[Date],B2154)),"")</f>
        <v>8378.25</v>
      </c>
      <c r="D2154" cm="1">
        <f t="array" ref="D2154">IFERROR(IF(SUMPRODUCT((expected_production[Site Name]=A2154)*(expected_production[Date]=B2154)*ISNUMBER(expected_production[Expected Production (kWh)]))=0,"",SUMIFS(expected_production[Expected Production (kWh)],expected_production[Site Name],A2154,expected_production[Date],B2154)),"")</f>
        <v>14953</v>
      </c>
      <c r="E2154" s="9">
        <f t="shared" si="68"/>
        <v>0.5603056242894402</v>
      </c>
      <c r="F2154" t="str">
        <f t="shared" si="69"/>
        <v>Poor</v>
      </c>
    </row>
    <row r="2155" spans="1:7" ht="15" customHeight="1" x14ac:dyDescent="0.3">
      <c r="A2155" t="s">
        <v>182</v>
      </c>
      <c r="B2155" s="2">
        <v>46174</v>
      </c>
      <c r="C2155" cm="1">
        <f t="array" ref="C2155">IFERROR(IF(SUMPRODUCT((measured[Site Name]=A2155)*(measured[Date]=B2155)*ISNUMBER(measured[Measured Value (kWh)]))=0,"",SUMIFS(measured[Measured Value (kWh)],measured[Site Name],A2155,measured[Date],B2155)),"")</f>
        <v>6213.16</v>
      </c>
      <c r="D2155" cm="1">
        <f t="array" ref="D2155">IFERROR(IF(SUMPRODUCT((expected_production[Site Name]=A2155)*(expected_production[Date]=B2155)*ISNUMBER(expected_production[Expected Production (kWh)]))=0,"",SUMIFS(expected_production[Expected Production (kWh)],expected_production[Site Name],A2155,expected_production[Date],B2155)),"")</f>
        <v>13275.3</v>
      </c>
      <c r="E2155" s="9">
        <f t="shared" si="68"/>
        <v>0.4680240747855039</v>
      </c>
      <c r="F2155" t="str">
        <f t="shared" si="69"/>
        <v>Poor</v>
      </c>
    </row>
    <row r="2156" spans="1:7" ht="15" customHeight="1" x14ac:dyDescent="0.3">
      <c r="A2156" t="s">
        <v>182</v>
      </c>
      <c r="B2156" s="2">
        <v>46204</v>
      </c>
      <c r="C2156" cm="1">
        <f t="array" ref="C2156">IFERROR(IF(SUMPRODUCT((measured[Site Name]=A2156)*(measured[Date]=B2156)*ISNUMBER(measured[Measured Value (kWh)]))=0,"",SUMIFS(measured[Measured Value (kWh)],measured[Site Name],A2156,measured[Date],B2156)),"")</f>
        <v>6980.78</v>
      </c>
      <c r="D2156" cm="1">
        <f t="array" ref="D2156">IFERROR(IF(SUMPRODUCT((expected_production[Site Name]=A2156)*(expected_production[Date]=B2156)*ISNUMBER(expected_production[Expected Production (kWh)]))=0,"",SUMIFS(expected_production[Expected Production (kWh)],expected_production[Site Name],A2156,expected_production[Date],B2156)),"")</f>
        <v>14678.45</v>
      </c>
      <c r="E2156" s="9">
        <f t="shared" si="68"/>
        <v>0.47558018728135459</v>
      </c>
      <c r="F2156" t="str">
        <f t="shared" si="69"/>
        <v>Poor</v>
      </c>
      <c r="G2156" t="s">
        <v>874</v>
      </c>
    </row>
    <row r="2157" spans="1:7" ht="15" customHeight="1" x14ac:dyDescent="0.3">
      <c r="A2157" t="s">
        <v>182</v>
      </c>
      <c r="B2157" s="2">
        <v>46235</v>
      </c>
      <c r="C2157" t="str" cm="1">
        <f t="array" ref="C2157">IFERROR(IF(SUMPRODUCT((measured[Site Name]=A2157)*(measured[Date]=B2157)*ISNUMBER(measured[Measured Value (kWh)]))=0,"",SUMIFS(measured[Measured Value (kWh)],measured[Site Name],A2157,measured[Date],B2157)),"")</f>
        <v/>
      </c>
      <c r="D2157" cm="1">
        <f t="array" ref="D2157">IFERROR(IF(SUMPRODUCT((expected_production[Site Name]=A2157)*(expected_production[Date]=B2157)*ISNUMBER(expected_production[Expected Production (kWh)]))=0,"",SUMIFS(expected_production[Expected Production (kWh)],expected_production[Site Name],A2157,expected_production[Date],B2157)),"")</f>
        <v>17062.95</v>
      </c>
      <c r="E2157" s="9" t="str">
        <f t="shared" si="68"/>
        <v/>
      </c>
      <c r="F2157" t="str">
        <f t="shared" si="69"/>
        <v/>
      </c>
    </row>
    <row r="2158" spans="1:7" ht="15" customHeight="1" x14ac:dyDescent="0.3">
      <c r="A2158" t="s">
        <v>182</v>
      </c>
      <c r="B2158" s="2">
        <v>46266</v>
      </c>
      <c r="C2158" t="str" cm="1">
        <f t="array" ref="C2158">IFERROR(IF(SUMPRODUCT((measured[Site Name]=A2158)*(measured[Date]=B2158)*ISNUMBER(measured[Measured Value (kWh)]))=0,"",SUMIFS(measured[Measured Value (kWh)],measured[Site Name],A2158,measured[Date],B2158)),"")</f>
        <v/>
      </c>
      <c r="D2158" cm="1">
        <f t="array" ref="D2158">IFERROR(IF(SUMPRODUCT((expected_production[Site Name]=A2158)*(expected_production[Date]=B2158)*ISNUMBER(expected_production[Expected Production (kWh)]))=0,"",SUMIFS(expected_production[Expected Production (kWh)],expected_production[Site Name],A2158,expected_production[Date],B2158)),"")</f>
        <v>18937.3</v>
      </c>
      <c r="E2158" s="9" t="str">
        <f t="shared" si="68"/>
        <v/>
      </c>
      <c r="F2158" t="str">
        <f t="shared" si="69"/>
        <v/>
      </c>
    </row>
    <row r="2159" spans="1:7" ht="15" customHeight="1" x14ac:dyDescent="0.3">
      <c r="A2159" t="s">
        <v>182</v>
      </c>
      <c r="B2159" s="2">
        <v>46296</v>
      </c>
      <c r="C2159" t="str" cm="1">
        <f t="array" ref="C2159">IFERROR(IF(SUMPRODUCT((measured[Site Name]=A2159)*(measured[Date]=B2159)*ISNUMBER(measured[Measured Value (kWh)]))=0,"",SUMIFS(measured[Measured Value (kWh)],measured[Site Name],A2159,measured[Date],B2159)),"")</f>
        <v/>
      </c>
      <c r="D2159" cm="1">
        <f t="array" ref="D2159">IFERROR(IF(SUMPRODUCT((expected_production[Site Name]=A2159)*(expected_production[Date]=B2159)*ISNUMBER(expected_production[Expected Production (kWh)]))=0,"",SUMIFS(expected_production[Expected Production (kWh)],expected_production[Site Name],A2159,expected_production[Date],B2159)),"")</f>
        <v>20481.05</v>
      </c>
      <c r="E2159" s="9" t="str">
        <f t="shared" si="68"/>
        <v/>
      </c>
      <c r="F2159" t="str">
        <f t="shared" si="69"/>
        <v/>
      </c>
    </row>
    <row r="2160" spans="1:7" ht="15" customHeight="1" x14ac:dyDescent="0.3">
      <c r="A2160" t="s">
        <v>182</v>
      </c>
      <c r="B2160" s="2">
        <v>46327</v>
      </c>
      <c r="C2160" t="str" cm="1">
        <f t="array" ref="C2160">IFERROR(IF(SUMPRODUCT((measured[Site Name]=A2160)*(measured[Date]=B2160)*ISNUMBER(measured[Measured Value (kWh)]))=0,"",SUMIFS(measured[Measured Value (kWh)],measured[Site Name],A2160,measured[Date],B2160)),"")</f>
        <v/>
      </c>
      <c r="D2160" cm="1">
        <f t="array" ref="D2160">IFERROR(IF(SUMPRODUCT((expected_production[Site Name]=A2160)*(expected_production[Date]=B2160)*ISNUMBER(expected_production[Expected Production (kWh)]))=0,"",SUMIFS(expected_production[Expected Production (kWh)],expected_production[Site Name],A2160,expected_production[Date],B2160)),"")</f>
        <v>20366.099999999999</v>
      </c>
      <c r="E2160" s="9" t="str">
        <f t="shared" si="68"/>
        <v/>
      </c>
      <c r="F2160" t="str">
        <f t="shared" si="69"/>
        <v/>
      </c>
    </row>
    <row r="2161" spans="1:6" ht="15" customHeight="1" x14ac:dyDescent="0.3">
      <c r="A2161" t="s">
        <v>182</v>
      </c>
      <c r="B2161" s="2">
        <v>46357</v>
      </c>
      <c r="C2161" t="str" cm="1">
        <f t="array" ref="C2161">IFERROR(IF(SUMPRODUCT((measured[Site Name]=A2161)*(measured[Date]=B2161)*ISNUMBER(measured[Measured Value (kWh)]))=0,"",SUMIFS(measured[Measured Value (kWh)],measured[Site Name],A2161,measured[Date],B2161)),"")</f>
        <v/>
      </c>
      <c r="D2161" cm="1">
        <f t="array" ref="D2161">IFERROR(IF(SUMPRODUCT((expected_production[Site Name]=A2161)*(expected_production[Date]=B2161)*ISNUMBER(expected_production[Expected Production (kWh)]))=0,"",SUMIFS(expected_production[Expected Production (kWh)],expected_production[Site Name],A2161,expected_production[Date],B2161)),"")</f>
        <v>21890.85</v>
      </c>
      <c r="E2161" s="9" t="str">
        <f t="shared" si="68"/>
        <v/>
      </c>
      <c r="F2161" t="str">
        <f t="shared" si="69"/>
        <v/>
      </c>
    </row>
    <row r="2162" spans="1:6" ht="15" customHeight="1" x14ac:dyDescent="0.3">
      <c r="A2162" t="s">
        <v>184</v>
      </c>
      <c r="B2162" s="2">
        <v>45292</v>
      </c>
      <c r="C2162" t="str" cm="1">
        <f t="array" ref="C2162">IFERROR(IF(SUMPRODUCT((measured[Site Name]=A2162)*(measured[Date]=B2162)*ISNUMBER(measured[Measured Value (kWh)]))=0,"",SUMIFS(measured[Measured Value (kWh)],measured[Site Name],A2162,measured[Date],B2162)),"")</f>
        <v/>
      </c>
      <c r="D2162" cm="1">
        <f t="array" ref="D2162">IFERROR(IF(SUMPRODUCT((expected_production[Site Name]=A2162)*(expected_production[Date]=B2162)*ISNUMBER(expected_production[Expected Production (kWh)]))=0,"",SUMIFS(expected_production[Expected Production (kWh)],expected_production[Site Name],A2162,expected_production[Date],B2162)),"")</f>
        <v>37513.599999999999</v>
      </c>
      <c r="E2162" s="9" t="str">
        <f t="shared" si="68"/>
        <v/>
      </c>
      <c r="F2162" t="str">
        <f t="shared" si="69"/>
        <v/>
      </c>
    </row>
    <row r="2163" spans="1:6" ht="15" customHeight="1" x14ac:dyDescent="0.3">
      <c r="A2163" t="s">
        <v>184</v>
      </c>
      <c r="B2163" s="2">
        <v>45323</v>
      </c>
      <c r="C2163" t="str" cm="1">
        <f t="array" ref="C2163">IFERROR(IF(SUMPRODUCT((measured[Site Name]=A2163)*(measured[Date]=B2163)*ISNUMBER(measured[Measured Value (kWh)]))=0,"",SUMIFS(measured[Measured Value (kWh)],measured[Site Name],A2163,measured[Date],B2163)),"")</f>
        <v/>
      </c>
      <c r="D2163" cm="1">
        <f t="array" ref="D2163">IFERROR(IF(SUMPRODUCT((expected_production[Site Name]=A2163)*(expected_production[Date]=B2163)*ISNUMBER(expected_production[Expected Production (kWh)]))=0,"",SUMIFS(expected_production[Expected Production (kWh)],expected_production[Site Name],A2163,expected_production[Date],B2163)),"")</f>
        <v>31212.25</v>
      </c>
      <c r="E2163" s="9" t="str">
        <f t="shared" si="68"/>
        <v/>
      </c>
      <c r="F2163" t="str">
        <f t="shared" si="69"/>
        <v/>
      </c>
    </row>
    <row r="2164" spans="1:6" ht="15" customHeight="1" x14ac:dyDescent="0.3">
      <c r="A2164" t="s">
        <v>184</v>
      </c>
      <c r="B2164" s="2">
        <v>45352</v>
      </c>
      <c r="C2164" t="str" cm="1">
        <f t="array" ref="C2164">IFERROR(IF(SUMPRODUCT((measured[Site Name]=A2164)*(measured[Date]=B2164)*ISNUMBER(measured[Measured Value (kWh)]))=0,"",SUMIFS(measured[Measured Value (kWh)],measured[Site Name],A2164,measured[Date],B2164)),"")</f>
        <v/>
      </c>
      <c r="D2164" cm="1">
        <f t="array" ref="D2164">IFERROR(IF(SUMPRODUCT((expected_production[Site Name]=A2164)*(expected_production[Date]=B2164)*ISNUMBER(expected_production[Expected Production (kWh)]))=0,"",SUMIFS(expected_production[Expected Production (kWh)],expected_production[Site Name],A2164,expected_production[Date],B2164)),"")</f>
        <v>29700.134999999998</v>
      </c>
      <c r="E2164" s="9" t="str">
        <f t="shared" si="68"/>
        <v/>
      </c>
      <c r="F2164" t="str">
        <f t="shared" si="69"/>
        <v/>
      </c>
    </row>
    <row r="2165" spans="1:6" ht="15" customHeight="1" x14ac:dyDescent="0.3">
      <c r="A2165" t="s">
        <v>184</v>
      </c>
      <c r="B2165" s="2">
        <v>45383</v>
      </c>
      <c r="C2165" t="str" cm="1">
        <f t="array" ref="C2165">IFERROR(IF(SUMPRODUCT((measured[Site Name]=A2165)*(measured[Date]=B2165)*ISNUMBER(measured[Measured Value (kWh)]))=0,"",SUMIFS(measured[Measured Value (kWh)],measured[Site Name],A2165,measured[Date],B2165)),"")</f>
        <v/>
      </c>
      <c r="D2165" cm="1">
        <f t="array" ref="D2165">IFERROR(IF(SUMPRODUCT((expected_production[Site Name]=A2165)*(expected_production[Date]=B2165)*ISNUMBER(expected_production[Expected Production (kWh)]))=0,"",SUMIFS(expected_production[Expected Production (kWh)],expected_production[Site Name],A2165,expected_production[Date],B2165)),"")</f>
        <v>24898.55</v>
      </c>
      <c r="E2165" s="9" t="str">
        <f t="shared" si="68"/>
        <v/>
      </c>
      <c r="F2165" t="str">
        <f t="shared" si="69"/>
        <v/>
      </c>
    </row>
    <row r="2166" spans="1:6" ht="15" customHeight="1" x14ac:dyDescent="0.3">
      <c r="A2166" t="s">
        <v>184</v>
      </c>
      <c r="B2166" s="2">
        <v>45413</v>
      </c>
      <c r="C2166" t="str" cm="1">
        <f t="array" ref="C2166">IFERROR(IF(SUMPRODUCT((measured[Site Name]=A2166)*(measured[Date]=B2166)*ISNUMBER(measured[Measured Value (kWh)]))=0,"",SUMIFS(measured[Measured Value (kWh)],measured[Site Name],A2166,measured[Date],B2166)),"")</f>
        <v/>
      </c>
      <c r="D2166" cm="1">
        <f t="array" ref="D2166">IFERROR(IF(SUMPRODUCT((expected_production[Site Name]=A2166)*(expected_production[Date]=B2166)*ISNUMBER(expected_production[Expected Production (kWh)]))=0,"",SUMIFS(expected_production[Expected Production (kWh)],expected_production[Site Name],A2166,expected_production[Date],B2166)),"")</f>
        <v>21981.1</v>
      </c>
      <c r="E2166" s="9" t="str">
        <f t="shared" si="68"/>
        <v/>
      </c>
      <c r="F2166" t="str">
        <f t="shared" si="69"/>
        <v/>
      </c>
    </row>
    <row r="2167" spans="1:6" ht="15" customHeight="1" x14ac:dyDescent="0.3">
      <c r="A2167" t="s">
        <v>184</v>
      </c>
      <c r="B2167" s="2">
        <v>45444</v>
      </c>
      <c r="C2167" t="str" cm="1">
        <f t="array" ref="C2167">IFERROR(IF(SUMPRODUCT((measured[Site Name]=A2167)*(measured[Date]=B2167)*ISNUMBER(measured[Measured Value (kWh)]))=0,"",SUMIFS(measured[Measured Value (kWh)],measured[Site Name],A2167,measured[Date],B2167)),"")</f>
        <v/>
      </c>
      <c r="D2167" cm="1">
        <f t="array" ref="D2167">IFERROR(IF(SUMPRODUCT((expected_production[Site Name]=A2167)*(expected_production[Date]=B2167)*ISNUMBER(expected_production[Expected Production (kWh)]))=0,"",SUMIFS(expected_production[Expected Production (kWh)],expected_production[Site Name],A2167,expected_production[Date],B2167)),"")</f>
        <v>18982.900000000001</v>
      </c>
      <c r="E2167" s="9" t="str">
        <f t="shared" si="68"/>
        <v/>
      </c>
      <c r="F2167" t="str">
        <f t="shared" si="69"/>
        <v/>
      </c>
    </row>
    <row r="2168" spans="1:6" ht="15" customHeight="1" x14ac:dyDescent="0.3">
      <c r="A2168" t="s">
        <v>184</v>
      </c>
      <c r="B2168" s="2">
        <v>45474</v>
      </c>
      <c r="C2168" t="str" cm="1">
        <f t="array" ref="C2168">IFERROR(IF(SUMPRODUCT((measured[Site Name]=A2168)*(measured[Date]=B2168)*ISNUMBER(measured[Measured Value (kWh)]))=0,"",SUMIFS(measured[Measured Value (kWh)],measured[Site Name],A2168,measured[Date],B2168)),"")</f>
        <v/>
      </c>
      <c r="D2168" cm="1">
        <f t="array" ref="D2168">IFERROR(IF(SUMPRODUCT((expected_production[Site Name]=A2168)*(expected_production[Date]=B2168)*ISNUMBER(expected_production[Expected Production (kWh)]))=0,"",SUMIFS(expected_production[Expected Production (kWh)],expected_production[Site Name],A2168,expected_production[Date],B2168)),"")</f>
        <v>21551.7</v>
      </c>
      <c r="E2168" s="9" t="str">
        <f t="shared" si="68"/>
        <v/>
      </c>
      <c r="F2168" t="str">
        <f t="shared" si="69"/>
        <v/>
      </c>
    </row>
    <row r="2169" spans="1:6" ht="15" customHeight="1" x14ac:dyDescent="0.3">
      <c r="A2169" t="s">
        <v>184</v>
      </c>
      <c r="B2169" s="2">
        <v>45505</v>
      </c>
      <c r="C2169" t="str" cm="1">
        <f t="array" ref="C2169">IFERROR(IF(SUMPRODUCT((measured[Site Name]=A2169)*(measured[Date]=B2169)*ISNUMBER(measured[Measured Value (kWh)]))=0,"",SUMIFS(measured[Measured Value (kWh)],measured[Site Name],A2169,measured[Date],B2169)),"")</f>
        <v/>
      </c>
      <c r="D2169" cm="1">
        <f t="array" ref="D2169">IFERROR(IF(SUMPRODUCT((expected_production[Site Name]=A2169)*(expected_production[Date]=B2169)*ISNUMBER(expected_production[Expected Production (kWh)]))=0,"",SUMIFS(expected_production[Expected Production (kWh)],expected_production[Site Name],A2169,expected_production[Date],B2169)),"")</f>
        <v>26041.4</v>
      </c>
      <c r="E2169" s="9" t="str">
        <f t="shared" si="68"/>
        <v/>
      </c>
      <c r="F2169" t="str">
        <f t="shared" si="69"/>
        <v/>
      </c>
    </row>
    <row r="2170" spans="1:6" ht="15" customHeight="1" x14ac:dyDescent="0.3">
      <c r="A2170" t="s">
        <v>184</v>
      </c>
      <c r="B2170" s="2">
        <v>45536</v>
      </c>
      <c r="C2170" t="str" cm="1">
        <f t="array" ref="C2170">IFERROR(IF(SUMPRODUCT((measured[Site Name]=A2170)*(measured[Date]=B2170)*ISNUMBER(measured[Measured Value (kWh)]))=0,"",SUMIFS(measured[Measured Value (kWh)],measured[Site Name],A2170,measured[Date],B2170)),"")</f>
        <v/>
      </c>
      <c r="D2170" cm="1">
        <f t="array" ref="D2170">IFERROR(IF(SUMPRODUCT((expected_production[Site Name]=A2170)*(expected_production[Date]=B2170)*ISNUMBER(expected_production[Expected Production (kWh)]))=0,"",SUMIFS(expected_production[Expected Production (kWh)],expected_production[Site Name],A2170,expected_production[Date],B2170)),"")</f>
        <v>29888.9</v>
      </c>
      <c r="E2170" s="9" t="str">
        <f t="shared" si="68"/>
        <v/>
      </c>
      <c r="F2170" t="str">
        <f t="shared" si="69"/>
        <v/>
      </c>
    </row>
    <row r="2171" spans="1:6" ht="15" customHeight="1" x14ac:dyDescent="0.3">
      <c r="A2171" t="s">
        <v>184</v>
      </c>
      <c r="B2171" s="2">
        <v>45566</v>
      </c>
      <c r="C2171" t="str" cm="1">
        <f t="array" ref="C2171">IFERROR(IF(SUMPRODUCT((measured[Site Name]=A2171)*(measured[Date]=B2171)*ISNUMBER(measured[Measured Value (kWh)]))=0,"",SUMIFS(measured[Measured Value (kWh)],measured[Site Name],A2171,measured[Date],B2171)),"")</f>
        <v/>
      </c>
      <c r="D2171" cm="1">
        <f t="array" ref="D2171">IFERROR(IF(SUMPRODUCT((expected_production[Site Name]=A2171)*(expected_production[Date]=B2171)*ISNUMBER(expected_production[Expected Production (kWh)]))=0,"",SUMIFS(expected_production[Expected Production (kWh)],expected_production[Site Name],A2171,expected_production[Date],B2171)),"")</f>
        <v>34705.4</v>
      </c>
      <c r="E2171" s="9" t="str">
        <f t="shared" si="68"/>
        <v/>
      </c>
      <c r="F2171" t="str">
        <f t="shared" si="69"/>
        <v/>
      </c>
    </row>
    <row r="2172" spans="1:6" ht="15" customHeight="1" x14ac:dyDescent="0.3">
      <c r="A2172" t="s">
        <v>184</v>
      </c>
      <c r="B2172" s="2">
        <v>45597</v>
      </c>
      <c r="C2172" t="str" cm="1">
        <f t="array" ref="C2172">IFERROR(IF(SUMPRODUCT((measured[Site Name]=A2172)*(measured[Date]=B2172)*ISNUMBER(measured[Measured Value (kWh)]))=0,"",SUMIFS(measured[Measured Value (kWh)],measured[Site Name],A2172,measured[Date],B2172)),"")</f>
        <v/>
      </c>
      <c r="D2172" cm="1">
        <f t="array" ref="D2172">IFERROR(IF(SUMPRODUCT((expected_production[Site Name]=A2172)*(expected_production[Date]=B2172)*ISNUMBER(expected_production[Expected Production (kWh)]))=0,"",SUMIFS(expected_production[Expected Production (kWh)],expected_production[Site Name],A2172,expected_production[Date],B2172)),"")</f>
        <v>36881.85</v>
      </c>
      <c r="E2172" s="9" t="str">
        <f t="shared" ref="E2172:E2235" si="70">IF(OR(C2172="",D2172="",D2172=0),"",C2172/D2172)</f>
        <v/>
      </c>
      <c r="F2172" t="str">
        <f t="shared" ref="F2172:F2235" si="71">IF(E2172="","",IF(E2172&gt;=0.9,"Expected",IF(E2172&gt;=0.7,"Moderate","Poor")))</f>
        <v/>
      </c>
    </row>
    <row r="2173" spans="1:6" ht="15" customHeight="1" x14ac:dyDescent="0.3">
      <c r="A2173" t="s">
        <v>184</v>
      </c>
      <c r="B2173" s="2">
        <v>45627</v>
      </c>
      <c r="C2173" t="str" cm="1">
        <f t="array" ref="C2173">IFERROR(IF(SUMPRODUCT((measured[Site Name]=A2173)*(measured[Date]=B2173)*ISNUMBER(measured[Measured Value (kWh)]))=0,"",SUMIFS(measured[Measured Value (kWh)],measured[Site Name],A2173,measured[Date],B2173)),"")</f>
        <v/>
      </c>
      <c r="D2173" cm="1">
        <f t="array" ref="D2173">IFERROR(IF(SUMPRODUCT((expected_production[Site Name]=A2173)*(expected_production[Date]=B2173)*ISNUMBER(expected_production[Expected Production (kWh)]))=0,"",SUMIFS(expected_production[Expected Production (kWh)],expected_production[Site Name],A2173,expected_production[Date],B2173)),"")</f>
        <v>40110.9</v>
      </c>
      <c r="E2173" s="9" t="str">
        <f t="shared" si="70"/>
        <v/>
      </c>
      <c r="F2173" t="str">
        <f t="shared" si="71"/>
        <v/>
      </c>
    </row>
    <row r="2174" spans="1:6" ht="15" customHeight="1" x14ac:dyDescent="0.3">
      <c r="A2174" t="s">
        <v>184</v>
      </c>
      <c r="B2174" s="2">
        <v>45658</v>
      </c>
      <c r="C2174" cm="1">
        <f t="array" ref="C2174">IFERROR(IF(SUMPRODUCT((measured[Site Name]=A2174)*(measured[Date]=B2174)*ISNUMBER(measured[Measured Value (kWh)]))=0,"",SUMIFS(measured[Measured Value (kWh)],measured[Site Name],A2174,measured[Date],B2174)),"")</f>
        <v>33100</v>
      </c>
      <c r="D2174" cm="1">
        <f t="array" ref="D2174">IFERROR(IF(SUMPRODUCT((expected_production[Site Name]=A2174)*(expected_production[Date]=B2174)*ISNUMBER(expected_production[Expected Production (kWh)]))=0,"",SUMIFS(expected_production[Expected Production (kWh)],expected_production[Site Name],A2174,expected_production[Date],B2174)),"")</f>
        <v>37513.599999999999</v>
      </c>
      <c r="E2174" s="9">
        <f t="shared" si="70"/>
        <v>0.88234666894139724</v>
      </c>
      <c r="F2174" t="str">
        <f t="shared" si="71"/>
        <v>Moderate</v>
      </c>
    </row>
    <row r="2175" spans="1:6" ht="15" customHeight="1" x14ac:dyDescent="0.3">
      <c r="A2175" t="s">
        <v>184</v>
      </c>
      <c r="B2175" s="2">
        <v>45689</v>
      </c>
      <c r="C2175" cm="1">
        <f t="array" ref="C2175">IFERROR(IF(SUMPRODUCT((measured[Site Name]=A2175)*(measured[Date]=B2175)*ISNUMBER(measured[Measured Value (kWh)]))=0,"",SUMIFS(measured[Measured Value (kWh)],measured[Site Name],A2175,measured[Date],B2175)),"")</f>
        <v>24950</v>
      </c>
      <c r="D2175" cm="1">
        <f t="array" ref="D2175">IFERROR(IF(SUMPRODUCT((expected_production[Site Name]=A2175)*(expected_production[Date]=B2175)*ISNUMBER(expected_production[Expected Production (kWh)]))=0,"",SUMIFS(expected_production[Expected Production (kWh)],expected_production[Site Name],A2175,expected_production[Date],B2175)),"")</f>
        <v>31212.25</v>
      </c>
      <c r="E2175" s="9">
        <f t="shared" si="70"/>
        <v>0.79936563368549207</v>
      </c>
      <c r="F2175" t="str">
        <f t="shared" si="71"/>
        <v>Moderate</v>
      </c>
    </row>
    <row r="2176" spans="1:6" ht="15" customHeight="1" x14ac:dyDescent="0.3">
      <c r="A2176" t="s">
        <v>184</v>
      </c>
      <c r="B2176" s="2">
        <v>45717</v>
      </c>
      <c r="C2176" cm="1">
        <f t="array" ref="C2176">IFERROR(IF(SUMPRODUCT((measured[Site Name]=A2176)*(measured[Date]=B2176)*ISNUMBER(measured[Measured Value (kWh)]))=0,"",SUMIFS(measured[Measured Value (kWh)],measured[Site Name],A2176,measured[Date],B2176)),"")</f>
        <v>24126</v>
      </c>
      <c r="D2176" cm="1">
        <f t="array" ref="D2176">IFERROR(IF(SUMPRODUCT((expected_production[Site Name]=A2176)*(expected_production[Date]=B2176)*ISNUMBER(expected_production[Expected Production (kWh)]))=0,"",SUMIFS(expected_production[Expected Production (kWh)],expected_production[Site Name],A2176,expected_production[Date],B2176)),"")</f>
        <v>29700.134999999998</v>
      </c>
      <c r="E2176" s="9">
        <f t="shared" si="70"/>
        <v>0.81231953996168704</v>
      </c>
      <c r="F2176" t="str">
        <f t="shared" si="71"/>
        <v>Moderate</v>
      </c>
    </row>
    <row r="2177" spans="1:7" ht="15" customHeight="1" x14ac:dyDescent="0.3">
      <c r="A2177" t="s">
        <v>184</v>
      </c>
      <c r="B2177" s="2">
        <v>45748</v>
      </c>
      <c r="C2177" cm="1">
        <f t="array" ref="C2177">IFERROR(IF(SUMPRODUCT((measured[Site Name]=A2177)*(measured[Date]=B2177)*ISNUMBER(measured[Measured Value (kWh)]))=0,"",SUMIFS(measured[Measured Value (kWh)],measured[Site Name],A2177,measured[Date],B2177)),"")</f>
        <v>18837</v>
      </c>
      <c r="D2177" cm="1">
        <f t="array" ref="D2177">IFERROR(IF(SUMPRODUCT((expected_production[Site Name]=A2177)*(expected_production[Date]=B2177)*ISNUMBER(expected_production[Expected Production (kWh)]))=0,"",SUMIFS(expected_production[Expected Production (kWh)],expected_production[Site Name],A2177,expected_production[Date],B2177)),"")</f>
        <v>24898.55</v>
      </c>
      <c r="E2177" s="9">
        <f t="shared" si="70"/>
        <v>0.75655008022555537</v>
      </c>
      <c r="F2177" t="str">
        <f t="shared" si="71"/>
        <v>Moderate</v>
      </c>
    </row>
    <row r="2178" spans="1:7" ht="15" customHeight="1" x14ac:dyDescent="0.3">
      <c r="A2178" t="s">
        <v>184</v>
      </c>
      <c r="B2178" s="2">
        <v>45778</v>
      </c>
      <c r="C2178" cm="1">
        <f t="array" ref="C2178">IFERROR(IF(SUMPRODUCT((measured[Site Name]=A2178)*(measured[Date]=B2178)*ISNUMBER(measured[Measured Value (kWh)]))=0,"",SUMIFS(measured[Measured Value (kWh)],measured[Site Name],A2178,measured[Date],B2178)),"")</f>
        <v>22373</v>
      </c>
      <c r="D2178" cm="1">
        <f t="array" ref="D2178">IFERROR(IF(SUMPRODUCT((expected_production[Site Name]=A2178)*(expected_production[Date]=B2178)*ISNUMBER(expected_production[Expected Production (kWh)]))=0,"",SUMIFS(expected_production[Expected Production (kWh)],expected_production[Site Name],A2178,expected_production[Date],B2178)),"")</f>
        <v>21981.1</v>
      </c>
      <c r="E2178" s="9">
        <f t="shared" si="70"/>
        <v>1.0178289530551248</v>
      </c>
      <c r="F2178" t="str">
        <f t="shared" si="71"/>
        <v>Expected</v>
      </c>
    </row>
    <row r="2179" spans="1:7" ht="15" customHeight="1" x14ac:dyDescent="0.3">
      <c r="A2179" t="s">
        <v>184</v>
      </c>
      <c r="B2179" s="2">
        <v>45809</v>
      </c>
      <c r="C2179" cm="1">
        <f t="array" ref="C2179">IFERROR(IF(SUMPRODUCT((measured[Site Name]=A2179)*(measured[Date]=B2179)*ISNUMBER(measured[Measured Value (kWh)]))=0,"",SUMIFS(measured[Measured Value (kWh)],measured[Site Name],A2179,measured[Date],B2179)),"")</f>
        <v>18416.599999999999</v>
      </c>
      <c r="D2179" cm="1">
        <f t="array" ref="D2179">IFERROR(IF(SUMPRODUCT((expected_production[Site Name]=A2179)*(expected_production[Date]=B2179)*ISNUMBER(expected_production[Expected Production (kWh)]))=0,"",SUMIFS(expected_production[Expected Production (kWh)],expected_production[Site Name],A2179,expected_production[Date],B2179)),"")</f>
        <v>18982.900000000001</v>
      </c>
      <c r="E2179" s="9">
        <f t="shared" si="70"/>
        <v>0.97016788794125219</v>
      </c>
      <c r="F2179" t="str">
        <f t="shared" si="71"/>
        <v>Expected</v>
      </c>
    </row>
    <row r="2180" spans="1:7" ht="15" customHeight="1" x14ac:dyDescent="0.3">
      <c r="A2180" t="s">
        <v>184</v>
      </c>
      <c r="B2180" s="2">
        <v>45839</v>
      </c>
      <c r="C2180" cm="1">
        <f t="array" ref="C2180">IFERROR(IF(SUMPRODUCT((measured[Site Name]=A2180)*(measured[Date]=B2180)*ISNUMBER(measured[Measured Value (kWh)]))=0,"",SUMIFS(measured[Measured Value (kWh)],measured[Site Name],A2180,measured[Date],B2180)),"")</f>
        <v>19123</v>
      </c>
      <c r="D2180" cm="1">
        <f t="array" ref="D2180">IFERROR(IF(SUMPRODUCT((expected_production[Site Name]=A2180)*(expected_production[Date]=B2180)*ISNUMBER(expected_production[Expected Production (kWh)]))=0,"",SUMIFS(expected_production[Expected Production (kWh)],expected_production[Site Name],A2180,expected_production[Date],B2180)),"")</f>
        <v>21551.7</v>
      </c>
      <c r="E2180" s="9">
        <f t="shared" si="70"/>
        <v>0.887308193785177</v>
      </c>
      <c r="F2180" t="str">
        <f t="shared" si="71"/>
        <v>Moderate</v>
      </c>
    </row>
    <row r="2181" spans="1:7" ht="15" customHeight="1" x14ac:dyDescent="0.3">
      <c r="A2181" t="s">
        <v>184</v>
      </c>
      <c r="B2181" s="2">
        <v>45870</v>
      </c>
      <c r="C2181" cm="1">
        <f t="array" ref="C2181">IFERROR(IF(SUMPRODUCT((measured[Site Name]=A2181)*(measured[Date]=B2181)*ISNUMBER(measured[Measured Value (kWh)]))=0,"",SUMIFS(measured[Measured Value (kWh)],measured[Site Name],A2181,measured[Date],B2181)),"")</f>
        <v>22404</v>
      </c>
      <c r="D2181" cm="1">
        <f t="array" ref="D2181">IFERROR(IF(SUMPRODUCT((expected_production[Site Name]=A2181)*(expected_production[Date]=B2181)*ISNUMBER(expected_production[Expected Production (kWh)]))=0,"",SUMIFS(expected_production[Expected Production (kWh)],expected_production[Site Name],A2181,expected_production[Date],B2181)),"")</f>
        <v>26041.4</v>
      </c>
      <c r="E2181" s="9">
        <f t="shared" si="70"/>
        <v>0.86032240970147533</v>
      </c>
      <c r="F2181" t="str">
        <f t="shared" si="71"/>
        <v>Moderate</v>
      </c>
    </row>
    <row r="2182" spans="1:7" ht="15" customHeight="1" x14ac:dyDescent="0.3">
      <c r="A2182" t="s">
        <v>184</v>
      </c>
      <c r="B2182" s="2">
        <v>45901</v>
      </c>
      <c r="C2182" cm="1">
        <f t="array" ref="C2182">IFERROR(IF(SUMPRODUCT((measured[Site Name]=A2182)*(measured[Date]=B2182)*ISNUMBER(measured[Measured Value (kWh)]))=0,"",SUMIFS(measured[Measured Value (kWh)],measured[Site Name],A2182,measured[Date],B2182)),"")</f>
        <v>21900</v>
      </c>
      <c r="D2182" cm="1">
        <f t="array" ref="D2182">IFERROR(IF(SUMPRODUCT((expected_production[Site Name]=A2182)*(expected_production[Date]=B2182)*ISNUMBER(expected_production[Expected Production (kWh)]))=0,"",SUMIFS(expected_production[Expected Production (kWh)],expected_production[Site Name],A2182,expected_production[Date],B2182)),"")</f>
        <v>29888.9</v>
      </c>
      <c r="E2182" s="9">
        <f t="shared" si="70"/>
        <v>0.73271348226264599</v>
      </c>
      <c r="F2182" t="str">
        <f t="shared" si="71"/>
        <v>Moderate</v>
      </c>
    </row>
    <row r="2183" spans="1:7" ht="15" customHeight="1" x14ac:dyDescent="0.3">
      <c r="A2183" t="s">
        <v>184</v>
      </c>
      <c r="B2183" s="2">
        <v>45931</v>
      </c>
      <c r="C2183" cm="1">
        <f t="array" ref="C2183">IFERROR(IF(SUMPRODUCT((measured[Site Name]=A2183)*(measured[Date]=B2183)*ISNUMBER(measured[Measured Value (kWh)]))=0,"",SUMIFS(measured[Measured Value (kWh)],measured[Site Name],A2183,measured[Date],B2183)),"")</f>
        <v>29612</v>
      </c>
      <c r="D2183" cm="1">
        <f t="array" ref="D2183">IFERROR(IF(SUMPRODUCT((expected_production[Site Name]=A2183)*(expected_production[Date]=B2183)*ISNUMBER(expected_production[Expected Production (kWh)]))=0,"",SUMIFS(expected_production[Expected Production (kWh)],expected_production[Site Name],A2183,expected_production[Date],B2183)),"")</f>
        <v>34705.4</v>
      </c>
      <c r="E2183" s="9">
        <f t="shared" si="70"/>
        <v>0.85323897721968334</v>
      </c>
      <c r="F2183" t="str">
        <f t="shared" si="71"/>
        <v>Moderate</v>
      </c>
    </row>
    <row r="2184" spans="1:7" ht="15" customHeight="1" x14ac:dyDescent="0.3">
      <c r="A2184" t="s">
        <v>184</v>
      </c>
      <c r="B2184" s="2">
        <v>45962</v>
      </c>
      <c r="C2184" cm="1">
        <f t="array" ref="C2184">IFERROR(IF(SUMPRODUCT((measured[Site Name]=A2184)*(measured[Date]=B2184)*ISNUMBER(measured[Measured Value (kWh)]))=0,"",SUMIFS(measured[Measured Value (kWh)],measured[Site Name],A2184,measured[Date],B2184)),"")</f>
        <v>26751</v>
      </c>
      <c r="D2184" cm="1">
        <f t="array" ref="D2184">IFERROR(IF(SUMPRODUCT((expected_production[Site Name]=A2184)*(expected_production[Date]=B2184)*ISNUMBER(expected_production[Expected Production (kWh)]))=0,"",SUMIFS(expected_production[Expected Production (kWh)],expected_production[Site Name],A2184,expected_production[Date],B2184)),"")</f>
        <v>36881.85</v>
      </c>
      <c r="E2184" s="9">
        <f t="shared" si="70"/>
        <v>0.72531611076993163</v>
      </c>
      <c r="F2184" t="str">
        <f t="shared" si="71"/>
        <v>Moderate</v>
      </c>
    </row>
    <row r="2185" spans="1:7" ht="15" customHeight="1" x14ac:dyDescent="0.3">
      <c r="A2185" t="s">
        <v>184</v>
      </c>
      <c r="B2185" s="2">
        <v>45992</v>
      </c>
      <c r="C2185" cm="1">
        <f t="array" ref="C2185">IFERROR(IF(SUMPRODUCT((measured[Site Name]=A2185)*(measured[Date]=B2185)*ISNUMBER(measured[Measured Value (kWh)]))=0,"",SUMIFS(measured[Measured Value (kWh)],measured[Site Name],A2185,measured[Date],B2185)),"")</f>
        <v>30623.100399999999</v>
      </c>
      <c r="D2185" cm="1">
        <f t="array" ref="D2185">IFERROR(IF(SUMPRODUCT((expected_production[Site Name]=A2185)*(expected_production[Date]=B2185)*ISNUMBER(expected_production[Expected Production (kWh)]))=0,"",SUMIFS(expected_production[Expected Production (kWh)],expected_production[Site Name],A2185,expected_production[Date],B2185)),"")</f>
        <v>40110.9</v>
      </c>
      <c r="E2185" s="9">
        <f t="shared" si="70"/>
        <v>0.76346081489071549</v>
      </c>
      <c r="F2185" t="str">
        <f t="shared" si="71"/>
        <v>Moderate</v>
      </c>
    </row>
    <row r="2186" spans="1:7" ht="15" customHeight="1" x14ac:dyDescent="0.3">
      <c r="A2186" t="s">
        <v>184</v>
      </c>
      <c r="B2186" s="2">
        <v>46023</v>
      </c>
      <c r="C2186" cm="1">
        <f t="array" ref="C2186">IFERROR(IF(SUMPRODUCT((measured[Site Name]=A2186)*(measured[Date]=B2186)*ISNUMBER(measured[Measured Value (kWh)]))=0,"",SUMIFS(measured[Measured Value (kWh)],measured[Site Name],A2186,measured[Date],B2186)),"")</f>
        <v>34009</v>
      </c>
      <c r="D2186" cm="1">
        <f t="array" ref="D2186">IFERROR(IF(SUMPRODUCT((expected_production[Site Name]=A2186)*(expected_production[Date]=B2186)*ISNUMBER(expected_production[Expected Production (kWh)]))=0,"",SUMIFS(expected_production[Expected Production (kWh)],expected_production[Site Name],A2186,expected_production[Date],B2186)),"")</f>
        <v>37513.599999999999</v>
      </c>
      <c r="E2186" s="9">
        <f t="shared" si="70"/>
        <v>0.9065778810884586</v>
      </c>
      <c r="F2186" t="str">
        <f t="shared" si="71"/>
        <v>Expected</v>
      </c>
    </row>
    <row r="2187" spans="1:7" ht="15" customHeight="1" x14ac:dyDescent="0.3">
      <c r="A2187" t="s">
        <v>184</v>
      </c>
      <c r="B2187" s="2">
        <v>46054</v>
      </c>
      <c r="C2187" cm="1">
        <f t="array" ref="C2187">IFERROR(IF(SUMPRODUCT((measured[Site Name]=A2187)*(measured[Date]=B2187)*ISNUMBER(measured[Measured Value (kWh)]))=0,"",SUMIFS(measured[Measured Value (kWh)],measured[Site Name],A2187,measured[Date],B2187)),"")</f>
        <v>24602.882900000001</v>
      </c>
      <c r="D2187" cm="1">
        <f t="array" ref="D2187">IFERROR(IF(SUMPRODUCT((expected_production[Site Name]=A2187)*(expected_production[Date]=B2187)*ISNUMBER(expected_production[Expected Production (kWh)]))=0,"",SUMIFS(expected_production[Expected Production (kWh)],expected_production[Site Name],A2187,expected_production[Date],B2187)),"")</f>
        <v>31212.25</v>
      </c>
      <c r="E2187" s="9">
        <f t="shared" si="70"/>
        <v>0.78824445209813454</v>
      </c>
      <c r="F2187" t="str">
        <f t="shared" si="71"/>
        <v>Moderate</v>
      </c>
    </row>
    <row r="2188" spans="1:7" ht="15" customHeight="1" x14ac:dyDescent="0.3">
      <c r="A2188" t="s">
        <v>184</v>
      </c>
      <c r="B2188" s="2">
        <v>46082</v>
      </c>
      <c r="C2188" cm="1">
        <f t="array" ref="C2188">IFERROR(IF(SUMPRODUCT((measured[Site Name]=A2188)*(measured[Date]=B2188)*ISNUMBER(measured[Measured Value (kWh)]))=0,"",SUMIFS(measured[Measured Value (kWh)],measured[Site Name],A2188,measured[Date],B2188)),"")</f>
        <v>23540</v>
      </c>
      <c r="D2188" cm="1">
        <f t="array" ref="D2188">IFERROR(IF(SUMPRODUCT((expected_production[Site Name]=A2188)*(expected_production[Date]=B2188)*ISNUMBER(expected_production[Expected Production (kWh)]))=0,"",SUMIFS(expected_production[Expected Production (kWh)],expected_production[Site Name],A2188,expected_production[Date],B2188)),"")</f>
        <v>29700.134999999998</v>
      </c>
      <c r="E2188" s="9">
        <f t="shared" si="70"/>
        <v>0.79258898991536575</v>
      </c>
      <c r="F2188" t="str">
        <f t="shared" si="71"/>
        <v>Moderate</v>
      </c>
    </row>
    <row r="2189" spans="1:7" ht="15" customHeight="1" x14ac:dyDescent="0.3">
      <c r="A2189" t="s">
        <v>184</v>
      </c>
      <c r="B2189" s="2">
        <v>46113</v>
      </c>
      <c r="C2189" cm="1">
        <f t="array" ref="C2189">IFERROR(IF(SUMPRODUCT((measured[Site Name]=A2189)*(measured[Date]=B2189)*ISNUMBER(measured[Measured Value (kWh)]))=0,"",SUMIFS(measured[Measured Value (kWh)],measured[Site Name],A2189,measured[Date],B2189)),"")</f>
        <v>18199.29</v>
      </c>
      <c r="D2189" cm="1">
        <f t="array" ref="D2189">IFERROR(IF(SUMPRODUCT((expected_production[Site Name]=A2189)*(expected_production[Date]=B2189)*ISNUMBER(expected_production[Expected Production (kWh)]))=0,"",SUMIFS(expected_production[Expected Production (kWh)],expected_production[Site Name],A2189,expected_production[Date],B2189)),"")</f>
        <v>24898.55</v>
      </c>
      <c r="E2189" s="9">
        <f t="shared" si="70"/>
        <v>0.73093774537071443</v>
      </c>
      <c r="F2189" t="str">
        <f t="shared" si="71"/>
        <v>Moderate</v>
      </c>
    </row>
    <row r="2190" spans="1:7" ht="15" customHeight="1" x14ac:dyDescent="0.3">
      <c r="A2190" t="s">
        <v>184</v>
      </c>
      <c r="B2190" s="2">
        <v>46143</v>
      </c>
      <c r="C2190" cm="1">
        <f t="array" ref="C2190">IFERROR(IF(SUMPRODUCT((measured[Site Name]=A2190)*(measured[Date]=B2190)*ISNUMBER(measured[Measured Value (kWh)]))=0,"",SUMIFS(measured[Measured Value (kWh)],measured[Site Name],A2190,measured[Date],B2190)),"")</f>
        <v>17860.55</v>
      </c>
      <c r="D2190" cm="1">
        <f t="array" ref="D2190">IFERROR(IF(SUMPRODUCT((expected_production[Site Name]=A2190)*(expected_production[Date]=B2190)*ISNUMBER(expected_production[Expected Production (kWh)]))=0,"",SUMIFS(expected_production[Expected Production (kWh)],expected_production[Site Name],A2190,expected_production[Date],B2190)),"")</f>
        <v>21981.1</v>
      </c>
      <c r="E2190" s="9">
        <f t="shared" si="70"/>
        <v>0.81254122860093447</v>
      </c>
      <c r="F2190" t="str">
        <f t="shared" si="71"/>
        <v>Moderate</v>
      </c>
    </row>
    <row r="2191" spans="1:7" ht="15" customHeight="1" x14ac:dyDescent="0.3">
      <c r="A2191" t="s">
        <v>184</v>
      </c>
      <c r="B2191" s="2">
        <v>46174</v>
      </c>
      <c r="C2191" cm="1">
        <f t="array" ref="C2191">IFERROR(IF(SUMPRODUCT((measured[Site Name]=A2191)*(measured[Date]=B2191)*ISNUMBER(measured[Measured Value (kWh)]))=0,"",SUMIFS(measured[Measured Value (kWh)],measured[Site Name],A2191,measured[Date],B2191)),"")</f>
        <v>14774.05</v>
      </c>
      <c r="D2191" cm="1">
        <f t="array" ref="D2191">IFERROR(IF(SUMPRODUCT((expected_production[Site Name]=A2191)*(expected_production[Date]=B2191)*ISNUMBER(expected_production[Expected Production (kWh)]))=0,"",SUMIFS(expected_production[Expected Production (kWh)],expected_production[Site Name],A2191,expected_production[Date],B2191)),"")</f>
        <v>18982.900000000001</v>
      </c>
      <c r="E2191" s="9">
        <f t="shared" si="70"/>
        <v>0.77828203277686747</v>
      </c>
      <c r="F2191" t="str">
        <f t="shared" si="71"/>
        <v>Moderate</v>
      </c>
    </row>
    <row r="2192" spans="1:7" ht="15" customHeight="1" x14ac:dyDescent="0.3">
      <c r="A2192" t="s">
        <v>184</v>
      </c>
      <c r="B2192" s="2">
        <v>46204</v>
      </c>
      <c r="C2192" cm="1">
        <f t="array" ref="C2192">IFERROR(IF(SUMPRODUCT((measured[Site Name]=A2192)*(measured[Date]=B2192)*ISNUMBER(measured[Measured Value (kWh)]))=0,"",SUMIFS(measured[Measured Value (kWh)],measured[Site Name],A2192,measured[Date],B2192)),"")</f>
        <v>17814.88</v>
      </c>
      <c r="D2192" cm="1">
        <f t="array" ref="D2192">IFERROR(IF(SUMPRODUCT((expected_production[Site Name]=A2192)*(expected_production[Date]=B2192)*ISNUMBER(expected_production[Expected Production (kWh)]))=0,"",SUMIFS(expected_production[Expected Production (kWh)],expected_production[Site Name],A2192,expected_production[Date],B2192)),"")</f>
        <v>21551.7</v>
      </c>
      <c r="E2192" s="9">
        <f t="shared" si="70"/>
        <v>0.82661135780472073</v>
      </c>
      <c r="F2192" t="str">
        <f t="shared" si="71"/>
        <v>Moderate</v>
      </c>
      <c r="G2192" t="s">
        <v>874</v>
      </c>
    </row>
    <row r="2193" spans="1:6" ht="15" customHeight="1" x14ac:dyDescent="0.3">
      <c r="A2193" t="s">
        <v>184</v>
      </c>
      <c r="B2193" s="2">
        <v>46235</v>
      </c>
      <c r="C2193" t="str" cm="1">
        <f t="array" ref="C2193">IFERROR(IF(SUMPRODUCT((measured[Site Name]=A2193)*(measured[Date]=B2193)*ISNUMBER(measured[Measured Value (kWh)]))=0,"",SUMIFS(measured[Measured Value (kWh)],measured[Site Name],A2193,measured[Date],B2193)),"")</f>
        <v/>
      </c>
      <c r="D2193" cm="1">
        <f t="array" ref="D2193">IFERROR(IF(SUMPRODUCT((expected_production[Site Name]=A2193)*(expected_production[Date]=B2193)*ISNUMBER(expected_production[Expected Production (kWh)]))=0,"",SUMIFS(expected_production[Expected Production (kWh)],expected_production[Site Name],A2193,expected_production[Date],B2193)),"")</f>
        <v>26041.4</v>
      </c>
      <c r="E2193" s="9" t="str">
        <f t="shared" si="70"/>
        <v/>
      </c>
      <c r="F2193" t="str">
        <f t="shared" si="71"/>
        <v/>
      </c>
    </row>
    <row r="2194" spans="1:6" ht="15" customHeight="1" x14ac:dyDescent="0.3">
      <c r="A2194" t="s">
        <v>184</v>
      </c>
      <c r="B2194" s="2">
        <v>46266</v>
      </c>
      <c r="C2194" t="str" cm="1">
        <f t="array" ref="C2194">IFERROR(IF(SUMPRODUCT((measured[Site Name]=A2194)*(measured[Date]=B2194)*ISNUMBER(measured[Measured Value (kWh)]))=0,"",SUMIFS(measured[Measured Value (kWh)],measured[Site Name],A2194,measured[Date],B2194)),"")</f>
        <v/>
      </c>
      <c r="D2194" cm="1">
        <f t="array" ref="D2194">IFERROR(IF(SUMPRODUCT((expected_production[Site Name]=A2194)*(expected_production[Date]=B2194)*ISNUMBER(expected_production[Expected Production (kWh)]))=0,"",SUMIFS(expected_production[Expected Production (kWh)],expected_production[Site Name],A2194,expected_production[Date],B2194)),"")</f>
        <v>29888.9</v>
      </c>
      <c r="E2194" s="9" t="str">
        <f t="shared" si="70"/>
        <v/>
      </c>
      <c r="F2194" t="str">
        <f t="shared" si="71"/>
        <v/>
      </c>
    </row>
    <row r="2195" spans="1:6" ht="15" customHeight="1" x14ac:dyDescent="0.3">
      <c r="A2195" t="s">
        <v>184</v>
      </c>
      <c r="B2195" s="2">
        <v>46296</v>
      </c>
      <c r="C2195" t="str" cm="1">
        <f t="array" ref="C2195">IFERROR(IF(SUMPRODUCT((measured[Site Name]=A2195)*(measured[Date]=B2195)*ISNUMBER(measured[Measured Value (kWh)]))=0,"",SUMIFS(measured[Measured Value (kWh)],measured[Site Name],A2195,measured[Date],B2195)),"")</f>
        <v/>
      </c>
      <c r="D2195" cm="1">
        <f t="array" ref="D2195">IFERROR(IF(SUMPRODUCT((expected_production[Site Name]=A2195)*(expected_production[Date]=B2195)*ISNUMBER(expected_production[Expected Production (kWh)]))=0,"",SUMIFS(expected_production[Expected Production (kWh)],expected_production[Site Name],A2195,expected_production[Date],B2195)),"")</f>
        <v>34705.4</v>
      </c>
      <c r="E2195" s="9" t="str">
        <f t="shared" si="70"/>
        <v/>
      </c>
      <c r="F2195" t="str">
        <f t="shared" si="71"/>
        <v/>
      </c>
    </row>
    <row r="2196" spans="1:6" ht="15" customHeight="1" x14ac:dyDescent="0.3">
      <c r="A2196" t="s">
        <v>184</v>
      </c>
      <c r="B2196" s="2">
        <v>46327</v>
      </c>
      <c r="C2196" t="str" cm="1">
        <f t="array" ref="C2196">IFERROR(IF(SUMPRODUCT((measured[Site Name]=A2196)*(measured[Date]=B2196)*ISNUMBER(measured[Measured Value (kWh)]))=0,"",SUMIFS(measured[Measured Value (kWh)],measured[Site Name],A2196,measured[Date],B2196)),"")</f>
        <v/>
      </c>
      <c r="D2196" cm="1">
        <f t="array" ref="D2196">IFERROR(IF(SUMPRODUCT((expected_production[Site Name]=A2196)*(expected_production[Date]=B2196)*ISNUMBER(expected_production[Expected Production (kWh)]))=0,"",SUMIFS(expected_production[Expected Production (kWh)],expected_production[Site Name],A2196,expected_production[Date],B2196)),"")</f>
        <v>36881.85</v>
      </c>
      <c r="E2196" s="9" t="str">
        <f t="shared" si="70"/>
        <v/>
      </c>
      <c r="F2196" t="str">
        <f t="shared" si="71"/>
        <v/>
      </c>
    </row>
    <row r="2197" spans="1:6" ht="15" customHeight="1" x14ac:dyDescent="0.3">
      <c r="A2197" t="s">
        <v>184</v>
      </c>
      <c r="B2197" s="2">
        <v>46357</v>
      </c>
      <c r="C2197" t="str" cm="1">
        <f t="array" ref="C2197">IFERROR(IF(SUMPRODUCT((measured[Site Name]=A2197)*(measured[Date]=B2197)*ISNUMBER(measured[Measured Value (kWh)]))=0,"",SUMIFS(measured[Measured Value (kWh)],measured[Site Name],A2197,measured[Date],B2197)),"")</f>
        <v/>
      </c>
      <c r="D2197" cm="1">
        <f t="array" ref="D2197">IFERROR(IF(SUMPRODUCT((expected_production[Site Name]=A2197)*(expected_production[Date]=B2197)*ISNUMBER(expected_production[Expected Production (kWh)]))=0,"",SUMIFS(expected_production[Expected Production (kWh)],expected_production[Site Name],A2197,expected_production[Date],B2197)),"")</f>
        <v>40110.9</v>
      </c>
      <c r="E2197" s="9" t="str">
        <f t="shared" si="70"/>
        <v/>
      </c>
      <c r="F2197" t="str">
        <f t="shared" si="71"/>
        <v/>
      </c>
    </row>
    <row r="2198" spans="1:6" ht="15" customHeight="1" x14ac:dyDescent="0.3">
      <c r="A2198" t="s">
        <v>186</v>
      </c>
      <c r="B2198" s="2">
        <v>45292</v>
      </c>
      <c r="C2198" t="str" cm="1">
        <f t="array" ref="C2198">IFERROR(IF(SUMPRODUCT((measured[Site Name]=A2198)*(measured[Date]=B2198)*ISNUMBER(measured[Measured Value (kWh)]))=0,"",SUMIFS(measured[Measured Value (kWh)],measured[Site Name],A2198,measured[Date],B2198)),"")</f>
        <v/>
      </c>
      <c r="D2198" cm="1">
        <f t="array" ref="D2198">IFERROR(IF(SUMPRODUCT((expected_production[Site Name]=A2198)*(expected_production[Date]=B2198)*ISNUMBER(expected_production[Expected Production (kWh)]))=0,"",SUMIFS(expected_production[Expected Production (kWh)],expected_production[Site Name],A2198,expected_production[Date],B2198)),"")</f>
        <v>34074.9</v>
      </c>
      <c r="E2198" s="9" t="str">
        <f t="shared" si="70"/>
        <v/>
      </c>
      <c r="F2198" t="str">
        <f t="shared" si="71"/>
        <v/>
      </c>
    </row>
    <row r="2199" spans="1:6" ht="15" customHeight="1" x14ac:dyDescent="0.3">
      <c r="A2199" t="s">
        <v>186</v>
      </c>
      <c r="B2199" s="2">
        <v>45323</v>
      </c>
      <c r="C2199" t="str" cm="1">
        <f t="array" ref="C2199">IFERROR(IF(SUMPRODUCT((measured[Site Name]=A2199)*(measured[Date]=B2199)*ISNUMBER(measured[Measured Value (kWh)]))=0,"",SUMIFS(measured[Measured Value (kWh)],measured[Site Name],A2199,measured[Date],B2199)),"")</f>
        <v/>
      </c>
      <c r="D2199" cm="1">
        <f t="array" ref="D2199">IFERROR(IF(SUMPRODUCT((expected_production[Site Name]=A2199)*(expected_production[Date]=B2199)*ISNUMBER(expected_production[Expected Production (kWh)]))=0,"",SUMIFS(expected_production[Expected Production (kWh)],expected_production[Site Name],A2199,expected_production[Date],B2199)),"")</f>
        <v>28396.799999999999</v>
      </c>
      <c r="E2199" s="9" t="str">
        <f t="shared" si="70"/>
        <v/>
      </c>
      <c r="F2199" t="str">
        <f t="shared" si="71"/>
        <v/>
      </c>
    </row>
    <row r="2200" spans="1:6" ht="15" customHeight="1" x14ac:dyDescent="0.3">
      <c r="A2200" t="s">
        <v>186</v>
      </c>
      <c r="B2200" s="2">
        <v>45352</v>
      </c>
      <c r="C2200" t="str" cm="1">
        <f t="array" ref="C2200">IFERROR(IF(SUMPRODUCT((measured[Site Name]=A2200)*(measured[Date]=B2200)*ISNUMBER(measured[Measured Value (kWh)]))=0,"",SUMIFS(measured[Measured Value (kWh)],measured[Site Name],A2200,measured[Date],B2200)),"")</f>
        <v/>
      </c>
      <c r="D2200" cm="1">
        <f t="array" ref="D2200">IFERROR(IF(SUMPRODUCT((expected_production[Site Name]=A2200)*(expected_production[Date]=B2200)*ISNUMBER(expected_production[Expected Production (kWh)]))=0,"",SUMIFS(expected_production[Expected Production (kWh)],expected_production[Site Name],A2200,expected_production[Date],B2200)),"")</f>
        <v>28665.9</v>
      </c>
      <c r="E2200" s="9" t="str">
        <f t="shared" si="70"/>
        <v/>
      </c>
      <c r="F2200" t="str">
        <f t="shared" si="71"/>
        <v/>
      </c>
    </row>
    <row r="2201" spans="1:6" ht="15" customHeight="1" x14ac:dyDescent="0.3">
      <c r="A2201" t="s">
        <v>186</v>
      </c>
      <c r="B2201" s="2">
        <v>45383</v>
      </c>
      <c r="C2201" t="str" cm="1">
        <f t="array" ref="C2201">IFERROR(IF(SUMPRODUCT((measured[Site Name]=A2201)*(measured[Date]=B2201)*ISNUMBER(measured[Measured Value (kWh)]))=0,"",SUMIFS(measured[Measured Value (kWh)],measured[Site Name],A2201,measured[Date],B2201)),"")</f>
        <v/>
      </c>
      <c r="D2201" cm="1">
        <f t="array" ref="D2201">IFERROR(IF(SUMPRODUCT((expected_production[Site Name]=A2201)*(expected_production[Date]=B2201)*ISNUMBER(expected_production[Expected Production (kWh)]))=0,"",SUMIFS(expected_production[Expected Production (kWh)],expected_production[Site Name],A2201,expected_production[Date],B2201)),"")</f>
        <v>24411.599999999999</v>
      </c>
      <c r="E2201" s="9" t="str">
        <f t="shared" si="70"/>
        <v/>
      </c>
      <c r="F2201" t="str">
        <f t="shared" si="71"/>
        <v/>
      </c>
    </row>
    <row r="2202" spans="1:6" ht="15" customHeight="1" x14ac:dyDescent="0.3">
      <c r="A2202" t="s">
        <v>186</v>
      </c>
      <c r="B2202" s="2">
        <v>45413</v>
      </c>
      <c r="C2202" t="str" cm="1">
        <f t="array" ref="C2202">IFERROR(IF(SUMPRODUCT((measured[Site Name]=A2202)*(measured[Date]=B2202)*ISNUMBER(measured[Measured Value (kWh)]))=0,"",SUMIFS(measured[Measured Value (kWh)],measured[Site Name],A2202,measured[Date],B2202)),"")</f>
        <v/>
      </c>
      <c r="D2202" cm="1">
        <f t="array" ref="D2202">IFERROR(IF(SUMPRODUCT((expected_production[Site Name]=A2202)*(expected_production[Date]=B2202)*ISNUMBER(expected_production[Expected Production (kWh)]))=0,"",SUMIFS(expected_production[Expected Production (kWh)],expected_production[Site Name],A2202,expected_production[Date],B2202)),"")</f>
        <v>22266.9</v>
      </c>
      <c r="E2202" s="9" t="str">
        <f t="shared" si="70"/>
        <v/>
      </c>
      <c r="F2202" t="str">
        <f t="shared" si="71"/>
        <v/>
      </c>
    </row>
    <row r="2203" spans="1:6" ht="15" customHeight="1" x14ac:dyDescent="0.3">
      <c r="A2203" t="s">
        <v>186</v>
      </c>
      <c r="B2203" s="2">
        <v>45444</v>
      </c>
      <c r="C2203" t="str" cm="1">
        <f t="array" ref="C2203">IFERROR(IF(SUMPRODUCT((measured[Site Name]=A2203)*(measured[Date]=B2203)*ISNUMBER(measured[Measured Value (kWh)]))=0,"",SUMIFS(measured[Measured Value (kWh)],measured[Site Name],A2203,measured[Date],B2203)),"")</f>
        <v/>
      </c>
      <c r="D2203" cm="1">
        <f t="array" ref="D2203">IFERROR(IF(SUMPRODUCT((expected_production[Site Name]=A2203)*(expected_production[Date]=B2203)*ISNUMBER(expected_production[Expected Production (kWh)]))=0,"",SUMIFS(expected_production[Expected Production (kWh)],expected_production[Site Name],A2203,expected_production[Date],B2203)),"")</f>
        <v>19791.900000000001</v>
      </c>
      <c r="E2203" s="9" t="str">
        <f t="shared" si="70"/>
        <v/>
      </c>
      <c r="F2203" t="str">
        <f t="shared" si="71"/>
        <v/>
      </c>
    </row>
    <row r="2204" spans="1:6" ht="15" customHeight="1" x14ac:dyDescent="0.3">
      <c r="A2204" t="s">
        <v>186</v>
      </c>
      <c r="B2204" s="2">
        <v>45474</v>
      </c>
      <c r="C2204" t="str" cm="1">
        <f t="array" ref="C2204">IFERROR(IF(SUMPRODUCT((measured[Site Name]=A2204)*(measured[Date]=B2204)*ISNUMBER(measured[Measured Value (kWh)]))=0,"",SUMIFS(measured[Measured Value (kWh)],measured[Site Name],A2204,measured[Date],B2204)),"")</f>
        <v/>
      </c>
      <c r="D2204" cm="1">
        <f t="array" ref="D2204">IFERROR(IF(SUMPRODUCT((expected_production[Site Name]=A2204)*(expected_production[Date]=B2204)*ISNUMBER(expected_production[Expected Production (kWh)]))=0,"",SUMIFS(expected_production[Expected Production (kWh)],expected_production[Site Name],A2204,expected_production[Date],B2204)),"")</f>
        <v>21774.6</v>
      </c>
      <c r="E2204" s="9" t="str">
        <f t="shared" si="70"/>
        <v/>
      </c>
      <c r="F2204" t="str">
        <f t="shared" si="71"/>
        <v/>
      </c>
    </row>
    <row r="2205" spans="1:6" ht="15" customHeight="1" x14ac:dyDescent="0.3">
      <c r="A2205" t="s">
        <v>186</v>
      </c>
      <c r="B2205" s="2">
        <v>45505</v>
      </c>
      <c r="C2205" cm="1">
        <f t="array" ref="C2205">IFERROR(IF(SUMPRODUCT((measured[Site Name]=A2205)*(measured[Date]=B2205)*ISNUMBER(measured[Measured Value (kWh)]))=0,"",SUMIFS(measured[Measured Value (kWh)],measured[Site Name],A2205,measured[Date],B2205)),"")</f>
        <v>3670</v>
      </c>
      <c r="D2205" cm="1">
        <f t="array" ref="D2205">IFERROR(IF(SUMPRODUCT((expected_production[Site Name]=A2205)*(expected_production[Date]=B2205)*ISNUMBER(expected_production[Expected Production (kWh)]))=0,"",SUMIFS(expected_production[Expected Production (kWh)],expected_production[Site Name],A2205,expected_production[Date],B2205)),"")</f>
        <v>25973.1</v>
      </c>
      <c r="E2205" s="9">
        <f t="shared" si="70"/>
        <v>0.1413000373463314</v>
      </c>
      <c r="F2205" t="str">
        <f t="shared" si="71"/>
        <v>Poor</v>
      </c>
    </row>
    <row r="2206" spans="1:6" ht="15" customHeight="1" x14ac:dyDescent="0.3">
      <c r="A2206" t="s">
        <v>186</v>
      </c>
      <c r="B2206" s="2">
        <v>45536</v>
      </c>
      <c r="C2206" cm="1">
        <f t="array" ref="C2206">IFERROR(IF(SUMPRODUCT((measured[Site Name]=A2206)*(measured[Date]=B2206)*ISNUMBER(measured[Measured Value (kWh)]))=0,"",SUMIFS(measured[Measured Value (kWh)],measured[Site Name],A2206,measured[Date],B2206)),"")</f>
        <v>24226</v>
      </c>
      <c r="D2206" cm="1">
        <f t="array" ref="D2206">IFERROR(IF(SUMPRODUCT((expected_production[Site Name]=A2206)*(expected_production[Date]=B2206)*ISNUMBER(expected_production[Expected Production (kWh)]))=0,"",SUMIFS(expected_production[Expected Production (kWh)],expected_production[Site Name],A2206,expected_production[Date],B2206)),"")</f>
        <v>28984.5</v>
      </c>
      <c r="E2206" s="9">
        <f t="shared" si="70"/>
        <v>0.83582604495506219</v>
      </c>
      <c r="F2206" t="str">
        <f t="shared" si="71"/>
        <v>Moderate</v>
      </c>
    </row>
    <row r="2207" spans="1:6" ht="15" customHeight="1" x14ac:dyDescent="0.3">
      <c r="A2207" t="s">
        <v>186</v>
      </c>
      <c r="B2207" s="2">
        <v>45566</v>
      </c>
      <c r="C2207" cm="1">
        <f t="array" ref="C2207">IFERROR(IF(SUMPRODUCT((measured[Site Name]=A2207)*(measured[Date]=B2207)*ISNUMBER(measured[Measured Value (kWh)]))=0,"",SUMIFS(measured[Measured Value (kWh)],measured[Site Name],A2207,measured[Date],B2207)),"")</f>
        <v>29060</v>
      </c>
      <c r="D2207" cm="1">
        <f t="array" ref="D2207">IFERROR(IF(SUMPRODUCT((expected_production[Site Name]=A2207)*(expected_production[Date]=B2207)*ISNUMBER(expected_production[Expected Production (kWh)]))=0,"",SUMIFS(expected_production[Expected Production (kWh)],expected_production[Site Name],A2207,expected_production[Date],B2207)),"")</f>
        <v>33058.800000000003</v>
      </c>
      <c r="E2207" s="9">
        <f t="shared" si="70"/>
        <v>0.87903977155855617</v>
      </c>
      <c r="F2207" t="str">
        <f t="shared" si="71"/>
        <v>Moderate</v>
      </c>
    </row>
    <row r="2208" spans="1:6" ht="15" customHeight="1" x14ac:dyDescent="0.3">
      <c r="A2208" t="s">
        <v>186</v>
      </c>
      <c r="B2208" s="2">
        <v>45597</v>
      </c>
      <c r="C2208" cm="1">
        <f t="array" ref="C2208">IFERROR(IF(SUMPRODUCT((measured[Site Name]=A2208)*(measured[Date]=B2208)*ISNUMBER(measured[Measured Value (kWh)]))=0,"",SUMIFS(measured[Measured Value (kWh)],measured[Site Name],A2208,measured[Date],B2208)),"")</f>
        <v>28700</v>
      </c>
      <c r="D2208" cm="1">
        <f t="array" ref="D2208">IFERROR(IF(SUMPRODUCT((expected_production[Site Name]=A2208)*(expected_production[Date]=B2208)*ISNUMBER(expected_production[Expected Production (kWh)]))=0,"",SUMIFS(expected_production[Expected Production (kWh)],expected_production[Site Name],A2208,expected_production[Date],B2208)),"")</f>
        <v>34366.5</v>
      </c>
      <c r="E2208" s="9">
        <f t="shared" si="70"/>
        <v>0.83511559221916687</v>
      </c>
      <c r="F2208" t="str">
        <f t="shared" si="71"/>
        <v>Moderate</v>
      </c>
    </row>
    <row r="2209" spans="1:6" ht="15" customHeight="1" x14ac:dyDescent="0.3">
      <c r="A2209" t="s">
        <v>186</v>
      </c>
      <c r="B2209" s="2">
        <v>45627</v>
      </c>
      <c r="C2209" cm="1">
        <f t="array" ref="C2209">IFERROR(IF(SUMPRODUCT((measured[Site Name]=A2209)*(measured[Date]=B2209)*ISNUMBER(measured[Measured Value (kWh)]))=0,"",SUMIFS(measured[Measured Value (kWh)],measured[Site Name],A2209,measured[Date],B2209)),"")</f>
        <v>32654</v>
      </c>
      <c r="D2209" cm="1">
        <f t="array" ref="D2209">IFERROR(IF(SUMPRODUCT((expected_production[Site Name]=A2209)*(expected_production[Date]=B2209)*ISNUMBER(expected_production[Expected Production (kWh)]))=0,"",SUMIFS(expected_production[Expected Production (kWh)],expected_production[Site Name],A2209,expected_production[Date],B2209)),"")</f>
        <v>36320.400000000001</v>
      </c>
      <c r="E2209" s="9">
        <f t="shared" si="70"/>
        <v>0.89905397517648478</v>
      </c>
      <c r="F2209" t="str">
        <f t="shared" si="71"/>
        <v>Moderate</v>
      </c>
    </row>
    <row r="2210" spans="1:6" ht="15" customHeight="1" x14ac:dyDescent="0.3">
      <c r="A2210" t="s">
        <v>186</v>
      </c>
      <c r="B2210" s="2">
        <v>45658</v>
      </c>
      <c r="C2210" cm="1">
        <f t="array" ref="C2210">IFERROR(IF(SUMPRODUCT((measured[Site Name]=A2210)*(measured[Date]=B2210)*ISNUMBER(measured[Measured Value (kWh)]))=0,"",SUMIFS(measured[Measured Value (kWh)],measured[Site Name],A2210,measured[Date],B2210)),"")</f>
        <v>31900</v>
      </c>
      <c r="D2210" cm="1">
        <f t="array" ref="D2210">IFERROR(IF(SUMPRODUCT((expected_production[Site Name]=A2210)*(expected_production[Date]=B2210)*ISNUMBER(expected_production[Expected Production (kWh)]))=0,"",SUMIFS(expected_production[Expected Production (kWh)],expected_production[Site Name],A2210,expected_production[Date],B2210)),"")</f>
        <v>34074.9</v>
      </c>
      <c r="E2210" s="9">
        <f t="shared" si="70"/>
        <v>0.93617296015542228</v>
      </c>
      <c r="F2210" t="str">
        <f t="shared" si="71"/>
        <v>Expected</v>
      </c>
    </row>
    <row r="2211" spans="1:6" ht="15" customHeight="1" x14ac:dyDescent="0.3">
      <c r="A2211" t="s">
        <v>186</v>
      </c>
      <c r="B2211" s="2">
        <v>45689</v>
      </c>
      <c r="C2211" cm="1">
        <f t="array" ref="C2211">IFERROR(IF(SUMPRODUCT((measured[Site Name]=A2211)*(measured[Date]=B2211)*ISNUMBER(measured[Measured Value (kWh)]))=0,"",SUMIFS(measured[Measured Value (kWh)],measured[Site Name],A2211,measured[Date],B2211)),"")</f>
        <v>24980</v>
      </c>
      <c r="D2211" cm="1">
        <f t="array" ref="D2211">IFERROR(IF(SUMPRODUCT((expected_production[Site Name]=A2211)*(expected_production[Date]=B2211)*ISNUMBER(expected_production[Expected Production (kWh)]))=0,"",SUMIFS(expected_production[Expected Production (kWh)],expected_production[Site Name],A2211,expected_production[Date],B2211)),"")</f>
        <v>28396.799999999999</v>
      </c>
      <c r="E2211" s="9">
        <f t="shared" si="70"/>
        <v>0.87967658327698894</v>
      </c>
      <c r="F2211" t="str">
        <f t="shared" si="71"/>
        <v>Moderate</v>
      </c>
    </row>
    <row r="2212" spans="1:6" ht="15" customHeight="1" x14ac:dyDescent="0.3">
      <c r="A2212" t="s">
        <v>186</v>
      </c>
      <c r="B2212" s="2">
        <v>45717</v>
      </c>
      <c r="C2212" cm="1">
        <f t="array" ref="C2212">IFERROR(IF(SUMPRODUCT((measured[Site Name]=A2212)*(measured[Date]=B2212)*ISNUMBER(measured[Measured Value (kWh)]))=0,"",SUMIFS(measured[Measured Value (kWh)],measured[Site Name],A2212,measured[Date],B2212)),"")</f>
        <v>24068</v>
      </c>
      <c r="D2212" cm="1">
        <f t="array" ref="D2212">IFERROR(IF(SUMPRODUCT((expected_production[Site Name]=A2212)*(expected_production[Date]=B2212)*ISNUMBER(expected_production[Expected Production (kWh)]))=0,"",SUMIFS(expected_production[Expected Production (kWh)],expected_production[Site Name],A2212,expected_production[Date],B2212)),"")</f>
        <v>28665.9</v>
      </c>
      <c r="E2212" s="9">
        <f t="shared" si="70"/>
        <v>0.83960384987040348</v>
      </c>
      <c r="F2212" t="str">
        <f t="shared" si="71"/>
        <v>Moderate</v>
      </c>
    </row>
    <row r="2213" spans="1:6" ht="15" customHeight="1" x14ac:dyDescent="0.3">
      <c r="A2213" t="s">
        <v>186</v>
      </c>
      <c r="B2213" s="2">
        <v>45748</v>
      </c>
      <c r="C2213" cm="1">
        <f t="array" ref="C2213">IFERROR(IF(SUMPRODUCT((measured[Site Name]=A2213)*(measured[Date]=B2213)*ISNUMBER(measured[Measured Value (kWh)]))=0,"",SUMIFS(measured[Measured Value (kWh)],measured[Site Name],A2213,measured[Date],B2213)),"")</f>
        <v>17329</v>
      </c>
      <c r="D2213" cm="1">
        <f t="array" ref="D2213">IFERROR(IF(SUMPRODUCT((expected_production[Site Name]=A2213)*(expected_production[Date]=B2213)*ISNUMBER(expected_production[Expected Production (kWh)]))=0,"",SUMIFS(expected_production[Expected Production (kWh)],expected_production[Site Name],A2213,expected_production[Date],B2213)),"")</f>
        <v>24411.599999999999</v>
      </c>
      <c r="E2213" s="9">
        <f t="shared" si="70"/>
        <v>0.70986744006947522</v>
      </c>
      <c r="F2213" t="str">
        <f t="shared" si="71"/>
        <v>Moderate</v>
      </c>
    </row>
    <row r="2214" spans="1:6" ht="15" customHeight="1" x14ac:dyDescent="0.3">
      <c r="A2214" t="s">
        <v>186</v>
      </c>
      <c r="B2214" s="2">
        <v>45778</v>
      </c>
      <c r="C2214" cm="1">
        <f t="array" ref="C2214">IFERROR(IF(SUMPRODUCT((measured[Site Name]=A2214)*(measured[Date]=B2214)*ISNUMBER(measured[Measured Value (kWh)]))=0,"",SUMIFS(measured[Measured Value (kWh)],measured[Site Name],A2214,measured[Date],B2214)),"")</f>
        <v>19241</v>
      </c>
      <c r="D2214" cm="1">
        <f t="array" ref="D2214">IFERROR(IF(SUMPRODUCT((expected_production[Site Name]=A2214)*(expected_production[Date]=B2214)*ISNUMBER(expected_production[Expected Production (kWh)]))=0,"",SUMIFS(expected_production[Expected Production (kWh)],expected_production[Site Name],A2214,expected_production[Date],B2214)),"")</f>
        <v>22266.9</v>
      </c>
      <c r="E2214" s="9">
        <f t="shared" si="70"/>
        <v>0.86410771144613752</v>
      </c>
      <c r="F2214" t="str">
        <f t="shared" si="71"/>
        <v>Moderate</v>
      </c>
    </row>
    <row r="2215" spans="1:6" ht="15" customHeight="1" x14ac:dyDescent="0.3">
      <c r="A2215" t="s">
        <v>186</v>
      </c>
      <c r="B2215" s="2">
        <v>45809</v>
      </c>
      <c r="C2215" cm="1">
        <f t="array" ref="C2215">IFERROR(IF(SUMPRODUCT((measured[Site Name]=A2215)*(measured[Date]=B2215)*ISNUMBER(measured[Measured Value (kWh)]))=0,"",SUMIFS(measured[Measured Value (kWh)],measured[Site Name],A2215,measured[Date],B2215)),"")</f>
        <v>18515.91</v>
      </c>
      <c r="D2215" cm="1">
        <f t="array" ref="D2215">IFERROR(IF(SUMPRODUCT((expected_production[Site Name]=A2215)*(expected_production[Date]=B2215)*ISNUMBER(expected_production[Expected Production (kWh)]))=0,"",SUMIFS(expected_production[Expected Production (kWh)],expected_production[Site Name],A2215,expected_production[Date],B2215)),"")</f>
        <v>19791.900000000001</v>
      </c>
      <c r="E2215" s="9">
        <f t="shared" si="70"/>
        <v>0.93552968638685519</v>
      </c>
      <c r="F2215" t="str">
        <f t="shared" si="71"/>
        <v>Expected</v>
      </c>
    </row>
    <row r="2216" spans="1:6" ht="15" customHeight="1" x14ac:dyDescent="0.3">
      <c r="A2216" t="s">
        <v>186</v>
      </c>
      <c r="B2216" s="2">
        <v>45839</v>
      </c>
      <c r="C2216" cm="1">
        <f t="array" ref="C2216">IFERROR(IF(SUMPRODUCT((measured[Site Name]=A2216)*(measured[Date]=B2216)*ISNUMBER(measured[Measured Value (kWh)]))=0,"",SUMIFS(measured[Measured Value (kWh)],measured[Site Name],A2216,measured[Date],B2216)),"")</f>
        <v>18781</v>
      </c>
      <c r="D2216" cm="1">
        <f t="array" ref="D2216">IFERROR(IF(SUMPRODUCT((expected_production[Site Name]=A2216)*(expected_production[Date]=B2216)*ISNUMBER(expected_production[Expected Production (kWh)]))=0,"",SUMIFS(expected_production[Expected Production (kWh)],expected_production[Site Name],A2216,expected_production[Date],B2216)),"")</f>
        <v>21774.6</v>
      </c>
      <c r="E2216" s="9">
        <f t="shared" si="70"/>
        <v>0.86251871446547823</v>
      </c>
      <c r="F2216" t="str">
        <f t="shared" si="71"/>
        <v>Moderate</v>
      </c>
    </row>
    <row r="2217" spans="1:6" ht="15" customHeight="1" x14ac:dyDescent="0.3">
      <c r="A2217" t="s">
        <v>186</v>
      </c>
      <c r="B2217" s="2">
        <v>45870</v>
      </c>
      <c r="C2217" cm="1">
        <f t="array" ref="C2217">IFERROR(IF(SUMPRODUCT((measured[Site Name]=A2217)*(measured[Date]=B2217)*ISNUMBER(measured[Measured Value (kWh)]))=0,"",SUMIFS(measured[Measured Value (kWh)],measured[Site Name],A2217,measured[Date],B2217)),"")</f>
        <v>21235</v>
      </c>
      <c r="D2217" cm="1">
        <f t="array" ref="D2217">IFERROR(IF(SUMPRODUCT((expected_production[Site Name]=A2217)*(expected_production[Date]=B2217)*ISNUMBER(expected_production[Expected Production (kWh)]))=0,"",SUMIFS(expected_production[Expected Production (kWh)],expected_production[Site Name],A2217,expected_production[Date],B2217)),"")</f>
        <v>25973.1</v>
      </c>
      <c r="E2217" s="9">
        <f t="shared" si="70"/>
        <v>0.81757664660745155</v>
      </c>
      <c r="F2217" t="str">
        <f t="shared" si="71"/>
        <v>Moderate</v>
      </c>
    </row>
    <row r="2218" spans="1:6" ht="15" customHeight="1" x14ac:dyDescent="0.3">
      <c r="A2218" t="s">
        <v>186</v>
      </c>
      <c r="B2218" s="2">
        <v>45901</v>
      </c>
      <c r="C2218" cm="1">
        <f t="array" ref="C2218">IFERROR(IF(SUMPRODUCT((measured[Site Name]=A2218)*(measured[Date]=B2218)*ISNUMBER(measured[Measured Value (kWh)]))=0,"",SUMIFS(measured[Measured Value (kWh)],measured[Site Name],A2218,measured[Date],B2218)),"")</f>
        <v>23085</v>
      </c>
      <c r="D2218" cm="1">
        <f t="array" ref="D2218">IFERROR(IF(SUMPRODUCT((expected_production[Site Name]=A2218)*(expected_production[Date]=B2218)*ISNUMBER(expected_production[Expected Production (kWh)]))=0,"",SUMIFS(expected_production[Expected Production (kWh)],expected_production[Site Name],A2218,expected_production[Date],B2218)),"")</f>
        <v>28984.5</v>
      </c>
      <c r="E2218" s="9">
        <f t="shared" si="70"/>
        <v>0.79646017699115046</v>
      </c>
      <c r="F2218" t="str">
        <f t="shared" si="71"/>
        <v>Moderate</v>
      </c>
    </row>
    <row r="2219" spans="1:6" ht="15" customHeight="1" x14ac:dyDescent="0.3">
      <c r="A2219" t="s">
        <v>186</v>
      </c>
      <c r="B2219" s="2">
        <v>45931</v>
      </c>
      <c r="C2219" cm="1">
        <f t="array" ref="C2219">IFERROR(IF(SUMPRODUCT((measured[Site Name]=A2219)*(measured[Date]=B2219)*ISNUMBER(measured[Measured Value (kWh)]))=0,"",SUMIFS(measured[Measured Value (kWh)],measured[Site Name],A2219,measured[Date],B2219)),"")</f>
        <v>25611</v>
      </c>
      <c r="D2219" cm="1">
        <f t="array" ref="D2219">IFERROR(IF(SUMPRODUCT((expected_production[Site Name]=A2219)*(expected_production[Date]=B2219)*ISNUMBER(expected_production[Expected Production (kWh)]))=0,"",SUMIFS(expected_production[Expected Production (kWh)],expected_production[Site Name],A2219,expected_production[Date],B2219)),"")</f>
        <v>33058.800000000003</v>
      </c>
      <c r="E2219" s="9">
        <f t="shared" si="70"/>
        <v>0.77471051580819628</v>
      </c>
      <c r="F2219" t="str">
        <f t="shared" si="71"/>
        <v>Moderate</v>
      </c>
    </row>
    <row r="2220" spans="1:6" ht="15" customHeight="1" x14ac:dyDescent="0.3">
      <c r="A2220" t="s">
        <v>186</v>
      </c>
      <c r="B2220" s="2">
        <v>45962</v>
      </c>
      <c r="C2220" cm="1">
        <f t="array" ref="C2220">IFERROR(IF(SUMPRODUCT((measured[Site Name]=A2220)*(measured[Date]=B2220)*ISNUMBER(measured[Measured Value (kWh)]))=0,"",SUMIFS(measured[Measured Value (kWh)],measured[Site Name],A2220,measured[Date],B2220)),"")</f>
        <v>25276</v>
      </c>
      <c r="D2220" cm="1">
        <f t="array" ref="D2220">IFERROR(IF(SUMPRODUCT((expected_production[Site Name]=A2220)*(expected_production[Date]=B2220)*ISNUMBER(expected_production[Expected Production (kWh)]))=0,"",SUMIFS(expected_production[Expected Production (kWh)],expected_production[Site Name],A2220,expected_production[Date],B2220)),"")</f>
        <v>34366.5</v>
      </c>
      <c r="E2220" s="9">
        <f t="shared" si="70"/>
        <v>0.73548368323803703</v>
      </c>
      <c r="F2220" t="str">
        <f t="shared" si="71"/>
        <v>Moderate</v>
      </c>
    </row>
    <row r="2221" spans="1:6" ht="15" customHeight="1" x14ac:dyDescent="0.3">
      <c r="A2221" t="s">
        <v>186</v>
      </c>
      <c r="B2221" s="2">
        <v>45992</v>
      </c>
      <c r="C2221" cm="1">
        <f t="array" ref="C2221">IFERROR(IF(SUMPRODUCT((measured[Site Name]=A2221)*(measured[Date]=B2221)*ISNUMBER(measured[Measured Value (kWh)]))=0,"",SUMIFS(measured[Measured Value (kWh)],measured[Site Name],A2221,measured[Date],B2221)),"")</f>
        <v>28457.1296</v>
      </c>
      <c r="D2221" cm="1">
        <f t="array" ref="D2221">IFERROR(IF(SUMPRODUCT((expected_production[Site Name]=A2221)*(expected_production[Date]=B2221)*ISNUMBER(expected_production[Expected Production (kWh)]))=0,"",SUMIFS(expected_production[Expected Production (kWh)],expected_production[Site Name],A2221,expected_production[Date],B2221)),"")</f>
        <v>36320.400000000001</v>
      </c>
      <c r="E2221" s="9">
        <f t="shared" si="70"/>
        <v>0.7835026486492439</v>
      </c>
      <c r="F2221" t="str">
        <f t="shared" si="71"/>
        <v>Moderate</v>
      </c>
    </row>
    <row r="2222" spans="1:6" ht="15" customHeight="1" x14ac:dyDescent="0.3">
      <c r="A2222" t="s">
        <v>186</v>
      </c>
      <c r="B2222" s="2">
        <v>46023</v>
      </c>
      <c r="C2222" cm="1">
        <f t="array" ref="C2222">IFERROR(IF(SUMPRODUCT((measured[Site Name]=A2222)*(measured[Date]=B2222)*ISNUMBER(measured[Measured Value (kWh)]))=0,"",SUMIFS(measured[Measured Value (kWh)],measured[Site Name],A2222,measured[Date],B2222)),"")</f>
        <v>29092</v>
      </c>
      <c r="D2222" cm="1">
        <f t="array" ref="D2222">IFERROR(IF(SUMPRODUCT((expected_production[Site Name]=A2222)*(expected_production[Date]=B2222)*ISNUMBER(expected_production[Expected Production (kWh)]))=0,"",SUMIFS(expected_production[Expected Production (kWh)],expected_production[Site Name],A2222,expected_production[Date],B2222)),"")</f>
        <v>34074.9</v>
      </c>
      <c r="E2222" s="9">
        <f t="shared" si="70"/>
        <v>0.85376626196995442</v>
      </c>
      <c r="F2222" t="str">
        <f t="shared" si="71"/>
        <v>Moderate</v>
      </c>
    </row>
    <row r="2223" spans="1:6" ht="15" customHeight="1" x14ac:dyDescent="0.3">
      <c r="A2223" t="s">
        <v>186</v>
      </c>
      <c r="B2223" s="2">
        <v>46054</v>
      </c>
      <c r="C2223" cm="1">
        <f t="array" ref="C2223">IFERROR(IF(SUMPRODUCT((measured[Site Name]=A2223)*(measured[Date]=B2223)*ISNUMBER(measured[Measured Value (kWh)]))=0,"",SUMIFS(measured[Measured Value (kWh)],measured[Site Name],A2223,measured[Date],B2223)),"")</f>
        <v>23486.9398</v>
      </c>
      <c r="D2223" cm="1">
        <f t="array" ref="D2223">IFERROR(IF(SUMPRODUCT((expected_production[Site Name]=A2223)*(expected_production[Date]=B2223)*ISNUMBER(expected_production[Expected Production (kWh)]))=0,"",SUMIFS(expected_production[Expected Production (kWh)],expected_production[Site Name],A2223,expected_production[Date],B2223)),"")</f>
        <v>28396.799999999999</v>
      </c>
      <c r="E2223" s="9">
        <f t="shared" si="70"/>
        <v>0.82709811668920441</v>
      </c>
      <c r="F2223" t="str">
        <f t="shared" si="71"/>
        <v>Moderate</v>
      </c>
    </row>
    <row r="2224" spans="1:6" ht="15" customHeight="1" x14ac:dyDescent="0.3">
      <c r="A2224" t="s">
        <v>186</v>
      </c>
      <c r="B2224" s="2">
        <v>46082</v>
      </c>
      <c r="C2224" cm="1">
        <f t="array" ref="C2224">IFERROR(IF(SUMPRODUCT((measured[Site Name]=A2224)*(measured[Date]=B2224)*ISNUMBER(measured[Measured Value (kWh)]))=0,"",SUMIFS(measured[Measured Value (kWh)],measured[Site Name],A2224,measured[Date],B2224)),"")</f>
        <v>22459</v>
      </c>
      <c r="D2224" cm="1">
        <f t="array" ref="D2224">IFERROR(IF(SUMPRODUCT((expected_production[Site Name]=A2224)*(expected_production[Date]=B2224)*ISNUMBER(expected_production[Expected Production (kWh)]))=0,"",SUMIFS(expected_production[Expected Production (kWh)],expected_production[Site Name],A2224,expected_production[Date],B2224)),"")</f>
        <v>28665.9</v>
      </c>
      <c r="E2224" s="9">
        <f t="shared" si="70"/>
        <v>0.78347444175832603</v>
      </c>
      <c r="F2224" t="str">
        <f t="shared" si="71"/>
        <v>Moderate</v>
      </c>
    </row>
    <row r="2225" spans="1:7" ht="15" customHeight="1" x14ac:dyDescent="0.3">
      <c r="A2225" t="s">
        <v>186</v>
      </c>
      <c r="B2225" s="2">
        <v>46113</v>
      </c>
      <c r="C2225" cm="1">
        <f t="array" ref="C2225">IFERROR(IF(SUMPRODUCT((measured[Site Name]=A2225)*(measured[Date]=B2225)*ISNUMBER(measured[Measured Value (kWh)]))=0,"",SUMIFS(measured[Measured Value (kWh)],measured[Site Name],A2225,measured[Date],B2225)),"")</f>
        <v>18207.86</v>
      </c>
      <c r="D2225" cm="1">
        <f t="array" ref="D2225">IFERROR(IF(SUMPRODUCT((expected_production[Site Name]=A2225)*(expected_production[Date]=B2225)*ISNUMBER(expected_production[Expected Production (kWh)]))=0,"",SUMIFS(expected_production[Expected Production (kWh)],expected_production[Site Name],A2225,expected_production[Date],B2225)),"")</f>
        <v>24411.599999999999</v>
      </c>
      <c r="E2225" s="9">
        <f t="shared" si="70"/>
        <v>0.74586917694866384</v>
      </c>
      <c r="F2225" t="str">
        <f t="shared" si="71"/>
        <v>Moderate</v>
      </c>
    </row>
    <row r="2226" spans="1:7" ht="15" customHeight="1" x14ac:dyDescent="0.3">
      <c r="A2226" t="s">
        <v>186</v>
      </c>
      <c r="B2226" s="2">
        <v>46143</v>
      </c>
      <c r="C2226" cm="1">
        <f t="array" ref="C2226">IFERROR(IF(SUMPRODUCT((measured[Site Name]=A2226)*(measured[Date]=B2226)*ISNUMBER(measured[Measured Value (kWh)]))=0,"",SUMIFS(measured[Measured Value (kWh)],measured[Site Name],A2226,measured[Date],B2226)),"")</f>
        <v>17848.830000000002</v>
      </c>
      <c r="D2226" cm="1">
        <f t="array" ref="D2226">IFERROR(IF(SUMPRODUCT((expected_production[Site Name]=A2226)*(expected_production[Date]=B2226)*ISNUMBER(expected_production[Expected Production (kWh)]))=0,"",SUMIFS(expected_production[Expected Production (kWh)],expected_production[Site Name],A2226,expected_production[Date],B2226)),"")</f>
        <v>22266.9</v>
      </c>
      <c r="E2226" s="9">
        <f t="shared" si="70"/>
        <v>0.80158576182584917</v>
      </c>
      <c r="F2226" t="str">
        <f t="shared" si="71"/>
        <v>Moderate</v>
      </c>
    </row>
    <row r="2227" spans="1:7" ht="15" customHeight="1" x14ac:dyDescent="0.3">
      <c r="A2227" t="s">
        <v>186</v>
      </c>
      <c r="B2227" s="2">
        <v>46174</v>
      </c>
      <c r="C2227" cm="1">
        <f t="array" ref="C2227">IFERROR(IF(SUMPRODUCT((measured[Site Name]=A2227)*(measured[Date]=B2227)*ISNUMBER(measured[Measured Value (kWh)]))=0,"",SUMIFS(measured[Measured Value (kWh)],measured[Site Name],A2227,measured[Date],B2227)),"")</f>
        <v>14983.63</v>
      </c>
      <c r="D2227" cm="1">
        <f t="array" ref="D2227">IFERROR(IF(SUMPRODUCT((expected_production[Site Name]=A2227)*(expected_production[Date]=B2227)*ISNUMBER(expected_production[Expected Production (kWh)]))=0,"",SUMIFS(expected_production[Expected Production (kWh)],expected_production[Site Name],A2227,expected_production[Date],B2227)),"")</f>
        <v>19791.900000000001</v>
      </c>
      <c r="E2227" s="9">
        <f t="shared" si="70"/>
        <v>0.75705869572906082</v>
      </c>
      <c r="F2227" t="str">
        <f t="shared" si="71"/>
        <v>Moderate</v>
      </c>
    </row>
    <row r="2228" spans="1:7" ht="15" customHeight="1" x14ac:dyDescent="0.3">
      <c r="A2228" t="s">
        <v>186</v>
      </c>
      <c r="B2228" s="2">
        <v>46204</v>
      </c>
      <c r="C2228" cm="1">
        <f t="array" ref="C2228">IFERROR(IF(SUMPRODUCT((measured[Site Name]=A2228)*(measured[Date]=B2228)*ISNUMBER(measured[Measured Value (kWh)]))=0,"",SUMIFS(measured[Measured Value (kWh)],measured[Site Name],A2228,measured[Date],B2228)),"")</f>
        <v>18234</v>
      </c>
      <c r="D2228" cm="1">
        <f t="array" ref="D2228">IFERROR(IF(SUMPRODUCT((expected_production[Site Name]=A2228)*(expected_production[Date]=B2228)*ISNUMBER(expected_production[Expected Production (kWh)]))=0,"",SUMIFS(expected_production[Expected Production (kWh)],expected_production[Site Name],A2228,expected_production[Date],B2228)),"")</f>
        <v>21774.6</v>
      </c>
      <c r="E2228" s="9">
        <f t="shared" si="70"/>
        <v>0.83739770190956442</v>
      </c>
      <c r="F2228" t="str">
        <f t="shared" si="71"/>
        <v>Moderate</v>
      </c>
      <c r="G2228" t="s">
        <v>874</v>
      </c>
    </row>
    <row r="2229" spans="1:7" ht="15" customHeight="1" x14ac:dyDescent="0.3">
      <c r="A2229" t="s">
        <v>186</v>
      </c>
      <c r="B2229" s="2">
        <v>46235</v>
      </c>
      <c r="C2229" t="str" cm="1">
        <f t="array" ref="C2229">IFERROR(IF(SUMPRODUCT((measured[Site Name]=A2229)*(measured[Date]=B2229)*ISNUMBER(measured[Measured Value (kWh)]))=0,"",SUMIFS(measured[Measured Value (kWh)],measured[Site Name],A2229,measured[Date],B2229)),"")</f>
        <v/>
      </c>
      <c r="D2229" cm="1">
        <f t="array" ref="D2229">IFERROR(IF(SUMPRODUCT((expected_production[Site Name]=A2229)*(expected_production[Date]=B2229)*ISNUMBER(expected_production[Expected Production (kWh)]))=0,"",SUMIFS(expected_production[Expected Production (kWh)],expected_production[Site Name],A2229,expected_production[Date],B2229)),"")</f>
        <v>25973.1</v>
      </c>
      <c r="E2229" s="9" t="str">
        <f t="shared" si="70"/>
        <v/>
      </c>
      <c r="F2229" t="str">
        <f t="shared" si="71"/>
        <v/>
      </c>
    </row>
    <row r="2230" spans="1:7" ht="15" customHeight="1" x14ac:dyDescent="0.3">
      <c r="A2230" t="s">
        <v>186</v>
      </c>
      <c r="B2230" s="2">
        <v>46266</v>
      </c>
      <c r="C2230" t="str" cm="1">
        <f t="array" ref="C2230">IFERROR(IF(SUMPRODUCT((measured[Site Name]=A2230)*(measured[Date]=B2230)*ISNUMBER(measured[Measured Value (kWh)]))=0,"",SUMIFS(measured[Measured Value (kWh)],measured[Site Name],A2230,measured[Date],B2230)),"")</f>
        <v/>
      </c>
      <c r="D2230" cm="1">
        <f t="array" ref="D2230">IFERROR(IF(SUMPRODUCT((expected_production[Site Name]=A2230)*(expected_production[Date]=B2230)*ISNUMBER(expected_production[Expected Production (kWh)]))=0,"",SUMIFS(expected_production[Expected Production (kWh)],expected_production[Site Name],A2230,expected_production[Date],B2230)),"")</f>
        <v>28984.5</v>
      </c>
      <c r="E2230" s="9" t="str">
        <f t="shared" si="70"/>
        <v/>
      </c>
      <c r="F2230" t="str">
        <f t="shared" si="71"/>
        <v/>
      </c>
    </row>
    <row r="2231" spans="1:7" ht="15" customHeight="1" x14ac:dyDescent="0.3">
      <c r="A2231" t="s">
        <v>186</v>
      </c>
      <c r="B2231" s="2">
        <v>46296</v>
      </c>
      <c r="C2231" t="str" cm="1">
        <f t="array" ref="C2231">IFERROR(IF(SUMPRODUCT((measured[Site Name]=A2231)*(measured[Date]=B2231)*ISNUMBER(measured[Measured Value (kWh)]))=0,"",SUMIFS(measured[Measured Value (kWh)],measured[Site Name],A2231,measured[Date],B2231)),"")</f>
        <v/>
      </c>
      <c r="D2231" cm="1">
        <f t="array" ref="D2231">IFERROR(IF(SUMPRODUCT((expected_production[Site Name]=A2231)*(expected_production[Date]=B2231)*ISNUMBER(expected_production[Expected Production (kWh)]))=0,"",SUMIFS(expected_production[Expected Production (kWh)],expected_production[Site Name],A2231,expected_production[Date],B2231)),"")</f>
        <v>33058.800000000003</v>
      </c>
      <c r="E2231" s="9" t="str">
        <f t="shared" si="70"/>
        <v/>
      </c>
      <c r="F2231" t="str">
        <f t="shared" si="71"/>
        <v/>
      </c>
    </row>
    <row r="2232" spans="1:7" ht="15" customHeight="1" x14ac:dyDescent="0.3">
      <c r="A2232" t="s">
        <v>186</v>
      </c>
      <c r="B2232" s="2">
        <v>46327</v>
      </c>
      <c r="C2232" t="str" cm="1">
        <f t="array" ref="C2232">IFERROR(IF(SUMPRODUCT((measured[Site Name]=A2232)*(measured[Date]=B2232)*ISNUMBER(measured[Measured Value (kWh)]))=0,"",SUMIFS(measured[Measured Value (kWh)],measured[Site Name],A2232,measured[Date],B2232)),"")</f>
        <v/>
      </c>
      <c r="D2232" cm="1">
        <f t="array" ref="D2232">IFERROR(IF(SUMPRODUCT((expected_production[Site Name]=A2232)*(expected_production[Date]=B2232)*ISNUMBER(expected_production[Expected Production (kWh)]))=0,"",SUMIFS(expected_production[Expected Production (kWh)],expected_production[Site Name],A2232,expected_production[Date],B2232)),"")</f>
        <v>34366.5</v>
      </c>
      <c r="E2232" s="9" t="str">
        <f t="shared" si="70"/>
        <v/>
      </c>
      <c r="F2232" t="str">
        <f t="shared" si="71"/>
        <v/>
      </c>
    </row>
    <row r="2233" spans="1:7" ht="15" customHeight="1" x14ac:dyDescent="0.3">
      <c r="A2233" t="s">
        <v>186</v>
      </c>
      <c r="B2233" s="2">
        <v>46357</v>
      </c>
      <c r="C2233" t="str" cm="1">
        <f t="array" ref="C2233">IFERROR(IF(SUMPRODUCT((measured[Site Name]=A2233)*(measured[Date]=B2233)*ISNUMBER(measured[Measured Value (kWh)]))=0,"",SUMIFS(measured[Measured Value (kWh)],measured[Site Name],A2233,measured[Date],B2233)),"")</f>
        <v/>
      </c>
      <c r="D2233" cm="1">
        <f t="array" ref="D2233">IFERROR(IF(SUMPRODUCT((expected_production[Site Name]=A2233)*(expected_production[Date]=B2233)*ISNUMBER(expected_production[Expected Production (kWh)]))=0,"",SUMIFS(expected_production[Expected Production (kWh)],expected_production[Site Name],A2233,expected_production[Date],B2233)),"")</f>
        <v>36320.400000000001</v>
      </c>
      <c r="E2233" s="9" t="str">
        <f t="shared" si="70"/>
        <v/>
      </c>
      <c r="F2233" t="str">
        <f t="shared" si="71"/>
        <v/>
      </c>
    </row>
    <row r="2234" spans="1:7" ht="15" customHeight="1" x14ac:dyDescent="0.3">
      <c r="A2234" t="s">
        <v>188</v>
      </c>
      <c r="B2234" s="2">
        <v>45292</v>
      </c>
      <c r="C2234" t="str" cm="1">
        <f t="array" ref="C2234">IFERROR(IF(SUMPRODUCT((measured[Site Name]=A2234)*(measured[Date]=B2234)*ISNUMBER(measured[Measured Value (kWh)]))=0,"",SUMIFS(measured[Measured Value (kWh)],measured[Site Name],A2234,measured[Date],B2234)),"")</f>
        <v/>
      </c>
      <c r="D2234" cm="1">
        <f t="array" ref="D2234">IFERROR(IF(SUMPRODUCT((expected_production[Site Name]=A2234)*(expected_production[Date]=B2234)*ISNUMBER(expected_production[Expected Production (kWh)]))=0,"",SUMIFS(expected_production[Expected Production (kWh)],expected_production[Site Name],A2234,expected_production[Date],B2234)),"")</f>
        <v>20588.400000000001</v>
      </c>
      <c r="E2234" s="9" t="str">
        <f t="shared" si="70"/>
        <v/>
      </c>
      <c r="F2234" t="str">
        <f t="shared" si="71"/>
        <v/>
      </c>
    </row>
    <row r="2235" spans="1:7" ht="15" customHeight="1" x14ac:dyDescent="0.3">
      <c r="A2235" t="s">
        <v>188</v>
      </c>
      <c r="B2235" s="2">
        <v>45323</v>
      </c>
      <c r="C2235" t="str" cm="1">
        <f t="array" ref="C2235">IFERROR(IF(SUMPRODUCT((measured[Site Name]=A2235)*(measured[Date]=B2235)*ISNUMBER(measured[Measured Value (kWh)]))=0,"",SUMIFS(measured[Measured Value (kWh)],measured[Site Name],A2235,measured[Date],B2235)),"")</f>
        <v/>
      </c>
      <c r="D2235" cm="1">
        <f t="array" ref="D2235">IFERROR(IF(SUMPRODUCT((expected_production[Site Name]=A2235)*(expected_production[Date]=B2235)*ISNUMBER(expected_production[Expected Production (kWh)]))=0,"",SUMIFS(expected_production[Expected Production (kWh)],expected_production[Site Name],A2235,expected_production[Date],B2235)),"")</f>
        <v>17538.3</v>
      </c>
      <c r="E2235" s="9" t="str">
        <f t="shared" si="70"/>
        <v/>
      </c>
      <c r="F2235" t="str">
        <f t="shared" si="71"/>
        <v/>
      </c>
    </row>
    <row r="2236" spans="1:7" ht="15" customHeight="1" x14ac:dyDescent="0.3">
      <c r="A2236" t="s">
        <v>188</v>
      </c>
      <c r="B2236" s="2">
        <v>45352</v>
      </c>
      <c r="C2236" t="str" cm="1">
        <f t="array" ref="C2236">IFERROR(IF(SUMPRODUCT((measured[Site Name]=A2236)*(measured[Date]=B2236)*ISNUMBER(measured[Measured Value (kWh)]))=0,"",SUMIFS(measured[Measured Value (kWh)],measured[Site Name],A2236,measured[Date],B2236)),"")</f>
        <v/>
      </c>
      <c r="D2236" cm="1">
        <f t="array" ref="D2236">IFERROR(IF(SUMPRODUCT((expected_production[Site Name]=A2236)*(expected_production[Date]=B2236)*ISNUMBER(expected_production[Expected Production (kWh)]))=0,"",SUMIFS(expected_production[Expected Production (kWh)],expected_production[Site Name],A2236,expected_production[Date],B2236)),"")</f>
        <v>17897.400000000001</v>
      </c>
      <c r="E2236" s="9" t="str">
        <f t="shared" ref="E2236:E2299" si="72">IF(OR(C2236="",D2236="",D2236=0),"",C2236/D2236)</f>
        <v/>
      </c>
      <c r="F2236" t="str">
        <f t="shared" ref="F2236:F2299" si="73">IF(E2236="","",IF(E2236&gt;=0.9,"Expected",IF(E2236&gt;=0.7,"Moderate","Poor")))</f>
        <v/>
      </c>
    </row>
    <row r="2237" spans="1:7" ht="15" customHeight="1" x14ac:dyDescent="0.3">
      <c r="A2237" t="s">
        <v>188</v>
      </c>
      <c r="B2237" s="2">
        <v>45383</v>
      </c>
      <c r="C2237" t="str" cm="1">
        <f t="array" ref="C2237">IFERROR(IF(SUMPRODUCT((measured[Site Name]=A2237)*(measured[Date]=B2237)*ISNUMBER(measured[Measured Value (kWh)]))=0,"",SUMIFS(measured[Measured Value (kWh)],measured[Site Name],A2237,measured[Date],B2237)),"")</f>
        <v/>
      </c>
      <c r="D2237" cm="1">
        <f t="array" ref="D2237">IFERROR(IF(SUMPRODUCT((expected_production[Site Name]=A2237)*(expected_production[Date]=B2237)*ISNUMBER(expected_production[Expected Production (kWh)]))=0,"",SUMIFS(expected_production[Expected Production (kWh)],expected_production[Site Name],A2237,expected_production[Date],B2237)),"")</f>
        <v>14674.5</v>
      </c>
      <c r="E2237" s="9" t="str">
        <f t="shared" si="72"/>
        <v/>
      </c>
      <c r="F2237" t="str">
        <f t="shared" si="73"/>
        <v/>
      </c>
    </row>
    <row r="2238" spans="1:7" ht="15" customHeight="1" x14ac:dyDescent="0.3">
      <c r="A2238" t="s">
        <v>188</v>
      </c>
      <c r="B2238" s="2">
        <v>45413</v>
      </c>
      <c r="C2238" t="str" cm="1">
        <f t="array" ref="C2238">IFERROR(IF(SUMPRODUCT((measured[Site Name]=A2238)*(measured[Date]=B2238)*ISNUMBER(measured[Measured Value (kWh)]))=0,"",SUMIFS(measured[Measured Value (kWh)],measured[Site Name],A2238,measured[Date],B2238)),"")</f>
        <v/>
      </c>
      <c r="D2238" cm="1">
        <f t="array" ref="D2238">IFERROR(IF(SUMPRODUCT((expected_production[Site Name]=A2238)*(expected_production[Date]=B2238)*ISNUMBER(expected_production[Expected Production (kWh)]))=0,"",SUMIFS(expected_production[Expected Production (kWh)],expected_production[Site Name],A2238,expected_production[Date],B2238)),"")</f>
        <v>13272.3</v>
      </c>
      <c r="E2238" s="9" t="str">
        <f t="shared" si="72"/>
        <v/>
      </c>
      <c r="F2238" t="str">
        <f t="shared" si="73"/>
        <v/>
      </c>
    </row>
    <row r="2239" spans="1:7" ht="15" customHeight="1" x14ac:dyDescent="0.3">
      <c r="A2239" t="s">
        <v>188</v>
      </c>
      <c r="B2239" s="2">
        <v>45444</v>
      </c>
      <c r="C2239" t="str" cm="1">
        <f t="array" ref="C2239">IFERROR(IF(SUMPRODUCT((measured[Site Name]=A2239)*(measured[Date]=B2239)*ISNUMBER(measured[Measured Value (kWh)]))=0,"",SUMIFS(measured[Measured Value (kWh)],measured[Site Name],A2239,measured[Date],B2239)),"")</f>
        <v/>
      </c>
      <c r="D2239" cm="1">
        <f t="array" ref="D2239">IFERROR(IF(SUMPRODUCT((expected_production[Site Name]=A2239)*(expected_production[Date]=B2239)*ISNUMBER(expected_production[Expected Production (kWh)]))=0,"",SUMIFS(expected_production[Expected Production (kWh)],expected_production[Site Name],A2239,expected_production[Date],B2239)),"")</f>
        <v>11571.3</v>
      </c>
      <c r="E2239" s="9" t="str">
        <f t="shared" si="72"/>
        <v/>
      </c>
      <c r="F2239" t="str">
        <f t="shared" si="73"/>
        <v/>
      </c>
    </row>
    <row r="2240" spans="1:7" ht="15" customHeight="1" x14ac:dyDescent="0.3">
      <c r="A2240" t="s">
        <v>188</v>
      </c>
      <c r="B2240" s="2">
        <v>45474</v>
      </c>
      <c r="C2240" t="str" cm="1">
        <f t="array" ref="C2240">IFERROR(IF(SUMPRODUCT((measured[Site Name]=A2240)*(measured[Date]=B2240)*ISNUMBER(measured[Measured Value (kWh)]))=0,"",SUMIFS(measured[Measured Value (kWh)],measured[Site Name],A2240,measured[Date],B2240)),"")</f>
        <v/>
      </c>
      <c r="D2240" cm="1">
        <f t="array" ref="D2240">IFERROR(IF(SUMPRODUCT((expected_production[Site Name]=A2240)*(expected_production[Date]=B2240)*ISNUMBER(expected_production[Expected Production (kWh)]))=0,"",SUMIFS(expected_production[Expected Production (kWh)],expected_production[Site Name],A2240,expected_production[Date],B2240)),"")</f>
        <v>12990.6</v>
      </c>
      <c r="E2240" s="9" t="str">
        <f t="shared" si="72"/>
        <v/>
      </c>
      <c r="F2240" t="str">
        <f t="shared" si="73"/>
        <v/>
      </c>
    </row>
    <row r="2241" spans="1:6" ht="15" customHeight="1" x14ac:dyDescent="0.3">
      <c r="A2241" t="s">
        <v>188</v>
      </c>
      <c r="B2241" s="2">
        <v>45505</v>
      </c>
      <c r="C2241" t="str" cm="1">
        <f t="array" ref="C2241">IFERROR(IF(SUMPRODUCT((measured[Site Name]=A2241)*(measured[Date]=B2241)*ISNUMBER(measured[Measured Value (kWh)]))=0,"",SUMIFS(measured[Measured Value (kWh)],measured[Site Name],A2241,measured[Date],B2241)),"")</f>
        <v/>
      </c>
      <c r="D2241" cm="1">
        <f t="array" ref="D2241">IFERROR(IF(SUMPRODUCT((expected_production[Site Name]=A2241)*(expected_production[Date]=B2241)*ISNUMBER(expected_production[Expected Production (kWh)]))=0,"",SUMIFS(expected_production[Expected Production (kWh)],expected_production[Site Name],A2241,expected_production[Date],B2241)),"")</f>
        <v>15871.5</v>
      </c>
      <c r="E2241" s="9" t="str">
        <f t="shared" si="72"/>
        <v/>
      </c>
      <c r="F2241" t="str">
        <f t="shared" si="73"/>
        <v/>
      </c>
    </row>
    <row r="2242" spans="1:6" ht="15" customHeight="1" x14ac:dyDescent="0.3">
      <c r="A2242" t="s">
        <v>188</v>
      </c>
      <c r="B2242" s="2">
        <v>45536</v>
      </c>
      <c r="C2242" cm="1">
        <f t="array" ref="C2242">IFERROR(IF(SUMPRODUCT((measured[Site Name]=A2242)*(measured[Date]=B2242)*ISNUMBER(measured[Measured Value (kWh)]))=0,"",SUMIFS(measured[Measured Value (kWh)],measured[Site Name],A2242,measured[Date],B2242)),"")</f>
        <v>10570</v>
      </c>
      <c r="D2242" cm="1">
        <f t="array" ref="D2242">IFERROR(IF(SUMPRODUCT((expected_production[Site Name]=A2242)*(expected_production[Date]=B2242)*ISNUMBER(expected_production[Expected Production (kWh)]))=0,"",SUMIFS(expected_production[Expected Production (kWh)],expected_production[Site Name],A2242,expected_production[Date],B2242)),"")</f>
        <v>18317.7</v>
      </c>
      <c r="E2242" s="9">
        <f t="shared" si="72"/>
        <v>0.57703751016776117</v>
      </c>
      <c r="F2242" t="str">
        <f t="shared" si="73"/>
        <v>Poor</v>
      </c>
    </row>
    <row r="2243" spans="1:6" ht="15" customHeight="1" x14ac:dyDescent="0.3">
      <c r="A2243" t="s">
        <v>188</v>
      </c>
      <c r="B2243" s="2">
        <v>45566</v>
      </c>
      <c r="C2243" cm="1">
        <f t="array" ref="C2243">IFERROR(IF(SUMPRODUCT((measured[Site Name]=A2243)*(measured[Date]=B2243)*ISNUMBER(measured[Measured Value (kWh)]))=0,"",SUMIFS(measured[Measured Value (kWh)],measured[Site Name],A2243,measured[Date],B2243)),"")</f>
        <v>18040</v>
      </c>
      <c r="D2243" cm="1">
        <f t="array" ref="D2243">IFERROR(IF(SUMPRODUCT((expected_production[Site Name]=A2243)*(expected_production[Date]=B2243)*ISNUMBER(expected_production[Expected Production (kWh)]))=0,"",SUMIFS(expected_production[Expected Production (kWh)],expected_production[Site Name],A2243,expected_production[Date],B2243)),"")</f>
        <v>20121.3</v>
      </c>
      <c r="E2243" s="9">
        <f t="shared" si="72"/>
        <v>0.89656234935118506</v>
      </c>
      <c r="F2243" t="str">
        <f t="shared" si="73"/>
        <v>Moderate</v>
      </c>
    </row>
    <row r="2244" spans="1:6" ht="15" customHeight="1" x14ac:dyDescent="0.3">
      <c r="A2244" t="s">
        <v>188</v>
      </c>
      <c r="B2244" s="2">
        <v>45597</v>
      </c>
      <c r="C2244" cm="1">
        <f t="array" ref="C2244">IFERROR(IF(SUMPRODUCT((measured[Site Name]=A2244)*(measured[Date]=B2244)*ISNUMBER(measured[Measured Value (kWh)]))=0,"",SUMIFS(measured[Measured Value (kWh)],measured[Site Name],A2244,measured[Date],B2244)),"")</f>
        <v>18800</v>
      </c>
      <c r="D2244" cm="1">
        <f t="array" ref="D2244">IFERROR(IF(SUMPRODUCT((expected_production[Site Name]=A2244)*(expected_production[Date]=B2244)*ISNUMBER(expected_production[Expected Production (kWh)]))=0,"",SUMIFS(expected_production[Expected Production (kWh)],expected_production[Site Name],A2244,expected_production[Date],B2244)),"")</f>
        <v>20573.099999999999</v>
      </c>
      <c r="E2244" s="9">
        <f t="shared" si="72"/>
        <v>0.91381464144927116</v>
      </c>
      <c r="F2244" t="str">
        <f t="shared" si="73"/>
        <v>Expected</v>
      </c>
    </row>
    <row r="2245" spans="1:6" ht="15" customHeight="1" x14ac:dyDescent="0.3">
      <c r="A2245" t="s">
        <v>188</v>
      </c>
      <c r="B2245" s="2">
        <v>45627</v>
      </c>
      <c r="C2245" cm="1">
        <f t="array" ref="C2245">IFERROR(IF(SUMPRODUCT((measured[Site Name]=A2245)*(measured[Date]=B2245)*ISNUMBER(measured[Measured Value (kWh)]))=0,"",SUMIFS(measured[Measured Value (kWh)],measured[Site Name],A2245,measured[Date],B2245)),"")</f>
        <v>20883</v>
      </c>
      <c r="D2245" cm="1">
        <f t="array" ref="D2245">IFERROR(IF(SUMPRODUCT((expected_production[Site Name]=A2245)*(expected_production[Date]=B2245)*ISNUMBER(expected_production[Expected Production (kWh)]))=0,"",SUMIFS(expected_production[Expected Production (kWh)],expected_production[Site Name],A2245,expected_production[Date],B2245)),"")</f>
        <v>21930.3</v>
      </c>
      <c r="E2245" s="9">
        <f t="shared" si="72"/>
        <v>0.95224415534671214</v>
      </c>
      <c r="F2245" t="str">
        <f t="shared" si="73"/>
        <v>Expected</v>
      </c>
    </row>
    <row r="2246" spans="1:6" ht="15" customHeight="1" x14ac:dyDescent="0.3">
      <c r="A2246" t="s">
        <v>188</v>
      </c>
      <c r="B2246" s="2">
        <v>45658</v>
      </c>
      <c r="C2246" cm="1">
        <f t="array" ref="C2246">IFERROR(IF(SUMPRODUCT((measured[Site Name]=A2246)*(measured[Date]=B2246)*ISNUMBER(measured[Measured Value (kWh)]))=0,"",SUMIFS(measured[Measured Value (kWh)],measured[Site Name],A2246,measured[Date],B2246)),"")</f>
        <v>20300</v>
      </c>
      <c r="D2246" cm="1">
        <f t="array" ref="D2246">IFERROR(IF(SUMPRODUCT((expected_production[Site Name]=A2246)*(expected_production[Date]=B2246)*ISNUMBER(expected_production[Expected Production (kWh)]))=0,"",SUMIFS(expected_production[Expected Production (kWh)],expected_production[Site Name],A2246,expected_production[Date],B2246)),"")</f>
        <v>20588.400000000001</v>
      </c>
      <c r="E2246" s="9">
        <f t="shared" si="72"/>
        <v>0.98599211206310344</v>
      </c>
      <c r="F2246" t="str">
        <f t="shared" si="73"/>
        <v>Expected</v>
      </c>
    </row>
    <row r="2247" spans="1:6" ht="15" customHeight="1" x14ac:dyDescent="0.3">
      <c r="A2247" t="s">
        <v>188</v>
      </c>
      <c r="B2247" s="2">
        <v>45689</v>
      </c>
      <c r="C2247" cm="1">
        <f t="array" ref="C2247">IFERROR(IF(SUMPRODUCT((measured[Site Name]=A2247)*(measured[Date]=B2247)*ISNUMBER(measured[Measured Value (kWh)]))=0,"",SUMIFS(measured[Measured Value (kWh)],measured[Site Name],A2247,measured[Date],B2247)),"")</f>
        <v>13100</v>
      </c>
      <c r="D2247" cm="1">
        <f t="array" ref="D2247">IFERROR(IF(SUMPRODUCT((expected_production[Site Name]=A2247)*(expected_production[Date]=B2247)*ISNUMBER(expected_production[Expected Production (kWh)]))=0,"",SUMIFS(expected_production[Expected Production (kWh)],expected_production[Site Name],A2247,expected_production[Date],B2247)),"")</f>
        <v>17538.3</v>
      </c>
      <c r="E2247" s="9">
        <f t="shared" si="72"/>
        <v>0.74693670424157421</v>
      </c>
      <c r="F2247" t="str">
        <f t="shared" si="73"/>
        <v>Moderate</v>
      </c>
    </row>
    <row r="2248" spans="1:6" ht="15" customHeight="1" x14ac:dyDescent="0.3">
      <c r="A2248" t="s">
        <v>188</v>
      </c>
      <c r="B2248" s="2">
        <v>45717</v>
      </c>
      <c r="C2248" cm="1">
        <f t="array" ref="C2248">IFERROR(IF(SUMPRODUCT((measured[Site Name]=A2248)*(measured[Date]=B2248)*ISNUMBER(measured[Measured Value (kWh)]))=0,"",SUMIFS(measured[Measured Value (kWh)],measured[Site Name],A2248,measured[Date],B2248)),"")</f>
        <v>12342</v>
      </c>
      <c r="D2248" cm="1">
        <f t="array" ref="D2248">IFERROR(IF(SUMPRODUCT((expected_production[Site Name]=A2248)*(expected_production[Date]=B2248)*ISNUMBER(expected_production[Expected Production (kWh)]))=0,"",SUMIFS(expected_production[Expected Production (kWh)],expected_production[Site Name],A2248,expected_production[Date],B2248)),"")</f>
        <v>17897.400000000001</v>
      </c>
      <c r="E2248" s="9">
        <f t="shared" si="72"/>
        <v>0.68959737168527269</v>
      </c>
      <c r="F2248" t="str">
        <f t="shared" si="73"/>
        <v>Poor</v>
      </c>
    </row>
    <row r="2249" spans="1:6" ht="15" customHeight="1" x14ac:dyDescent="0.3">
      <c r="A2249" t="s">
        <v>188</v>
      </c>
      <c r="B2249" s="2">
        <v>45748</v>
      </c>
      <c r="C2249" cm="1">
        <f t="array" ref="C2249">IFERROR(IF(SUMPRODUCT((measured[Site Name]=A2249)*(measured[Date]=B2249)*ISNUMBER(measured[Measured Value (kWh)]))=0,"",SUMIFS(measured[Measured Value (kWh)],measured[Site Name],A2249,measured[Date],B2249)),"")</f>
        <v>10819</v>
      </c>
      <c r="D2249" cm="1">
        <f t="array" ref="D2249">IFERROR(IF(SUMPRODUCT((expected_production[Site Name]=A2249)*(expected_production[Date]=B2249)*ISNUMBER(expected_production[Expected Production (kWh)]))=0,"",SUMIFS(expected_production[Expected Production (kWh)],expected_production[Site Name],A2249,expected_production[Date],B2249)),"")</f>
        <v>14674.5</v>
      </c>
      <c r="E2249" s="9">
        <f t="shared" si="72"/>
        <v>0.73726532420184676</v>
      </c>
      <c r="F2249" t="str">
        <f t="shared" si="73"/>
        <v>Moderate</v>
      </c>
    </row>
    <row r="2250" spans="1:6" ht="15" customHeight="1" x14ac:dyDescent="0.3">
      <c r="A2250" t="s">
        <v>188</v>
      </c>
      <c r="B2250" s="2">
        <v>45778</v>
      </c>
      <c r="C2250" cm="1">
        <f t="array" ref="C2250">IFERROR(IF(SUMPRODUCT((measured[Site Name]=A2250)*(measured[Date]=B2250)*ISNUMBER(measured[Measured Value (kWh)]))=0,"",SUMIFS(measured[Measured Value (kWh)],measured[Site Name],A2250,measured[Date],B2250)),"")</f>
        <v>15169</v>
      </c>
      <c r="D2250" cm="1">
        <f t="array" ref="D2250">IFERROR(IF(SUMPRODUCT((expected_production[Site Name]=A2250)*(expected_production[Date]=B2250)*ISNUMBER(expected_production[Expected Production (kWh)]))=0,"",SUMIFS(expected_production[Expected Production (kWh)],expected_production[Site Name],A2250,expected_production[Date],B2250)),"")</f>
        <v>13272.3</v>
      </c>
      <c r="E2250" s="9">
        <f t="shared" si="72"/>
        <v>1.1429066552142433</v>
      </c>
      <c r="F2250" t="str">
        <f t="shared" si="73"/>
        <v>Expected</v>
      </c>
    </row>
    <row r="2251" spans="1:6" ht="15" customHeight="1" x14ac:dyDescent="0.3">
      <c r="A2251" t="s">
        <v>188</v>
      </c>
      <c r="B2251" s="2">
        <v>45809</v>
      </c>
      <c r="C2251" cm="1">
        <f t="array" ref="C2251">IFERROR(IF(SUMPRODUCT((measured[Site Name]=A2251)*(measured[Date]=B2251)*ISNUMBER(measured[Measured Value (kWh)]))=0,"",SUMIFS(measured[Measured Value (kWh)],measured[Site Name],A2251,measured[Date],B2251)),"")</f>
        <v>13081.41</v>
      </c>
      <c r="D2251" cm="1">
        <f t="array" ref="D2251">IFERROR(IF(SUMPRODUCT((expected_production[Site Name]=A2251)*(expected_production[Date]=B2251)*ISNUMBER(expected_production[Expected Production (kWh)]))=0,"",SUMIFS(expected_production[Expected Production (kWh)],expected_production[Site Name],A2251,expected_production[Date],B2251)),"")</f>
        <v>11571.3</v>
      </c>
      <c r="E2251" s="9">
        <f t="shared" si="72"/>
        <v>1.1305047833864821</v>
      </c>
      <c r="F2251" t="str">
        <f t="shared" si="73"/>
        <v>Expected</v>
      </c>
    </row>
    <row r="2252" spans="1:6" ht="15" customHeight="1" x14ac:dyDescent="0.3">
      <c r="A2252" t="s">
        <v>188</v>
      </c>
      <c r="B2252" s="2">
        <v>45839</v>
      </c>
      <c r="C2252" cm="1">
        <f t="array" ref="C2252">IFERROR(IF(SUMPRODUCT((measured[Site Name]=A2252)*(measured[Date]=B2252)*ISNUMBER(measured[Measured Value (kWh)]))=0,"",SUMIFS(measured[Measured Value (kWh)],measured[Site Name],A2252,measured[Date],B2252)),"")</f>
        <v>14154</v>
      </c>
      <c r="D2252" cm="1">
        <f t="array" ref="D2252">IFERROR(IF(SUMPRODUCT((expected_production[Site Name]=A2252)*(expected_production[Date]=B2252)*ISNUMBER(expected_production[Expected Production (kWh)]))=0,"",SUMIFS(expected_production[Expected Production (kWh)],expected_production[Site Name],A2252,expected_production[Date],B2252)),"")</f>
        <v>12990.6</v>
      </c>
      <c r="E2252" s="9">
        <f t="shared" si="72"/>
        <v>1.0895570643388295</v>
      </c>
      <c r="F2252" t="str">
        <f t="shared" si="73"/>
        <v>Expected</v>
      </c>
    </row>
    <row r="2253" spans="1:6" ht="15" customHeight="1" x14ac:dyDescent="0.3">
      <c r="A2253" t="s">
        <v>188</v>
      </c>
      <c r="B2253" s="2">
        <v>45870</v>
      </c>
      <c r="C2253" cm="1">
        <f t="array" ref="C2253">IFERROR(IF(SUMPRODUCT((measured[Site Name]=A2253)*(measured[Date]=B2253)*ISNUMBER(measured[Measured Value (kWh)]))=0,"",SUMIFS(measured[Measured Value (kWh)],measured[Site Name],A2253,measured[Date],B2253)),"")</f>
        <v>16190</v>
      </c>
      <c r="D2253" cm="1">
        <f t="array" ref="D2253">IFERROR(IF(SUMPRODUCT((expected_production[Site Name]=A2253)*(expected_production[Date]=B2253)*ISNUMBER(expected_production[Expected Production (kWh)]))=0,"",SUMIFS(expected_production[Expected Production (kWh)],expected_production[Site Name],A2253,expected_production[Date],B2253)),"")</f>
        <v>15871.5</v>
      </c>
      <c r="E2253" s="9">
        <f t="shared" si="72"/>
        <v>1.0200674164382699</v>
      </c>
      <c r="F2253" t="str">
        <f t="shared" si="73"/>
        <v>Expected</v>
      </c>
    </row>
    <row r="2254" spans="1:6" ht="15" customHeight="1" x14ac:dyDescent="0.3">
      <c r="A2254" t="s">
        <v>188</v>
      </c>
      <c r="B2254" s="2">
        <v>45901</v>
      </c>
      <c r="C2254" cm="1">
        <f t="array" ref="C2254">IFERROR(IF(SUMPRODUCT((measured[Site Name]=A2254)*(measured[Date]=B2254)*ISNUMBER(measured[Measured Value (kWh)]))=0,"",SUMIFS(measured[Measured Value (kWh)],measured[Site Name],A2254,measured[Date],B2254)),"")</f>
        <v>16520</v>
      </c>
      <c r="D2254" cm="1">
        <f t="array" ref="D2254">IFERROR(IF(SUMPRODUCT((expected_production[Site Name]=A2254)*(expected_production[Date]=B2254)*ISNUMBER(expected_production[Expected Production (kWh)]))=0,"",SUMIFS(expected_production[Expected Production (kWh)],expected_production[Site Name],A2254,expected_production[Date],B2254)),"")</f>
        <v>18317.7</v>
      </c>
      <c r="E2254" s="9">
        <f t="shared" si="72"/>
        <v>0.90185994966616989</v>
      </c>
      <c r="F2254" t="str">
        <f t="shared" si="73"/>
        <v>Expected</v>
      </c>
    </row>
    <row r="2255" spans="1:6" ht="15" customHeight="1" x14ac:dyDescent="0.3">
      <c r="A2255" t="s">
        <v>188</v>
      </c>
      <c r="B2255" s="2">
        <v>45931</v>
      </c>
      <c r="C2255" cm="1">
        <f t="array" ref="C2255">IFERROR(IF(SUMPRODUCT((measured[Site Name]=A2255)*(measured[Date]=B2255)*ISNUMBER(measured[Measured Value (kWh)]))=0,"",SUMIFS(measured[Measured Value (kWh)],measured[Site Name],A2255,measured[Date],B2255)),"")</f>
        <v>20440</v>
      </c>
      <c r="D2255" cm="1">
        <f t="array" ref="D2255">IFERROR(IF(SUMPRODUCT((expected_production[Site Name]=A2255)*(expected_production[Date]=B2255)*ISNUMBER(expected_production[Expected Production (kWh)]))=0,"",SUMIFS(expected_production[Expected Production (kWh)],expected_production[Site Name],A2255,expected_production[Date],B2255)),"")</f>
        <v>20121.3</v>
      </c>
      <c r="E2255" s="9">
        <f t="shared" si="72"/>
        <v>1.0158389368480167</v>
      </c>
      <c r="F2255" t="str">
        <f t="shared" si="73"/>
        <v>Expected</v>
      </c>
    </row>
    <row r="2256" spans="1:6" ht="15" customHeight="1" x14ac:dyDescent="0.3">
      <c r="A2256" t="s">
        <v>188</v>
      </c>
      <c r="B2256" s="2">
        <v>45962</v>
      </c>
      <c r="C2256" cm="1">
        <f t="array" ref="C2256">IFERROR(IF(SUMPRODUCT((measured[Site Name]=A2256)*(measured[Date]=B2256)*ISNUMBER(measured[Measured Value (kWh)]))=0,"",SUMIFS(measured[Measured Value (kWh)],measured[Site Name],A2256,measured[Date],B2256)),"")</f>
        <v>17928</v>
      </c>
      <c r="D2256" cm="1">
        <f t="array" ref="D2256">IFERROR(IF(SUMPRODUCT((expected_production[Site Name]=A2256)*(expected_production[Date]=B2256)*ISNUMBER(expected_production[Expected Production (kWh)]))=0,"",SUMIFS(expected_production[Expected Production (kWh)],expected_production[Site Name],A2256,expected_production[Date],B2256)),"")</f>
        <v>20573.099999999999</v>
      </c>
      <c r="E2256" s="9">
        <f t="shared" si="72"/>
        <v>0.87142919637779437</v>
      </c>
      <c r="F2256" t="str">
        <f t="shared" si="73"/>
        <v>Moderate</v>
      </c>
    </row>
    <row r="2257" spans="1:7" ht="15" customHeight="1" x14ac:dyDescent="0.3">
      <c r="A2257" t="s">
        <v>188</v>
      </c>
      <c r="B2257" s="2">
        <v>45992</v>
      </c>
      <c r="C2257" cm="1">
        <f t="array" ref="C2257">IFERROR(IF(SUMPRODUCT((measured[Site Name]=A2257)*(measured[Date]=B2257)*ISNUMBER(measured[Measured Value (kWh)]))=0,"",SUMIFS(measured[Measured Value (kWh)],measured[Site Name],A2257,measured[Date],B2257)),"")</f>
        <v>20527.882300000001</v>
      </c>
      <c r="D2257" cm="1">
        <f t="array" ref="D2257">IFERROR(IF(SUMPRODUCT((expected_production[Site Name]=A2257)*(expected_production[Date]=B2257)*ISNUMBER(expected_production[Expected Production (kWh)]))=0,"",SUMIFS(expected_production[Expected Production (kWh)],expected_production[Site Name],A2257,expected_production[Date],B2257)),"")</f>
        <v>21930.3</v>
      </c>
      <c r="E2257" s="9">
        <f t="shared" si="72"/>
        <v>0.93605113929130024</v>
      </c>
      <c r="F2257" t="str">
        <f t="shared" si="73"/>
        <v>Expected</v>
      </c>
    </row>
    <row r="2258" spans="1:7" ht="15" customHeight="1" x14ac:dyDescent="0.3">
      <c r="A2258" t="s">
        <v>188</v>
      </c>
      <c r="B2258" s="2">
        <v>46023</v>
      </c>
      <c r="C2258" cm="1">
        <f t="array" ref="C2258">IFERROR(IF(SUMPRODUCT((measured[Site Name]=A2258)*(measured[Date]=B2258)*ISNUMBER(measured[Measured Value (kWh)]))=0,"",SUMIFS(measured[Measured Value (kWh)],measured[Site Name],A2258,measured[Date],B2258)),"")</f>
        <v>22071</v>
      </c>
      <c r="D2258" cm="1">
        <f t="array" ref="D2258">IFERROR(IF(SUMPRODUCT((expected_production[Site Name]=A2258)*(expected_production[Date]=B2258)*ISNUMBER(expected_production[Expected Production (kWh)]))=0,"",SUMIFS(expected_production[Expected Production (kWh)],expected_production[Site Name],A2258,expected_production[Date],B2258)),"")</f>
        <v>20588.400000000001</v>
      </c>
      <c r="E2258" s="9">
        <f t="shared" si="72"/>
        <v>1.0720114239086087</v>
      </c>
      <c r="F2258" t="str">
        <f t="shared" si="73"/>
        <v>Expected</v>
      </c>
    </row>
    <row r="2259" spans="1:7" ht="15" customHeight="1" x14ac:dyDescent="0.3">
      <c r="A2259" t="s">
        <v>188</v>
      </c>
      <c r="B2259" s="2">
        <v>46054</v>
      </c>
      <c r="C2259" cm="1">
        <f t="array" ref="C2259">IFERROR(IF(SUMPRODUCT((measured[Site Name]=A2259)*(measured[Date]=B2259)*ISNUMBER(measured[Measured Value (kWh)]))=0,"",SUMIFS(measured[Measured Value (kWh)],measured[Site Name],A2259,measured[Date],B2259)),"")</f>
        <v>18965</v>
      </c>
      <c r="D2259" cm="1">
        <f t="array" ref="D2259">IFERROR(IF(SUMPRODUCT((expected_production[Site Name]=A2259)*(expected_production[Date]=B2259)*ISNUMBER(expected_production[Expected Production (kWh)]))=0,"",SUMIFS(expected_production[Expected Production (kWh)],expected_production[Site Name],A2259,expected_production[Date],B2259)),"")</f>
        <v>17538.3</v>
      </c>
      <c r="E2259" s="9">
        <f t="shared" si="72"/>
        <v>1.0813476790795002</v>
      </c>
      <c r="F2259" t="str">
        <f t="shared" si="73"/>
        <v>Expected</v>
      </c>
    </row>
    <row r="2260" spans="1:7" ht="15" customHeight="1" x14ac:dyDescent="0.3">
      <c r="A2260" t="s">
        <v>188</v>
      </c>
      <c r="B2260" s="2">
        <v>46082</v>
      </c>
      <c r="C2260" cm="1">
        <f t="array" ref="C2260">IFERROR(IF(SUMPRODUCT((measured[Site Name]=A2260)*(measured[Date]=B2260)*ISNUMBER(measured[Measured Value (kWh)]))=0,"",SUMIFS(measured[Measured Value (kWh)],measured[Site Name],A2260,measured[Date],B2260)),"")</f>
        <v>15865</v>
      </c>
      <c r="D2260" cm="1">
        <f t="array" ref="D2260">IFERROR(IF(SUMPRODUCT((expected_production[Site Name]=A2260)*(expected_production[Date]=B2260)*ISNUMBER(expected_production[Expected Production (kWh)]))=0,"",SUMIFS(expected_production[Expected Production (kWh)],expected_production[Site Name],A2260,expected_production[Date],B2260)),"")</f>
        <v>17897.400000000001</v>
      </c>
      <c r="E2260" s="9">
        <f t="shared" si="72"/>
        <v>0.88644160604333588</v>
      </c>
      <c r="F2260" t="str">
        <f t="shared" si="73"/>
        <v>Moderate</v>
      </c>
    </row>
    <row r="2261" spans="1:7" ht="15" customHeight="1" x14ac:dyDescent="0.3">
      <c r="A2261" t="s">
        <v>188</v>
      </c>
      <c r="B2261" s="2">
        <v>46113</v>
      </c>
      <c r="C2261" cm="1">
        <f t="array" ref="C2261">IFERROR(IF(SUMPRODUCT((measured[Site Name]=A2261)*(measured[Date]=B2261)*ISNUMBER(measured[Measured Value (kWh)]))=0,"",SUMIFS(measured[Measured Value (kWh)],measured[Site Name],A2261,measured[Date],B2261)),"")</f>
        <v>13806.89</v>
      </c>
      <c r="D2261" cm="1">
        <f t="array" ref="D2261">IFERROR(IF(SUMPRODUCT((expected_production[Site Name]=A2261)*(expected_production[Date]=B2261)*ISNUMBER(expected_production[Expected Production (kWh)]))=0,"",SUMIFS(expected_production[Expected Production (kWh)],expected_production[Site Name],A2261,expected_production[Date],B2261)),"")</f>
        <v>14674.5</v>
      </c>
      <c r="E2261" s="9">
        <f t="shared" si="72"/>
        <v>0.94087635013117987</v>
      </c>
      <c r="F2261" t="str">
        <f t="shared" si="73"/>
        <v>Expected</v>
      </c>
    </row>
    <row r="2262" spans="1:7" ht="15" customHeight="1" x14ac:dyDescent="0.3">
      <c r="A2262" t="s">
        <v>188</v>
      </c>
      <c r="B2262" s="2">
        <v>46143</v>
      </c>
      <c r="C2262" cm="1">
        <f t="array" ref="C2262">IFERROR(IF(SUMPRODUCT((measured[Site Name]=A2262)*(measured[Date]=B2262)*ISNUMBER(measured[Measured Value (kWh)]))=0,"",SUMIFS(measured[Measured Value (kWh)],measured[Site Name],A2262,measured[Date],B2262)),"")</f>
        <v>13506.85</v>
      </c>
      <c r="D2262" cm="1">
        <f t="array" ref="D2262">IFERROR(IF(SUMPRODUCT((expected_production[Site Name]=A2262)*(expected_production[Date]=B2262)*ISNUMBER(expected_production[Expected Production (kWh)]))=0,"",SUMIFS(expected_production[Expected Production (kWh)],expected_production[Site Name],A2262,expected_production[Date],B2262)),"")</f>
        <v>13272.3</v>
      </c>
      <c r="E2262" s="9">
        <f t="shared" si="72"/>
        <v>1.0176721442402599</v>
      </c>
      <c r="F2262" t="str">
        <f t="shared" si="73"/>
        <v>Expected</v>
      </c>
    </row>
    <row r="2263" spans="1:7" ht="15" customHeight="1" x14ac:dyDescent="0.3">
      <c r="A2263" t="s">
        <v>188</v>
      </c>
      <c r="B2263" s="2">
        <v>46174</v>
      </c>
      <c r="C2263" cm="1">
        <f t="array" ref="C2263">IFERROR(IF(SUMPRODUCT((measured[Site Name]=A2263)*(measured[Date]=B2263)*ISNUMBER(measured[Measured Value (kWh)]))=0,"",SUMIFS(measured[Measured Value (kWh)],measured[Site Name],A2263,measured[Date],B2263)),"")</f>
        <v>10711.09</v>
      </c>
      <c r="D2263" cm="1">
        <f t="array" ref="D2263">IFERROR(IF(SUMPRODUCT((expected_production[Site Name]=A2263)*(expected_production[Date]=B2263)*ISNUMBER(expected_production[Expected Production (kWh)]))=0,"",SUMIFS(expected_production[Expected Production (kWh)],expected_production[Site Name],A2263,expected_production[Date],B2263)),"")</f>
        <v>11571.3</v>
      </c>
      <c r="E2263" s="9">
        <f t="shared" si="72"/>
        <v>0.92566003819795539</v>
      </c>
      <c r="F2263" t="str">
        <f t="shared" si="73"/>
        <v>Expected</v>
      </c>
    </row>
    <row r="2264" spans="1:7" ht="15" customHeight="1" x14ac:dyDescent="0.3">
      <c r="A2264" t="s">
        <v>188</v>
      </c>
      <c r="B2264" s="2">
        <v>46204</v>
      </c>
      <c r="C2264" cm="1">
        <f t="array" ref="C2264">IFERROR(IF(SUMPRODUCT((measured[Site Name]=A2264)*(measured[Date]=B2264)*ISNUMBER(measured[Measured Value (kWh)]))=0,"",SUMIFS(measured[Measured Value (kWh)],measured[Site Name],A2264,measured[Date],B2264)),"")</f>
        <v>9106.9599999999991</v>
      </c>
      <c r="D2264" cm="1">
        <f t="array" ref="D2264">IFERROR(IF(SUMPRODUCT((expected_production[Site Name]=A2264)*(expected_production[Date]=B2264)*ISNUMBER(expected_production[Expected Production (kWh)]))=0,"",SUMIFS(expected_production[Expected Production (kWh)],expected_production[Site Name],A2264,expected_production[Date],B2264)),"")</f>
        <v>12990.6</v>
      </c>
      <c r="E2264" s="9">
        <f t="shared" si="72"/>
        <v>0.70104229211891667</v>
      </c>
      <c r="F2264" t="str">
        <f t="shared" si="73"/>
        <v>Moderate</v>
      </c>
      <c r="G2264" t="s">
        <v>874</v>
      </c>
    </row>
    <row r="2265" spans="1:7" ht="15" customHeight="1" x14ac:dyDescent="0.3">
      <c r="A2265" t="s">
        <v>188</v>
      </c>
      <c r="B2265" s="2">
        <v>46235</v>
      </c>
      <c r="C2265" t="str" cm="1">
        <f t="array" ref="C2265">IFERROR(IF(SUMPRODUCT((measured[Site Name]=A2265)*(measured[Date]=B2265)*ISNUMBER(measured[Measured Value (kWh)]))=0,"",SUMIFS(measured[Measured Value (kWh)],measured[Site Name],A2265,measured[Date],B2265)),"")</f>
        <v/>
      </c>
      <c r="D2265" cm="1">
        <f t="array" ref="D2265">IFERROR(IF(SUMPRODUCT((expected_production[Site Name]=A2265)*(expected_production[Date]=B2265)*ISNUMBER(expected_production[Expected Production (kWh)]))=0,"",SUMIFS(expected_production[Expected Production (kWh)],expected_production[Site Name],A2265,expected_production[Date],B2265)),"")</f>
        <v>15871.5</v>
      </c>
      <c r="E2265" s="9" t="str">
        <f t="shared" si="72"/>
        <v/>
      </c>
      <c r="F2265" t="str">
        <f t="shared" si="73"/>
        <v/>
      </c>
    </row>
    <row r="2266" spans="1:7" ht="15" customHeight="1" x14ac:dyDescent="0.3">
      <c r="A2266" t="s">
        <v>188</v>
      </c>
      <c r="B2266" s="2">
        <v>46266</v>
      </c>
      <c r="C2266" t="str" cm="1">
        <f t="array" ref="C2266">IFERROR(IF(SUMPRODUCT((measured[Site Name]=A2266)*(measured[Date]=B2266)*ISNUMBER(measured[Measured Value (kWh)]))=0,"",SUMIFS(measured[Measured Value (kWh)],measured[Site Name],A2266,measured[Date],B2266)),"")</f>
        <v/>
      </c>
      <c r="D2266" cm="1">
        <f t="array" ref="D2266">IFERROR(IF(SUMPRODUCT((expected_production[Site Name]=A2266)*(expected_production[Date]=B2266)*ISNUMBER(expected_production[Expected Production (kWh)]))=0,"",SUMIFS(expected_production[Expected Production (kWh)],expected_production[Site Name],A2266,expected_production[Date],B2266)),"")</f>
        <v>18317.7</v>
      </c>
      <c r="E2266" s="9" t="str">
        <f t="shared" si="72"/>
        <v/>
      </c>
      <c r="F2266" t="str">
        <f t="shared" si="73"/>
        <v/>
      </c>
    </row>
    <row r="2267" spans="1:7" ht="15" customHeight="1" x14ac:dyDescent="0.3">
      <c r="A2267" t="s">
        <v>188</v>
      </c>
      <c r="B2267" s="2">
        <v>46296</v>
      </c>
      <c r="C2267" t="str" cm="1">
        <f t="array" ref="C2267">IFERROR(IF(SUMPRODUCT((measured[Site Name]=A2267)*(measured[Date]=B2267)*ISNUMBER(measured[Measured Value (kWh)]))=0,"",SUMIFS(measured[Measured Value (kWh)],measured[Site Name],A2267,measured[Date],B2267)),"")</f>
        <v/>
      </c>
      <c r="D2267" cm="1">
        <f t="array" ref="D2267">IFERROR(IF(SUMPRODUCT((expected_production[Site Name]=A2267)*(expected_production[Date]=B2267)*ISNUMBER(expected_production[Expected Production (kWh)]))=0,"",SUMIFS(expected_production[Expected Production (kWh)],expected_production[Site Name],A2267,expected_production[Date],B2267)),"")</f>
        <v>20121.3</v>
      </c>
      <c r="E2267" s="9" t="str">
        <f t="shared" si="72"/>
        <v/>
      </c>
      <c r="F2267" t="str">
        <f t="shared" si="73"/>
        <v/>
      </c>
    </row>
    <row r="2268" spans="1:7" ht="15" customHeight="1" x14ac:dyDescent="0.3">
      <c r="A2268" t="s">
        <v>188</v>
      </c>
      <c r="B2268" s="2">
        <v>46327</v>
      </c>
      <c r="C2268" t="str" cm="1">
        <f t="array" ref="C2268">IFERROR(IF(SUMPRODUCT((measured[Site Name]=A2268)*(measured[Date]=B2268)*ISNUMBER(measured[Measured Value (kWh)]))=0,"",SUMIFS(measured[Measured Value (kWh)],measured[Site Name],A2268,measured[Date],B2268)),"")</f>
        <v/>
      </c>
      <c r="D2268" cm="1">
        <f t="array" ref="D2268">IFERROR(IF(SUMPRODUCT((expected_production[Site Name]=A2268)*(expected_production[Date]=B2268)*ISNUMBER(expected_production[Expected Production (kWh)]))=0,"",SUMIFS(expected_production[Expected Production (kWh)],expected_production[Site Name],A2268,expected_production[Date],B2268)),"")</f>
        <v>20573.099999999999</v>
      </c>
      <c r="E2268" s="9" t="str">
        <f t="shared" si="72"/>
        <v/>
      </c>
      <c r="F2268" t="str">
        <f t="shared" si="73"/>
        <v/>
      </c>
    </row>
    <row r="2269" spans="1:7" ht="15" customHeight="1" x14ac:dyDescent="0.3">
      <c r="A2269" t="s">
        <v>188</v>
      </c>
      <c r="B2269" s="2">
        <v>46357</v>
      </c>
      <c r="C2269" t="str" cm="1">
        <f t="array" ref="C2269">IFERROR(IF(SUMPRODUCT((measured[Site Name]=A2269)*(measured[Date]=B2269)*ISNUMBER(measured[Measured Value (kWh)]))=0,"",SUMIFS(measured[Measured Value (kWh)],measured[Site Name],A2269,measured[Date],B2269)),"")</f>
        <v/>
      </c>
      <c r="D2269" cm="1">
        <f t="array" ref="D2269">IFERROR(IF(SUMPRODUCT((expected_production[Site Name]=A2269)*(expected_production[Date]=B2269)*ISNUMBER(expected_production[Expected Production (kWh)]))=0,"",SUMIFS(expected_production[Expected Production (kWh)],expected_production[Site Name],A2269,expected_production[Date],B2269)),"")</f>
        <v>21930.3</v>
      </c>
      <c r="E2269" s="9" t="str">
        <f t="shared" si="72"/>
        <v/>
      </c>
      <c r="F2269" t="str">
        <f t="shared" si="73"/>
        <v/>
      </c>
    </row>
    <row r="2270" spans="1:7" ht="15" customHeight="1" x14ac:dyDescent="0.3">
      <c r="A2270" t="s">
        <v>226</v>
      </c>
      <c r="B2270" s="2">
        <v>45292</v>
      </c>
      <c r="C2270" t="str" cm="1">
        <f t="array" ref="C2270">IFERROR(IF(SUMPRODUCT((measured[Site Name]=A2270)*(measured[Date]=B2270)*ISNUMBER(measured[Measured Value (kWh)]))=0,"",SUMIFS(measured[Measured Value (kWh)],measured[Site Name],A2270,measured[Date],B2270)),"")</f>
        <v/>
      </c>
      <c r="D2270" cm="1">
        <f t="array" ref="D2270">IFERROR(IF(SUMPRODUCT((expected_production[Site Name]=A2270)*(expected_production[Date]=B2270)*ISNUMBER(expected_production[Expected Production (kWh)]))=0,"",SUMIFS(expected_production[Expected Production (kWh)],expected_production[Site Name],A2270,expected_production[Date],B2270)),"")</f>
        <v>30721.5</v>
      </c>
      <c r="E2270" s="9" t="str">
        <f t="shared" si="72"/>
        <v/>
      </c>
      <c r="F2270" t="str">
        <f t="shared" si="73"/>
        <v/>
      </c>
    </row>
    <row r="2271" spans="1:7" ht="15" customHeight="1" x14ac:dyDescent="0.3">
      <c r="A2271" t="s">
        <v>226</v>
      </c>
      <c r="B2271" s="2">
        <v>45323</v>
      </c>
      <c r="C2271" t="str" cm="1">
        <f t="array" ref="C2271">IFERROR(IF(SUMPRODUCT((measured[Site Name]=A2271)*(measured[Date]=B2271)*ISNUMBER(measured[Measured Value (kWh)]))=0,"",SUMIFS(measured[Measured Value (kWh)],measured[Site Name],A2271,measured[Date],B2271)),"")</f>
        <v/>
      </c>
      <c r="D2271" cm="1">
        <f t="array" ref="D2271">IFERROR(IF(SUMPRODUCT((expected_production[Site Name]=A2271)*(expected_production[Date]=B2271)*ISNUMBER(expected_production[Expected Production (kWh)]))=0,"",SUMIFS(expected_production[Expected Production (kWh)],expected_production[Site Name],A2271,expected_production[Date],B2271)),"")</f>
        <v>24282.9</v>
      </c>
      <c r="E2271" s="9" t="str">
        <f t="shared" si="72"/>
        <v/>
      </c>
      <c r="F2271" t="str">
        <f t="shared" si="73"/>
        <v/>
      </c>
    </row>
    <row r="2272" spans="1:7" ht="15" customHeight="1" x14ac:dyDescent="0.3">
      <c r="A2272" t="s">
        <v>226</v>
      </c>
      <c r="B2272" s="2">
        <v>45352</v>
      </c>
      <c r="C2272" t="str" cm="1">
        <f t="array" ref="C2272">IFERROR(IF(SUMPRODUCT((measured[Site Name]=A2272)*(measured[Date]=B2272)*ISNUMBER(measured[Measured Value (kWh)]))=0,"",SUMIFS(measured[Measured Value (kWh)],measured[Site Name],A2272,measured[Date],B2272)),"")</f>
        <v/>
      </c>
      <c r="D2272" cm="1">
        <f t="array" ref="D2272">IFERROR(IF(SUMPRODUCT((expected_production[Site Name]=A2272)*(expected_production[Date]=B2272)*ISNUMBER(expected_production[Expected Production (kWh)]))=0,"",SUMIFS(expected_production[Expected Production (kWh)],expected_production[Site Name],A2272,expected_production[Date],B2272)),"")</f>
        <v>24146.1</v>
      </c>
      <c r="E2272" s="9" t="str">
        <f t="shared" si="72"/>
        <v/>
      </c>
      <c r="F2272" t="str">
        <f t="shared" si="73"/>
        <v/>
      </c>
    </row>
    <row r="2273" spans="1:6" ht="15" customHeight="1" x14ac:dyDescent="0.3">
      <c r="A2273" t="s">
        <v>226</v>
      </c>
      <c r="B2273" s="2">
        <v>45383</v>
      </c>
      <c r="C2273" t="str" cm="1">
        <f t="array" ref="C2273">IFERROR(IF(SUMPRODUCT((measured[Site Name]=A2273)*(measured[Date]=B2273)*ISNUMBER(measured[Measured Value (kWh)]))=0,"",SUMIFS(measured[Measured Value (kWh)],measured[Site Name],A2273,measured[Date],B2273)),"")</f>
        <v/>
      </c>
      <c r="D2273" cm="1">
        <f t="array" ref="D2273">IFERROR(IF(SUMPRODUCT((expected_production[Site Name]=A2273)*(expected_production[Date]=B2273)*ISNUMBER(expected_production[Expected Production (kWh)]))=0,"",SUMIFS(expected_production[Expected Production (kWh)],expected_production[Site Name],A2273,expected_production[Date],B2273)),"")</f>
        <v>18389.7</v>
      </c>
      <c r="E2273" s="9" t="str">
        <f t="shared" si="72"/>
        <v/>
      </c>
      <c r="F2273" t="str">
        <f t="shared" si="73"/>
        <v/>
      </c>
    </row>
    <row r="2274" spans="1:6" ht="15" customHeight="1" x14ac:dyDescent="0.3">
      <c r="A2274" t="s">
        <v>226</v>
      </c>
      <c r="B2274" s="2">
        <v>45413</v>
      </c>
      <c r="C2274" t="str" cm="1">
        <f t="array" ref="C2274">IFERROR(IF(SUMPRODUCT((measured[Site Name]=A2274)*(measured[Date]=B2274)*ISNUMBER(measured[Measured Value (kWh)]))=0,"",SUMIFS(measured[Measured Value (kWh)],measured[Site Name],A2274,measured[Date],B2274)),"")</f>
        <v/>
      </c>
      <c r="D2274" cm="1">
        <f t="array" ref="D2274">IFERROR(IF(SUMPRODUCT((expected_production[Site Name]=A2274)*(expected_production[Date]=B2274)*ISNUMBER(expected_production[Expected Production (kWh)]))=0,"",SUMIFS(expected_production[Expected Production (kWh)],expected_production[Site Name],A2274,expected_production[Date],B2274)),"")</f>
        <v>18961.2</v>
      </c>
      <c r="E2274" s="9" t="str">
        <f t="shared" si="72"/>
        <v/>
      </c>
      <c r="F2274" t="str">
        <f t="shared" si="73"/>
        <v/>
      </c>
    </row>
    <row r="2275" spans="1:6" ht="15" customHeight="1" x14ac:dyDescent="0.3">
      <c r="A2275" t="s">
        <v>226</v>
      </c>
      <c r="B2275" s="2">
        <v>45444</v>
      </c>
      <c r="C2275" t="str" cm="1">
        <f t="array" ref="C2275">IFERROR(IF(SUMPRODUCT((measured[Site Name]=A2275)*(measured[Date]=B2275)*ISNUMBER(measured[Measured Value (kWh)]))=0,"",SUMIFS(measured[Measured Value (kWh)],measured[Site Name],A2275,measured[Date],B2275)),"")</f>
        <v/>
      </c>
      <c r="D2275" cm="1">
        <f t="array" ref="D2275">IFERROR(IF(SUMPRODUCT((expected_production[Site Name]=A2275)*(expected_production[Date]=B2275)*ISNUMBER(expected_production[Expected Production (kWh)]))=0,"",SUMIFS(expected_production[Expected Production (kWh)],expected_production[Site Name],A2275,expected_production[Date],B2275)),"")</f>
        <v>15280.2</v>
      </c>
      <c r="E2275" s="9" t="str">
        <f t="shared" si="72"/>
        <v/>
      </c>
      <c r="F2275" t="str">
        <f t="shared" si="73"/>
        <v/>
      </c>
    </row>
    <row r="2276" spans="1:6" ht="15" customHeight="1" x14ac:dyDescent="0.3">
      <c r="A2276" t="s">
        <v>226</v>
      </c>
      <c r="B2276" s="2">
        <v>45474</v>
      </c>
      <c r="C2276" t="str" cm="1">
        <f t="array" ref="C2276">IFERROR(IF(SUMPRODUCT((measured[Site Name]=A2276)*(measured[Date]=B2276)*ISNUMBER(measured[Measured Value (kWh)]))=0,"",SUMIFS(measured[Measured Value (kWh)],measured[Site Name],A2276,measured[Date],B2276)),"")</f>
        <v/>
      </c>
      <c r="D2276" cm="1">
        <f t="array" ref="D2276">IFERROR(IF(SUMPRODUCT((expected_production[Site Name]=A2276)*(expected_production[Date]=B2276)*ISNUMBER(expected_production[Expected Production (kWh)]))=0,"",SUMIFS(expected_production[Expected Production (kWh)],expected_production[Site Name],A2276,expected_production[Date],B2276)),"")</f>
        <v>17361.900000000001</v>
      </c>
      <c r="E2276" s="9" t="str">
        <f t="shared" si="72"/>
        <v/>
      </c>
      <c r="F2276" t="str">
        <f t="shared" si="73"/>
        <v/>
      </c>
    </row>
    <row r="2277" spans="1:6" ht="15" customHeight="1" x14ac:dyDescent="0.3">
      <c r="A2277" t="s">
        <v>226</v>
      </c>
      <c r="B2277" s="2">
        <v>45505</v>
      </c>
      <c r="C2277" t="str" cm="1">
        <f t="array" ref="C2277">IFERROR(IF(SUMPRODUCT((measured[Site Name]=A2277)*(measured[Date]=B2277)*ISNUMBER(measured[Measured Value (kWh)]))=0,"",SUMIFS(measured[Measured Value (kWh)],measured[Site Name],A2277,measured[Date],B2277)),"")</f>
        <v/>
      </c>
      <c r="D2277" cm="1">
        <f t="array" ref="D2277">IFERROR(IF(SUMPRODUCT((expected_production[Site Name]=A2277)*(expected_production[Date]=B2277)*ISNUMBER(expected_production[Expected Production (kWh)]))=0,"",SUMIFS(expected_production[Expected Production (kWh)],expected_production[Site Name],A2277,expected_production[Date],B2277)),"")</f>
        <v>19303.2</v>
      </c>
      <c r="E2277" s="9" t="str">
        <f t="shared" si="72"/>
        <v/>
      </c>
      <c r="F2277" t="str">
        <f t="shared" si="73"/>
        <v/>
      </c>
    </row>
    <row r="2278" spans="1:6" ht="15" customHeight="1" x14ac:dyDescent="0.3">
      <c r="A2278" t="s">
        <v>226</v>
      </c>
      <c r="B2278" s="2">
        <v>45536</v>
      </c>
      <c r="C2278" t="str" cm="1">
        <f t="array" ref="C2278">IFERROR(IF(SUMPRODUCT((measured[Site Name]=A2278)*(measured[Date]=B2278)*ISNUMBER(measured[Measured Value (kWh)]))=0,"",SUMIFS(measured[Measured Value (kWh)],measured[Site Name],A2278,measured[Date],B2278)),"")</f>
        <v/>
      </c>
      <c r="D2278" cm="1">
        <f t="array" ref="D2278">IFERROR(IF(SUMPRODUCT((expected_production[Site Name]=A2278)*(expected_production[Date]=B2278)*ISNUMBER(expected_production[Expected Production (kWh)]))=0,"",SUMIFS(expected_production[Expected Production (kWh)],expected_production[Site Name],A2278,expected_production[Date],B2278)),"")</f>
        <v>18141.3</v>
      </c>
      <c r="E2278" s="9" t="str">
        <f t="shared" si="72"/>
        <v/>
      </c>
      <c r="F2278" t="str">
        <f t="shared" si="73"/>
        <v/>
      </c>
    </row>
    <row r="2279" spans="1:6" ht="15" customHeight="1" x14ac:dyDescent="0.3">
      <c r="A2279" t="s">
        <v>226</v>
      </c>
      <c r="B2279" s="2">
        <v>45566</v>
      </c>
      <c r="C2279" t="str" cm="1">
        <f t="array" ref="C2279">IFERROR(IF(SUMPRODUCT((measured[Site Name]=A2279)*(measured[Date]=B2279)*ISNUMBER(measured[Measured Value (kWh)]))=0,"",SUMIFS(measured[Measured Value (kWh)],measured[Site Name],A2279,measured[Date],B2279)),"")</f>
        <v/>
      </c>
      <c r="D2279" cm="1">
        <f t="array" ref="D2279">IFERROR(IF(SUMPRODUCT((expected_production[Site Name]=A2279)*(expected_production[Date]=B2279)*ISNUMBER(expected_production[Expected Production (kWh)]))=0,"",SUMIFS(expected_production[Expected Production (kWh)],expected_production[Site Name],A2279,expected_production[Date],B2279)),"")</f>
        <v>22548.6</v>
      </c>
      <c r="E2279" s="9" t="str">
        <f t="shared" si="72"/>
        <v/>
      </c>
      <c r="F2279" t="str">
        <f t="shared" si="73"/>
        <v/>
      </c>
    </row>
    <row r="2280" spans="1:6" ht="15" customHeight="1" x14ac:dyDescent="0.3">
      <c r="A2280" t="s">
        <v>226</v>
      </c>
      <c r="B2280" s="2">
        <v>45597</v>
      </c>
      <c r="C2280" t="str" cm="1">
        <f t="array" ref="C2280">IFERROR(IF(SUMPRODUCT((measured[Site Name]=A2280)*(measured[Date]=B2280)*ISNUMBER(measured[Measured Value (kWh)]))=0,"",SUMIFS(measured[Measured Value (kWh)],measured[Site Name],A2280,measured[Date],B2280)),"")</f>
        <v/>
      </c>
      <c r="D2280" cm="1">
        <f t="array" ref="D2280">IFERROR(IF(SUMPRODUCT((expected_production[Site Name]=A2280)*(expected_production[Date]=B2280)*ISNUMBER(expected_production[Expected Production (kWh)]))=0,"",SUMIFS(expected_production[Expected Production (kWh)],expected_production[Site Name],A2280,expected_production[Date],B2280)),"")</f>
        <v>22923.9</v>
      </c>
      <c r="E2280" s="9" t="str">
        <f t="shared" si="72"/>
        <v/>
      </c>
      <c r="F2280" t="str">
        <f t="shared" si="73"/>
        <v/>
      </c>
    </row>
    <row r="2281" spans="1:6" ht="15" customHeight="1" x14ac:dyDescent="0.3">
      <c r="A2281" t="s">
        <v>226</v>
      </c>
      <c r="B2281" s="2">
        <v>45627</v>
      </c>
      <c r="C2281" t="str" cm="1">
        <f t="array" ref="C2281">IFERROR(IF(SUMPRODUCT((measured[Site Name]=A2281)*(measured[Date]=B2281)*ISNUMBER(measured[Measured Value (kWh)]))=0,"",SUMIFS(measured[Measured Value (kWh)],measured[Site Name],A2281,measured[Date],B2281)),"")</f>
        <v/>
      </c>
      <c r="D2281" cm="1">
        <f t="array" ref="D2281">IFERROR(IF(SUMPRODUCT((expected_production[Site Name]=A2281)*(expected_production[Date]=B2281)*ISNUMBER(expected_production[Expected Production (kWh)]))=0,"",SUMIFS(expected_production[Expected Production (kWh)],expected_production[Site Name],A2281,expected_production[Date],B2281)),"")</f>
        <v>28392.3</v>
      </c>
      <c r="E2281" s="9" t="str">
        <f t="shared" si="72"/>
        <v/>
      </c>
      <c r="F2281" t="str">
        <f t="shared" si="73"/>
        <v/>
      </c>
    </row>
    <row r="2282" spans="1:6" ht="15" customHeight="1" x14ac:dyDescent="0.3">
      <c r="A2282" t="s">
        <v>226</v>
      </c>
      <c r="B2282" s="2">
        <v>45658</v>
      </c>
      <c r="C2282" t="str" cm="1">
        <f t="array" ref="C2282">IFERROR(IF(SUMPRODUCT((measured[Site Name]=A2282)*(measured[Date]=B2282)*ISNUMBER(measured[Measured Value (kWh)]))=0,"",SUMIFS(measured[Measured Value (kWh)],measured[Site Name],A2282,measured[Date],B2282)),"")</f>
        <v/>
      </c>
      <c r="D2282" cm="1">
        <f t="array" ref="D2282">IFERROR(IF(SUMPRODUCT((expected_production[Site Name]=A2282)*(expected_production[Date]=B2282)*ISNUMBER(expected_production[Expected Production (kWh)]))=0,"",SUMIFS(expected_production[Expected Production (kWh)],expected_production[Site Name],A2282,expected_production[Date],B2282)),"")</f>
        <v>30721.5</v>
      </c>
      <c r="E2282" s="9" t="str">
        <f t="shared" si="72"/>
        <v/>
      </c>
      <c r="F2282" t="str">
        <f t="shared" si="73"/>
        <v/>
      </c>
    </row>
    <row r="2283" spans="1:6" ht="15" customHeight="1" x14ac:dyDescent="0.3">
      <c r="A2283" t="s">
        <v>226</v>
      </c>
      <c r="B2283" s="2">
        <v>45689</v>
      </c>
      <c r="C2283" t="str" cm="1">
        <f t="array" ref="C2283">IFERROR(IF(SUMPRODUCT((measured[Site Name]=A2283)*(measured[Date]=B2283)*ISNUMBER(measured[Measured Value (kWh)]))=0,"",SUMIFS(measured[Measured Value (kWh)],measured[Site Name],A2283,measured[Date],B2283)),"")</f>
        <v/>
      </c>
      <c r="D2283" cm="1">
        <f t="array" ref="D2283">IFERROR(IF(SUMPRODUCT((expected_production[Site Name]=A2283)*(expected_production[Date]=B2283)*ISNUMBER(expected_production[Expected Production (kWh)]))=0,"",SUMIFS(expected_production[Expected Production (kWh)],expected_production[Site Name],A2283,expected_production[Date],B2283)),"")</f>
        <v>24282.9</v>
      </c>
      <c r="E2283" s="9" t="str">
        <f t="shared" si="72"/>
        <v/>
      </c>
      <c r="F2283" t="str">
        <f t="shared" si="73"/>
        <v/>
      </c>
    </row>
    <row r="2284" spans="1:6" ht="15" customHeight="1" x14ac:dyDescent="0.3">
      <c r="A2284" t="s">
        <v>226</v>
      </c>
      <c r="B2284" s="2">
        <v>45717</v>
      </c>
      <c r="C2284" t="str" cm="1">
        <f t="array" ref="C2284">IFERROR(IF(SUMPRODUCT((measured[Site Name]=A2284)*(measured[Date]=B2284)*ISNUMBER(measured[Measured Value (kWh)]))=0,"",SUMIFS(measured[Measured Value (kWh)],measured[Site Name],A2284,measured[Date],B2284)),"")</f>
        <v/>
      </c>
      <c r="D2284" cm="1">
        <f t="array" ref="D2284">IFERROR(IF(SUMPRODUCT((expected_production[Site Name]=A2284)*(expected_production[Date]=B2284)*ISNUMBER(expected_production[Expected Production (kWh)]))=0,"",SUMIFS(expected_production[Expected Production (kWh)],expected_production[Site Name],A2284,expected_production[Date],B2284)),"")</f>
        <v>24146.1</v>
      </c>
      <c r="E2284" s="9" t="str">
        <f t="shared" si="72"/>
        <v/>
      </c>
      <c r="F2284" t="str">
        <f t="shared" si="73"/>
        <v/>
      </c>
    </row>
    <row r="2285" spans="1:6" ht="15" customHeight="1" x14ac:dyDescent="0.3">
      <c r="A2285" t="s">
        <v>226</v>
      </c>
      <c r="B2285" s="2">
        <v>45748</v>
      </c>
      <c r="C2285" t="str" cm="1">
        <f t="array" ref="C2285">IFERROR(IF(SUMPRODUCT((measured[Site Name]=A2285)*(measured[Date]=B2285)*ISNUMBER(measured[Measured Value (kWh)]))=0,"",SUMIFS(measured[Measured Value (kWh)],measured[Site Name],A2285,measured[Date],B2285)),"")</f>
        <v/>
      </c>
      <c r="D2285" cm="1">
        <f t="array" ref="D2285">IFERROR(IF(SUMPRODUCT((expected_production[Site Name]=A2285)*(expected_production[Date]=B2285)*ISNUMBER(expected_production[Expected Production (kWh)]))=0,"",SUMIFS(expected_production[Expected Production (kWh)],expected_production[Site Name],A2285,expected_production[Date],B2285)),"")</f>
        <v>18389.7</v>
      </c>
      <c r="E2285" s="9" t="str">
        <f t="shared" si="72"/>
        <v/>
      </c>
      <c r="F2285" t="str">
        <f t="shared" si="73"/>
        <v/>
      </c>
    </row>
    <row r="2286" spans="1:6" ht="15" customHeight="1" x14ac:dyDescent="0.3">
      <c r="A2286" t="s">
        <v>226</v>
      </c>
      <c r="B2286" s="2">
        <v>45778</v>
      </c>
      <c r="C2286" t="str" cm="1">
        <f t="array" ref="C2286">IFERROR(IF(SUMPRODUCT((measured[Site Name]=A2286)*(measured[Date]=B2286)*ISNUMBER(measured[Measured Value (kWh)]))=0,"",SUMIFS(measured[Measured Value (kWh)],measured[Site Name],A2286,measured[Date],B2286)),"")</f>
        <v/>
      </c>
      <c r="D2286" cm="1">
        <f t="array" ref="D2286">IFERROR(IF(SUMPRODUCT((expected_production[Site Name]=A2286)*(expected_production[Date]=B2286)*ISNUMBER(expected_production[Expected Production (kWh)]))=0,"",SUMIFS(expected_production[Expected Production (kWh)],expected_production[Site Name],A2286,expected_production[Date],B2286)),"")</f>
        <v>18961.2</v>
      </c>
      <c r="E2286" s="9" t="str">
        <f t="shared" si="72"/>
        <v/>
      </c>
      <c r="F2286" t="str">
        <f t="shared" si="73"/>
        <v/>
      </c>
    </row>
    <row r="2287" spans="1:6" ht="15" customHeight="1" x14ac:dyDescent="0.3">
      <c r="A2287" t="s">
        <v>226</v>
      </c>
      <c r="B2287" s="2">
        <v>45809</v>
      </c>
      <c r="C2287" t="str" cm="1">
        <f t="array" ref="C2287">IFERROR(IF(SUMPRODUCT((measured[Site Name]=A2287)*(measured[Date]=B2287)*ISNUMBER(measured[Measured Value (kWh)]))=0,"",SUMIFS(measured[Measured Value (kWh)],measured[Site Name],A2287,measured[Date],B2287)),"")</f>
        <v/>
      </c>
      <c r="D2287" cm="1">
        <f t="array" ref="D2287">IFERROR(IF(SUMPRODUCT((expected_production[Site Name]=A2287)*(expected_production[Date]=B2287)*ISNUMBER(expected_production[Expected Production (kWh)]))=0,"",SUMIFS(expected_production[Expected Production (kWh)],expected_production[Site Name],A2287,expected_production[Date],B2287)),"")</f>
        <v>15280.2</v>
      </c>
      <c r="E2287" s="9" t="str">
        <f t="shared" si="72"/>
        <v/>
      </c>
      <c r="F2287" t="str">
        <f t="shared" si="73"/>
        <v/>
      </c>
    </row>
    <row r="2288" spans="1:6" ht="15" customHeight="1" x14ac:dyDescent="0.3">
      <c r="A2288" t="s">
        <v>226</v>
      </c>
      <c r="B2288" s="2">
        <v>45839</v>
      </c>
      <c r="C2288" t="str" cm="1">
        <f t="array" ref="C2288">IFERROR(IF(SUMPRODUCT((measured[Site Name]=A2288)*(measured[Date]=B2288)*ISNUMBER(measured[Measured Value (kWh)]))=0,"",SUMIFS(measured[Measured Value (kWh)],measured[Site Name],A2288,measured[Date],B2288)),"")</f>
        <v/>
      </c>
      <c r="D2288" cm="1">
        <f t="array" ref="D2288">IFERROR(IF(SUMPRODUCT((expected_production[Site Name]=A2288)*(expected_production[Date]=B2288)*ISNUMBER(expected_production[Expected Production (kWh)]))=0,"",SUMIFS(expected_production[Expected Production (kWh)],expected_production[Site Name],A2288,expected_production[Date],B2288)),"")</f>
        <v>17361.900000000001</v>
      </c>
      <c r="E2288" s="9" t="str">
        <f t="shared" si="72"/>
        <v/>
      </c>
      <c r="F2288" t="str">
        <f t="shared" si="73"/>
        <v/>
      </c>
    </row>
    <row r="2289" spans="1:7" ht="15" customHeight="1" x14ac:dyDescent="0.3">
      <c r="A2289" t="s">
        <v>226</v>
      </c>
      <c r="B2289" s="2">
        <v>45870</v>
      </c>
      <c r="C2289" t="str" cm="1">
        <f t="array" ref="C2289">IFERROR(IF(SUMPRODUCT((measured[Site Name]=A2289)*(measured[Date]=B2289)*ISNUMBER(measured[Measured Value (kWh)]))=0,"",SUMIFS(measured[Measured Value (kWh)],measured[Site Name],A2289,measured[Date],B2289)),"")</f>
        <v/>
      </c>
      <c r="D2289" cm="1">
        <f t="array" ref="D2289">IFERROR(IF(SUMPRODUCT((expected_production[Site Name]=A2289)*(expected_production[Date]=B2289)*ISNUMBER(expected_production[Expected Production (kWh)]))=0,"",SUMIFS(expected_production[Expected Production (kWh)],expected_production[Site Name],A2289,expected_production[Date],B2289)),"")</f>
        <v>19303.2</v>
      </c>
      <c r="E2289" s="9" t="str">
        <f t="shared" si="72"/>
        <v/>
      </c>
      <c r="F2289" t="str">
        <f t="shared" si="73"/>
        <v/>
      </c>
    </row>
    <row r="2290" spans="1:7" ht="15" customHeight="1" x14ac:dyDescent="0.3">
      <c r="A2290" t="s">
        <v>226</v>
      </c>
      <c r="B2290" s="2">
        <v>45901</v>
      </c>
      <c r="C2290" t="str" cm="1">
        <f t="array" ref="C2290">IFERROR(IF(SUMPRODUCT((measured[Site Name]=A2290)*(measured[Date]=B2290)*ISNUMBER(measured[Measured Value (kWh)]))=0,"",SUMIFS(measured[Measured Value (kWh)],measured[Site Name],A2290,measured[Date],B2290)),"")</f>
        <v/>
      </c>
      <c r="D2290" cm="1">
        <f t="array" ref="D2290">IFERROR(IF(SUMPRODUCT((expected_production[Site Name]=A2290)*(expected_production[Date]=B2290)*ISNUMBER(expected_production[Expected Production (kWh)]))=0,"",SUMIFS(expected_production[Expected Production (kWh)],expected_production[Site Name],A2290,expected_production[Date],B2290)),"")</f>
        <v>18141.3</v>
      </c>
      <c r="E2290" s="9" t="str">
        <f t="shared" si="72"/>
        <v/>
      </c>
      <c r="F2290" t="str">
        <f t="shared" si="73"/>
        <v/>
      </c>
    </row>
    <row r="2291" spans="1:7" ht="15" customHeight="1" x14ac:dyDescent="0.3">
      <c r="A2291" t="s">
        <v>226</v>
      </c>
      <c r="B2291" s="2">
        <v>45931</v>
      </c>
      <c r="C2291" t="str" cm="1">
        <f t="array" ref="C2291">IFERROR(IF(SUMPRODUCT((measured[Site Name]=A2291)*(measured[Date]=B2291)*ISNUMBER(measured[Measured Value (kWh)]))=0,"",SUMIFS(measured[Measured Value (kWh)],measured[Site Name],A2291,measured[Date],B2291)),"")</f>
        <v/>
      </c>
      <c r="D2291" cm="1">
        <f t="array" ref="D2291">IFERROR(IF(SUMPRODUCT((expected_production[Site Name]=A2291)*(expected_production[Date]=B2291)*ISNUMBER(expected_production[Expected Production (kWh)]))=0,"",SUMIFS(expected_production[Expected Production (kWh)],expected_production[Site Name],A2291,expected_production[Date],B2291)),"")</f>
        <v>22548.6</v>
      </c>
      <c r="E2291" s="9" t="str">
        <f t="shared" si="72"/>
        <v/>
      </c>
      <c r="F2291" t="str">
        <f t="shared" si="73"/>
        <v/>
      </c>
    </row>
    <row r="2292" spans="1:7" ht="15" customHeight="1" x14ac:dyDescent="0.3">
      <c r="A2292" t="s">
        <v>226</v>
      </c>
      <c r="B2292" s="2">
        <v>45962</v>
      </c>
      <c r="C2292" t="str" cm="1">
        <f t="array" ref="C2292">IFERROR(IF(SUMPRODUCT((measured[Site Name]=A2292)*(measured[Date]=B2292)*ISNUMBER(measured[Measured Value (kWh)]))=0,"",SUMIFS(measured[Measured Value (kWh)],measured[Site Name],A2292,measured[Date],B2292)),"")</f>
        <v/>
      </c>
      <c r="D2292" cm="1">
        <f t="array" ref="D2292">IFERROR(IF(SUMPRODUCT((expected_production[Site Name]=A2292)*(expected_production[Date]=B2292)*ISNUMBER(expected_production[Expected Production (kWh)]))=0,"",SUMIFS(expected_production[Expected Production (kWh)],expected_production[Site Name],A2292,expected_production[Date],B2292)),"")</f>
        <v>22923.9</v>
      </c>
      <c r="E2292" s="9" t="str">
        <f t="shared" si="72"/>
        <v/>
      </c>
      <c r="F2292" t="str">
        <f t="shared" si="73"/>
        <v/>
      </c>
    </row>
    <row r="2293" spans="1:7" ht="15" customHeight="1" x14ac:dyDescent="0.3">
      <c r="A2293" t="s">
        <v>226</v>
      </c>
      <c r="B2293" s="2">
        <v>45992</v>
      </c>
      <c r="C2293" cm="1">
        <f t="array" ref="C2293">IFERROR(IF(SUMPRODUCT((measured[Site Name]=A2293)*(measured[Date]=B2293)*ISNUMBER(measured[Measured Value (kWh)]))=0,"",SUMIFS(measured[Measured Value (kWh)],measured[Site Name],A2293,measured[Date],B2293)),"")</f>
        <v>18509</v>
      </c>
      <c r="D2293" cm="1">
        <f t="array" ref="D2293">IFERROR(IF(SUMPRODUCT((expected_production[Site Name]=A2293)*(expected_production[Date]=B2293)*ISNUMBER(expected_production[Expected Production (kWh)]))=0,"",SUMIFS(expected_production[Expected Production (kWh)],expected_production[Site Name],A2293,expected_production[Date],B2293)),"")</f>
        <v>28392.3</v>
      </c>
      <c r="E2293" s="9">
        <f t="shared" si="72"/>
        <v>0.65190210021731243</v>
      </c>
      <c r="F2293" t="str">
        <f t="shared" si="73"/>
        <v>Poor</v>
      </c>
    </row>
    <row r="2294" spans="1:7" ht="15" customHeight="1" x14ac:dyDescent="0.3">
      <c r="A2294" t="s">
        <v>226</v>
      </c>
      <c r="B2294" s="2">
        <v>46023</v>
      </c>
      <c r="C2294" cm="1">
        <f t="array" ref="C2294">IFERROR(IF(SUMPRODUCT((measured[Site Name]=A2294)*(measured[Date]=B2294)*ISNUMBER(measured[Measured Value (kWh)]))=0,"",SUMIFS(measured[Measured Value (kWh)],measured[Site Name],A2294,measured[Date],B2294)),"")</f>
        <v>32917</v>
      </c>
      <c r="D2294" cm="1">
        <f t="array" ref="D2294">IFERROR(IF(SUMPRODUCT((expected_production[Site Name]=A2294)*(expected_production[Date]=B2294)*ISNUMBER(expected_production[Expected Production (kWh)]))=0,"",SUMIFS(expected_production[Expected Production (kWh)],expected_production[Site Name],A2294,expected_production[Date],B2294)),"")</f>
        <v>30721.5</v>
      </c>
      <c r="E2294" s="9">
        <f t="shared" si="72"/>
        <v>1.0714646094754487</v>
      </c>
      <c r="F2294" t="str">
        <f t="shared" si="73"/>
        <v>Expected</v>
      </c>
    </row>
    <row r="2295" spans="1:7" ht="15" customHeight="1" x14ac:dyDescent="0.3">
      <c r="A2295" t="s">
        <v>226</v>
      </c>
      <c r="B2295" s="2">
        <v>46054</v>
      </c>
      <c r="C2295" cm="1">
        <f t="array" ref="C2295">IFERROR(IF(SUMPRODUCT((measured[Site Name]=A2295)*(measured[Date]=B2295)*ISNUMBER(measured[Measured Value (kWh)]))=0,"",SUMIFS(measured[Measured Value (kWh)],measured[Site Name],A2295,measured[Date],B2295)),"")</f>
        <v>31107</v>
      </c>
      <c r="D2295" cm="1">
        <f t="array" ref="D2295">IFERROR(IF(SUMPRODUCT((expected_production[Site Name]=A2295)*(expected_production[Date]=B2295)*ISNUMBER(expected_production[Expected Production (kWh)]))=0,"",SUMIFS(expected_production[Expected Production (kWh)],expected_production[Site Name],A2295,expected_production[Date],B2295)),"")</f>
        <v>24282.9</v>
      </c>
      <c r="E2295" s="9">
        <f t="shared" si="72"/>
        <v>1.2810249187699985</v>
      </c>
      <c r="F2295" t="str">
        <f t="shared" si="73"/>
        <v>Expected</v>
      </c>
    </row>
    <row r="2296" spans="1:7" ht="15" customHeight="1" x14ac:dyDescent="0.3">
      <c r="A2296" t="s">
        <v>226</v>
      </c>
      <c r="B2296" s="2">
        <v>46082</v>
      </c>
      <c r="C2296" cm="1">
        <f t="array" ref="C2296">IFERROR(IF(SUMPRODUCT((measured[Site Name]=A2296)*(measured[Date]=B2296)*ISNUMBER(measured[Measured Value (kWh)]))=0,"",SUMIFS(measured[Measured Value (kWh)],measured[Site Name],A2296,measured[Date],B2296)),"")</f>
        <v>26454</v>
      </c>
      <c r="D2296" cm="1">
        <f t="array" ref="D2296">IFERROR(IF(SUMPRODUCT((expected_production[Site Name]=A2296)*(expected_production[Date]=B2296)*ISNUMBER(expected_production[Expected Production (kWh)]))=0,"",SUMIFS(expected_production[Expected Production (kWh)],expected_production[Site Name],A2296,expected_production[Date],B2296)),"")</f>
        <v>24146.1</v>
      </c>
      <c r="E2296" s="9">
        <f t="shared" si="72"/>
        <v>1.0955806527762249</v>
      </c>
      <c r="F2296" t="str">
        <f t="shared" si="73"/>
        <v>Expected</v>
      </c>
    </row>
    <row r="2297" spans="1:7" ht="15" customHeight="1" x14ac:dyDescent="0.3">
      <c r="A2297" t="s">
        <v>226</v>
      </c>
      <c r="B2297" s="2">
        <v>46113</v>
      </c>
      <c r="C2297" cm="1">
        <f t="array" ref="C2297">IFERROR(IF(SUMPRODUCT((measured[Site Name]=A2297)*(measured[Date]=B2297)*ISNUMBER(measured[Measured Value (kWh)]))=0,"",SUMIFS(measured[Measured Value (kWh)],measured[Site Name],A2297,measured[Date],B2297)),"")</f>
        <v>20930.87</v>
      </c>
      <c r="D2297" cm="1">
        <f t="array" ref="D2297">IFERROR(IF(SUMPRODUCT((expected_production[Site Name]=A2297)*(expected_production[Date]=B2297)*ISNUMBER(expected_production[Expected Production (kWh)]))=0,"",SUMIFS(expected_production[Expected Production (kWh)],expected_production[Site Name],A2297,expected_production[Date],B2297)),"")</f>
        <v>18389.7</v>
      </c>
      <c r="E2297" s="9">
        <f t="shared" si="72"/>
        <v>1.1381844184516332</v>
      </c>
      <c r="F2297" t="str">
        <f t="shared" si="73"/>
        <v>Expected</v>
      </c>
    </row>
    <row r="2298" spans="1:7" ht="15" customHeight="1" x14ac:dyDescent="0.3">
      <c r="A2298" t="s">
        <v>226</v>
      </c>
      <c r="B2298" s="2">
        <v>46143</v>
      </c>
      <c r="C2298" cm="1">
        <f t="array" ref="C2298">IFERROR(IF(SUMPRODUCT((measured[Site Name]=A2298)*(measured[Date]=B2298)*ISNUMBER(measured[Measured Value (kWh)]))=0,"",SUMIFS(measured[Measured Value (kWh)],measured[Site Name],A2298,measured[Date],B2298)),"")</f>
        <v>20539.96</v>
      </c>
      <c r="D2298" cm="1">
        <f t="array" ref="D2298">IFERROR(IF(SUMPRODUCT((expected_production[Site Name]=A2298)*(expected_production[Date]=B2298)*ISNUMBER(expected_production[Expected Production (kWh)]))=0,"",SUMIFS(expected_production[Expected Production (kWh)],expected_production[Site Name],A2298,expected_production[Date],B2298)),"")</f>
        <v>18961.2</v>
      </c>
      <c r="E2298" s="9">
        <f t="shared" si="72"/>
        <v>1.083262662700673</v>
      </c>
      <c r="F2298" t="str">
        <f t="shared" si="73"/>
        <v>Expected</v>
      </c>
    </row>
    <row r="2299" spans="1:7" ht="15" customHeight="1" x14ac:dyDescent="0.3">
      <c r="A2299" t="s">
        <v>226</v>
      </c>
      <c r="B2299" s="2">
        <v>46174</v>
      </c>
      <c r="C2299" cm="1">
        <f t="array" ref="C2299">IFERROR(IF(SUMPRODUCT((measured[Site Name]=A2299)*(measured[Date]=B2299)*ISNUMBER(measured[Measured Value (kWh)]))=0,"",SUMIFS(measured[Measured Value (kWh)],measured[Site Name],A2299,measured[Date],B2299)),"")</f>
        <v>17006.73</v>
      </c>
      <c r="D2299" cm="1">
        <f t="array" ref="D2299">IFERROR(IF(SUMPRODUCT((expected_production[Site Name]=A2299)*(expected_production[Date]=B2299)*ISNUMBER(expected_production[Expected Production (kWh)]))=0,"",SUMIFS(expected_production[Expected Production (kWh)],expected_production[Site Name],A2299,expected_production[Date],B2299)),"")</f>
        <v>15280.2</v>
      </c>
      <c r="E2299" s="9">
        <f t="shared" si="72"/>
        <v>1.1129913221031138</v>
      </c>
      <c r="F2299" t="str">
        <f t="shared" si="73"/>
        <v>Expected</v>
      </c>
    </row>
    <row r="2300" spans="1:7" ht="15" customHeight="1" x14ac:dyDescent="0.3">
      <c r="A2300" t="s">
        <v>226</v>
      </c>
      <c r="B2300" s="2">
        <v>46204</v>
      </c>
      <c r="C2300" cm="1">
        <f t="array" ref="C2300">IFERROR(IF(SUMPRODUCT((measured[Site Name]=A2300)*(measured[Date]=B2300)*ISNUMBER(measured[Measured Value (kWh)]))=0,"",SUMIFS(measured[Measured Value (kWh)],measured[Site Name],A2300,measured[Date],B2300)),"")</f>
        <v>17999.1711</v>
      </c>
      <c r="D2300" cm="1">
        <f t="array" ref="D2300">IFERROR(IF(SUMPRODUCT((expected_production[Site Name]=A2300)*(expected_production[Date]=B2300)*ISNUMBER(expected_production[Expected Production (kWh)]))=0,"",SUMIFS(expected_production[Expected Production (kWh)],expected_production[Site Name],A2300,expected_production[Date],B2300)),"")</f>
        <v>17361.900000000001</v>
      </c>
      <c r="E2300" s="9">
        <f t="shared" ref="E2300:E2363" si="74">IF(OR(C2300="",D2300="",D2300=0),"",C2300/D2300)</f>
        <v>1.0367051474780984</v>
      </c>
      <c r="F2300" t="str">
        <f t="shared" ref="F2300:F2363" si="75">IF(E2300="","",IF(E2300&gt;=0.9,"Expected",IF(E2300&gt;=0.7,"Moderate","Poor")))</f>
        <v>Expected</v>
      </c>
      <c r="G2300" t="s">
        <v>874</v>
      </c>
    </row>
    <row r="2301" spans="1:7" ht="15" customHeight="1" x14ac:dyDescent="0.3">
      <c r="A2301" t="s">
        <v>226</v>
      </c>
      <c r="B2301" s="2">
        <v>46235</v>
      </c>
      <c r="C2301" t="str" cm="1">
        <f t="array" ref="C2301">IFERROR(IF(SUMPRODUCT((measured[Site Name]=A2301)*(measured[Date]=B2301)*ISNUMBER(measured[Measured Value (kWh)]))=0,"",SUMIFS(measured[Measured Value (kWh)],measured[Site Name],A2301,measured[Date],B2301)),"")</f>
        <v/>
      </c>
      <c r="D2301" cm="1">
        <f t="array" ref="D2301">IFERROR(IF(SUMPRODUCT((expected_production[Site Name]=A2301)*(expected_production[Date]=B2301)*ISNUMBER(expected_production[Expected Production (kWh)]))=0,"",SUMIFS(expected_production[Expected Production (kWh)],expected_production[Site Name],A2301,expected_production[Date],B2301)),"")</f>
        <v>19303.2</v>
      </c>
      <c r="E2301" s="9" t="str">
        <f t="shared" si="74"/>
        <v/>
      </c>
      <c r="F2301" t="str">
        <f t="shared" si="75"/>
        <v/>
      </c>
    </row>
    <row r="2302" spans="1:7" ht="15" customHeight="1" x14ac:dyDescent="0.3">
      <c r="A2302" t="s">
        <v>226</v>
      </c>
      <c r="B2302" s="2">
        <v>46266</v>
      </c>
      <c r="C2302" t="str" cm="1">
        <f t="array" ref="C2302">IFERROR(IF(SUMPRODUCT((measured[Site Name]=A2302)*(measured[Date]=B2302)*ISNUMBER(measured[Measured Value (kWh)]))=0,"",SUMIFS(measured[Measured Value (kWh)],measured[Site Name],A2302,measured[Date],B2302)),"")</f>
        <v/>
      </c>
      <c r="D2302" cm="1">
        <f t="array" ref="D2302">IFERROR(IF(SUMPRODUCT((expected_production[Site Name]=A2302)*(expected_production[Date]=B2302)*ISNUMBER(expected_production[Expected Production (kWh)]))=0,"",SUMIFS(expected_production[Expected Production (kWh)],expected_production[Site Name],A2302,expected_production[Date],B2302)),"")</f>
        <v>18141.3</v>
      </c>
      <c r="E2302" s="9" t="str">
        <f t="shared" si="74"/>
        <v/>
      </c>
      <c r="F2302" t="str">
        <f t="shared" si="75"/>
        <v/>
      </c>
    </row>
    <row r="2303" spans="1:7" ht="15" customHeight="1" x14ac:dyDescent="0.3">
      <c r="A2303" t="s">
        <v>226</v>
      </c>
      <c r="B2303" s="2">
        <v>46296</v>
      </c>
      <c r="C2303" t="str" cm="1">
        <f t="array" ref="C2303">IFERROR(IF(SUMPRODUCT((measured[Site Name]=A2303)*(measured[Date]=B2303)*ISNUMBER(measured[Measured Value (kWh)]))=0,"",SUMIFS(measured[Measured Value (kWh)],measured[Site Name],A2303,measured[Date],B2303)),"")</f>
        <v/>
      </c>
      <c r="D2303" cm="1">
        <f t="array" ref="D2303">IFERROR(IF(SUMPRODUCT((expected_production[Site Name]=A2303)*(expected_production[Date]=B2303)*ISNUMBER(expected_production[Expected Production (kWh)]))=0,"",SUMIFS(expected_production[Expected Production (kWh)],expected_production[Site Name],A2303,expected_production[Date],B2303)),"")</f>
        <v>22548.6</v>
      </c>
      <c r="E2303" s="9" t="str">
        <f t="shared" si="74"/>
        <v/>
      </c>
      <c r="F2303" t="str">
        <f t="shared" si="75"/>
        <v/>
      </c>
    </row>
    <row r="2304" spans="1:7" ht="15" customHeight="1" x14ac:dyDescent="0.3">
      <c r="A2304" t="s">
        <v>226</v>
      </c>
      <c r="B2304" s="2">
        <v>46327</v>
      </c>
      <c r="C2304" t="str" cm="1">
        <f t="array" ref="C2304">IFERROR(IF(SUMPRODUCT((measured[Site Name]=A2304)*(measured[Date]=B2304)*ISNUMBER(measured[Measured Value (kWh)]))=0,"",SUMIFS(measured[Measured Value (kWh)],measured[Site Name],A2304,measured[Date],B2304)),"")</f>
        <v/>
      </c>
      <c r="D2304" cm="1">
        <f t="array" ref="D2304">IFERROR(IF(SUMPRODUCT((expected_production[Site Name]=A2304)*(expected_production[Date]=B2304)*ISNUMBER(expected_production[Expected Production (kWh)]))=0,"",SUMIFS(expected_production[Expected Production (kWh)],expected_production[Site Name],A2304,expected_production[Date],B2304)),"")</f>
        <v>22923.9</v>
      </c>
      <c r="E2304" s="9" t="str">
        <f t="shared" si="74"/>
        <v/>
      </c>
      <c r="F2304" t="str">
        <f t="shared" si="75"/>
        <v/>
      </c>
    </row>
    <row r="2305" spans="1:6" ht="15" customHeight="1" x14ac:dyDescent="0.3">
      <c r="A2305" t="s">
        <v>226</v>
      </c>
      <c r="B2305" s="2">
        <v>46357</v>
      </c>
      <c r="C2305" t="str" cm="1">
        <f t="array" ref="C2305">IFERROR(IF(SUMPRODUCT((measured[Site Name]=A2305)*(measured[Date]=B2305)*ISNUMBER(measured[Measured Value (kWh)]))=0,"",SUMIFS(measured[Measured Value (kWh)],measured[Site Name],A2305,measured[Date],B2305)),"")</f>
        <v/>
      </c>
      <c r="D2305" cm="1">
        <f t="array" ref="D2305">IFERROR(IF(SUMPRODUCT((expected_production[Site Name]=A2305)*(expected_production[Date]=B2305)*ISNUMBER(expected_production[Expected Production (kWh)]))=0,"",SUMIFS(expected_production[Expected Production (kWh)],expected_production[Site Name],A2305,expected_production[Date],B2305)),"")</f>
        <v>28392.3</v>
      </c>
      <c r="E2305" s="9" t="str">
        <f t="shared" si="74"/>
        <v/>
      </c>
      <c r="F2305" t="str">
        <f t="shared" si="75"/>
        <v/>
      </c>
    </row>
    <row r="2306" spans="1:6" ht="15" customHeight="1" x14ac:dyDescent="0.3">
      <c r="A2306" t="s">
        <v>208</v>
      </c>
      <c r="B2306" s="2">
        <v>45292</v>
      </c>
      <c r="C2306" t="str" cm="1">
        <f t="array" ref="C2306">IFERROR(IF(SUMPRODUCT((measured[Site Name]=A2306)*(measured[Date]=B2306)*ISNUMBER(measured[Measured Value (kWh)]))=0,"",SUMIFS(measured[Measured Value (kWh)],measured[Site Name],A2306,measured[Date],B2306)),"")</f>
        <v/>
      </c>
      <c r="D2306" cm="1">
        <f t="array" ref="D2306">IFERROR(IF(SUMPRODUCT((expected_production[Site Name]=A2306)*(expected_production[Date]=B2306)*ISNUMBER(expected_production[Expected Production (kWh)]))=0,"",SUMIFS(expected_production[Expected Production (kWh)],expected_production[Site Name],A2306,expected_production[Date],B2306)),"")</f>
        <v>18584.099999999999</v>
      </c>
      <c r="E2306" s="9" t="str">
        <f t="shared" si="74"/>
        <v/>
      </c>
      <c r="F2306" t="str">
        <f t="shared" si="75"/>
        <v/>
      </c>
    </row>
    <row r="2307" spans="1:6" ht="15" customHeight="1" x14ac:dyDescent="0.3">
      <c r="A2307" t="s">
        <v>208</v>
      </c>
      <c r="B2307" s="2">
        <v>45323</v>
      </c>
      <c r="C2307" t="str" cm="1">
        <f t="array" ref="C2307">IFERROR(IF(SUMPRODUCT((measured[Site Name]=A2307)*(measured[Date]=B2307)*ISNUMBER(measured[Measured Value (kWh)]))=0,"",SUMIFS(measured[Measured Value (kWh)],measured[Site Name],A2307,measured[Date],B2307)),"")</f>
        <v/>
      </c>
      <c r="D2307" cm="1">
        <f t="array" ref="D2307">IFERROR(IF(SUMPRODUCT((expected_production[Site Name]=A2307)*(expected_production[Date]=B2307)*ISNUMBER(expected_production[Expected Production (kWh)]))=0,"",SUMIFS(expected_production[Expected Production (kWh)],expected_production[Site Name],A2307,expected_production[Date],B2307)),"")</f>
        <v>16101.9</v>
      </c>
      <c r="E2307" s="9" t="str">
        <f t="shared" si="74"/>
        <v/>
      </c>
      <c r="F2307" t="str">
        <f t="shared" si="75"/>
        <v/>
      </c>
    </row>
    <row r="2308" spans="1:6" ht="15" customHeight="1" x14ac:dyDescent="0.3">
      <c r="A2308" t="s">
        <v>208</v>
      </c>
      <c r="B2308" s="2">
        <v>45352</v>
      </c>
      <c r="C2308" t="str" cm="1">
        <f t="array" ref="C2308">IFERROR(IF(SUMPRODUCT((measured[Site Name]=A2308)*(measured[Date]=B2308)*ISNUMBER(measured[Measured Value (kWh)]))=0,"",SUMIFS(measured[Measured Value (kWh)],measured[Site Name],A2308,measured[Date],B2308)),"")</f>
        <v/>
      </c>
      <c r="D2308" cm="1">
        <f t="array" ref="D2308">IFERROR(IF(SUMPRODUCT((expected_production[Site Name]=A2308)*(expected_production[Date]=B2308)*ISNUMBER(expected_production[Expected Production (kWh)]))=0,"",SUMIFS(expected_production[Expected Production (kWh)],expected_production[Site Name],A2308,expected_production[Date],B2308)),"")</f>
        <v>15901.2</v>
      </c>
      <c r="E2308" s="9" t="str">
        <f t="shared" si="74"/>
        <v/>
      </c>
      <c r="F2308" t="str">
        <f t="shared" si="75"/>
        <v/>
      </c>
    </row>
    <row r="2309" spans="1:6" ht="15" customHeight="1" x14ac:dyDescent="0.3">
      <c r="A2309" t="s">
        <v>208</v>
      </c>
      <c r="B2309" s="2">
        <v>45383</v>
      </c>
      <c r="C2309" t="str" cm="1">
        <f t="array" ref="C2309">IFERROR(IF(SUMPRODUCT((measured[Site Name]=A2309)*(measured[Date]=B2309)*ISNUMBER(measured[Measured Value (kWh)]))=0,"",SUMIFS(measured[Measured Value (kWh)],measured[Site Name],A2309,measured[Date],B2309)),"")</f>
        <v/>
      </c>
      <c r="D2309" cm="1">
        <f t="array" ref="D2309">IFERROR(IF(SUMPRODUCT((expected_production[Site Name]=A2309)*(expected_production[Date]=B2309)*ISNUMBER(expected_production[Expected Production (kWh)]))=0,"",SUMIFS(expected_production[Expected Production (kWh)],expected_production[Site Name],A2309,expected_production[Date],B2309)),"")</f>
        <v>13660.2</v>
      </c>
      <c r="E2309" s="9" t="str">
        <f t="shared" si="74"/>
        <v/>
      </c>
      <c r="F2309" t="str">
        <f t="shared" si="75"/>
        <v/>
      </c>
    </row>
    <row r="2310" spans="1:6" ht="15" customHeight="1" x14ac:dyDescent="0.3">
      <c r="A2310" t="s">
        <v>208</v>
      </c>
      <c r="B2310" s="2">
        <v>45413</v>
      </c>
      <c r="C2310" t="str" cm="1">
        <f t="array" ref="C2310">IFERROR(IF(SUMPRODUCT((measured[Site Name]=A2310)*(measured[Date]=B2310)*ISNUMBER(measured[Measured Value (kWh)]))=0,"",SUMIFS(measured[Measured Value (kWh)],measured[Site Name],A2310,measured[Date],B2310)),"")</f>
        <v/>
      </c>
      <c r="D2310" cm="1">
        <f t="array" ref="D2310">IFERROR(IF(SUMPRODUCT((expected_production[Site Name]=A2310)*(expected_production[Date]=B2310)*ISNUMBER(expected_production[Expected Production (kWh)]))=0,"",SUMIFS(expected_production[Expected Production (kWh)],expected_production[Site Name],A2310,expected_production[Date],B2310)),"")</f>
        <v>12620.7</v>
      </c>
      <c r="E2310" s="9" t="str">
        <f t="shared" si="74"/>
        <v/>
      </c>
      <c r="F2310" t="str">
        <f t="shared" si="75"/>
        <v/>
      </c>
    </row>
    <row r="2311" spans="1:6" ht="15" customHeight="1" x14ac:dyDescent="0.3">
      <c r="A2311" t="s">
        <v>208</v>
      </c>
      <c r="B2311" s="2">
        <v>45444</v>
      </c>
      <c r="C2311" t="str" cm="1">
        <f t="array" ref="C2311">IFERROR(IF(SUMPRODUCT((measured[Site Name]=A2311)*(measured[Date]=B2311)*ISNUMBER(measured[Measured Value (kWh)]))=0,"",SUMIFS(measured[Measured Value (kWh)],measured[Site Name],A2311,measured[Date],B2311)),"")</f>
        <v/>
      </c>
      <c r="D2311" cm="1">
        <f t="array" ref="D2311">IFERROR(IF(SUMPRODUCT((expected_production[Site Name]=A2311)*(expected_production[Date]=B2311)*ISNUMBER(expected_production[Expected Production (kWh)]))=0,"",SUMIFS(expected_production[Expected Production (kWh)],expected_production[Site Name],A2311,expected_production[Date],B2311)),"")</f>
        <v>11094.3</v>
      </c>
      <c r="E2311" s="9" t="str">
        <f t="shared" si="74"/>
        <v/>
      </c>
      <c r="F2311" t="str">
        <f t="shared" si="75"/>
        <v/>
      </c>
    </row>
    <row r="2312" spans="1:6" ht="15" customHeight="1" x14ac:dyDescent="0.3">
      <c r="A2312" t="s">
        <v>208</v>
      </c>
      <c r="B2312" s="2">
        <v>45474</v>
      </c>
      <c r="C2312" t="str" cm="1">
        <f t="array" ref="C2312">IFERROR(IF(SUMPRODUCT((measured[Site Name]=A2312)*(measured[Date]=B2312)*ISNUMBER(measured[Measured Value (kWh)]))=0,"",SUMIFS(measured[Measured Value (kWh)],measured[Site Name],A2312,measured[Date],B2312)),"")</f>
        <v/>
      </c>
      <c r="D2312" cm="1">
        <f t="array" ref="D2312">IFERROR(IF(SUMPRODUCT((expected_production[Site Name]=A2312)*(expected_production[Date]=B2312)*ISNUMBER(expected_production[Expected Production (kWh)]))=0,"",SUMIFS(expected_production[Expected Production (kWh)],expected_production[Site Name],A2312,expected_production[Date],B2312)),"")</f>
        <v>12367.8</v>
      </c>
      <c r="E2312" s="9" t="str">
        <f t="shared" si="74"/>
        <v/>
      </c>
      <c r="F2312" t="str">
        <f t="shared" si="75"/>
        <v/>
      </c>
    </row>
    <row r="2313" spans="1:6" ht="15" customHeight="1" x14ac:dyDescent="0.3">
      <c r="A2313" t="s">
        <v>208</v>
      </c>
      <c r="B2313" s="2">
        <v>45505</v>
      </c>
      <c r="C2313" t="str" cm="1">
        <f t="array" ref="C2313">IFERROR(IF(SUMPRODUCT((measured[Site Name]=A2313)*(measured[Date]=B2313)*ISNUMBER(measured[Measured Value (kWh)]))=0,"",SUMIFS(measured[Measured Value (kWh)],measured[Site Name],A2313,measured[Date],B2313)),"")</f>
        <v/>
      </c>
      <c r="D2313" cm="1">
        <f t="array" ref="D2313">IFERROR(IF(SUMPRODUCT((expected_production[Site Name]=A2313)*(expected_production[Date]=B2313)*ISNUMBER(expected_production[Expected Production (kWh)]))=0,"",SUMIFS(expected_production[Expected Production (kWh)],expected_production[Site Name],A2313,expected_production[Date],B2313)),"")</f>
        <v>14484.6</v>
      </c>
      <c r="E2313" s="9" t="str">
        <f t="shared" si="74"/>
        <v/>
      </c>
      <c r="F2313" t="str">
        <f t="shared" si="75"/>
        <v/>
      </c>
    </row>
    <row r="2314" spans="1:6" ht="15" customHeight="1" x14ac:dyDescent="0.3">
      <c r="A2314" t="s">
        <v>208</v>
      </c>
      <c r="B2314" s="2">
        <v>45536</v>
      </c>
      <c r="C2314" t="str" cm="1">
        <f t="array" ref="C2314">IFERROR(IF(SUMPRODUCT((measured[Site Name]=A2314)*(measured[Date]=B2314)*ISNUMBER(measured[Measured Value (kWh)]))=0,"",SUMIFS(measured[Measured Value (kWh)],measured[Site Name],A2314,measured[Date],B2314)),"")</f>
        <v/>
      </c>
      <c r="D2314" cm="1">
        <f t="array" ref="D2314">IFERROR(IF(SUMPRODUCT((expected_production[Site Name]=A2314)*(expected_production[Date]=B2314)*ISNUMBER(expected_production[Expected Production (kWh)]))=0,"",SUMIFS(expected_production[Expected Production (kWh)],expected_production[Site Name],A2314,expected_production[Date],B2314)),"")</f>
        <v>16189.2</v>
      </c>
      <c r="E2314" s="9" t="str">
        <f t="shared" si="74"/>
        <v/>
      </c>
      <c r="F2314" t="str">
        <f t="shared" si="75"/>
        <v/>
      </c>
    </row>
    <row r="2315" spans="1:6" ht="15" customHeight="1" x14ac:dyDescent="0.3">
      <c r="A2315" t="s">
        <v>208</v>
      </c>
      <c r="B2315" s="2">
        <v>45566</v>
      </c>
      <c r="C2315" t="str" cm="1">
        <f t="array" ref="C2315">IFERROR(IF(SUMPRODUCT((measured[Site Name]=A2315)*(measured[Date]=B2315)*ISNUMBER(measured[Measured Value (kWh)]))=0,"",SUMIFS(measured[Measured Value (kWh)],measured[Site Name],A2315,measured[Date],B2315)),"")</f>
        <v/>
      </c>
      <c r="D2315" cm="1">
        <f t="array" ref="D2315">IFERROR(IF(SUMPRODUCT((expected_production[Site Name]=A2315)*(expected_production[Date]=B2315)*ISNUMBER(expected_production[Expected Production (kWh)]))=0,"",SUMIFS(expected_production[Expected Production (kWh)],expected_production[Site Name],A2315,expected_production[Date],B2315)),"")</f>
        <v>18663.3</v>
      </c>
      <c r="E2315" s="9" t="str">
        <f t="shared" si="74"/>
        <v/>
      </c>
      <c r="F2315" t="str">
        <f t="shared" si="75"/>
        <v/>
      </c>
    </row>
    <row r="2316" spans="1:6" ht="15" customHeight="1" x14ac:dyDescent="0.3">
      <c r="A2316" t="s">
        <v>208</v>
      </c>
      <c r="B2316" s="2">
        <v>45597</v>
      </c>
      <c r="C2316" t="str" cm="1">
        <f t="array" ref="C2316">IFERROR(IF(SUMPRODUCT((measured[Site Name]=A2316)*(measured[Date]=B2316)*ISNUMBER(measured[Measured Value (kWh)]))=0,"",SUMIFS(measured[Measured Value (kWh)],measured[Site Name],A2316,measured[Date],B2316)),"")</f>
        <v/>
      </c>
      <c r="D2316" cm="1">
        <f t="array" ref="D2316">IFERROR(IF(SUMPRODUCT((expected_production[Site Name]=A2316)*(expected_production[Date]=B2316)*ISNUMBER(expected_production[Expected Production (kWh)]))=0,"",SUMIFS(expected_production[Expected Production (kWh)],expected_production[Site Name],A2316,expected_production[Date],B2316)),"")</f>
        <v>18589.5</v>
      </c>
      <c r="E2316" s="9" t="str">
        <f t="shared" si="74"/>
        <v/>
      </c>
      <c r="F2316" t="str">
        <f t="shared" si="75"/>
        <v/>
      </c>
    </row>
    <row r="2317" spans="1:6" ht="15" customHeight="1" x14ac:dyDescent="0.3">
      <c r="A2317" t="s">
        <v>208</v>
      </c>
      <c r="B2317" s="2">
        <v>45627</v>
      </c>
      <c r="C2317" t="str" cm="1">
        <f t="array" ref="C2317">IFERROR(IF(SUMPRODUCT((measured[Site Name]=A2317)*(measured[Date]=B2317)*ISNUMBER(measured[Measured Value (kWh)]))=0,"",SUMIFS(measured[Measured Value (kWh)],measured[Site Name],A2317,measured[Date],B2317)),"")</f>
        <v/>
      </c>
      <c r="D2317" cm="1">
        <f t="array" ref="D2317">IFERROR(IF(SUMPRODUCT((expected_production[Site Name]=A2317)*(expected_production[Date]=B2317)*ISNUMBER(expected_production[Expected Production (kWh)]))=0,"",SUMIFS(expected_production[Expected Production (kWh)],expected_production[Site Name],A2317,expected_production[Date],B2317)),"")</f>
        <v>19022.400000000001</v>
      </c>
      <c r="E2317" s="9" t="str">
        <f t="shared" si="74"/>
        <v/>
      </c>
      <c r="F2317" t="str">
        <f t="shared" si="75"/>
        <v/>
      </c>
    </row>
    <row r="2318" spans="1:6" ht="15" customHeight="1" x14ac:dyDescent="0.3">
      <c r="A2318" t="s">
        <v>208</v>
      </c>
      <c r="B2318" s="2">
        <v>45658</v>
      </c>
      <c r="C2318" t="str" cm="1">
        <f t="array" ref="C2318">IFERROR(IF(SUMPRODUCT((measured[Site Name]=A2318)*(measured[Date]=B2318)*ISNUMBER(measured[Measured Value (kWh)]))=0,"",SUMIFS(measured[Measured Value (kWh)],measured[Site Name],A2318,measured[Date],B2318)),"")</f>
        <v/>
      </c>
      <c r="D2318" cm="1">
        <f t="array" ref="D2318">IFERROR(IF(SUMPRODUCT((expected_production[Site Name]=A2318)*(expected_production[Date]=B2318)*ISNUMBER(expected_production[Expected Production (kWh)]))=0,"",SUMIFS(expected_production[Expected Production (kWh)],expected_production[Site Name],A2318,expected_production[Date],B2318)),"")</f>
        <v>18584.099999999999</v>
      </c>
      <c r="E2318" s="9" t="str">
        <f t="shared" si="74"/>
        <v/>
      </c>
      <c r="F2318" t="str">
        <f t="shared" si="75"/>
        <v/>
      </c>
    </row>
    <row r="2319" spans="1:6" ht="15" customHeight="1" x14ac:dyDescent="0.3">
      <c r="A2319" t="s">
        <v>208</v>
      </c>
      <c r="B2319" s="2">
        <v>45689</v>
      </c>
      <c r="C2319" t="str" cm="1">
        <f t="array" ref="C2319">IFERROR(IF(SUMPRODUCT((measured[Site Name]=A2319)*(measured[Date]=B2319)*ISNUMBER(measured[Measured Value (kWh)]))=0,"",SUMIFS(measured[Measured Value (kWh)],measured[Site Name],A2319,measured[Date],B2319)),"")</f>
        <v/>
      </c>
      <c r="D2319" cm="1">
        <f t="array" ref="D2319">IFERROR(IF(SUMPRODUCT((expected_production[Site Name]=A2319)*(expected_production[Date]=B2319)*ISNUMBER(expected_production[Expected Production (kWh)]))=0,"",SUMIFS(expected_production[Expected Production (kWh)],expected_production[Site Name],A2319,expected_production[Date],B2319)),"")</f>
        <v>16101.9</v>
      </c>
      <c r="E2319" s="9" t="str">
        <f t="shared" si="74"/>
        <v/>
      </c>
      <c r="F2319" t="str">
        <f t="shared" si="75"/>
        <v/>
      </c>
    </row>
    <row r="2320" spans="1:6" ht="15" customHeight="1" x14ac:dyDescent="0.3">
      <c r="A2320" t="s">
        <v>208</v>
      </c>
      <c r="B2320" s="2">
        <v>45717</v>
      </c>
      <c r="C2320" t="str" cm="1">
        <f t="array" ref="C2320">IFERROR(IF(SUMPRODUCT((measured[Site Name]=A2320)*(measured[Date]=B2320)*ISNUMBER(measured[Measured Value (kWh)]))=0,"",SUMIFS(measured[Measured Value (kWh)],measured[Site Name],A2320,measured[Date],B2320)),"")</f>
        <v/>
      </c>
      <c r="D2320" cm="1">
        <f t="array" ref="D2320">IFERROR(IF(SUMPRODUCT((expected_production[Site Name]=A2320)*(expected_production[Date]=B2320)*ISNUMBER(expected_production[Expected Production (kWh)]))=0,"",SUMIFS(expected_production[Expected Production (kWh)],expected_production[Site Name],A2320,expected_production[Date],B2320)),"")</f>
        <v>15901.2</v>
      </c>
      <c r="E2320" s="9" t="str">
        <f t="shared" si="74"/>
        <v/>
      </c>
      <c r="F2320" t="str">
        <f t="shared" si="75"/>
        <v/>
      </c>
    </row>
    <row r="2321" spans="1:7" ht="15" customHeight="1" x14ac:dyDescent="0.3">
      <c r="A2321" t="s">
        <v>208</v>
      </c>
      <c r="B2321" s="2">
        <v>45748</v>
      </c>
      <c r="C2321" cm="1">
        <f t="array" ref="C2321">IFERROR(IF(SUMPRODUCT((measured[Site Name]=A2321)*(measured[Date]=B2321)*ISNUMBER(measured[Measured Value (kWh)]))=0,"",SUMIFS(measured[Measured Value (kWh)],measured[Site Name],A2321,measured[Date],B2321)),"")</f>
        <v>4166</v>
      </c>
      <c r="D2321" cm="1">
        <f t="array" ref="D2321">IFERROR(IF(SUMPRODUCT((expected_production[Site Name]=A2321)*(expected_production[Date]=B2321)*ISNUMBER(expected_production[Expected Production (kWh)]))=0,"",SUMIFS(expected_production[Expected Production (kWh)],expected_production[Site Name],A2321,expected_production[Date],B2321)),"")</f>
        <v>13660.2</v>
      </c>
      <c r="E2321" s="9">
        <f t="shared" si="74"/>
        <v>0.30497357286130511</v>
      </c>
      <c r="F2321" t="str">
        <f t="shared" si="75"/>
        <v>Poor</v>
      </c>
    </row>
    <row r="2322" spans="1:7" ht="15" customHeight="1" x14ac:dyDescent="0.3">
      <c r="A2322" t="s">
        <v>208</v>
      </c>
      <c r="B2322" s="2">
        <v>45778</v>
      </c>
      <c r="C2322" cm="1">
        <f t="array" ref="C2322">IFERROR(IF(SUMPRODUCT((measured[Site Name]=A2322)*(measured[Date]=B2322)*ISNUMBER(measured[Measured Value (kWh)]))=0,"",SUMIFS(measured[Measured Value (kWh)],measured[Site Name],A2322,measured[Date],B2322)),"")</f>
        <v>5400</v>
      </c>
      <c r="D2322" cm="1">
        <f t="array" ref="D2322">IFERROR(IF(SUMPRODUCT((expected_production[Site Name]=A2322)*(expected_production[Date]=B2322)*ISNUMBER(expected_production[Expected Production (kWh)]))=0,"",SUMIFS(expected_production[Expected Production (kWh)],expected_production[Site Name],A2322,expected_production[Date],B2322)),"")</f>
        <v>12620.7</v>
      </c>
      <c r="E2322" s="9">
        <f t="shared" si="74"/>
        <v>0.4278685017471297</v>
      </c>
      <c r="F2322" t="str">
        <f t="shared" si="75"/>
        <v>Poor</v>
      </c>
    </row>
    <row r="2323" spans="1:7" ht="15" customHeight="1" x14ac:dyDescent="0.3">
      <c r="A2323" t="s">
        <v>208</v>
      </c>
      <c r="B2323" s="2">
        <v>45809</v>
      </c>
      <c r="C2323" cm="1">
        <f t="array" ref="C2323">IFERROR(IF(SUMPRODUCT((measured[Site Name]=A2323)*(measured[Date]=B2323)*ISNUMBER(measured[Measured Value (kWh)]))=0,"",SUMIFS(measured[Measured Value (kWh)],measured[Site Name],A2323,measured[Date],B2323)),"")</f>
        <v>8687.2999999999993</v>
      </c>
      <c r="D2323" cm="1">
        <f t="array" ref="D2323">IFERROR(IF(SUMPRODUCT((expected_production[Site Name]=A2323)*(expected_production[Date]=B2323)*ISNUMBER(expected_production[Expected Production (kWh)]))=0,"",SUMIFS(expected_production[Expected Production (kWh)],expected_production[Site Name],A2323,expected_production[Date],B2323)),"")</f>
        <v>11094.3</v>
      </c>
      <c r="E2323" s="9">
        <f t="shared" si="74"/>
        <v>0.78304174215588185</v>
      </c>
      <c r="F2323" t="str">
        <f t="shared" si="75"/>
        <v>Moderate</v>
      </c>
    </row>
    <row r="2324" spans="1:7" ht="15" customHeight="1" x14ac:dyDescent="0.3">
      <c r="A2324" t="s">
        <v>208</v>
      </c>
      <c r="B2324" s="2">
        <v>45839</v>
      </c>
      <c r="C2324" cm="1">
        <f t="array" ref="C2324">IFERROR(IF(SUMPRODUCT((measured[Site Name]=A2324)*(measured[Date]=B2324)*ISNUMBER(measured[Measured Value (kWh)]))=0,"",SUMIFS(measured[Measured Value (kWh)],measured[Site Name],A2324,measured[Date],B2324)),"")</f>
        <v>7090</v>
      </c>
      <c r="D2324" cm="1">
        <f t="array" ref="D2324">IFERROR(IF(SUMPRODUCT((expected_production[Site Name]=A2324)*(expected_production[Date]=B2324)*ISNUMBER(expected_production[Expected Production (kWh)]))=0,"",SUMIFS(expected_production[Expected Production (kWh)],expected_production[Site Name],A2324,expected_production[Date],B2324)),"")</f>
        <v>12367.8</v>
      </c>
      <c r="E2324" s="9">
        <f t="shared" si="74"/>
        <v>0.57326282766538916</v>
      </c>
      <c r="F2324" t="str">
        <f t="shared" si="75"/>
        <v>Poor</v>
      </c>
    </row>
    <row r="2325" spans="1:7" ht="15" customHeight="1" x14ac:dyDescent="0.3">
      <c r="A2325" t="s">
        <v>208</v>
      </c>
      <c r="B2325" s="2">
        <v>45870</v>
      </c>
      <c r="C2325" cm="1">
        <f t="array" ref="C2325">IFERROR(IF(SUMPRODUCT((measured[Site Name]=A2325)*(measured[Date]=B2325)*ISNUMBER(measured[Measured Value (kWh)]))=0,"",SUMIFS(measured[Measured Value (kWh)],measured[Site Name],A2325,measured[Date],B2325)),"")</f>
        <v>10240</v>
      </c>
      <c r="D2325" cm="1">
        <f t="array" ref="D2325">IFERROR(IF(SUMPRODUCT((expected_production[Site Name]=A2325)*(expected_production[Date]=B2325)*ISNUMBER(expected_production[Expected Production (kWh)]))=0,"",SUMIFS(expected_production[Expected Production (kWh)],expected_production[Site Name],A2325,expected_production[Date],B2325)),"")</f>
        <v>14484.6</v>
      </c>
      <c r="E2325" s="9">
        <f t="shared" si="74"/>
        <v>0.70695773442138543</v>
      </c>
      <c r="F2325" t="str">
        <f t="shared" si="75"/>
        <v>Moderate</v>
      </c>
    </row>
    <row r="2326" spans="1:7" ht="15" customHeight="1" x14ac:dyDescent="0.3">
      <c r="A2326" t="s">
        <v>208</v>
      </c>
      <c r="B2326" s="2">
        <v>45901</v>
      </c>
      <c r="C2326" cm="1">
        <f t="array" ref="C2326">IFERROR(IF(SUMPRODUCT((measured[Site Name]=A2326)*(measured[Date]=B2326)*ISNUMBER(measured[Measured Value (kWh)]))=0,"",SUMIFS(measured[Measured Value (kWh)],measured[Site Name],A2326,measured[Date],B2326)),"")</f>
        <v>11379</v>
      </c>
      <c r="D2326" cm="1">
        <f t="array" ref="D2326">IFERROR(IF(SUMPRODUCT((expected_production[Site Name]=A2326)*(expected_production[Date]=B2326)*ISNUMBER(expected_production[Expected Production (kWh)]))=0,"",SUMIFS(expected_production[Expected Production (kWh)],expected_production[Site Name],A2326,expected_production[Date],B2326)),"")</f>
        <v>16189.2</v>
      </c>
      <c r="E2326" s="9">
        <f t="shared" si="74"/>
        <v>0.70287599140167512</v>
      </c>
      <c r="F2326" t="str">
        <f t="shared" si="75"/>
        <v>Moderate</v>
      </c>
    </row>
    <row r="2327" spans="1:7" ht="15" customHeight="1" x14ac:dyDescent="0.3">
      <c r="A2327" t="s">
        <v>208</v>
      </c>
      <c r="B2327" s="2">
        <v>45931</v>
      </c>
      <c r="C2327" cm="1">
        <f t="array" ref="C2327">IFERROR(IF(SUMPRODUCT((measured[Site Name]=A2327)*(measured[Date]=B2327)*ISNUMBER(measured[Measured Value (kWh)]))=0,"",SUMIFS(measured[Measured Value (kWh)],measured[Site Name],A2327,measured[Date],B2327)),"")</f>
        <v>16828.7</v>
      </c>
      <c r="D2327" cm="1">
        <f t="array" ref="D2327">IFERROR(IF(SUMPRODUCT((expected_production[Site Name]=A2327)*(expected_production[Date]=B2327)*ISNUMBER(expected_production[Expected Production (kWh)]))=0,"",SUMIFS(expected_production[Expected Production (kWh)],expected_production[Site Name],A2327,expected_production[Date],B2327)),"")</f>
        <v>18663.3</v>
      </c>
      <c r="E2327" s="9">
        <f t="shared" si="74"/>
        <v>0.90170012805881072</v>
      </c>
      <c r="F2327" t="str">
        <f t="shared" si="75"/>
        <v>Expected</v>
      </c>
    </row>
    <row r="2328" spans="1:7" ht="15" customHeight="1" x14ac:dyDescent="0.3">
      <c r="A2328" t="s">
        <v>208</v>
      </c>
      <c r="B2328" s="2">
        <v>45962</v>
      </c>
      <c r="C2328" cm="1">
        <f t="array" ref="C2328">IFERROR(IF(SUMPRODUCT((measured[Site Name]=A2328)*(measured[Date]=B2328)*ISNUMBER(measured[Measured Value (kWh)]))=0,"",SUMIFS(measured[Measured Value (kWh)],measured[Site Name],A2328,measured[Date],B2328)),"")</f>
        <v>15461</v>
      </c>
      <c r="D2328" cm="1">
        <f t="array" ref="D2328">IFERROR(IF(SUMPRODUCT((expected_production[Site Name]=A2328)*(expected_production[Date]=B2328)*ISNUMBER(expected_production[Expected Production (kWh)]))=0,"",SUMIFS(expected_production[Expected Production (kWh)],expected_production[Site Name],A2328,expected_production[Date],B2328)),"")</f>
        <v>18589.5</v>
      </c>
      <c r="E2328" s="9">
        <f t="shared" si="74"/>
        <v>0.83170607063127033</v>
      </c>
      <c r="F2328" t="str">
        <f t="shared" si="75"/>
        <v>Moderate</v>
      </c>
    </row>
    <row r="2329" spans="1:7" ht="15" customHeight="1" x14ac:dyDescent="0.3">
      <c r="A2329" t="s">
        <v>208</v>
      </c>
      <c r="B2329" s="2">
        <v>45992</v>
      </c>
      <c r="C2329" cm="1">
        <f t="array" ref="C2329">IFERROR(IF(SUMPRODUCT((measured[Site Name]=A2329)*(measured[Date]=B2329)*ISNUMBER(measured[Measured Value (kWh)]))=0,"",SUMIFS(measured[Measured Value (kWh)],measured[Site Name],A2329,measured[Date],B2329)),"")</f>
        <v>17561</v>
      </c>
      <c r="D2329" cm="1">
        <f t="array" ref="D2329">IFERROR(IF(SUMPRODUCT((expected_production[Site Name]=A2329)*(expected_production[Date]=B2329)*ISNUMBER(expected_production[Expected Production (kWh)]))=0,"",SUMIFS(expected_production[Expected Production (kWh)],expected_production[Site Name],A2329,expected_production[Date],B2329)),"")</f>
        <v>19022.400000000001</v>
      </c>
      <c r="E2329" s="9">
        <f t="shared" si="74"/>
        <v>0.92317478341323911</v>
      </c>
      <c r="F2329" t="str">
        <f t="shared" si="75"/>
        <v>Expected</v>
      </c>
    </row>
    <row r="2330" spans="1:7" ht="15" customHeight="1" x14ac:dyDescent="0.3">
      <c r="A2330" t="s">
        <v>208</v>
      </c>
      <c r="B2330" s="2">
        <v>46023</v>
      </c>
      <c r="C2330" cm="1">
        <f t="array" ref="C2330">IFERROR(IF(SUMPRODUCT((measured[Site Name]=A2330)*(measured[Date]=B2330)*ISNUMBER(measured[Measured Value (kWh)]))=0,"",SUMIFS(measured[Measured Value (kWh)],measured[Site Name],A2330,measured[Date],B2330)),"")</f>
        <v>20127</v>
      </c>
      <c r="D2330" cm="1">
        <f t="array" ref="D2330">IFERROR(IF(SUMPRODUCT((expected_production[Site Name]=A2330)*(expected_production[Date]=B2330)*ISNUMBER(expected_production[Expected Production (kWh)]))=0,"",SUMIFS(expected_production[Expected Production (kWh)],expected_production[Site Name],A2330,expected_production[Date],B2330)),"")</f>
        <v>18584.099999999999</v>
      </c>
      <c r="E2330" s="9">
        <f t="shared" si="74"/>
        <v>1.0830225838216541</v>
      </c>
      <c r="F2330" t="str">
        <f t="shared" si="75"/>
        <v>Expected</v>
      </c>
    </row>
    <row r="2331" spans="1:7" ht="15" customHeight="1" x14ac:dyDescent="0.3">
      <c r="A2331" t="s">
        <v>208</v>
      </c>
      <c r="B2331" s="2">
        <v>46054</v>
      </c>
      <c r="C2331" cm="1">
        <f t="array" ref="C2331">IFERROR(IF(SUMPRODUCT((measured[Site Name]=A2331)*(measured[Date]=B2331)*ISNUMBER(measured[Measured Value (kWh)]))=0,"",SUMIFS(measured[Measured Value (kWh)],measured[Site Name],A2331,measured[Date],B2331)),"")</f>
        <v>16780</v>
      </c>
      <c r="D2331" cm="1">
        <f t="array" ref="D2331">IFERROR(IF(SUMPRODUCT((expected_production[Site Name]=A2331)*(expected_production[Date]=B2331)*ISNUMBER(expected_production[Expected Production (kWh)]))=0,"",SUMIFS(expected_production[Expected Production (kWh)],expected_production[Site Name],A2331,expected_production[Date],B2331)),"")</f>
        <v>16101.9</v>
      </c>
      <c r="E2331" s="9">
        <f t="shared" si="74"/>
        <v>1.0421130425601948</v>
      </c>
      <c r="F2331" t="str">
        <f t="shared" si="75"/>
        <v>Expected</v>
      </c>
    </row>
    <row r="2332" spans="1:7" ht="15" customHeight="1" x14ac:dyDescent="0.3">
      <c r="A2332" t="s">
        <v>208</v>
      </c>
      <c r="B2332" s="2">
        <v>46082</v>
      </c>
      <c r="C2332" cm="1">
        <f t="array" ref="C2332">IFERROR(IF(SUMPRODUCT((measured[Site Name]=A2332)*(measured[Date]=B2332)*ISNUMBER(measured[Measured Value (kWh)]))=0,"",SUMIFS(measured[Measured Value (kWh)],measured[Site Name],A2332,measured[Date],B2332)),"")</f>
        <v>14651</v>
      </c>
      <c r="D2332" cm="1">
        <f t="array" ref="D2332">IFERROR(IF(SUMPRODUCT((expected_production[Site Name]=A2332)*(expected_production[Date]=B2332)*ISNUMBER(expected_production[Expected Production (kWh)]))=0,"",SUMIFS(expected_production[Expected Production (kWh)],expected_production[Site Name],A2332,expected_production[Date],B2332)),"")</f>
        <v>15901.2</v>
      </c>
      <c r="E2332" s="9">
        <f t="shared" si="74"/>
        <v>0.92137700299348468</v>
      </c>
      <c r="F2332" t="str">
        <f t="shared" si="75"/>
        <v>Expected</v>
      </c>
    </row>
    <row r="2333" spans="1:7" ht="15" customHeight="1" x14ac:dyDescent="0.3">
      <c r="A2333" t="s">
        <v>208</v>
      </c>
      <c r="B2333" s="2">
        <v>46113</v>
      </c>
      <c r="C2333" cm="1">
        <f t="array" ref="C2333">IFERROR(IF(SUMPRODUCT((measured[Site Name]=A2333)*(measured[Date]=B2333)*ISNUMBER(measured[Measured Value (kWh)]))=0,"",SUMIFS(measured[Measured Value (kWh)],measured[Site Name],A2333,measured[Date],B2333)),"")</f>
        <v>12498.2</v>
      </c>
      <c r="D2333" cm="1">
        <f t="array" ref="D2333">IFERROR(IF(SUMPRODUCT((expected_production[Site Name]=A2333)*(expected_production[Date]=B2333)*ISNUMBER(expected_production[Expected Production (kWh)]))=0,"",SUMIFS(expected_production[Expected Production (kWh)],expected_production[Site Name],A2333,expected_production[Date],B2333)),"")</f>
        <v>13660.2</v>
      </c>
      <c r="E2333" s="9">
        <f t="shared" si="74"/>
        <v>0.91493535965798456</v>
      </c>
      <c r="F2333" t="str">
        <f t="shared" si="75"/>
        <v>Expected</v>
      </c>
    </row>
    <row r="2334" spans="1:7" ht="15" customHeight="1" x14ac:dyDescent="0.3">
      <c r="A2334" t="s">
        <v>208</v>
      </c>
      <c r="B2334" s="2">
        <v>46143</v>
      </c>
      <c r="C2334" cm="1">
        <f t="array" ref="C2334">IFERROR(IF(SUMPRODUCT((measured[Site Name]=A2334)*(measured[Date]=B2334)*ISNUMBER(measured[Measured Value (kWh)]))=0,"",SUMIFS(measured[Measured Value (kWh)],measured[Site Name],A2334,measured[Date],B2334)),"")</f>
        <v>11697.82</v>
      </c>
      <c r="D2334" cm="1">
        <f t="array" ref="D2334">IFERROR(IF(SUMPRODUCT((expected_production[Site Name]=A2334)*(expected_production[Date]=B2334)*ISNUMBER(expected_production[Expected Production (kWh)]))=0,"",SUMIFS(expected_production[Expected Production (kWh)],expected_production[Site Name],A2334,expected_production[Date],B2334)),"")</f>
        <v>12620.7</v>
      </c>
      <c r="E2334" s="9">
        <f t="shared" si="74"/>
        <v>0.92687568835326084</v>
      </c>
      <c r="F2334" t="str">
        <f t="shared" si="75"/>
        <v>Expected</v>
      </c>
    </row>
    <row r="2335" spans="1:7" ht="15" customHeight="1" x14ac:dyDescent="0.3">
      <c r="A2335" t="s">
        <v>208</v>
      </c>
      <c r="B2335" s="2">
        <v>46174</v>
      </c>
      <c r="C2335" cm="1">
        <f t="array" ref="C2335">IFERROR(IF(SUMPRODUCT((measured[Site Name]=A2335)*(measured[Date]=B2335)*ISNUMBER(measured[Measured Value (kWh)]))=0,"",SUMIFS(measured[Measured Value (kWh)],measured[Site Name],A2335,measured[Date],B2335)),"")</f>
        <v>9082.64</v>
      </c>
      <c r="D2335" cm="1">
        <f t="array" ref="D2335">IFERROR(IF(SUMPRODUCT((expected_production[Site Name]=A2335)*(expected_production[Date]=B2335)*ISNUMBER(expected_production[Expected Production (kWh)]))=0,"",SUMIFS(expected_production[Expected Production (kWh)],expected_production[Site Name],A2335,expected_production[Date],B2335)),"")</f>
        <v>11094.3</v>
      </c>
      <c r="E2335" s="9">
        <f t="shared" si="74"/>
        <v>0.81867625717710901</v>
      </c>
      <c r="F2335" t="str">
        <f t="shared" si="75"/>
        <v>Moderate</v>
      </c>
    </row>
    <row r="2336" spans="1:7" ht="15" customHeight="1" x14ac:dyDescent="0.3">
      <c r="A2336" t="s">
        <v>208</v>
      </c>
      <c r="B2336" s="2">
        <v>46204</v>
      </c>
      <c r="C2336" cm="1">
        <f t="array" ref="C2336">IFERROR(IF(SUMPRODUCT((measured[Site Name]=A2336)*(measured[Date]=B2336)*ISNUMBER(measured[Measured Value (kWh)]))=0,"",SUMIFS(measured[Measured Value (kWh)],measured[Site Name],A2336,measured[Date],B2336)),"")</f>
        <v>7916.06</v>
      </c>
      <c r="D2336" cm="1">
        <f t="array" ref="D2336">IFERROR(IF(SUMPRODUCT((expected_production[Site Name]=A2336)*(expected_production[Date]=B2336)*ISNUMBER(expected_production[Expected Production (kWh)]))=0,"",SUMIFS(expected_production[Expected Production (kWh)],expected_production[Site Name],A2336,expected_production[Date],B2336)),"")</f>
        <v>12367.8</v>
      </c>
      <c r="E2336" s="9">
        <f t="shared" si="74"/>
        <v>0.64005401122269123</v>
      </c>
      <c r="F2336" t="str">
        <f t="shared" si="75"/>
        <v>Poor</v>
      </c>
      <c r="G2336" t="s">
        <v>874</v>
      </c>
    </row>
    <row r="2337" spans="1:6" ht="15" customHeight="1" x14ac:dyDescent="0.3">
      <c r="A2337" t="s">
        <v>208</v>
      </c>
      <c r="B2337" s="2">
        <v>46235</v>
      </c>
      <c r="C2337" t="str" cm="1">
        <f t="array" ref="C2337">IFERROR(IF(SUMPRODUCT((measured[Site Name]=A2337)*(measured[Date]=B2337)*ISNUMBER(measured[Measured Value (kWh)]))=0,"",SUMIFS(measured[Measured Value (kWh)],measured[Site Name],A2337,measured[Date],B2337)),"")</f>
        <v/>
      </c>
      <c r="D2337" cm="1">
        <f t="array" ref="D2337">IFERROR(IF(SUMPRODUCT((expected_production[Site Name]=A2337)*(expected_production[Date]=B2337)*ISNUMBER(expected_production[Expected Production (kWh)]))=0,"",SUMIFS(expected_production[Expected Production (kWh)],expected_production[Site Name],A2337,expected_production[Date],B2337)),"")</f>
        <v>14484.6</v>
      </c>
      <c r="E2337" s="9" t="str">
        <f t="shared" si="74"/>
        <v/>
      </c>
      <c r="F2337" t="str">
        <f t="shared" si="75"/>
        <v/>
      </c>
    </row>
    <row r="2338" spans="1:6" ht="15" customHeight="1" x14ac:dyDescent="0.3">
      <c r="A2338" t="s">
        <v>208</v>
      </c>
      <c r="B2338" s="2">
        <v>46266</v>
      </c>
      <c r="C2338" t="str" cm="1">
        <f t="array" ref="C2338">IFERROR(IF(SUMPRODUCT((measured[Site Name]=A2338)*(measured[Date]=B2338)*ISNUMBER(measured[Measured Value (kWh)]))=0,"",SUMIFS(measured[Measured Value (kWh)],measured[Site Name],A2338,measured[Date],B2338)),"")</f>
        <v/>
      </c>
      <c r="D2338" cm="1">
        <f t="array" ref="D2338">IFERROR(IF(SUMPRODUCT((expected_production[Site Name]=A2338)*(expected_production[Date]=B2338)*ISNUMBER(expected_production[Expected Production (kWh)]))=0,"",SUMIFS(expected_production[Expected Production (kWh)],expected_production[Site Name],A2338,expected_production[Date],B2338)),"")</f>
        <v>16189.2</v>
      </c>
      <c r="E2338" s="9" t="str">
        <f t="shared" si="74"/>
        <v/>
      </c>
      <c r="F2338" t="str">
        <f t="shared" si="75"/>
        <v/>
      </c>
    </row>
    <row r="2339" spans="1:6" ht="15" customHeight="1" x14ac:dyDescent="0.3">
      <c r="A2339" t="s">
        <v>208</v>
      </c>
      <c r="B2339" s="2">
        <v>46296</v>
      </c>
      <c r="C2339" t="str" cm="1">
        <f t="array" ref="C2339">IFERROR(IF(SUMPRODUCT((measured[Site Name]=A2339)*(measured[Date]=B2339)*ISNUMBER(measured[Measured Value (kWh)]))=0,"",SUMIFS(measured[Measured Value (kWh)],measured[Site Name],A2339,measured[Date],B2339)),"")</f>
        <v/>
      </c>
      <c r="D2339" cm="1">
        <f t="array" ref="D2339">IFERROR(IF(SUMPRODUCT((expected_production[Site Name]=A2339)*(expected_production[Date]=B2339)*ISNUMBER(expected_production[Expected Production (kWh)]))=0,"",SUMIFS(expected_production[Expected Production (kWh)],expected_production[Site Name],A2339,expected_production[Date],B2339)),"")</f>
        <v>18663.3</v>
      </c>
      <c r="E2339" s="9" t="str">
        <f t="shared" si="74"/>
        <v/>
      </c>
      <c r="F2339" t="str">
        <f t="shared" si="75"/>
        <v/>
      </c>
    </row>
    <row r="2340" spans="1:6" ht="15" customHeight="1" x14ac:dyDescent="0.3">
      <c r="A2340" t="s">
        <v>208</v>
      </c>
      <c r="B2340" s="2">
        <v>46327</v>
      </c>
      <c r="C2340" t="str" cm="1">
        <f t="array" ref="C2340">IFERROR(IF(SUMPRODUCT((measured[Site Name]=A2340)*(measured[Date]=B2340)*ISNUMBER(measured[Measured Value (kWh)]))=0,"",SUMIFS(measured[Measured Value (kWh)],measured[Site Name],A2340,measured[Date],B2340)),"")</f>
        <v/>
      </c>
      <c r="D2340" cm="1">
        <f t="array" ref="D2340">IFERROR(IF(SUMPRODUCT((expected_production[Site Name]=A2340)*(expected_production[Date]=B2340)*ISNUMBER(expected_production[Expected Production (kWh)]))=0,"",SUMIFS(expected_production[Expected Production (kWh)],expected_production[Site Name],A2340,expected_production[Date],B2340)),"")</f>
        <v>18589.5</v>
      </c>
      <c r="E2340" s="9" t="str">
        <f t="shared" si="74"/>
        <v/>
      </c>
      <c r="F2340" t="str">
        <f t="shared" si="75"/>
        <v/>
      </c>
    </row>
    <row r="2341" spans="1:6" ht="15" customHeight="1" x14ac:dyDescent="0.3">
      <c r="A2341" t="s">
        <v>208</v>
      </c>
      <c r="B2341" s="2">
        <v>46357</v>
      </c>
      <c r="C2341" t="str" cm="1">
        <f t="array" ref="C2341">IFERROR(IF(SUMPRODUCT((measured[Site Name]=A2341)*(measured[Date]=B2341)*ISNUMBER(measured[Measured Value (kWh)]))=0,"",SUMIFS(measured[Measured Value (kWh)],measured[Site Name],A2341,measured[Date],B2341)),"")</f>
        <v/>
      </c>
      <c r="D2341" cm="1">
        <f t="array" ref="D2341">IFERROR(IF(SUMPRODUCT((expected_production[Site Name]=A2341)*(expected_production[Date]=B2341)*ISNUMBER(expected_production[Expected Production (kWh)]))=0,"",SUMIFS(expected_production[Expected Production (kWh)],expected_production[Site Name],A2341,expected_production[Date],B2341)),"")</f>
        <v>19022.400000000001</v>
      </c>
      <c r="E2341" s="9" t="str">
        <f t="shared" si="74"/>
        <v/>
      </c>
      <c r="F2341" t="str">
        <f t="shared" si="75"/>
        <v/>
      </c>
    </row>
    <row r="2342" spans="1:6" ht="15" customHeight="1" x14ac:dyDescent="0.3">
      <c r="A2342" t="s">
        <v>190</v>
      </c>
      <c r="B2342" s="2">
        <v>45292</v>
      </c>
      <c r="C2342" cm="1">
        <f t="array" ref="C2342">IFERROR(IF(SUMPRODUCT((measured[Site Name]=A2342)*(measured[Date]=B2342)*ISNUMBER(measured[Measured Value (kWh)]))=0,"",SUMIFS(measured[Measured Value (kWh)],measured[Site Name],A2342,measured[Date],B2342)),"")</f>
        <v>9171</v>
      </c>
      <c r="D2342" cm="1">
        <f t="array" ref="D2342">IFERROR(IF(SUMPRODUCT((expected_production[Site Name]=A2342)*(expected_production[Date]=B2342)*ISNUMBER(expected_production[Expected Production (kWh)]))=0,"",SUMIFS(expected_production[Expected Production (kWh)],expected_production[Site Name],A2342,expected_production[Date],B2342)),"")</f>
        <v>16638.665000000001</v>
      </c>
      <c r="E2342" s="9">
        <f t="shared" si="74"/>
        <v>0.55118604767870494</v>
      </c>
      <c r="F2342" t="str">
        <f t="shared" si="75"/>
        <v>Poor</v>
      </c>
    </row>
    <row r="2343" spans="1:6" ht="15" customHeight="1" x14ac:dyDescent="0.3">
      <c r="A2343" t="s">
        <v>190</v>
      </c>
      <c r="B2343" s="2">
        <v>45323</v>
      </c>
      <c r="C2343" cm="1">
        <f t="array" ref="C2343">IFERROR(IF(SUMPRODUCT((measured[Site Name]=A2343)*(measured[Date]=B2343)*ISNUMBER(measured[Measured Value (kWh)]))=0,"",SUMIFS(measured[Measured Value (kWh)],measured[Site Name],A2343,measured[Date],B2343)),"")</f>
        <v>8406</v>
      </c>
      <c r="D2343" cm="1">
        <f t="array" ref="D2343">IFERROR(IF(SUMPRODUCT((expected_production[Site Name]=A2343)*(expected_production[Date]=B2343)*ISNUMBER(expected_production[Expected Production (kWh)]))=0,"",SUMIFS(expected_production[Expected Production (kWh)],expected_production[Site Name],A2343,expected_production[Date],B2343)),"")</f>
        <v>14215.06</v>
      </c>
      <c r="E2343" s="9">
        <f t="shared" si="74"/>
        <v>0.5913446724811573</v>
      </c>
      <c r="F2343" t="str">
        <f t="shared" si="75"/>
        <v>Poor</v>
      </c>
    </row>
    <row r="2344" spans="1:6" ht="15" customHeight="1" x14ac:dyDescent="0.3">
      <c r="A2344" t="s">
        <v>190</v>
      </c>
      <c r="B2344" s="2">
        <v>45352</v>
      </c>
      <c r="C2344" cm="1">
        <f t="array" ref="C2344">IFERROR(IF(SUMPRODUCT((measured[Site Name]=A2344)*(measured[Date]=B2344)*ISNUMBER(measured[Measured Value (kWh)]))=0,"",SUMIFS(measured[Measured Value (kWh)],measured[Site Name],A2344,measured[Date],B2344)),"")</f>
        <v>9529</v>
      </c>
      <c r="D2344" cm="1">
        <f t="array" ref="D2344">IFERROR(IF(SUMPRODUCT((expected_production[Site Name]=A2344)*(expected_production[Date]=B2344)*ISNUMBER(expected_production[Expected Production (kWh)]))=0,"",SUMIFS(expected_production[Expected Production (kWh)],expected_production[Site Name],A2344,expected_production[Date],B2344)),"")</f>
        <v>15137.31</v>
      </c>
      <c r="E2344" s="9">
        <f t="shared" si="74"/>
        <v>0.62950418535393671</v>
      </c>
      <c r="F2344" t="str">
        <f t="shared" si="75"/>
        <v>Poor</v>
      </c>
    </row>
    <row r="2345" spans="1:6" ht="15" customHeight="1" x14ac:dyDescent="0.3">
      <c r="A2345" t="s">
        <v>190</v>
      </c>
      <c r="B2345" s="2">
        <v>45383</v>
      </c>
      <c r="C2345" cm="1">
        <f t="array" ref="C2345">IFERROR(IF(SUMPRODUCT((measured[Site Name]=A2345)*(measured[Date]=B2345)*ISNUMBER(measured[Measured Value (kWh)]))=0,"",SUMIFS(measured[Measured Value (kWh)],measured[Site Name],A2345,measured[Date],B2345)),"")</f>
        <v>8796</v>
      </c>
      <c r="D2345" cm="1">
        <f t="array" ref="D2345">IFERROR(IF(SUMPRODUCT((expected_production[Site Name]=A2345)*(expected_production[Date]=B2345)*ISNUMBER(expected_production[Expected Production (kWh)]))=0,"",SUMIFS(expected_production[Expected Production (kWh)],expected_production[Site Name],A2345,expected_production[Date],B2345)),"")</f>
        <v>13176.87</v>
      </c>
      <c r="E2345" s="9">
        <f t="shared" si="74"/>
        <v>0.66753333682429894</v>
      </c>
      <c r="F2345" t="str">
        <f t="shared" si="75"/>
        <v>Poor</v>
      </c>
    </row>
    <row r="2346" spans="1:6" ht="15" customHeight="1" x14ac:dyDescent="0.3">
      <c r="A2346" t="s">
        <v>190</v>
      </c>
      <c r="B2346" s="2">
        <v>45413</v>
      </c>
      <c r="C2346" cm="1">
        <f t="array" ref="C2346">IFERROR(IF(SUMPRODUCT((measured[Site Name]=A2346)*(measured[Date]=B2346)*ISNUMBER(measured[Measured Value (kWh)]))=0,"",SUMIFS(measured[Measured Value (kWh)],measured[Site Name],A2346,measured[Date],B2346)),"")</f>
        <v>10039</v>
      </c>
      <c r="D2346" cm="1">
        <f t="array" ref="D2346">IFERROR(IF(SUMPRODUCT((expected_production[Site Name]=A2346)*(expected_production[Date]=B2346)*ISNUMBER(expected_production[Expected Production (kWh)]))=0,"",SUMIFS(expected_production[Expected Production (kWh)],expected_production[Site Name],A2346,expected_production[Date],B2346)),"")</f>
        <v>12813.75</v>
      </c>
      <c r="E2346" s="9">
        <f t="shared" si="74"/>
        <v>0.7834552726563262</v>
      </c>
      <c r="F2346" t="str">
        <f t="shared" si="75"/>
        <v>Moderate</v>
      </c>
    </row>
    <row r="2347" spans="1:6" ht="15" customHeight="1" x14ac:dyDescent="0.3">
      <c r="A2347" t="s">
        <v>190</v>
      </c>
      <c r="B2347" s="2">
        <v>45444</v>
      </c>
      <c r="C2347" cm="1">
        <f t="array" ref="C2347">IFERROR(IF(SUMPRODUCT((measured[Site Name]=A2347)*(measured[Date]=B2347)*ISNUMBER(measured[Measured Value (kWh)]))=0,"",SUMIFS(measured[Measured Value (kWh)],measured[Site Name],A2347,measured[Date],B2347)),"")</f>
        <v>10175</v>
      </c>
      <c r="D2347" cm="1">
        <f t="array" ref="D2347">IFERROR(IF(SUMPRODUCT((expected_production[Site Name]=A2347)*(expected_production[Date]=B2347)*ISNUMBER(expected_production[Expected Production (kWh)]))=0,"",SUMIFS(expected_production[Expected Production (kWh)],expected_production[Site Name],A2347,expected_production[Date],B2347)),"")</f>
        <v>11578.87</v>
      </c>
      <c r="E2347" s="9">
        <f t="shared" si="74"/>
        <v>0.87875587168696079</v>
      </c>
      <c r="F2347" t="str">
        <f t="shared" si="75"/>
        <v>Moderate</v>
      </c>
    </row>
    <row r="2348" spans="1:6" ht="15" customHeight="1" x14ac:dyDescent="0.3">
      <c r="A2348" t="s">
        <v>190</v>
      </c>
      <c r="B2348" s="2">
        <v>45474</v>
      </c>
      <c r="C2348" cm="1">
        <f t="array" ref="C2348">IFERROR(IF(SUMPRODUCT((measured[Site Name]=A2348)*(measured[Date]=B2348)*ISNUMBER(measured[Measured Value (kWh)]))=0,"",SUMIFS(measured[Measured Value (kWh)],measured[Site Name],A2348,measured[Date],B2348)),"")</f>
        <v>10629</v>
      </c>
      <c r="D2348" cm="1">
        <f t="array" ref="D2348">IFERROR(IF(SUMPRODUCT((expected_production[Site Name]=A2348)*(expected_production[Date]=B2348)*ISNUMBER(expected_production[Expected Production (kWh)]))=0,"",SUMIFS(expected_production[Expected Production (kWh)],expected_production[Site Name],A2348,expected_production[Date],B2348)),"")</f>
        <v>12892.545</v>
      </c>
      <c r="E2348" s="9">
        <f t="shared" si="74"/>
        <v>0.82442993218173755</v>
      </c>
      <c r="F2348" t="str">
        <f t="shared" si="75"/>
        <v>Moderate</v>
      </c>
    </row>
    <row r="2349" spans="1:6" ht="15" customHeight="1" x14ac:dyDescent="0.3">
      <c r="A2349" t="s">
        <v>190</v>
      </c>
      <c r="B2349" s="2">
        <v>45505</v>
      </c>
      <c r="C2349" cm="1">
        <f t="array" ref="C2349">IFERROR(IF(SUMPRODUCT((measured[Site Name]=A2349)*(measured[Date]=B2349)*ISNUMBER(measured[Measured Value (kWh)]))=0,"",SUMIFS(measured[Measured Value (kWh)],measured[Site Name],A2349,measured[Date],B2349)),"")</f>
        <v>10264</v>
      </c>
      <c r="D2349" cm="1">
        <f t="array" ref="D2349">IFERROR(IF(SUMPRODUCT((expected_production[Site Name]=A2349)*(expected_production[Date]=B2349)*ISNUMBER(expected_production[Expected Production (kWh)]))=0,"",SUMIFS(expected_production[Expected Production (kWh)],expected_production[Site Name],A2349,expected_production[Date],B2349)),"")</f>
        <v>14836.92</v>
      </c>
      <c r="E2349" s="9">
        <f t="shared" si="74"/>
        <v>0.69178778344831682</v>
      </c>
      <c r="F2349" t="str">
        <f t="shared" si="75"/>
        <v>Poor</v>
      </c>
    </row>
    <row r="2350" spans="1:6" ht="15" customHeight="1" x14ac:dyDescent="0.3">
      <c r="A2350" t="s">
        <v>190</v>
      </c>
      <c r="B2350" s="2">
        <v>45536</v>
      </c>
      <c r="C2350" cm="1">
        <f t="array" ref="C2350">IFERROR(IF(SUMPRODUCT((measured[Site Name]=A2350)*(measured[Date]=B2350)*ISNUMBER(measured[Measured Value (kWh)]))=0,"",SUMIFS(measured[Measured Value (kWh)],measured[Site Name],A2350,measured[Date],B2350)),"")</f>
        <v>9192</v>
      </c>
      <c r="D2350" cm="1">
        <f t="array" ref="D2350">IFERROR(IF(SUMPRODUCT((expected_production[Site Name]=A2350)*(expected_production[Date]=B2350)*ISNUMBER(expected_production[Expected Production (kWh)]))=0,"",SUMIFS(expected_production[Expected Production (kWh)],expected_production[Site Name],A2350,expected_production[Date],B2350)),"")</f>
        <v>15996.15</v>
      </c>
      <c r="E2350" s="9">
        <f t="shared" si="74"/>
        <v>0.57463827233428044</v>
      </c>
      <c r="F2350" t="str">
        <f t="shared" si="75"/>
        <v>Poor</v>
      </c>
    </row>
    <row r="2351" spans="1:6" ht="15" customHeight="1" x14ac:dyDescent="0.3">
      <c r="A2351" t="s">
        <v>190</v>
      </c>
      <c r="B2351" s="2">
        <v>45566</v>
      </c>
      <c r="C2351" cm="1">
        <f t="array" ref="C2351">IFERROR(IF(SUMPRODUCT((measured[Site Name]=A2351)*(measured[Date]=B2351)*ISNUMBER(measured[Measured Value (kWh)]))=0,"",SUMIFS(measured[Measured Value (kWh)],measured[Site Name],A2351,measured[Date],B2351)),"")</f>
        <v>10175</v>
      </c>
      <c r="D2351" cm="1">
        <f t="array" ref="D2351">IFERROR(IF(SUMPRODUCT((expected_production[Site Name]=A2351)*(expected_production[Date]=B2351)*ISNUMBER(expected_production[Expected Production (kWh)]))=0,"",SUMIFS(expected_production[Expected Production (kWh)],expected_production[Site Name],A2351,expected_production[Date],B2351)),"")</f>
        <v>16796.169999999998</v>
      </c>
      <c r="E2351" s="9">
        <f t="shared" si="74"/>
        <v>0.60579286825508438</v>
      </c>
      <c r="F2351" t="str">
        <f t="shared" si="75"/>
        <v>Poor</v>
      </c>
    </row>
    <row r="2352" spans="1:6" ht="15" customHeight="1" x14ac:dyDescent="0.3">
      <c r="A2352" t="s">
        <v>190</v>
      </c>
      <c r="B2352" s="2">
        <v>45597</v>
      </c>
      <c r="C2352" cm="1">
        <f t="array" ref="C2352">IFERROR(IF(SUMPRODUCT((measured[Site Name]=A2352)*(measured[Date]=B2352)*ISNUMBER(measured[Measured Value (kWh)]))=0,"",SUMIFS(measured[Measured Value (kWh)],measured[Site Name],A2352,measured[Date],B2352)),"")</f>
        <v>9431</v>
      </c>
      <c r="D2352" cm="1">
        <f t="array" ref="D2352">IFERROR(IF(SUMPRODUCT((expected_production[Site Name]=A2352)*(expected_production[Date]=B2352)*ISNUMBER(expected_production[Expected Production (kWh)]))=0,"",SUMIFS(expected_production[Expected Production (kWh)],expected_production[Site Name],A2352,expected_production[Date],B2352)),"")</f>
        <v>16463.224999999999</v>
      </c>
      <c r="E2352" s="9">
        <f t="shared" si="74"/>
        <v>0.572852524338336</v>
      </c>
      <c r="F2352" t="str">
        <f t="shared" si="75"/>
        <v>Poor</v>
      </c>
    </row>
    <row r="2353" spans="1:6" ht="15" customHeight="1" x14ac:dyDescent="0.3">
      <c r="A2353" t="s">
        <v>190</v>
      </c>
      <c r="B2353" s="2">
        <v>45627</v>
      </c>
      <c r="C2353" cm="1">
        <f t="array" ref="C2353">IFERROR(IF(SUMPRODUCT((measured[Site Name]=A2353)*(measured[Date]=B2353)*ISNUMBER(measured[Measured Value (kWh)]))=0,"",SUMIFS(measured[Measured Value (kWh)],measured[Site Name],A2353,measured[Date],B2353)),"")</f>
        <v>9104</v>
      </c>
      <c r="D2353" cm="1">
        <f t="array" ref="D2353">IFERROR(IF(SUMPRODUCT((expected_production[Site Name]=A2353)*(expected_production[Date]=B2353)*ISNUMBER(expected_production[Expected Production (kWh)]))=0,"",SUMIFS(expected_production[Expected Production (kWh)],expected_production[Site Name],A2353,expected_production[Date],B2353)),"")</f>
        <v>17398.904999999999</v>
      </c>
      <c r="E2353" s="9">
        <f t="shared" si="74"/>
        <v>0.52325131955143156</v>
      </c>
      <c r="F2353" t="str">
        <f t="shared" si="75"/>
        <v>Poor</v>
      </c>
    </row>
    <row r="2354" spans="1:6" ht="15" customHeight="1" x14ac:dyDescent="0.3">
      <c r="A2354" t="s">
        <v>190</v>
      </c>
      <c r="B2354" s="2">
        <v>45658</v>
      </c>
      <c r="C2354" cm="1">
        <f t="array" ref="C2354">IFERROR(IF(SUMPRODUCT((measured[Site Name]=A2354)*(measured[Date]=B2354)*ISNUMBER(measured[Measured Value (kWh)]))=0,"",SUMIFS(measured[Measured Value (kWh)],measured[Site Name],A2354,measured[Date],B2354)),"")</f>
        <v>5093</v>
      </c>
      <c r="D2354" cm="1">
        <f t="array" ref="D2354">IFERROR(IF(SUMPRODUCT((expected_production[Site Name]=A2354)*(expected_production[Date]=B2354)*ISNUMBER(expected_production[Expected Production (kWh)]))=0,"",SUMIFS(expected_production[Expected Production (kWh)],expected_production[Site Name],A2354,expected_production[Date],B2354)),"")</f>
        <v>16638.665000000001</v>
      </c>
      <c r="E2354" s="9">
        <f t="shared" si="74"/>
        <v>0.30609426898131548</v>
      </c>
      <c r="F2354" t="str">
        <f t="shared" si="75"/>
        <v>Poor</v>
      </c>
    </row>
    <row r="2355" spans="1:6" ht="15" customHeight="1" x14ac:dyDescent="0.3">
      <c r="A2355" t="s">
        <v>190</v>
      </c>
      <c r="B2355" s="2">
        <v>45689</v>
      </c>
      <c r="C2355" cm="1">
        <f t="array" ref="C2355">IFERROR(IF(SUMPRODUCT((measured[Site Name]=A2355)*(measured[Date]=B2355)*ISNUMBER(measured[Measured Value (kWh)]))=0,"",SUMIFS(measured[Measured Value (kWh)],measured[Site Name],A2355,measured[Date],B2355)),"")</f>
        <v>7532</v>
      </c>
      <c r="D2355" cm="1">
        <f t="array" ref="D2355">IFERROR(IF(SUMPRODUCT((expected_production[Site Name]=A2355)*(expected_production[Date]=B2355)*ISNUMBER(expected_production[Expected Production (kWh)]))=0,"",SUMIFS(expected_production[Expected Production (kWh)],expected_production[Site Name],A2355,expected_production[Date],B2355)),"")</f>
        <v>14215.06</v>
      </c>
      <c r="E2355" s="9">
        <f t="shared" si="74"/>
        <v>0.52986058447871487</v>
      </c>
      <c r="F2355" t="str">
        <f t="shared" si="75"/>
        <v>Poor</v>
      </c>
    </row>
    <row r="2356" spans="1:6" ht="15" customHeight="1" x14ac:dyDescent="0.3">
      <c r="A2356" t="s">
        <v>190</v>
      </c>
      <c r="B2356" s="2">
        <v>45717</v>
      </c>
      <c r="C2356" cm="1">
        <f t="array" ref="C2356">IFERROR(IF(SUMPRODUCT((measured[Site Name]=A2356)*(measured[Date]=B2356)*ISNUMBER(measured[Measured Value (kWh)]))=0,"",SUMIFS(measured[Measured Value (kWh)],measured[Site Name],A2356,measured[Date],B2356)),"")</f>
        <v>7375</v>
      </c>
      <c r="D2356" cm="1">
        <f t="array" ref="D2356">IFERROR(IF(SUMPRODUCT((expected_production[Site Name]=A2356)*(expected_production[Date]=B2356)*ISNUMBER(expected_production[Expected Production (kWh)]))=0,"",SUMIFS(expected_production[Expected Production (kWh)],expected_production[Site Name],A2356,expected_production[Date],B2356)),"")</f>
        <v>15137.31</v>
      </c>
      <c r="E2356" s="9">
        <f t="shared" si="74"/>
        <v>0.48720677584062161</v>
      </c>
      <c r="F2356" t="str">
        <f t="shared" si="75"/>
        <v>Poor</v>
      </c>
    </row>
    <row r="2357" spans="1:6" ht="15" customHeight="1" x14ac:dyDescent="0.3">
      <c r="A2357" t="s">
        <v>190</v>
      </c>
      <c r="B2357" s="2">
        <v>45748</v>
      </c>
      <c r="C2357" cm="1">
        <f t="array" ref="C2357">IFERROR(IF(SUMPRODUCT((measured[Site Name]=A2357)*(measured[Date]=B2357)*ISNUMBER(measured[Measured Value (kWh)]))=0,"",SUMIFS(measured[Measured Value (kWh)],measured[Site Name],A2357,measured[Date],B2357)),"")</f>
        <v>7602</v>
      </c>
      <c r="D2357" cm="1">
        <f t="array" ref="D2357">IFERROR(IF(SUMPRODUCT((expected_production[Site Name]=A2357)*(expected_production[Date]=B2357)*ISNUMBER(expected_production[Expected Production (kWh)]))=0,"",SUMIFS(expected_production[Expected Production (kWh)],expected_production[Site Name],A2357,expected_production[Date],B2357)),"")</f>
        <v>13176.87</v>
      </c>
      <c r="E2357" s="9">
        <f t="shared" si="74"/>
        <v>0.57692001211213284</v>
      </c>
      <c r="F2357" t="str">
        <f t="shared" si="75"/>
        <v>Poor</v>
      </c>
    </row>
    <row r="2358" spans="1:6" ht="15" customHeight="1" x14ac:dyDescent="0.3">
      <c r="A2358" t="s">
        <v>190</v>
      </c>
      <c r="B2358" s="2">
        <v>45778</v>
      </c>
      <c r="C2358" cm="1">
        <f t="array" ref="C2358">IFERROR(IF(SUMPRODUCT((measured[Site Name]=A2358)*(measured[Date]=B2358)*ISNUMBER(measured[Measured Value (kWh)]))=0,"",SUMIFS(measured[Measured Value (kWh)],measured[Site Name],A2358,measured[Date],B2358)),"")</f>
        <v>10378</v>
      </c>
      <c r="D2358" cm="1">
        <f t="array" ref="D2358">IFERROR(IF(SUMPRODUCT((expected_production[Site Name]=A2358)*(expected_production[Date]=B2358)*ISNUMBER(expected_production[Expected Production (kWh)]))=0,"",SUMIFS(expected_production[Expected Production (kWh)],expected_production[Site Name],A2358,expected_production[Date],B2358)),"")</f>
        <v>12813.75</v>
      </c>
      <c r="E2358" s="9">
        <f t="shared" si="74"/>
        <v>0.80991122817286121</v>
      </c>
      <c r="F2358" t="str">
        <f t="shared" si="75"/>
        <v>Moderate</v>
      </c>
    </row>
    <row r="2359" spans="1:6" ht="15" customHeight="1" x14ac:dyDescent="0.3">
      <c r="A2359" t="s">
        <v>190</v>
      </c>
      <c r="B2359" s="2">
        <v>45809</v>
      </c>
      <c r="C2359" cm="1">
        <f t="array" ref="C2359">IFERROR(IF(SUMPRODUCT((measured[Site Name]=A2359)*(measured[Date]=B2359)*ISNUMBER(measured[Measured Value (kWh)]))=0,"",SUMIFS(measured[Measured Value (kWh)],measured[Site Name],A2359,measured[Date],B2359)),"")</f>
        <v>10510.45</v>
      </c>
      <c r="D2359" cm="1">
        <f t="array" ref="D2359">IFERROR(IF(SUMPRODUCT((expected_production[Site Name]=A2359)*(expected_production[Date]=B2359)*ISNUMBER(expected_production[Expected Production (kWh)]))=0,"",SUMIFS(expected_production[Expected Production (kWh)],expected_production[Site Name],A2359,expected_production[Date],B2359)),"")</f>
        <v>11578.87</v>
      </c>
      <c r="E2359" s="9">
        <f t="shared" si="74"/>
        <v>0.90772674708326462</v>
      </c>
      <c r="F2359" t="str">
        <f t="shared" si="75"/>
        <v>Expected</v>
      </c>
    </row>
    <row r="2360" spans="1:6" ht="15" customHeight="1" x14ac:dyDescent="0.3">
      <c r="A2360" t="s">
        <v>190</v>
      </c>
      <c r="B2360" s="2">
        <v>45839</v>
      </c>
      <c r="C2360" cm="1">
        <f t="array" ref="C2360">IFERROR(IF(SUMPRODUCT((measured[Site Name]=A2360)*(measured[Date]=B2360)*ISNUMBER(measured[Measured Value (kWh)]))=0,"",SUMIFS(measured[Measured Value (kWh)],measured[Site Name],A2360,measured[Date],B2360)),"")</f>
        <v>9750</v>
      </c>
      <c r="D2360" cm="1">
        <f t="array" ref="D2360">IFERROR(IF(SUMPRODUCT((expected_production[Site Name]=A2360)*(expected_production[Date]=B2360)*ISNUMBER(expected_production[Expected Production (kWh)]))=0,"",SUMIFS(expected_production[Expected Production (kWh)],expected_production[Site Name],A2360,expected_production[Date],B2360)),"")</f>
        <v>12892.545</v>
      </c>
      <c r="E2360" s="9">
        <f t="shared" si="74"/>
        <v>0.7562509962152546</v>
      </c>
      <c r="F2360" t="str">
        <f t="shared" si="75"/>
        <v>Moderate</v>
      </c>
    </row>
    <row r="2361" spans="1:6" ht="15" customHeight="1" x14ac:dyDescent="0.3">
      <c r="A2361" t="s">
        <v>190</v>
      </c>
      <c r="B2361" s="2">
        <v>45870</v>
      </c>
      <c r="C2361" cm="1">
        <f t="array" ref="C2361">IFERROR(IF(SUMPRODUCT((measured[Site Name]=A2361)*(measured[Date]=B2361)*ISNUMBER(measured[Measured Value (kWh)]))=0,"",SUMIFS(measured[Measured Value (kWh)],measured[Site Name],A2361,measured[Date],B2361)),"")</f>
        <v>10081</v>
      </c>
      <c r="D2361" cm="1">
        <f t="array" ref="D2361">IFERROR(IF(SUMPRODUCT((expected_production[Site Name]=A2361)*(expected_production[Date]=B2361)*ISNUMBER(expected_production[Expected Production (kWh)]))=0,"",SUMIFS(expected_production[Expected Production (kWh)],expected_production[Site Name],A2361,expected_production[Date],B2361)),"")</f>
        <v>14836.92</v>
      </c>
      <c r="E2361" s="9">
        <f t="shared" si="74"/>
        <v>0.67945368715339838</v>
      </c>
      <c r="F2361" t="str">
        <f t="shared" si="75"/>
        <v>Poor</v>
      </c>
    </row>
    <row r="2362" spans="1:6" ht="15" customHeight="1" x14ac:dyDescent="0.3">
      <c r="A2362" t="s">
        <v>190</v>
      </c>
      <c r="B2362" s="2">
        <v>45901</v>
      </c>
      <c r="C2362" cm="1">
        <f t="array" ref="C2362">IFERROR(IF(SUMPRODUCT((measured[Site Name]=A2362)*(measured[Date]=B2362)*ISNUMBER(measured[Measured Value (kWh)]))=0,"",SUMIFS(measured[Measured Value (kWh)],measured[Site Name],A2362,measured[Date],B2362)),"")</f>
        <v>11225</v>
      </c>
      <c r="D2362" cm="1">
        <f t="array" ref="D2362">IFERROR(IF(SUMPRODUCT((expected_production[Site Name]=A2362)*(expected_production[Date]=B2362)*ISNUMBER(expected_production[Expected Production (kWh)]))=0,"",SUMIFS(expected_production[Expected Production (kWh)],expected_production[Site Name],A2362,expected_production[Date],B2362)),"")</f>
        <v>15996.15</v>
      </c>
      <c r="E2362" s="9">
        <f t="shared" si="74"/>
        <v>0.70173135410708198</v>
      </c>
      <c r="F2362" t="str">
        <f t="shared" si="75"/>
        <v>Moderate</v>
      </c>
    </row>
    <row r="2363" spans="1:6" ht="15" customHeight="1" x14ac:dyDescent="0.3">
      <c r="A2363" t="s">
        <v>190</v>
      </c>
      <c r="B2363" s="2">
        <v>45931</v>
      </c>
      <c r="C2363" cm="1">
        <f t="array" ref="C2363">IFERROR(IF(SUMPRODUCT((measured[Site Name]=A2363)*(measured[Date]=B2363)*ISNUMBER(measured[Measured Value (kWh)]))=0,"",SUMIFS(measured[Measured Value (kWh)],measured[Site Name],A2363,measured[Date],B2363)),"")</f>
        <v>9885</v>
      </c>
      <c r="D2363" cm="1">
        <f t="array" ref="D2363">IFERROR(IF(SUMPRODUCT((expected_production[Site Name]=A2363)*(expected_production[Date]=B2363)*ISNUMBER(expected_production[Expected Production (kWh)]))=0,"",SUMIFS(expected_production[Expected Production (kWh)],expected_production[Site Name],A2363,expected_production[Date],B2363)),"")</f>
        <v>16796.169999999998</v>
      </c>
      <c r="E2363" s="9">
        <f t="shared" si="74"/>
        <v>0.58852702729253159</v>
      </c>
      <c r="F2363" t="str">
        <f t="shared" si="75"/>
        <v>Poor</v>
      </c>
    </row>
    <row r="2364" spans="1:6" ht="15" customHeight="1" x14ac:dyDescent="0.3">
      <c r="A2364" t="s">
        <v>190</v>
      </c>
      <c r="B2364" s="2">
        <v>45962</v>
      </c>
      <c r="C2364" cm="1">
        <f t="array" ref="C2364">IFERROR(IF(SUMPRODUCT((measured[Site Name]=A2364)*(measured[Date]=B2364)*ISNUMBER(measured[Measured Value (kWh)]))=0,"",SUMIFS(measured[Measured Value (kWh)],measured[Site Name],A2364,measured[Date],B2364)),"")</f>
        <v>8679</v>
      </c>
      <c r="D2364" cm="1">
        <f t="array" ref="D2364">IFERROR(IF(SUMPRODUCT((expected_production[Site Name]=A2364)*(expected_production[Date]=B2364)*ISNUMBER(expected_production[Expected Production (kWh)]))=0,"",SUMIFS(expected_production[Expected Production (kWh)],expected_production[Site Name],A2364,expected_production[Date],B2364)),"")</f>
        <v>16463.224999999999</v>
      </c>
      <c r="E2364" s="9">
        <f t="shared" ref="E2364:E2427" si="76">IF(OR(C2364="",D2364="",D2364=0),"",C2364/D2364)</f>
        <v>0.52717496116344165</v>
      </c>
      <c r="F2364" t="str">
        <f t="shared" ref="F2364:F2427" si="77">IF(E2364="","",IF(E2364&gt;=0.9,"Expected",IF(E2364&gt;=0.7,"Moderate","Poor")))</f>
        <v>Poor</v>
      </c>
    </row>
    <row r="2365" spans="1:6" ht="15" customHeight="1" x14ac:dyDescent="0.3">
      <c r="A2365" t="s">
        <v>190</v>
      </c>
      <c r="B2365" s="2">
        <v>45992</v>
      </c>
      <c r="C2365" cm="1">
        <f t="array" ref="C2365">IFERROR(IF(SUMPRODUCT((measured[Site Name]=A2365)*(measured[Date]=B2365)*ISNUMBER(measured[Measured Value (kWh)]))=0,"",SUMIFS(measured[Measured Value (kWh)],measured[Site Name],A2365,measured[Date],B2365)),"")</f>
        <v>9967</v>
      </c>
      <c r="D2365" cm="1">
        <f t="array" ref="D2365">IFERROR(IF(SUMPRODUCT((expected_production[Site Name]=A2365)*(expected_production[Date]=B2365)*ISNUMBER(expected_production[Expected Production (kWh)]))=0,"",SUMIFS(expected_production[Expected Production (kWh)],expected_production[Site Name],A2365,expected_production[Date],B2365)),"")</f>
        <v>17398.904999999999</v>
      </c>
      <c r="E2365" s="9">
        <f t="shared" si="76"/>
        <v>0.57285214213193303</v>
      </c>
      <c r="F2365" t="str">
        <f t="shared" si="77"/>
        <v>Poor</v>
      </c>
    </row>
    <row r="2366" spans="1:6" ht="15" customHeight="1" x14ac:dyDescent="0.3">
      <c r="A2366" t="s">
        <v>190</v>
      </c>
      <c r="B2366" s="2">
        <v>46023</v>
      </c>
      <c r="C2366" cm="1">
        <f t="array" ref="C2366">IFERROR(IF(SUMPRODUCT((measured[Site Name]=A2366)*(measured[Date]=B2366)*ISNUMBER(measured[Measured Value (kWh)]))=0,"",SUMIFS(measured[Measured Value (kWh)],measured[Site Name],A2366,measured[Date],B2366)),"")</f>
        <v>9751</v>
      </c>
      <c r="D2366" cm="1">
        <f t="array" ref="D2366">IFERROR(IF(SUMPRODUCT((expected_production[Site Name]=A2366)*(expected_production[Date]=B2366)*ISNUMBER(expected_production[Expected Production (kWh)]))=0,"",SUMIFS(expected_production[Expected Production (kWh)],expected_production[Site Name],A2366,expected_production[Date],B2366)),"")</f>
        <v>16638.665000000001</v>
      </c>
      <c r="E2366" s="9">
        <f t="shared" si="76"/>
        <v>0.58604461355523407</v>
      </c>
      <c r="F2366" t="str">
        <f t="shared" si="77"/>
        <v>Poor</v>
      </c>
    </row>
    <row r="2367" spans="1:6" ht="15" customHeight="1" x14ac:dyDescent="0.3">
      <c r="A2367" t="s">
        <v>190</v>
      </c>
      <c r="B2367" s="2">
        <v>46054</v>
      </c>
      <c r="C2367" cm="1">
        <f t="array" ref="C2367">IFERROR(IF(SUMPRODUCT((measured[Site Name]=A2367)*(measured[Date]=B2367)*ISNUMBER(measured[Measured Value (kWh)]))=0,"",SUMIFS(measured[Measured Value (kWh)],measured[Site Name],A2367,measured[Date],B2367)),"")</f>
        <v>8451</v>
      </c>
      <c r="D2367" cm="1">
        <f t="array" ref="D2367">IFERROR(IF(SUMPRODUCT((expected_production[Site Name]=A2367)*(expected_production[Date]=B2367)*ISNUMBER(expected_production[Expected Production (kWh)]))=0,"",SUMIFS(expected_production[Expected Production (kWh)],expected_production[Site Name],A2367,expected_production[Date],B2367)),"")</f>
        <v>14215.06</v>
      </c>
      <c r="E2367" s="9">
        <f t="shared" si="76"/>
        <v>0.59451032918608859</v>
      </c>
      <c r="F2367" t="str">
        <f t="shared" si="77"/>
        <v>Poor</v>
      </c>
    </row>
    <row r="2368" spans="1:6" ht="15" customHeight="1" x14ac:dyDescent="0.3">
      <c r="A2368" t="s">
        <v>190</v>
      </c>
      <c r="B2368" s="2">
        <v>46082</v>
      </c>
      <c r="C2368" cm="1">
        <f t="array" ref="C2368">IFERROR(IF(SUMPRODUCT((measured[Site Name]=A2368)*(measured[Date]=B2368)*ISNUMBER(measured[Measured Value (kWh)]))=0,"",SUMIFS(measured[Measured Value (kWh)],measured[Site Name],A2368,measured[Date],B2368)),"")</f>
        <v>8559</v>
      </c>
      <c r="D2368" cm="1">
        <f t="array" ref="D2368">IFERROR(IF(SUMPRODUCT((expected_production[Site Name]=A2368)*(expected_production[Date]=B2368)*ISNUMBER(expected_production[Expected Production (kWh)]))=0,"",SUMIFS(expected_production[Expected Production (kWh)],expected_production[Site Name],A2368,expected_production[Date],B2368)),"")</f>
        <v>15137.31</v>
      </c>
      <c r="E2368" s="9">
        <f t="shared" si="76"/>
        <v>0.56542410771794993</v>
      </c>
      <c r="F2368" t="str">
        <f t="shared" si="77"/>
        <v>Poor</v>
      </c>
    </row>
    <row r="2369" spans="1:7" ht="15" customHeight="1" x14ac:dyDescent="0.3">
      <c r="A2369" t="s">
        <v>190</v>
      </c>
      <c r="B2369" s="2">
        <v>46113</v>
      </c>
      <c r="C2369" cm="1">
        <f t="array" ref="C2369">IFERROR(IF(SUMPRODUCT((measured[Site Name]=A2369)*(measured[Date]=B2369)*ISNUMBER(measured[Measured Value (kWh)]))=0,"",SUMIFS(measured[Measured Value (kWh)],measured[Site Name],A2369,measured[Date],B2369)),"")</f>
        <v>7937.13</v>
      </c>
      <c r="D2369" cm="1">
        <f t="array" ref="D2369">IFERROR(IF(SUMPRODUCT((expected_production[Site Name]=A2369)*(expected_production[Date]=B2369)*ISNUMBER(expected_production[Expected Production (kWh)]))=0,"",SUMIFS(expected_production[Expected Production (kWh)],expected_production[Site Name],A2369,expected_production[Date],B2369)),"")</f>
        <v>13176.87</v>
      </c>
      <c r="E2369" s="9">
        <f t="shared" si="76"/>
        <v>0.60235321438247469</v>
      </c>
      <c r="F2369" t="str">
        <f t="shared" si="77"/>
        <v>Poor</v>
      </c>
    </row>
    <row r="2370" spans="1:7" ht="15" customHeight="1" x14ac:dyDescent="0.3">
      <c r="A2370" t="s">
        <v>190</v>
      </c>
      <c r="B2370" s="2">
        <v>46143</v>
      </c>
      <c r="C2370" cm="1">
        <f t="array" ref="C2370">IFERROR(IF(SUMPRODUCT((measured[Site Name]=A2370)*(measured[Date]=B2370)*ISNUMBER(measured[Measured Value (kWh)]))=0,"",SUMIFS(measured[Measured Value (kWh)],measured[Site Name],A2370,measured[Date],B2370)),"")</f>
        <v>10005.799999999999</v>
      </c>
      <c r="D2370" cm="1">
        <f t="array" ref="D2370">IFERROR(IF(SUMPRODUCT((expected_production[Site Name]=A2370)*(expected_production[Date]=B2370)*ISNUMBER(expected_production[Expected Production (kWh)]))=0,"",SUMIFS(expected_production[Expected Production (kWh)],expected_production[Site Name],A2370,expected_production[Date],B2370)),"")</f>
        <v>12813.75</v>
      </c>
      <c r="E2370" s="9">
        <f t="shared" si="76"/>
        <v>0.78086430592137346</v>
      </c>
      <c r="F2370" t="str">
        <f t="shared" si="77"/>
        <v>Moderate</v>
      </c>
    </row>
    <row r="2371" spans="1:7" ht="15" customHeight="1" x14ac:dyDescent="0.3">
      <c r="A2371" t="s">
        <v>190</v>
      </c>
      <c r="B2371" s="2">
        <v>46174</v>
      </c>
      <c r="C2371" cm="1">
        <f t="array" ref="C2371">IFERROR(IF(SUMPRODUCT((measured[Site Name]=A2371)*(measured[Date]=B2371)*ISNUMBER(measured[Measured Value (kWh)]))=0,"",SUMIFS(measured[Measured Value (kWh)],measured[Site Name],A2371,measured[Date],B2371)),"")</f>
        <v>9053</v>
      </c>
      <c r="D2371" cm="1">
        <f t="array" ref="D2371">IFERROR(IF(SUMPRODUCT((expected_production[Site Name]=A2371)*(expected_production[Date]=B2371)*ISNUMBER(expected_production[Expected Production (kWh)]))=0,"",SUMIFS(expected_production[Expected Production (kWh)],expected_production[Site Name],A2371,expected_production[Date],B2371)),"")</f>
        <v>11578.87</v>
      </c>
      <c r="E2371" s="9">
        <f t="shared" si="76"/>
        <v>0.78185522421445264</v>
      </c>
      <c r="F2371" t="str">
        <f t="shared" si="77"/>
        <v>Moderate</v>
      </c>
    </row>
    <row r="2372" spans="1:7" ht="15" customHeight="1" x14ac:dyDescent="0.3">
      <c r="A2372" t="s">
        <v>190</v>
      </c>
      <c r="B2372" s="2">
        <v>46204</v>
      </c>
      <c r="C2372" cm="1">
        <f t="array" ref="C2372">IFERROR(IF(SUMPRODUCT((measured[Site Name]=A2372)*(measured[Date]=B2372)*ISNUMBER(measured[Measured Value (kWh)]))=0,"",SUMIFS(measured[Measured Value (kWh)],measured[Site Name],A2372,measured[Date],B2372)),"")</f>
        <v>9713.4699999999993</v>
      </c>
      <c r="D2372" cm="1">
        <f t="array" ref="D2372">IFERROR(IF(SUMPRODUCT((expected_production[Site Name]=A2372)*(expected_production[Date]=B2372)*ISNUMBER(expected_production[Expected Production (kWh)]))=0,"",SUMIFS(expected_production[Expected Production (kWh)],expected_production[Site Name],A2372,expected_production[Date],B2372)),"")</f>
        <v>12892.545</v>
      </c>
      <c r="E2372" s="9">
        <f t="shared" si="76"/>
        <v>0.75341757581610147</v>
      </c>
      <c r="F2372" t="str">
        <f t="shared" si="77"/>
        <v>Moderate</v>
      </c>
      <c r="G2372" t="s">
        <v>874</v>
      </c>
    </row>
    <row r="2373" spans="1:7" ht="15" customHeight="1" x14ac:dyDescent="0.3">
      <c r="A2373" t="s">
        <v>190</v>
      </c>
      <c r="B2373" s="2">
        <v>46235</v>
      </c>
      <c r="C2373" t="str" cm="1">
        <f t="array" ref="C2373">IFERROR(IF(SUMPRODUCT((measured[Site Name]=A2373)*(measured[Date]=B2373)*ISNUMBER(measured[Measured Value (kWh)]))=0,"",SUMIFS(measured[Measured Value (kWh)],measured[Site Name],A2373,measured[Date],B2373)),"")</f>
        <v/>
      </c>
      <c r="D2373" cm="1">
        <f t="array" ref="D2373">IFERROR(IF(SUMPRODUCT((expected_production[Site Name]=A2373)*(expected_production[Date]=B2373)*ISNUMBER(expected_production[Expected Production (kWh)]))=0,"",SUMIFS(expected_production[Expected Production (kWh)],expected_production[Site Name],A2373,expected_production[Date],B2373)),"")</f>
        <v>14836.92</v>
      </c>
      <c r="E2373" s="9" t="str">
        <f t="shared" si="76"/>
        <v/>
      </c>
      <c r="F2373" t="str">
        <f t="shared" si="77"/>
        <v/>
      </c>
    </row>
    <row r="2374" spans="1:7" ht="15" customHeight="1" x14ac:dyDescent="0.3">
      <c r="A2374" t="s">
        <v>190</v>
      </c>
      <c r="B2374" s="2">
        <v>46266</v>
      </c>
      <c r="C2374" t="str" cm="1">
        <f t="array" ref="C2374">IFERROR(IF(SUMPRODUCT((measured[Site Name]=A2374)*(measured[Date]=B2374)*ISNUMBER(measured[Measured Value (kWh)]))=0,"",SUMIFS(measured[Measured Value (kWh)],measured[Site Name],A2374,measured[Date],B2374)),"")</f>
        <v/>
      </c>
      <c r="D2374" cm="1">
        <f t="array" ref="D2374">IFERROR(IF(SUMPRODUCT((expected_production[Site Name]=A2374)*(expected_production[Date]=B2374)*ISNUMBER(expected_production[Expected Production (kWh)]))=0,"",SUMIFS(expected_production[Expected Production (kWh)],expected_production[Site Name],A2374,expected_production[Date],B2374)),"")</f>
        <v>15996.15</v>
      </c>
      <c r="E2374" s="9" t="str">
        <f t="shared" si="76"/>
        <v/>
      </c>
      <c r="F2374" t="str">
        <f t="shared" si="77"/>
        <v/>
      </c>
    </row>
    <row r="2375" spans="1:7" ht="15" customHeight="1" x14ac:dyDescent="0.3">
      <c r="A2375" t="s">
        <v>190</v>
      </c>
      <c r="B2375" s="2">
        <v>46296</v>
      </c>
      <c r="C2375" t="str" cm="1">
        <f t="array" ref="C2375">IFERROR(IF(SUMPRODUCT((measured[Site Name]=A2375)*(measured[Date]=B2375)*ISNUMBER(measured[Measured Value (kWh)]))=0,"",SUMIFS(measured[Measured Value (kWh)],measured[Site Name],A2375,measured[Date],B2375)),"")</f>
        <v/>
      </c>
      <c r="D2375" cm="1">
        <f t="array" ref="D2375">IFERROR(IF(SUMPRODUCT((expected_production[Site Name]=A2375)*(expected_production[Date]=B2375)*ISNUMBER(expected_production[Expected Production (kWh)]))=0,"",SUMIFS(expected_production[Expected Production (kWh)],expected_production[Site Name],A2375,expected_production[Date],B2375)),"")</f>
        <v>16796.169999999998</v>
      </c>
      <c r="E2375" s="9" t="str">
        <f t="shared" si="76"/>
        <v/>
      </c>
      <c r="F2375" t="str">
        <f t="shared" si="77"/>
        <v/>
      </c>
    </row>
    <row r="2376" spans="1:7" ht="15" customHeight="1" x14ac:dyDescent="0.3">
      <c r="A2376" t="s">
        <v>190</v>
      </c>
      <c r="B2376" s="2">
        <v>46327</v>
      </c>
      <c r="C2376" t="str" cm="1">
        <f t="array" ref="C2376">IFERROR(IF(SUMPRODUCT((measured[Site Name]=A2376)*(measured[Date]=B2376)*ISNUMBER(measured[Measured Value (kWh)]))=0,"",SUMIFS(measured[Measured Value (kWh)],measured[Site Name],A2376,measured[Date],B2376)),"")</f>
        <v/>
      </c>
      <c r="D2376" cm="1">
        <f t="array" ref="D2376">IFERROR(IF(SUMPRODUCT((expected_production[Site Name]=A2376)*(expected_production[Date]=B2376)*ISNUMBER(expected_production[Expected Production (kWh)]))=0,"",SUMIFS(expected_production[Expected Production (kWh)],expected_production[Site Name],A2376,expected_production[Date],B2376)),"")</f>
        <v>16463.224999999999</v>
      </c>
      <c r="E2376" s="9" t="str">
        <f t="shared" si="76"/>
        <v/>
      </c>
      <c r="F2376" t="str">
        <f t="shared" si="77"/>
        <v/>
      </c>
    </row>
    <row r="2377" spans="1:7" ht="15" customHeight="1" x14ac:dyDescent="0.3">
      <c r="A2377" t="s">
        <v>190</v>
      </c>
      <c r="B2377" s="2">
        <v>46357</v>
      </c>
      <c r="C2377" t="str" cm="1">
        <f t="array" ref="C2377">IFERROR(IF(SUMPRODUCT((measured[Site Name]=A2377)*(measured[Date]=B2377)*ISNUMBER(measured[Measured Value (kWh)]))=0,"",SUMIFS(measured[Measured Value (kWh)],measured[Site Name],A2377,measured[Date],B2377)),"")</f>
        <v/>
      </c>
      <c r="D2377" cm="1">
        <f t="array" ref="D2377">IFERROR(IF(SUMPRODUCT((expected_production[Site Name]=A2377)*(expected_production[Date]=B2377)*ISNUMBER(expected_production[Expected Production (kWh)]))=0,"",SUMIFS(expected_production[Expected Production (kWh)],expected_production[Site Name],A2377,expected_production[Date],B2377)),"")</f>
        <v>17398.904999999999</v>
      </c>
      <c r="E2377" s="9" t="str">
        <f t="shared" si="76"/>
        <v/>
      </c>
      <c r="F2377" t="str">
        <f t="shared" si="77"/>
        <v/>
      </c>
    </row>
    <row r="2378" spans="1:7" ht="15" customHeight="1" x14ac:dyDescent="0.3">
      <c r="A2378" t="s">
        <v>199</v>
      </c>
      <c r="B2378" s="2">
        <v>45292</v>
      </c>
      <c r="C2378" cm="1">
        <f t="array" ref="C2378">IFERROR(IF(SUMPRODUCT((measured[Site Name]=A2378)*(measured[Date]=B2378)*ISNUMBER(measured[Measured Value (kWh)]))=0,"",SUMIFS(measured[Measured Value (kWh)],measured[Site Name],A2378,measured[Date],B2378)),"")</f>
        <v>3404</v>
      </c>
      <c r="D2378" cm="1">
        <f t="array" ref="D2378">IFERROR(IF(SUMPRODUCT((expected_production[Site Name]=A2378)*(expected_production[Date]=B2378)*ISNUMBER(expected_production[Expected Production (kWh)]))=0,"",SUMIFS(expected_production[Expected Production (kWh)],expected_production[Site Name],A2378,expected_production[Date],B2378)),"")</f>
        <v>3784.4250000000002</v>
      </c>
      <c r="E2378" s="9">
        <f t="shared" si="76"/>
        <v>0.89947614234659157</v>
      </c>
      <c r="F2378" t="str">
        <f t="shared" si="77"/>
        <v>Moderate</v>
      </c>
    </row>
    <row r="2379" spans="1:7" ht="15" customHeight="1" x14ac:dyDescent="0.3">
      <c r="A2379" t="s">
        <v>199</v>
      </c>
      <c r="B2379" s="2">
        <v>45323</v>
      </c>
      <c r="C2379" cm="1">
        <f t="array" ref="C2379">IFERROR(IF(SUMPRODUCT((measured[Site Name]=A2379)*(measured[Date]=B2379)*ISNUMBER(measured[Measured Value (kWh)]))=0,"",SUMIFS(measured[Measured Value (kWh)],measured[Site Name],A2379,measured[Date],B2379)),"")</f>
        <v>3408</v>
      </c>
      <c r="D2379" cm="1">
        <f t="array" ref="D2379">IFERROR(IF(SUMPRODUCT((expected_production[Site Name]=A2379)*(expected_production[Date]=B2379)*ISNUMBER(expected_production[Expected Production (kWh)]))=0,"",SUMIFS(expected_production[Expected Production (kWh)],expected_production[Site Name],A2379,expected_production[Date],B2379)),"")</f>
        <v>3270.15</v>
      </c>
      <c r="E2379" s="9">
        <f t="shared" si="76"/>
        <v>1.0421540296316683</v>
      </c>
      <c r="F2379" t="str">
        <f t="shared" si="77"/>
        <v>Expected</v>
      </c>
    </row>
    <row r="2380" spans="1:7" ht="15" customHeight="1" x14ac:dyDescent="0.3">
      <c r="A2380" t="s">
        <v>199</v>
      </c>
      <c r="B2380" s="2">
        <v>45352</v>
      </c>
      <c r="C2380" cm="1">
        <f t="array" ref="C2380">IFERROR(IF(SUMPRODUCT((measured[Site Name]=A2380)*(measured[Date]=B2380)*ISNUMBER(measured[Measured Value (kWh)]))=0,"",SUMIFS(measured[Measured Value (kWh)],measured[Site Name],A2380,measured[Date],B2380)),"")</f>
        <v>3131</v>
      </c>
      <c r="D2380" cm="1">
        <f t="array" ref="D2380">IFERROR(IF(SUMPRODUCT((expected_production[Site Name]=A2380)*(expected_production[Date]=B2380)*ISNUMBER(expected_production[Expected Production (kWh)]))=0,"",SUMIFS(expected_production[Expected Production (kWh)],expected_production[Site Name],A2380,expected_production[Date],B2380)),"")</f>
        <v>3533.3249999999998</v>
      </c>
      <c r="E2380" s="9">
        <f t="shared" si="76"/>
        <v>0.8861341654107675</v>
      </c>
      <c r="F2380" t="str">
        <f t="shared" si="77"/>
        <v>Moderate</v>
      </c>
    </row>
    <row r="2381" spans="1:7" ht="15" customHeight="1" x14ac:dyDescent="0.3">
      <c r="A2381" t="s">
        <v>199</v>
      </c>
      <c r="B2381" s="2">
        <v>45383</v>
      </c>
      <c r="C2381" cm="1">
        <f t="array" ref="C2381">IFERROR(IF(SUMPRODUCT((measured[Site Name]=A2381)*(measured[Date]=B2381)*ISNUMBER(measured[Measured Value (kWh)]))=0,"",SUMIFS(measured[Measured Value (kWh)],measured[Site Name],A2381,measured[Date],B2381)),"")</f>
        <v>2829</v>
      </c>
      <c r="D2381" cm="1">
        <f t="array" ref="D2381">IFERROR(IF(SUMPRODUCT((expected_production[Site Name]=A2381)*(expected_production[Date]=B2381)*ISNUMBER(expected_production[Expected Production (kWh)]))=0,"",SUMIFS(expected_production[Expected Production (kWh)],expected_production[Site Name],A2381,expected_production[Date],B2381)),"")</f>
        <v>3063.0749999999998</v>
      </c>
      <c r="E2381" s="9">
        <f t="shared" si="76"/>
        <v>0.92358169486545394</v>
      </c>
      <c r="F2381" t="str">
        <f t="shared" si="77"/>
        <v>Expected</v>
      </c>
    </row>
    <row r="2382" spans="1:7" ht="15" customHeight="1" x14ac:dyDescent="0.3">
      <c r="A2382" t="s">
        <v>199</v>
      </c>
      <c r="B2382" s="2">
        <v>45413</v>
      </c>
      <c r="C2382" cm="1">
        <f t="array" ref="C2382">IFERROR(IF(SUMPRODUCT((measured[Site Name]=A2382)*(measured[Date]=B2382)*ISNUMBER(measured[Measured Value (kWh)]))=0,"",SUMIFS(measured[Measured Value (kWh)],measured[Site Name],A2382,measured[Date],B2382)),"")</f>
        <v>3129</v>
      </c>
      <c r="D2382" cm="1">
        <f t="array" ref="D2382">IFERROR(IF(SUMPRODUCT((expected_production[Site Name]=A2382)*(expected_production[Date]=B2382)*ISNUMBER(expected_production[Expected Production (kWh)]))=0,"",SUMIFS(expected_production[Expected Production (kWh)],expected_production[Site Name],A2382,expected_production[Date],B2382)),"")</f>
        <v>3093.8249999999998</v>
      </c>
      <c r="E2382" s="9">
        <f t="shared" si="76"/>
        <v>1.0113694213473614</v>
      </c>
      <c r="F2382" t="str">
        <f t="shared" si="77"/>
        <v>Expected</v>
      </c>
    </row>
    <row r="2383" spans="1:7" ht="15" customHeight="1" x14ac:dyDescent="0.3">
      <c r="A2383" t="s">
        <v>199</v>
      </c>
      <c r="B2383" s="2">
        <v>45444</v>
      </c>
      <c r="C2383" cm="1">
        <f t="array" ref="C2383">IFERROR(IF(SUMPRODUCT((measured[Site Name]=A2383)*(measured[Date]=B2383)*ISNUMBER(measured[Measured Value (kWh)]))=0,"",SUMIFS(measured[Measured Value (kWh)],measured[Site Name],A2383,measured[Date],B2383)),"")</f>
        <v>2591</v>
      </c>
      <c r="D2383" cm="1">
        <f t="array" ref="D2383">IFERROR(IF(SUMPRODUCT((expected_production[Site Name]=A2383)*(expected_production[Date]=B2383)*ISNUMBER(expected_production[Expected Production (kWh)]))=0,"",SUMIFS(expected_production[Expected Production (kWh)],expected_production[Site Name],A2383,expected_production[Date],B2383)),"")</f>
        <v>2834.0250000000001</v>
      </c>
      <c r="E2383" s="9">
        <f t="shared" si="76"/>
        <v>0.9142474043101243</v>
      </c>
      <c r="F2383" t="str">
        <f t="shared" si="77"/>
        <v>Expected</v>
      </c>
    </row>
    <row r="2384" spans="1:7" ht="15" customHeight="1" x14ac:dyDescent="0.3">
      <c r="A2384" t="s">
        <v>199</v>
      </c>
      <c r="B2384" s="2">
        <v>45474</v>
      </c>
      <c r="C2384" cm="1">
        <f t="array" ref="C2384">IFERROR(IF(SUMPRODUCT((measured[Site Name]=A2384)*(measured[Date]=B2384)*ISNUMBER(measured[Measured Value (kWh)]))=0,"",SUMIFS(measured[Measured Value (kWh)],measured[Site Name],A2384,measured[Date],B2384)),"")</f>
        <v>3122</v>
      </c>
      <c r="D2384" cm="1">
        <f t="array" ref="D2384">IFERROR(IF(SUMPRODUCT((expected_production[Site Name]=A2384)*(expected_production[Date]=B2384)*ISNUMBER(expected_production[Expected Production (kWh)]))=0,"",SUMIFS(expected_production[Expected Production (kWh)],expected_production[Site Name],A2384,expected_production[Date],B2384)),"")</f>
        <v>3103.35</v>
      </c>
      <c r="E2384" s="9">
        <f t="shared" si="76"/>
        <v>1.0060096347495449</v>
      </c>
      <c r="F2384" t="str">
        <f t="shared" si="77"/>
        <v>Expected</v>
      </c>
    </row>
    <row r="2385" spans="1:6" ht="15" customHeight="1" x14ac:dyDescent="0.3">
      <c r="A2385" t="s">
        <v>199</v>
      </c>
      <c r="B2385" s="2">
        <v>45505</v>
      </c>
      <c r="C2385" cm="1">
        <f t="array" ref="C2385">IFERROR(IF(SUMPRODUCT((measured[Site Name]=A2385)*(measured[Date]=B2385)*ISNUMBER(measured[Measured Value (kWh)]))=0,"",SUMIFS(measured[Measured Value (kWh)],measured[Site Name],A2385,measured[Date],B2385)),"")</f>
        <v>2990</v>
      </c>
      <c r="D2385" cm="1">
        <f t="array" ref="D2385">IFERROR(IF(SUMPRODUCT((expected_production[Site Name]=A2385)*(expected_production[Date]=B2385)*ISNUMBER(expected_production[Expected Production (kWh)]))=0,"",SUMIFS(expected_production[Expected Production (kWh)],expected_production[Site Name],A2385,expected_production[Date],B2385)),"")</f>
        <v>3491.55</v>
      </c>
      <c r="E2385" s="9">
        <f t="shared" si="76"/>
        <v>0.85635319557216705</v>
      </c>
      <c r="F2385" t="str">
        <f t="shared" si="77"/>
        <v>Moderate</v>
      </c>
    </row>
    <row r="2386" spans="1:6" ht="15" customHeight="1" x14ac:dyDescent="0.3">
      <c r="A2386" t="s">
        <v>199</v>
      </c>
      <c r="B2386" s="2">
        <v>45536</v>
      </c>
      <c r="C2386" cm="1">
        <f t="array" ref="C2386">IFERROR(IF(SUMPRODUCT((measured[Site Name]=A2386)*(measured[Date]=B2386)*ISNUMBER(measured[Measured Value (kWh)]))=0,"",SUMIFS(measured[Measured Value (kWh)],measured[Site Name],A2386,measured[Date],B2386)),"")</f>
        <v>2990</v>
      </c>
      <c r="D2386" cm="1">
        <f t="array" ref="D2386">IFERROR(IF(SUMPRODUCT((expected_production[Site Name]=A2386)*(expected_production[Date]=B2386)*ISNUMBER(expected_production[Expected Production (kWh)]))=0,"",SUMIFS(expected_production[Expected Production (kWh)],expected_production[Site Name],A2386,expected_production[Date],B2386)),"")</f>
        <v>3723.45</v>
      </c>
      <c r="E2386" s="9">
        <f t="shared" si="76"/>
        <v>0.8030187057701863</v>
      </c>
      <c r="F2386" t="str">
        <f t="shared" si="77"/>
        <v>Moderate</v>
      </c>
    </row>
    <row r="2387" spans="1:6" ht="15" customHeight="1" x14ac:dyDescent="0.3">
      <c r="A2387" t="s">
        <v>199</v>
      </c>
      <c r="B2387" s="2">
        <v>45566</v>
      </c>
      <c r="C2387" cm="1">
        <f t="array" ref="C2387">IFERROR(IF(SUMPRODUCT((measured[Site Name]=A2387)*(measured[Date]=B2387)*ISNUMBER(measured[Measured Value (kWh)]))=0,"",SUMIFS(measured[Measured Value (kWh)],measured[Site Name],A2387,measured[Date],B2387)),"")</f>
        <v>4061</v>
      </c>
      <c r="D2387" cm="1">
        <f t="array" ref="D2387">IFERROR(IF(SUMPRODUCT((expected_production[Site Name]=A2387)*(expected_production[Date]=B2387)*ISNUMBER(expected_production[Expected Production (kWh)]))=0,"",SUMIFS(expected_production[Expected Production (kWh)],expected_production[Site Name],A2387,expected_production[Date],B2387)),"")</f>
        <v>3899.4</v>
      </c>
      <c r="E2387" s="9">
        <f t="shared" si="76"/>
        <v>1.0414422731702313</v>
      </c>
      <c r="F2387" t="str">
        <f t="shared" si="77"/>
        <v>Expected</v>
      </c>
    </row>
    <row r="2388" spans="1:6" ht="15" customHeight="1" x14ac:dyDescent="0.3">
      <c r="A2388" t="s">
        <v>199</v>
      </c>
      <c r="B2388" s="2">
        <v>45597</v>
      </c>
      <c r="C2388" cm="1">
        <f t="array" ref="C2388">IFERROR(IF(SUMPRODUCT((measured[Site Name]=A2388)*(measured[Date]=B2388)*ISNUMBER(measured[Measured Value (kWh)]))=0,"",SUMIFS(measured[Measured Value (kWh)],measured[Site Name],A2388,measured[Date],B2388)),"")</f>
        <v>3991</v>
      </c>
      <c r="D2388" cm="1">
        <f t="array" ref="D2388">IFERROR(IF(SUMPRODUCT((expected_production[Site Name]=A2388)*(expected_production[Date]=B2388)*ISNUMBER(expected_production[Expected Production (kWh)]))=0,"",SUMIFS(expected_production[Expected Production (kWh)],expected_production[Site Name],A2388,expected_production[Date],B2388)),"")</f>
        <v>3732.75</v>
      </c>
      <c r="E2388" s="9">
        <f t="shared" si="76"/>
        <v>1.0691849172861831</v>
      </c>
      <c r="F2388" t="str">
        <f t="shared" si="77"/>
        <v>Expected</v>
      </c>
    </row>
    <row r="2389" spans="1:6" ht="15" customHeight="1" x14ac:dyDescent="0.3">
      <c r="A2389" t="s">
        <v>199</v>
      </c>
      <c r="B2389" s="2">
        <v>45627</v>
      </c>
      <c r="C2389" cm="1">
        <f t="array" ref="C2389">IFERROR(IF(SUMPRODUCT((measured[Site Name]=A2389)*(measured[Date]=B2389)*ISNUMBER(measured[Measured Value (kWh)]))=0,"",SUMIFS(measured[Measured Value (kWh)],measured[Site Name],A2389,measured[Date],B2389)),"")</f>
        <v>3569</v>
      </c>
      <c r="D2389" cm="1">
        <f t="array" ref="D2389">IFERROR(IF(SUMPRODUCT((expected_production[Site Name]=A2389)*(expected_production[Date]=B2389)*ISNUMBER(expected_production[Expected Production (kWh)]))=0,"",SUMIFS(expected_production[Expected Production (kWh)],expected_production[Site Name],A2389,expected_production[Date],B2389)),"")</f>
        <v>4016.1750000000002</v>
      </c>
      <c r="E2389" s="9">
        <f t="shared" si="76"/>
        <v>0.88865649529714219</v>
      </c>
      <c r="F2389" t="str">
        <f t="shared" si="77"/>
        <v>Moderate</v>
      </c>
    </row>
    <row r="2390" spans="1:6" ht="15" customHeight="1" x14ac:dyDescent="0.3">
      <c r="A2390" t="s">
        <v>199</v>
      </c>
      <c r="B2390" s="2">
        <v>45658</v>
      </c>
      <c r="C2390" cm="1">
        <f t="array" ref="C2390">IFERROR(IF(SUMPRODUCT((measured[Site Name]=A2390)*(measured[Date]=B2390)*ISNUMBER(measured[Measured Value (kWh)]))=0,"",SUMIFS(measured[Measured Value (kWh)],measured[Site Name],A2390,measured[Date],B2390)),"")</f>
        <v>3838</v>
      </c>
      <c r="D2390" cm="1">
        <f t="array" ref="D2390">IFERROR(IF(SUMPRODUCT((expected_production[Site Name]=A2390)*(expected_production[Date]=B2390)*ISNUMBER(expected_production[Expected Production (kWh)]))=0,"",SUMIFS(expected_production[Expected Production (kWh)],expected_production[Site Name],A2390,expected_production[Date],B2390)),"")</f>
        <v>3784.4250000000002</v>
      </c>
      <c r="E2390" s="9">
        <f t="shared" si="76"/>
        <v>1.0141567080864331</v>
      </c>
      <c r="F2390" t="str">
        <f t="shared" si="77"/>
        <v>Expected</v>
      </c>
    </row>
    <row r="2391" spans="1:6" ht="15" customHeight="1" x14ac:dyDescent="0.3">
      <c r="A2391" t="s">
        <v>199</v>
      </c>
      <c r="B2391" s="2">
        <v>45689</v>
      </c>
      <c r="C2391" cm="1">
        <f t="array" ref="C2391">IFERROR(IF(SUMPRODUCT((measured[Site Name]=A2391)*(measured[Date]=B2391)*ISNUMBER(measured[Measured Value (kWh)]))=0,"",SUMIFS(measured[Measured Value (kWh)],measured[Site Name],A2391,measured[Date],B2391)),"")</f>
        <v>2653</v>
      </c>
      <c r="D2391" cm="1">
        <f t="array" ref="D2391">IFERROR(IF(SUMPRODUCT((expected_production[Site Name]=A2391)*(expected_production[Date]=B2391)*ISNUMBER(expected_production[Expected Production (kWh)]))=0,"",SUMIFS(expected_production[Expected Production (kWh)],expected_production[Site Name],A2391,expected_production[Date],B2391)),"")</f>
        <v>3270.15</v>
      </c>
      <c r="E2391" s="9">
        <f t="shared" si="76"/>
        <v>0.8112777701328685</v>
      </c>
      <c r="F2391" t="str">
        <f t="shared" si="77"/>
        <v>Moderate</v>
      </c>
    </row>
    <row r="2392" spans="1:6" ht="15" customHeight="1" x14ac:dyDescent="0.3">
      <c r="A2392" t="s">
        <v>199</v>
      </c>
      <c r="B2392" s="2">
        <v>45717</v>
      </c>
      <c r="C2392" cm="1">
        <f t="array" ref="C2392">IFERROR(IF(SUMPRODUCT((measured[Site Name]=A2392)*(measured[Date]=B2392)*ISNUMBER(measured[Measured Value (kWh)]))=0,"",SUMIFS(measured[Measured Value (kWh)],measured[Site Name],A2392,measured[Date],B2392)),"")</f>
        <v>2925</v>
      </c>
      <c r="D2392" cm="1">
        <f t="array" ref="D2392">IFERROR(IF(SUMPRODUCT((expected_production[Site Name]=A2392)*(expected_production[Date]=B2392)*ISNUMBER(expected_production[Expected Production (kWh)]))=0,"",SUMIFS(expected_production[Expected Production (kWh)],expected_production[Site Name],A2392,expected_production[Date],B2392)),"")</f>
        <v>3533.3249999999998</v>
      </c>
      <c r="E2392" s="9">
        <f t="shared" si="76"/>
        <v>0.82783214111354042</v>
      </c>
      <c r="F2392" t="str">
        <f t="shared" si="77"/>
        <v>Moderate</v>
      </c>
    </row>
    <row r="2393" spans="1:6" ht="15" customHeight="1" x14ac:dyDescent="0.3">
      <c r="A2393" t="s">
        <v>199</v>
      </c>
      <c r="B2393" s="2">
        <v>45748</v>
      </c>
      <c r="C2393" cm="1">
        <f t="array" ref="C2393">IFERROR(IF(SUMPRODUCT((measured[Site Name]=A2393)*(measured[Date]=B2393)*ISNUMBER(measured[Measured Value (kWh)]))=0,"",SUMIFS(measured[Measured Value (kWh)],measured[Site Name],A2393,measured[Date],B2393)),"")</f>
        <v>2246</v>
      </c>
      <c r="D2393" cm="1">
        <f t="array" ref="D2393">IFERROR(IF(SUMPRODUCT((expected_production[Site Name]=A2393)*(expected_production[Date]=B2393)*ISNUMBER(expected_production[Expected Production (kWh)]))=0,"",SUMIFS(expected_production[Expected Production (kWh)],expected_production[Site Name],A2393,expected_production[Date],B2393)),"")</f>
        <v>3063.0749999999998</v>
      </c>
      <c r="E2393" s="9">
        <f t="shared" si="76"/>
        <v>0.73325008365776223</v>
      </c>
      <c r="F2393" t="str">
        <f t="shared" si="77"/>
        <v>Moderate</v>
      </c>
    </row>
    <row r="2394" spans="1:6" ht="15" customHeight="1" x14ac:dyDescent="0.3">
      <c r="A2394" t="s">
        <v>199</v>
      </c>
      <c r="B2394" s="2">
        <v>45778</v>
      </c>
      <c r="C2394" cm="1">
        <f t="array" ref="C2394">IFERROR(IF(SUMPRODUCT((measured[Site Name]=A2394)*(measured[Date]=B2394)*ISNUMBER(measured[Measured Value (kWh)]))=0,"",SUMIFS(measured[Measured Value (kWh)],measured[Site Name],A2394,measured[Date],B2394)),"")</f>
        <v>3149</v>
      </c>
      <c r="D2394" cm="1">
        <f t="array" ref="D2394">IFERROR(IF(SUMPRODUCT((expected_production[Site Name]=A2394)*(expected_production[Date]=B2394)*ISNUMBER(expected_production[Expected Production (kWh)]))=0,"",SUMIFS(expected_production[Expected Production (kWh)],expected_production[Site Name],A2394,expected_production[Date],B2394)),"")</f>
        <v>3093.8249999999998</v>
      </c>
      <c r="E2394" s="9">
        <f t="shared" si="76"/>
        <v>1.0178339110971049</v>
      </c>
      <c r="F2394" t="str">
        <f t="shared" si="77"/>
        <v>Expected</v>
      </c>
    </row>
    <row r="2395" spans="1:6" ht="15" customHeight="1" x14ac:dyDescent="0.3">
      <c r="A2395" t="s">
        <v>199</v>
      </c>
      <c r="B2395" s="2">
        <v>45809</v>
      </c>
      <c r="C2395" cm="1">
        <f t="array" ref="C2395">IFERROR(IF(SUMPRODUCT((measured[Site Name]=A2395)*(measured[Date]=B2395)*ISNUMBER(measured[Measured Value (kWh)]))=0,"",SUMIFS(measured[Measured Value (kWh)],measured[Site Name],A2395,measured[Date],B2395)),"")</f>
        <v>2654.45</v>
      </c>
      <c r="D2395" cm="1">
        <f t="array" ref="D2395">IFERROR(IF(SUMPRODUCT((expected_production[Site Name]=A2395)*(expected_production[Date]=B2395)*ISNUMBER(expected_production[Expected Production (kWh)]))=0,"",SUMIFS(expected_production[Expected Production (kWh)],expected_production[Site Name],A2395,expected_production[Date],B2395)),"")</f>
        <v>2834.0250000000001</v>
      </c>
      <c r="E2395" s="9">
        <f t="shared" si="76"/>
        <v>0.93663605649209158</v>
      </c>
      <c r="F2395" t="str">
        <f t="shared" si="77"/>
        <v>Expected</v>
      </c>
    </row>
    <row r="2396" spans="1:6" ht="15" customHeight="1" x14ac:dyDescent="0.3">
      <c r="A2396" t="s">
        <v>199</v>
      </c>
      <c r="B2396" s="2">
        <v>45839</v>
      </c>
      <c r="C2396" cm="1">
        <f t="array" ref="C2396">IFERROR(IF(SUMPRODUCT((measured[Site Name]=A2396)*(measured[Date]=B2396)*ISNUMBER(measured[Measured Value (kWh)]))=0,"",SUMIFS(measured[Measured Value (kWh)],measured[Site Name],A2396,measured[Date],B2396)),"")</f>
        <v>2863</v>
      </c>
      <c r="D2396" cm="1">
        <f t="array" ref="D2396">IFERROR(IF(SUMPRODUCT((expected_production[Site Name]=A2396)*(expected_production[Date]=B2396)*ISNUMBER(expected_production[Expected Production (kWh)]))=0,"",SUMIFS(expected_production[Expected Production (kWh)],expected_production[Site Name],A2396,expected_production[Date],B2396)),"")</f>
        <v>3103.35</v>
      </c>
      <c r="E2396" s="9">
        <f t="shared" si="76"/>
        <v>0.92255143635103998</v>
      </c>
      <c r="F2396" t="str">
        <f t="shared" si="77"/>
        <v>Expected</v>
      </c>
    </row>
    <row r="2397" spans="1:6" ht="15" customHeight="1" x14ac:dyDescent="0.3">
      <c r="A2397" t="s">
        <v>199</v>
      </c>
      <c r="B2397" s="2">
        <v>45870</v>
      </c>
      <c r="C2397" cm="1">
        <f t="array" ref="C2397">IFERROR(IF(SUMPRODUCT((measured[Site Name]=A2397)*(measured[Date]=B2397)*ISNUMBER(measured[Measured Value (kWh)]))=0,"",SUMIFS(measured[Measured Value (kWh)],measured[Site Name],A2397,measured[Date],B2397)),"")</f>
        <v>3192</v>
      </c>
      <c r="D2397" cm="1">
        <f t="array" ref="D2397">IFERROR(IF(SUMPRODUCT((expected_production[Site Name]=A2397)*(expected_production[Date]=B2397)*ISNUMBER(expected_production[Expected Production (kWh)]))=0,"",SUMIFS(expected_production[Expected Production (kWh)],expected_production[Site Name],A2397,expected_production[Date],B2397)),"")</f>
        <v>3491.55</v>
      </c>
      <c r="E2397" s="9">
        <f t="shared" si="76"/>
        <v>0.91420715727971813</v>
      </c>
      <c r="F2397" t="str">
        <f t="shared" si="77"/>
        <v>Expected</v>
      </c>
    </row>
    <row r="2398" spans="1:6" ht="15" customHeight="1" x14ac:dyDescent="0.3">
      <c r="A2398" t="s">
        <v>199</v>
      </c>
      <c r="B2398" s="2">
        <v>45901</v>
      </c>
      <c r="C2398" cm="1">
        <f t="array" ref="C2398">IFERROR(IF(SUMPRODUCT((measured[Site Name]=A2398)*(measured[Date]=B2398)*ISNUMBER(measured[Measured Value (kWh)]))=0,"",SUMIFS(measured[Measured Value (kWh)],measured[Site Name],A2398,measured[Date],B2398)),"")</f>
        <v>3092</v>
      </c>
      <c r="D2398" cm="1">
        <f t="array" ref="D2398">IFERROR(IF(SUMPRODUCT((expected_production[Site Name]=A2398)*(expected_production[Date]=B2398)*ISNUMBER(expected_production[Expected Production (kWh)]))=0,"",SUMIFS(expected_production[Expected Production (kWh)],expected_production[Site Name],A2398,expected_production[Date],B2398)),"")</f>
        <v>3723.45</v>
      </c>
      <c r="E2398" s="9">
        <f t="shared" si="76"/>
        <v>0.83041265493023952</v>
      </c>
      <c r="F2398" t="str">
        <f t="shared" si="77"/>
        <v>Moderate</v>
      </c>
    </row>
    <row r="2399" spans="1:6" ht="15" customHeight="1" x14ac:dyDescent="0.3">
      <c r="A2399" t="s">
        <v>199</v>
      </c>
      <c r="B2399" s="2">
        <v>45931</v>
      </c>
      <c r="C2399" cm="1">
        <f t="array" ref="C2399">IFERROR(IF(SUMPRODUCT((measured[Site Name]=A2399)*(measured[Date]=B2399)*ISNUMBER(measured[Measured Value (kWh)]))=0,"",SUMIFS(measured[Measured Value (kWh)],measured[Site Name],A2399,measured[Date],B2399)),"")</f>
        <v>3600</v>
      </c>
      <c r="D2399" cm="1">
        <f t="array" ref="D2399">IFERROR(IF(SUMPRODUCT((expected_production[Site Name]=A2399)*(expected_production[Date]=B2399)*ISNUMBER(expected_production[Expected Production (kWh)]))=0,"",SUMIFS(expected_production[Expected Production (kWh)],expected_production[Site Name],A2399,expected_production[Date],B2399)),"")</f>
        <v>3899.4</v>
      </c>
      <c r="E2399" s="9">
        <f t="shared" si="76"/>
        <v>0.92321895676257881</v>
      </c>
      <c r="F2399" t="str">
        <f t="shared" si="77"/>
        <v>Expected</v>
      </c>
    </row>
    <row r="2400" spans="1:6" ht="15" customHeight="1" x14ac:dyDescent="0.3">
      <c r="A2400" t="s">
        <v>199</v>
      </c>
      <c r="B2400" s="2">
        <v>45962</v>
      </c>
      <c r="C2400" cm="1">
        <f t="array" ref="C2400">IFERROR(IF(SUMPRODUCT((measured[Site Name]=A2400)*(measured[Date]=B2400)*ISNUMBER(measured[Measured Value (kWh)]))=0,"",SUMIFS(measured[Measured Value (kWh)],measured[Site Name],A2400,measured[Date],B2400)),"")</f>
        <v>2755</v>
      </c>
      <c r="D2400" cm="1">
        <f t="array" ref="D2400">IFERROR(IF(SUMPRODUCT((expected_production[Site Name]=A2400)*(expected_production[Date]=B2400)*ISNUMBER(expected_production[Expected Production (kWh)]))=0,"",SUMIFS(expected_production[Expected Production (kWh)],expected_production[Site Name],A2400,expected_production[Date],B2400)),"")</f>
        <v>3732.75</v>
      </c>
      <c r="E2400" s="9">
        <f t="shared" si="76"/>
        <v>0.73806175071997859</v>
      </c>
      <c r="F2400" t="str">
        <f t="shared" si="77"/>
        <v>Moderate</v>
      </c>
    </row>
    <row r="2401" spans="1:7" ht="15" customHeight="1" x14ac:dyDescent="0.3">
      <c r="A2401" t="s">
        <v>199</v>
      </c>
      <c r="B2401" s="2">
        <v>45992</v>
      </c>
      <c r="C2401" cm="1">
        <f t="array" ref="C2401">IFERROR(IF(SUMPRODUCT((measured[Site Name]=A2401)*(measured[Date]=B2401)*ISNUMBER(measured[Measured Value (kWh)]))=0,"",SUMIFS(measured[Measured Value (kWh)],measured[Site Name],A2401,measured[Date],B2401)),"")</f>
        <v>3248</v>
      </c>
      <c r="D2401" cm="1">
        <f t="array" ref="D2401">IFERROR(IF(SUMPRODUCT((expected_production[Site Name]=A2401)*(expected_production[Date]=B2401)*ISNUMBER(expected_production[Expected Production (kWh)]))=0,"",SUMIFS(expected_production[Expected Production (kWh)],expected_production[Site Name],A2401,expected_production[Date],B2401)),"")</f>
        <v>4016.1750000000002</v>
      </c>
      <c r="E2401" s="9">
        <f t="shared" si="76"/>
        <v>0.80872969927854232</v>
      </c>
      <c r="F2401" t="str">
        <f t="shared" si="77"/>
        <v>Moderate</v>
      </c>
    </row>
    <row r="2402" spans="1:7" ht="15" customHeight="1" x14ac:dyDescent="0.3">
      <c r="A2402" t="s">
        <v>199</v>
      </c>
      <c r="B2402" s="2">
        <v>46023</v>
      </c>
      <c r="C2402" cm="1">
        <f t="array" ref="C2402">IFERROR(IF(SUMPRODUCT((measured[Site Name]=A2402)*(measured[Date]=B2402)*ISNUMBER(measured[Measured Value (kWh)]))=0,"",SUMIFS(measured[Measured Value (kWh)],measured[Site Name],A2402,measured[Date],B2402)),"")</f>
        <v>3546</v>
      </c>
      <c r="D2402" cm="1">
        <f t="array" ref="D2402">IFERROR(IF(SUMPRODUCT((expected_production[Site Name]=A2402)*(expected_production[Date]=B2402)*ISNUMBER(expected_production[Expected Production (kWh)]))=0,"",SUMIFS(expected_production[Expected Production (kWh)],expected_production[Site Name],A2402,expected_production[Date],B2402)),"")</f>
        <v>3784.4250000000002</v>
      </c>
      <c r="E2402" s="9">
        <f t="shared" si="76"/>
        <v>0.93699835510018026</v>
      </c>
      <c r="F2402" t="str">
        <f t="shared" si="77"/>
        <v>Expected</v>
      </c>
    </row>
    <row r="2403" spans="1:7" ht="15" customHeight="1" x14ac:dyDescent="0.3">
      <c r="A2403" t="s">
        <v>199</v>
      </c>
      <c r="B2403" s="2">
        <v>46054</v>
      </c>
      <c r="C2403" cm="1">
        <f t="array" ref="C2403">IFERROR(IF(SUMPRODUCT((measured[Site Name]=A2403)*(measured[Date]=B2403)*ISNUMBER(measured[Measured Value (kWh)]))=0,"",SUMIFS(measured[Measured Value (kWh)],measured[Site Name],A2403,measured[Date],B2403)),"")</f>
        <v>3398</v>
      </c>
      <c r="D2403" cm="1">
        <f t="array" ref="D2403">IFERROR(IF(SUMPRODUCT((expected_production[Site Name]=A2403)*(expected_production[Date]=B2403)*ISNUMBER(expected_production[Expected Production (kWh)]))=0,"",SUMIFS(expected_production[Expected Production (kWh)],expected_production[Site Name],A2403,expected_production[Date],B2403)),"")</f>
        <v>3270.15</v>
      </c>
      <c r="E2403" s="9">
        <f t="shared" si="76"/>
        <v>1.0390960659296973</v>
      </c>
      <c r="F2403" t="str">
        <f t="shared" si="77"/>
        <v>Expected</v>
      </c>
    </row>
    <row r="2404" spans="1:7" ht="15" customHeight="1" x14ac:dyDescent="0.3">
      <c r="A2404" t="s">
        <v>199</v>
      </c>
      <c r="B2404" s="2">
        <v>46082</v>
      </c>
      <c r="C2404" cm="1">
        <f t="array" ref="C2404">IFERROR(IF(SUMPRODUCT((measured[Site Name]=A2404)*(measured[Date]=B2404)*ISNUMBER(measured[Measured Value (kWh)]))=0,"",SUMIFS(measured[Measured Value (kWh)],measured[Site Name],A2404,measured[Date],B2404)),"")</f>
        <v>2638</v>
      </c>
      <c r="D2404" cm="1">
        <f t="array" ref="D2404">IFERROR(IF(SUMPRODUCT((expected_production[Site Name]=A2404)*(expected_production[Date]=B2404)*ISNUMBER(expected_production[Expected Production (kWh)]))=0,"",SUMIFS(expected_production[Expected Production (kWh)],expected_production[Site Name],A2404,expected_production[Date],B2404)),"")</f>
        <v>3533.3249999999998</v>
      </c>
      <c r="E2404" s="9">
        <f t="shared" si="76"/>
        <v>0.74660553444701527</v>
      </c>
      <c r="F2404" t="str">
        <f t="shared" si="77"/>
        <v>Moderate</v>
      </c>
    </row>
    <row r="2405" spans="1:7" ht="15" customHeight="1" x14ac:dyDescent="0.3">
      <c r="A2405" t="s">
        <v>199</v>
      </c>
      <c r="B2405" s="2">
        <v>46113</v>
      </c>
      <c r="C2405" cm="1">
        <f t="array" ref="C2405">IFERROR(IF(SUMPRODUCT((measured[Site Name]=A2405)*(measured[Date]=B2405)*ISNUMBER(measured[Measured Value (kWh)]))=0,"",SUMIFS(measured[Measured Value (kWh)],measured[Site Name],A2405,measured[Date],B2405)),"")</f>
        <v>2034.35</v>
      </c>
      <c r="D2405" cm="1">
        <f t="array" ref="D2405">IFERROR(IF(SUMPRODUCT((expected_production[Site Name]=A2405)*(expected_production[Date]=B2405)*ISNUMBER(expected_production[Expected Production (kWh)]))=0,"",SUMIFS(expected_production[Expected Production (kWh)],expected_production[Site Name],A2405,expected_production[Date],B2405)),"")</f>
        <v>3063.0749999999998</v>
      </c>
      <c r="E2405" s="9">
        <f t="shared" si="76"/>
        <v>0.66415285293373494</v>
      </c>
      <c r="F2405" t="str">
        <f t="shared" si="77"/>
        <v>Poor</v>
      </c>
    </row>
    <row r="2406" spans="1:7" ht="15" customHeight="1" x14ac:dyDescent="0.3">
      <c r="A2406" t="s">
        <v>199</v>
      </c>
      <c r="B2406" s="2">
        <v>46143</v>
      </c>
      <c r="C2406" cm="1">
        <f t="array" ref="C2406">IFERROR(IF(SUMPRODUCT((measured[Site Name]=A2406)*(measured[Date]=B2406)*ISNUMBER(measured[Measured Value (kWh)]))=0,"",SUMIFS(measured[Measured Value (kWh)],measured[Site Name],A2406,measured[Date],B2406)),"")</f>
        <v>2231.41</v>
      </c>
      <c r="D2406" cm="1">
        <f t="array" ref="D2406">IFERROR(IF(SUMPRODUCT((expected_production[Site Name]=A2406)*(expected_production[Date]=B2406)*ISNUMBER(expected_production[Expected Production (kWh)]))=0,"",SUMIFS(expected_production[Expected Production (kWh)],expected_production[Site Name],A2406,expected_production[Date],B2406)),"")</f>
        <v>3093.8249999999998</v>
      </c>
      <c r="E2406" s="9">
        <f t="shared" si="76"/>
        <v>0.72124635362375056</v>
      </c>
      <c r="F2406" t="str">
        <f t="shared" si="77"/>
        <v>Moderate</v>
      </c>
    </row>
    <row r="2407" spans="1:7" ht="15" customHeight="1" x14ac:dyDescent="0.3">
      <c r="A2407" t="s">
        <v>199</v>
      </c>
      <c r="B2407" s="2">
        <v>46174</v>
      </c>
      <c r="C2407" cm="1">
        <f t="array" ref="C2407">IFERROR(IF(SUMPRODUCT((measured[Site Name]=A2407)*(measured[Date]=B2407)*ISNUMBER(measured[Measured Value (kWh)]))=0,"",SUMIFS(measured[Measured Value (kWh)],measured[Site Name],A2407,measured[Date],B2407)),"")</f>
        <v>1788</v>
      </c>
      <c r="D2407" cm="1">
        <f t="array" ref="D2407">IFERROR(IF(SUMPRODUCT((expected_production[Site Name]=A2407)*(expected_production[Date]=B2407)*ISNUMBER(expected_production[Expected Production (kWh)]))=0,"",SUMIFS(expected_production[Expected Production (kWh)],expected_production[Site Name],A2407,expected_production[Date],B2407)),"")</f>
        <v>2834.0250000000001</v>
      </c>
      <c r="E2407" s="9">
        <f t="shared" si="76"/>
        <v>0.63090480853203479</v>
      </c>
      <c r="F2407" t="str">
        <f t="shared" si="77"/>
        <v>Poor</v>
      </c>
    </row>
    <row r="2408" spans="1:7" ht="15" customHeight="1" x14ac:dyDescent="0.3">
      <c r="A2408" t="s">
        <v>213</v>
      </c>
      <c r="B2408" s="2">
        <v>46204</v>
      </c>
      <c r="C2408" cm="1">
        <f t="array" ref="C2408">IFERROR(IF(SUMPRODUCT((measured[Site Name]=A2408)*(measured[Date]=B2408)*ISNUMBER(measured[Measured Value (kWh)]))=0,"",SUMIFS(measured[Measured Value (kWh)],measured[Site Name],A2408,measured[Date],B2408)),"")</f>
        <v>2899</v>
      </c>
      <c r="D2408" cm="1">
        <f t="array" ref="D2408">IFERROR(IF(SUMPRODUCT((expected_production[Site Name]=A2408)*(expected_production[Date]=B2408)*ISNUMBER(expected_production[Expected Production (kWh)]))=0,"",SUMIFS(expected_production[Expected Production (kWh)],expected_production[Site Name],A2408,expected_production[Date],B2408)),"")</f>
        <v>6086.7</v>
      </c>
      <c r="E2408" s="9">
        <f t="shared" si="76"/>
        <v>0.47628435769793159</v>
      </c>
      <c r="F2408" t="str">
        <f t="shared" si="77"/>
        <v>Poor</v>
      </c>
      <c r="G2408" t="s">
        <v>875</v>
      </c>
    </row>
    <row r="2409" spans="1:7" ht="15" customHeight="1" x14ac:dyDescent="0.3">
      <c r="A2409" t="s">
        <v>199</v>
      </c>
      <c r="B2409" s="2">
        <v>46235</v>
      </c>
      <c r="C2409" t="str" cm="1">
        <f t="array" ref="C2409">IFERROR(IF(SUMPRODUCT((measured[Site Name]=A2409)*(measured[Date]=B2409)*ISNUMBER(measured[Measured Value (kWh)]))=0,"",SUMIFS(measured[Measured Value (kWh)],measured[Site Name],A2409,measured[Date],B2409)),"")</f>
        <v/>
      </c>
      <c r="D2409" cm="1">
        <f t="array" ref="D2409">IFERROR(IF(SUMPRODUCT((expected_production[Site Name]=A2409)*(expected_production[Date]=B2409)*ISNUMBER(expected_production[Expected Production (kWh)]))=0,"",SUMIFS(expected_production[Expected Production (kWh)],expected_production[Site Name],A2409,expected_production[Date],B2409)),"")</f>
        <v>3491.55</v>
      </c>
      <c r="E2409" s="9" t="str">
        <f t="shared" si="76"/>
        <v/>
      </c>
      <c r="F2409" t="str">
        <f t="shared" si="77"/>
        <v/>
      </c>
    </row>
    <row r="2410" spans="1:7" ht="15" customHeight="1" x14ac:dyDescent="0.3">
      <c r="A2410" t="s">
        <v>199</v>
      </c>
      <c r="B2410" s="2">
        <v>46266</v>
      </c>
      <c r="C2410" t="str" cm="1">
        <f t="array" ref="C2410">IFERROR(IF(SUMPRODUCT((measured[Site Name]=A2410)*(measured[Date]=B2410)*ISNUMBER(measured[Measured Value (kWh)]))=0,"",SUMIFS(measured[Measured Value (kWh)],measured[Site Name],A2410,measured[Date],B2410)),"")</f>
        <v/>
      </c>
      <c r="D2410" cm="1">
        <f t="array" ref="D2410">IFERROR(IF(SUMPRODUCT((expected_production[Site Name]=A2410)*(expected_production[Date]=B2410)*ISNUMBER(expected_production[Expected Production (kWh)]))=0,"",SUMIFS(expected_production[Expected Production (kWh)],expected_production[Site Name],A2410,expected_production[Date],B2410)),"")</f>
        <v>3723.45</v>
      </c>
      <c r="E2410" s="9" t="str">
        <f t="shared" si="76"/>
        <v/>
      </c>
      <c r="F2410" t="str">
        <f t="shared" si="77"/>
        <v/>
      </c>
    </row>
    <row r="2411" spans="1:7" ht="15" customHeight="1" x14ac:dyDescent="0.3">
      <c r="A2411" t="s">
        <v>199</v>
      </c>
      <c r="B2411" s="2">
        <v>46296</v>
      </c>
      <c r="C2411" t="str" cm="1">
        <f t="array" ref="C2411">IFERROR(IF(SUMPRODUCT((measured[Site Name]=A2411)*(measured[Date]=B2411)*ISNUMBER(measured[Measured Value (kWh)]))=0,"",SUMIFS(measured[Measured Value (kWh)],measured[Site Name],A2411,measured[Date],B2411)),"")</f>
        <v/>
      </c>
      <c r="D2411" cm="1">
        <f t="array" ref="D2411">IFERROR(IF(SUMPRODUCT((expected_production[Site Name]=A2411)*(expected_production[Date]=B2411)*ISNUMBER(expected_production[Expected Production (kWh)]))=0,"",SUMIFS(expected_production[Expected Production (kWh)],expected_production[Site Name],A2411,expected_production[Date],B2411)),"")</f>
        <v>3899.4</v>
      </c>
      <c r="E2411" s="9" t="str">
        <f t="shared" si="76"/>
        <v/>
      </c>
      <c r="F2411" t="str">
        <f t="shared" si="77"/>
        <v/>
      </c>
    </row>
    <row r="2412" spans="1:7" ht="15" customHeight="1" x14ac:dyDescent="0.3">
      <c r="A2412" t="s">
        <v>199</v>
      </c>
      <c r="B2412" s="2">
        <v>46327</v>
      </c>
      <c r="C2412" t="str" cm="1">
        <f t="array" ref="C2412">IFERROR(IF(SUMPRODUCT((measured[Site Name]=A2412)*(measured[Date]=B2412)*ISNUMBER(measured[Measured Value (kWh)]))=0,"",SUMIFS(measured[Measured Value (kWh)],measured[Site Name],A2412,measured[Date],B2412)),"")</f>
        <v/>
      </c>
      <c r="D2412" cm="1">
        <f t="array" ref="D2412">IFERROR(IF(SUMPRODUCT((expected_production[Site Name]=A2412)*(expected_production[Date]=B2412)*ISNUMBER(expected_production[Expected Production (kWh)]))=0,"",SUMIFS(expected_production[Expected Production (kWh)],expected_production[Site Name],A2412,expected_production[Date],B2412)),"")</f>
        <v>3732.75</v>
      </c>
      <c r="E2412" s="9" t="str">
        <f t="shared" si="76"/>
        <v/>
      </c>
      <c r="F2412" t="str">
        <f t="shared" si="77"/>
        <v/>
      </c>
    </row>
    <row r="2413" spans="1:7" ht="15" customHeight="1" x14ac:dyDescent="0.3">
      <c r="A2413" t="s">
        <v>199</v>
      </c>
      <c r="B2413" s="2">
        <v>46357</v>
      </c>
      <c r="C2413" t="str" cm="1">
        <f t="array" ref="C2413">IFERROR(IF(SUMPRODUCT((measured[Site Name]=A2413)*(measured[Date]=B2413)*ISNUMBER(measured[Measured Value (kWh)]))=0,"",SUMIFS(measured[Measured Value (kWh)],measured[Site Name],A2413,measured[Date],B2413)),"")</f>
        <v/>
      </c>
      <c r="D2413" cm="1">
        <f t="array" ref="D2413">IFERROR(IF(SUMPRODUCT((expected_production[Site Name]=A2413)*(expected_production[Date]=B2413)*ISNUMBER(expected_production[Expected Production (kWh)]))=0,"",SUMIFS(expected_production[Expected Production (kWh)],expected_production[Site Name],A2413,expected_production[Date],B2413)),"")</f>
        <v>4016.1750000000002</v>
      </c>
      <c r="E2413" s="9" t="str">
        <f t="shared" si="76"/>
        <v/>
      </c>
      <c r="F2413" t="str">
        <f t="shared" si="77"/>
        <v/>
      </c>
    </row>
    <row r="2414" spans="1:7" ht="15" customHeight="1" x14ac:dyDescent="0.3">
      <c r="A2414" t="s">
        <v>192</v>
      </c>
      <c r="B2414" s="2">
        <v>45292</v>
      </c>
      <c r="C2414" t="str" cm="1">
        <f t="array" ref="C2414">IFERROR(IF(SUMPRODUCT((measured[Site Name]=A2414)*(measured[Date]=B2414)*ISNUMBER(measured[Measured Value (kWh)]))=0,"",SUMIFS(measured[Measured Value (kWh)],measured[Site Name],A2414,measured[Date],B2414)),"")</f>
        <v/>
      </c>
      <c r="D2414" cm="1">
        <f t="array" ref="D2414">IFERROR(IF(SUMPRODUCT((expected_production[Site Name]=A2414)*(expected_production[Date]=B2414)*ISNUMBER(expected_production[Expected Production (kWh)]))=0,"",SUMIFS(expected_production[Expected Production (kWh)],expected_production[Site Name],A2414,expected_production[Date],B2414)),"")</f>
        <v>0</v>
      </c>
      <c r="E2414" s="9" t="str">
        <f t="shared" si="76"/>
        <v/>
      </c>
      <c r="F2414" t="str">
        <f t="shared" si="77"/>
        <v/>
      </c>
    </row>
    <row r="2415" spans="1:7" ht="15" customHeight="1" x14ac:dyDescent="0.3">
      <c r="A2415" t="s">
        <v>192</v>
      </c>
      <c r="B2415" s="2">
        <v>45323</v>
      </c>
      <c r="C2415" t="str" cm="1">
        <f t="array" ref="C2415">IFERROR(IF(SUMPRODUCT((measured[Site Name]=A2415)*(measured[Date]=B2415)*ISNUMBER(measured[Measured Value (kWh)]))=0,"",SUMIFS(measured[Measured Value (kWh)],measured[Site Name],A2415,measured[Date],B2415)),"")</f>
        <v/>
      </c>
      <c r="D2415" cm="1">
        <f t="array" ref="D2415">IFERROR(IF(SUMPRODUCT((expected_production[Site Name]=A2415)*(expected_production[Date]=B2415)*ISNUMBER(expected_production[Expected Production (kWh)]))=0,"",SUMIFS(expected_production[Expected Production (kWh)],expected_production[Site Name],A2415,expected_production[Date],B2415)),"")</f>
        <v>0</v>
      </c>
      <c r="E2415" s="9" t="str">
        <f t="shared" si="76"/>
        <v/>
      </c>
      <c r="F2415" t="str">
        <f t="shared" si="77"/>
        <v/>
      </c>
    </row>
    <row r="2416" spans="1:7" ht="15" customHeight="1" x14ac:dyDescent="0.3">
      <c r="A2416" t="s">
        <v>192</v>
      </c>
      <c r="B2416" s="2">
        <v>45352</v>
      </c>
      <c r="C2416" t="str" cm="1">
        <f t="array" ref="C2416">IFERROR(IF(SUMPRODUCT((measured[Site Name]=A2416)*(measured[Date]=B2416)*ISNUMBER(measured[Measured Value (kWh)]))=0,"",SUMIFS(measured[Measured Value (kWh)],measured[Site Name],A2416,measured[Date],B2416)),"")</f>
        <v/>
      </c>
      <c r="D2416" cm="1">
        <f t="array" ref="D2416">IFERROR(IF(SUMPRODUCT((expected_production[Site Name]=A2416)*(expected_production[Date]=B2416)*ISNUMBER(expected_production[Expected Production (kWh)]))=0,"",SUMIFS(expected_production[Expected Production (kWh)],expected_production[Site Name],A2416,expected_production[Date],B2416)),"")</f>
        <v>0</v>
      </c>
      <c r="E2416" s="9" t="str">
        <f t="shared" si="76"/>
        <v/>
      </c>
      <c r="F2416" t="str">
        <f t="shared" si="77"/>
        <v/>
      </c>
    </row>
    <row r="2417" spans="1:6" ht="15" customHeight="1" x14ac:dyDescent="0.3">
      <c r="A2417" t="s">
        <v>192</v>
      </c>
      <c r="B2417" s="2">
        <v>45383</v>
      </c>
      <c r="C2417" t="str" cm="1">
        <f t="array" ref="C2417">IFERROR(IF(SUMPRODUCT((measured[Site Name]=A2417)*(measured[Date]=B2417)*ISNUMBER(measured[Measured Value (kWh)]))=0,"",SUMIFS(measured[Measured Value (kWh)],measured[Site Name],A2417,measured[Date],B2417)),"")</f>
        <v/>
      </c>
      <c r="D2417" cm="1">
        <f t="array" ref="D2417">IFERROR(IF(SUMPRODUCT((expected_production[Site Name]=A2417)*(expected_production[Date]=B2417)*ISNUMBER(expected_production[Expected Production (kWh)]))=0,"",SUMIFS(expected_production[Expected Production (kWh)],expected_production[Site Name],A2417,expected_production[Date],B2417)),"")</f>
        <v>0</v>
      </c>
      <c r="E2417" s="9" t="str">
        <f t="shared" si="76"/>
        <v/>
      </c>
      <c r="F2417" t="str">
        <f t="shared" si="77"/>
        <v/>
      </c>
    </row>
    <row r="2418" spans="1:6" ht="15" customHeight="1" x14ac:dyDescent="0.3">
      <c r="A2418" t="s">
        <v>192</v>
      </c>
      <c r="B2418" s="2">
        <v>45413</v>
      </c>
      <c r="C2418" t="str" cm="1">
        <f t="array" ref="C2418">IFERROR(IF(SUMPRODUCT((measured[Site Name]=A2418)*(measured[Date]=B2418)*ISNUMBER(measured[Measured Value (kWh)]))=0,"",SUMIFS(measured[Measured Value (kWh)],measured[Site Name],A2418,measured[Date],B2418)),"")</f>
        <v/>
      </c>
      <c r="D2418" cm="1">
        <f t="array" ref="D2418">IFERROR(IF(SUMPRODUCT((expected_production[Site Name]=A2418)*(expected_production[Date]=B2418)*ISNUMBER(expected_production[Expected Production (kWh)]))=0,"",SUMIFS(expected_production[Expected Production (kWh)],expected_production[Site Name],A2418,expected_production[Date],B2418)),"")</f>
        <v>0</v>
      </c>
      <c r="E2418" s="9" t="str">
        <f t="shared" si="76"/>
        <v/>
      </c>
      <c r="F2418" t="str">
        <f t="shared" si="77"/>
        <v/>
      </c>
    </row>
    <row r="2419" spans="1:6" ht="15" customHeight="1" x14ac:dyDescent="0.3">
      <c r="A2419" t="s">
        <v>192</v>
      </c>
      <c r="B2419" s="2">
        <v>45444</v>
      </c>
      <c r="C2419" t="str" cm="1">
        <f t="array" ref="C2419">IFERROR(IF(SUMPRODUCT((measured[Site Name]=A2419)*(measured[Date]=B2419)*ISNUMBER(measured[Measured Value (kWh)]))=0,"",SUMIFS(measured[Measured Value (kWh)],measured[Site Name],A2419,measured[Date],B2419)),"")</f>
        <v/>
      </c>
      <c r="D2419" cm="1">
        <f t="array" ref="D2419">IFERROR(IF(SUMPRODUCT((expected_production[Site Name]=A2419)*(expected_production[Date]=B2419)*ISNUMBER(expected_production[Expected Production (kWh)]))=0,"",SUMIFS(expected_production[Expected Production (kWh)],expected_production[Site Name],A2419,expected_production[Date],B2419)),"")</f>
        <v>0</v>
      </c>
      <c r="E2419" s="9" t="str">
        <f t="shared" si="76"/>
        <v/>
      </c>
      <c r="F2419" t="str">
        <f t="shared" si="77"/>
        <v/>
      </c>
    </row>
    <row r="2420" spans="1:6" ht="15" customHeight="1" x14ac:dyDescent="0.3">
      <c r="A2420" t="s">
        <v>192</v>
      </c>
      <c r="B2420" s="2">
        <v>45474</v>
      </c>
      <c r="C2420" t="str" cm="1">
        <f t="array" ref="C2420">IFERROR(IF(SUMPRODUCT((measured[Site Name]=A2420)*(measured[Date]=B2420)*ISNUMBER(measured[Measured Value (kWh)]))=0,"",SUMIFS(measured[Measured Value (kWh)],measured[Site Name],A2420,measured[Date],B2420)),"")</f>
        <v/>
      </c>
      <c r="D2420" cm="1">
        <f t="array" ref="D2420">IFERROR(IF(SUMPRODUCT((expected_production[Site Name]=A2420)*(expected_production[Date]=B2420)*ISNUMBER(expected_production[Expected Production (kWh)]))=0,"",SUMIFS(expected_production[Expected Production (kWh)],expected_production[Site Name],A2420,expected_production[Date],B2420)),"")</f>
        <v>0</v>
      </c>
      <c r="E2420" s="9" t="str">
        <f t="shared" si="76"/>
        <v/>
      </c>
      <c r="F2420" t="str">
        <f t="shared" si="77"/>
        <v/>
      </c>
    </row>
    <row r="2421" spans="1:6" ht="15" customHeight="1" x14ac:dyDescent="0.3">
      <c r="A2421" t="s">
        <v>192</v>
      </c>
      <c r="B2421" s="2">
        <v>45505</v>
      </c>
      <c r="C2421" t="str" cm="1">
        <f t="array" ref="C2421">IFERROR(IF(SUMPRODUCT((measured[Site Name]=A2421)*(measured[Date]=B2421)*ISNUMBER(measured[Measured Value (kWh)]))=0,"",SUMIFS(measured[Measured Value (kWh)],measured[Site Name],A2421,measured[Date],B2421)),"")</f>
        <v/>
      </c>
      <c r="D2421" cm="1">
        <f t="array" ref="D2421">IFERROR(IF(SUMPRODUCT((expected_production[Site Name]=A2421)*(expected_production[Date]=B2421)*ISNUMBER(expected_production[Expected Production (kWh)]))=0,"",SUMIFS(expected_production[Expected Production (kWh)],expected_production[Site Name],A2421,expected_production[Date],B2421)),"")</f>
        <v>0</v>
      </c>
      <c r="E2421" s="9" t="str">
        <f t="shared" si="76"/>
        <v/>
      </c>
      <c r="F2421" t="str">
        <f t="shared" si="77"/>
        <v/>
      </c>
    </row>
    <row r="2422" spans="1:6" ht="15" customHeight="1" x14ac:dyDescent="0.3">
      <c r="A2422" t="s">
        <v>192</v>
      </c>
      <c r="B2422" s="2">
        <v>45536</v>
      </c>
      <c r="C2422" t="str" cm="1">
        <f t="array" ref="C2422">IFERROR(IF(SUMPRODUCT((measured[Site Name]=A2422)*(measured[Date]=B2422)*ISNUMBER(measured[Measured Value (kWh)]))=0,"",SUMIFS(measured[Measured Value (kWh)],measured[Site Name],A2422,measured[Date],B2422)),"")</f>
        <v/>
      </c>
      <c r="D2422" cm="1">
        <f t="array" ref="D2422">IFERROR(IF(SUMPRODUCT((expected_production[Site Name]=A2422)*(expected_production[Date]=B2422)*ISNUMBER(expected_production[Expected Production (kWh)]))=0,"",SUMIFS(expected_production[Expected Production (kWh)],expected_production[Site Name],A2422,expected_production[Date],B2422)),"")</f>
        <v>0</v>
      </c>
      <c r="E2422" s="9" t="str">
        <f t="shared" si="76"/>
        <v/>
      </c>
      <c r="F2422" t="str">
        <f t="shared" si="77"/>
        <v/>
      </c>
    </row>
    <row r="2423" spans="1:6" ht="15" customHeight="1" x14ac:dyDescent="0.3">
      <c r="A2423" t="s">
        <v>192</v>
      </c>
      <c r="B2423" s="2">
        <v>45566</v>
      </c>
      <c r="C2423" t="str" cm="1">
        <f t="array" ref="C2423">IFERROR(IF(SUMPRODUCT((measured[Site Name]=A2423)*(measured[Date]=B2423)*ISNUMBER(measured[Measured Value (kWh)]))=0,"",SUMIFS(measured[Measured Value (kWh)],measured[Site Name],A2423,measured[Date],B2423)),"")</f>
        <v/>
      </c>
      <c r="D2423" cm="1">
        <f t="array" ref="D2423">IFERROR(IF(SUMPRODUCT((expected_production[Site Name]=A2423)*(expected_production[Date]=B2423)*ISNUMBER(expected_production[Expected Production (kWh)]))=0,"",SUMIFS(expected_production[Expected Production (kWh)],expected_production[Site Name],A2423,expected_production[Date],B2423)),"")</f>
        <v>0</v>
      </c>
      <c r="E2423" s="9" t="str">
        <f t="shared" si="76"/>
        <v/>
      </c>
      <c r="F2423" t="str">
        <f t="shared" si="77"/>
        <v/>
      </c>
    </row>
    <row r="2424" spans="1:6" ht="15" customHeight="1" x14ac:dyDescent="0.3">
      <c r="A2424" t="s">
        <v>192</v>
      </c>
      <c r="B2424" s="2">
        <v>45597</v>
      </c>
      <c r="C2424" t="str" cm="1">
        <f t="array" ref="C2424">IFERROR(IF(SUMPRODUCT((measured[Site Name]=A2424)*(measured[Date]=B2424)*ISNUMBER(measured[Measured Value (kWh)]))=0,"",SUMIFS(measured[Measured Value (kWh)],measured[Site Name],A2424,measured[Date],B2424)),"")</f>
        <v/>
      </c>
      <c r="D2424" cm="1">
        <f t="array" ref="D2424">IFERROR(IF(SUMPRODUCT((expected_production[Site Name]=A2424)*(expected_production[Date]=B2424)*ISNUMBER(expected_production[Expected Production (kWh)]))=0,"",SUMIFS(expected_production[Expected Production (kWh)],expected_production[Site Name],A2424,expected_production[Date],B2424)),"")</f>
        <v>0</v>
      </c>
      <c r="E2424" s="9" t="str">
        <f t="shared" si="76"/>
        <v/>
      </c>
      <c r="F2424" t="str">
        <f t="shared" si="77"/>
        <v/>
      </c>
    </row>
    <row r="2425" spans="1:6" ht="15" customHeight="1" x14ac:dyDescent="0.3">
      <c r="A2425" t="s">
        <v>192</v>
      </c>
      <c r="B2425" s="2">
        <v>45627</v>
      </c>
      <c r="C2425" t="str" cm="1">
        <f t="array" ref="C2425">IFERROR(IF(SUMPRODUCT((measured[Site Name]=A2425)*(measured[Date]=B2425)*ISNUMBER(measured[Measured Value (kWh)]))=0,"",SUMIFS(measured[Measured Value (kWh)],measured[Site Name],A2425,measured[Date],B2425)),"")</f>
        <v/>
      </c>
      <c r="D2425" cm="1">
        <f t="array" ref="D2425">IFERROR(IF(SUMPRODUCT((expected_production[Site Name]=A2425)*(expected_production[Date]=B2425)*ISNUMBER(expected_production[Expected Production (kWh)]))=0,"",SUMIFS(expected_production[Expected Production (kWh)],expected_production[Site Name],A2425,expected_production[Date],B2425)),"")</f>
        <v>0</v>
      </c>
      <c r="E2425" s="9" t="str">
        <f t="shared" si="76"/>
        <v/>
      </c>
      <c r="F2425" t="str">
        <f t="shared" si="77"/>
        <v/>
      </c>
    </row>
    <row r="2426" spans="1:6" ht="15" customHeight="1" x14ac:dyDescent="0.3">
      <c r="A2426" t="s">
        <v>192</v>
      </c>
      <c r="B2426" s="2">
        <v>45658</v>
      </c>
      <c r="C2426" t="str" cm="1">
        <f t="array" ref="C2426">IFERROR(IF(SUMPRODUCT((measured[Site Name]=A2426)*(measured[Date]=B2426)*ISNUMBER(measured[Measured Value (kWh)]))=0,"",SUMIFS(measured[Measured Value (kWh)],measured[Site Name],A2426,measured[Date],B2426)),"")</f>
        <v/>
      </c>
      <c r="D2426" cm="1">
        <f t="array" ref="D2426">IFERROR(IF(SUMPRODUCT((expected_production[Site Name]=A2426)*(expected_production[Date]=B2426)*ISNUMBER(expected_production[Expected Production (kWh)]))=0,"",SUMIFS(expected_production[Expected Production (kWh)],expected_production[Site Name],A2426,expected_production[Date],B2426)),"")</f>
        <v>0</v>
      </c>
      <c r="E2426" s="9" t="str">
        <f t="shared" si="76"/>
        <v/>
      </c>
      <c r="F2426" t="str">
        <f t="shared" si="77"/>
        <v/>
      </c>
    </row>
    <row r="2427" spans="1:6" ht="15" customHeight="1" x14ac:dyDescent="0.3">
      <c r="A2427" t="s">
        <v>192</v>
      </c>
      <c r="B2427" s="2">
        <v>45689</v>
      </c>
      <c r="C2427" t="str" cm="1">
        <f t="array" ref="C2427">IFERROR(IF(SUMPRODUCT((measured[Site Name]=A2427)*(measured[Date]=B2427)*ISNUMBER(measured[Measured Value (kWh)]))=0,"",SUMIFS(measured[Measured Value (kWh)],measured[Site Name],A2427,measured[Date],B2427)),"")</f>
        <v/>
      </c>
      <c r="D2427" cm="1">
        <f t="array" ref="D2427">IFERROR(IF(SUMPRODUCT((expected_production[Site Name]=A2427)*(expected_production[Date]=B2427)*ISNUMBER(expected_production[Expected Production (kWh)]))=0,"",SUMIFS(expected_production[Expected Production (kWh)],expected_production[Site Name],A2427,expected_production[Date],B2427)),"")</f>
        <v>0</v>
      </c>
      <c r="E2427" s="9" t="str">
        <f t="shared" si="76"/>
        <v/>
      </c>
      <c r="F2427" t="str">
        <f t="shared" si="77"/>
        <v/>
      </c>
    </row>
    <row r="2428" spans="1:6" ht="15" customHeight="1" x14ac:dyDescent="0.3">
      <c r="A2428" t="s">
        <v>192</v>
      </c>
      <c r="B2428" s="2">
        <v>45717</v>
      </c>
      <c r="C2428" t="str" cm="1">
        <f t="array" ref="C2428">IFERROR(IF(SUMPRODUCT((measured[Site Name]=A2428)*(measured[Date]=B2428)*ISNUMBER(measured[Measured Value (kWh)]))=0,"",SUMIFS(measured[Measured Value (kWh)],measured[Site Name],A2428,measured[Date],B2428)),"")</f>
        <v/>
      </c>
      <c r="D2428" cm="1">
        <f t="array" ref="D2428">IFERROR(IF(SUMPRODUCT((expected_production[Site Name]=A2428)*(expected_production[Date]=B2428)*ISNUMBER(expected_production[Expected Production (kWh)]))=0,"",SUMIFS(expected_production[Expected Production (kWh)],expected_production[Site Name],A2428,expected_production[Date],B2428)),"")</f>
        <v>0</v>
      </c>
      <c r="E2428" s="9" t="str">
        <f t="shared" ref="E2428:E2491" si="78">IF(OR(C2428="",D2428="",D2428=0),"",C2428/D2428)</f>
        <v/>
      </c>
      <c r="F2428" t="str">
        <f t="shared" ref="F2428:F2491" si="79">IF(E2428="","",IF(E2428&gt;=0.9,"Expected",IF(E2428&gt;=0.7,"Moderate","Poor")))</f>
        <v/>
      </c>
    </row>
    <row r="2429" spans="1:6" ht="15" customHeight="1" x14ac:dyDescent="0.3">
      <c r="A2429" t="s">
        <v>192</v>
      </c>
      <c r="B2429" s="2">
        <v>45748</v>
      </c>
      <c r="C2429" t="str" cm="1">
        <f t="array" ref="C2429">IFERROR(IF(SUMPRODUCT((measured[Site Name]=A2429)*(measured[Date]=B2429)*ISNUMBER(measured[Measured Value (kWh)]))=0,"",SUMIFS(measured[Measured Value (kWh)],measured[Site Name],A2429,measured[Date],B2429)),"")</f>
        <v/>
      </c>
      <c r="D2429" cm="1">
        <f t="array" ref="D2429">IFERROR(IF(SUMPRODUCT((expected_production[Site Name]=A2429)*(expected_production[Date]=B2429)*ISNUMBER(expected_production[Expected Production (kWh)]))=0,"",SUMIFS(expected_production[Expected Production (kWh)],expected_production[Site Name],A2429,expected_production[Date],B2429)),"")</f>
        <v>0</v>
      </c>
      <c r="E2429" s="9" t="str">
        <f t="shared" si="78"/>
        <v/>
      </c>
      <c r="F2429" t="str">
        <f t="shared" si="79"/>
        <v/>
      </c>
    </row>
    <row r="2430" spans="1:6" ht="15" customHeight="1" x14ac:dyDescent="0.3">
      <c r="A2430" t="s">
        <v>192</v>
      </c>
      <c r="B2430" s="2">
        <v>45778</v>
      </c>
      <c r="C2430" t="str" cm="1">
        <f t="array" ref="C2430">IFERROR(IF(SUMPRODUCT((measured[Site Name]=A2430)*(measured[Date]=B2430)*ISNUMBER(measured[Measured Value (kWh)]))=0,"",SUMIFS(measured[Measured Value (kWh)],measured[Site Name],A2430,measured[Date],B2430)),"")</f>
        <v/>
      </c>
      <c r="D2430" cm="1">
        <f t="array" ref="D2430">IFERROR(IF(SUMPRODUCT((expected_production[Site Name]=A2430)*(expected_production[Date]=B2430)*ISNUMBER(expected_production[Expected Production (kWh)]))=0,"",SUMIFS(expected_production[Expected Production (kWh)],expected_production[Site Name],A2430,expected_production[Date],B2430)),"")</f>
        <v>0</v>
      </c>
      <c r="E2430" s="9" t="str">
        <f t="shared" si="78"/>
        <v/>
      </c>
      <c r="F2430" t="str">
        <f t="shared" si="79"/>
        <v/>
      </c>
    </row>
    <row r="2431" spans="1:6" ht="15" customHeight="1" x14ac:dyDescent="0.3">
      <c r="A2431" t="s">
        <v>192</v>
      </c>
      <c r="B2431" s="2">
        <v>45809</v>
      </c>
      <c r="C2431" t="str" cm="1">
        <f t="array" ref="C2431">IFERROR(IF(SUMPRODUCT((measured[Site Name]=A2431)*(measured[Date]=B2431)*ISNUMBER(measured[Measured Value (kWh)]))=0,"",SUMIFS(measured[Measured Value (kWh)],measured[Site Name],A2431,measured[Date],B2431)),"")</f>
        <v/>
      </c>
      <c r="D2431" cm="1">
        <f t="array" ref="D2431">IFERROR(IF(SUMPRODUCT((expected_production[Site Name]=A2431)*(expected_production[Date]=B2431)*ISNUMBER(expected_production[Expected Production (kWh)]))=0,"",SUMIFS(expected_production[Expected Production (kWh)],expected_production[Site Name],A2431,expected_production[Date],B2431)),"")</f>
        <v>0</v>
      </c>
      <c r="E2431" s="9" t="str">
        <f t="shared" si="78"/>
        <v/>
      </c>
      <c r="F2431" t="str">
        <f t="shared" si="79"/>
        <v/>
      </c>
    </row>
    <row r="2432" spans="1:6" ht="15" customHeight="1" x14ac:dyDescent="0.3">
      <c r="A2432" t="s">
        <v>192</v>
      </c>
      <c r="B2432" s="2">
        <v>45839</v>
      </c>
      <c r="C2432" t="str" cm="1">
        <f t="array" ref="C2432">IFERROR(IF(SUMPRODUCT((measured[Site Name]=A2432)*(measured[Date]=B2432)*ISNUMBER(measured[Measured Value (kWh)]))=0,"",SUMIFS(measured[Measured Value (kWh)],measured[Site Name],A2432,measured[Date],B2432)),"")</f>
        <v/>
      </c>
      <c r="D2432" cm="1">
        <f t="array" ref="D2432">IFERROR(IF(SUMPRODUCT((expected_production[Site Name]=A2432)*(expected_production[Date]=B2432)*ISNUMBER(expected_production[Expected Production (kWh)]))=0,"",SUMIFS(expected_production[Expected Production (kWh)],expected_production[Site Name],A2432,expected_production[Date],B2432)),"")</f>
        <v>0</v>
      </c>
      <c r="E2432" s="9" t="str">
        <f t="shared" si="78"/>
        <v/>
      </c>
      <c r="F2432" t="str">
        <f t="shared" si="79"/>
        <v/>
      </c>
    </row>
    <row r="2433" spans="1:7" ht="15" customHeight="1" x14ac:dyDescent="0.3">
      <c r="A2433" t="s">
        <v>192</v>
      </c>
      <c r="B2433" s="2">
        <v>45870</v>
      </c>
      <c r="C2433" t="str" cm="1">
        <f t="array" ref="C2433">IFERROR(IF(SUMPRODUCT((measured[Site Name]=A2433)*(measured[Date]=B2433)*ISNUMBER(measured[Measured Value (kWh)]))=0,"",SUMIFS(measured[Measured Value (kWh)],measured[Site Name],A2433,measured[Date],B2433)),"")</f>
        <v/>
      </c>
      <c r="D2433" cm="1">
        <f t="array" ref="D2433">IFERROR(IF(SUMPRODUCT((expected_production[Site Name]=A2433)*(expected_production[Date]=B2433)*ISNUMBER(expected_production[Expected Production (kWh)]))=0,"",SUMIFS(expected_production[Expected Production (kWh)],expected_production[Site Name],A2433,expected_production[Date],B2433)),"")</f>
        <v>0</v>
      </c>
      <c r="E2433" s="9" t="str">
        <f t="shared" si="78"/>
        <v/>
      </c>
      <c r="F2433" t="str">
        <f t="shared" si="79"/>
        <v/>
      </c>
    </row>
    <row r="2434" spans="1:7" ht="15" customHeight="1" x14ac:dyDescent="0.3">
      <c r="A2434" t="s">
        <v>192</v>
      </c>
      <c r="B2434" s="2">
        <v>45901</v>
      </c>
      <c r="C2434" t="str" cm="1">
        <f t="array" ref="C2434">IFERROR(IF(SUMPRODUCT((measured[Site Name]=A2434)*(measured[Date]=B2434)*ISNUMBER(measured[Measured Value (kWh)]))=0,"",SUMIFS(measured[Measured Value (kWh)],measured[Site Name],A2434,measured[Date],B2434)),"")</f>
        <v/>
      </c>
      <c r="D2434" cm="1">
        <f t="array" ref="D2434">IFERROR(IF(SUMPRODUCT((expected_production[Site Name]=A2434)*(expected_production[Date]=B2434)*ISNUMBER(expected_production[Expected Production (kWh)]))=0,"",SUMIFS(expected_production[Expected Production (kWh)],expected_production[Site Name],A2434,expected_production[Date],B2434)),"")</f>
        <v>0</v>
      </c>
      <c r="E2434" s="9" t="str">
        <f t="shared" si="78"/>
        <v/>
      </c>
      <c r="F2434" t="str">
        <f t="shared" si="79"/>
        <v/>
      </c>
    </row>
    <row r="2435" spans="1:7" ht="15" customHeight="1" x14ac:dyDescent="0.3">
      <c r="A2435" t="s">
        <v>192</v>
      </c>
      <c r="B2435" s="2">
        <v>45931</v>
      </c>
      <c r="C2435" t="str" cm="1">
        <f t="array" ref="C2435">IFERROR(IF(SUMPRODUCT((measured[Site Name]=A2435)*(measured[Date]=B2435)*ISNUMBER(measured[Measured Value (kWh)]))=0,"",SUMIFS(measured[Measured Value (kWh)],measured[Site Name],A2435,measured[Date],B2435)),"")</f>
        <v/>
      </c>
      <c r="D2435" cm="1">
        <f t="array" ref="D2435">IFERROR(IF(SUMPRODUCT((expected_production[Site Name]=A2435)*(expected_production[Date]=B2435)*ISNUMBER(expected_production[Expected Production (kWh)]))=0,"",SUMIFS(expected_production[Expected Production (kWh)],expected_production[Site Name],A2435,expected_production[Date],B2435)),"")</f>
        <v>0</v>
      </c>
      <c r="E2435" s="9" t="str">
        <f t="shared" si="78"/>
        <v/>
      </c>
      <c r="F2435" t="str">
        <f t="shared" si="79"/>
        <v/>
      </c>
    </row>
    <row r="2436" spans="1:7" ht="15" customHeight="1" x14ac:dyDescent="0.3">
      <c r="A2436" t="s">
        <v>192</v>
      </c>
      <c r="B2436" s="2">
        <v>45962</v>
      </c>
      <c r="C2436" t="str" cm="1">
        <f t="array" ref="C2436">IFERROR(IF(SUMPRODUCT((measured[Site Name]=A2436)*(measured[Date]=B2436)*ISNUMBER(measured[Measured Value (kWh)]))=0,"",SUMIFS(measured[Measured Value (kWh)],measured[Site Name],A2436,measured[Date],B2436)),"")</f>
        <v/>
      </c>
      <c r="D2436" cm="1">
        <f t="array" ref="D2436">IFERROR(IF(SUMPRODUCT((expected_production[Site Name]=A2436)*(expected_production[Date]=B2436)*ISNUMBER(expected_production[Expected Production (kWh)]))=0,"",SUMIFS(expected_production[Expected Production (kWh)],expected_production[Site Name],A2436,expected_production[Date],B2436)),"")</f>
        <v>0</v>
      </c>
      <c r="E2436" s="9" t="str">
        <f t="shared" si="78"/>
        <v/>
      </c>
      <c r="F2436" t="str">
        <f t="shared" si="79"/>
        <v/>
      </c>
    </row>
    <row r="2437" spans="1:7" ht="15" customHeight="1" x14ac:dyDescent="0.3">
      <c r="A2437" t="s">
        <v>192</v>
      </c>
      <c r="B2437" s="2">
        <v>45992</v>
      </c>
      <c r="C2437" t="str" cm="1">
        <f t="array" ref="C2437">IFERROR(IF(SUMPRODUCT((measured[Site Name]=A2437)*(measured[Date]=B2437)*ISNUMBER(measured[Measured Value (kWh)]))=0,"",SUMIFS(measured[Measured Value (kWh)],measured[Site Name],A2437,measured[Date],B2437)),"")</f>
        <v/>
      </c>
      <c r="D2437" cm="1">
        <f t="array" ref="D2437">IFERROR(IF(SUMPRODUCT((expected_production[Site Name]=A2437)*(expected_production[Date]=B2437)*ISNUMBER(expected_production[Expected Production (kWh)]))=0,"",SUMIFS(expected_production[Expected Production (kWh)],expected_production[Site Name],A2437,expected_production[Date],B2437)),"")</f>
        <v>0</v>
      </c>
      <c r="E2437" s="9" t="str">
        <f t="shared" si="78"/>
        <v/>
      </c>
      <c r="F2437" t="str">
        <f t="shared" si="79"/>
        <v/>
      </c>
    </row>
    <row r="2438" spans="1:7" ht="15" customHeight="1" x14ac:dyDescent="0.3">
      <c r="A2438" t="s">
        <v>192</v>
      </c>
      <c r="B2438" s="2">
        <v>46023</v>
      </c>
      <c r="C2438" t="str" cm="1">
        <f t="array" ref="C2438">IFERROR(IF(SUMPRODUCT((measured[Site Name]=A2438)*(measured[Date]=B2438)*ISNUMBER(measured[Measured Value (kWh)]))=0,"",SUMIFS(measured[Measured Value (kWh)],measured[Site Name],A2438,measured[Date],B2438)),"")</f>
        <v/>
      </c>
      <c r="D2438" cm="1">
        <f t="array" ref="D2438">IFERROR(IF(SUMPRODUCT((expected_production[Site Name]=A2438)*(expected_production[Date]=B2438)*ISNUMBER(expected_production[Expected Production (kWh)]))=0,"",SUMIFS(expected_production[Expected Production (kWh)],expected_production[Site Name],A2438,expected_production[Date],B2438)),"")</f>
        <v>0</v>
      </c>
      <c r="E2438" s="9" t="str">
        <f t="shared" si="78"/>
        <v/>
      </c>
      <c r="F2438" t="str">
        <f t="shared" si="79"/>
        <v/>
      </c>
    </row>
    <row r="2439" spans="1:7" ht="15" customHeight="1" x14ac:dyDescent="0.3">
      <c r="A2439" t="s">
        <v>192</v>
      </c>
      <c r="B2439" s="2">
        <v>46054</v>
      </c>
      <c r="C2439" t="str" cm="1">
        <f t="array" ref="C2439">IFERROR(IF(SUMPRODUCT((measured[Site Name]=A2439)*(measured[Date]=B2439)*ISNUMBER(measured[Measured Value (kWh)]))=0,"",SUMIFS(measured[Measured Value (kWh)],measured[Site Name],A2439,measured[Date],B2439)),"")</f>
        <v/>
      </c>
      <c r="D2439" cm="1">
        <f t="array" ref="D2439">IFERROR(IF(SUMPRODUCT((expected_production[Site Name]=A2439)*(expected_production[Date]=B2439)*ISNUMBER(expected_production[Expected Production (kWh)]))=0,"",SUMIFS(expected_production[Expected Production (kWh)],expected_production[Site Name],A2439,expected_production[Date],B2439)),"")</f>
        <v>0</v>
      </c>
      <c r="E2439" s="9" t="str">
        <f t="shared" si="78"/>
        <v/>
      </c>
      <c r="F2439" t="str">
        <f t="shared" si="79"/>
        <v/>
      </c>
    </row>
    <row r="2440" spans="1:7" ht="15" customHeight="1" x14ac:dyDescent="0.3">
      <c r="A2440" t="s">
        <v>192</v>
      </c>
      <c r="B2440" s="2">
        <v>46082</v>
      </c>
      <c r="C2440" t="str" cm="1">
        <f t="array" ref="C2440">IFERROR(IF(SUMPRODUCT((measured[Site Name]=A2440)*(measured[Date]=B2440)*ISNUMBER(measured[Measured Value (kWh)]))=0,"",SUMIFS(measured[Measured Value (kWh)],measured[Site Name],A2440,measured[Date],B2440)),"")</f>
        <v/>
      </c>
      <c r="D2440" cm="1">
        <f t="array" ref="D2440">IFERROR(IF(SUMPRODUCT((expected_production[Site Name]=A2440)*(expected_production[Date]=B2440)*ISNUMBER(expected_production[Expected Production (kWh)]))=0,"",SUMIFS(expected_production[Expected Production (kWh)],expected_production[Site Name],A2440,expected_production[Date],B2440)),"")</f>
        <v>0</v>
      </c>
      <c r="E2440" s="9" t="str">
        <f t="shared" si="78"/>
        <v/>
      </c>
      <c r="F2440" t="str">
        <f t="shared" si="79"/>
        <v/>
      </c>
    </row>
    <row r="2441" spans="1:7" ht="15" customHeight="1" x14ac:dyDescent="0.3">
      <c r="A2441" t="s">
        <v>192</v>
      </c>
      <c r="B2441" s="2">
        <v>46113</v>
      </c>
      <c r="C2441" t="str" cm="1">
        <f t="array" ref="C2441">IFERROR(IF(SUMPRODUCT((measured[Site Name]=A2441)*(measured[Date]=B2441)*ISNUMBER(measured[Measured Value (kWh)]))=0,"",SUMIFS(measured[Measured Value (kWh)],measured[Site Name],A2441,measured[Date],B2441)),"")</f>
        <v/>
      </c>
      <c r="D2441" cm="1">
        <f t="array" ref="D2441">IFERROR(IF(SUMPRODUCT((expected_production[Site Name]=A2441)*(expected_production[Date]=B2441)*ISNUMBER(expected_production[Expected Production (kWh)]))=0,"",SUMIFS(expected_production[Expected Production (kWh)],expected_production[Site Name],A2441,expected_production[Date],B2441)),"")</f>
        <v>0</v>
      </c>
      <c r="E2441" s="9" t="str">
        <f t="shared" si="78"/>
        <v/>
      </c>
      <c r="F2441" t="str">
        <f t="shared" si="79"/>
        <v/>
      </c>
    </row>
    <row r="2442" spans="1:7" ht="15" customHeight="1" x14ac:dyDescent="0.3">
      <c r="A2442" t="s">
        <v>192</v>
      </c>
      <c r="B2442" s="2">
        <v>46143</v>
      </c>
      <c r="C2442" t="str" cm="1">
        <f t="array" ref="C2442">IFERROR(IF(SUMPRODUCT((measured[Site Name]=A2442)*(measured[Date]=B2442)*ISNUMBER(measured[Measured Value (kWh)]))=0,"",SUMIFS(measured[Measured Value (kWh)],measured[Site Name],A2442,measured[Date],B2442)),"")</f>
        <v/>
      </c>
      <c r="D2442" cm="1">
        <f t="array" ref="D2442">IFERROR(IF(SUMPRODUCT((expected_production[Site Name]=A2442)*(expected_production[Date]=B2442)*ISNUMBER(expected_production[Expected Production (kWh)]))=0,"",SUMIFS(expected_production[Expected Production (kWh)],expected_production[Site Name],A2442,expected_production[Date],B2442)),"")</f>
        <v>0</v>
      </c>
      <c r="E2442" s="9" t="str">
        <f t="shared" si="78"/>
        <v/>
      </c>
      <c r="F2442" t="str">
        <f t="shared" si="79"/>
        <v/>
      </c>
    </row>
    <row r="2443" spans="1:7" ht="15" customHeight="1" x14ac:dyDescent="0.3">
      <c r="A2443" t="s">
        <v>192</v>
      </c>
      <c r="B2443" s="2">
        <v>46174</v>
      </c>
      <c r="C2443" t="str" cm="1">
        <f t="array" ref="C2443">IFERROR(IF(SUMPRODUCT((measured[Site Name]=A2443)*(measured[Date]=B2443)*ISNUMBER(measured[Measured Value (kWh)]))=0,"",SUMIFS(measured[Measured Value (kWh)],measured[Site Name],A2443,measured[Date],B2443)),"")</f>
        <v/>
      </c>
      <c r="D2443" cm="1">
        <f t="array" ref="D2443">IFERROR(IF(SUMPRODUCT((expected_production[Site Name]=A2443)*(expected_production[Date]=B2443)*ISNUMBER(expected_production[Expected Production (kWh)]))=0,"",SUMIFS(expected_production[Expected Production (kWh)],expected_production[Site Name],A2443,expected_production[Date],B2443)),"")</f>
        <v>0</v>
      </c>
      <c r="E2443" s="9" t="str">
        <f t="shared" si="78"/>
        <v/>
      </c>
      <c r="F2443" t="str">
        <f t="shared" si="79"/>
        <v/>
      </c>
    </row>
    <row r="2444" spans="1:7" ht="15" customHeight="1" x14ac:dyDescent="0.3">
      <c r="A2444" t="s">
        <v>216</v>
      </c>
      <c r="B2444" s="2">
        <v>46204</v>
      </c>
      <c r="C2444" cm="1">
        <f t="array" ref="C2444">IFERROR(IF(SUMPRODUCT((measured[Site Name]=A2444)*(measured[Date]=B2444)*ISNUMBER(measured[Measured Value (kWh)]))=0,"",SUMIFS(measured[Measured Value (kWh)],measured[Site Name],A2444,measured[Date],B2444)),"")</f>
        <v>10206</v>
      </c>
      <c r="D2444" cm="1">
        <f t="array" ref="D2444">IFERROR(IF(SUMPRODUCT((expected_production[Site Name]=A2444)*(expected_production[Date]=B2444)*ISNUMBER(expected_production[Expected Production (kWh)]))=0,"",SUMIFS(expected_production[Expected Production (kWh)],expected_production[Site Name],A2444,expected_production[Date],B2444)),"")</f>
        <v>19181.7</v>
      </c>
      <c r="E2444" s="9">
        <f t="shared" si="78"/>
        <v>0.53206962886501197</v>
      </c>
      <c r="F2444" t="str">
        <f t="shared" si="79"/>
        <v>Poor</v>
      </c>
      <c r="G2444" t="s">
        <v>875</v>
      </c>
    </row>
    <row r="2445" spans="1:7" ht="15" customHeight="1" x14ac:dyDescent="0.3">
      <c r="A2445" t="s">
        <v>192</v>
      </c>
      <c r="B2445" s="2">
        <v>46235</v>
      </c>
      <c r="C2445" t="str" cm="1">
        <f t="array" ref="C2445">IFERROR(IF(SUMPRODUCT((measured[Site Name]=A2445)*(measured[Date]=B2445)*ISNUMBER(measured[Measured Value (kWh)]))=0,"",SUMIFS(measured[Measured Value (kWh)],measured[Site Name],A2445,measured[Date],B2445)),"")</f>
        <v/>
      </c>
      <c r="D2445" cm="1">
        <f t="array" ref="D2445">IFERROR(IF(SUMPRODUCT((expected_production[Site Name]=A2445)*(expected_production[Date]=B2445)*ISNUMBER(expected_production[Expected Production (kWh)]))=0,"",SUMIFS(expected_production[Expected Production (kWh)],expected_production[Site Name],A2445,expected_production[Date],B2445)),"")</f>
        <v>0</v>
      </c>
      <c r="E2445" s="9" t="str">
        <f t="shared" si="78"/>
        <v/>
      </c>
      <c r="F2445" t="str">
        <f t="shared" si="79"/>
        <v/>
      </c>
    </row>
    <row r="2446" spans="1:7" ht="15" customHeight="1" x14ac:dyDescent="0.3">
      <c r="A2446" t="s">
        <v>192</v>
      </c>
      <c r="B2446" s="2">
        <v>46266</v>
      </c>
      <c r="C2446" t="str" cm="1">
        <f t="array" ref="C2446">IFERROR(IF(SUMPRODUCT((measured[Site Name]=A2446)*(measured[Date]=B2446)*ISNUMBER(measured[Measured Value (kWh)]))=0,"",SUMIFS(measured[Measured Value (kWh)],measured[Site Name],A2446,measured[Date],B2446)),"")</f>
        <v/>
      </c>
      <c r="D2446" cm="1">
        <f t="array" ref="D2446">IFERROR(IF(SUMPRODUCT((expected_production[Site Name]=A2446)*(expected_production[Date]=B2446)*ISNUMBER(expected_production[Expected Production (kWh)]))=0,"",SUMIFS(expected_production[Expected Production (kWh)],expected_production[Site Name],A2446,expected_production[Date],B2446)),"")</f>
        <v>0</v>
      </c>
      <c r="E2446" s="9" t="str">
        <f t="shared" si="78"/>
        <v/>
      </c>
      <c r="F2446" t="str">
        <f t="shared" si="79"/>
        <v/>
      </c>
    </row>
    <row r="2447" spans="1:7" ht="15" customHeight="1" x14ac:dyDescent="0.3">
      <c r="A2447" t="s">
        <v>192</v>
      </c>
      <c r="B2447" s="2">
        <v>46296</v>
      </c>
      <c r="C2447" t="str" cm="1">
        <f t="array" ref="C2447">IFERROR(IF(SUMPRODUCT((measured[Site Name]=A2447)*(measured[Date]=B2447)*ISNUMBER(measured[Measured Value (kWh)]))=0,"",SUMIFS(measured[Measured Value (kWh)],measured[Site Name],A2447,measured[Date],B2447)),"")</f>
        <v/>
      </c>
      <c r="D2447" cm="1">
        <f t="array" ref="D2447">IFERROR(IF(SUMPRODUCT((expected_production[Site Name]=A2447)*(expected_production[Date]=B2447)*ISNUMBER(expected_production[Expected Production (kWh)]))=0,"",SUMIFS(expected_production[Expected Production (kWh)],expected_production[Site Name],A2447,expected_production[Date],B2447)),"")</f>
        <v>0</v>
      </c>
      <c r="E2447" s="9" t="str">
        <f t="shared" si="78"/>
        <v/>
      </c>
      <c r="F2447" t="str">
        <f t="shared" si="79"/>
        <v/>
      </c>
    </row>
    <row r="2448" spans="1:7" ht="15" customHeight="1" x14ac:dyDescent="0.3">
      <c r="A2448" t="s">
        <v>192</v>
      </c>
      <c r="B2448" s="2">
        <v>46327</v>
      </c>
      <c r="C2448" t="str" cm="1">
        <f t="array" ref="C2448">IFERROR(IF(SUMPRODUCT((measured[Site Name]=A2448)*(measured[Date]=B2448)*ISNUMBER(measured[Measured Value (kWh)]))=0,"",SUMIFS(measured[Measured Value (kWh)],measured[Site Name],A2448,measured[Date],B2448)),"")</f>
        <v/>
      </c>
      <c r="D2448" cm="1">
        <f t="array" ref="D2448">IFERROR(IF(SUMPRODUCT((expected_production[Site Name]=A2448)*(expected_production[Date]=B2448)*ISNUMBER(expected_production[Expected Production (kWh)]))=0,"",SUMIFS(expected_production[Expected Production (kWh)],expected_production[Site Name],A2448,expected_production[Date],B2448)),"")</f>
        <v>0</v>
      </c>
      <c r="E2448" s="9" t="str">
        <f t="shared" si="78"/>
        <v/>
      </c>
      <c r="F2448" t="str">
        <f t="shared" si="79"/>
        <v/>
      </c>
    </row>
    <row r="2449" spans="1:6" ht="15" customHeight="1" x14ac:dyDescent="0.3">
      <c r="A2449" t="s">
        <v>192</v>
      </c>
      <c r="B2449" s="2">
        <v>46357</v>
      </c>
      <c r="C2449" t="str" cm="1">
        <f t="array" ref="C2449">IFERROR(IF(SUMPRODUCT((measured[Site Name]=A2449)*(measured[Date]=B2449)*ISNUMBER(measured[Measured Value (kWh)]))=0,"",SUMIFS(measured[Measured Value (kWh)],measured[Site Name],A2449,measured[Date],B2449)),"")</f>
        <v/>
      </c>
      <c r="D2449" cm="1">
        <f t="array" ref="D2449">IFERROR(IF(SUMPRODUCT((expected_production[Site Name]=A2449)*(expected_production[Date]=B2449)*ISNUMBER(expected_production[Expected Production (kWh)]))=0,"",SUMIFS(expected_production[Expected Production (kWh)],expected_production[Site Name],A2449,expected_production[Date],B2449)),"")</f>
        <v>0</v>
      </c>
      <c r="E2449" s="9" t="str">
        <f t="shared" si="78"/>
        <v/>
      </c>
      <c r="F2449" t="str">
        <f t="shared" si="79"/>
        <v/>
      </c>
    </row>
    <row r="2450" spans="1:6" ht="15" customHeight="1" x14ac:dyDescent="0.3">
      <c r="A2450" t="s">
        <v>194</v>
      </c>
      <c r="B2450" s="2">
        <v>45292</v>
      </c>
      <c r="C2450" cm="1">
        <f t="array" ref="C2450">IFERROR(IF(SUMPRODUCT((measured[Site Name]=A2450)*(measured[Date]=B2450)*ISNUMBER(measured[Measured Value (kWh)]))=0,"",SUMIFS(measured[Measured Value (kWh)],measured[Site Name],A2450,measured[Date],B2450)),"")</f>
        <v>6142</v>
      </c>
      <c r="D2450" cm="1">
        <f t="array" ref="D2450">IFERROR(IF(SUMPRODUCT((expected_production[Site Name]=A2450)*(expected_production[Date]=B2450)*ISNUMBER(expected_production[Expected Production (kWh)]))=0,"",SUMIFS(expected_production[Expected Production (kWh)],expected_production[Site Name],A2450,expected_production[Date],B2450)),"")</f>
        <v>7399.8</v>
      </c>
      <c r="E2450" s="9">
        <f t="shared" si="78"/>
        <v>0.8300224330387308</v>
      </c>
      <c r="F2450" t="str">
        <f t="shared" si="79"/>
        <v>Moderate</v>
      </c>
    </row>
    <row r="2451" spans="1:6" ht="15" customHeight="1" x14ac:dyDescent="0.3">
      <c r="A2451" t="s">
        <v>194</v>
      </c>
      <c r="B2451" s="2">
        <v>45323</v>
      </c>
      <c r="C2451" cm="1">
        <f t="array" ref="C2451">IFERROR(IF(SUMPRODUCT((measured[Site Name]=A2451)*(measured[Date]=B2451)*ISNUMBER(measured[Measured Value (kWh)]))=0,"",SUMIFS(measured[Measured Value (kWh)],measured[Site Name],A2451,measured[Date],B2451)),"")</f>
        <v>5738</v>
      </c>
      <c r="D2451" cm="1">
        <f t="array" ref="D2451">IFERROR(IF(SUMPRODUCT((expected_production[Site Name]=A2451)*(expected_production[Date]=B2451)*ISNUMBER(expected_production[Expected Production (kWh)]))=0,"",SUMIFS(expected_production[Expected Production (kWh)],expected_production[Site Name],A2451,expected_production[Date],B2451)),"")</f>
        <v>6298.2</v>
      </c>
      <c r="E2451" s="9">
        <f t="shared" si="78"/>
        <v>0.91105395192277161</v>
      </c>
      <c r="F2451" t="str">
        <f t="shared" si="79"/>
        <v>Expected</v>
      </c>
    </row>
    <row r="2452" spans="1:6" ht="15" customHeight="1" x14ac:dyDescent="0.3">
      <c r="A2452" t="s">
        <v>194</v>
      </c>
      <c r="B2452" s="2">
        <v>45352</v>
      </c>
      <c r="C2452" cm="1">
        <f t="array" ref="C2452">IFERROR(IF(SUMPRODUCT((measured[Site Name]=A2452)*(measured[Date]=B2452)*ISNUMBER(measured[Measured Value (kWh)]))=0,"",SUMIFS(measured[Measured Value (kWh)],measured[Site Name],A2452,measured[Date],B2452)),"")</f>
        <v>5912</v>
      </c>
      <c r="D2452" cm="1">
        <f t="array" ref="D2452">IFERROR(IF(SUMPRODUCT((expected_production[Site Name]=A2452)*(expected_production[Date]=B2452)*ISNUMBER(expected_production[Expected Production (kWh)]))=0,"",SUMIFS(expected_production[Expected Production (kWh)],expected_production[Site Name],A2452,expected_production[Date],B2452)),"")</f>
        <v>6353.1</v>
      </c>
      <c r="E2452" s="9">
        <f t="shared" si="78"/>
        <v>0.93056932835938355</v>
      </c>
      <c r="F2452" t="str">
        <f t="shared" si="79"/>
        <v>Expected</v>
      </c>
    </row>
    <row r="2453" spans="1:6" ht="15" customHeight="1" x14ac:dyDescent="0.3">
      <c r="A2453" t="s">
        <v>194</v>
      </c>
      <c r="B2453" s="2">
        <v>45383</v>
      </c>
      <c r="C2453" cm="1">
        <f t="array" ref="C2453">IFERROR(IF(SUMPRODUCT((measured[Site Name]=A2453)*(measured[Date]=B2453)*ISNUMBER(measured[Measured Value (kWh)]))=0,"",SUMIFS(measured[Measured Value (kWh)],measured[Site Name],A2453,measured[Date],B2453)),"")</f>
        <v>4354</v>
      </c>
      <c r="D2453" cm="1">
        <f t="array" ref="D2453">IFERROR(IF(SUMPRODUCT((expected_production[Site Name]=A2453)*(expected_production[Date]=B2453)*ISNUMBER(expected_production[Expected Production (kWh)]))=0,"",SUMIFS(expected_production[Expected Production (kWh)],expected_production[Site Name],A2453,expected_production[Date],B2453)),"")</f>
        <v>5016.6000000000004</v>
      </c>
      <c r="E2453" s="9">
        <f t="shared" si="78"/>
        <v>0.86791851054499058</v>
      </c>
      <c r="F2453" t="str">
        <f t="shared" si="79"/>
        <v>Moderate</v>
      </c>
    </row>
    <row r="2454" spans="1:6" ht="15" customHeight="1" x14ac:dyDescent="0.3">
      <c r="A2454" t="s">
        <v>194</v>
      </c>
      <c r="B2454" s="2">
        <v>45413</v>
      </c>
      <c r="C2454" cm="1">
        <f t="array" ref="C2454">IFERROR(IF(SUMPRODUCT((measured[Site Name]=A2454)*(measured[Date]=B2454)*ISNUMBER(measured[Measured Value (kWh)]))=0,"",SUMIFS(measured[Measured Value (kWh)],measured[Site Name],A2454,measured[Date],B2454)),"")</f>
        <v>3536</v>
      </c>
      <c r="D2454" cm="1">
        <f t="array" ref="D2454">IFERROR(IF(SUMPRODUCT((expected_production[Site Name]=A2454)*(expected_production[Date]=B2454)*ISNUMBER(expected_production[Expected Production (kWh)]))=0,"",SUMIFS(expected_production[Expected Production (kWh)],expected_production[Site Name],A2454,expected_production[Date],B2454)),"")</f>
        <v>4753.8</v>
      </c>
      <c r="E2454" s="9">
        <f t="shared" si="78"/>
        <v>0.74382599183810838</v>
      </c>
      <c r="F2454" t="str">
        <f t="shared" si="79"/>
        <v>Moderate</v>
      </c>
    </row>
    <row r="2455" spans="1:6" ht="15" customHeight="1" x14ac:dyDescent="0.3">
      <c r="A2455" t="s">
        <v>194</v>
      </c>
      <c r="B2455" s="2">
        <v>45444</v>
      </c>
      <c r="C2455" cm="1">
        <f t="array" ref="C2455">IFERROR(IF(SUMPRODUCT((measured[Site Name]=A2455)*(measured[Date]=B2455)*ISNUMBER(measured[Measured Value (kWh)]))=0,"",SUMIFS(measured[Measured Value (kWh)],measured[Site Name],A2455,measured[Date],B2455)),"")</f>
        <v>2689</v>
      </c>
      <c r="D2455" cm="1">
        <f t="array" ref="D2455">IFERROR(IF(SUMPRODUCT((expected_production[Site Name]=A2455)*(expected_production[Date]=B2455)*ISNUMBER(expected_production[Expected Production (kWh)]))=0,"",SUMIFS(expected_production[Expected Production (kWh)],expected_production[Site Name],A2455,expected_production[Date],B2455)),"")</f>
        <v>4257</v>
      </c>
      <c r="E2455" s="9">
        <f t="shared" si="78"/>
        <v>0.63166549213060841</v>
      </c>
      <c r="F2455" t="str">
        <f t="shared" si="79"/>
        <v>Poor</v>
      </c>
    </row>
    <row r="2456" spans="1:6" ht="15" customHeight="1" x14ac:dyDescent="0.3">
      <c r="A2456" t="s">
        <v>194</v>
      </c>
      <c r="B2456" s="2">
        <v>45474</v>
      </c>
      <c r="C2456" cm="1">
        <f t="array" ref="C2456">IFERROR(IF(SUMPRODUCT((measured[Site Name]=A2456)*(measured[Date]=B2456)*ISNUMBER(measured[Measured Value (kWh)]))=0,"",SUMIFS(measured[Measured Value (kWh)],measured[Site Name],A2456,measured[Date],B2456)),"")</f>
        <v>3106</v>
      </c>
      <c r="D2456" cm="1">
        <f t="array" ref="D2456">IFERROR(IF(SUMPRODUCT((expected_production[Site Name]=A2456)*(expected_production[Date]=B2456)*ISNUMBER(expected_production[Expected Production (kWh)]))=0,"",SUMIFS(expected_production[Expected Production (kWh)],expected_production[Site Name],A2456,expected_production[Date],B2456)),"")</f>
        <v>4730.3999999999996</v>
      </c>
      <c r="E2456" s="9">
        <f t="shared" si="78"/>
        <v>0.65660409267715214</v>
      </c>
      <c r="F2456" t="str">
        <f t="shared" si="79"/>
        <v>Poor</v>
      </c>
    </row>
    <row r="2457" spans="1:6" ht="15" customHeight="1" x14ac:dyDescent="0.3">
      <c r="A2457" t="s">
        <v>194</v>
      </c>
      <c r="B2457" s="2">
        <v>45505</v>
      </c>
      <c r="C2457" cm="1">
        <f t="array" ref="C2457">IFERROR(IF(SUMPRODUCT((measured[Site Name]=A2457)*(measured[Date]=B2457)*ISNUMBER(measured[Measured Value (kWh)]))=0,"",SUMIFS(measured[Measured Value (kWh)],measured[Site Name],A2457,measured[Date],B2457)),"")</f>
        <v>4461</v>
      </c>
      <c r="D2457" cm="1">
        <f t="array" ref="D2457">IFERROR(IF(SUMPRODUCT((expected_production[Site Name]=A2457)*(expected_production[Date]=B2457)*ISNUMBER(expected_production[Expected Production (kWh)]))=0,"",SUMIFS(expected_production[Expected Production (kWh)],expected_production[Site Name],A2457,expected_production[Date],B2457)),"")</f>
        <v>5440.5</v>
      </c>
      <c r="E2457" s="9">
        <f t="shared" si="78"/>
        <v>0.81996140060656186</v>
      </c>
      <c r="F2457" t="str">
        <f t="shared" si="79"/>
        <v>Moderate</v>
      </c>
    </row>
    <row r="2458" spans="1:6" ht="15" customHeight="1" x14ac:dyDescent="0.3">
      <c r="A2458" t="s">
        <v>194</v>
      </c>
      <c r="B2458" s="2">
        <v>45536</v>
      </c>
      <c r="C2458" cm="1">
        <f t="array" ref="C2458">IFERROR(IF(SUMPRODUCT((measured[Site Name]=A2458)*(measured[Date]=B2458)*ISNUMBER(measured[Measured Value (kWh)]))=0,"",SUMIFS(measured[Measured Value (kWh)],measured[Site Name],A2458,measured[Date],B2458)),"")</f>
        <v>5033</v>
      </c>
      <c r="D2458" cm="1">
        <f t="array" ref="D2458">IFERROR(IF(SUMPRODUCT((expected_production[Site Name]=A2458)*(expected_production[Date]=B2458)*ISNUMBER(expected_production[Expected Production (kWh)]))=0,"",SUMIFS(expected_production[Expected Production (kWh)],expected_production[Site Name],A2458,expected_production[Date],B2458)),"")</f>
        <v>6345.9</v>
      </c>
      <c r="E2458" s="9">
        <f t="shared" si="78"/>
        <v>0.79311051229927987</v>
      </c>
      <c r="F2458" t="str">
        <f t="shared" si="79"/>
        <v>Moderate</v>
      </c>
    </row>
    <row r="2459" spans="1:6" ht="15" customHeight="1" x14ac:dyDescent="0.3">
      <c r="A2459" t="s">
        <v>194</v>
      </c>
      <c r="B2459" s="2">
        <v>45566</v>
      </c>
      <c r="C2459" cm="1">
        <f t="array" ref="C2459">IFERROR(IF(SUMPRODUCT((measured[Site Name]=A2459)*(measured[Date]=B2459)*ISNUMBER(measured[Measured Value (kWh)]))=0,"",SUMIFS(measured[Measured Value (kWh)],measured[Site Name],A2459,measured[Date],B2459)),"")</f>
        <v>6965</v>
      </c>
      <c r="D2459" cm="1">
        <f t="array" ref="D2459">IFERROR(IF(SUMPRODUCT((expected_production[Site Name]=A2459)*(expected_production[Date]=B2459)*ISNUMBER(expected_production[Expected Production (kWh)]))=0,"",SUMIFS(expected_production[Expected Production (kWh)],expected_production[Site Name],A2459,expected_production[Date],B2459)),"")</f>
        <v>7250.4</v>
      </c>
      <c r="E2459" s="9">
        <f t="shared" si="78"/>
        <v>0.96063665452940528</v>
      </c>
      <c r="F2459" t="str">
        <f t="shared" si="79"/>
        <v>Expected</v>
      </c>
    </row>
    <row r="2460" spans="1:6" ht="15" customHeight="1" x14ac:dyDescent="0.3">
      <c r="A2460" t="s">
        <v>194</v>
      </c>
      <c r="B2460" s="2">
        <v>45597</v>
      </c>
      <c r="C2460" cm="1">
        <f t="array" ref="C2460">IFERROR(IF(SUMPRODUCT((measured[Site Name]=A2460)*(measured[Date]=B2460)*ISNUMBER(measured[Measured Value (kWh)]))=0,"",SUMIFS(measured[Measured Value (kWh)],measured[Site Name],A2460,measured[Date],B2460)),"")</f>
        <v>6934</v>
      </c>
      <c r="D2460" cm="1">
        <f t="array" ref="D2460">IFERROR(IF(SUMPRODUCT((expected_production[Site Name]=A2460)*(expected_production[Date]=B2460)*ISNUMBER(expected_production[Expected Production (kWh)]))=0,"",SUMIFS(expected_production[Expected Production (kWh)],expected_production[Site Name],A2460,expected_production[Date],B2460)),"")</f>
        <v>7330.5</v>
      </c>
      <c r="E2460" s="9">
        <f t="shared" si="78"/>
        <v>0.94591092012823141</v>
      </c>
      <c r="F2460" t="str">
        <f t="shared" si="79"/>
        <v>Expected</v>
      </c>
    </row>
    <row r="2461" spans="1:6" ht="15" customHeight="1" x14ac:dyDescent="0.3">
      <c r="A2461" t="s">
        <v>194</v>
      </c>
      <c r="B2461" s="2">
        <v>45627</v>
      </c>
      <c r="C2461" cm="1">
        <f t="array" ref="C2461">IFERROR(IF(SUMPRODUCT((measured[Site Name]=A2461)*(measured[Date]=B2461)*ISNUMBER(measured[Measured Value (kWh)]))=0,"",SUMIFS(measured[Measured Value (kWh)],measured[Site Name],A2461,measured[Date],B2461)),"")</f>
        <v>7000</v>
      </c>
      <c r="D2461" cm="1">
        <f t="array" ref="D2461">IFERROR(IF(SUMPRODUCT((expected_production[Site Name]=A2461)*(expected_production[Date]=B2461)*ISNUMBER(expected_production[Expected Production (kWh)]))=0,"",SUMIFS(expected_production[Expected Production (kWh)],expected_production[Site Name],A2461,expected_production[Date],B2461)),"")</f>
        <v>7866</v>
      </c>
      <c r="E2461" s="9">
        <f t="shared" si="78"/>
        <v>0.88990592423086701</v>
      </c>
      <c r="F2461" t="str">
        <f t="shared" si="79"/>
        <v>Moderate</v>
      </c>
    </row>
    <row r="2462" spans="1:6" ht="15" customHeight="1" x14ac:dyDescent="0.3">
      <c r="A2462" t="s">
        <v>194</v>
      </c>
      <c r="B2462" s="2">
        <v>45658</v>
      </c>
      <c r="C2462" cm="1">
        <f t="array" ref="C2462">IFERROR(IF(SUMPRODUCT((measured[Site Name]=A2462)*(measured[Date]=B2462)*ISNUMBER(measured[Measured Value (kWh)]))=0,"",SUMIFS(measured[Measured Value (kWh)],measured[Site Name],A2462,measured[Date],B2462)),"")</f>
        <v>5900</v>
      </c>
      <c r="D2462" cm="1">
        <f t="array" ref="D2462">IFERROR(IF(SUMPRODUCT((expected_production[Site Name]=A2462)*(expected_production[Date]=B2462)*ISNUMBER(expected_production[Expected Production (kWh)]))=0,"",SUMIFS(expected_production[Expected Production (kWh)],expected_production[Site Name],A2462,expected_production[Date],B2462)),"")</f>
        <v>7399.8</v>
      </c>
      <c r="E2462" s="9">
        <f t="shared" si="78"/>
        <v>0.79731884645530959</v>
      </c>
      <c r="F2462" t="str">
        <f t="shared" si="79"/>
        <v>Moderate</v>
      </c>
    </row>
    <row r="2463" spans="1:6" ht="15" customHeight="1" x14ac:dyDescent="0.3">
      <c r="A2463" t="s">
        <v>194</v>
      </c>
      <c r="B2463" s="2">
        <v>45689</v>
      </c>
      <c r="C2463" cm="1">
        <f t="array" ref="C2463">IFERROR(IF(SUMPRODUCT((measured[Site Name]=A2463)*(measured[Date]=B2463)*ISNUMBER(measured[Measured Value (kWh)]))=0,"",SUMIFS(measured[Measured Value (kWh)],measured[Site Name],A2463,measured[Date],B2463)),"")</f>
        <v>4280</v>
      </c>
      <c r="D2463" cm="1">
        <f t="array" ref="D2463">IFERROR(IF(SUMPRODUCT((expected_production[Site Name]=A2463)*(expected_production[Date]=B2463)*ISNUMBER(expected_production[Expected Production (kWh)]))=0,"",SUMIFS(expected_production[Expected Production (kWh)],expected_production[Site Name],A2463,expected_production[Date],B2463)),"")</f>
        <v>6298.2</v>
      </c>
      <c r="E2463" s="9">
        <f t="shared" si="78"/>
        <v>0.67955923914769301</v>
      </c>
      <c r="F2463" t="str">
        <f t="shared" si="79"/>
        <v>Poor</v>
      </c>
    </row>
    <row r="2464" spans="1:6" ht="15" customHeight="1" x14ac:dyDescent="0.3">
      <c r="A2464" t="s">
        <v>194</v>
      </c>
      <c r="B2464" s="2">
        <v>45717</v>
      </c>
      <c r="C2464" cm="1">
        <f t="array" ref="C2464">IFERROR(IF(SUMPRODUCT((measured[Site Name]=A2464)*(measured[Date]=B2464)*ISNUMBER(measured[Measured Value (kWh)]))=0,"",SUMIFS(measured[Measured Value (kWh)],measured[Site Name],A2464,measured[Date],B2464)),"")</f>
        <v>4292</v>
      </c>
      <c r="D2464" cm="1">
        <f t="array" ref="D2464">IFERROR(IF(SUMPRODUCT((expected_production[Site Name]=A2464)*(expected_production[Date]=B2464)*ISNUMBER(expected_production[Expected Production (kWh)]))=0,"",SUMIFS(expected_production[Expected Production (kWh)],expected_production[Site Name],A2464,expected_production[Date],B2464)),"")</f>
        <v>6353.1</v>
      </c>
      <c r="E2464" s="9">
        <f t="shared" si="78"/>
        <v>0.67557570320001259</v>
      </c>
      <c r="F2464" t="str">
        <f t="shared" si="79"/>
        <v>Poor</v>
      </c>
    </row>
    <row r="2465" spans="1:7" ht="15" customHeight="1" x14ac:dyDescent="0.3">
      <c r="A2465" t="s">
        <v>194</v>
      </c>
      <c r="B2465" s="2">
        <v>45748</v>
      </c>
      <c r="C2465" cm="1">
        <f t="array" ref="C2465">IFERROR(IF(SUMPRODUCT((measured[Site Name]=A2465)*(measured[Date]=B2465)*ISNUMBER(measured[Measured Value (kWh)]))=0,"",SUMIFS(measured[Measured Value (kWh)],measured[Site Name],A2465,measured[Date],B2465)),"")</f>
        <v>3097</v>
      </c>
      <c r="D2465" cm="1">
        <f t="array" ref="D2465">IFERROR(IF(SUMPRODUCT((expected_production[Site Name]=A2465)*(expected_production[Date]=B2465)*ISNUMBER(expected_production[Expected Production (kWh)]))=0,"",SUMIFS(expected_production[Expected Production (kWh)],expected_production[Site Name],A2465,expected_production[Date],B2465)),"")</f>
        <v>5016.6000000000004</v>
      </c>
      <c r="E2465" s="9">
        <f t="shared" si="78"/>
        <v>0.61735039668301239</v>
      </c>
      <c r="F2465" t="str">
        <f t="shared" si="79"/>
        <v>Poor</v>
      </c>
    </row>
    <row r="2466" spans="1:7" ht="15" customHeight="1" x14ac:dyDescent="0.3">
      <c r="A2466" t="s">
        <v>194</v>
      </c>
      <c r="B2466" s="2">
        <v>45778</v>
      </c>
      <c r="C2466" cm="1">
        <f t="array" ref="C2466">IFERROR(IF(SUMPRODUCT((measured[Site Name]=A2466)*(measured[Date]=B2466)*ISNUMBER(measured[Measured Value (kWh)]))=0,"",SUMIFS(measured[Measured Value (kWh)],measured[Site Name],A2466,measured[Date],B2466)),"")</f>
        <v>3200</v>
      </c>
      <c r="D2466" cm="1">
        <f t="array" ref="D2466">IFERROR(IF(SUMPRODUCT((expected_production[Site Name]=A2466)*(expected_production[Date]=B2466)*ISNUMBER(expected_production[Expected Production (kWh)]))=0,"",SUMIFS(expected_production[Expected Production (kWh)],expected_production[Site Name],A2466,expected_production[Date],B2466)),"")</f>
        <v>4753.8</v>
      </c>
      <c r="E2466" s="9">
        <f t="shared" si="78"/>
        <v>0.67314569397113888</v>
      </c>
      <c r="F2466" t="str">
        <f t="shared" si="79"/>
        <v>Poor</v>
      </c>
    </row>
    <row r="2467" spans="1:7" ht="15" customHeight="1" x14ac:dyDescent="0.3">
      <c r="A2467" t="s">
        <v>194</v>
      </c>
      <c r="B2467" s="2">
        <v>45809</v>
      </c>
      <c r="C2467" cm="1">
        <f t="array" ref="C2467">IFERROR(IF(SUMPRODUCT((measured[Site Name]=A2467)*(measured[Date]=B2467)*ISNUMBER(measured[Measured Value (kWh)]))=0,"",SUMIFS(measured[Measured Value (kWh)],measured[Site Name],A2467,measured[Date],B2467)),"")</f>
        <v>2560.4</v>
      </c>
      <c r="D2467" cm="1">
        <f t="array" ref="D2467">IFERROR(IF(SUMPRODUCT((expected_production[Site Name]=A2467)*(expected_production[Date]=B2467)*ISNUMBER(expected_production[Expected Production (kWh)]))=0,"",SUMIFS(expected_production[Expected Production (kWh)],expected_production[Site Name],A2467,expected_production[Date],B2467)),"")</f>
        <v>4257</v>
      </c>
      <c r="E2467" s="9">
        <f t="shared" si="78"/>
        <v>0.6014564247122387</v>
      </c>
      <c r="F2467" t="str">
        <f t="shared" si="79"/>
        <v>Poor</v>
      </c>
    </row>
    <row r="2468" spans="1:7" ht="15" customHeight="1" x14ac:dyDescent="0.3">
      <c r="A2468" t="s">
        <v>194</v>
      </c>
      <c r="B2468" s="2">
        <v>45839</v>
      </c>
      <c r="C2468" cm="1">
        <f t="array" ref="C2468">IFERROR(IF(SUMPRODUCT((measured[Site Name]=A2468)*(measured[Date]=B2468)*ISNUMBER(measured[Measured Value (kWh)]))=0,"",SUMIFS(measured[Measured Value (kWh)],measured[Site Name],A2468,measured[Date],B2468)),"")</f>
        <v>2823</v>
      </c>
      <c r="D2468" cm="1">
        <f t="array" ref="D2468">IFERROR(IF(SUMPRODUCT((expected_production[Site Name]=A2468)*(expected_production[Date]=B2468)*ISNUMBER(expected_production[Expected Production (kWh)]))=0,"",SUMIFS(expected_production[Expected Production (kWh)],expected_production[Site Name],A2468,expected_production[Date],B2468)),"")</f>
        <v>4730.3999999999996</v>
      </c>
      <c r="E2468" s="9">
        <f t="shared" si="78"/>
        <v>0.59677828513444953</v>
      </c>
      <c r="F2468" t="str">
        <f t="shared" si="79"/>
        <v>Poor</v>
      </c>
    </row>
    <row r="2469" spans="1:7" ht="15" customHeight="1" x14ac:dyDescent="0.3">
      <c r="A2469" t="s">
        <v>194</v>
      </c>
      <c r="B2469" s="2">
        <v>45870</v>
      </c>
      <c r="C2469" cm="1">
        <f t="array" ref="C2469">IFERROR(IF(SUMPRODUCT((measured[Site Name]=A2469)*(measured[Date]=B2469)*ISNUMBER(measured[Measured Value (kWh)]))=0,"",SUMIFS(measured[Measured Value (kWh)],measured[Site Name],A2469,measured[Date],B2469)),"")</f>
        <v>4200</v>
      </c>
      <c r="D2469" cm="1">
        <f t="array" ref="D2469">IFERROR(IF(SUMPRODUCT((expected_production[Site Name]=A2469)*(expected_production[Date]=B2469)*ISNUMBER(expected_production[Expected Production (kWh)]))=0,"",SUMIFS(expected_production[Expected Production (kWh)],expected_production[Site Name],A2469,expected_production[Date],B2469)),"")</f>
        <v>5440.5</v>
      </c>
      <c r="E2469" s="9">
        <f t="shared" si="78"/>
        <v>0.77198786876206227</v>
      </c>
      <c r="F2469" t="str">
        <f t="shared" si="79"/>
        <v>Moderate</v>
      </c>
    </row>
    <row r="2470" spans="1:7" ht="15" customHeight="1" x14ac:dyDescent="0.3">
      <c r="A2470" t="s">
        <v>194</v>
      </c>
      <c r="B2470" s="2">
        <v>45901</v>
      </c>
      <c r="C2470" cm="1">
        <f t="array" ref="C2470">IFERROR(IF(SUMPRODUCT((measured[Site Name]=A2470)*(measured[Date]=B2470)*ISNUMBER(measured[Measured Value (kWh)]))=0,"",SUMIFS(measured[Measured Value (kWh)],measured[Site Name],A2470,measured[Date],B2470)),"")</f>
        <v>4566</v>
      </c>
      <c r="D2470" cm="1">
        <f t="array" ref="D2470">IFERROR(IF(SUMPRODUCT((expected_production[Site Name]=A2470)*(expected_production[Date]=B2470)*ISNUMBER(expected_production[Expected Production (kWh)]))=0,"",SUMIFS(expected_production[Expected Production (kWh)],expected_production[Site Name],A2470,expected_production[Date],B2470)),"")</f>
        <v>6345.9</v>
      </c>
      <c r="E2470" s="9">
        <f t="shared" si="78"/>
        <v>0.71951968987850423</v>
      </c>
      <c r="F2470" t="str">
        <f t="shared" si="79"/>
        <v>Moderate</v>
      </c>
    </row>
    <row r="2471" spans="1:7" ht="15" customHeight="1" x14ac:dyDescent="0.3">
      <c r="A2471" t="s">
        <v>194</v>
      </c>
      <c r="B2471" s="2">
        <v>45931</v>
      </c>
      <c r="C2471" cm="1">
        <f t="array" ref="C2471">IFERROR(IF(SUMPRODUCT((measured[Site Name]=A2471)*(measured[Date]=B2471)*ISNUMBER(measured[Measured Value (kWh)]))=0,"",SUMIFS(measured[Measured Value (kWh)],measured[Site Name],A2471,measured[Date],B2471)),"")</f>
        <v>6195.1</v>
      </c>
      <c r="D2471" cm="1">
        <f t="array" ref="D2471">IFERROR(IF(SUMPRODUCT((expected_production[Site Name]=A2471)*(expected_production[Date]=B2471)*ISNUMBER(expected_production[Expected Production (kWh)]))=0,"",SUMIFS(expected_production[Expected Production (kWh)],expected_production[Site Name],A2471,expected_production[Date],B2471)),"")</f>
        <v>7250.4</v>
      </c>
      <c r="E2471" s="9">
        <f t="shared" si="78"/>
        <v>0.85444940968774141</v>
      </c>
      <c r="F2471" t="str">
        <f t="shared" si="79"/>
        <v>Moderate</v>
      </c>
    </row>
    <row r="2472" spans="1:7" ht="15" customHeight="1" x14ac:dyDescent="0.3">
      <c r="A2472" t="s">
        <v>194</v>
      </c>
      <c r="B2472" s="2">
        <v>45962</v>
      </c>
      <c r="C2472" cm="1">
        <f t="array" ref="C2472">IFERROR(IF(SUMPRODUCT((measured[Site Name]=A2472)*(measured[Date]=B2472)*ISNUMBER(measured[Measured Value (kWh)]))=0,"",SUMIFS(measured[Measured Value (kWh)],measured[Site Name],A2472,measured[Date],B2472)),"")</f>
        <v>5304</v>
      </c>
      <c r="D2472" cm="1">
        <f t="array" ref="D2472">IFERROR(IF(SUMPRODUCT((expected_production[Site Name]=A2472)*(expected_production[Date]=B2472)*ISNUMBER(expected_production[Expected Production (kWh)]))=0,"",SUMIFS(expected_production[Expected Production (kWh)],expected_production[Site Name],A2472,expected_production[Date],B2472)),"")</f>
        <v>7330.5</v>
      </c>
      <c r="E2472" s="9">
        <f t="shared" si="78"/>
        <v>0.72355228156333129</v>
      </c>
      <c r="F2472" t="str">
        <f t="shared" si="79"/>
        <v>Moderate</v>
      </c>
    </row>
    <row r="2473" spans="1:7" ht="15" customHeight="1" x14ac:dyDescent="0.3">
      <c r="A2473" t="s">
        <v>194</v>
      </c>
      <c r="B2473" s="2">
        <v>45992</v>
      </c>
      <c r="C2473" cm="1">
        <f t="array" ref="C2473">IFERROR(IF(SUMPRODUCT((measured[Site Name]=A2473)*(measured[Date]=B2473)*ISNUMBER(measured[Measured Value (kWh)]))=0,"",SUMIFS(measured[Measured Value (kWh)],measured[Site Name],A2473,measured[Date],B2473)),"")</f>
        <v>6296</v>
      </c>
      <c r="D2473" cm="1">
        <f t="array" ref="D2473">IFERROR(IF(SUMPRODUCT((expected_production[Site Name]=A2473)*(expected_production[Date]=B2473)*ISNUMBER(expected_production[Expected Production (kWh)]))=0,"",SUMIFS(expected_production[Expected Production (kWh)],expected_production[Site Name],A2473,expected_production[Date],B2473)),"")</f>
        <v>7866</v>
      </c>
      <c r="E2473" s="9">
        <f t="shared" si="78"/>
        <v>0.80040681413679127</v>
      </c>
      <c r="F2473" t="str">
        <f t="shared" si="79"/>
        <v>Moderate</v>
      </c>
    </row>
    <row r="2474" spans="1:7" ht="15" customHeight="1" x14ac:dyDescent="0.3">
      <c r="A2474" t="s">
        <v>194</v>
      </c>
      <c r="B2474" s="2">
        <v>46023</v>
      </c>
      <c r="C2474" cm="1">
        <f t="array" ref="C2474">IFERROR(IF(SUMPRODUCT((measured[Site Name]=A2474)*(measured[Date]=B2474)*ISNUMBER(measured[Measured Value (kWh)]))=0,"",SUMIFS(measured[Measured Value (kWh)],measured[Site Name],A2474,measured[Date],B2474)),"")</f>
        <v>6828</v>
      </c>
      <c r="D2474" cm="1">
        <f t="array" ref="D2474">IFERROR(IF(SUMPRODUCT((expected_production[Site Name]=A2474)*(expected_production[Date]=B2474)*ISNUMBER(expected_production[Expected Production (kWh)]))=0,"",SUMIFS(expected_production[Expected Production (kWh)],expected_production[Site Name],A2474,expected_production[Date],B2474)),"")</f>
        <v>7399.8</v>
      </c>
      <c r="E2474" s="9">
        <f t="shared" si="78"/>
        <v>0.92272764128760232</v>
      </c>
      <c r="F2474" t="str">
        <f t="shared" si="79"/>
        <v>Expected</v>
      </c>
    </row>
    <row r="2475" spans="1:7" ht="15" customHeight="1" x14ac:dyDescent="0.3">
      <c r="A2475" t="s">
        <v>194</v>
      </c>
      <c r="B2475" s="2">
        <v>46054</v>
      </c>
      <c r="C2475" cm="1">
        <f t="array" ref="C2475">IFERROR(IF(SUMPRODUCT((measured[Site Name]=A2475)*(measured[Date]=B2475)*ISNUMBER(measured[Measured Value (kWh)]))=0,"",SUMIFS(measured[Measured Value (kWh)],measured[Site Name],A2475,measured[Date],B2475)),"")</f>
        <v>6062</v>
      </c>
      <c r="D2475" cm="1">
        <f t="array" ref="D2475">IFERROR(IF(SUMPRODUCT((expected_production[Site Name]=A2475)*(expected_production[Date]=B2475)*ISNUMBER(expected_production[Expected Production (kWh)]))=0,"",SUMIFS(expected_production[Expected Production (kWh)],expected_production[Site Name],A2475,expected_production[Date],B2475)),"")</f>
        <v>6298.2</v>
      </c>
      <c r="E2475" s="9">
        <f t="shared" si="78"/>
        <v>0.9624972214283446</v>
      </c>
      <c r="F2475" t="str">
        <f t="shared" si="79"/>
        <v>Expected</v>
      </c>
    </row>
    <row r="2476" spans="1:7" ht="15" customHeight="1" x14ac:dyDescent="0.3">
      <c r="A2476" t="s">
        <v>194</v>
      </c>
      <c r="B2476" s="2">
        <v>46082</v>
      </c>
      <c r="C2476" cm="1">
        <f t="array" ref="C2476">IFERROR(IF(SUMPRODUCT((measured[Site Name]=A2476)*(measured[Date]=B2476)*ISNUMBER(measured[Measured Value (kWh)]))=0,"",SUMIFS(measured[Measured Value (kWh)],measured[Site Name],A2476,measured[Date],B2476)),"")</f>
        <v>4541</v>
      </c>
      <c r="D2476" cm="1">
        <f t="array" ref="D2476">IFERROR(IF(SUMPRODUCT((expected_production[Site Name]=A2476)*(expected_production[Date]=B2476)*ISNUMBER(expected_production[Expected Production (kWh)]))=0,"",SUMIFS(expected_production[Expected Production (kWh)],expected_production[Site Name],A2476,expected_production[Date],B2476)),"")</f>
        <v>6353.1</v>
      </c>
      <c r="E2476" s="9">
        <f t="shared" si="78"/>
        <v>0.71476916780784183</v>
      </c>
      <c r="F2476" t="str">
        <f t="shared" si="79"/>
        <v>Moderate</v>
      </c>
    </row>
    <row r="2477" spans="1:7" ht="15" customHeight="1" x14ac:dyDescent="0.3">
      <c r="A2477" t="s">
        <v>194</v>
      </c>
      <c r="B2477" s="2">
        <v>46113</v>
      </c>
      <c r="C2477" s="5" cm="1">
        <f t="array" ref="C2477">IFERROR(IF(SUMPRODUCT((measured[Site Name]=A2477)*(measured[Date]=B2477)*ISNUMBER(measured[Measured Value (kWh)]))=0,"",SUMIFS(measured[Measured Value (kWh)],measured[Site Name],A2477,measured[Date],B2477)),"")</f>
        <v>3743.09</v>
      </c>
      <c r="D2477" cm="1">
        <f t="array" ref="D2477">IFERROR(IF(SUMPRODUCT((expected_production[Site Name]=A2477)*(expected_production[Date]=B2477)*ISNUMBER(expected_production[Expected Production (kWh)]))=0,"",SUMIFS(expected_production[Expected Production (kWh)],expected_production[Site Name],A2477,expected_production[Date],B2477)),"")</f>
        <v>5016.6000000000004</v>
      </c>
      <c r="E2477" s="9">
        <f t="shared" si="78"/>
        <v>0.74614081250249176</v>
      </c>
      <c r="F2477" t="str">
        <f t="shared" si="79"/>
        <v>Moderate</v>
      </c>
    </row>
    <row r="2478" spans="1:7" ht="15" customHeight="1" x14ac:dyDescent="0.3">
      <c r="A2478" t="s">
        <v>194</v>
      </c>
      <c r="B2478" s="2">
        <v>46143</v>
      </c>
      <c r="C2478" s="5" cm="1">
        <f t="array" ref="C2478">IFERROR(IF(SUMPRODUCT((measured[Site Name]=A2478)*(measured[Date]=B2478)*ISNUMBER(measured[Measured Value (kWh)]))=0,"",SUMIFS(measured[Measured Value (kWh)],measured[Site Name],A2478,measured[Date],B2478)),"")</f>
        <v>3041.11</v>
      </c>
      <c r="D2478" cm="1">
        <f t="array" ref="D2478">IFERROR(IF(SUMPRODUCT((expected_production[Site Name]=A2478)*(expected_production[Date]=B2478)*ISNUMBER(expected_production[Expected Production (kWh)]))=0,"",SUMIFS(expected_production[Expected Production (kWh)],expected_production[Site Name],A2478,expected_production[Date],B2478)),"")</f>
        <v>4753.8</v>
      </c>
      <c r="E2478" s="9">
        <f t="shared" si="78"/>
        <v>0.63972190668517814</v>
      </c>
      <c r="F2478" t="str">
        <f t="shared" si="79"/>
        <v>Poor</v>
      </c>
    </row>
    <row r="2479" spans="1:7" ht="15" customHeight="1" x14ac:dyDescent="0.3">
      <c r="A2479" t="s">
        <v>194</v>
      </c>
      <c r="B2479" s="2">
        <v>46174</v>
      </c>
      <c r="C2479" cm="1">
        <f t="array" ref="C2479">IFERROR(IF(SUMPRODUCT((measured[Site Name]=A2479)*(measured[Date]=B2479)*ISNUMBER(measured[Measured Value (kWh)]))=0,"",SUMIFS(measured[Measured Value (kWh)],measured[Site Name],A2479,measured[Date],B2479)),"")</f>
        <v>2444</v>
      </c>
      <c r="D2479" cm="1">
        <f t="array" ref="D2479">IFERROR(IF(SUMPRODUCT((expected_production[Site Name]=A2479)*(expected_production[Date]=B2479)*ISNUMBER(expected_production[Expected Production (kWh)]))=0,"",SUMIFS(expected_production[Expected Production (kWh)],expected_production[Site Name],A2479,expected_production[Date],B2479)),"")</f>
        <v>4257</v>
      </c>
      <c r="E2479" s="9">
        <f t="shared" si="78"/>
        <v>0.57411322527601594</v>
      </c>
      <c r="F2479" t="str">
        <f t="shared" si="79"/>
        <v>Poor</v>
      </c>
    </row>
    <row r="2480" spans="1:7" ht="15" customHeight="1" x14ac:dyDescent="0.3">
      <c r="A2480" t="s">
        <v>218</v>
      </c>
      <c r="B2480" s="2">
        <v>46204</v>
      </c>
      <c r="C2480" cm="1">
        <f t="array" ref="C2480">IFERROR(IF(SUMPRODUCT((measured[Site Name]=A2480)*(measured[Date]=B2480)*ISNUMBER(measured[Measured Value (kWh)]))=0,"",SUMIFS(measured[Measured Value (kWh)],measured[Site Name],A2480,measured[Date],B2480)),"")</f>
        <v>4951</v>
      </c>
      <c r="D2480" cm="1">
        <f t="array" ref="D2480">IFERROR(IF(SUMPRODUCT((expected_production[Site Name]=A2480)*(expected_production[Date]=B2480)*ISNUMBER(expected_production[Expected Production (kWh)]))=0,"",SUMIFS(expected_production[Expected Production (kWh)],expected_production[Site Name],A2480,expected_production[Date],B2480)),"")</f>
        <v>6247.44</v>
      </c>
      <c r="E2480" s="9">
        <f t="shared" si="78"/>
        <v>0.7924846016928534</v>
      </c>
      <c r="F2480" t="str">
        <f t="shared" si="79"/>
        <v>Moderate</v>
      </c>
      <c r="G2480" t="s">
        <v>875</v>
      </c>
    </row>
    <row r="2481" spans="1:6" ht="15" customHeight="1" x14ac:dyDescent="0.3">
      <c r="A2481" t="s">
        <v>194</v>
      </c>
      <c r="B2481" s="2">
        <v>46235</v>
      </c>
      <c r="C2481" t="str" cm="1">
        <f t="array" ref="C2481">IFERROR(IF(SUMPRODUCT((measured[Site Name]=A2481)*(measured[Date]=B2481)*ISNUMBER(measured[Measured Value (kWh)]))=0,"",SUMIFS(measured[Measured Value (kWh)],measured[Site Name],A2481,measured[Date],B2481)),"")</f>
        <v/>
      </c>
      <c r="D2481" cm="1">
        <f t="array" ref="D2481">IFERROR(IF(SUMPRODUCT((expected_production[Site Name]=A2481)*(expected_production[Date]=B2481)*ISNUMBER(expected_production[Expected Production (kWh)]))=0,"",SUMIFS(expected_production[Expected Production (kWh)],expected_production[Site Name],A2481,expected_production[Date],B2481)),"")</f>
        <v>5440.5</v>
      </c>
      <c r="E2481" s="9" t="str">
        <f t="shared" si="78"/>
        <v/>
      </c>
      <c r="F2481" t="str">
        <f t="shared" si="79"/>
        <v/>
      </c>
    </row>
    <row r="2482" spans="1:6" ht="15" customHeight="1" x14ac:dyDescent="0.3">
      <c r="A2482" t="s">
        <v>194</v>
      </c>
      <c r="B2482" s="2">
        <v>46266</v>
      </c>
      <c r="C2482" t="str" cm="1">
        <f t="array" ref="C2482">IFERROR(IF(SUMPRODUCT((measured[Site Name]=A2482)*(measured[Date]=B2482)*ISNUMBER(measured[Measured Value (kWh)]))=0,"",SUMIFS(measured[Measured Value (kWh)],measured[Site Name],A2482,measured[Date],B2482)),"")</f>
        <v/>
      </c>
      <c r="D2482" cm="1">
        <f t="array" ref="D2482">IFERROR(IF(SUMPRODUCT((expected_production[Site Name]=A2482)*(expected_production[Date]=B2482)*ISNUMBER(expected_production[Expected Production (kWh)]))=0,"",SUMIFS(expected_production[Expected Production (kWh)],expected_production[Site Name],A2482,expected_production[Date],B2482)),"")</f>
        <v>6345.9</v>
      </c>
      <c r="E2482" s="9" t="str">
        <f t="shared" si="78"/>
        <v/>
      </c>
      <c r="F2482" t="str">
        <f t="shared" si="79"/>
        <v/>
      </c>
    </row>
    <row r="2483" spans="1:6" ht="15" customHeight="1" x14ac:dyDescent="0.3">
      <c r="A2483" t="s">
        <v>194</v>
      </c>
      <c r="B2483" s="2">
        <v>46296</v>
      </c>
      <c r="C2483" t="str" cm="1">
        <f t="array" ref="C2483">IFERROR(IF(SUMPRODUCT((measured[Site Name]=A2483)*(measured[Date]=B2483)*ISNUMBER(measured[Measured Value (kWh)]))=0,"",SUMIFS(measured[Measured Value (kWh)],measured[Site Name],A2483,measured[Date],B2483)),"")</f>
        <v/>
      </c>
      <c r="D2483" cm="1">
        <f t="array" ref="D2483">IFERROR(IF(SUMPRODUCT((expected_production[Site Name]=A2483)*(expected_production[Date]=B2483)*ISNUMBER(expected_production[Expected Production (kWh)]))=0,"",SUMIFS(expected_production[Expected Production (kWh)],expected_production[Site Name],A2483,expected_production[Date],B2483)),"")</f>
        <v>7250.4</v>
      </c>
      <c r="E2483" s="9" t="str">
        <f t="shared" si="78"/>
        <v/>
      </c>
      <c r="F2483" t="str">
        <f t="shared" si="79"/>
        <v/>
      </c>
    </row>
    <row r="2484" spans="1:6" ht="15" customHeight="1" x14ac:dyDescent="0.3">
      <c r="A2484" t="s">
        <v>194</v>
      </c>
      <c r="B2484" s="2">
        <v>46327</v>
      </c>
      <c r="C2484" t="str" cm="1">
        <f t="array" ref="C2484">IFERROR(IF(SUMPRODUCT((measured[Site Name]=A2484)*(measured[Date]=B2484)*ISNUMBER(measured[Measured Value (kWh)]))=0,"",SUMIFS(measured[Measured Value (kWh)],measured[Site Name],A2484,measured[Date],B2484)),"")</f>
        <v/>
      </c>
      <c r="D2484" cm="1">
        <f t="array" ref="D2484">IFERROR(IF(SUMPRODUCT((expected_production[Site Name]=A2484)*(expected_production[Date]=B2484)*ISNUMBER(expected_production[Expected Production (kWh)]))=0,"",SUMIFS(expected_production[Expected Production (kWh)],expected_production[Site Name],A2484,expected_production[Date],B2484)),"")</f>
        <v>7330.5</v>
      </c>
      <c r="E2484" s="9" t="str">
        <f t="shared" si="78"/>
        <v/>
      </c>
      <c r="F2484" t="str">
        <f t="shared" si="79"/>
        <v/>
      </c>
    </row>
    <row r="2485" spans="1:6" ht="15" customHeight="1" x14ac:dyDescent="0.3">
      <c r="A2485" t="s">
        <v>194</v>
      </c>
      <c r="B2485" s="2">
        <v>46357</v>
      </c>
      <c r="C2485" t="str" cm="1">
        <f t="array" ref="C2485">IFERROR(IF(SUMPRODUCT((measured[Site Name]=A2485)*(measured[Date]=B2485)*ISNUMBER(measured[Measured Value (kWh)]))=0,"",SUMIFS(measured[Measured Value (kWh)],measured[Site Name],A2485,measured[Date],B2485)),"")</f>
        <v/>
      </c>
      <c r="D2485" cm="1">
        <f t="array" ref="D2485">IFERROR(IF(SUMPRODUCT((expected_production[Site Name]=A2485)*(expected_production[Date]=B2485)*ISNUMBER(expected_production[Expected Production (kWh)]))=0,"",SUMIFS(expected_production[Expected Production (kWh)],expected_production[Site Name],A2485,expected_production[Date],B2485)),"")</f>
        <v>7866</v>
      </c>
      <c r="E2485" s="9" t="str">
        <f t="shared" si="78"/>
        <v/>
      </c>
      <c r="F2485" t="str">
        <f t="shared" si="79"/>
        <v/>
      </c>
    </row>
    <row r="2486" spans="1:6" ht="15" customHeight="1" x14ac:dyDescent="0.3">
      <c r="A2486" t="s">
        <v>196</v>
      </c>
      <c r="B2486" s="2">
        <v>45292</v>
      </c>
      <c r="C2486" cm="1">
        <f t="array" ref="C2486">IFERROR(IF(SUMPRODUCT((measured[Site Name]=A2486)*(measured[Date]=B2486)*ISNUMBER(measured[Measured Value (kWh)]))=0,"",SUMIFS(measured[Measured Value (kWh)],measured[Site Name],A2486,measured[Date],B2486)),"")</f>
        <v>3510</v>
      </c>
      <c r="D2486" cm="1">
        <f t="array" ref="D2486">IFERROR(IF(SUMPRODUCT((expected_production[Site Name]=A2486)*(expected_production[Date]=B2486)*ISNUMBER(expected_production[Expected Production (kWh)]))=0,"",SUMIFS(expected_production[Expected Production (kWh)],expected_production[Site Name],A2486,expected_production[Date],B2486)),"")</f>
        <v>4274.1000000000004</v>
      </c>
      <c r="E2486" s="9">
        <f t="shared" si="78"/>
        <v>0.82122552116234993</v>
      </c>
      <c r="F2486" t="str">
        <f t="shared" si="79"/>
        <v>Moderate</v>
      </c>
    </row>
    <row r="2487" spans="1:6" ht="15" customHeight="1" x14ac:dyDescent="0.3">
      <c r="A2487" t="s">
        <v>196</v>
      </c>
      <c r="B2487" s="2">
        <v>45323</v>
      </c>
      <c r="C2487" cm="1">
        <f t="array" ref="C2487">IFERROR(IF(SUMPRODUCT((measured[Site Name]=A2487)*(measured[Date]=B2487)*ISNUMBER(measured[Measured Value (kWh)]))=0,"",SUMIFS(measured[Measured Value (kWh)],measured[Site Name],A2487,measured[Date],B2487)),"")</f>
        <v>3517</v>
      </c>
      <c r="D2487" cm="1">
        <f t="array" ref="D2487">IFERROR(IF(SUMPRODUCT((expected_production[Site Name]=A2487)*(expected_production[Date]=B2487)*ISNUMBER(expected_production[Expected Production (kWh)]))=0,"",SUMIFS(expected_production[Expected Production (kWh)],expected_production[Site Name],A2487,expected_production[Date],B2487)),"")</f>
        <v>3810.6</v>
      </c>
      <c r="E2487" s="9">
        <f t="shared" si="78"/>
        <v>0.92295176612606944</v>
      </c>
      <c r="F2487" t="str">
        <f t="shared" si="79"/>
        <v>Expected</v>
      </c>
    </row>
    <row r="2488" spans="1:6" ht="15" customHeight="1" x14ac:dyDescent="0.3">
      <c r="A2488" t="s">
        <v>196</v>
      </c>
      <c r="B2488" s="2">
        <v>45352</v>
      </c>
      <c r="C2488" cm="1">
        <f t="array" ref="C2488">IFERROR(IF(SUMPRODUCT((measured[Site Name]=A2488)*(measured[Date]=B2488)*ISNUMBER(measured[Measured Value (kWh)]))=0,"",SUMIFS(measured[Measured Value (kWh)],measured[Site Name],A2488,measured[Date],B2488)),"")</f>
        <v>3409</v>
      </c>
      <c r="D2488" cm="1">
        <f t="array" ref="D2488">IFERROR(IF(SUMPRODUCT((expected_production[Site Name]=A2488)*(expected_production[Date]=B2488)*ISNUMBER(expected_production[Expected Production (kWh)]))=0,"",SUMIFS(expected_production[Expected Production (kWh)],expected_production[Site Name],A2488,expected_production[Date],B2488)),"")</f>
        <v>3907.2750000000001</v>
      </c>
      <c r="E2488" s="9">
        <f t="shared" si="78"/>
        <v>0.87247506254358853</v>
      </c>
      <c r="F2488" t="str">
        <f t="shared" si="79"/>
        <v>Moderate</v>
      </c>
    </row>
    <row r="2489" spans="1:6" ht="15" customHeight="1" x14ac:dyDescent="0.3">
      <c r="A2489" t="s">
        <v>196</v>
      </c>
      <c r="B2489" s="2">
        <v>45383</v>
      </c>
      <c r="C2489" cm="1">
        <f t="array" ref="C2489">IFERROR(IF(SUMPRODUCT((measured[Site Name]=A2489)*(measured[Date]=B2489)*ISNUMBER(measured[Measured Value (kWh)]))=0,"",SUMIFS(measured[Measured Value (kWh)],measured[Site Name],A2489,measured[Date],B2489)),"")</f>
        <v>2977</v>
      </c>
      <c r="D2489" cm="1">
        <f t="array" ref="D2489">IFERROR(IF(SUMPRODUCT((expected_production[Site Name]=A2489)*(expected_production[Date]=B2489)*ISNUMBER(expected_production[Expected Production (kWh)]))=0,"",SUMIFS(expected_production[Expected Production (kWh)],expected_production[Site Name],A2489,expected_production[Date],B2489)),"")</f>
        <v>3268.125</v>
      </c>
      <c r="E2489" s="9">
        <f t="shared" si="78"/>
        <v>0.91091986995601448</v>
      </c>
      <c r="F2489" t="str">
        <f t="shared" si="79"/>
        <v>Expected</v>
      </c>
    </row>
    <row r="2490" spans="1:6" ht="15" customHeight="1" x14ac:dyDescent="0.3">
      <c r="A2490" t="s">
        <v>196</v>
      </c>
      <c r="B2490" s="2">
        <v>45413</v>
      </c>
      <c r="C2490" cm="1">
        <f t="array" ref="C2490">IFERROR(IF(SUMPRODUCT((measured[Site Name]=A2490)*(measured[Date]=B2490)*ISNUMBER(measured[Measured Value (kWh)]))=0,"",SUMIFS(measured[Measured Value (kWh)],measured[Site Name],A2490,measured[Date],B2490)),"")</f>
        <v>2754</v>
      </c>
      <c r="D2490" cm="1">
        <f t="array" ref="D2490">IFERROR(IF(SUMPRODUCT((expected_production[Site Name]=A2490)*(expected_production[Date]=B2490)*ISNUMBER(expected_production[Expected Production (kWh)]))=0,"",SUMIFS(expected_production[Expected Production (kWh)],expected_production[Site Name],A2490,expected_production[Date],B2490)),"")</f>
        <v>2929.95</v>
      </c>
      <c r="E2490" s="9">
        <f t="shared" si="78"/>
        <v>0.93994778067885121</v>
      </c>
      <c r="F2490" t="str">
        <f t="shared" si="79"/>
        <v>Expected</v>
      </c>
    </row>
    <row r="2491" spans="1:6" ht="15" customHeight="1" x14ac:dyDescent="0.3">
      <c r="A2491" t="s">
        <v>196</v>
      </c>
      <c r="B2491" s="2">
        <v>45444</v>
      </c>
      <c r="C2491" cm="1">
        <f t="array" ref="C2491">IFERROR(IF(SUMPRODUCT((measured[Site Name]=A2491)*(measured[Date]=B2491)*ISNUMBER(measured[Measured Value (kWh)]))=0,"",SUMIFS(measured[Measured Value (kWh)],measured[Site Name],A2491,measured[Date],B2491)),"")</f>
        <v>2322</v>
      </c>
      <c r="D2491" cm="1">
        <f t="array" ref="D2491">IFERROR(IF(SUMPRODUCT((expected_production[Site Name]=A2491)*(expected_production[Date]=B2491)*ISNUMBER(expected_production[Expected Production (kWh)]))=0,"",SUMIFS(expected_production[Expected Production (kWh)],expected_production[Site Name],A2491,expected_production[Date],B2491)),"")</f>
        <v>2664.75</v>
      </c>
      <c r="E2491" s="9">
        <f t="shared" si="78"/>
        <v>0.87137630171685898</v>
      </c>
      <c r="F2491" t="str">
        <f t="shared" si="79"/>
        <v>Moderate</v>
      </c>
    </row>
    <row r="2492" spans="1:6" ht="15" customHeight="1" x14ac:dyDescent="0.3">
      <c r="A2492" t="s">
        <v>196</v>
      </c>
      <c r="B2492" s="2">
        <v>45474</v>
      </c>
      <c r="C2492" cm="1">
        <f t="array" ref="C2492">IFERROR(IF(SUMPRODUCT((measured[Site Name]=A2492)*(measured[Date]=B2492)*ISNUMBER(measured[Measured Value (kWh)]))=0,"",SUMIFS(measured[Measured Value (kWh)],measured[Site Name],A2492,measured[Date],B2492)),"")</f>
        <v>3200</v>
      </c>
      <c r="D2492" cm="1">
        <f t="array" ref="D2492">IFERROR(IF(SUMPRODUCT((expected_production[Site Name]=A2492)*(expected_production[Date]=B2492)*ISNUMBER(expected_production[Expected Production (kWh)]))=0,"",SUMIFS(expected_production[Expected Production (kWh)],expected_production[Site Name],A2492,expected_production[Date],B2492)),"")</f>
        <v>2851.125</v>
      </c>
      <c r="E2492" s="9">
        <f t="shared" ref="E2492:E2555" si="80">IF(OR(C2492="",D2492="",D2492=0),"",C2492/D2492)</f>
        <v>1.1223639791310447</v>
      </c>
      <c r="F2492" t="str">
        <f t="shared" ref="F2492:F2555" si="81">IF(E2492="","",IF(E2492&gt;=0.9,"Expected",IF(E2492&gt;=0.7,"Moderate","Poor")))</f>
        <v>Expected</v>
      </c>
    </row>
    <row r="2493" spans="1:6" ht="15" customHeight="1" x14ac:dyDescent="0.3">
      <c r="A2493" t="s">
        <v>196</v>
      </c>
      <c r="B2493" s="2">
        <v>45505</v>
      </c>
      <c r="C2493" cm="1">
        <f t="array" ref="C2493">IFERROR(IF(SUMPRODUCT((measured[Site Name]=A2493)*(measured[Date]=B2493)*ISNUMBER(measured[Measured Value (kWh)]))=0,"",SUMIFS(measured[Measured Value (kWh)],measured[Site Name],A2493,measured[Date],B2493)),"")</f>
        <v>1967.434</v>
      </c>
      <c r="D2493" cm="1">
        <f t="array" ref="D2493">IFERROR(IF(SUMPRODUCT((expected_production[Site Name]=A2493)*(expected_production[Date]=B2493)*ISNUMBER(expected_production[Expected Production (kWh)]))=0,"",SUMIFS(expected_production[Expected Production (kWh)],expected_production[Site Name],A2493,expected_production[Date],B2493)),"")</f>
        <v>3237</v>
      </c>
      <c r="E2493" s="9">
        <f t="shared" si="80"/>
        <v>0.60779548965091135</v>
      </c>
      <c r="F2493" t="str">
        <f t="shared" si="81"/>
        <v>Poor</v>
      </c>
    </row>
    <row r="2494" spans="1:6" ht="15" customHeight="1" x14ac:dyDescent="0.3">
      <c r="A2494" t="s">
        <v>196</v>
      </c>
      <c r="B2494" s="2">
        <v>45536</v>
      </c>
      <c r="C2494" cm="1">
        <f t="array" ref="C2494">IFERROR(IF(SUMPRODUCT((measured[Site Name]=A2494)*(measured[Date]=B2494)*ISNUMBER(measured[Measured Value (kWh)]))=0,"",SUMIFS(measured[Measured Value (kWh)],measured[Site Name],A2494,measured[Date],B2494)),"")</f>
        <v>2608</v>
      </c>
      <c r="D2494" cm="1">
        <f t="array" ref="D2494">IFERROR(IF(SUMPRODUCT((expected_production[Site Name]=A2494)*(expected_production[Date]=B2494)*ISNUMBER(expected_production[Expected Production (kWh)]))=0,"",SUMIFS(expected_production[Expected Production (kWh)],expected_production[Site Name],A2494,expected_production[Date],B2494)),"")</f>
        <v>3327.75</v>
      </c>
      <c r="E2494" s="9">
        <f t="shared" si="80"/>
        <v>0.78371271880399673</v>
      </c>
      <c r="F2494" t="str">
        <f t="shared" si="81"/>
        <v>Moderate</v>
      </c>
    </row>
    <row r="2495" spans="1:6" ht="15" customHeight="1" x14ac:dyDescent="0.3">
      <c r="A2495" t="s">
        <v>196</v>
      </c>
      <c r="B2495" s="2">
        <v>45566</v>
      </c>
      <c r="C2495" cm="1">
        <f t="array" ref="C2495">IFERROR(IF(SUMPRODUCT((measured[Site Name]=A2495)*(measured[Date]=B2495)*ISNUMBER(measured[Measured Value (kWh)]))=0,"",SUMIFS(measured[Measured Value (kWh)],measured[Site Name],A2495,measured[Date],B2495)),"")</f>
        <v>3179</v>
      </c>
      <c r="D2495" cm="1">
        <f t="array" ref="D2495">IFERROR(IF(SUMPRODUCT((expected_production[Site Name]=A2495)*(expected_production[Date]=B2495)*ISNUMBER(expected_production[Expected Production (kWh)]))=0,"",SUMIFS(expected_production[Expected Production (kWh)],expected_production[Site Name],A2495,expected_production[Date],B2495)),"")</f>
        <v>3775.7249999999999</v>
      </c>
      <c r="E2495" s="9">
        <f t="shared" si="80"/>
        <v>0.84195750485006193</v>
      </c>
      <c r="F2495" t="str">
        <f t="shared" si="81"/>
        <v>Moderate</v>
      </c>
    </row>
    <row r="2496" spans="1:6" ht="15" customHeight="1" x14ac:dyDescent="0.3">
      <c r="A2496" t="s">
        <v>196</v>
      </c>
      <c r="B2496" s="2">
        <v>45597</v>
      </c>
      <c r="C2496" cm="1">
        <f t="array" ref="C2496">IFERROR(IF(SUMPRODUCT((measured[Site Name]=A2496)*(measured[Date]=B2496)*ISNUMBER(measured[Measured Value (kWh)]))=0,"",SUMIFS(measured[Measured Value (kWh)],measured[Site Name],A2496,measured[Date],B2496)),"")</f>
        <v>2499</v>
      </c>
      <c r="D2496" cm="1">
        <f t="array" ref="D2496">IFERROR(IF(SUMPRODUCT((expected_production[Site Name]=A2496)*(expected_production[Date]=B2496)*ISNUMBER(expected_production[Expected Production (kWh)]))=0,"",SUMIFS(expected_production[Expected Production (kWh)],expected_production[Site Name],A2496,expected_production[Date],B2496)),"")</f>
        <v>3829.5749999999998</v>
      </c>
      <c r="E2496" s="9">
        <f t="shared" si="80"/>
        <v>0.65255282896927203</v>
      </c>
      <c r="F2496" t="str">
        <f t="shared" si="81"/>
        <v>Poor</v>
      </c>
    </row>
    <row r="2497" spans="1:6" ht="15" customHeight="1" x14ac:dyDescent="0.3">
      <c r="A2497" t="s">
        <v>196</v>
      </c>
      <c r="B2497" s="2">
        <v>45627</v>
      </c>
      <c r="C2497" cm="1">
        <f t="array" ref="C2497">IFERROR(IF(SUMPRODUCT((measured[Site Name]=A2497)*(measured[Date]=B2497)*ISNUMBER(measured[Measured Value (kWh)]))=0,"",SUMIFS(measured[Measured Value (kWh)],measured[Site Name],A2497,measured[Date],B2497)),"")</f>
        <v>2419</v>
      </c>
      <c r="D2497" cm="1">
        <f t="array" ref="D2497">IFERROR(IF(SUMPRODUCT((expected_production[Site Name]=A2497)*(expected_production[Date]=B2497)*ISNUMBER(expected_production[Expected Production (kWh)]))=0,"",SUMIFS(expected_production[Expected Production (kWh)],expected_production[Site Name],A2497,expected_production[Date],B2497)),"")</f>
        <v>4315.6499999999996</v>
      </c>
      <c r="E2497" s="9">
        <f t="shared" si="80"/>
        <v>0.56051811430491361</v>
      </c>
      <c r="F2497" t="str">
        <f t="shared" si="81"/>
        <v>Poor</v>
      </c>
    </row>
    <row r="2498" spans="1:6" ht="15" customHeight="1" x14ac:dyDescent="0.3">
      <c r="A2498" t="s">
        <v>196</v>
      </c>
      <c r="B2498" s="2">
        <v>45658</v>
      </c>
      <c r="C2498" cm="1">
        <f t="array" ref="C2498">IFERROR(IF(SUMPRODUCT((measured[Site Name]=A2498)*(measured[Date]=B2498)*ISNUMBER(measured[Measured Value (kWh)]))=0,"",SUMIFS(measured[Measured Value (kWh)],measured[Site Name],A2498,measured[Date],B2498)),"")</f>
        <v>2940</v>
      </c>
      <c r="D2498" cm="1">
        <f t="array" ref="D2498">IFERROR(IF(SUMPRODUCT((expected_production[Site Name]=A2498)*(expected_production[Date]=B2498)*ISNUMBER(expected_production[Expected Production (kWh)]))=0,"",SUMIFS(expected_production[Expected Production (kWh)],expected_production[Site Name],A2498,expected_production[Date],B2498)),"")</f>
        <v>4274.1000000000004</v>
      </c>
      <c r="E2498" s="9">
        <f t="shared" si="80"/>
        <v>0.68786411174282303</v>
      </c>
      <c r="F2498" t="str">
        <f t="shared" si="81"/>
        <v>Poor</v>
      </c>
    </row>
    <row r="2499" spans="1:6" ht="15" customHeight="1" x14ac:dyDescent="0.3">
      <c r="A2499" t="s">
        <v>196</v>
      </c>
      <c r="B2499" s="2">
        <v>45689</v>
      </c>
      <c r="C2499" cm="1">
        <f t="array" ref="C2499">IFERROR(IF(SUMPRODUCT((measured[Site Name]=A2499)*(measured[Date]=B2499)*ISNUMBER(measured[Measured Value (kWh)]))=0,"",SUMIFS(measured[Measured Value (kWh)],measured[Site Name],A2499,measured[Date],B2499)),"")</f>
        <v>2482</v>
      </c>
      <c r="D2499" cm="1">
        <f t="array" ref="D2499">IFERROR(IF(SUMPRODUCT((expected_production[Site Name]=A2499)*(expected_production[Date]=B2499)*ISNUMBER(expected_production[Expected Production (kWh)]))=0,"",SUMIFS(expected_production[Expected Production (kWh)],expected_production[Site Name],A2499,expected_production[Date],B2499)),"")</f>
        <v>3810.6</v>
      </c>
      <c r="E2499" s="9">
        <f t="shared" si="80"/>
        <v>0.65134099616858243</v>
      </c>
      <c r="F2499" t="str">
        <f t="shared" si="81"/>
        <v>Poor</v>
      </c>
    </row>
    <row r="2500" spans="1:6" ht="15" customHeight="1" x14ac:dyDescent="0.3">
      <c r="A2500" t="s">
        <v>196</v>
      </c>
      <c r="B2500" s="2">
        <v>45717</v>
      </c>
      <c r="C2500" cm="1">
        <f t="array" ref="C2500">IFERROR(IF(SUMPRODUCT((measured[Site Name]=A2500)*(measured[Date]=B2500)*ISNUMBER(measured[Measured Value (kWh)]))=0,"",SUMIFS(measured[Measured Value (kWh)],measured[Site Name],A2500,measured[Date],B2500)),"")</f>
        <v>2660</v>
      </c>
      <c r="D2500" cm="1">
        <f t="array" ref="D2500">IFERROR(IF(SUMPRODUCT((expected_production[Site Name]=A2500)*(expected_production[Date]=B2500)*ISNUMBER(expected_production[Expected Production (kWh)]))=0,"",SUMIFS(expected_production[Expected Production (kWh)],expected_production[Site Name],A2500,expected_production[Date],B2500)),"")</f>
        <v>3907.2750000000001</v>
      </c>
      <c r="E2500" s="9">
        <f t="shared" si="80"/>
        <v>0.68078136297035652</v>
      </c>
      <c r="F2500" t="str">
        <f t="shared" si="81"/>
        <v>Poor</v>
      </c>
    </row>
    <row r="2501" spans="1:6" ht="15" customHeight="1" x14ac:dyDescent="0.3">
      <c r="A2501" t="s">
        <v>196</v>
      </c>
      <c r="B2501" s="2">
        <v>45748</v>
      </c>
      <c r="C2501" cm="1">
        <f t="array" ref="C2501">IFERROR(IF(SUMPRODUCT((measured[Site Name]=A2501)*(measured[Date]=B2501)*ISNUMBER(measured[Measured Value (kWh)]))=0,"",SUMIFS(measured[Measured Value (kWh)],measured[Site Name],A2501,measured[Date],B2501)),"")</f>
        <v>3014</v>
      </c>
      <c r="D2501" cm="1">
        <f t="array" ref="D2501">IFERROR(IF(SUMPRODUCT((expected_production[Site Name]=A2501)*(expected_production[Date]=B2501)*ISNUMBER(expected_production[Expected Production (kWh)]))=0,"",SUMIFS(expected_production[Expected Production (kWh)],expected_production[Site Name],A2501,expected_production[Date],B2501)),"")</f>
        <v>3268.125</v>
      </c>
      <c r="E2501" s="9">
        <f t="shared" si="80"/>
        <v>0.92224134633773192</v>
      </c>
      <c r="F2501" t="str">
        <f t="shared" si="81"/>
        <v>Expected</v>
      </c>
    </row>
    <row r="2502" spans="1:6" ht="15" customHeight="1" x14ac:dyDescent="0.3">
      <c r="A2502" t="s">
        <v>196</v>
      </c>
      <c r="B2502" s="2">
        <v>45778</v>
      </c>
      <c r="C2502" cm="1">
        <f t="array" ref="C2502">IFERROR(IF(SUMPRODUCT((measured[Site Name]=A2502)*(measured[Date]=B2502)*ISNUMBER(measured[Measured Value (kWh)]))=0,"",SUMIFS(measured[Measured Value (kWh)],measured[Site Name],A2502,measured[Date],B2502)),"")</f>
        <v>3259</v>
      </c>
      <c r="D2502" cm="1">
        <f t="array" ref="D2502">IFERROR(IF(SUMPRODUCT((expected_production[Site Name]=A2502)*(expected_production[Date]=B2502)*ISNUMBER(expected_production[Expected Production (kWh)]))=0,"",SUMIFS(expected_production[Expected Production (kWh)],expected_production[Site Name],A2502,expected_production[Date],B2502)),"")</f>
        <v>2929.95</v>
      </c>
      <c r="E2502" s="9">
        <f t="shared" si="80"/>
        <v>1.1123056707452346</v>
      </c>
      <c r="F2502" t="str">
        <f t="shared" si="81"/>
        <v>Expected</v>
      </c>
    </row>
    <row r="2503" spans="1:6" ht="15" customHeight="1" x14ac:dyDescent="0.3">
      <c r="A2503" t="s">
        <v>196</v>
      </c>
      <c r="B2503" s="2">
        <v>45809</v>
      </c>
      <c r="C2503" cm="1">
        <f t="array" ref="C2503">IFERROR(IF(SUMPRODUCT((measured[Site Name]=A2503)*(measured[Date]=B2503)*ISNUMBER(measured[Measured Value (kWh)]))=0,"",SUMIFS(measured[Measured Value (kWh)],measured[Site Name],A2503,measured[Date],B2503)),"")</f>
        <v>2701.4</v>
      </c>
      <c r="D2503" cm="1">
        <f t="array" ref="D2503">IFERROR(IF(SUMPRODUCT((expected_production[Site Name]=A2503)*(expected_production[Date]=B2503)*ISNUMBER(expected_production[Expected Production (kWh)]))=0,"",SUMIFS(expected_production[Expected Production (kWh)],expected_production[Site Name],A2503,expected_production[Date],B2503)),"")</f>
        <v>2664.75</v>
      </c>
      <c r="E2503" s="9">
        <f t="shared" si="80"/>
        <v>1.0137536354254622</v>
      </c>
      <c r="F2503" t="str">
        <f t="shared" si="81"/>
        <v>Expected</v>
      </c>
    </row>
    <row r="2504" spans="1:6" ht="15" customHeight="1" x14ac:dyDescent="0.3">
      <c r="A2504" t="s">
        <v>196</v>
      </c>
      <c r="B2504" s="2">
        <v>45839</v>
      </c>
      <c r="C2504" cm="1">
        <f t="array" ref="C2504">IFERROR(IF(SUMPRODUCT((measured[Site Name]=A2504)*(measured[Date]=B2504)*ISNUMBER(measured[Measured Value (kWh)]))=0,"",SUMIFS(measured[Measured Value (kWh)],measured[Site Name],A2504,measured[Date],B2504)),"")</f>
        <v>2990</v>
      </c>
      <c r="D2504" cm="1">
        <f t="array" ref="D2504">IFERROR(IF(SUMPRODUCT((expected_production[Site Name]=A2504)*(expected_production[Date]=B2504)*ISNUMBER(expected_production[Expected Production (kWh)]))=0,"",SUMIFS(expected_production[Expected Production (kWh)],expected_production[Site Name],A2504,expected_production[Date],B2504)),"")</f>
        <v>2851.125</v>
      </c>
      <c r="E2504" s="9">
        <f t="shared" si="80"/>
        <v>1.04870884300057</v>
      </c>
      <c r="F2504" t="str">
        <f t="shared" si="81"/>
        <v>Expected</v>
      </c>
    </row>
    <row r="2505" spans="1:6" ht="15" customHeight="1" x14ac:dyDescent="0.3">
      <c r="A2505" t="s">
        <v>196</v>
      </c>
      <c r="B2505" s="2">
        <v>45870</v>
      </c>
      <c r="C2505" cm="1">
        <f t="array" ref="C2505">IFERROR(IF(SUMPRODUCT((measured[Site Name]=A2505)*(measured[Date]=B2505)*ISNUMBER(measured[Measured Value (kWh)]))=0,"",SUMIFS(measured[Measured Value (kWh)],measured[Site Name],A2505,measured[Date],B2505)),"")</f>
        <v>3504</v>
      </c>
      <c r="D2505" cm="1">
        <f t="array" ref="D2505">IFERROR(IF(SUMPRODUCT((expected_production[Site Name]=A2505)*(expected_production[Date]=B2505)*ISNUMBER(expected_production[Expected Production (kWh)]))=0,"",SUMIFS(expected_production[Expected Production (kWh)],expected_production[Site Name],A2505,expected_production[Date],B2505)),"")</f>
        <v>3237</v>
      </c>
      <c r="E2505" s="9">
        <f t="shared" si="80"/>
        <v>1.0824837812789621</v>
      </c>
      <c r="F2505" t="str">
        <f t="shared" si="81"/>
        <v>Expected</v>
      </c>
    </row>
    <row r="2506" spans="1:6" ht="15" customHeight="1" x14ac:dyDescent="0.3">
      <c r="A2506" t="s">
        <v>196</v>
      </c>
      <c r="B2506" s="2">
        <v>45901</v>
      </c>
      <c r="C2506" cm="1">
        <f t="array" ref="C2506">IFERROR(IF(SUMPRODUCT((measured[Site Name]=A2506)*(measured[Date]=B2506)*ISNUMBER(measured[Measured Value (kWh)]))=0,"",SUMIFS(measured[Measured Value (kWh)],measured[Site Name],A2506,measured[Date],B2506)),"")</f>
        <v>3456</v>
      </c>
      <c r="D2506" cm="1">
        <f t="array" ref="D2506">IFERROR(IF(SUMPRODUCT((expected_production[Site Name]=A2506)*(expected_production[Date]=B2506)*ISNUMBER(expected_production[Expected Production (kWh)]))=0,"",SUMIFS(expected_production[Expected Production (kWh)],expected_production[Site Name],A2506,expected_production[Date],B2506)),"")</f>
        <v>3327.75</v>
      </c>
      <c r="E2506" s="9">
        <f t="shared" si="80"/>
        <v>1.0385395537525355</v>
      </c>
      <c r="F2506" t="str">
        <f t="shared" si="81"/>
        <v>Expected</v>
      </c>
    </row>
    <row r="2507" spans="1:6" ht="15" customHeight="1" x14ac:dyDescent="0.3">
      <c r="A2507" t="s">
        <v>196</v>
      </c>
      <c r="B2507" s="2">
        <v>45931</v>
      </c>
      <c r="C2507" cm="1">
        <f t="array" ref="C2507">IFERROR(IF(SUMPRODUCT((measured[Site Name]=A2507)*(measured[Date]=B2507)*ISNUMBER(measured[Measured Value (kWh)]))=0,"",SUMIFS(measured[Measured Value (kWh)],measured[Site Name],A2507,measured[Date],B2507)),"")</f>
        <v>4131</v>
      </c>
      <c r="D2507" cm="1">
        <f t="array" ref="D2507">IFERROR(IF(SUMPRODUCT((expected_production[Site Name]=A2507)*(expected_production[Date]=B2507)*ISNUMBER(expected_production[Expected Production (kWh)]))=0,"",SUMIFS(expected_production[Expected Production (kWh)],expected_production[Site Name],A2507,expected_production[Date],B2507)),"")</f>
        <v>3775.7249999999999</v>
      </c>
      <c r="E2507" s="9">
        <f t="shared" si="80"/>
        <v>1.0940945116500804</v>
      </c>
      <c r="F2507" t="str">
        <f t="shared" si="81"/>
        <v>Expected</v>
      </c>
    </row>
    <row r="2508" spans="1:6" ht="15" customHeight="1" x14ac:dyDescent="0.3">
      <c r="A2508" t="s">
        <v>196</v>
      </c>
      <c r="B2508" s="2">
        <v>45962</v>
      </c>
      <c r="C2508" cm="1">
        <f t="array" ref="C2508">IFERROR(IF(SUMPRODUCT((measured[Site Name]=A2508)*(measured[Date]=B2508)*ISNUMBER(measured[Measured Value (kWh)]))=0,"",SUMIFS(measured[Measured Value (kWh)],measured[Site Name],A2508,measured[Date],B2508)),"")</f>
        <v>3798</v>
      </c>
      <c r="D2508" cm="1">
        <f t="array" ref="D2508">IFERROR(IF(SUMPRODUCT((expected_production[Site Name]=A2508)*(expected_production[Date]=B2508)*ISNUMBER(expected_production[Expected Production (kWh)]))=0,"",SUMIFS(expected_production[Expected Production (kWh)],expected_production[Site Name],A2508,expected_production[Date],B2508)),"")</f>
        <v>3829.5749999999998</v>
      </c>
      <c r="E2508" s="9">
        <f t="shared" si="80"/>
        <v>0.99175495975401973</v>
      </c>
      <c r="F2508" t="str">
        <f t="shared" si="81"/>
        <v>Expected</v>
      </c>
    </row>
    <row r="2509" spans="1:6" ht="15" customHeight="1" x14ac:dyDescent="0.3">
      <c r="A2509" t="s">
        <v>196</v>
      </c>
      <c r="B2509" s="2">
        <v>45992</v>
      </c>
      <c r="C2509" cm="1">
        <f t="array" ref="C2509">IFERROR(IF(SUMPRODUCT((measured[Site Name]=A2509)*(measured[Date]=B2509)*ISNUMBER(measured[Measured Value (kWh)]))=0,"",SUMIFS(measured[Measured Value (kWh)],measured[Site Name],A2509,measured[Date],B2509)),"")</f>
        <v>4633</v>
      </c>
      <c r="D2509" cm="1">
        <f t="array" ref="D2509">IFERROR(IF(SUMPRODUCT((expected_production[Site Name]=A2509)*(expected_production[Date]=B2509)*ISNUMBER(expected_production[Expected Production (kWh)]))=0,"",SUMIFS(expected_production[Expected Production (kWh)],expected_production[Site Name],A2509,expected_production[Date],B2509)),"")</f>
        <v>4315.6499999999996</v>
      </c>
      <c r="E2509" s="9">
        <f t="shared" si="80"/>
        <v>1.0735346934992411</v>
      </c>
      <c r="F2509" t="str">
        <f t="shared" si="81"/>
        <v>Expected</v>
      </c>
    </row>
    <row r="2510" spans="1:6" ht="15" customHeight="1" x14ac:dyDescent="0.3">
      <c r="A2510" t="s">
        <v>196</v>
      </c>
      <c r="B2510" s="2">
        <v>46023</v>
      </c>
      <c r="C2510" cm="1">
        <f t="array" ref="C2510">IFERROR(IF(SUMPRODUCT((measured[Site Name]=A2510)*(measured[Date]=B2510)*ISNUMBER(measured[Measured Value (kWh)]))=0,"",SUMIFS(measured[Measured Value (kWh)],measured[Site Name],A2510,measured[Date],B2510)),"")</f>
        <v>5177</v>
      </c>
      <c r="D2510" cm="1">
        <f t="array" ref="D2510">IFERROR(IF(SUMPRODUCT((expected_production[Site Name]=A2510)*(expected_production[Date]=B2510)*ISNUMBER(expected_production[Expected Production (kWh)]))=0,"",SUMIFS(expected_production[Expected Production (kWh)],expected_production[Site Name],A2510,expected_production[Date],B2510)),"")</f>
        <v>4274.1000000000004</v>
      </c>
      <c r="E2510" s="9">
        <f t="shared" si="80"/>
        <v>1.2112491518682296</v>
      </c>
      <c r="F2510" t="str">
        <f t="shared" si="81"/>
        <v>Expected</v>
      </c>
    </row>
    <row r="2511" spans="1:6" ht="15" customHeight="1" x14ac:dyDescent="0.3">
      <c r="A2511" t="s">
        <v>196</v>
      </c>
      <c r="B2511" s="2">
        <v>46054</v>
      </c>
      <c r="C2511" cm="1">
        <f t="array" ref="C2511">IFERROR(IF(SUMPRODUCT((measured[Site Name]=A2511)*(measured[Date]=B2511)*ISNUMBER(measured[Measured Value (kWh)]))=0,"",SUMIFS(measured[Measured Value (kWh)],measured[Site Name],A2511,measured[Date],B2511)),"")</f>
        <v>3087</v>
      </c>
      <c r="D2511" cm="1">
        <f t="array" ref="D2511">IFERROR(IF(SUMPRODUCT((expected_production[Site Name]=A2511)*(expected_production[Date]=B2511)*ISNUMBER(expected_production[Expected Production (kWh)]))=0,"",SUMIFS(expected_production[Expected Production (kWh)],expected_production[Site Name],A2511,expected_production[Date],B2511)),"")</f>
        <v>3810.6</v>
      </c>
      <c r="E2511" s="9">
        <f t="shared" si="80"/>
        <v>0.81010864430798302</v>
      </c>
      <c r="F2511" t="str">
        <f t="shared" si="81"/>
        <v>Moderate</v>
      </c>
    </row>
    <row r="2512" spans="1:6" ht="15" customHeight="1" x14ac:dyDescent="0.3">
      <c r="A2512" t="s">
        <v>196</v>
      </c>
      <c r="B2512" s="2">
        <v>46082</v>
      </c>
      <c r="C2512" cm="1">
        <f t="array" ref="C2512">IFERROR(IF(SUMPRODUCT((measured[Site Name]=A2512)*(measured[Date]=B2512)*ISNUMBER(measured[Measured Value (kWh)]))=0,"",SUMIFS(measured[Measured Value (kWh)],measured[Site Name],A2512,measured[Date],B2512)),"")</f>
        <v>4035</v>
      </c>
      <c r="D2512" cm="1">
        <f t="array" ref="D2512">IFERROR(IF(SUMPRODUCT((expected_production[Site Name]=A2512)*(expected_production[Date]=B2512)*ISNUMBER(expected_production[Expected Production (kWh)]))=0,"",SUMIFS(expected_production[Expected Production (kWh)],expected_production[Site Name],A2512,expected_production[Date],B2512)),"")</f>
        <v>3907.2750000000001</v>
      </c>
      <c r="E2512" s="9">
        <f t="shared" si="80"/>
        <v>1.0326890224005221</v>
      </c>
      <c r="F2512" t="str">
        <f t="shared" si="81"/>
        <v>Expected</v>
      </c>
    </row>
    <row r="2513" spans="1:7" ht="15" customHeight="1" x14ac:dyDescent="0.3">
      <c r="A2513" t="s">
        <v>196</v>
      </c>
      <c r="B2513" s="2">
        <v>46113</v>
      </c>
      <c r="C2513" s="5" cm="1">
        <f t="array" ref="C2513">IFERROR(IF(SUMPRODUCT((measured[Site Name]=A2513)*(measured[Date]=B2513)*ISNUMBER(measured[Measured Value (kWh)]))=0,"",SUMIFS(measured[Measured Value (kWh)],measured[Site Name],A2513,measured[Date],B2513)),"")</f>
        <v>3282.98</v>
      </c>
      <c r="D2513" cm="1">
        <f t="array" ref="D2513">IFERROR(IF(SUMPRODUCT((expected_production[Site Name]=A2513)*(expected_production[Date]=B2513)*ISNUMBER(expected_production[Expected Production (kWh)]))=0,"",SUMIFS(expected_production[Expected Production (kWh)],expected_production[Site Name],A2513,expected_production[Date],B2513)),"")</f>
        <v>3268.125</v>
      </c>
      <c r="E2513" s="9">
        <f t="shared" si="80"/>
        <v>1.0045454197743355</v>
      </c>
      <c r="F2513" t="str">
        <f t="shared" si="81"/>
        <v>Expected</v>
      </c>
    </row>
    <row r="2514" spans="1:7" ht="15" customHeight="1" x14ac:dyDescent="0.3">
      <c r="A2514" t="s">
        <v>196</v>
      </c>
      <c r="B2514" s="2">
        <v>46143</v>
      </c>
      <c r="C2514" s="5" cm="1">
        <f t="array" ref="C2514">IFERROR(IF(SUMPRODUCT((measured[Site Name]=A2514)*(measured[Date]=B2514)*ISNUMBER(measured[Measured Value (kWh)]))=0,"",SUMIFS(measured[Measured Value (kWh)],measured[Site Name],A2514,measured[Date],B2514)),"")</f>
        <v>3208.4</v>
      </c>
      <c r="D2514" cm="1">
        <f t="array" ref="D2514">IFERROR(IF(SUMPRODUCT((expected_production[Site Name]=A2514)*(expected_production[Date]=B2514)*ISNUMBER(expected_production[Expected Production (kWh)]))=0,"",SUMIFS(expected_production[Expected Production (kWh)],expected_production[Site Name],A2514,expected_production[Date],B2514)),"")</f>
        <v>2929.95</v>
      </c>
      <c r="E2514" s="9">
        <f t="shared" si="80"/>
        <v>1.0950357514633358</v>
      </c>
      <c r="F2514" t="str">
        <f t="shared" si="81"/>
        <v>Expected</v>
      </c>
    </row>
    <row r="2515" spans="1:7" ht="15" customHeight="1" x14ac:dyDescent="0.3">
      <c r="A2515" t="s">
        <v>196</v>
      </c>
      <c r="B2515" s="2">
        <v>46174</v>
      </c>
      <c r="C2515" cm="1">
        <f t="array" ref="C2515">IFERROR(IF(SUMPRODUCT((measured[Site Name]=A2515)*(measured[Date]=B2515)*ISNUMBER(measured[Measured Value (kWh)]))=0,"",SUMIFS(measured[Measured Value (kWh)],measured[Site Name],A2515,measured[Date],B2515)),"")</f>
        <v>3015</v>
      </c>
      <c r="D2515" cm="1">
        <f t="array" ref="D2515">IFERROR(IF(SUMPRODUCT((expected_production[Site Name]=A2515)*(expected_production[Date]=B2515)*ISNUMBER(expected_production[Expected Production (kWh)]))=0,"",SUMIFS(expected_production[Expected Production (kWh)],expected_production[Site Name],A2515,expected_production[Date],B2515)),"")</f>
        <v>2664.75</v>
      </c>
      <c r="E2515" s="9">
        <f t="shared" si="80"/>
        <v>1.1314382212215031</v>
      </c>
      <c r="F2515" t="str">
        <f t="shared" si="81"/>
        <v>Expected</v>
      </c>
    </row>
    <row r="2516" spans="1:7" ht="15" customHeight="1" x14ac:dyDescent="0.3">
      <c r="A2516" t="s">
        <v>192</v>
      </c>
      <c r="B2516" s="2">
        <v>46204</v>
      </c>
      <c r="C2516" cm="1">
        <f t="array" ref="C2516">IFERROR(IF(SUMPRODUCT((measured[Site Name]=A2516)*(measured[Date]=B2516)*ISNUMBER(measured[Measured Value (kWh)]))=0,"",SUMIFS(measured[Measured Value (kWh)],measured[Site Name],A2516,measured[Date],B2516)),"")</f>
        <v>0</v>
      </c>
      <c r="D2516" cm="1">
        <f t="array" ref="D2516">IFERROR(IF(SUMPRODUCT((expected_production[Site Name]=A2516)*(expected_production[Date]=B2516)*ISNUMBER(expected_production[Expected Production (kWh)]))=0,"",SUMIFS(expected_production[Expected Production (kWh)],expected_production[Site Name],A2516,expected_production[Date],B2516)),"")</f>
        <v>0</v>
      </c>
      <c r="E2516" s="9" t="str">
        <f t="shared" si="80"/>
        <v/>
      </c>
      <c r="F2516" t="str">
        <f t="shared" si="81"/>
        <v/>
      </c>
      <c r="G2516" t="s">
        <v>874</v>
      </c>
    </row>
    <row r="2517" spans="1:7" ht="15" customHeight="1" x14ac:dyDescent="0.3">
      <c r="A2517" t="s">
        <v>196</v>
      </c>
      <c r="B2517" s="2">
        <v>46235</v>
      </c>
      <c r="C2517" t="str" cm="1">
        <f t="array" ref="C2517">IFERROR(IF(SUMPRODUCT((measured[Site Name]=A2517)*(measured[Date]=B2517)*ISNUMBER(measured[Measured Value (kWh)]))=0,"",SUMIFS(measured[Measured Value (kWh)],measured[Site Name],A2517,measured[Date],B2517)),"")</f>
        <v/>
      </c>
      <c r="D2517" cm="1">
        <f t="array" ref="D2517">IFERROR(IF(SUMPRODUCT((expected_production[Site Name]=A2517)*(expected_production[Date]=B2517)*ISNUMBER(expected_production[Expected Production (kWh)]))=0,"",SUMIFS(expected_production[Expected Production (kWh)],expected_production[Site Name],A2517,expected_production[Date],B2517)),"")</f>
        <v>3237</v>
      </c>
      <c r="E2517" s="9" t="str">
        <f t="shared" si="80"/>
        <v/>
      </c>
      <c r="F2517" t="str">
        <f t="shared" si="81"/>
        <v/>
      </c>
    </row>
    <row r="2518" spans="1:7" ht="15" customHeight="1" x14ac:dyDescent="0.3">
      <c r="A2518" t="s">
        <v>196</v>
      </c>
      <c r="B2518" s="2">
        <v>46266</v>
      </c>
      <c r="C2518" t="str" cm="1">
        <f t="array" ref="C2518">IFERROR(IF(SUMPRODUCT((measured[Site Name]=A2518)*(measured[Date]=B2518)*ISNUMBER(measured[Measured Value (kWh)]))=0,"",SUMIFS(measured[Measured Value (kWh)],measured[Site Name],A2518,measured[Date],B2518)),"")</f>
        <v/>
      </c>
      <c r="D2518" cm="1">
        <f t="array" ref="D2518">IFERROR(IF(SUMPRODUCT((expected_production[Site Name]=A2518)*(expected_production[Date]=B2518)*ISNUMBER(expected_production[Expected Production (kWh)]))=0,"",SUMIFS(expected_production[Expected Production (kWh)],expected_production[Site Name],A2518,expected_production[Date],B2518)),"")</f>
        <v>3327.75</v>
      </c>
      <c r="E2518" s="9" t="str">
        <f t="shared" si="80"/>
        <v/>
      </c>
      <c r="F2518" t="str">
        <f t="shared" si="81"/>
        <v/>
      </c>
    </row>
    <row r="2519" spans="1:7" ht="15" customHeight="1" x14ac:dyDescent="0.3">
      <c r="A2519" t="s">
        <v>196</v>
      </c>
      <c r="B2519" s="2">
        <v>46296</v>
      </c>
      <c r="C2519" t="str" cm="1">
        <f t="array" ref="C2519">IFERROR(IF(SUMPRODUCT((measured[Site Name]=A2519)*(measured[Date]=B2519)*ISNUMBER(measured[Measured Value (kWh)]))=0,"",SUMIFS(measured[Measured Value (kWh)],measured[Site Name],A2519,measured[Date],B2519)),"")</f>
        <v/>
      </c>
      <c r="D2519" cm="1">
        <f t="array" ref="D2519">IFERROR(IF(SUMPRODUCT((expected_production[Site Name]=A2519)*(expected_production[Date]=B2519)*ISNUMBER(expected_production[Expected Production (kWh)]))=0,"",SUMIFS(expected_production[Expected Production (kWh)],expected_production[Site Name],A2519,expected_production[Date],B2519)),"")</f>
        <v>3775.7249999999999</v>
      </c>
      <c r="E2519" s="9" t="str">
        <f t="shared" si="80"/>
        <v/>
      </c>
      <c r="F2519" t="str">
        <f t="shared" si="81"/>
        <v/>
      </c>
    </row>
    <row r="2520" spans="1:7" ht="15" customHeight="1" x14ac:dyDescent="0.3">
      <c r="A2520" t="s">
        <v>196</v>
      </c>
      <c r="B2520" s="2">
        <v>46327</v>
      </c>
      <c r="C2520" t="str" cm="1">
        <f t="array" ref="C2520">IFERROR(IF(SUMPRODUCT((measured[Site Name]=A2520)*(measured[Date]=B2520)*ISNUMBER(measured[Measured Value (kWh)]))=0,"",SUMIFS(measured[Measured Value (kWh)],measured[Site Name],A2520,measured[Date],B2520)),"")</f>
        <v/>
      </c>
      <c r="D2520" cm="1">
        <f t="array" ref="D2520">IFERROR(IF(SUMPRODUCT((expected_production[Site Name]=A2520)*(expected_production[Date]=B2520)*ISNUMBER(expected_production[Expected Production (kWh)]))=0,"",SUMIFS(expected_production[Expected Production (kWh)],expected_production[Site Name],A2520,expected_production[Date],B2520)),"")</f>
        <v>3829.5749999999998</v>
      </c>
      <c r="E2520" s="9" t="str">
        <f t="shared" si="80"/>
        <v/>
      </c>
      <c r="F2520" t="str">
        <f t="shared" si="81"/>
        <v/>
      </c>
    </row>
    <row r="2521" spans="1:7" ht="15" customHeight="1" x14ac:dyDescent="0.3">
      <c r="A2521" t="s">
        <v>196</v>
      </c>
      <c r="B2521" s="2">
        <v>46357</v>
      </c>
      <c r="C2521" t="str" cm="1">
        <f t="array" ref="C2521">IFERROR(IF(SUMPRODUCT((measured[Site Name]=A2521)*(measured[Date]=B2521)*ISNUMBER(measured[Measured Value (kWh)]))=0,"",SUMIFS(measured[Measured Value (kWh)],measured[Site Name],A2521,measured[Date],B2521)),"")</f>
        <v/>
      </c>
      <c r="D2521" cm="1">
        <f t="array" ref="D2521">IFERROR(IF(SUMPRODUCT((expected_production[Site Name]=A2521)*(expected_production[Date]=B2521)*ISNUMBER(expected_production[Expected Production (kWh)]))=0,"",SUMIFS(expected_production[Expected Production (kWh)],expected_production[Site Name],A2521,expected_production[Date],B2521)),"")</f>
        <v>4315.6499999999996</v>
      </c>
      <c r="E2521" s="9" t="str">
        <f t="shared" si="80"/>
        <v/>
      </c>
      <c r="F2521" t="str">
        <f t="shared" si="81"/>
        <v/>
      </c>
    </row>
    <row r="2522" spans="1:7" ht="15" customHeight="1" x14ac:dyDescent="0.3">
      <c r="A2522" t="s">
        <v>201</v>
      </c>
      <c r="B2522" s="2">
        <v>45292</v>
      </c>
      <c r="C2522" t="str" cm="1">
        <f t="array" ref="C2522">IFERROR(IF(SUMPRODUCT((measured[Site Name]=A2522)*(measured[Date]=B2522)*ISNUMBER(measured[Measured Value (kWh)]))=0,"",SUMIFS(measured[Measured Value (kWh)],measured[Site Name],A2522,measured[Date],B2522)),"")</f>
        <v/>
      </c>
      <c r="D2522" cm="1">
        <f t="array" ref="D2522">IFERROR(IF(SUMPRODUCT((expected_production[Site Name]=A2522)*(expected_production[Date]=B2522)*ISNUMBER(expected_production[Expected Production (kWh)]))=0,"",SUMIFS(expected_production[Expected Production (kWh)],expected_production[Site Name],A2522,expected_production[Date],B2522)),"")</f>
        <v>13441.985000000001</v>
      </c>
      <c r="E2522" s="9" t="str">
        <f t="shared" si="80"/>
        <v/>
      </c>
      <c r="F2522" t="str">
        <f t="shared" si="81"/>
        <v/>
      </c>
    </row>
    <row r="2523" spans="1:7" ht="15" customHeight="1" x14ac:dyDescent="0.3">
      <c r="A2523" t="s">
        <v>201</v>
      </c>
      <c r="B2523" s="2">
        <v>45323</v>
      </c>
      <c r="C2523" cm="1">
        <f t="array" ref="C2523">IFERROR(IF(SUMPRODUCT((measured[Site Name]=A2523)*(measured[Date]=B2523)*ISNUMBER(measured[Measured Value (kWh)]))=0,"",SUMIFS(measured[Measured Value (kWh)],measured[Site Name],A2523,measured[Date],B2523)),"")</f>
        <v>11561</v>
      </c>
      <c r="D2523" cm="1">
        <f t="array" ref="D2523">IFERROR(IF(SUMPRODUCT((expected_production[Site Name]=A2523)*(expected_production[Date]=B2523)*ISNUMBER(expected_production[Expected Production (kWh)]))=0,"",SUMIFS(expected_production[Expected Production (kWh)],expected_production[Site Name],A2523,expected_production[Date],B2523)),"")</f>
        <v>12055.125</v>
      </c>
      <c r="E2523" s="9">
        <f t="shared" si="80"/>
        <v>0.95901120892566438</v>
      </c>
      <c r="F2523" t="str">
        <f t="shared" si="81"/>
        <v>Expected</v>
      </c>
    </row>
    <row r="2524" spans="1:7" ht="15" customHeight="1" x14ac:dyDescent="0.3">
      <c r="A2524" t="s">
        <v>201</v>
      </c>
      <c r="B2524" s="2">
        <v>45352</v>
      </c>
      <c r="C2524" cm="1">
        <f t="array" ref="C2524">IFERROR(IF(SUMPRODUCT((measured[Site Name]=A2524)*(measured[Date]=B2524)*ISNUMBER(measured[Measured Value (kWh)]))=0,"",SUMIFS(measured[Measured Value (kWh)],measured[Site Name],A2524,measured[Date],B2524)),"")</f>
        <v>11738</v>
      </c>
      <c r="D2524" cm="1">
        <f t="array" ref="D2524">IFERROR(IF(SUMPRODUCT((expected_production[Site Name]=A2524)*(expected_production[Date]=B2524)*ISNUMBER(expected_production[Expected Production (kWh)]))=0,"",SUMIFS(expected_production[Expected Production (kWh)],expected_production[Site Name],A2524,expected_production[Date],B2524)),"")</f>
        <v>12858.46</v>
      </c>
      <c r="E2524" s="9">
        <f t="shared" si="80"/>
        <v>0.91286203791122733</v>
      </c>
      <c r="F2524" t="str">
        <f t="shared" si="81"/>
        <v>Expected</v>
      </c>
    </row>
    <row r="2525" spans="1:7" ht="15" customHeight="1" x14ac:dyDescent="0.3">
      <c r="A2525" t="s">
        <v>201</v>
      </c>
      <c r="B2525" s="2">
        <v>45383</v>
      </c>
      <c r="C2525" cm="1">
        <f t="array" ref="C2525">IFERROR(IF(SUMPRODUCT((measured[Site Name]=A2525)*(measured[Date]=B2525)*ISNUMBER(measured[Measured Value (kWh)]))=0,"",SUMIFS(measured[Measured Value (kWh)],measured[Site Name],A2525,measured[Date],B2525)),"")</f>
        <v>307</v>
      </c>
      <c r="D2525" cm="1">
        <f t="array" ref="D2525">IFERROR(IF(SUMPRODUCT((expected_production[Site Name]=A2525)*(expected_production[Date]=B2525)*ISNUMBER(expected_production[Expected Production (kWh)]))=0,"",SUMIFS(expected_production[Expected Production (kWh)],expected_production[Site Name],A2525,expected_production[Date],B2525)),"")</f>
        <v>11531.27</v>
      </c>
      <c r="E2525" s="9">
        <f t="shared" si="80"/>
        <v>2.6623260057218327E-2</v>
      </c>
      <c r="F2525" t="str">
        <f t="shared" si="81"/>
        <v>Poor</v>
      </c>
    </row>
    <row r="2526" spans="1:7" ht="15" customHeight="1" x14ac:dyDescent="0.3">
      <c r="A2526" t="s">
        <v>201</v>
      </c>
      <c r="B2526" s="2">
        <v>45413</v>
      </c>
      <c r="C2526" cm="1">
        <f t="array" ref="C2526">IFERROR(IF(SUMPRODUCT((measured[Site Name]=A2526)*(measured[Date]=B2526)*ISNUMBER(measured[Measured Value (kWh)]))=0,"",SUMIFS(measured[Measured Value (kWh)],measured[Site Name],A2526,measured[Date],B2526)),"")</f>
        <v>1</v>
      </c>
      <c r="D2526" cm="1">
        <f t="array" ref="D2526">IFERROR(IF(SUMPRODUCT((expected_production[Site Name]=A2526)*(expected_production[Date]=B2526)*ISNUMBER(expected_production[Expected Production (kWh)]))=0,"",SUMIFS(expected_production[Expected Production (kWh)],expected_production[Site Name],A2526,expected_production[Date],B2526)),"")</f>
        <v>11785.93</v>
      </c>
      <c r="E2526" s="9">
        <f t="shared" si="80"/>
        <v>8.4846931892519295E-5</v>
      </c>
      <c r="F2526" t="str">
        <f t="shared" si="81"/>
        <v>Poor</v>
      </c>
    </row>
    <row r="2527" spans="1:7" ht="15" customHeight="1" x14ac:dyDescent="0.3">
      <c r="A2527" t="s">
        <v>201</v>
      </c>
      <c r="B2527" s="2">
        <v>45444</v>
      </c>
      <c r="C2527" cm="1">
        <f t="array" ref="C2527">IFERROR(IF(SUMPRODUCT((measured[Site Name]=A2527)*(measured[Date]=B2527)*ISNUMBER(measured[Measured Value (kWh)]))=0,"",SUMIFS(measured[Measured Value (kWh)],measured[Site Name],A2527,measured[Date],B2527)),"")</f>
        <v>1</v>
      </c>
      <c r="D2527" cm="1">
        <f t="array" ref="D2527">IFERROR(IF(SUMPRODUCT((expected_production[Site Name]=A2527)*(expected_production[Date]=B2527)*ISNUMBER(expected_production[Expected Production (kWh)]))=0,"",SUMIFS(expected_production[Expected Production (kWh)],expected_production[Site Name],A2527,expected_production[Date],B2527)),"")</f>
        <v>11018.635</v>
      </c>
      <c r="E2527" s="9">
        <f t="shared" si="80"/>
        <v>9.0755343107381273E-5</v>
      </c>
      <c r="F2527" t="str">
        <f t="shared" si="81"/>
        <v>Poor</v>
      </c>
    </row>
    <row r="2528" spans="1:7" ht="15" customHeight="1" x14ac:dyDescent="0.3">
      <c r="A2528" t="s">
        <v>201</v>
      </c>
      <c r="B2528" s="2">
        <v>45474</v>
      </c>
      <c r="C2528" cm="1">
        <f t="array" ref="C2528">IFERROR(IF(SUMPRODUCT((measured[Site Name]=A2528)*(measured[Date]=B2528)*ISNUMBER(measured[Measured Value (kWh)]))=0,"",SUMIFS(measured[Measured Value (kWh)],measured[Site Name],A2528,measured[Date],B2528)),"")</f>
        <v>6245</v>
      </c>
      <c r="D2528" cm="1">
        <f t="array" ref="D2528">IFERROR(IF(SUMPRODUCT((expected_production[Site Name]=A2528)*(expected_production[Date]=B2528)*ISNUMBER(expected_production[Expected Production (kWh)]))=0,"",SUMIFS(expected_production[Expected Production (kWh)],expected_production[Site Name],A2528,expected_production[Date],B2528)),"")</f>
        <v>12024.27</v>
      </c>
      <c r="E2528" s="9">
        <f t="shared" si="80"/>
        <v>0.51936624842921852</v>
      </c>
      <c r="F2528" t="str">
        <f t="shared" si="81"/>
        <v>Poor</v>
      </c>
    </row>
    <row r="2529" spans="1:6" ht="15" customHeight="1" x14ac:dyDescent="0.3">
      <c r="A2529" t="s">
        <v>201</v>
      </c>
      <c r="B2529" s="2">
        <v>45505</v>
      </c>
      <c r="C2529" cm="1">
        <f t="array" ref="C2529">IFERROR(IF(SUMPRODUCT((measured[Site Name]=A2529)*(measured[Date]=B2529)*ISNUMBER(measured[Measured Value (kWh)]))=0,"",SUMIFS(measured[Measured Value (kWh)],measured[Site Name],A2529,measured[Date],B2529)),"")</f>
        <v>10791</v>
      </c>
      <c r="D2529" cm="1">
        <f t="array" ref="D2529">IFERROR(IF(SUMPRODUCT((expected_production[Site Name]=A2529)*(expected_production[Date]=B2529)*ISNUMBER(expected_production[Expected Production (kWh)]))=0,"",SUMIFS(expected_production[Expected Production (kWh)],expected_production[Site Name],A2529,expected_production[Date],B2529)),"")</f>
        <v>13262.635</v>
      </c>
      <c r="E2529" s="9">
        <f t="shared" si="80"/>
        <v>0.81363922026052893</v>
      </c>
      <c r="F2529" t="str">
        <f t="shared" si="81"/>
        <v>Moderate</v>
      </c>
    </row>
    <row r="2530" spans="1:6" ht="15" customHeight="1" x14ac:dyDescent="0.3">
      <c r="A2530" t="s">
        <v>201</v>
      </c>
      <c r="B2530" s="2">
        <v>45536</v>
      </c>
      <c r="C2530" cm="1">
        <f t="array" ref="C2530">IFERROR(IF(SUMPRODUCT((measured[Site Name]=A2530)*(measured[Date]=B2530)*ISNUMBER(measured[Measured Value (kWh)]))=0,"",SUMIFS(measured[Measured Value (kWh)],measured[Site Name],A2530,measured[Date],B2530)),"")</f>
        <v>10127</v>
      </c>
      <c r="D2530" cm="1">
        <f t="array" ref="D2530">IFERROR(IF(SUMPRODUCT((expected_production[Site Name]=A2530)*(expected_production[Date]=B2530)*ISNUMBER(expected_production[Expected Production (kWh)]))=0,"",SUMIFS(expected_production[Expected Production (kWh)],expected_production[Site Name],A2530,expected_production[Date],B2530)),"")</f>
        <v>13540.33</v>
      </c>
      <c r="E2530" s="9">
        <f t="shared" si="80"/>
        <v>0.74791382484769575</v>
      </c>
      <c r="F2530" t="str">
        <f t="shared" si="81"/>
        <v>Moderate</v>
      </c>
    </row>
    <row r="2531" spans="1:6" ht="15" customHeight="1" x14ac:dyDescent="0.3">
      <c r="A2531" t="s">
        <v>201</v>
      </c>
      <c r="B2531" s="2">
        <v>45566</v>
      </c>
      <c r="C2531" cm="1">
        <f t="array" ref="C2531">IFERROR(IF(SUMPRODUCT((measured[Site Name]=A2531)*(measured[Date]=B2531)*ISNUMBER(measured[Measured Value (kWh)]))=0,"",SUMIFS(measured[Measured Value (kWh)],measured[Site Name],A2531,measured[Date],B2531)),"")</f>
        <v>12940</v>
      </c>
      <c r="D2531" cm="1">
        <f t="array" ref="D2531">IFERROR(IF(SUMPRODUCT((expected_production[Site Name]=A2531)*(expected_production[Date]=B2531)*ISNUMBER(expected_production[Expected Production (kWh)]))=0,"",SUMIFS(expected_production[Expected Production (kWh)],expected_production[Site Name],A2531,expected_production[Date],B2531)),"")</f>
        <v>13925.295</v>
      </c>
      <c r="E2531" s="9">
        <f t="shared" si="80"/>
        <v>0.92924422786016381</v>
      </c>
      <c r="F2531" t="str">
        <f t="shared" si="81"/>
        <v>Expected</v>
      </c>
    </row>
    <row r="2532" spans="1:6" ht="15" customHeight="1" x14ac:dyDescent="0.3">
      <c r="A2532" t="s">
        <v>201</v>
      </c>
      <c r="B2532" s="2">
        <v>45597</v>
      </c>
      <c r="C2532" cm="1">
        <f t="array" ref="C2532">IFERROR(IF(SUMPRODUCT((measured[Site Name]=A2532)*(measured[Date]=B2532)*ISNUMBER(measured[Measured Value (kWh)]))=0,"",SUMIFS(measured[Measured Value (kWh)],measured[Site Name],A2532,measured[Date],B2532)),"")</f>
        <v>12711</v>
      </c>
      <c r="D2532" cm="1">
        <f t="array" ref="D2532">IFERROR(IF(SUMPRODUCT((expected_production[Site Name]=A2532)*(expected_production[Date]=B2532)*ISNUMBER(expected_production[Expected Production (kWh)]))=0,"",SUMIFS(expected_production[Expected Production (kWh)],expected_production[Site Name],A2532,expected_production[Date],B2532)),"")</f>
        <v>13508.37</v>
      </c>
      <c r="E2532" s="9">
        <f t="shared" si="80"/>
        <v>0.9409721528208066</v>
      </c>
      <c r="F2532" t="str">
        <f t="shared" si="81"/>
        <v>Expected</v>
      </c>
    </row>
    <row r="2533" spans="1:6" ht="15" customHeight="1" x14ac:dyDescent="0.3">
      <c r="A2533" t="s">
        <v>201</v>
      </c>
      <c r="B2533" s="2">
        <v>45627</v>
      </c>
      <c r="C2533" cm="1">
        <f t="array" ref="C2533">IFERROR(IF(SUMPRODUCT((measured[Site Name]=A2533)*(measured[Date]=B2533)*ISNUMBER(measured[Measured Value (kWh)]))=0,"",SUMIFS(measured[Measured Value (kWh)],measured[Site Name],A2533,measured[Date],B2533)),"")</f>
        <v>12090</v>
      </c>
      <c r="D2533" cm="1">
        <f t="array" ref="D2533">IFERROR(IF(SUMPRODUCT((expected_production[Site Name]=A2533)*(expected_production[Date]=B2533)*ISNUMBER(expected_production[Expected Production (kWh)]))=0,"",SUMIFS(expected_production[Expected Production (kWh)],expected_production[Site Name],A2533,expected_production[Date],B2533)),"")</f>
        <v>14234.525</v>
      </c>
      <c r="E2533" s="9">
        <f t="shared" si="80"/>
        <v>0.84934340977306932</v>
      </c>
      <c r="F2533" t="str">
        <f t="shared" si="81"/>
        <v>Moderate</v>
      </c>
    </row>
    <row r="2534" spans="1:6" ht="15" customHeight="1" x14ac:dyDescent="0.3">
      <c r="A2534" t="s">
        <v>201</v>
      </c>
      <c r="B2534" s="2">
        <v>45658</v>
      </c>
      <c r="C2534" cm="1">
        <f t="array" ref="C2534">IFERROR(IF(SUMPRODUCT((measured[Site Name]=A2534)*(measured[Date]=B2534)*ISNUMBER(measured[Measured Value (kWh)]))=0,"",SUMIFS(measured[Measured Value (kWh)],measured[Site Name],A2534,measured[Date],B2534)),"")</f>
        <v>10838</v>
      </c>
      <c r="D2534" cm="1">
        <f t="array" ref="D2534">IFERROR(IF(SUMPRODUCT((expected_production[Site Name]=A2534)*(expected_production[Date]=B2534)*ISNUMBER(expected_production[Expected Production (kWh)]))=0,"",SUMIFS(expected_production[Expected Production (kWh)],expected_production[Site Name],A2534,expected_production[Date],B2534)),"")</f>
        <v>13441.985000000001</v>
      </c>
      <c r="E2534" s="9">
        <f t="shared" si="80"/>
        <v>0.80627972728730168</v>
      </c>
      <c r="F2534" t="str">
        <f t="shared" si="81"/>
        <v>Moderate</v>
      </c>
    </row>
    <row r="2535" spans="1:6" ht="15" customHeight="1" x14ac:dyDescent="0.3">
      <c r="A2535" t="s">
        <v>201</v>
      </c>
      <c r="B2535" s="2">
        <v>45689</v>
      </c>
      <c r="C2535" cm="1">
        <f t="array" ref="C2535">IFERROR(IF(SUMPRODUCT((measured[Site Name]=A2535)*(measured[Date]=B2535)*ISNUMBER(measured[Measured Value (kWh)]))=0,"",SUMIFS(measured[Measured Value (kWh)],measured[Site Name],A2535,measured[Date],B2535)),"")</f>
        <v>8901</v>
      </c>
      <c r="D2535" cm="1">
        <f t="array" ref="D2535">IFERROR(IF(SUMPRODUCT((expected_production[Site Name]=A2535)*(expected_production[Date]=B2535)*ISNUMBER(expected_production[Expected Production (kWh)]))=0,"",SUMIFS(expected_production[Expected Production (kWh)],expected_production[Site Name],A2535,expected_production[Date],B2535)),"")</f>
        <v>12055.125</v>
      </c>
      <c r="E2535" s="9">
        <f t="shared" si="80"/>
        <v>0.73835816716956482</v>
      </c>
      <c r="F2535" t="str">
        <f t="shared" si="81"/>
        <v>Moderate</v>
      </c>
    </row>
    <row r="2536" spans="1:6" ht="15" customHeight="1" x14ac:dyDescent="0.3">
      <c r="A2536" t="s">
        <v>201</v>
      </c>
      <c r="B2536" s="2">
        <v>45717</v>
      </c>
      <c r="C2536" cm="1">
        <f t="array" ref="C2536">IFERROR(IF(SUMPRODUCT((measured[Site Name]=A2536)*(measured[Date]=B2536)*ISNUMBER(measured[Measured Value (kWh)]))=0,"",SUMIFS(measured[Measured Value (kWh)],measured[Site Name],A2536,measured[Date],B2536)),"")</f>
        <v>9398</v>
      </c>
      <c r="D2536" cm="1">
        <f t="array" ref="D2536">IFERROR(IF(SUMPRODUCT((expected_production[Site Name]=A2536)*(expected_production[Date]=B2536)*ISNUMBER(expected_production[Expected Production (kWh)]))=0,"",SUMIFS(expected_production[Expected Production (kWh)],expected_production[Site Name],A2536,expected_production[Date],B2536)),"")</f>
        <v>12858.46</v>
      </c>
      <c r="E2536" s="9">
        <f t="shared" si="80"/>
        <v>0.7308806808902466</v>
      </c>
      <c r="F2536" t="str">
        <f t="shared" si="81"/>
        <v>Moderate</v>
      </c>
    </row>
    <row r="2537" spans="1:6" ht="15" customHeight="1" x14ac:dyDescent="0.3">
      <c r="A2537" t="s">
        <v>201</v>
      </c>
      <c r="B2537" s="2">
        <v>45748</v>
      </c>
      <c r="C2537" cm="1">
        <f t="array" ref="C2537">IFERROR(IF(SUMPRODUCT((measured[Site Name]=A2537)*(measured[Date]=B2537)*ISNUMBER(measured[Measured Value (kWh)]))=0,"",SUMIFS(measured[Measured Value (kWh)],measured[Site Name],A2537,measured[Date],B2537)),"")</f>
        <v>8195</v>
      </c>
      <c r="D2537" cm="1">
        <f t="array" ref="D2537">IFERROR(IF(SUMPRODUCT((expected_production[Site Name]=A2537)*(expected_production[Date]=B2537)*ISNUMBER(expected_production[Expected Production (kWh)]))=0,"",SUMIFS(expected_production[Expected Production (kWh)],expected_production[Site Name],A2537,expected_production[Date],B2537)),"")</f>
        <v>11531.27</v>
      </c>
      <c r="E2537" s="9">
        <f t="shared" si="80"/>
        <v>0.71067627416581169</v>
      </c>
      <c r="F2537" t="str">
        <f t="shared" si="81"/>
        <v>Moderate</v>
      </c>
    </row>
    <row r="2538" spans="1:6" ht="15" customHeight="1" x14ac:dyDescent="0.3">
      <c r="A2538" t="s">
        <v>201</v>
      </c>
      <c r="B2538" s="2">
        <v>45778</v>
      </c>
      <c r="C2538" cm="1">
        <f t="array" ref="C2538">IFERROR(IF(SUMPRODUCT((measured[Site Name]=A2538)*(measured[Date]=B2538)*ISNUMBER(measured[Measured Value (kWh)]))=0,"",SUMIFS(measured[Measured Value (kWh)],measured[Site Name],A2538,measured[Date],B2538)),"")</f>
        <v>6021</v>
      </c>
      <c r="D2538" cm="1">
        <f t="array" ref="D2538">IFERROR(IF(SUMPRODUCT((expected_production[Site Name]=A2538)*(expected_production[Date]=B2538)*ISNUMBER(expected_production[Expected Production (kWh)]))=0,"",SUMIFS(expected_production[Expected Production (kWh)],expected_production[Site Name],A2538,expected_production[Date],B2538)),"")</f>
        <v>11785.93</v>
      </c>
      <c r="E2538" s="9">
        <f t="shared" si="80"/>
        <v>0.51086337692485873</v>
      </c>
      <c r="F2538" t="str">
        <f t="shared" si="81"/>
        <v>Poor</v>
      </c>
    </row>
    <row r="2539" spans="1:6" ht="15" customHeight="1" x14ac:dyDescent="0.3">
      <c r="A2539" t="s">
        <v>201</v>
      </c>
      <c r="B2539" s="2">
        <v>45809</v>
      </c>
      <c r="C2539" cm="1">
        <f t="array" ref="C2539">IFERROR(IF(SUMPRODUCT((measured[Site Name]=A2539)*(measured[Date]=B2539)*ISNUMBER(measured[Measured Value (kWh)]))=0,"",SUMIFS(measured[Measured Value (kWh)],measured[Site Name],A2539,measured[Date],B2539)),"")</f>
        <v>4341.5600000000004</v>
      </c>
      <c r="D2539" cm="1">
        <f t="array" ref="D2539">IFERROR(IF(SUMPRODUCT((expected_production[Site Name]=A2539)*(expected_production[Date]=B2539)*ISNUMBER(expected_production[Expected Production (kWh)]))=0,"",SUMIFS(expected_production[Expected Production (kWh)],expected_production[Site Name],A2539,expected_production[Date],B2539)),"")</f>
        <v>11018.635</v>
      </c>
      <c r="E2539" s="9">
        <f t="shared" si="80"/>
        <v>0.39401976742128225</v>
      </c>
      <c r="F2539" t="str">
        <f t="shared" si="81"/>
        <v>Poor</v>
      </c>
    </row>
    <row r="2540" spans="1:6" ht="15" customHeight="1" x14ac:dyDescent="0.3">
      <c r="A2540" t="s">
        <v>201</v>
      </c>
      <c r="B2540" s="2">
        <v>45839</v>
      </c>
      <c r="C2540" cm="1">
        <f t="array" ref="C2540">IFERROR(IF(SUMPRODUCT((measured[Site Name]=A2540)*(measured[Date]=B2540)*ISNUMBER(measured[Measured Value (kWh)]))=0,"",SUMIFS(measured[Measured Value (kWh)],measured[Site Name],A2540,measured[Date],B2540)),"")</f>
        <v>6989</v>
      </c>
      <c r="D2540" cm="1">
        <f t="array" ref="D2540">IFERROR(IF(SUMPRODUCT((expected_production[Site Name]=A2540)*(expected_production[Date]=B2540)*ISNUMBER(expected_production[Expected Production (kWh)]))=0,"",SUMIFS(expected_production[Expected Production (kWh)],expected_production[Site Name],A2540,expected_production[Date],B2540)),"")</f>
        <v>12024.27</v>
      </c>
      <c r="E2540" s="9">
        <f t="shared" si="80"/>
        <v>0.5812411065287123</v>
      </c>
      <c r="F2540" t="str">
        <f t="shared" si="81"/>
        <v>Poor</v>
      </c>
    </row>
    <row r="2541" spans="1:6" ht="15" customHeight="1" x14ac:dyDescent="0.3">
      <c r="A2541" t="s">
        <v>201</v>
      </c>
      <c r="B2541" s="2">
        <v>45870</v>
      </c>
      <c r="C2541" cm="1">
        <f t="array" ref="C2541">IFERROR(IF(SUMPRODUCT((measured[Site Name]=A2541)*(measured[Date]=B2541)*ISNUMBER(measured[Measured Value (kWh)]))=0,"",SUMIFS(measured[Measured Value (kWh)],measured[Site Name],A2541,measured[Date],B2541)),"")</f>
        <v>11205</v>
      </c>
      <c r="D2541" cm="1">
        <f t="array" ref="D2541">IFERROR(IF(SUMPRODUCT((expected_production[Site Name]=A2541)*(expected_production[Date]=B2541)*ISNUMBER(expected_production[Expected Production (kWh)]))=0,"",SUMIFS(expected_production[Expected Production (kWh)],expected_production[Site Name],A2541,expected_production[Date],B2541)),"")</f>
        <v>13262.635</v>
      </c>
      <c r="E2541" s="9">
        <f t="shared" si="80"/>
        <v>0.84485473663416055</v>
      </c>
      <c r="F2541" t="str">
        <f t="shared" si="81"/>
        <v>Moderate</v>
      </c>
    </row>
    <row r="2542" spans="1:6" ht="15" customHeight="1" x14ac:dyDescent="0.3">
      <c r="A2542" t="s">
        <v>201</v>
      </c>
      <c r="B2542" s="2">
        <v>45901</v>
      </c>
      <c r="C2542" cm="1">
        <f t="array" ref="C2542">IFERROR(IF(SUMPRODUCT((measured[Site Name]=A2542)*(measured[Date]=B2542)*ISNUMBER(measured[Measured Value (kWh)]))=0,"",SUMIFS(measured[Measured Value (kWh)],measured[Site Name],A2542,measured[Date],B2542)),"")</f>
        <v>10024</v>
      </c>
      <c r="D2542" cm="1">
        <f t="array" ref="D2542">IFERROR(IF(SUMPRODUCT((expected_production[Site Name]=A2542)*(expected_production[Date]=B2542)*ISNUMBER(expected_production[Expected Production (kWh)]))=0,"",SUMIFS(expected_production[Expected Production (kWh)],expected_production[Site Name],A2542,expected_production[Date],B2542)),"")</f>
        <v>13540.33</v>
      </c>
      <c r="E2542" s="9">
        <f t="shared" si="80"/>
        <v>0.74030692014153276</v>
      </c>
      <c r="F2542" t="str">
        <f t="shared" si="81"/>
        <v>Moderate</v>
      </c>
    </row>
    <row r="2543" spans="1:6" ht="15" customHeight="1" x14ac:dyDescent="0.3">
      <c r="A2543" t="s">
        <v>201</v>
      </c>
      <c r="B2543" s="2">
        <v>45931</v>
      </c>
      <c r="C2543" cm="1">
        <f t="array" ref="C2543">IFERROR(IF(SUMPRODUCT((measured[Site Name]=A2543)*(measured[Date]=B2543)*ISNUMBER(measured[Measured Value (kWh)]))=0,"",SUMIFS(measured[Measured Value (kWh)],measured[Site Name],A2543,measured[Date],B2543)),"")</f>
        <v>13192</v>
      </c>
      <c r="D2543" cm="1">
        <f t="array" ref="D2543">IFERROR(IF(SUMPRODUCT((expected_production[Site Name]=A2543)*(expected_production[Date]=B2543)*ISNUMBER(expected_production[Expected Production (kWh)]))=0,"",SUMIFS(expected_production[Expected Production (kWh)],expected_production[Site Name],A2543,expected_production[Date],B2543)),"")</f>
        <v>13925.295</v>
      </c>
      <c r="E2543" s="9">
        <f t="shared" si="80"/>
        <v>0.94734079242127367</v>
      </c>
      <c r="F2543" t="str">
        <f t="shared" si="81"/>
        <v>Expected</v>
      </c>
    </row>
    <row r="2544" spans="1:6" ht="15" customHeight="1" x14ac:dyDescent="0.3">
      <c r="A2544" t="s">
        <v>201</v>
      </c>
      <c r="B2544" s="2">
        <v>45962</v>
      </c>
      <c r="C2544" cm="1">
        <f t="array" ref="C2544">IFERROR(IF(SUMPRODUCT((measured[Site Name]=A2544)*(measured[Date]=B2544)*ISNUMBER(measured[Measured Value (kWh)]))=0,"",SUMIFS(measured[Measured Value (kWh)],measured[Site Name],A2544,measured[Date],B2544)),"")</f>
        <v>10364</v>
      </c>
      <c r="D2544" cm="1">
        <f t="array" ref="D2544">IFERROR(IF(SUMPRODUCT((expected_production[Site Name]=A2544)*(expected_production[Date]=B2544)*ISNUMBER(expected_production[Expected Production (kWh)]))=0,"",SUMIFS(expected_production[Expected Production (kWh)],expected_production[Site Name],A2544,expected_production[Date],B2544)),"")</f>
        <v>13508.37</v>
      </c>
      <c r="E2544" s="9">
        <f t="shared" si="80"/>
        <v>0.76722802232985909</v>
      </c>
      <c r="F2544" t="str">
        <f t="shared" si="81"/>
        <v>Moderate</v>
      </c>
    </row>
    <row r="2545" spans="1:7" ht="15" customHeight="1" x14ac:dyDescent="0.3">
      <c r="A2545" t="s">
        <v>201</v>
      </c>
      <c r="B2545" s="2">
        <v>45992</v>
      </c>
      <c r="C2545" cm="1">
        <f t="array" ref="C2545">IFERROR(IF(SUMPRODUCT((measured[Site Name]=A2545)*(measured[Date]=B2545)*ISNUMBER(measured[Measured Value (kWh)]))=0,"",SUMIFS(measured[Measured Value (kWh)],measured[Site Name],A2545,measured[Date],B2545)),"")</f>
        <v>10702</v>
      </c>
      <c r="D2545" cm="1">
        <f t="array" ref="D2545">IFERROR(IF(SUMPRODUCT((expected_production[Site Name]=A2545)*(expected_production[Date]=B2545)*ISNUMBER(expected_production[Expected Production (kWh)]))=0,"",SUMIFS(expected_production[Expected Production (kWh)],expected_production[Site Name],A2545,expected_production[Date],B2545)),"")</f>
        <v>14234.525</v>
      </c>
      <c r="E2545" s="9">
        <f t="shared" si="80"/>
        <v>0.7518340092135144</v>
      </c>
      <c r="F2545" t="str">
        <f t="shared" si="81"/>
        <v>Moderate</v>
      </c>
    </row>
    <row r="2546" spans="1:7" ht="15" customHeight="1" x14ac:dyDescent="0.3">
      <c r="A2546" t="s">
        <v>201</v>
      </c>
      <c r="B2546" s="2">
        <v>46023</v>
      </c>
      <c r="C2546" cm="1">
        <f t="array" ref="C2546">IFERROR(IF(SUMPRODUCT((measured[Site Name]=A2546)*(measured[Date]=B2546)*ISNUMBER(measured[Measured Value (kWh)]))=0,"",SUMIFS(measured[Measured Value (kWh)],measured[Site Name],A2546,measured[Date],B2546)),"")</f>
        <v>12710</v>
      </c>
      <c r="D2546" cm="1">
        <f t="array" ref="D2546">IFERROR(IF(SUMPRODUCT((expected_production[Site Name]=A2546)*(expected_production[Date]=B2546)*ISNUMBER(expected_production[Expected Production (kWh)]))=0,"",SUMIFS(expected_production[Expected Production (kWh)],expected_production[Site Name],A2546,expected_production[Date],B2546)),"")</f>
        <v>13441.985000000001</v>
      </c>
      <c r="E2546" s="9">
        <f t="shared" si="80"/>
        <v>0.94554487302284596</v>
      </c>
      <c r="F2546" t="str">
        <f t="shared" si="81"/>
        <v>Expected</v>
      </c>
    </row>
    <row r="2547" spans="1:7" ht="15" customHeight="1" x14ac:dyDescent="0.3">
      <c r="A2547" t="s">
        <v>201</v>
      </c>
      <c r="B2547" s="2">
        <v>46054</v>
      </c>
      <c r="C2547" cm="1">
        <f t="array" ref="C2547">IFERROR(IF(SUMPRODUCT((measured[Site Name]=A2547)*(measured[Date]=B2547)*ISNUMBER(measured[Measured Value (kWh)]))=0,"",SUMIFS(measured[Measured Value (kWh)],measured[Site Name],A2547,measured[Date],B2547)),"")</f>
        <v>12261</v>
      </c>
      <c r="D2547" cm="1">
        <f t="array" ref="D2547">IFERROR(IF(SUMPRODUCT((expected_production[Site Name]=A2547)*(expected_production[Date]=B2547)*ISNUMBER(expected_production[Expected Production (kWh)]))=0,"",SUMIFS(expected_production[Expected Production (kWh)],expected_production[Site Name],A2547,expected_production[Date],B2547)),"")</f>
        <v>12055.125</v>
      </c>
      <c r="E2547" s="9">
        <f t="shared" si="80"/>
        <v>1.0170777988614801</v>
      </c>
      <c r="F2547" t="str">
        <f t="shared" si="81"/>
        <v>Expected</v>
      </c>
    </row>
    <row r="2548" spans="1:7" ht="15" customHeight="1" x14ac:dyDescent="0.3">
      <c r="A2548" t="s">
        <v>201</v>
      </c>
      <c r="B2548" s="2">
        <v>46082</v>
      </c>
      <c r="C2548" cm="1">
        <f t="array" ref="C2548">IFERROR(IF(SUMPRODUCT((measured[Site Name]=A2548)*(measured[Date]=B2548)*ISNUMBER(measured[Measured Value (kWh)]))=0,"",SUMIFS(measured[Measured Value (kWh)],measured[Site Name],A2548,measured[Date],B2548)),"")</f>
        <v>11049</v>
      </c>
      <c r="D2548" cm="1">
        <f t="array" ref="D2548">IFERROR(IF(SUMPRODUCT((expected_production[Site Name]=A2548)*(expected_production[Date]=B2548)*ISNUMBER(expected_production[Expected Production (kWh)]))=0,"",SUMIFS(expected_production[Expected Production (kWh)],expected_production[Site Name],A2548,expected_production[Date],B2548)),"")</f>
        <v>12858.46</v>
      </c>
      <c r="E2548" s="9">
        <f t="shared" si="80"/>
        <v>0.85927863834393858</v>
      </c>
      <c r="F2548" t="str">
        <f t="shared" si="81"/>
        <v>Moderate</v>
      </c>
    </row>
    <row r="2549" spans="1:7" ht="15" customHeight="1" x14ac:dyDescent="0.3">
      <c r="A2549" t="s">
        <v>201</v>
      </c>
      <c r="B2549" s="2">
        <v>46113</v>
      </c>
      <c r="C2549" cm="1">
        <f t="array" ref="C2549">IFERROR(IF(SUMPRODUCT((measured[Site Name]=A2549)*(measured[Date]=B2549)*ISNUMBER(measured[Measured Value (kWh)]))=0,"",SUMIFS(measured[Measured Value (kWh)],measured[Site Name],A2549,measured[Date],B2549)),"")</f>
        <v>9364.19</v>
      </c>
      <c r="D2549" cm="1">
        <f t="array" ref="D2549">IFERROR(IF(SUMPRODUCT((expected_production[Site Name]=A2549)*(expected_production[Date]=B2549)*ISNUMBER(expected_production[Expected Production (kWh)]))=0,"",SUMIFS(expected_production[Expected Production (kWh)],expected_production[Site Name],A2549,expected_production[Date],B2549)),"")</f>
        <v>11531.27</v>
      </c>
      <c r="E2549" s="9">
        <f t="shared" si="80"/>
        <v>0.81206926903975019</v>
      </c>
      <c r="F2549" t="str">
        <f t="shared" si="81"/>
        <v>Moderate</v>
      </c>
    </row>
    <row r="2550" spans="1:7" ht="15" customHeight="1" x14ac:dyDescent="0.3">
      <c r="A2550" t="s">
        <v>201</v>
      </c>
      <c r="B2550" s="2">
        <v>46143</v>
      </c>
      <c r="C2550" cm="1">
        <f t="array" ref="C2550">IFERROR(IF(SUMPRODUCT((measured[Site Name]=A2550)*(measured[Date]=B2550)*ISNUMBER(measured[Measured Value (kWh)]))=0,"",SUMIFS(measured[Measured Value (kWh)],measured[Site Name],A2550,measured[Date],B2550)),"")</f>
        <v>10132.34</v>
      </c>
      <c r="D2550" cm="1">
        <f t="array" ref="D2550">IFERROR(IF(SUMPRODUCT((expected_production[Site Name]=A2550)*(expected_production[Date]=B2550)*ISNUMBER(expected_production[Expected Production (kWh)]))=0,"",SUMIFS(expected_production[Expected Production (kWh)],expected_production[Site Name],A2550,expected_production[Date],B2550)),"")</f>
        <v>11785.93</v>
      </c>
      <c r="E2550" s="9">
        <f t="shared" si="80"/>
        <v>0.85969796189184899</v>
      </c>
      <c r="F2550" t="str">
        <f t="shared" si="81"/>
        <v>Moderate</v>
      </c>
    </row>
    <row r="2551" spans="1:7" ht="15" customHeight="1" x14ac:dyDescent="0.3">
      <c r="A2551" t="s">
        <v>201</v>
      </c>
      <c r="B2551" s="2">
        <v>46174</v>
      </c>
      <c r="C2551" cm="1">
        <f t="array" ref="C2551">IFERROR(IF(SUMPRODUCT((measured[Site Name]=A2551)*(measured[Date]=B2551)*ISNUMBER(measured[Measured Value (kWh)]))=0,"",SUMIFS(measured[Measured Value (kWh)],measured[Site Name],A2551,measured[Date],B2551)),"")</f>
        <v>8126</v>
      </c>
      <c r="D2551" cm="1">
        <f t="array" ref="D2551">IFERROR(IF(SUMPRODUCT((expected_production[Site Name]=A2551)*(expected_production[Date]=B2551)*ISNUMBER(expected_production[Expected Production (kWh)]))=0,"",SUMIFS(expected_production[Expected Production (kWh)],expected_production[Site Name],A2551,expected_production[Date],B2551)),"")</f>
        <v>11018.635</v>
      </c>
      <c r="E2551" s="9">
        <f t="shared" si="80"/>
        <v>0.73747791809058016</v>
      </c>
      <c r="F2551" t="str">
        <f t="shared" si="81"/>
        <v>Moderate</v>
      </c>
    </row>
    <row r="2552" spans="1:7" ht="15" customHeight="1" x14ac:dyDescent="0.3">
      <c r="A2552" t="s">
        <v>194</v>
      </c>
      <c r="B2552" s="2">
        <v>46204</v>
      </c>
      <c r="C2552" cm="1">
        <f t="array" ref="C2552">IFERROR(IF(SUMPRODUCT((measured[Site Name]=A2552)*(measured[Date]=B2552)*ISNUMBER(measured[Measured Value (kWh)]))=0,"",SUMIFS(measured[Measured Value (kWh)],measured[Site Name],A2552,measured[Date],B2552)),"")</f>
        <v>2690</v>
      </c>
      <c r="D2552" cm="1">
        <f t="array" ref="D2552">IFERROR(IF(SUMPRODUCT((expected_production[Site Name]=A2552)*(expected_production[Date]=B2552)*ISNUMBER(expected_production[Expected Production (kWh)]))=0,"",SUMIFS(expected_production[Expected Production (kWh)],expected_production[Site Name],A2552,expected_production[Date],B2552)),"")</f>
        <v>4730.3999999999996</v>
      </c>
      <c r="E2552" s="9">
        <f t="shared" si="80"/>
        <v>0.56866226957551158</v>
      </c>
      <c r="F2552" t="str">
        <f t="shared" si="81"/>
        <v>Poor</v>
      </c>
      <c r="G2552" t="s">
        <v>874</v>
      </c>
    </row>
    <row r="2553" spans="1:7" ht="15" customHeight="1" x14ac:dyDescent="0.3">
      <c r="A2553" t="s">
        <v>201</v>
      </c>
      <c r="B2553" s="2">
        <v>46235</v>
      </c>
      <c r="C2553" t="str" cm="1">
        <f t="array" ref="C2553">IFERROR(IF(SUMPRODUCT((measured[Site Name]=A2553)*(measured[Date]=B2553)*ISNUMBER(measured[Measured Value (kWh)]))=0,"",SUMIFS(measured[Measured Value (kWh)],measured[Site Name],A2553,measured[Date],B2553)),"")</f>
        <v/>
      </c>
      <c r="D2553" cm="1">
        <f t="array" ref="D2553">IFERROR(IF(SUMPRODUCT((expected_production[Site Name]=A2553)*(expected_production[Date]=B2553)*ISNUMBER(expected_production[Expected Production (kWh)]))=0,"",SUMIFS(expected_production[Expected Production (kWh)],expected_production[Site Name],A2553,expected_production[Date],B2553)),"")</f>
        <v>13262.635</v>
      </c>
      <c r="E2553" s="9" t="str">
        <f t="shared" si="80"/>
        <v/>
      </c>
      <c r="F2553" t="str">
        <f t="shared" si="81"/>
        <v/>
      </c>
    </row>
    <row r="2554" spans="1:7" ht="15" customHeight="1" x14ac:dyDescent="0.3">
      <c r="A2554" t="s">
        <v>201</v>
      </c>
      <c r="B2554" s="2">
        <v>46266</v>
      </c>
      <c r="C2554" t="str" cm="1">
        <f t="array" ref="C2554">IFERROR(IF(SUMPRODUCT((measured[Site Name]=A2554)*(measured[Date]=B2554)*ISNUMBER(measured[Measured Value (kWh)]))=0,"",SUMIFS(measured[Measured Value (kWh)],measured[Site Name],A2554,measured[Date],B2554)),"")</f>
        <v/>
      </c>
      <c r="D2554" cm="1">
        <f t="array" ref="D2554">IFERROR(IF(SUMPRODUCT((expected_production[Site Name]=A2554)*(expected_production[Date]=B2554)*ISNUMBER(expected_production[Expected Production (kWh)]))=0,"",SUMIFS(expected_production[Expected Production (kWh)],expected_production[Site Name],A2554,expected_production[Date],B2554)),"")</f>
        <v>13540.33</v>
      </c>
      <c r="E2554" s="9" t="str">
        <f t="shared" si="80"/>
        <v/>
      </c>
      <c r="F2554" t="str">
        <f t="shared" si="81"/>
        <v/>
      </c>
    </row>
    <row r="2555" spans="1:7" ht="15" customHeight="1" x14ac:dyDescent="0.3">
      <c r="A2555" t="s">
        <v>201</v>
      </c>
      <c r="B2555" s="2">
        <v>46296</v>
      </c>
      <c r="C2555" t="str" cm="1">
        <f t="array" ref="C2555">IFERROR(IF(SUMPRODUCT((measured[Site Name]=A2555)*(measured[Date]=B2555)*ISNUMBER(measured[Measured Value (kWh)]))=0,"",SUMIFS(measured[Measured Value (kWh)],measured[Site Name],A2555,measured[Date],B2555)),"")</f>
        <v/>
      </c>
      <c r="D2555" cm="1">
        <f t="array" ref="D2555">IFERROR(IF(SUMPRODUCT((expected_production[Site Name]=A2555)*(expected_production[Date]=B2555)*ISNUMBER(expected_production[Expected Production (kWh)]))=0,"",SUMIFS(expected_production[Expected Production (kWh)],expected_production[Site Name],A2555,expected_production[Date],B2555)),"")</f>
        <v>13925.295</v>
      </c>
      <c r="E2555" s="9" t="str">
        <f t="shared" si="80"/>
        <v/>
      </c>
      <c r="F2555" t="str">
        <f t="shared" si="81"/>
        <v/>
      </c>
    </row>
    <row r="2556" spans="1:7" ht="15" customHeight="1" x14ac:dyDescent="0.3">
      <c r="A2556" t="s">
        <v>201</v>
      </c>
      <c r="B2556" s="2">
        <v>46327</v>
      </c>
      <c r="C2556" t="str" cm="1">
        <f t="array" ref="C2556">IFERROR(IF(SUMPRODUCT((measured[Site Name]=A2556)*(measured[Date]=B2556)*ISNUMBER(measured[Measured Value (kWh)]))=0,"",SUMIFS(measured[Measured Value (kWh)],measured[Site Name],A2556,measured[Date],B2556)),"")</f>
        <v/>
      </c>
      <c r="D2556" cm="1">
        <f t="array" ref="D2556">IFERROR(IF(SUMPRODUCT((expected_production[Site Name]=A2556)*(expected_production[Date]=B2556)*ISNUMBER(expected_production[Expected Production (kWh)]))=0,"",SUMIFS(expected_production[Expected Production (kWh)],expected_production[Site Name],A2556,expected_production[Date],B2556)),"")</f>
        <v>13508.37</v>
      </c>
      <c r="E2556" s="9" t="str">
        <f t="shared" ref="E2556:E2619" si="82">IF(OR(C2556="",D2556="",D2556=0),"",C2556/D2556)</f>
        <v/>
      </c>
      <c r="F2556" t="str">
        <f t="shared" ref="F2556:F2619" si="83">IF(E2556="","",IF(E2556&gt;=0.9,"Expected",IF(E2556&gt;=0.7,"Moderate","Poor")))</f>
        <v/>
      </c>
    </row>
    <row r="2557" spans="1:7" ht="15" customHeight="1" x14ac:dyDescent="0.3">
      <c r="A2557" t="s">
        <v>201</v>
      </c>
      <c r="B2557" s="2">
        <v>46357</v>
      </c>
      <c r="C2557" t="str" cm="1">
        <f t="array" ref="C2557">IFERROR(IF(SUMPRODUCT((measured[Site Name]=A2557)*(measured[Date]=B2557)*ISNUMBER(measured[Measured Value (kWh)]))=0,"",SUMIFS(measured[Measured Value (kWh)],measured[Site Name],A2557,measured[Date],B2557)),"")</f>
        <v/>
      </c>
      <c r="D2557" cm="1">
        <f t="array" ref="D2557">IFERROR(IF(SUMPRODUCT((expected_production[Site Name]=A2557)*(expected_production[Date]=B2557)*ISNUMBER(expected_production[Expected Production (kWh)]))=0,"",SUMIFS(expected_production[Expected Production (kWh)],expected_production[Site Name],A2557,expected_production[Date],B2557)),"")</f>
        <v>14234.525</v>
      </c>
      <c r="E2557" s="9" t="str">
        <f t="shared" si="82"/>
        <v/>
      </c>
      <c r="F2557" t="str">
        <f t="shared" si="83"/>
        <v/>
      </c>
    </row>
    <row r="2558" spans="1:7" ht="15" customHeight="1" x14ac:dyDescent="0.3">
      <c r="A2558" t="s">
        <v>211</v>
      </c>
      <c r="B2558" s="2">
        <v>45292</v>
      </c>
      <c r="C2558" t="str" cm="1">
        <f t="array" ref="C2558">IFERROR(IF(SUMPRODUCT((measured[Site Name]=A2558)*(measured[Date]=B2558)*ISNUMBER(measured[Measured Value (kWh)]))=0,"",SUMIFS(measured[Measured Value (kWh)],measured[Site Name],A2558,measured[Date],B2558)),"")</f>
        <v/>
      </c>
      <c r="D2558" cm="1">
        <f t="array" ref="D2558">IFERROR(IF(SUMPRODUCT((expected_production[Site Name]=A2558)*(expected_production[Date]=B2558)*ISNUMBER(expected_production[Expected Production (kWh)]))=0,"",SUMIFS(expected_production[Expected Production (kWh)],expected_production[Site Name],A2558,expected_production[Date],B2558)),"")</f>
        <v>7299.9</v>
      </c>
      <c r="E2558" s="9" t="str">
        <f t="shared" si="82"/>
        <v/>
      </c>
      <c r="F2558" t="str">
        <f t="shared" si="83"/>
        <v/>
      </c>
    </row>
    <row r="2559" spans="1:7" ht="15" customHeight="1" x14ac:dyDescent="0.3">
      <c r="A2559" t="s">
        <v>211</v>
      </c>
      <c r="B2559" s="2">
        <v>45323</v>
      </c>
      <c r="C2559" t="str" cm="1">
        <f t="array" ref="C2559">IFERROR(IF(SUMPRODUCT((measured[Site Name]=A2559)*(measured[Date]=B2559)*ISNUMBER(measured[Measured Value (kWh)]))=0,"",SUMIFS(measured[Measured Value (kWh)],measured[Site Name],A2559,measured[Date],B2559)),"")</f>
        <v/>
      </c>
      <c r="D2559" cm="1">
        <f t="array" ref="D2559">IFERROR(IF(SUMPRODUCT((expected_production[Site Name]=A2559)*(expected_production[Date]=B2559)*ISNUMBER(expected_production[Expected Production (kWh)]))=0,"",SUMIFS(expected_production[Expected Production (kWh)],expected_production[Site Name],A2559,expected_production[Date],B2559)),"")</f>
        <v>6223.5</v>
      </c>
      <c r="E2559" s="9" t="str">
        <f t="shared" si="82"/>
        <v/>
      </c>
      <c r="F2559" t="str">
        <f t="shared" si="83"/>
        <v/>
      </c>
    </row>
    <row r="2560" spans="1:7" ht="15" customHeight="1" x14ac:dyDescent="0.3">
      <c r="A2560" t="s">
        <v>211</v>
      </c>
      <c r="B2560" s="2">
        <v>45352</v>
      </c>
      <c r="C2560" t="str" cm="1">
        <f t="array" ref="C2560">IFERROR(IF(SUMPRODUCT((measured[Site Name]=A2560)*(measured[Date]=B2560)*ISNUMBER(measured[Measured Value (kWh)]))=0,"",SUMIFS(measured[Measured Value (kWh)],measured[Site Name],A2560,measured[Date],B2560)),"")</f>
        <v/>
      </c>
      <c r="D2560" cm="1">
        <f t="array" ref="D2560">IFERROR(IF(SUMPRODUCT((expected_production[Site Name]=A2560)*(expected_production[Date]=B2560)*ISNUMBER(expected_production[Expected Production (kWh)]))=0,"",SUMIFS(expected_production[Expected Production (kWh)],expected_production[Site Name],A2560,expected_production[Date],B2560)),"")</f>
        <v>6048.9</v>
      </c>
      <c r="E2560" s="9" t="str">
        <f t="shared" si="82"/>
        <v/>
      </c>
      <c r="F2560" t="str">
        <f t="shared" si="83"/>
        <v/>
      </c>
    </row>
    <row r="2561" spans="1:6" ht="15" customHeight="1" x14ac:dyDescent="0.3">
      <c r="A2561" t="s">
        <v>211</v>
      </c>
      <c r="B2561" s="2">
        <v>45383</v>
      </c>
      <c r="C2561" t="str" cm="1">
        <f t="array" ref="C2561">IFERROR(IF(SUMPRODUCT((measured[Site Name]=A2561)*(measured[Date]=B2561)*ISNUMBER(measured[Measured Value (kWh)]))=0,"",SUMIFS(measured[Measured Value (kWh)],measured[Site Name],A2561,measured[Date],B2561)),"")</f>
        <v/>
      </c>
      <c r="D2561" cm="1">
        <f t="array" ref="D2561">IFERROR(IF(SUMPRODUCT((expected_production[Site Name]=A2561)*(expected_production[Date]=B2561)*ISNUMBER(expected_production[Expected Production (kWh)]))=0,"",SUMIFS(expected_production[Expected Production (kWh)],expected_production[Site Name],A2561,expected_production[Date],B2561)),"")</f>
        <v>5130.8999999999996</v>
      </c>
      <c r="E2561" s="9" t="str">
        <f t="shared" si="82"/>
        <v/>
      </c>
      <c r="F2561" t="str">
        <f t="shared" si="83"/>
        <v/>
      </c>
    </row>
    <row r="2562" spans="1:6" ht="15" customHeight="1" x14ac:dyDescent="0.3">
      <c r="A2562" t="s">
        <v>211</v>
      </c>
      <c r="B2562" s="2">
        <v>45413</v>
      </c>
      <c r="C2562" t="str" cm="1">
        <f t="array" ref="C2562">IFERROR(IF(SUMPRODUCT((measured[Site Name]=A2562)*(measured[Date]=B2562)*ISNUMBER(measured[Measured Value (kWh)]))=0,"",SUMIFS(measured[Measured Value (kWh)],measured[Site Name],A2562,measured[Date],B2562)),"")</f>
        <v/>
      </c>
      <c r="D2562" cm="1">
        <f t="array" ref="D2562">IFERROR(IF(SUMPRODUCT((expected_production[Site Name]=A2562)*(expected_production[Date]=B2562)*ISNUMBER(expected_production[Expected Production (kWh)]))=0,"",SUMIFS(expected_production[Expected Production (kWh)],expected_production[Site Name],A2562,expected_production[Date],B2562)),"")</f>
        <v>4621.5</v>
      </c>
      <c r="E2562" s="9" t="str">
        <f t="shared" si="82"/>
        <v/>
      </c>
      <c r="F2562" t="str">
        <f t="shared" si="83"/>
        <v/>
      </c>
    </row>
    <row r="2563" spans="1:6" ht="15" customHeight="1" x14ac:dyDescent="0.3">
      <c r="A2563" t="s">
        <v>211</v>
      </c>
      <c r="B2563" s="2">
        <v>45444</v>
      </c>
      <c r="C2563" t="str" cm="1">
        <f t="array" ref="C2563">IFERROR(IF(SUMPRODUCT((measured[Site Name]=A2563)*(measured[Date]=B2563)*ISNUMBER(measured[Measured Value (kWh)]))=0,"",SUMIFS(measured[Measured Value (kWh)],measured[Site Name],A2563,measured[Date],B2563)),"")</f>
        <v/>
      </c>
      <c r="D2563" cm="1">
        <f t="array" ref="D2563">IFERROR(IF(SUMPRODUCT((expected_production[Site Name]=A2563)*(expected_production[Date]=B2563)*ISNUMBER(expected_production[Expected Production (kWh)]))=0,"",SUMIFS(expected_production[Expected Production (kWh)],expected_production[Site Name],A2563,expected_production[Date],B2563)),"")</f>
        <v>3931.2</v>
      </c>
      <c r="E2563" s="9" t="str">
        <f t="shared" si="82"/>
        <v/>
      </c>
      <c r="F2563" t="str">
        <f t="shared" si="83"/>
        <v/>
      </c>
    </row>
    <row r="2564" spans="1:6" ht="15" customHeight="1" x14ac:dyDescent="0.3">
      <c r="A2564" t="s">
        <v>211</v>
      </c>
      <c r="B2564" s="2">
        <v>45474</v>
      </c>
      <c r="C2564" t="str" cm="1">
        <f t="array" ref="C2564">IFERROR(IF(SUMPRODUCT((measured[Site Name]=A2564)*(measured[Date]=B2564)*ISNUMBER(measured[Measured Value (kWh)]))=0,"",SUMIFS(measured[Measured Value (kWh)],measured[Site Name],A2564,measured[Date],B2564)),"")</f>
        <v/>
      </c>
      <c r="D2564" cm="1">
        <f t="array" ref="D2564">IFERROR(IF(SUMPRODUCT((expected_production[Site Name]=A2564)*(expected_production[Date]=B2564)*ISNUMBER(expected_production[Expected Production (kWh)]))=0,"",SUMIFS(expected_production[Expected Production (kWh)],expected_production[Site Name],A2564,expected_production[Date],B2564)),"")</f>
        <v>4065.3</v>
      </c>
      <c r="E2564" s="9" t="str">
        <f t="shared" si="82"/>
        <v/>
      </c>
      <c r="F2564" t="str">
        <f t="shared" si="83"/>
        <v/>
      </c>
    </row>
    <row r="2565" spans="1:6" ht="15" customHeight="1" x14ac:dyDescent="0.3">
      <c r="A2565" t="s">
        <v>211</v>
      </c>
      <c r="B2565" s="2">
        <v>45505</v>
      </c>
      <c r="C2565" t="str" cm="1">
        <f t="array" ref="C2565">IFERROR(IF(SUMPRODUCT((measured[Site Name]=A2565)*(measured[Date]=B2565)*ISNUMBER(measured[Measured Value (kWh)]))=0,"",SUMIFS(measured[Measured Value (kWh)],measured[Site Name],A2565,measured[Date],B2565)),"")</f>
        <v/>
      </c>
      <c r="D2565" cm="1">
        <f t="array" ref="D2565">IFERROR(IF(SUMPRODUCT((expected_production[Site Name]=A2565)*(expected_production[Date]=B2565)*ISNUMBER(expected_production[Expected Production (kWh)]))=0,"",SUMIFS(expected_production[Expected Production (kWh)],expected_production[Site Name],A2565,expected_production[Date],B2565)),"")</f>
        <v>4723.2</v>
      </c>
      <c r="E2565" s="9" t="str">
        <f t="shared" si="82"/>
        <v/>
      </c>
      <c r="F2565" t="str">
        <f t="shared" si="83"/>
        <v/>
      </c>
    </row>
    <row r="2566" spans="1:6" ht="15" customHeight="1" x14ac:dyDescent="0.3">
      <c r="A2566" t="s">
        <v>211</v>
      </c>
      <c r="B2566" s="2">
        <v>45536</v>
      </c>
      <c r="C2566" t="str" cm="1">
        <f t="array" ref="C2566">IFERROR(IF(SUMPRODUCT((measured[Site Name]=A2566)*(measured[Date]=B2566)*ISNUMBER(measured[Measured Value (kWh)]))=0,"",SUMIFS(measured[Measured Value (kWh)],measured[Site Name],A2566,measured[Date],B2566)),"")</f>
        <v/>
      </c>
      <c r="D2566" cm="1">
        <f t="array" ref="D2566">IFERROR(IF(SUMPRODUCT((expected_production[Site Name]=A2566)*(expected_production[Date]=B2566)*ISNUMBER(expected_production[Expected Production (kWh)]))=0,"",SUMIFS(expected_production[Expected Production (kWh)],expected_production[Site Name],A2566,expected_production[Date],B2566)),"")</f>
        <v>5251.5</v>
      </c>
      <c r="E2566" s="9" t="str">
        <f t="shared" si="82"/>
        <v/>
      </c>
      <c r="F2566" t="str">
        <f t="shared" si="83"/>
        <v/>
      </c>
    </row>
    <row r="2567" spans="1:6" ht="15" customHeight="1" x14ac:dyDescent="0.3">
      <c r="A2567" t="s">
        <v>211</v>
      </c>
      <c r="B2567" s="2">
        <v>45566</v>
      </c>
      <c r="C2567" t="str" cm="1">
        <f t="array" ref="C2567">IFERROR(IF(SUMPRODUCT((measured[Site Name]=A2567)*(measured[Date]=B2567)*ISNUMBER(measured[Measured Value (kWh)]))=0,"",SUMIFS(measured[Measured Value (kWh)],measured[Site Name],A2567,measured[Date],B2567)),"")</f>
        <v/>
      </c>
      <c r="D2567" cm="1">
        <f t="array" ref="D2567">IFERROR(IF(SUMPRODUCT((expected_production[Site Name]=A2567)*(expected_production[Date]=B2567)*ISNUMBER(expected_production[Expected Production (kWh)]))=0,"",SUMIFS(expected_production[Expected Production (kWh)],expected_production[Site Name],A2567,expected_production[Date],B2567)),"")</f>
        <v>6489.9</v>
      </c>
      <c r="E2567" s="9" t="str">
        <f t="shared" si="82"/>
        <v/>
      </c>
      <c r="F2567" t="str">
        <f t="shared" si="83"/>
        <v/>
      </c>
    </row>
    <row r="2568" spans="1:6" ht="15" customHeight="1" x14ac:dyDescent="0.3">
      <c r="A2568" t="s">
        <v>211</v>
      </c>
      <c r="B2568" s="2">
        <v>45597</v>
      </c>
      <c r="C2568" t="str" cm="1">
        <f t="array" ref="C2568">IFERROR(IF(SUMPRODUCT((measured[Site Name]=A2568)*(measured[Date]=B2568)*ISNUMBER(measured[Measured Value (kWh)]))=0,"",SUMIFS(measured[Measured Value (kWh)],measured[Site Name],A2568,measured[Date],B2568)),"")</f>
        <v/>
      </c>
      <c r="D2568" cm="1">
        <f t="array" ref="D2568">IFERROR(IF(SUMPRODUCT((expected_production[Site Name]=A2568)*(expected_production[Date]=B2568)*ISNUMBER(expected_production[Expected Production (kWh)]))=0,"",SUMIFS(expected_production[Expected Production (kWh)],expected_production[Site Name],A2568,expected_production[Date],B2568)),"")</f>
        <v>6813.9</v>
      </c>
      <c r="E2568" s="9" t="str">
        <f t="shared" si="82"/>
        <v/>
      </c>
      <c r="F2568" t="str">
        <f t="shared" si="83"/>
        <v/>
      </c>
    </row>
    <row r="2569" spans="1:6" ht="15" customHeight="1" x14ac:dyDescent="0.3">
      <c r="A2569" t="s">
        <v>211</v>
      </c>
      <c r="B2569" s="2">
        <v>45627</v>
      </c>
      <c r="C2569" t="str" cm="1">
        <f t="array" ref="C2569">IFERROR(IF(SUMPRODUCT((measured[Site Name]=A2569)*(measured[Date]=B2569)*ISNUMBER(measured[Measured Value (kWh)]))=0,"",SUMIFS(measured[Measured Value (kWh)],measured[Site Name],A2569,measured[Date],B2569)),"")</f>
        <v/>
      </c>
      <c r="D2569" cm="1">
        <f t="array" ref="D2569">IFERROR(IF(SUMPRODUCT((expected_production[Site Name]=A2569)*(expected_production[Date]=B2569)*ISNUMBER(expected_production[Expected Production (kWh)]))=0,"",SUMIFS(expected_production[Expected Production (kWh)],expected_production[Site Name],A2569,expected_production[Date],B2569)),"")</f>
        <v>7296.3</v>
      </c>
      <c r="E2569" s="9" t="str">
        <f t="shared" si="82"/>
        <v/>
      </c>
      <c r="F2569" t="str">
        <f t="shared" si="83"/>
        <v/>
      </c>
    </row>
    <row r="2570" spans="1:6" ht="15" customHeight="1" x14ac:dyDescent="0.3">
      <c r="A2570" t="s">
        <v>211</v>
      </c>
      <c r="B2570" s="2">
        <v>45658</v>
      </c>
      <c r="C2570" t="str" cm="1">
        <f t="array" ref="C2570">IFERROR(IF(SUMPRODUCT((measured[Site Name]=A2570)*(measured[Date]=B2570)*ISNUMBER(measured[Measured Value (kWh)]))=0,"",SUMIFS(measured[Measured Value (kWh)],measured[Site Name],A2570,measured[Date],B2570)),"")</f>
        <v/>
      </c>
      <c r="D2570" cm="1">
        <f t="array" ref="D2570">IFERROR(IF(SUMPRODUCT((expected_production[Site Name]=A2570)*(expected_production[Date]=B2570)*ISNUMBER(expected_production[Expected Production (kWh)]))=0,"",SUMIFS(expected_production[Expected Production (kWh)],expected_production[Site Name],A2570,expected_production[Date],B2570)),"")</f>
        <v>7299.9</v>
      </c>
      <c r="E2570" s="9" t="str">
        <f t="shared" si="82"/>
        <v/>
      </c>
      <c r="F2570" t="str">
        <f t="shared" si="83"/>
        <v/>
      </c>
    </row>
    <row r="2571" spans="1:6" ht="15" customHeight="1" x14ac:dyDescent="0.3">
      <c r="A2571" t="s">
        <v>211</v>
      </c>
      <c r="B2571" s="2">
        <v>45689</v>
      </c>
      <c r="C2571" t="str" cm="1">
        <f t="array" ref="C2571">IFERROR(IF(SUMPRODUCT((measured[Site Name]=A2571)*(measured[Date]=B2571)*ISNUMBER(measured[Measured Value (kWh)]))=0,"",SUMIFS(measured[Measured Value (kWh)],measured[Site Name],A2571,measured[Date],B2571)),"")</f>
        <v/>
      </c>
      <c r="D2571" cm="1">
        <f t="array" ref="D2571">IFERROR(IF(SUMPRODUCT((expected_production[Site Name]=A2571)*(expected_production[Date]=B2571)*ISNUMBER(expected_production[Expected Production (kWh)]))=0,"",SUMIFS(expected_production[Expected Production (kWh)],expected_production[Site Name],A2571,expected_production[Date],B2571)),"")</f>
        <v>6223.5</v>
      </c>
      <c r="E2571" s="9" t="str">
        <f t="shared" si="82"/>
        <v/>
      </c>
      <c r="F2571" t="str">
        <f t="shared" si="83"/>
        <v/>
      </c>
    </row>
    <row r="2572" spans="1:6" ht="15" customHeight="1" x14ac:dyDescent="0.3">
      <c r="A2572" t="s">
        <v>211</v>
      </c>
      <c r="B2572" s="2">
        <v>45717</v>
      </c>
      <c r="C2572" t="str" cm="1">
        <f t="array" ref="C2572">IFERROR(IF(SUMPRODUCT((measured[Site Name]=A2572)*(measured[Date]=B2572)*ISNUMBER(measured[Measured Value (kWh)]))=0,"",SUMIFS(measured[Measured Value (kWh)],measured[Site Name],A2572,measured[Date],B2572)),"")</f>
        <v/>
      </c>
      <c r="D2572" cm="1">
        <f t="array" ref="D2572">IFERROR(IF(SUMPRODUCT((expected_production[Site Name]=A2572)*(expected_production[Date]=B2572)*ISNUMBER(expected_production[Expected Production (kWh)]))=0,"",SUMIFS(expected_production[Expected Production (kWh)],expected_production[Site Name],A2572,expected_production[Date],B2572)),"")</f>
        <v>6048.9</v>
      </c>
      <c r="E2572" s="9" t="str">
        <f t="shared" si="82"/>
        <v/>
      </c>
      <c r="F2572" t="str">
        <f t="shared" si="83"/>
        <v/>
      </c>
    </row>
    <row r="2573" spans="1:6" ht="15" customHeight="1" x14ac:dyDescent="0.3">
      <c r="A2573" t="s">
        <v>211</v>
      </c>
      <c r="B2573" s="2">
        <v>45748</v>
      </c>
      <c r="C2573" t="str" cm="1">
        <f t="array" ref="C2573">IFERROR(IF(SUMPRODUCT((measured[Site Name]=A2573)*(measured[Date]=B2573)*ISNUMBER(measured[Measured Value (kWh)]))=0,"",SUMIFS(measured[Measured Value (kWh)],measured[Site Name],A2573,measured[Date],B2573)),"")</f>
        <v/>
      </c>
      <c r="D2573" cm="1">
        <f t="array" ref="D2573">IFERROR(IF(SUMPRODUCT((expected_production[Site Name]=A2573)*(expected_production[Date]=B2573)*ISNUMBER(expected_production[Expected Production (kWh)]))=0,"",SUMIFS(expected_production[Expected Production (kWh)],expected_production[Site Name],A2573,expected_production[Date],B2573)),"")</f>
        <v>5130.8999999999996</v>
      </c>
      <c r="E2573" s="9" t="str">
        <f t="shared" si="82"/>
        <v/>
      </c>
      <c r="F2573" t="str">
        <f t="shared" si="83"/>
        <v/>
      </c>
    </row>
    <row r="2574" spans="1:6" ht="15" customHeight="1" x14ac:dyDescent="0.3">
      <c r="A2574" t="s">
        <v>211</v>
      </c>
      <c r="B2574" s="2">
        <v>45778</v>
      </c>
      <c r="C2574" t="str" cm="1">
        <f t="array" ref="C2574">IFERROR(IF(SUMPRODUCT((measured[Site Name]=A2574)*(measured[Date]=B2574)*ISNUMBER(measured[Measured Value (kWh)]))=0,"",SUMIFS(measured[Measured Value (kWh)],measured[Site Name],A2574,measured[Date],B2574)),"")</f>
        <v/>
      </c>
      <c r="D2574" cm="1">
        <f t="array" ref="D2574">IFERROR(IF(SUMPRODUCT((expected_production[Site Name]=A2574)*(expected_production[Date]=B2574)*ISNUMBER(expected_production[Expected Production (kWh)]))=0,"",SUMIFS(expected_production[Expected Production (kWh)],expected_production[Site Name],A2574,expected_production[Date],B2574)),"")</f>
        <v>4621.5</v>
      </c>
      <c r="E2574" s="9" t="str">
        <f t="shared" si="82"/>
        <v/>
      </c>
      <c r="F2574" t="str">
        <f t="shared" si="83"/>
        <v/>
      </c>
    </row>
    <row r="2575" spans="1:6" ht="15" customHeight="1" x14ac:dyDescent="0.3">
      <c r="A2575" t="s">
        <v>211</v>
      </c>
      <c r="B2575" s="2">
        <v>45809</v>
      </c>
      <c r="C2575" t="str" cm="1">
        <f t="array" ref="C2575">IFERROR(IF(SUMPRODUCT((measured[Site Name]=A2575)*(measured[Date]=B2575)*ISNUMBER(measured[Measured Value (kWh)]))=0,"",SUMIFS(measured[Measured Value (kWh)],measured[Site Name],A2575,measured[Date],B2575)),"")</f>
        <v/>
      </c>
      <c r="D2575" cm="1">
        <f t="array" ref="D2575">IFERROR(IF(SUMPRODUCT((expected_production[Site Name]=A2575)*(expected_production[Date]=B2575)*ISNUMBER(expected_production[Expected Production (kWh)]))=0,"",SUMIFS(expected_production[Expected Production (kWh)],expected_production[Site Name],A2575,expected_production[Date],B2575)),"")</f>
        <v>3931.2</v>
      </c>
      <c r="E2575" s="9" t="str">
        <f t="shared" si="82"/>
        <v/>
      </c>
      <c r="F2575" t="str">
        <f t="shared" si="83"/>
        <v/>
      </c>
    </row>
    <row r="2576" spans="1:6" ht="15" customHeight="1" x14ac:dyDescent="0.3">
      <c r="A2576" t="s">
        <v>211</v>
      </c>
      <c r="B2576" s="2">
        <v>45839</v>
      </c>
      <c r="C2576" t="str" cm="1">
        <f t="array" ref="C2576">IFERROR(IF(SUMPRODUCT((measured[Site Name]=A2576)*(measured[Date]=B2576)*ISNUMBER(measured[Measured Value (kWh)]))=0,"",SUMIFS(measured[Measured Value (kWh)],measured[Site Name],A2576,measured[Date],B2576)),"")</f>
        <v/>
      </c>
      <c r="D2576" cm="1">
        <f t="array" ref="D2576">IFERROR(IF(SUMPRODUCT((expected_production[Site Name]=A2576)*(expected_production[Date]=B2576)*ISNUMBER(expected_production[Expected Production (kWh)]))=0,"",SUMIFS(expected_production[Expected Production (kWh)],expected_production[Site Name],A2576,expected_production[Date],B2576)),"")</f>
        <v>4065.3</v>
      </c>
      <c r="E2576" s="9" t="str">
        <f t="shared" si="82"/>
        <v/>
      </c>
      <c r="F2576" t="str">
        <f t="shared" si="83"/>
        <v/>
      </c>
    </row>
    <row r="2577" spans="1:7" ht="15" customHeight="1" x14ac:dyDescent="0.3">
      <c r="A2577" t="s">
        <v>211</v>
      </c>
      <c r="B2577" s="2">
        <v>45870</v>
      </c>
      <c r="C2577" cm="1">
        <f t="array" ref="C2577">IFERROR(IF(SUMPRODUCT((measured[Site Name]=A2577)*(measured[Date]=B2577)*ISNUMBER(measured[Measured Value (kWh)]))=0,"",SUMIFS(measured[Measured Value (kWh)],measured[Site Name],A2577,measured[Date],B2577)),"")</f>
        <v>3866</v>
      </c>
      <c r="D2577" cm="1">
        <f t="array" ref="D2577">IFERROR(IF(SUMPRODUCT((expected_production[Site Name]=A2577)*(expected_production[Date]=B2577)*ISNUMBER(expected_production[Expected Production (kWh)]))=0,"",SUMIFS(expected_production[Expected Production (kWh)],expected_production[Site Name],A2577,expected_production[Date],B2577)),"")</f>
        <v>4723.2</v>
      </c>
      <c r="E2577" s="9">
        <f t="shared" si="82"/>
        <v>0.8185128726287263</v>
      </c>
      <c r="F2577" t="str">
        <f t="shared" si="83"/>
        <v>Moderate</v>
      </c>
    </row>
    <row r="2578" spans="1:7" ht="15" customHeight="1" x14ac:dyDescent="0.3">
      <c r="A2578" t="s">
        <v>211</v>
      </c>
      <c r="B2578" s="2">
        <v>45901</v>
      </c>
      <c r="C2578" cm="1">
        <f t="array" ref="C2578">IFERROR(IF(SUMPRODUCT((measured[Site Name]=A2578)*(measured[Date]=B2578)*ISNUMBER(measured[Measured Value (kWh)]))=0,"",SUMIFS(measured[Measured Value (kWh)],measured[Site Name],A2578,measured[Date],B2578)),"")</f>
        <v>4249</v>
      </c>
      <c r="D2578" cm="1">
        <f t="array" ref="D2578">IFERROR(IF(SUMPRODUCT((expected_production[Site Name]=A2578)*(expected_production[Date]=B2578)*ISNUMBER(expected_production[Expected Production (kWh)]))=0,"",SUMIFS(expected_production[Expected Production (kWh)],expected_production[Site Name],A2578,expected_production[Date],B2578)),"")</f>
        <v>5251.5</v>
      </c>
      <c r="E2578" s="9">
        <f t="shared" si="82"/>
        <v>0.80910216128725121</v>
      </c>
      <c r="F2578" t="str">
        <f t="shared" si="83"/>
        <v>Moderate</v>
      </c>
    </row>
    <row r="2579" spans="1:7" ht="15" customHeight="1" x14ac:dyDescent="0.3">
      <c r="A2579" t="s">
        <v>211</v>
      </c>
      <c r="B2579" s="2">
        <v>45931</v>
      </c>
      <c r="C2579" cm="1">
        <f t="array" ref="C2579">IFERROR(IF(SUMPRODUCT((measured[Site Name]=A2579)*(measured[Date]=B2579)*ISNUMBER(measured[Measured Value (kWh)]))=0,"",SUMIFS(measured[Measured Value (kWh)],measured[Site Name],A2579,measured[Date],B2579)),"")</f>
        <v>5286</v>
      </c>
      <c r="D2579" cm="1">
        <f t="array" ref="D2579">IFERROR(IF(SUMPRODUCT((expected_production[Site Name]=A2579)*(expected_production[Date]=B2579)*ISNUMBER(expected_production[Expected Production (kWh)]))=0,"",SUMIFS(expected_production[Expected Production (kWh)],expected_production[Site Name],A2579,expected_production[Date],B2579)),"")</f>
        <v>6489.9</v>
      </c>
      <c r="E2579" s="9">
        <f t="shared" si="82"/>
        <v>0.8144963712846115</v>
      </c>
      <c r="F2579" t="str">
        <f t="shared" si="83"/>
        <v>Moderate</v>
      </c>
    </row>
    <row r="2580" spans="1:7" ht="15" customHeight="1" x14ac:dyDescent="0.3">
      <c r="A2580" t="s">
        <v>211</v>
      </c>
      <c r="B2580" s="2">
        <v>45962</v>
      </c>
      <c r="C2580" cm="1">
        <f t="array" ref="C2580">IFERROR(IF(SUMPRODUCT((measured[Site Name]=A2580)*(measured[Date]=B2580)*ISNUMBER(measured[Measured Value (kWh)]))=0,"",SUMIFS(measured[Measured Value (kWh)],measured[Site Name],A2580,measured[Date],B2580)),"")</f>
        <v>5001</v>
      </c>
      <c r="D2580" cm="1">
        <f t="array" ref="D2580">IFERROR(IF(SUMPRODUCT((expected_production[Site Name]=A2580)*(expected_production[Date]=B2580)*ISNUMBER(expected_production[Expected Production (kWh)]))=0,"",SUMIFS(expected_production[Expected Production (kWh)],expected_production[Site Name],A2580,expected_production[Date],B2580)),"")</f>
        <v>6813.9</v>
      </c>
      <c r="E2580" s="9">
        <f t="shared" si="82"/>
        <v>0.73394091489455382</v>
      </c>
      <c r="F2580" t="str">
        <f t="shared" si="83"/>
        <v>Moderate</v>
      </c>
    </row>
    <row r="2581" spans="1:7" ht="15" customHeight="1" x14ac:dyDescent="0.3">
      <c r="A2581" t="s">
        <v>211</v>
      </c>
      <c r="B2581" s="2">
        <v>45992</v>
      </c>
      <c r="C2581" cm="1">
        <f t="array" ref="C2581">IFERROR(IF(SUMPRODUCT((measured[Site Name]=A2581)*(measured[Date]=B2581)*ISNUMBER(measured[Measured Value (kWh)]))=0,"",SUMIFS(measured[Measured Value (kWh)],measured[Site Name],A2581,measured[Date],B2581)),"")</f>
        <v>6707</v>
      </c>
      <c r="D2581" cm="1">
        <f t="array" ref="D2581">IFERROR(IF(SUMPRODUCT((expected_production[Site Name]=A2581)*(expected_production[Date]=B2581)*ISNUMBER(expected_production[Expected Production (kWh)]))=0,"",SUMIFS(expected_production[Expected Production (kWh)],expected_production[Site Name],A2581,expected_production[Date],B2581)),"")</f>
        <v>7296.3</v>
      </c>
      <c r="E2581" s="9">
        <f t="shared" si="82"/>
        <v>0.91923303592231675</v>
      </c>
      <c r="F2581" t="str">
        <f t="shared" si="83"/>
        <v>Expected</v>
      </c>
    </row>
    <row r="2582" spans="1:7" ht="15" customHeight="1" x14ac:dyDescent="0.3">
      <c r="A2582" t="s">
        <v>211</v>
      </c>
      <c r="B2582" s="2">
        <v>46023</v>
      </c>
      <c r="C2582" cm="1">
        <f t="array" ref="C2582">IFERROR(IF(SUMPRODUCT((measured[Site Name]=A2582)*(measured[Date]=B2582)*ISNUMBER(measured[Measured Value (kWh)]))=0,"",SUMIFS(measured[Measured Value (kWh)],measured[Site Name],A2582,measured[Date],B2582)),"")</f>
        <v>7171.5</v>
      </c>
      <c r="D2582" cm="1">
        <f t="array" ref="D2582">IFERROR(IF(SUMPRODUCT((expected_production[Site Name]=A2582)*(expected_production[Date]=B2582)*ISNUMBER(expected_production[Expected Production (kWh)]))=0,"",SUMIFS(expected_production[Expected Production (kWh)],expected_production[Site Name],A2582,expected_production[Date],B2582)),"")</f>
        <v>7299.9</v>
      </c>
      <c r="E2582" s="9">
        <f t="shared" si="82"/>
        <v>0.98241071795504054</v>
      </c>
      <c r="F2582" t="str">
        <f t="shared" si="83"/>
        <v>Expected</v>
      </c>
    </row>
    <row r="2583" spans="1:7" ht="15" customHeight="1" x14ac:dyDescent="0.3">
      <c r="A2583" t="s">
        <v>211</v>
      </c>
      <c r="B2583" s="2">
        <v>46054</v>
      </c>
      <c r="C2583" cm="1">
        <f t="array" ref="C2583">IFERROR(IF(SUMPRODUCT((measured[Site Name]=A2583)*(measured[Date]=B2583)*ISNUMBER(measured[Measured Value (kWh)]))=0,"",SUMIFS(measured[Measured Value (kWh)],measured[Site Name],A2583,measured[Date],B2583)),"")</f>
        <v>4844</v>
      </c>
      <c r="D2583" cm="1">
        <f t="array" ref="D2583">IFERROR(IF(SUMPRODUCT((expected_production[Site Name]=A2583)*(expected_production[Date]=B2583)*ISNUMBER(expected_production[Expected Production (kWh)]))=0,"",SUMIFS(expected_production[Expected Production (kWh)],expected_production[Site Name],A2583,expected_production[Date],B2583)),"")</f>
        <v>6223.5</v>
      </c>
      <c r="E2583" s="9">
        <f t="shared" si="82"/>
        <v>0.77834016228810154</v>
      </c>
      <c r="F2583" t="str">
        <f t="shared" si="83"/>
        <v>Moderate</v>
      </c>
    </row>
    <row r="2584" spans="1:7" ht="15" customHeight="1" x14ac:dyDescent="0.3">
      <c r="A2584" t="s">
        <v>211</v>
      </c>
      <c r="B2584" s="2">
        <v>46082</v>
      </c>
      <c r="C2584" cm="1">
        <f t="array" ref="C2584">IFERROR(IF(SUMPRODUCT((measured[Site Name]=A2584)*(measured[Date]=B2584)*ISNUMBER(measured[Measured Value (kWh)]))=0,"",SUMIFS(measured[Measured Value (kWh)],measured[Site Name],A2584,measured[Date],B2584)),"")</f>
        <v>5410</v>
      </c>
      <c r="D2584" cm="1">
        <f t="array" ref="D2584">IFERROR(IF(SUMPRODUCT((expected_production[Site Name]=A2584)*(expected_production[Date]=B2584)*ISNUMBER(expected_production[Expected Production (kWh)]))=0,"",SUMIFS(expected_production[Expected Production (kWh)],expected_production[Site Name],A2584,expected_production[Date],B2584)),"")</f>
        <v>6048.9</v>
      </c>
      <c r="E2584" s="9">
        <f t="shared" si="82"/>
        <v>0.89437749012217105</v>
      </c>
      <c r="F2584" t="str">
        <f t="shared" si="83"/>
        <v>Moderate</v>
      </c>
    </row>
    <row r="2585" spans="1:7" ht="15" customHeight="1" x14ac:dyDescent="0.3">
      <c r="A2585" t="s">
        <v>211</v>
      </c>
      <c r="B2585" s="2">
        <v>46113</v>
      </c>
      <c r="C2585" cm="1">
        <f t="array" ref="C2585">IFERROR(IF(SUMPRODUCT((measured[Site Name]=A2585)*(measured[Date]=B2585)*ISNUMBER(measured[Measured Value (kWh)]))=0,"",SUMIFS(measured[Measured Value (kWh)],measured[Site Name],A2585,measured[Date],B2585)),"")</f>
        <v>2815.5</v>
      </c>
      <c r="D2585" cm="1">
        <f t="array" ref="D2585">IFERROR(IF(SUMPRODUCT((expected_production[Site Name]=A2585)*(expected_production[Date]=B2585)*ISNUMBER(expected_production[Expected Production (kWh)]))=0,"",SUMIFS(expected_production[Expected Production (kWh)],expected_production[Site Name],A2585,expected_production[Date],B2585)),"")</f>
        <v>5130.8999999999996</v>
      </c>
      <c r="E2585" s="9">
        <f t="shared" si="82"/>
        <v>0.54873414020931999</v>
      </c>
      <c r="F2585" t="str">
        <f t="shared" si="83"/>
        <v>Poor</v>
      </c>
    </row>
    <row r="2586" spans="1:7" ht="15" customHeight="1" x14ac:dyDescent="0.3">
      <c r="A2586" t="s">
        <v>211</v>
      </c>
      <c r="B2586" s="2">
        <v>46143</v>
      </c>
      <c r="C2586" cm="1">
        <f t="array" ref="C2586">IFERROR(IF(SUMPRODUCT((measured[Site Name]=A2586)*(measured[Date]=B2586)*ISNUMBER(measured[Measured Value (kWh)]))=0,"",SUMIFS(measured[Measured Value (kWh)],measured[Site Name],A2586,measured[Date],B2586)),"")</f>
        <v>2205.5</v>
      </c>
      <c r="D2586" cm="1">
        <f t="array" ref="D2586">IFERROR(IF(SUMPRODUCT((expected_production[Site Name]=A2586)*(expected_production[Date]=B2586)*ISNUMBER(expected_production[Expected Production (kWh)]))=0,"",SUMIFS(expected_production[Expected Production (kWh)],expected_production[Site Name],A2586,expected_production[Date],B2586)),"")</f>
        <v>4621.5</v>
      </c>
      <c r="E2586" s="9">
        <f t="shared" si="82"/>
        <v>0.47722600887157851</v>
      </c>
      <c r="F2586" t="str">
        <f t="shared" si="83"/>
        <v>Poor</v>
      </c>
    </row>
    <row r="2587" spans="1:7" ht="15" customHeight="1" x14ac:dyDescent="0.3">
      <c r="A2587" t="s">
        <v>211</v>
      </c>
      <c r="B2587" s="2">
        <v>46174</v>
      </c>
      <c r="C2587" cm="1">
        <f t="array" ref="C2587">IFERROR(IF(SUMPRODUCT((measured[Site Name]=A2587)*(measured[Date]=B2587)*ISNUMBER(measured[Measured Value (kWh)]))=0,"",SUMIFS(measured[Measured Value (kWh)],measured[Site Name],A2587,measured[Date],B2587)),"")</f>
        <v>1921.8</v>
      </c>
      <c r="D2587" cm="1">
        <f t="array" ref="D2587">IFERROR(IF(SUMPRODUCT((expected_production[Site Name]=A2587)*(expected_production[Date]=B2587)*ISNUMBER(expected_production[Expected Production (kWh)]))=0,"",SUMIFS(expected_production[Expected Production (kWh)],expected_production[Site Name],A2587,expected_production[Date],B2587)),"")</f>
        <v>3931.2</v>
      </c>
      <c r="E2587" s="9">
        <f t="shared" si="82"/>
        <v>0.48885836385836384</v>
      </c>
      <c r="F2587" t="str">
        <f t="shared" si="83"/>
        <v>Poor</v>
      </c>
    </row>
    <row r="2588" spans="1:7" ht="15" customHeight="1" x14ac:dyDescent="0.3">
      <c r="A2588" t="s">
        <v>196</v>
      </c>
      <c r="B2588" s="2">
        <v>46204</v>
      </c>
      <c r="C2588" cm="1">
        <f t="array" ref="C2588">IFERROR(IF(SUMPRODUCT((measured[Site Name]=A2588)*(measured[Date]=B2588)*ISNUMBER(measured[Measured Value (kWh)]))=0,"",SUMIFS(measured[Measured Value (kWh)],measured[Site Name],A2588,measured[Date],B2588)),"")</f>
        <v>3037</v>
      </c>
      <c r="D2588" cm="1">
        <f t="array" ref="D2588">IFERROR(IF(SUMPRODUCT((expected_production[Site Name]=A2588)*(expected_production[Date]=B2588)*ISNUMBER(expected_production[Expected Production (kWh)]))=0,"",SUMIFS(expected_production[Expected Production (kWh)],expected_production[Site Name],A2588,expected_production[Date],B2588)),"")</f>
        <v>2851.125</v>
      </c>
      <c r="E2588" s="9">
        <f t="shared" si="82"/>
        <v>1.0651935639440571</v>
      </c>
      <c r="F2588" t="str">
        <f t="shared" si="83"/>
        <v>Expected</v>
      </c>
      <c r="G2588" t="s">
        <v>874</v>
      </c>
    </row>
    <row r="2589" spans="1:7" ht="15" customHeight="1" x14ac:dyDescent="0.3">
      <c r="A2589" t="s">
        <v>211</v>
      </c>
      <c r="B2589" s="2">
        <v>46235</v>
      </c>
      <c r="C2589" t="str" cm="1">
        <f t="array" ref="C2589">IFERROR(IF(SUMPRODUCT((measured[Site Name]=A2589)*(measured[Date]=B2589)*ISNUMBER(measured[Measured Value (kWh)]))=0,"",SUMIFS(measured[Measured Value (kWh)],measured[Site Name],A2589,measured[Date],B2589)),"")</f>
        <v/>
      </c>
      <c r="D2589" cm="1">
        <f t="array" ref="D2589">IFERROR(IF(SUMPRODUCT((expected_production[Site Name]=A2589)*(expected_production[Date]=B2589)*ISNUMBER(expected_production[Expected Production (kWh)]))=0,"",SUMIFS(expected_production[Expected Production (kWh)],expected_production[Site Name],A2589,expected_production[Date],B2589)),"")</f>
        <v>4723.2</v>
      </c>
      <c r="E2589" s="9" t="str">
        <f t="shared" si="82"/>
        <v/>
      </c>
      <c r="F2589" t="str">
        <f t="shared" si="83"/>
        <v/>
      </c>
    </row>
    <row r="2590" spans="1:7" ht="15" customHeight="1" x14ac:dyDescent="0.3">
      <c r="A2590" t="s">
        <v>211</v>
      </c>
      <c r="B2590" s="2">
        <v>46266</v>
      </c>
      <c r="C2590" t="str" cm="1">
        <f t="array" ref="C2590">IFERROR(IF(SUMPRODUCT((measured[Site Name]=A2590)*(measured[Date]=B2590)*ISNUMBER(measured[Measured Value (kWh)]))=0,"",SUMIFS(measured[Measured Value (kWh)],measured[Site Name],A2590,measured[Date],B2590)),"")</f>
        <v/>
      </c>
      <c r="D2590" cm="1">
        <f t="array" ref="D2590">IFERROR(IF(SUMPRODUCT((expected_production[Site Name]=A2590)*(expected_production[Date]=B2590)*ISNUMBER(expected_production[Expected Production (kWh)]))=0,"",SUMIFS(expected_production[Expected Production (kWh)],expected_production[Site Name],A2590,expected_production[Date],B2590)),"")</f>
        <v>5251.5</v>
      </c>
      <c r="E2590" s="9" t="str">
        <f t="shared" si="82"/>
        <v/>
      </c>
      <c r="F2590" t="str">
        <f t="shared" si="83"/>
        <v/>
      </c>
    </row>
    <row r="2591" spans="1:7" ht="15" customHeight="1" x14ac:dyDescent="0.3">
      <c r="A2591" t="s">
        <v>211</v>
      </c>
      <c r="B2591" s="2">
        <v>46296</v>
      </c>
      <c r="C2591" t="str" cm="1">
        <f t="array" ref="C2591">IFERROR(IF(SUMPRODUCT((measured[Site Name]=A2591)*(measured[Date]=B2591)*ISNUMBER(measured[Measured Value (kWh)]))=0,"",SUMIFS(measured[Measured Value (kWh)],measured[Site Name],A2591,measured[Date],B2591)),"")</f>
        <v/>
      </c>
      <c r="D2591" cm="1">
        <f t="array" ref="D2591">IFERROR(IF(SUMPRODUCT((expected_production[Site Name]=A2591)*(expected_production[Date]=B2591)*ISNUMBER(expected_production[Expected Production (kWh)]))=0,"",SUMIFS(expected_production[Expected Production (kWh)],expected_production[Site Name],A2591,expected_production[Date],B2591)),"")</f>
        <v>6489.9</v>
      </c>
      <c r="E2591" s="9" t="str">
        <f t="shared" si="82"/>
        <v/>
      </c>
      <c r="F2591" t="str">
        <f t="shared" si="83"/>
        <v/>
      </c>
    </row>
    <row r="2592" spans="1:7" ht="15" customHeight="1" x14ac:dyDescent="0.3">
      <c r="A2592" t="s">
        <v>211</v>
      </c>
      <c r="B2592" s="2">
        <v>46327</v>
      </c>
      <c r="C2592" t="str" cm="1">
        <f t="array" ref="C2592">IFERROR(IF(SUMPRODUCT((measured[Site Name]=A2592)*(measured[Date]=B2592)*ISNUMBER(measured[Measured Value (kWh)]))=0,"",SUMIFS(measured[Measured Value (kWh)],measured[Site Name],A2592,measured[Date],B2592)),"")</f>
        <v/>
      </c>
      <c r="D2592" cm="1">
        <f t="array" ref="D2592">IFERROR(IF(SUMPRODUCT((expected_production[Site Name]=A2592)*(expected_production[Date]=B2592)*ISNUMBER(expected_production[Expected Production (kWh)]))=0,"",SUMIFS(expected_production[Expected Production (kWh)],expected_production[Site Name],A2592,expected_production[Date],B2592)),"")</f>
        <v>6813.9</v>
      </c>
      <c r="E2592" s="9" t="str">
        <f t="shared" si="82"/>
        <v/>
      </c>
      <c r="F2592" t="str">
        <f t="shared" si="83"/>
        <v/>
      </c>
    </row>
    <row r="2593" spans="1:6" ht="15" customHeight="1" x14ac:dyDescent="0.3">
      <c r="A2593" t="s">
        <v>211</v>
      </c>
      <c r="B2593" s="2">
        <v>46357</v>
      </c>
      <c r="C2593" t="str" cm="1">
        <f t="array" ref="C2593">IFERROR(IF(SUMPRODUCT((measured[Site Name]=A2593)*(measured[Date]=B2593)*ISNUMBER(measured[Measured Value (kWh)]))=0,"",SUMIFS(measured[Measured Value (kWh)],measured[Site Name],A2593,measured[Date],B2593)),"")</f>
        <v/>
      </c>
      <c r="D2593" cm="1">
        <f t="array" ref="D2593">IFERROR(IF(SUMPRODUCT((expected_production[Site Name]=A2593)*(expected_production[Date]=B2593)*ISNUMBER(expected_production[Expected Production (kWh)]))=0,"",SUMIFS(expected_production[Expected Production (kWh)],expected_production[Site Name],A2593,expected_production[Date],B2593)),"")</f>
        <v>7296.3</v>
      </c>
      <c r="E2593" s="9" t="str">
        <f t="shared" si="82"/>
        <v/>
      </c>
      <c r="F2593" t="str">
        <f t="shared" si="83"/>
        <v/>
      </c>
    </row>
    <row r="2594" spans="1:6" ht="15" customHeight="1" x14ac:dyDescent="0.3">
      <c r="A2594" t="s">
        <v>202</v>
      </c>
      <c r="B2594" s="2">
        <v>45292</v>
      </c>
      <c r="C2594" cm="1">
        <f t="array" ref="C2594">IFERROR(IF(SUMPRODUCT((measured[Site Name]=A2594)*(measured[Date]=B2594)*ISNUMBER(measured[Measured Value (kWh)]))=0,"",SUMIFS(measured[Measured Value (kWh)],measured[Site Name],A2594,measured[Date],B2594)),"")</f>
        <v>17892</v>
      </c>
      <c r="D2594" cm="1">
        <f t="array" ref="D2594">IFERROR(IF(SUMPRODUCT((expected_production[Site Name]=A2594)*(expected_production[Date]=B2594)*ISNUMBER(expected_production[Expected Production (kWh)]))=0,"",SUMIFS(expected_production[Expected Production (kWh)],expected_production[Site Name],A2594,expected_production[Date],B2594)),"")</f>
        <v>28027.8</v>
      </c>
      <c r="E2594" s="9">
        <f t="shared" si="82"/>
        <v>0.63836619356496049</v>
      </c>
      <c r="F2594" t="str">
        <f t="shared" si="83"/>
        <v>Poor</v>
      </c>
    </row>
    <row r="2595" spans="1:6" ht="15" customHeight="1" x14ac:dyDescent="0.3">
      <c r="A2595" t="s">
        <v>202</v>
      </c>
      <c r="B2595" s="2">
        <v>45323</v>
      </c>
      <c r="C2595" cm="1">
        <f t="array" ref="C2595">IFERROR(IF(SUMPRODUCT((measured[Site Name]=A2595)*(measured[Date]=B2595)*ISNUMBER(measured[Measured Value (kWh)]))=0,"",SUMIFS(measured[Measured Value (kWh)],measured[Site Name],A2595,measured[Date],B2595)),"")</f>
        <v>15929</v>
      </c>
      <c r="D2595" cm="1">
        <f t="array" ref="D2595">IFERROR(IF(SUMPRODUCT((expected_production[Site Name]=A2595)*(expected_production[Date]=B2595)*ISNUMBER(expected_production[Expected Production (kWh)]))=0,"",SUMIFS(expected_production[Expected Production (kWh)],expected_production[Site Name],A2595,expected_production[Date],B2595)),"")</f>
        <v>23853.599999999999</v>
      </c>
      <c r="E2595" s="9">
        <f t="shared" si="82"/>
        <v>0.66778180232753126</v>
      </c>
      <c r="F2595" t="str">
        <f t="shared" si="83"/>
        <v>Poor</v>
      </c>
    </row>
    <row r="2596" spans="1:6" ht="15" customHeight="1" x14ac:dyDescent="0.3">
      <c r="A2596" t="s">
        <v>202</v>
      </c>
      <c r="B2596" s="2">
        <v>45352</v>
      </c>
      <c r="C2596" cm="1">
        <f t="array" ref="C2596">IFERROR(IF(SUMPRODUCT((measured[Site Name]=A2596)*(measured[Date]=B2596)*ISNUMBER(measured[Measured Value (kWh)]))=0,"",SUMIFS(measured[Measured Value (kWh)],measured[Site Name],A2596,measured[Date],B2596)),"")</f>
        <v>18524</v>
      </c>
      <c r="D2596" cm="1">
        <f t="array" ref="D2596">IFERROR(IF(SUMPRODUCT((expected_production[Site Name]=A2596)*(expected_production[Date]=B2596)*ISNUMBER(expected_production[Expected Production (kWh)]))=0,"",SUMIFS(expected_production[Expected Production (kWh)],expected_production[Site Name],A2596,expected_production[Date],B2596)),"")</f>
        <v>24144.3</v>
      </c>
      <c r="E2596" s="9">
        <f t="shared" si="82"/>
        <v>0.76722042055474793</v>
      </c>
      <c r="F2596" t="str">
        <f t="shared" si="83"/>
        <v>Moderate</v>
      </c>
    </row>
    <row r="2597" spans="1:6" ht="15" customHeight="1" x14ac:dyDescent="0.3">
      <c r="A2597" t="s">
        <v>202</v>
      </c>
      <c r="B2597" s="2">
        <v>45383</v>
      </c>
      <c r="C2597" cm="1">
        <f t="array" ref="C2597">IFERROR(IF(SUMPRODUCT((measured[Site Name]=A2597)*(measured[Date]=B2597)*ISNUMBER(measured[Measured Value (kWh)]))=0,"",SUMIFS(measured[Measured Value (kWh)],measured[Site Name],A2597,measured[Date],B2597)),"")</f>
        <v>13076</v>
      </c>
      <c r="D2597" cm="1">
        <f t="array" ref="D2597">IFERROR(IF(SUMPRODUCT((expected_production[Site Name]=A2597)*(expected_production[Date]=B2597)*ISNUMBER(expected_production[Expected Production (kWh)]))=0,"",SUMIFS(expected_production[Expected Production (kWh)],expected_production[Site Name],A2597,expected_production[Date],B2597)),"")</f>
        <v>20043</v>
      </c>
      <c r="E2597" s="9">
        <f t="shared" si="82"/>
        <v>0.65239734570673058</v>
      </c>
      <c r="F2597" t="str">
        <f t="shared" si="83"/>
        <v>Poor</v>
      </c>
    </row>
    <row r="2598" spans="1:6" ht="15" customHeight="1" x14ac:dyDescent="0.3">
      <c r="A2598" t="s">
        <v>202</v>
      </c>
      <c r="B2598" s="2">
        <v>45413</v>
      </c>
      <c r="C2598" cm="1">
        <f t="array" ref="C2598">IFERROR(IF(SUMPRODUCT((measured[Site Name]=A2598)*(measured[Date]=B2598)*ISNUMBER(measured[Measured Value (kWh)]))=0,"",SUMIFS(measured[Measured Value (kWh)],measured[Site Name],A2598,measured[Date],B2598)),"")</f>
        <v>17640</v>
      </c>
      <c r="D2598" cm="1">
        <f t="array" ref="D2598">IFERROR(IF(SUMPRODUCT((expected_production[Site Name]=A2598)*(expected_production[Date]=B2598)*ISNUMBER(expected_production[Expected Production (kWh)]))=0,"",SUMIFS(expected_production[Expected Production (kWh)],expected_production[Site Name],A2598,expected_production[Date],B2598)),"")</f>
        <v>19021.5</v>
      </c>
      <c r="E2598" s="9">
        <f t="shared" si="82"/>
        <v>0.92737165838656255</v>
      </c>
      <c r="F2598" t="str">
        <f t="shared" si="83"/>
        <v>Expected</v>
      </c>
    </row>
    <row r="2599" spans="1:6" ht="15" customHeight="1" x14ac:dyDescent="0.3">
      <c r="A2599" t="s">
        <v>202</v>
      </c>
      <c r="B2599" s="2">
        <v>45444</v>
      </c>
      <c r="C2599" cm="1">
        <f t="array" ref="C2599">IFERROR(IF(SUMPRODUCT((measured[Site Name]=A2599)*(measured[Date]=B2599)*ISNUMBER(measured[Measured Value (kWh)]))=0,"",SUMIFS(measured[Measured Value (kWh)],measured[Site Name],A2599,measured[Date],B2599)),"")</f>
        <v>14642</v>
      </c>
      <c r="D2599" cm="1">
        <f t="array" ref="D2599">IFERROR(IF(SUMPRODUCT((expected_production[Site Name]=A2599)*(expected_production[Date]=B2599)*ISNUMBER(expected_production[Expected Production (kWh)]))=0,"",SUMIFS(expected_production[Expected Production (kWh)],expected_production[Site Name],A2599,expected_production[Date],B2599)),"")</f>
        <v>17054.099999999999</v>
      </c>
      <c r="E2599" s="9">
        <f t="shared" si="82"/>
        <v>0.8585618707524878</v>
      </c>
      <c r="F2599" t="str">
        <f t="shared" si="83"/>
        <v>Moderate</v>
      </c>
    </row>
    <row r="2600" spans="1:6" ht="15" customHeight="1" x14ac:dyDescent="0.3">
      <c r="A2600" t="s">
        <v>202</v>
      </c>
      <c r="B2600" s="2">
        <v>45474</v>
      </c>
      <c r="C2600" cm="1">
        <f t="array" ref="C2600">IFERROR(IF(SUMPRODUCT((measured[Site Name]=A2600)*(measured[Date]=B2600)*ISNUMBER(measured[Measured Value (kWh)]))=0,"",SUMIFS(measured[Measured Value (kWh)],measured[Site Name],A2600,measured[Date],B2600)),"")</f>
        <v>15002</v>
      </c>
      <c r="D2600" cm="1">
        <f t="array" ref="D2600">IFERROR(IF(SUMPRODUCT((expected_production[Site Name]=A2600)*(expected_production[Date]=B2600)*ISNUMBER(expected_production[Expected Production (kWh)]))=0,"",SUMIFS(expected_production[Expected Production (kWh)],expected_production[Site Name],A2600,expected_production[Date],B2600)),"")</f>
        <v>18900</v>
      </c>
      <c r="E2600" s="9">
        <f t="shared" si="82"/>
        <v>0.79375661375661377</v>
      </c>
      <c r="F2600" t="str">
        <f t="shared" si="83"/>
        <v>Moderate</v>
      </c>
    </row>
    <row r="2601" spans="1:6" ht="15" customHeight="1" x14ac:dyDescent="0.3">
      <c r="A2601" t="s">
        <v>202</v>
      </c>
      <c r="B2601" s="2">
        <v>45505</v>
      </c>
      <c r="C2601" cm="1">
        <f t="array" ref="C2601">IFERROR(IF(SUMPRODUCT((measured[Site Name]=A2601)*(measured[Date]=B2601)*ISNUMBER(measured[Measured Value (kWh)]))=0,"",SUMIFS(measured[Measured Value (kWh)],measured[Site Name],A2601,measured[Date],B2601)),"")</f>
        <v>20792</v>
      </c>
      <c r="D2601" cm="1">
        <f t="array" ref="D2601">IFERROR(IF(SUMPRODUCT((expected_production[Site Name]=A2601)*(expected_production[Date]=B2601)*ISNUMBER(expected_production[Expected Production (kWh)]))=0,"",SUMIFS(expected_production[Expected Production (kWh)],expected_production[Site Name],A2601,expected_production[Date],B2601)),"")</f>
        <v>22066.2</v>
      </c>
      <c r="E2601" s="9">
        <f t="shared" si="82"/>
        <v>0.94225557640191782</v>
      </c>
      <c r="F2601" t="str">
        <f t="shared" si="83"/>
        <v>Expected</v>
      </c>
    </row>
    <row r="2602" spans="1:6" ht="15" customHeight="1" x14ac:dyDescent="0.3">
      <c r="A2602" t="s">
        <v>202</v>
      </c>
      <c r="B2602" s="2">
        <v>45536</v>
      </c>
      <c r="C2602" cm="1">
        <f t="array" ref="C2602">IFERROR(IF(SUMPRODUCT((measured[Site Name]=A2602)*(measured[Date]=B2602)*ISNUMBER(measured[Measured Value (kWh)]))=0,"",SUMIFS(measured[Measured Value (kWh)],measured[Site Name],A2602,measured[Date],B2602)),"")</f>
        <v>20898</v>
      </c>
      <c r="D2602" cm="1">
        <f t="array" ref="D2602">IFERROR(IF(SUMPRODUCT((expected_production[Site Name]=A2602)*(expected_production[Date]=B2602)*ISNUMBER(expected_production[Expected Production (kWh)]))=0,"",SUMIFS(expected_production[Expected Production (kWh)],expected_production[Site Name],A2602,expected_production[Date],B2602)),"")</f>
        <v>24526.799999999999</v>
      </c>
      <c r="E2602" s="9">
        <f t="shared" si="82"/>
        <v>0.85204755614266847</v>
      </c>
      <c r="F2602" t="str">
        <f t="shared" si="83"/>
        <v>Moderate</v>
      </c>
    </row>
    <row r="2603" spans="1:6" ht="15" customHeight="1" x14ac:dyDescent="0.3">
      <c r="A2603" t="s">
        <v>202</v>
      </c>
      <c r="B2603" s="2">
        <v>45566</v>
      </c>
      <c r="C2603" cm="1">
        <f t="array" ref="C2603">IFERROR(IF(SUMPRODUCT((measured[Site Name]=A2603)*(measured[Date]=B2603)*ISNUMBER(measured[Measured Value (kWh)]))=0,"",SUMIFS(measured[Measured Value (kWh)],measured[Site Name],A2603,measured[Date],B2603)),"")</f>
        <v>30325</v>
      </c>
      <c r="D2603" cm="1">
        <f t="array" ref="D2603">IFERROR(IF(SUMPRODUCT((expected_production[Site Name]=A2603)*(expected_production[Date]=B2603)*ISNUMBER(expected_production[Expected Production (kWh)]))=0,"",SUMIFS(expected_production[Expected Production (kWh)],expected_production[Site Name],A2603,expected_production[Date],B2603)),"")</f>
        <v>27256.5</v>
      </c>
      <c r="E2603" s="9">
        <f t="shared" si="82"/>
        <v>1.1125786509639903</v>
      </c>
      <c r="F2603" t="str">
        <f t="shared" si="83"/>
        <v>Expected</v>
      </c>
    </row>
    <row r="2604" spans="1:6" ht="15" customHeight="1" x14ac:dyDescent="0.3">
      <c r="A2604" t="s">
        <v>202</v>
      </c>
      <c r="B2604" s="2">
        <v>45597</v>
      </c>
      <c r="C2604" cm="1">
        <f t="array" ref="C2604">IFERROR(IF(SUMPRODUCT((measured[Site Name]=A2604)*(measured[Date]=B2604)*ISNUMBER(measured[Measured Value (kWh)]))=0,"",SUMIFS(measured[Measured Value (kWh)],measured[Site Name],A2604,measured[Date],B2604)),"")</f>
        <v>27930</v>
      </c>
      <c r="D2604" cm="1">
        <f t="array" ref="D2604">IFERROR(IF(SUMPRODUCT((expected_production[Site Name]=A2604)*(expected_production[Date]=B2604)*ISNUMBER(expected_production[Expected Production (kWh)]))=0,"",SUMIFS(expected_production[Expected Production (kWh)],expected_production[Site Name],A2604,expected_production[Date],B2604)),"")</f>
        <v>26973.9</v>
      </c>
      <c r="E2604" s="9">
        <f t="shared" si="82"/>
        <v>1.0354453749735855</v>
      </c>
      <c r="F2604" t="str">
        <f t="shared" si="83"/>
        <v>Expected</v>
      </c>
    </row>
    <row r="2605" spans="1:6" ht="15" customHeight="1" x14ac:dyDescent="0.3">
      <c r="A2605" t="s">
        <v>202</v>
      </c>
      <c r="B2605" s="2">
        <v>45627</v>
      </c>
      <c r="C2605" cm="1">
        <f t="array" ref="C2605">IFERROR(IF(SUMPRODUCT((measured[Site Name]=A2605)*(measured[Date]=B2605)*ISNUMBER(measured[Measured Value (kWh)]))=0,"",SUMIFS(measured[Measured Value (kWh)],measured[Site Name],A2605,measured[Date],B2605)),"")</f>
        <v>17653</v>
      </c>
      <c r="D2605" cm="1">
        <f t="array" ref="D2605">IFERROR(IF(SUMPRODUCT((expected_production[Site Name]=A2605)*(expected_production[Date]=B2605)*ISNUMBER(expected_production[Expected Production (kWh)]))=0,"",SUMIFS(expected_production[Expected Production (kWh)],expected_production[Site Name],A2605,expected_production[Date],B2605)),"")</f>
        <v>29028.6</v>
      </c>
      <c r="E2605" s="9">
        <f t="shared" si="82"/>
        <v>0.6081244014523608</v>
      </c>
      <c r="F2605" t="str">
        <f t="shared" si="83"/>
        <v>Poor</v>
      </c>
    </row>
    <row r="2606" spans="1:6" ht="15" customHeight="1" x14ac:dyDescent="0.3">
      <c r="A2606" t="s">
        <v>202</v>
      </c>
      <c r="B2606" s="2">
        <v>45658</v>
      </c>
      <c r="C2606" cm="1">
        <f t="array" ref="C2606">IFERROR(IF(SUMPRODUCT((measured[Site Name]=A2606)*(measured[Date]=B2606)*ISNUMBER(measured[Measured Value (kWh)]))=0,"",SUMIFS(measured[Measured Value (kWh)],measured[Site Name],A2606,measured[Date],B2606)),"")</f>
        <v>23957</v>
      </c>
      <c r="D2606" cm="1">
        <f t="array" ref="D2606">IFERROR(IF(SUMPRODUCT((expected_production[Site Name]=A2606)*(expected_production[Date]=B2606)*ISNUMBER(expected_production[Expected Production (kWh)]))=0,"",SUMIFS(expected_production[Expected Production (kWh)],expected_production[Site Name],A2606,expected_production[Date],B2606)),"")</f>
        <v>28027.8</v>
      </c>
      <c r="E2606" s="9">
        <f t="shared" si="82"/>
        <v>0.85475848978514191</v>
      </c>
      <c r="F2606" t="str">
        <f t="shared" si="83"/>
        <v>Moderate</v>
      </c>
    </row>
    <row r="2607" spans="1:6" ht="15" customHeight="1" x14ac:dyDescent="0.3">
      <c r="A2607" t="s">
        <v>202</v>
      </c>
      <c r="B2607" s="2">
        <v>45689</v>
      </c>
      <c r="C2607" cm="1">
        <f t="array" ref="C2607">IFERROR(IF(SUMPRODUCT((measured[Site Name]=A2607)*(measured[Date]=B2607)*ISNUMBER(measured[Measured Value (kWh)]))=0,"",SUMIFS(measured[Measured Value (kWh)],measured[Site Name],A2607,measured[Date],B2607)),"")</f>
        <v>19898</v>
      </c>
      <c r="D2607" cm="1">
        <f t="array" ref="D2607">IFERROR(IF(SUMPRODUCT((expected_production[Site Name]=A2607)*(expected_production[Date]=B2607)*ISNUMBER(expected_production[Expected Production (kWh)]))=0,"",SUMIFS(expected_production[Expected Production (kWh)],expected_production[Site Name],A2607,expected_production[Date],B2607)),"")</f>
        <v>23853.599999999999</v>
      </c>
      <c r="E2607" s="9">
        <f t="shared" si="82"/>
        <v>0.8341717811986451</v>
      </c>
      <c r="F2607" t="str">
        <f t="shared" si="83"/>
        <v>Moderate</v>
      </c>
    </row>
    <row r="2608" spans="1:6" ht="15" customHeight="1" x14ac:dyDescent="0.3">
      <c r="A2608" t="s">
        <v>202</v>
      </c>
      <c r="B2608" s="2">
        <v>45717</v>
      </c>
      <c r="C2608" cm="1">
        <f t="array" ref="C2608">IFERROR(IF(SUMPRODUCT((measured[Site Name]=A2608)*(measured[Date]=B2608)*ISNUMBER(measured[Measured Value (kWh)]))=0,"",SUMIFS(measured[Measured Value (kWh)],measured[Site Name],A2608,measured[Date],B2608)),"")</f>
        <v>18434</v>
      </c>
      <c r="D2608" cm="1">
        <f t="array" ref="D2608">IFERROR(IF(SUMPRODUCT((expected_production[Site Name]=A2608)*(expected_production[Date]=B2608)*ISNUMBER(expected_production[Expected Production (kWh)]))=0,"",SUMIFS(expected_production[Expected Production (kWh)],expected_production[Site Name],A2608,expected_production[Date],B2608)),"")</f>
        <v>24144.3</v>
      </c>
      <c r="E2608" s="9">
        <f t="shared" si="82"/>
        <v>0.76349283267686374</v>
      </c>
      <c r="F2608" t="str">
        <f t="shared" si="83"/>
        <v>Moderate</v>
      </c>
    </row>
    <row r="2609" spans="1:7" ht="15" customHeight="1" x14ac:dyDescent="0.3">
      <c r="A2609" t="s">
        <v>202</v>
      </c>
      <c r="B2609" s="2">
        <v>45748</v>
      </c>
      <c r="C2609" cm="1">
        <f t="array" ref="C2609">IFERROR(IF(SUMPRODUCT((measured[Site Name]=A2609)*(measured[Date]=B2609)*ISNUMBER(measured[Measured Value (kWh)]))=0,"",SUMIFS(measured[Measured Value (kWh)],measured[Site Name],A2609,measured[Date],B2609)),"")</f>
        <v>16717</v>
      </c>
      <c r="D2609" cm="1">
        <f t="array" ref="D2609">IFERROR(IF(SUMPRODUCT((expected_production[Site Name]=A2609)*(expected_production[Date]=B2609)*ISNUMBER(expected_production[Expected Production (kWh)]))=0,"",SUMIFS(expected_production[Expected Production (kWh)],expected_production[Site Name],A2609,expected_production[Date],B2609)),"")</f>
        <v>20043</v>
      </c>
      <c r="E2609" s="9">
        <f t="shared" si="82"/>
        <v>0.83405677792745592</v>
      </c>
      <c r="F2609" t="str">
        <f t="shared" si="83"/>
        <v>Moderate</v>
      </c>
    </row>
    <row r="2610" spans="1:7" ht="15" customHeight="1" x14ac:dyDescent="0.3">
      <c r="A2610" t="s">
        <v>202</v>
      </c>
      <c r="B2610" s="2">
        <v>45778</v>
      </c>
      <c r="C2610" cm="1">
        <f t="array" ref="C2610">IFERROR(IF(SUMPRODUCT((measured[Site Name]=A2610)*(measured[Date]=B2610)*ISNUMBER(measured[Measured Value (kWh)]))=0,"",SUMIFS(measured[Measured Value (kWh)],measured[Site Name],A2610,measured[Date],B2610)),"")</f>
        <v>19518</v>
      </c>
      <c r="D2610" cm="1">
        <f t="array" ref="D2610">IFERROR(IF(SUMPRODUCT((expected_production[Site Name]=A2610)*(expected_production[Date]=B2610)*ISNUMBER(expected_production[Expected Production (kWh)]))=0,"",SUMIFS(expected_production[Expected Production (kWh)],expected_production[Site Name],A2610,expected_production[Date],B2610)),"")</f>
        <v>19021.5</v>
      </c>
      <c r="E2610" s="9">
        <f t="shared" si="82"/>
        <v>1.0261020424256762</v>
      </c>
      <c r="F2610" t="str">
        <f t="shared" si="83"/>
        <v>Expected</v>
      </c>
    </row>
    <row r="2611" spans="1:7" ht="15" customHeight="1" x14ac:dyDescent="0.3">
      <c r="A2611" t="s">
        <v>202</v>
      </c>
      <c r="B2611" s="2">
        <v>45809</v>
      </c>
      <c r="C2611" cm="1">
        <f t="array" ref="C2611">IFERROR(IF(SUMPRODUCT((measured[Site Name]=A2611)*(measured[Date]=B2611)*ISNUMBER(measured[Measured Value (kWh)]))=0,"",SUMIFS(measured[Measured Value (kWh)],measured[Site Name],A2611,measured[Date],B2611)),"")</f>
        <v>16703.900000000001</v>
      </c>
      <c r="D2611" cm="1">
        <f t="array" ref="D2611">IFERROR(IF(SUMPRODUCT((expected_production[Site Name]=A2611)*(expected_production[Date]=B2611)*ISNUMBER(expected_production[Expected Production (kWh)]))=0,"",SUMIFS(expected_production[Expected Production (kWh)],expected_production[Site Name],A2611,expected_production[Date],B2611)),"")</f>
        <v>17054.099999999999</v>
      </c>
      <c r="E2611" s="9">
        <f t="shared" si="82"/>
        <v>0.97946534850856992</v>
      </c>
      <c r="F2611" t="str">
        <f t="shared" si="83"/>
        <v>Expected</v>
      </c>
    </row>
    <row r="2612" spans="1:7" ht="15" customHeight="1" x14ac:dyDescent="0.3">
      <c r="A2612" t="s">
        <v>202</v>
      </c>
      <c r="B2612" s="2">
        <v>45839</v>
      </c>
      <c r="C2612" cm="1">
        <f t="array" ref="C2612">IFERROR(IF(SUMPRODUCT((measured[Site Name]=A2612)*(measured[Date]=B2612)*ISNUMBER(measured[Measured Value (kWh)]))=0,"",SUMIFS(measured[Measured Value (kWh)],measured[Site Name],A2612,measured[Date],B2612)),"")</f>
        <v>17442.419999999998</v>
      </c>
      <c r="D2612" cm="1">
        <f t="array" ref="D2612">IFERROR(IF(SUMPRODUCT((expected_production[Site Name]=A2612)*(expected_production[Date]=B2612)*ISNUMBER(expected_production[Expected Production (kWh)]))=0,"",SUMIFS(expected_production[Expected Production (kWh)],expected_production[Site Name],A2612,expected_production[Date],B2612)),"")</f>
        <v>18900</v>
      </c>
      <c r="E2612" s="9">
        <f t="shared" si="82"/>
        <v>0.92287936507936497</v>
      </c>
      <c r="F2612" t="str">
        <f t="shared" si="83"/>
        <v>Expected</v>
      </c>
    </row>
    <row r="2613" spans="1:7" ht="15" customHeight="1" x14ac:dyDescent="0.3">
      <c r="A2613" t="s">
        <v>202</v>
      </c>
      <c r="B2613" s="2">
        <v>45870</v>
      </c>
      <c r="C2613" cm="1">
        <f t="array" ref="C2613">IFERROR(IF(SUMPRODUCT((measured[Site Name]=A2613)*(measured[Date]=B2613)*ISNUMBER(measured[Measured Value (kWh)]))=0,"",SUMIFS(measured[Measured Value (kWh)],measured[Site Name],A2613,measured[Date],B2613)),"")</f>
        <v>21419</v>
      </c>
      <c r="D2613" cm="1">
        <f t="array" ref="D2613">IFERROR(IF(SUMPRODUCT((expected_production[Site Name]=A2613)*(expected_production[Date]=B2613)*ISNUMBER(expected_production[Expected Production (kWh)]))=0,"",SUMIFS(expected_production[Expected Production (kWh)],expected_production[Site Name],A2613,expected_production[Date],B2613)),"")</f>
        <v>22066.2</v>
      </c>
      <c r="E2613" s="9">
        <f t="shared" si="82"/>
        <v>0.97067007459372245</v>
      </c>
      <c r="F2613" t="str">
        <f t="shared" si="83"/>
        <v>Expected</v>
      </c>
    </row>
    <row r="2614" spans="1:7" ht="15" customHeight="1" x14ac:dyDescent="0.3">
      <c r="A2614" t="s">
        <v>202</v>
      </c>
      <c r="B2614" s="2">
        <v>45901</v>
      </c>
      <c r="C2614" cm="1">
        <f t="array" ref="C2614">IFERROR(IF(SUMPRODUCT((measured[Site Name]=A2614)*(measured[Date]=B2614)*ISNUMBER(measured[Measured Value (kWh)]))=0,"",SUMIFS(measured[Measured Value (kWh)],measured[Site Name],A2614,measured[Date],B2614)),"")</f>
        <v>19487</v>
      </c>
      <c r="D2614" cm="1">
        <f t="array" ref="D2614">IFERROR(IF(SUMPRODUCT((expected_production[Site Name]=A2614)*(expected_production[Date]=B2614)*ISNUMBER(expected_production[Expected Production (kWh)]))=0,"",SUMIFS(expected_production[Expected Production (kWh)],expected_production[Site Name],A2614,expected_production[Date],B2614)),"")</f>
        <v>24526.799999999999</v>
      </c>
      <c r="E2614" s="9">
        <f t="shared" si="82"/>
        <v>0.79451864898804581</v>
      </c>
      <c r="F2614" t="str">
        <f t="shared" si="83"/>
        <v>Moderate</v>
      </c>
    </row>
    <row r="2615" spans="1:7" ht="15" customHeight="1" x14ac:dyDescent="0.3">
      <c r="A2615" t="s">
        <v>202</v>
      </c>
      <c r="B2615" s="2">
        <v>45931</v>
      </c>
      <c r="C2615" cm="1">
        <f t="array" ref="C2615">IFERROR(IF(SUMPRODUCT((measured[Site Name]=A2615)*(measured[Date]=B2615)*ISNUMBER(measured[Measured Value (kWh)]))=0,"",SUMIFS(measured[Measured Value (kWh)],measured[Site Name],A2615,measured[Date],B2615)),"")</f>
        <v>25859.040000000001</v>
      </c>
      <c r="D2615" cm="1">
        <f t="array" ref="D2615">IFERROR(IF(SUMPRODUCT((expected_production[Site Name]=A2615)*(expected_production[Date]=B2615)*ISNUMBER(expected_production[Expected Production (kWh)]))=0,"",SUMIFS(expected_production[Expected Production (kWh)],expected_production[Site Name],A2615,expected_production[Date],B2615)),"")</f>
        <v>27256.5</v>
      </c>
      <c r="E2615" s="9">
        <f t="shared" si="82"/>
        <v>0.94872929392988836</v>
      </c>
      <c r="F2615" t="str">
        <f t="shared" si="83"/>
        <v>Expected</v>
      </c>
    </row>
    <row r="2616" spans="1:7" ht="15" customHeight="1" x14ac:dyDescent="0.3">
      <c r="A2616" t="s">
        <v>202</v>
      </c>
      <c r="B2616" s="2">
        <v>45962</v>
      </c>
      <c r="C2616" cm="1">
        <f t="array" ref="C2616">IFERROR(IF(SUMPRODUCT((measured[Site Name]=A2616)*(measured[Date]=B2616)*ISNUMBER(measured[Measured Value (kWh)]))=0,"",SUMIFS(measured[Measured Value (kWh)],measured[Site Name],A2616,measured[Date],B2616)),"")</f>
        <v>23228</v>
      </c>
      <c r="D2616" cm="1">
        <f t="array" ref="D2616">IFERROR(IF(SUMPRODUCT((expected_production[Site Name]=A2616)*(expected_production[Date]=B2616)*ISNUMBER(expected_production[Expected Production (kWh)]))=0,"",SUMIFS(expected_production[Expected Production (kWh)],expected_production[Site Name],A2616,expected_production[Date],B2616)),"")</f>
        <v>26973.9</v>
      </c>
      <c r="E2616" s="9">
        <f t="shared" si="82"/>
        <v>0.86112872072633173</v>
      </c>
      <c r="F2616" t="str">
        <f t="shared" si="83"/>
        <v>Moderate</v>
      </c>
    </row>
    <row r="2617" spans="1:7" ht="15" customHeight="1" x14ac:dyDescent="0.3">
      <c r="A2617" t="s">
        <v>202</v>
      </c>
      <c r="B2617" s="2">
        <v>45992</v>
      </c>
      <c r="C2617" cm="1">
        <f t="array" ref="C2617">IFERROR(IF(SUMPRODUCT((measured[Site Name]=A2617)*(measured[Date]=B2617)*ISNUMBER(measured[Measured Value (kWh)]))=0,"",SUMIFS(measured[Measured Value (kWh)],measured[Site Name],A2617,measured[Date],B2617)),"")</f>
        <v>13257</v>
      </c>
      <c r="D2617" cm="1">
        <f t="array" ref="D2617">IFERROR(IF(SUMPRODUCT((expected_production[Site Name]=A2617)*(expected_production[Date]=B2617)*ISNUMBER(expected_production[Expected Production (kWh)]))=0,"",SUMIFS(expected_production[Expected Production (kWh)],expected_production[Site Name],A2617,expected_production[Date],B2617)),"")</f>
        <v>29028.6</v>
      </c>
      <c r="E2617" s="9">
        <f t="shared" si="82"/>
        <v>0.45668754263037142</v>
      </c>
      <c r="F2617" t="str">
        <f t="shared" si="83"/>
        <v>Poor</v>
      </c>
    </row>
    <row r="2618" spans="1:7" ht="15" customHeight="1" x14ac:dyDescent="0.3">
      <c r="A2618" t="s">
        <v>202</v>
      </c>
      <c r="B2618" s="2">
        <v>46023</v>
      </c>
      <c r="C2618" cm="1">
        <f t="array" ref="C2618">IFERROR(IF(SUMPRODUCT((measured[Site Name]=A2618)*(measured[Date]=B2618)*ISNUMBER(measured[Measured Value (kWh)]))=0,"",SUMIFS(measured[Measured Value (kWh)],measured[Site Name],A2618,measured[Date],B2618)),"")</f>
        <v>24628</v>
      </c>
      <c r="D2618" cm="1">
        <f t="array" ref="D2618">IFERROR(IF(SUMPRODUCT((expected_production[Site Name]=A2618)*(expected_production[Date]=B2618)*ISNUMBER(expected_production[Expected Production (kWh)]))=0,"",SUMIFS(expected_production[Expected Production (kWh)],expected_production[Site Name],A2618,expected_production[Date],B2618)),"")</f>
        <v>28027.8</v>
      </c>
      <c r="E2618" s="9">
        <f t="shared" si="82"/>
        <v>0.87869900598691297</v>
      </c>
      <c r="F2618" t="str">
        <f t="shared" si="83"/>
        <v>Moderate</v>
      </c>
    </row>
    <row r="2619" spans="1:7" ht="15" customHeight="1" x14ac:dyDescent="0.3">
      <c r="A2619" t="s">
        <v>202</v>
      </c>
      <c r="B2619" s="2">
        <v>46054</v>
      </c>
      <c r="C2619" cm="1">
        <f t="array" ref="C2619">IFERROR(IF(SUMPRODUCT((measured[Site Name]=A2619)*(measured[Date]=B2619)*ISNUMBER(measured[Measured Value (kWh)]))=0,"",SUMIFS(measured[Measured Value (kWh)],measured[Site Name],A2619,measured[Date],B2619)),"")</f>
        <v>24848.5</v>
      </c>
      <c r="D2619" cm="1">
        <f t="array" ref="D2619">IFERROR(IF(SUMPRODUCT((expected_production[Site Name]=A2619)*(expected_production[Date]=B2619)*ISNUMBER(expected_production[Expected Production (kWh)]))=0,"",SUMIFS(expected_production[Expected Production (kWh)],expected_production[Site Name],A2619,expected_production[Date],B2619)),"")</f>
        <v>23853.599999999999</v>
      </c>
      <c r="E2619" s="9">
        <f t="shared" si="82"/>
        <v>1.0417085890599322</v>
      </c>
      <c r="F2619" t="str">
        <f t="shared" si="83"/>
        <v>Expected</v>
      </c>
    </row>
    <row r="2620" spans="1:7" ht="15" customHeight="1" x14ac:dyDescent="0.3">
      <c r="A2620" t="s">
        <v>202</v>
      </c>
      <c r="B2620" s="2">
        <v>46082</v>
      </c>
      <c r="C2620" cm="1">
        <f t="array" ref="C2620">IFERROR(IF(SUMPRODUCT((measured[Site Name]=A2620)*(measured[Date]=B2620)*ISNUMBER(measured[Measured Value (kWh)]))=0,"",SUMIFS(measured[Measured Value (kWh)],measured[Site Name],A2620,measured[Date],B2620)),"")</f>
        <v>20359</v>
      </c>
      <c r="D2620" cm="1">
        <f t="array" ref="D2620">IFERROR(IF(SUMPRODUCT((expected_production[Site Name]=A2620)*(expected_production[Date]=B2620)*ISNUMBER(expected_production[Expected Production (kWh)]))=0,"",SUMIFS(expected_production[Expected Production (kWh)],expected_production[Site Name],A2620,expected_production[Date],B2620)),"")</f>
        <v>24144.3</v>
      </c>
      <c r="E2620" s="9">
        <f t="shared" ref="E2620:E2683" si="84">IF(OR(C2620="",D2620="",D2620=0),"",C2620/D2620)</f>
        <v>0.84322179562049848</v>
      </c>
      <c r="F2620" t="str">
        <f t="shared" ref="F2620:F2683" si="85">IF(E2620="","",IF(E2620&gt;=0.9,"Expected",IF(E2620&gt;=0.7,"Moderate","Poor")))</f>
        <v>Moderate</v>
      </c>
    </row>
    <row r="2621" spans="1:7" ht="15" customHeight="1" x14ac:dyDescent="0.3">
      <c r="A2621" t="s">
        <v>202</v>
      </c>
      <c r="B2621" s="2">
        <v>46113</v>
      </c>
      <c r="C2621" s="5" cm="1">
        <f t="array" ref="C2621">IFERROR(IF(SUMPRODUCT((measured[Site Name]=A2621)*(measured[Date]=B2621)*ISNUMBER(measured[Measured Value (kWh)]))=0,"",SUMIFS(measured[Measured Value (kWh)],measured[Site Name],A2621,measured[Date],B2621)),"")</f>
        <v>17480.97</v>
      </c>
      <c r="D2621" cm="1">
        <f t="array" ref="D2621">IFERROR(IF(SUMPRODUCT((expected_production[Site Name]=A2621)*(expected_production[Date]=B2621)*ISNUMBER(expected_production[Expected Production (kWh)]))=0,"",SUMIFS(expected_production[Expected Production (kWh)],expected_production[Site Name],A2621,expected_production[Date],B2621)),"")</f>
        <v>20043</v>
      </c>
      <c r="E2621" s="9">
        <f t="shared" si="84"/>
        <v>0.87217332734620567</v>
      </c>
      <c r="F2621" t="str">
        <f t="shared" si="85"/>
        <v>Moderate</v>
      </c>
    </row>
    <row r="2622" spans="1:7" ht="15" customHeight="1" x14ac:dyDescent="0.3">
      <c r="A2622" t="s">
        <v>202</v>
      </c>
      <c r="B2622" s="2">
        <v>46143</v>
      </c>
      <c r="C2622" s="5" cm="1">
        <f t="array" ref="C2622">IFERROR(IF(SUMPRODUCT((measured[Site Name]=A2622)*(measured[Date]=B2622)*ISNUMBER(measured[Measured Value (kWh)]))=0,"",SUMIFS(measured[Measured Value (kWh)],measured[Site Name],A2622,measured[Date],B2622)),"")</f>
        <v>17505.34</v>
      </c>
      <c r="D2622" cm="1">
        <f t="array" ref="D2622">IFERROR(IF(SUMPRODUCT((expected_production[Site Name]=A2622)*(expected_production[Date]=B2622)*ISNUMBER(expected_production[Expected Production (kWh)]))=0,"",SUMIFS(expected_production[Expected Production (kWh)],expected_production[Site Name],A2622,expected_production[Date],B2622)),"")</f>
        <v>19021.5</v>
      </c>
      <c r="E2622" s="9">
        <f t="shared" si="84"/>
        <v>0.92029230081749602</v>
      </c>
      <c r="F2622" t="str">
        <f t="shared" si="85"/>
        <v>Expected</v>
      </c>
    </row>
    <row r="2623" spans="1:7" ht="15" customHeight="1" x14ac:dyDescent="0.3">
      <c r="A2623" t="s">
        <v>202</v>
      </c>
      <c r="B2623" s="2">
        <v>46174</v>
      </c>
      <c r="C2623" cm="1">
        <f t="array" ref="C2623">IFERROR(IF(SUMPRODUCT((measured[Site Name]=A2623)*(measured[Date]=B2623)*ISNUMBER(measured[Measured Value (kWh)]))=0,"",SUMIFS(measured[Measured Value (kWh)],measured[Site Name],A2623,measured[Date],B2623)),"")</f>
        <v>11655</v>
      </c>
      <c r="D2623" cm="1">
        <f t="array" ref="D2623">IFERROR(IF(SUMPRODUCT((expected_production[Site Name]=A2623)*(expected_production[Date]=B2623)*ISNUMBER(expected_production[Expected Production (kWh)]))=0,"",SUMIFS(expected_production[Expected Production (kWh)],expected_production[Site Name],A2623,expected_production[Date],B2623)),"")</f>
        <v>17054.099999999999</v>
      </c>
      <c r="E2623" s="9">
        <f t="shared" si="84"/>
        <v>0.6834133727373477</v>
      </c>
      <c r="F2623" t="str">
        <f t="shared" si="85"/>
        <v>Poor</v>
      </c>
    </row>
    <row r="2624" spans="1:7" ht="15" customHeight="1" x14ac:dyDescent="0.3">
      <c r="A2624" t="s">
        <v>199</v>
      </c>
      <c r="B2624" s="2">
        <v>46204</v>
      </c>
      <c r="C2624" cm="1">
        <f t="array" ref="C2624">IFERROR(IF(SUMPRODUCT((measured[Site Name]=A2624)*(measured[Date]=B2624)*ISNUMBER(measured[Measured Value (kWh)]))=0,"",SUMIFS(measured[Measured Value (kWh)],measured[Site Name],A2624,measured[Date],B2624)),"")</f>
        <v>2200.69</v>
      </c>
      <c r="D2624" cm="1">
        <f t="array" ref="D2624">IFERROR(IF(SUMPRODUCT((expected_production[Site Name]=A2624)*(expected_production[Date]=B2624)*ISNUMBER(expected_production[Expected Production (kWh)]))=0,"",SUMIFS(expected_production[Expected Production (kWh)],expected_production[Site Name],A2624,expected_production[Date],B2624)),"")</f>
        <v>3103.35</v>
      </c>
      <c r="E2624" s="9">
        <f t="shared" si="84"/>
        <v>0.70913367812202943</v>
      </c>
      <c r="F2624" t="str">
        <f t="shared" si="85"/>
        <v>Moderate</v>
      </c>
      <c r="G2624" t="s">
        <v>874</v>
      </c>
    </row>
    <row r="2625" spans="1:6" ht="15" customHeight="1" x14ac:dyDescent="0.3">
      <c r="A2625" t="s">
        <v>202</v>
      </c>
      <c r="B2625" s="2">
        <v>46235</v>
      </c>
      <c r="C2625" t="str" cm="1">
        <f t="array" ref="C2625">IFERROR(IF(SUMPRODUCT((measured[Site Name]=A2625)*(measured[Date]=B2625)*ISNUMBER(measured[Measured Value (kWh)]))=0,"",SUMIFS(measured[Measured Value (kWh)],measured[Site Name],A2625,measured[Date],B2625)),"")</f>
        <v/>
      </c>
      <c r="D2625" cm="1">
        <f t="array" ref="D2625">IFERROR(IF(SUMPRODUCT((expected_production[Site Name]=A2625)*(expected_production[Date]=B2625)*ISNUMBER(expected_production[Expected Production (kWh)]))=0,"",SUMIFS(expected_production[Expected Production (kWh)],expected_production[Site Name],A2625,expected_production[Date],B2625)),"")</f>
        <v>22066.2</v>
      </c>
      <c r="E2625" s="9" t="str">
        <f t="shared" si="84"/>
        <v/>
      </c>
      <c r="F2625" t="str">
        <f t="shared" si="85"/>
        <v/>
      </c>
    </row>
    <row r="2626" spans="1:6" ht="15" customHeight="1" x14ac:dyDescent="0.3">
      <c r="A2626" t="s">
        <v>202</v>
      </c>
      <c r="B2626" s="2">
        <v>46266</v>
      </c>
      <c r="C2626" t="str" cm="1">
        <f t="array" ref="C2626">IFERROR(IF(SUMPRODUCT((measured[Site Name]=A2626)*(measured[Date]=B2626)*ISNUMBER(measured[Measured Value (kWh)]))=0,"",SUMIFS(measured[Measured Value (kWh)],measured[Site Name],A2626,measured[Date],B2626)),"")</f>
        <v/>
      </c>
      <c r="D2626" cm="1">
        <f t="array" ref="D2626">IFERROR(IF(SUMPRODUCT((expected_production[Site Name]=A2626)*(expected_production[Date]=B2626)*ISNUMBER(expected_production[Expected Production (kWh)]))=0,"",SUMIFS(expected_production[Expected Production (kWh)],expected_production[Site Name],A2626,expected_production[Date],B2626)),"")</f>
        <v>24526.799999999999</v>
      </c>
      <c r="E2626" s="9" t="str">
        <f t="shared" si="84"/>
        <v/>
      </c>
      <c r="F2626" t="str">
        <f t="shared" si="85"/>
        <v/>
      </c>
    </row>
    <row r="2627" spans="1:6" ht="15" customHeight="1" x14ac:dyDescent="0.3">
      <c r="A2627" t="s">
        <v>202</v>
      </c>
      <c r="B2627" s="2">
        <v>46296</v>
      </c>
      <c r="C2627" t="str" cm="1">
        <f t="array" ref="C2627">IFERROR(IF(SUMPRODUCT((measured[Site Name]=A2627)*(measured[Date]=B2627)*ISNUMBER(measured[Measured Value (kWh)]))=0,"",SUMIFS(measured[Measured Value (kWh)],measured[Site Name],A2627,measured[Date],B2627)),"")</f>
        <v/>
      </c>
      <c r="D2627" cm="1">
        <f t="array" ref="D2627">IFERROR(IF(SUMPRODUCT((expected_production[Site Name]=A2627)*(expected_production[Date]=B2627)*ISNUMBER(expected_production[Expected Production (kWh)]))=0,"",SUMIFS(expected_production[Expected Production (kWh)],expected_production[Site Name],A2627,expected_production[Date],B2627)),"")</f>
        <v>27256.5</v>
      </c>
      <c r="E2627" s="9" t="str">
        <f t="shared" si="84"/>
        <v/>
      </c>
      <c r="F2627" t="str">
        <f t="shared" si="85"/>
        <v/>
      </c>
    </row>
    <row r="2628" spans="1:6" ht="15" customHeight="1" x14ac:dyDescent="0.3">
      <c r="A2628" t="s">
        <v>202</v>
      </c>
      <c r="B2628" s="2">
        <v>46327</v>
      </c>
      <c r="C2628" t="str" cm="1">
        <f t="array" ref="C2628">IFERROR(IF(SUMPRODUCT((measured[Site Name]=A2628)*(measured[Date]=B2628)*ISNUMBER(measured[Measured Value (kWh)]))=0,"",SUMIFS(measured[Measured Value (kWh)],measured[Site Name],A2628,measured[Date],B2628)),"")</f>
        <v/>
      </c>
      <c r="D2628" cm="1">
        <f t="array" ref="D2628">IFERROR(IF(SUMPRODUCT((expected_production[Site Name]=A2628)*(expected_production[Date]=B2628)*ISNUMBER(expected_production[Expected Production (kWh)]))=0,"",SUMIFS(expected_production[Expected Production (kWh)],expected_production[Site Name],A2628,expected_production[Date],B2628)),"")</f>
        <v>26973.9</v>
      </c>
      <c r="E2628" s="9" t="str">
        <f t="shared" si="84"/>
        <v/>
      </c>
      <c r="F2628" t="str">
        <f t="shared" si="85"/>
        <v/>
      </c>
    </row>
    <row r="2629" spans="1:6" ht="15" customHeight="1" x14ac:dyDescent="0.3">
      <c r="A2629" t="s">
        <v>202</v>
      </c>
      <c r="B2629" s="2">
        <v>46357</v>
      </c>
      <c r="C2629" t="str" cm="1">
        <f t="array" ref="C2629">IFERROR(IF(SUMPRODUCT((measured[Site Name]=A2629)*(measured[Date]=B2629)*ISNUMBER(measured[Measured Value (kWh)]))=0,"",SUMIFS(measured[Measured Value (kWh)],measured[Site Name],A2629,measured[Date],B2629)),"")</f>
        <v/>
      </c>
      <c r="D2629" cm="1">
        <f t="array" ref="D2629">IFERROR(IF(SUMPRODUCT((expected_production[Site Name]=A2629)*(expected_production[Date]=B2629)*ISNUMBER(expected_production[Expected Production (kWh)]))=0,"",SUMIFS(expected_production[Expected Production (kWh)],expected_production[Site Name],A2629,expected_production[Date],B2629)),"")</f>
        <v>29028.6</v>
      </c>
      <c r="E2629" s="9" t="str">
        <f t="shared" si="84"/>
        <v/>
      </c>
      <c r="F2629" t="str">
        <f t="shared" si="85"/>
        <v/>
      </c>
    </row>
    <row r="2630" spans="1:6" ht="15" customHeight="1" x14ac:dyDescent="0.3">
      <c r="A2630" t="s">
        <v>206</v>
      </c>
      <c r="B2630" s="2">
        <v>45292</v>
      </c>
      <c r="C2630" t="str" cm="1">
        <f t="array" ref="C2630">IFERROR(IF(SUMPRODUCT((measured[Site Name]=A2630)*(measured[Date]=B2630)*ISNUMBER(measured[Measured Value (kWh)]))=0,"",SUMIFS(measured[Measured Value (kWh)],measured[Site Name],A2630,measured[Date],B2630)),"")</f>
        <v/>
      </c>
      <c r="D2630" t="str" cm="1">
        <f t="array" ref="D2630">IFERROR(IF(SUMPRODUCT((expected_production[Site Name]=A2630)*(expected_production[Date]=B2630)*ISNUMBER(expected_production[Expected Production (kWh)]))=0,"",SUMIFS(expected_production[Expected Production (kWh)],expected_production[Site Name],A2630,expected_production[Date],B2630)),"")</f>
        <v/>
      </c>
      <c r="E2630" s="9" t="str">
        <f t="shared" si="84"/>
        <v/>
      </c>
      <c r="F2630" t="str">
        <f t="shared" si="85"/>
        <v/>
      </c>
    </row>
    <row r="2631" spans="1:6" ht="15" customHeight="1" x14ac:dyDescent="0.3">
      <c r="A2631" t="s">
        <v>206</v>
      </c>
      <c r="B2631" s="2">
        <v>45323</v>
      </c>
      <c r="C2631" t="str" cm="1">
        <f t="array" ref="C2631">IFERROR(IF(SUMPRODUCT((measured[Site Name]=A2631)*(measured[Date]=B2631)*ISNUMBER(measured[Measured Value (kWh)]))=0,"",SUMIFS(measured[Measured Value (kWh)],measured[Site Name],A2631,measured[Date],B2631)),"")</f>
        <v/>
      </c>
      <c r="D2631" t="str" cm="1">
        <f t="array" ref="D2631">IFERROR(IF(SUMPRODUCT((expected_production[Site Name]=A2631)*(expected_production[Date]=B2631)*ISNUMBER(expected_production[Expected Production (kWh)]))=0,"",SUMIFS(expected_production[Expected Production (kWh)],expected_production[Site Name],A2631,expected_production[Date],B2631)),"")</f>
        <v/>
      </c>
      <c r="E2631" s="9" t="str">
        <f t="shared" si="84"/>
        <v/>
      </c>
      <c r="F2631" t="str">
        <f t="shared" si="85"/>
        <v/>
      </c>
    </row>
    <row r="2632" spans="1:6" ht="15" customHeight="1" x14ac:dyDescent="0.3">
      <c r="A2632" t="s">
        <v>206</v>
      </c>
      <c r="B2632" s="2">
        <v>45352</v>
      </c>
      <c r="C2632" t="str" cm="1">
        <f t="array" ref="C2632">IFERROR(IF(SUMPRODUCT((measured[Site Name]=A2632)*(measured[Date]=B2632)*ISNUMBER(measured[Measured Value (kWh)]))=0,"",SUMIFS(measured[Measured Value (kWh)],measured[Site Name],A2632,measured[Date],B2632)),"")</f>
        <v/>
      </c>
      <c r="D2632" t="str" cm="1">
        <f t="array" ref="D2632">IFERROR(IF(SUMPRODUCT((expected_production[Site Name]=A2632)*(expected_production[Date]=B2632)*ISNUMBER(expected_production[Expected Production (kWh)]))=0,"",SUMIFS(expected_production[Expected Production (kWh)],expected_production[Site Name],A2632,expected_production[Date],B2632)),"")</f>
        <v/>
      </c>
      <c r="E2632" s="9" t="str">
        <f t="shared" si="84"/>
        <v/>
      </c>
      <c r="F2632" t="str">
        <f t="shared" si="85"/>
        <v/>
      </c>
    </row>
    <row r="2633" spans="1:6" ht="15" customHeight="1" x14ac:dyDescent="0.3">
      <c r="A2633" t="s">
        <v>206</v>
      </c>
      <c r="B2633" s="2">
        <v>45383</v>
      </c>
      <c r="C2633" t="str" cm="1">
        <f t="array" ref="C2633">IFERROR(IF(SUMPRODUCT((measured[Site Name]=A2633)*(measured[Date]=B2633)*ISNUMBER(measured[Measured Value (kWh)]))=0,"",SUMIFS(measured[Measured Value (kWh)],measured[Site Name],A2633,measured[Date],B2633)),"")</f>
        <v/>
      </c>
      <c r="D2633" t="str" cm="1">
        <f t="array" ref="D2633">IFERROR(IF(SUMPRODUCT((expected_production[Site Name]=A2633)*(expected_production[Date]=B2633)*ISNUMBER(expected_production[Expected Production (kWh)]))=0,"",SUMIFS(expected_production[Expected Production (kWh)],expected_production[Site Name],A2633,expected_production[Date],B2633)),"")</f>
        <v/>
      </c>
      <c r="E2633" s="9" t="str">
        <f t="shared" si="84"/>
        <v/>
      </c>
      <c r="F2633" t="str">
        <f t="shared" si="85"/>
        <v/>
      </c>
    </row>
    <row r="2634" spans="1:6" ht="15" customHeight="1" x14ac:dyDescent="0.3">
      <c r="A2634" t="s">
        <v>206</v>
      </c>
      <c r="B2634" s="2">
        <v>45413</v>
      </c>
      <c r="C2634" t="str" cm="1">
        <f t="array" ref="C2634">IFERROR(IF(SUMPRODUCT((measured[Site Name]=A2634)*(measured[Date]=B2634)*ISNUMBER(measured[Measured Value (kWh)]))=0,"",SUMIFS(measured[Measured Value (kWh)],measured[Site Name],A2634,measured[Date],B2634)),"")</f>
        <v/>
      </c>
      <c r="D2634" t="str" cm="1">
        <f t="array" ref="D2634">IFERROR(IF(SUMPRODUCT((expected_production[Site Name]=A2634)*(expected_production[Date]=B2634)*ISNUMBER(expected_production[Expected Production (kWh)]))=0,"",SUMIFS(expected_production[Expected Production (kWh)],expected_production[Site Name],A2634,expected_production[Date],B2634)),"")</f>
        <v/>
      </c>
      <c r="E2634" s="9" t="str">
        <f t="shared" si="84"/>
        <v/>
      </c>
      <c r="F2634" t="str">
        <f t="shared" si="85"/>
        <v/>
      </c>
    </row>
    <row r="2635" spans="1:6" ht="15" customHeight="1" x14ac:dyDescent="0.3">
      <c r="A2635" t="s">
        <v>206</v>
      </c>
      <c r="B2635" s="2">
        <v>45444</v>
      </c>
      <c r="C2635" t="str" cm="1">
        <f t="array" ref="C2635">IFERROR(IF(SUMPRODUCT((measured[Site Name]=A2635)*(measured[Date]=B2635)*ISNUMBER(measured[Measured Value (kWh)]))=0,"",SUMIFS(measured[Measured Value (kWh)],measured[Site Name],A2635,measured[Date],B2635)),"")</f>
        <v/>
      </c>
      <c r="D2635" t="str" cm="1">
        <f t="array" ref="D2635">IFERROR(IF(SUMPRODUCT((expected_production[Site Name]=A2635)*(expected_production[Date]=B2635)*ISNUMBER(expected_production[Expected Production (kWh)]))=0,"",SUMIFS(expected_production[Expected Production (kWh)],expected_production[Site Name],A2635,expected_production[Date],B2635)),"")</f>
        <v/>
      </c>
      <c r="E2635" s="9" t="str">
        <f t="shared" si="84"/>
        <v/>
      </c>
      <c r="F2635" t="str">
        <f t="shared" si="85"/>
        <v/>
      </c>
    </row>
    <row r="2636" spans="1:6" ht="15" customHeight="1" x14ac:dyDescent="0.3">
      <c r="A2636" t="s">
        <v>206</v>
      </c>
      <c r="B2636" s="2">
        <v>45474</v>
      </c>
      <c r="C2636" t="str" cm="1">
        <f t="array" ref="C2636">IFERROR(IF(SUMPRODUCT((measured[Site Name]=A2636)*(measured[Date]=B2636)*ISNUMBER(measured[Measured Value (kWh)]))=0,"",SUMIFS(measured[Measured Value (kWh)],measured[Site Name],A2636,measured[Date],B2636)),"")</f>
        <v/>
      </c>
      <c r="D2636" t="str" cm="1">
        <f t="array" ref="D2636">IFERROR(IF(SUMPRODUCT((expected_production[Site Name]=A2636)*(expected_production[Date]=B2636)*ISNUMBER(expected_production[Expected Production (kWh)]))=0,"",SUMIFS(expected_production[Expected Production (kWh)],expected_production[Site Name],A2636,expected_production[Date],B2636)),"")</f>
        <v/>
      </c>
      <c r="E2636" s="9" t="str">
        <f t="shared" si="84"/>
        <v/>
      </c>
      <c r="F2636" t="str">
        <f t="shared" si="85"/>
        <v/>
      </c>
    </row>
    <row r="2637" spans="1:6" ht="15" customHeight="1" x14ac:dyDescent="0.3">
      <c r="A2637" t="s">
        <v>206</v>
      </c>
      <c r="B2637" s="2">
        <v>45505</v>
      </c>
      <c r="C2637" t="str" cm="1">
        <f t="array" ref="C2637">IFERROR(IF(SUMPRODUCT((measured[Site Name]=A2637)*(measured[Date]=B2637)*ISNUMBER(measured[Measured Value (kWh)]))=0,"",SUMIFS(measured[Measured Value (kWh)],measured[Site Name],A2637,measured[Date],B2637)),"")</f>
        <v/>
      </c>
      <c r="D2637" t="str" cm="1">
        <f t="array" ref="D2637">IFERROR(IF(SUMPRODUCT((expected_production[Site Name]=A2637)*(expected_production[Date]=B2637)*ISNUMBER(expected_production[Expected Production (kWh)]))=0,"",SUMIFS(expected_production[Expected Production (kWh)],expected_production[Site Name],A2637,expected_production[Date],B2637)),"")</f>
        <v/>
      </c>
      <c r="E2637" s="9" t="str">
        <f t="shared" si="84"/>
        <v/>
      </c>
      <c r="F2637" t="str">
        <f t="shared" si="85"/>
        <v/>
      </c>
    </row>
    <row r="2638" spans="1:6" ht="15" customHeight="1" x14ac:dyDescent="0.3">
      <c r="A2638" t="s">
        <v>206</v>
      </c>
      <c r="B2638" s="2">
        <v>45536</v>
      </c>
      <c r="C2638" t="str" cm="1">
        <f t="array" ref="C2638">IFERROR(IF(SUMPRODUCT((measured[Site Name]=A2638)*(measured[Date]=B2638)*ISNUMBER(measured[Measured Value (kWh)]))=0,"",SUMIFS(measured[Measured Value (kWh)],measured[Site Name],A2638,measured[Date],B2638)),"")</f>
        <v/>
      </c>
      <c r="D2638" t="str" cm="1">
        <f t="array" ref="D2638">IFERROR(IF(SUMPRODUCT((expected_production[Site Name]=A2638)*(expected_production[Date]=B2638)*ISNUMBER(expected_production[Expected Production (kWh)]))=0,"",SUMIFS(expected_production[Expected Production (kWh)],expected_production[Site Name],A2638,expected_production[Date],B2638)),"")</f>
        <v/>
      </c>
      <c r="E2638" s="9" t="str">
        <f t="shared" si="84"/>
        <v/>
      </c>
      <c r="F2638" t="str">
        <f t="shared" si="85"/>
        <v/>
      </c>
    </row>
    <row r="2639" spans="1:6" ht="15" customHeight="1" x14ac:dyDescent="0.3">
      <c r="A2639" t="s">
        <v>206</v>
      </c>
      <c r="B2639" s="2">
        <v>45566</v>
      </c>
      <c r="C2639" t="str" cm="1">
        <f t="array" ref="C2639">IFERROR(IF(SUMPRODUCT((measured[Site Name]=A2639)*(measured[Date]=B2639)*ISNUMBER(measured[Measured Value (kWh)]))=0,"",SUMIFS(measured[Measured Value (kWh)],measured[Site Name],A2639,measured[Date],B2639)),"")</f>
        <v/>
      </c>
      <c r="D2639" t="str" cm="1">
        <f t="array" ref="D2639">IFERROR(IF(SUMPRODUCT((expected_production[Site Name]=A2639)*(expected_production[Date]=B2639)*ISNUMBER(expected_production[Expected Production (kWh)]))=0,"",SUMIFS(expected_production[Expected Production (kWh)],expected_production[Site Name],A2639,expected_production[Date],B2639)),"")</f>
        <v/>
      </c>
      <c r="E2639" s="9" t="str">
        <f t="shared" si="84"/>
        <v/>
      </c>
      <c r="F2639" t="str">
        <f t="shared" si="85"/>
        <v/>
      </c>
    </row>
    <row r="2640" spans="1:6" ht="15" customHeight="1" x14ac:dyDescent="0.3">
      <c r="A2640" t="s">
        <v>206</v>
      </c>
      <c r="B2640" s="2">
        <v>45597</v>
      </c>
      <c r="C2640" t="str" cm="1">
        <f t="array" ref="C2640">IFERROR(IF(SUMPRODUCT((measured[Site Name]=A2640)*(measured[Date]=B2640)*ISNUMBER(measured[Measured Value (kWh)]))=0,"",SUMIFS(measured[Measured Value (kWh)],measured[Site Name],A2640,measured[Date],B2640)),"")</f>
        <v/>
      </c>
      <c r="D2640" t="str" cm="1">
        <f t="array" ref="D2640">IFERROR(IF(SUMPRODUCT((expected_production[Site Name]=A2640)*(expected_production[Date]=B2640)*ISNUMBER(expected_production[Expected Production (kWh)]))=0,"",SUMIFS(expected_production[Expected Production (kWh)],expected_production[Site Name],A2640,expected_production[Date],B2640)),"")</f>
        <v/>
      </c>
      <c r="E2640" s="9" t="str">
        <f t="shared" si="84"/>
        <v/>
      </c>
      <c r="F2640" t="str">
        <f t="shared" si="85"/>
        <v/>
      </c>
    </row>
    <row r="2641" spans="1:6" ht="15" customHeight="1" x14ac:dyDescent="0.3">
      <c r="A2641" t="s">
        <v>206</v>
      </c>
      <c r="B2641" s="2">
        <v>45627</v>
      </c>
      <c r="C2641" t="str" cm="1">
        <f t="array" ref="C2641">IFERROR(IF(SUMPRODUCT((measured[Site Name]=A2641)*(measured[Date]=B2641)*ISNUMBER(measured[Measured Value (kWh)]))=0,"",SUMIFS(measured[Measured Value (kWh)],measured[Site Name],A2641,measured[Date],B2641)),"")</f>
        <v/>
      </c>
      <c r="D2641" t="str" cm="1">
        <f t="array" ref="D2641">IFERROR(IF(SUMPRODUCT((expected_production[Site Name]=A2641)*(expected_production[Date]=B2641)*ISNUMBER(expected_production[Expected Production (kWh)]))=0,"",SUMIFS(expected_production[Expected Production (kWh)],expected_production[Site Name],A2641,expected_production[Date],B2641)),"")</f>
        <v/>
      </c>
      <c r="E2641" s="9" t="str">
        <f t="shared" si="84"/>
        <v/>
      </c>
      <c r="F2641" t="str">
        <f t="shared" si="85"/>
        <v/>
      </c>
    </row>
    <row r="2642" spans="1:6" ht="15" customHeight="1" x14ac:dyDescent="0.3">
      <c r="A2642" t="s">
        <v>206</v>
      </c>
      <c r="B2642" s="2">
        <v>45658</v>
      </c>
      <c r="C2642" t="str" cm="1">
        <f t="array" ref="C2642">IFERROR(IF(SUMPRODUCT((measured[Site Name]=A2642)*(measured[Date]=B2642)*ISNUMBER(measured[Measured Value (kWh)]))=0,"",SUMIFS(measured[Measured Value (kWh)],measured[Site Name],A2642,measured[Date],B2642)),"")</f>
        <v/>
      </c>
      <c r="D2642" t="str" cm="1">
        <f t="array" ref="D2642">IFERROR(IF(SUMPRODUCT((expected_production[Site Name]=A2642)*(expected_production[Date]=B2642)*ISNUMBER(expected_production[Expected Production (kWh)]))=0,"",SUMIFS(expected_production[Expected Production (kWh)],expected_production[Site Name],A2642,expected_production[Date],B2642)),"")</f>
        <v/>
      </c>
      <c r="E2642" s="9" t="str">
        <f t="shared" si="84"/>
        <v/>
      </c>
      <c r="F2642" t="str">
        <f t="shared" si="85"/>
        <v/>
      </c>
    </row>
    <row r="2643" spans="1:6" ht="15" customHeight="1" x14ac:dyDescent="0.3">
      <c r="A2643" t="s">
        <v>206</v>
      </c>
      <c r="B2643" s="2">
        <v>45689</v>
      </c>
      <c r="C2643" t="str" cm="1">
        <f t="array" ref="C2643">IFERROR(IF(SUMPRODUCT((measured[Site Name]=A2643)*(measured[Date]=B2643)*ISNUMBER(measured[Measured Value (kWh)]))=0,"",SUMIFS(measured[Measured Value (kWh)],measured[Site Name],A2643,measured[Date],B2643)),"")</f>
        <v/>
      </c>
      <c r="D2643" t="str" cm="1">
        <f t="array" ref="D2643">IFERROR(IF(SUMPRODUCT((expected_production[Site Name]=A2643)*(expected_production[Date]=B2643)*ISNUMBER(expected_production[Expected Production (kWh)]))=0,"",SUMIFS(expected_production[Expected Production (kWh)],expected_production[Site Name],A2643,expected_production[Date],B2643)),"")</f>
        <v/>
      </c>
      <c r="E2643" s="9" t="str">
        <f t="shared" si="84"/>
        <v/>
      </c>
      <c r="F2643" t="str">
        <f t="shared" si="85"/>
        <v/>
      </c>
    </row>
    <row r="2644" spans="1:6" ht="15" customHeight="1" x14ac:dyDescent="0.3">
      <c r="A2644" t="s">
        <v>206</v>
      </c>
      <c r="B2644" s="2">
        <v>45717</v>
      </c>
      <c r="C2644" t="str" cm="1">
        <f t="array" ref="C2644">IFERROR(IF(SUMPRODUCT((measured[Site Name]=A2644)*(measured[Date]=B2644)*ISNUMBER(measured[Measured Value (kWh)]))=0,"",SUMIFS(measured[Measured Value (kWh)],measured[Site Name],A2644,measured[Date],B2644)),"")</f>
        <v/>
      </c>
      <c r="D2644" t="str" cm="1">
        <f t="array" ref="D2644">IFERROR(IF(SUMPRODUCT((expected_production[Site Name]=A2644)*(expected_production[Date]=B2644)*ISNUMBER(expected_production[Expected Production (kWh)]))=0,"",SUMIFS(expected_production[Expected Production (kWh)],expected_production[Site Name],A2644,expected_production[Date],B2644)),"")</f>
        <v/>
      </c>
      <c r="E2644" s="9" t="str">
        <f t="shared" si="84"/>
        <v/>
      </c>
      <c r="F2644" t="str">
        <f t="shared" si="85"/>
        <v/>
      </c>
    </row>
    <row r="2645" spans="1:6" ht="15" customHeight="1" x14ac:dyDescent="0.3">
      <c r="A2645" t="s">
        <v>206</v>
      </c>
      <c r="B2645" s="2">
        <v>45748</v>
      </c>
      <c r="C2645" t="str" cm="1">
        <f t="array" ref="C2645">IFERROR(IF(SUMPRODUCT((measured[Site Name]=A2645)*(measured[Date]=B2645)*ISNUMBER(measured[Measured Value (kWh)]))=0,"",SUMIFS(measured[Measured Value (kWh)],measured[Site Name],A2645,measured[Date],B2645)),"")</f>
        <v/>
      </c>
      <c r="D2645" t="str" cm="1">
        <f t="array" ref="D2645">IFERROR(IF(SUMPRODUCT((expected_production[Site Name]=A2645)*(expected_production[Date]=B2645)*ISNUMBER(expected_production[Expected Production (kWh)]))=0,"",SUMIFS(expected_production[Expected Production (kWh)],expected_production[Site Name],A2645,expected_production[Date],B2645)),"")</f>
        <v/>
      </c>
      <c r="E2645" s="9" t="str">
        <f t="shared" si="84"/>
        <v/>
      </c>
      <c r="F2645" t="str">
        <f t="shared" si="85"/>
        <v/>
      </c>
    </row>
    <row r="2646" spans="1:6" ht="15" customHeight="1" x14ac:dyDescent="0.3">
      <c r="A2646" t="s">
        <v>206</v>
      </c>
      <c r="B2646" s="2">
        <v>45778</v>
      </c>
      <c r="C2646" t="str" cm="1">
        <f t="array" ref="C2646">IFERROR(IF(SUMPRODUCT((measured[Site Name]=A2646)*(measured[Date]=B2646)*ISNUMBER(measured[Measured Value (kWh)]))=0,"",SUMIFS(measured[Measured Value (kWh)],measured[Site Name],A2646,measured[Date],B2646)),"")</f>
        <v/>
      </c>
      <c r="D2646" t="str" cm="1">
        <f t="array" ref="D2646">IFERROR(IF(SUMPRODUCT((expected_production[Site Name]=A2646)*(expected_production[Date]=B2646)*ISNUMBER(expected_production[Expected Production (kWh)]))=0,"",SUMIFS(expected_production[Expected Production (kWh)],expected_production[Site Name],A2646,expected_production[Date],B2646)),"")</f>
        <v/>
      </c>
      <c r="E2646" s="9" t="str">
        <f t="shared" si="84"/>
        <v/>
      </c>
      <c r="F2646" t="str">
        <f t="shared" si="85"/>
        <v/>
      </c>
    </row>
    <row r="2647" spans="1:6" ht="15" customHeight="1" x14ac:dyDescent="0.3">
      <c r="A2647" t="s">
        <v>206</v>
      </c>
      <c r="B2647" s="2">
        <v>45809</v>
      </c>
      <c r="C2647" t="str" cm="1">
        <f t="array" ref="C2647">IFERROR(IF(SUMPRODUCT((measured[Site Name]=A2647)*(measured[Date]=B2647)*ISNUMBER(measured[Measured Value (kWh)]))=0,"",SUMIFS(measured[Measured Value (kWh)],measured[Site Name],A2647,measured[Date],B2647)),"")</f>
        <v/>
      </c>
      <c r="D2647" t="str" cm="1">
        <f t="array" ref="D2647">IFERROR(IF(SUMPRODUCT((expected_production[Site Name]=A2647)*(expected_production[Date]=B2647)*ISNUMBER(expected_production[Expected Production (kWh)]))=0,"",SUMIFS(expected_production[Expected Production (kWh)],expected_production[Site Name],A2647,expected_production[Date],B2647)),"")</f>
        <v/>
      </c>
      <c r="E2647" s="9" t="str">
        <f t="shared" si="84"/>
        <v/>
      </c>
      <c r="F2647" t="str">
        <f t="shared" si="85"/>
        <v/>
      </c>
    </row>
    <row r="2648" spans="1:6" ht="15" customHeight="1" x14ac:dyDescent="0.3">
      <c r="A2648" t="s">
        <v>206</v>
      </c>
      <c r="B2648" s="2">
        <v>45839</v>
      </c>
      <c r="C2648" t="str" cm="1">
        <f t="array" ref="C2648">IFERROR(IF(SUMPRODUCT((measured[Site Name]=A2648)*(measured[Date]=B2648)*ISNUMBER(measured[Measured Value (kWh)]))=0,"",SUMIFS(measured[Measured Value (kWh)],measured[Site Name],A2648,measured[Date],B2648)),"")</f>
        <v/>
      </c>
      <c r="D2648" t="str" cm="1">
        <f t="array" ref="D2648">IFERROR(IF(SUMPRODUCT((expected_production[Site Name]=A2648)*(expected_production[Date]=B2648)*ISNUMBER(expected_production[Expected Production (kWh)]))=0,"",SUMIFS(expected_production[Expected Production (kWh)],expected_production[Site Name],A2648,expected_production[Date],B2648)),"")</f>
        <v/>
      </c>
      <c r="E2648" s="9" t="str">
        <f t="shared" si="84"/>
        <v/>
      </c>
      <c r="F2648" t="str">
        <f t="shared" si="85"/>
        <v/>
      </c>
    </row>
    <row r="2649" spans="1:6" ht="15" customHeight="1" x14ac:dyDescent="0.3">
      <c r="A2649" t="s">
        <v>206</v>
      </c>
      <c r="B2649" s="2">
        <v>45870</v>
      </c>
      <c r="C2649" t="str" cm="1">
        <f t="array" ref="C2649">IFERROR(IF(SUMPRODUCT((measured[Site Name]=A2649)*(measured[Date]=B2649)*ISNUMBER(measured[Measured Value (kWh)]))=0,"",SUMIFS(measured[Measured Value (kWh)],measured[Site Name],A2649,measured[Date],B2649)),"")</f>
        <v/>
      </c>
      <c r="D2649" t="str" cm="1">
        <f t="array" ref="D2649">IFERROR(IF(SUMPRODUCT((expected_production[Site Name]=A2649)*(expected_production[Date]=B2649)*ISNUMBER(expected_production[Expected Production (kWh)]))=0,"",SUMIFS(expected_production[Expected Production (kWh)],expected_production[Site Name],A2649,expected_production[Date],B2649)),"")</f>
        <v/>
      </c>
      <c r="E2649" s="9" t="str">
        <f t="shared" si="84"/>
        <v/>
      </c>
      <c r="F2649" t="str">
        <f t="shared" si="85"/>
        <v/>
      </c>
    </row>
    <row r="2650" spans="1:6" ht="15" customHeight="1" x14ac:dyDescent="0.3">
      <c r="A2650" t="s">
        <v>206</v>
      </c>
      <c r="B2650" s="2">
        <v>45901</v>
      </c>
      <c r="C2650" t="str" cm="1">
        <f t="array" ref="C2650">IFERROR(IF(SUMPRODUCT((measured[Site Name]=A2650)*(measured[Date]=B2650)*ISNUMBER(measured[Measured Value (kWh)]))=0,"",SUMIFS(measured[Measured Value (kWh)],measured[Site Name],A2650,measured[Date],B2650)),"")</f>
        <v/>
      </c>
      <c r="D2650" t="str" cm="1">
        <f t="array" ref="D2650">IFERROR(IF(SUMPRODUCT((expected_production[Site Name]=A2650)*(expected_production[Date]=B2650)*ISNUMBER(expected_production[Expected Production (kWh)]))=0,"",SUMIFS(expected_production[Expected Production (kWh)],expected_production[Site Name],A2650,expected_production[Date],B2650)),"")</f>
        <v/>
      </c>
      <c r="E2650" s="9" t="str">
        <f t="shared" si="84"/>
        <v/>
      </c>
      <c r="F2650" t="str">
        <f t="shared" si="85"/>
        <v/>
      </c>
    </row>
    <row r="2651" spans="1:6" ht="15" customHeight="1" x14ac:dyDescent="0.3">
      <c r="A2651" t="s">
        <v>206</v>
      </c>
      <c r="B2651" s="2">
        <v>45931</v>
      </c>
      <c r="C2651" t="str" cm="1">
        <f t="array" ref="C2651">IFERROR(IF(SUMPRODUCT((measured[Site Name]=A2651)*(measured[Date]=B2651)*ISNUMBER(measured[Measured Value (kWh)]))=0,"",SUMIFS(measured[Measured Value (kWh)],measured[Site Name],A2651,measured[Date],B2651)),"")</f>
        <v/>
      </c>
      <c r="D2651" t="str" cm="1">
        <f t="array" ref="D2651">IFERROR(IF(SUMPRODUCT((expected_production[Site Name]=A2651)*(expected_production[Date]=B2651)*ISNUMBER(expected_production[Expected Production (kWh)]))=0,"",SUMIFS(expected_production[Expected Production (kWh)],expected_production[Site Name],A2651,expected_production[Date],B2651)),"")</f>
        <v/>
      </c>
      <c r="E2651" s="9" t="str">
        <f t="shared" si="84"/>
        <v/>
      </c>
      <c r="F2651" t="str">
        <f t="shared" si="85"/>
        <v/>
      </c>
    </row>
    <row r="2652" spans="1:6" ht="15" customHeight="1" x14ac:dyDescent="0.3">
      <c r="A2652" t="s">
        <v>206</v>
      </c>
      <c r="B2652" s="2">
        <v>45962</v>
      </c>
      <c r="C2652" t="str" cm="1">
        <f t="array" ref="C2652">IFERROR(IF(SUMPRODUCT((measured[Site Name]=A2652)*(measured[Date]=B2652)*ISNUMBER(measured[Measured Value (kWh)]))=0,"",SUMIFS(measured[Measured Value (kWh)],measured[Site Name],A2652,measured[Date],B2652)),"")</f>
        <v/>
      </c>
      <c r="D2652" t="str" cm="1">
        <f t="array" ref="D2652">IFERROR(IF(SUMPRODUCT((expected_production[Site Name]=A2652)*(expected_production[Date]=B2652)*ISNUMBER(expected_production[Expected Production (kWh)]))=0,"",SUMIFS(expected_production[Expected Production (kWh)],expected_production[Site Name],A2652,expected_production[Date],B2652)),"")</f>
        <v/>
      </c>
      <c r="E2652" s="9" t="str">
        <f t="shared" si="84"/>
        <v/>
      </c>
      <c r="F2652" t="str">
        <f t="shared" si="85"/>
        <v/>
      </c>
    </row>
    <row r="2653" spans="1:6" ht="15" customHeight="1" x14ac:dyDescent="0.3">
      <c r="A2653" t="s">
        <v>206</v>
      </c>
      <c r="B2653" s="2">
        <v>45992</v>
      </c>
      <c r="C2653" t="str" cm="1">
        <f t="array" ref="C2653">IFERROR(IF(SUMPRODUCT((measured[Site Name]=A2653)*(measured[Date]=B2653)*ISNUMBER(measured[Measured Value (kWh)]))=0,"",SUMIFS(measured[Measured Value (kWh)],measured[Site Name],A2653,measured[Date],B2653)),"")</f>
        <v/>
      </c>
      <c r="D2653" t="str" cm="1">
        <f t="array" ref="D2653">IFERROR(IF(SUMPRODUCT((expected_production[Site Name]=A2653)*(expected_production[Date]=B2653)*ISNUMBER(expected_production[Expected Production (kWh)]))=0,"",SUMIFS(expected_production[Expected Production (kWh)],expected_production[Site Name],A2653,expected_production[Date],B2653)),"")</f>
        <v/>
      </c>
      <c r="E2653" s="9" t="str">
        <f t="shared" si="84"/>
        <v/>
      </c>
      <c r="F2653" t="str">
        <f t="shared" si="85"/>
        <v/>
      </c>
    </row>
    <row r="2654" spans="1:6" ht="15" customHeight="1" x14ac:dyDescent="0.3">
      <c r="A2654" t="s">
        <v>206</v>
      </c>
      <c r="B2654" s="2">
        <v>46023</v>
      </c>
      <c r="C2654" t="str" cm="1">
        <f t="array" ref="C2654">IFERROR(IF(SUMPRODUCT((measured[Site Name]=A2654)*(measured[Date]=B2654)*ISNUMBER(measured[Measured Value (kWh)]))=0,"",SUMIFS(measured[Measured Value (kWh)],measured[Site Name],A2654,measured[Date],B2654)),"")</f>
        <v/>
      </c>
      <c r="D2654" t="str" cm="1">
        <f t="array" ref="D2654">IFERROR(IF(SUMPRODUCT((expected_production[Site Name]=A2654)*(expected_production[Date]=B2654)*ISNUMBER(expected_production[Expected Production (kWh)]))=0,"",SUMIFS(expected_production[Expected Production (kWh)],expected_production[Site Name],A2654,expected_production[Date],B2654)),"")</f>
        <v/>
      </c>
      <c r="E2654" s="9" t="str">
        <f t="shared" si="84"/>
        <v/>
      </c>
      <c r="F2654" t="str">
        <f t="shared" si="85"/>
        <v/>
      </c>
    </row>
    <row r="2655" spans="1:6" ht="15" customHeight="1" x14ac:dyDescent="0.3">
      <c r="A2655" t="s">
        <v>206</v>
      </c>
      <c r="B2655" s="2">
        <v>46054</v>
      </c>
      <c r="C2655" t="str" cm="1">
        <f t="array" ref="C2655">IFERROR(IF(SUMPRODUCT((measured[Site Name]=A2655)*(measured[Date]=B2655)*ISNUMBER(measured[Measured Value (kWh)]))=0,"",SUMIFS(measured[Measured Value (kWh)],measured[Site Name],A2655,measured[Date],B2655)),"")</f>
        <v/>
      </c>
      <c r="D2655" t="str" cm="1">
        <f t="array" ref="D2655">IFERROR(IF(SUMPRODUCT((expected_production[Site Name]=A2655)*(expected_production[Date]=B2655)*ISNUMBER(expected_production[Expected Production (kWh)]))=0,"",SUMIFS(expected_production[Expected Production (kWh)],expected_production[Site Name],A2655,expected_production[Date],B2655)),"")</f>
        <v/>
      </c>
      <c r="E2655" s="9" t="str">
        <f t="shared" si="84"/>
        <v/>
      </c>
      <c r="F2655" t="str">
        <f t="shared" si="85"/>
        <v/>
      </c>
    </row>
    <row r="2656" spans="1:6" ht="15" customHeight="1" x14ac:dyDescent="0.3">
      <c r="A2656" t="s">
        <v>206</v>
      </c>
      <c r="B2656" s="2">
        <v>46082</v>
      </c>
      <c r="C2656" t="str" cm="1">
        <f t="array" ref="C2656">IFERROR(IF(SUMPRODUCT((measured[Site Name]=A2656)*(measured[Date]=B2656)*ISNUMBER(measured[Measured Value (kWh)]))=0,"",SUMIFS(measured[Measured Value (kWh)],measured[Site Name],A2656,measured[Date],B2656)),"")</f>
        <v/>
      </c>
      <c r="D2656" t="str" cm="1">
        <f t="array" ref="D2656">IFERROR(IF(SUMPRODUCT((expected_production[Site Name]=A2656)*(expected_production[Date]=B2656)*ISNUMBER(expected_production[Expected Production (kWh)]))=0,"",SUMIFS(expected_production[Expected Production (kWh)],expected_production[Site Name],A2656,expected_production[Date],B2656)),"")</f>
        <v/>
      </c>
      <c r="E2656" s="9" t="str">
        <f t="shared" si="84"/>
        <v/>
      </c>
      <c r="F2656" t="str">
        <f t="shared" si="85"/>
        <v/>
      </c>
    </row>
    <row r="2657" spans="1:7" ht="15" customHeight="1" x14ac:dyDescent="0.3">
      <c r="A2657" t="s">
        <v>206</v>
      </c>
      <c r="B2657" s="2">
        <v>46113</v>
      </c>
      <c r="C2657" t="str" cm="1">
        <f t="array" ref="C2657">IFERROR(IF(SUMPRODUCT((measured[Site Name]=A2657)*(measured[Date]=B2657)*ISNUMBER(measured[Measured Value (kWh)]))=0,"",SUMIFS(measured[Measured Value (kWh)],measured[Site Name],A2657,measured[Date],B2657)),"")</f>
        <v/>
      </c>
      <c r="D2657" t="str" cm="1">
        <f t="array" ref="D2657">IFERROR(IF(SUMPRODUCT((expected_production[Site Name]=A2657)*(expected_production[Date]=B2657)*ISNUMBER(expected_production[Expected Production (kWh)]))=0,"",SUMIFS(expected_production[Expected Production (kWh)],expected_production[Site Name],A2657,expected_production[Date],B2657)),"")</f>
        <v/>
      </c>
      <c r="E2657" s="9" t="str">
        <f t="shared" si="84"/>
        <v/>
      </c>
      <c r="F2657" t="str">
        <f t="shared" si="85"/>
        <v/>
      </c>
    </row>
    <row r="2658" spans="1:7" ht="15" customHeight="1" x14ac:dyDescent="0.3">
      <c r="A2658" t="s">
        <v>206</v>
      </c>
      <c r="B2658" s="2">
        <v>46143</v>
      </c>
      <c r="C2658" t="str" cm="1">
        <f t="array" ref="C2658">IFERROR(IF(SUMPRODUCT((measured[Site Name]=A2658)*(measured[Date]=B2658)*ISNUMBER(measured[Measured Value (kWh)]))=0,"",SUMIFS(measured[Measured Value (kWh)],measured[Site Name],A2658,measured[Date],B2658)),"")</f>
        <v/>
      </c>
      <c r="D2658" t="str" cm="1">
        <f t="array" ref="D2658">IFERROR(IF(SUMPRODUCT((expected_production[Site Name]=A2658)*(expected_production[Date]=B2658)*ISNUMBER(expected_production[Expected Production (kWh)]))=0,"",SUMIFS(expected_production[Expected Production (kWh)],expected_production[Site Name],A2658,expected_production[Date],B2658)),"")</f>
        <v/>
      </c>
      <c r="E2658" s="9" t="str">
        <f t="shared" si="84"/>
        <v/>
      </c>
      <c r="F2658" t="str">
        <f t="shared" si="85"/>
        <v/>
      </c>
    </row>
    <row r="2659" spans="1:7" ht="15" customHeight="1" x14ac:dyDescent="0.3">
      <c r="A2659" t="s">
        <v>206</v>
      </c>
      <c r="B2659" s="2">
        <v>46174</v>
      </c>
      <c r="C2659" cm="1">
        <f t="array" ref="C2659">IFERROR(IF(SUMPRODUCT((measured[Site Name]=A2659)*(measured[Date]=B2659)*ISNUMBER(measured[Measured Value (kWh)]))=0,"",SUMIFS(measured[Measured Value (kWh)],measured[Site Name],A2659,measured[Date],B2659)),"")</f>
        <v>0</v>
      </c>
      <c r="D2659" t="str" cm="1">
        <f t="array" ref="D2659">IFERROR(IF(SUMPRODUCT((expected_production[Site Name]=A2659)*(expected_production[Date]=B2659)*ISNUMBER(expected_production[Expected Production (kWh)]))=0,"",SUMIFS(expected_production[Expected Production (kWh)],expected_production[Site Name],A2659,expected_production[Date],B2659)),"")</f>
        <v/>
      </c>
      <c r="E2659" s="9" t="str">
        <f t="shared" si="84"/>
        <v/>
      </c>
      <c r="F2659" t="str">
        <f t="shared" si="85"/>
        <v/>
      </c>
    </row>
    <row r="2660" spans="1:7" ht="15" customHeight="1" x14ac:dyDescent="0.3">
      <c r="A2660" t="s">
        <v>201</v>
      </c>
      <c r="B2660" s="2">
        <v>46204</v>
      </c>
      <c r="C2660" cm="1">
        <f t="array" ref="C2660">IFERROR(IF(SUMPRODUCT((measured[Site Name]=A2660)*(measured[Date]=B2660)*ISNUMBER(measured[Measured Value (kWh)]))=0,"",SUMIFS(measured[Measured Value (kWh)],measured[Site Name],A2660,measured[Date],B2660)),"")</f>
        <v>9893.59</v>
      </c>
      <c r="D2660" cm="1">
        <f t="array" ref="D2660">IFERROR(IF(SUMPRODUCT((expected_production[Site Name]=A2660)*(expected_production[Date]=B2660)*ISNUMBER(expected_production[Expected Production (kWh)]))=0,"",SUMIFS(expected_production[Expected Production (kWh)],expected_production[Site Name],A2660,expected_production[Date],B2660)),"")</f>
        <v>12024.27</v>
      </c>
      <c r="E2660" s="9">
        <f t="shared" si="84"/>
        <v>0.82280171686098202</v>
      </c>
      <c r="F2660" t="str">
        <f t="shared" si="85"/>
        <v>Moderate</v>
      </c>
      <c r="G2660" t="s">
        <v>874</v>
      </c>
    </row>
    <row r="2661" spans="1:7" ht="15" customHeight="1" x14ac:dyDescent="0.3">
      <c r="A2661" t="s">
        <v>206</v>
      </c>
      <c r="B2661" s="2">
        <v>46235</v>
      </c>
      <c r="C2661" t="str" cm="1">
        <f t="array" ref="C2661">IFERROR(IF(SUMPRODUCT((measured[Site Name]=A2661)*(measured[Date]=B2661)*ISNUMBER(measured[Measured Value (kWh)]))=0,"",SUMIFS(measured[Measured Value (kWh)],measured[Site Name],A2661,measured[Date],B2661)),"")</f>
        <v/>
      </c>
      <c r="D2661" t="str" cm="1">
        <f t="array" ref="D2661">IFERROR(IF(SUMPRODUCT((expected_production[Site Name]=A2661)*(expected_production[Date]=B2661)*ISNUMBER(expected_production[Expected Production (kWh)]))=0,"",SUMIFS(expected_production[Expected Production (kWh)],expected_production[Site Name],A2661,expected_production[Date],B2661)),"")</f>
        <v/>
      </c>
      <c r="E2661" s="9" t="str">
        <f t="shared" si="84"/>
        <v/>
      </c>
      <c r="F2661" t="str">
        <f t="shared" si="85"/>
        <v/>
      </c>
    </row>
    <row r="2662" spans="1:7" ht="15" customHeight="1" x14ac:dyDescent="0.3">
      <c r="A2662" t="s">
        <v>206</v>
      </c>
      <c r="B2662" s="2">
        <v>46266</v>
      </c>
      <c r="C2662" t="str" cm="1">
        <f t="array" ref="C2662">IFERROR(IF(SUMPRODUCT((measured[Site Name]=A2662)*(measured[Date]=B2662)*ISNUMBER(measured[Measured Value (kWh)]))=0,"",SUMIFS(measured[Measured Value (kWh)],measured[Site Name],A2662,measured[Date],B2662)),"")</f>
        <v/>
      </c>
      <c r="D2662" t="str" cm="1">
        <f t="array" ref="D2662">IFERROR(IF(SUMPRODUCT((expected_production[Site Name]=A2662)*(expected_production[Date]=B2662)*ISNUMBER(expected_production[Expected Production (kWh)]))=0,"",SUMIFS(expected_production[Expected Production (kWh)],expected_production[Site Name],A2662,expected_production[Date],B2662)),"")</f>
        <v/>
      </c>
      <c r="E2662" s="9" t="str">
        <f t="shared" si="84"/>
        <v/>
      </c>
      <c r="F2662" t="str">
        <f t="shared" si="85"/>
        <v/>
      </c>
    </row>
    <row r="2663" spans="1:7" ht="15" customHeight="1" x14ac:dyDescent="0.3">
      <c r="A2663" t="s">
        <v>206</v>
      </c>
      <c r="B2663" s="2">
        <v>46296</v>
      </c>
      <c r="C2663" t="str" cm="1">
        <f t="array" ref="C2663">IFERROR(IF(SUMPRODUCT((measured[Site Name]=A2663)*(measured[Date]=B2663)*ISNUMBER(measured[Measured Value (kWh)]))=0,"",SUMIFS(measured[Measured Value (kWh)],measured[Site Name],A2663,measured[Date],B2663)),"")</f>
        <v/>
      </c>
      <c r="D2663" t="str" cm="1">
        <f t="array" ref="D2663">IFERROR(IF(SUMPRODUCT((expected_production[Site Name]=A2663)*(expected_production[Date]=B2663)*ISNUMBER(expected_production[Expected Production (kWh)]))=0,"",SUMIFS(expected_production[Expected Production (kWh)],expected_production[Site Name],A2663,expected_production[Date],B2663)),"")</f>
        <v/>
      </c>
      <c r="E2663" s="9" t="str">
        <f t="shared" si="84"/>
        <v/>
      </c>
      <c r="F2663" t="str">
        <f t="shared" si="85"/>
        <v/>
      </c>
    </row>
    <row r="2664" spans="1:7" ht="15" customHeight="1" x14ac:dyDescent="0.3">
      <c r="A2664" t="s">
        <v>206</v>
      </c>
      <c r="B2664" s="2">
        <v>46327</v>
      </c>
      <c r="C2664" t="str" cm="1">
        <f t="array" ref="C2664">IFERROR(IF(SUMPRODUCT((measured[Site Name]=A2664)*(measured[Date]=B2664)*ISNUMBER(measured[Measured Value (kWh)]))=0,"",SUMIFS(measured[Measured Value (kWh)],measured[Site Name],A2664,measured[Date],B2664)),"")</f>
        <v/>
      </c>
      <c r="D2664" t="str" cm="1">
        <f t="array" ref="D2664">IFERROR(IF(SUMPRODUCT((expected_production[Site Name]=A2664)*(expected_production[Date]=B2664)*ISNUMBER(expected_production[Expected Production (kWh)]))=0,"",SUMIFS(expected_production[Expected Production (kWh)],expected_production[Site Name],A2664,expected_production[Date],B2664)),"")</f>
        <v/>
      </c>
      <c r="E2664" s="9" t="str">
        <f t="shared" si="84"/>
        <v/>
      </c>
      <c r="F2664" t="str">
        <f t="shared" si="85"/>
        <v/>
      </c>
    </row>
    <row r="2665" spans="1:7" ht="15" customHeight="1" x14ac:dyDescent="0.3">
      <c r="A2665" t="s">
        <v>206</v>
      </c>
      <c r="B2665" s="2">
        <v>46357</v>
      </c>
      <c r="C2665" t="str" cm="1">
        <f t="array" ref="C2665">IFERROR(IF(SUMPRODUCT((measured[Site Name]=A2665)*(measured[Date]=B2665)*ISNUMBER(measured[Measured Value (kWh)]))=0,"",SUMIFS(measured[Measured Value (kWh)],measured[Site Name],A2665,measured[Date],B2665)),"")</f>
        <v/>
      </c>
      <c r="D2665" t="str" cm="1">
        <f t="array" ref="D2665">IFERROR(IF(SUMPRODUCT((expected_production[Site Name]=A2665)*(expected_production[Date]=B2665)*ISNUMBER(expected_production[Expected Production (kWh)]))=0,"",SUMIFS(expected_production[Expected Production (kWh)],expected_production[Site Name],A2665,expected_production[Date],B2665)),"")</f>
        <v/>
      </c>
      <c r="E2665" s="9" t="str">
        <f t="shared" si="84"/>
        <v/>
      </c>
      <c r="F2665" t="str">
        <f t="shared" si="85"/>
        <v/>
      </c>
    </row>
    <row r="2666" spans="1:7" x14ac:dyDescent="0.3">
      <c r="A2666" t="s">
        <v>251</v>
      </c>
      <c r="B2666" s="2">
        <v>45292</v>
      </c>
      <c r="C2666" t="str" cm="1">
        <f t="array" ref="C2666">IFERROR(IF(SUMPRODUCT((measured[Site Name]=A2666)*(measured[Date]=B2666)*ISNUMBER(measured[Measured Value (kWh)]))=0,"",SUMIFS(measured[Measured Value (kWh)],measured[Site Name],A2666,measured[Date],B2666)),"")</f>
        <v/>
      </c>
      <c r="D2666" cm="1">
        <f t="array" ref="D2666">IFERROR(IF(SUMPRODUCT((expected_production[Site Name]=A2666)*(expected_production[Date]=B2666)*ISNUMBER(expected_production[Expected Production (kWh)]))=0,"",SUMIFS(expected_production[Expected Production (kWh)],expected_production[Site Name],A2666,expected_production[Date],B2666)),"")</f>
        <v>26451</v>
      </c>
      <c r="E2666" s="9" t="str">
        <f t="shared" si="84"/>
        <v/>
      </c>
      <c r="F2666" t="str">
        <f t="shared" si="85"/>
        <v/>
      </c>
    </row>
    <row r="2667" spans="1:7" x14ac:dyDescent="0.3">
      <c r="A2667" t="s">
        <v>251</v>
      </c>
      <c r="B2667" s="2">
        <v>45323</v>
      </c>
      <c r="C2667" t="str" cm="1">
        <f t="array" ref="C2667">IFERROR(IF(SUMPRODUCT((measured[Site Name]=A2667)*(measured[Date]=B2667)*ISNUMBER(measured[Measured Value (kWh)]))=0,"",SUMIFS(measured[Measured Value (kWh)],measured[Site Name],A2667,measured[Date],B2667)),"")</f>
        <v/>
      </c>
      <c r="D2667" cm="1">
        <f t="array" ref="D2667">IFERROR(IF(SUMPRODUCT((expected_production[Site Name]=A2667)*(expected_production[Date]=B2667)*ISNUMBER(expected_production[Expected Production (kWh)]))=0,"",SUMIFS(expected_production[Expected Production (kWh)],expected_production[Site Name],A2667,expected_production[Date],B2667)),"")</f>
        <v>23215.5</v>
      </c>
      <c r="E2667" s="9" t="str">
        <f t="shared" si="84"/>
        <v/>
      </c>
      <c r="F2667" t="str">
        <f t="shared" si="85"/>
        <v/>
      </c>
    </row>
    <row r="2668" spans="1:7" x14ac:dyDescent="0.3">
      <c r="A2668" t="s">
        <v>251</v>
      </c>
      <c r="B2668" s="2">
        <v>45352</v>
      </c>
      <c r="C2668" t="str" cm="1">
        <f t="array" ref="C2668">IFERROR(IF(SUMPRODUCT((measured[Site Name]=A2668)*(measured[Date]=B2668)*ISNUMBER(measured[Measured Value (kWh)]))=0,"",SUMIFS(measured[Measured Value (kWh)],measured[Site Name],A2668,measured[Date],B2668)),"")</f>
        <v/>
      </c>
      <c r="D2668" cm="1">
        <f t="array" ref="D2668">IFERROR(IF(SUMPRODUCT((expected_production[Site Name]=A2668)*(expected_production[Date]=B2668)*ISNUMBER(expected_production[Expected Production (kWh)]))=0,"",SUMIFS(expected_production[Expected Production (kWh)],expected_production[Site Name],A2668,expected_production[Date],B2668)),"")</f>
        <v>23034.600000000002</v>
      </c>
      <c r="E2668" s="9" t="str">
        <f t="shared" si="84"/>
        <v/>
      </c>
      <c r="F2668" t="str">
        <f t="shared" si="85"/>
        <v/>
      </c>
    </row>
    <row r="2669" spans="1:7" x14ac:dyDescent="0.3">
      <c r="A2669" t="s">
        <v>251</v>
      </c>
      <c r="B2669" s="2">
        <v>45383</v>
      </c>
      <c r="C2669" t="str" cm="1">
        <f t="array" ref="C2669">IFERROR(IF(SUMPRODUCT((measured[Site Name]=A2669)*(measured[Date]=B2669)*ISNUMBER(measured[Measured Value (kWh)]))=0,"",SUMIFS(measured[Measured Value (kWh)],measured[Site Name],A2669,measured[Date],B2669)),"")</f>
        <v/>
      </c>
      <c r="D2669" cm="1">
        <f t="array" ref="D2669">IFERROR(IF(SUMPRODUCT((expected_production[Site Name]=A2669)*(expected_production[Date]=B2669)*ISNUMBER(expected_production[Expected Production (kWh)]))=0,"",SUMIFS(expected_production[Expected Production (kWh)],expected_production[Site Name],A2669,expected_production[Date],B2669)),"")</f>
        <v>19930.5</v>
      </c>
      <c r="E2669" s="9" t="str">
        <f t="shared" si="84"/>
        <v/>
      </c>
      <c r="F2669" t="str">
        <f t="shared" si="85"/>
        <v/>
      </c>
    </row>
    <row r="2670" spans="1:7" x14ac:dyDescent="0.3">
      <c r="A2670" t="s">
        <v>251</v>
      </c>
      <c r="B2670" s="2">
        <v>45413</v>
      </c>
      <c r="C2670" t="str" cm="1">
        <f t="array" ref="C2670">IFERROR(IF(SUMPRODUCT((measured[Site Name]=A2670)*(measured[Date]=B2670)*ISNUMBER(measured[Measured Value (kWh)]))=0,"",SUMIFS(measured[Measured Value (kWh)],measured[Site Name],A2670,measured[Date],B2670)),"")</f>
        <v/>
      </c>
      <c r="D2670" cm="1">
        <f t="array" ref="D2670">IFERROR(IF(SUMPRODUCT((expected_production[Site Name]=A2670)*(expected_production[Date]=B2670)*ISNUMBER(expected_production[Expected Production (kWh)]))=0,"",SUMIFS(expected_production[Expected Production (kWh)],expected_production[Site Name],A2670,expected_production[Date],B2670)),"")</f>
        <v>18754.2</v>
      </c>
      <c r="E2670" s="9" t="str">
        <f t="shared" si="84"/>
        <v/>
      </c>
      <c r="F2670" t="str">
        <f t="shared" si="85"/>
        <v/>
      </c>
    </row>
    <row r="2671" spans="1:7" x14ac:dyDescent="0.3">
      <c r="A2671" t="s">
        <v>251</v>
      </c>
      <c r="B2671" s="2">
        <v>45444</v>
      </c>
      <c r="C2671" t="str" cm="1">
        <f t="array" ref="C2671">IFERROR(IF(SUMPRODUCT((measured[Site Name]=A2671)*(measured[Date]=B2671)*ISNUMBER(measured[Measured Value (kWh)]))=0,"",SUMIFS(measured[Measured Value (kWh)],measured[Site Name],A2671,measured[Date],B2671)),"")</f>
        <v/>
      </c>
      <c r="D2671" cm="1">
        <f t="array" ref="D2671">IFERROR(IF(SUMPRODUCT((expected_production[Site Name]=A2671)*(expected_production[Date]=B2671)*ISNUMBER(expected_production[Expected Production (kWh)]))=0,"",SUMIFS(expected_production[Expected Production (kWh)],expected_production[Site Name],A2671,expected_production[Date],B2671)),"")</f>
        <v>16767.900000000001</v>
      </c>
      <c r="E2671" s="9" t="str">
        <f t="shared" si="84"/>
        <v/>
      </c>
      <c r="F2671" t="str">
        <f t="shared" si="85"/>
        <v/>
      </c>
    </row>
    <row r="2672" spans="1:7" x14ac:dyDescent="0.3">
      <c r="A2672" t="s">
        <v>251</v>
      </c>
      <c r="B2672" s="2">
        <v>45474</v>
      </c>
      <c r="C2672" t="str" cm="1">
        <f t="array" ref="C2672">IFERROR(IF(SUMPRODUCT((measured[Site Name]=A2672)*(measured[Date]=B2672)*ISNUMBER(measured[Measured Value (kWh)]))=0,"",SUMIFS(measured[Measured Value (kWh)],measured[Site Name],A2672,measured[Date],B2672)),"")</f>
        <v/>
      </c>
      <c r="D2672" cm="1">
        <f t="array" ref="D2672">IFERROR(IF(SUMPRODUCT((expected_production[Site Name]=A2672)*(expected_production[Date]=B2672)*ISNUMBER(expected_production[Expected Production (kWh)]))=0,"",SUMIFS(expected_production[Expected Production (kWh)],expected_production[Site Name],A2672,expected_production[Date],B2672)),"")</f>
        <v>18261</v>
      </c>
      <c r="E2672" s="9" t="str">
        <f t="shared" si="84"/>
        <v/>
      </c>
      <c r="F2672" t="str">
        <f t="shared" si="85"/>
        <v/>
      </c>
    </row>
    <row r="2673" spans="1:6" x14ac:dyDescent="0.3">
      <c r="A2673" t="s">
        <v>251</v>
      </c>
      <c r="B2673" s="2">
        <v>45505</v>
      </c>
      <c r="C2673" t="str" cm="1">
        <f t="array" ref="C2673">IFERROR(IF(SUMPRODUCT((measured[Site Name]=A2673)*(measured[Date]=B2673)*ISNUMBER(measured[Measured Value (kWh)]))=0,"",SUMIFS(measured[Measured Value (kWh)],measured[Site Name],A2673,measured[Date],B2673)),"")</f>
        <v/>
      </c>
      <c r="D2673" cm="1">
        <f t="array" ref="D2673">IFERROR(IF(SUMPRODUCT((expected_production[Site Name]=A2673)*(expected_production[Date]=B2673)*ISNUMBER(expected_production[Expected Production (kWh)]))=0,"",SUMIFS(expected_production[Expected Production (kWh)],expected_production[Site Name],A2673,expected_production[Date],B2673)),"")</f>
        <v>21311.100000000002</v>
      </c>
      <c r="E2673" s="9" t="str">
        <f t="shared" si="84"/>
        <v/>
      </c>
      <c r="F2673" t="str">
        <f t="shared" si="85"/>
        <v/>
      </c>
    </row>
    <row r="2674" spans="1:6" x14ac:dyDescent="0.3">
      <c r="A2674" t="s">
        <v>251</v>
      </c>
      <c r="B2674" s="2">
        <v>45536</v>
      </c>
      <c r="C2674" t="str" cm="1">
        <f t="array" ref="C2674">IFERROR(IF(SUMPRODUCT((measured[Site Name]=A2674)*(measured[Date]=B2674)*ISNUMBER(measured[Measured Value (kWh)]))=0,"",SUMIFS(measured[Measured Value (kWh)],measured[Site Name],A2674,measured[Date],B2674)),"")</f>
        <v/>
      </c>
      <c r="D2674" cm="1">
        <f t="array" ref="D2674">IFERROR(IF(SUMPRODUCT((expected_production[Site Name]=A2674)*(expected_production[Date]=B2674)*ISNUMBER(expected_production[Expected Production (kWh)]))=0,"",SUMIFS(expected_production[Expected Production (kWh)],expected_production[Site Name],A2674,expected_production[Date],B2674)),"")</f>
        <v>23659.200000000001</v>
      </c>
      <c r="E2674" s="9" t="str">
        <f t="shared" si="84"/>
        <v/>
      </c>
      <c r="F2674" t="str">
        <f t="shared" si="85"/>
        <v/>
      </c>
    </row>
    <row r="2675" spans="1:6" x14ac:dyDescent="0.3">
      <c r="A2675" t="s">
        <v>251</v>
      </c>
      <c r="B2675" s="2">
        <v>45566</v>
      </c>
      <c r="C2675" t="str" cm="1">
        <f t="array" ref="C2675">IFERROR(IF(SUMPRODUCT((measured[Site Name]=A2675)*(measured[Date]=B2675)*ISNUMBER(measured[Measured Value (kWh)]))=0,"",SUMIFS(measured[Measured Value (kWh)],measured[Site Name],A2675,measured[Date],B2675)),"")</f>
        <v/>
      </c>
      <c r="D2675" cm="1">
        <f t="array" ref="D2675">IFERROR(IF(SUMPRODUCT((expected_production[Site Name]=A2675)*(expected_production[Date]=B2675)*ISNUMBER(expected_production[Expected Production (kWh)]))=0,"",SUMIFS(expected_production[Expected Production (kWh)],expected_production[Site Name],A2675,expected_production[Date],B2675)),"")</f>
        <v>26865.9</v>
      </c>
      <c r="E2675" s="9" t="str">
        <f t="shared" si="84"/>
        <v/>
      </c>
      <c r="F2675" t="str">
        <f t="shared" si="85"/>
        <v/>
      </c>
    </row>
    <row r="2676" spans="1:6" x14ac:dyDescent="0.3">
      <c r="A2676" t="s">
        <v>251</v>
      </c>
      <c r="B2676" s="2">
        <v>45597</v>
      </c>
      <c r="C2676" t="str" cm="1">
        <f t="array" ref="C2676">IFERROR(IF(SUMPRODUCT((measured[Site Name]=A2676)*(measured[Date]=B2676)*ISNUMBER(measured[Measured Value (kWh)]))=0,"",SUMIFS(measured[Measured Value (kWh)],measured[Site Name],A2676,measured[Date],B2676)),"")</f>
        <v/>
      </c>
      <c r="D2676" cm="1">
        <f t="array" ref="D2676">IFERROR(IF(SUMPRODUCT((expected_production[Site Name]=A2676)*(expected_production[Date]=B2676)*ISNUMBER(expected_production[Expected Production (kWh)]))=0,"",SUMIFS(expected_production[Expected Production (kWh)],expected_production[Site Name],A2676,expected_production[Date],B2676)),"")</f>
        <v>27153.9</v>
      </c>
      <c r="E2676" s="9" t="str">
        <f t="shared" si="84"/>
        <v/>
      </c>
      <c r="F2676" t="str">
        <f t="shared" si="85"/>
        <v/>
      </c>
    </row>
    <row r="2677" spans="1:6" x14ac:dyDescent="0.3">
      <c r="A2677" t="s">
        <v>251</v>
      </c>
      <c r="B2677" s="2">
        <v>45627</v>
      </c>
      <c r="C2677" t="str" cm="1">
        <f t="array" ref="C2677">IFERROR(IF(SUMPRODUCT((measured[Site Name]=A2677)*(measured[Date]=B2677)*ISNUMBER(measured[Measured Value (kWh)]))=0,"",SUMIFS(measured[Measured Value (kWh)],measured[Site Name],A2677,measured[Date],B2677)),"")</f>
        <v/>
      </c>
      <c r="D2677" cm="1">
        <f t="array" ref="D2677">IFERROR(IF(SUMPRODUCT((expected_production[Site Name]=A2677)*(expected_production[Date]=B2677)*ISNUMBER(expected_production[Expected Production (kWh)]))=0,"",SUMIFS(expected_production[Expected Production (kWh)],expected_production[Site Name],A2677,expected_production[Date],B2677)),"")</f>
        <v>27402.3</v>
      </c>
      <c r="E2677" s="9" t="str">
        <f t="shared" si="84"/>
        <v/>
      </c>
      <c r="F2677" t="str">
        <f t="shared" si="85"/>
        <v/>
      </c>
    </row>
    <row r="2678" spans="1:6" x14ac:dyDescent="0.3">
      <c r="A2678" t="s">
        <v>251</v>
      </c>
      <c r="B2678" s="2">
        <v>45658</v>
      </c>
      <c r="C2678" t="str" cm="1">
        <f t="array" ref="C2678">IFERROR(IF(SUMPRODUCT((measured[Site Name]=A2678)*(measured[Date]=B2678)*ISNUMBER(measured[Measured Value (kWh)]))=0,"",SUMIFS(measured[Measured Value (kWh)],measured[Site Name],A2678,measured[Date],B2678)),"")</f>
        <v/>
      </c>
      <c r="D2678" cm="1">
        <f t="array" ref="D2678">IFERROR(IF(SUMPRODUCT((expected_production[Site Name]=A2678)*(expected_production[Date]=B2678)*ISNUMBER(expected_production[Expected Production (kWh)]))=0,"",SUMIFS(expected_production[Expected Production (kWh)],expected_production[Site Name],A2678,expected_production[Date],B2678)),"")</f>
        <v>26451</v>
      </c>
      <c r="E2678" s="9" t="str">
        <f t="shared" si="84"/>
        <v/>
      </c>
      <c r="F2678" t="str">
        <f t="shared" si="85"/>
        <v/>
      </c>
    </row>
    <row r="2679" spans="1:6" x14ac:dyDescent="0.3">
      <c r="A2679" t="s">
        <v>251</v>
      </c>
      <c r="B2679" s="2">
        <v>45689</v>
      </c>
      <c r="C2679" t="str" cm="1">
        <f t="array" ref="C2679">IFERROR(IF(SUMPRODUCT((measured[Site Name]=A2679)*(measured[Date]=B2679)*ISNUMBER(measured[Measured Value (kWh)]))=0,"",SUMIFS(measured[Measured Value (kWh)],measured[Site Name],A2679,measured[Date],B2679)),"")</f>
        <v/>
      </c>
      <c r="D2679" cm="1">
        <f t="array" ref="D2679">IFERROR(IF(SUMPRODUCT((expected_production[Site Name]=A2679)*(expected_production[Date]=B2679)*ISNUMBER(expected_production[Expected Production (kWh)]))=0,"",SUMIFS(expected_production[Expected Production (kWh)],expected_production[Site Name],A2679,expected_production[Date],B2679)),"")</f>
        <v>23215.5</v>
      </c>
      <c r="E2679" s="9" t="str">
        <f t="shared" si="84"/>
        <v/>
      </c>
      <c r="F2679" t="str">
        <f t="shared" si="85"/>
        <v/>
      </c>
    </row>
    <row r="2680" spans="1:6" x14ac:dyDescent="0.3">
      <c r="A2680" t="s">
        <v>251</v>
      </c>
      <c r="B2680" s="2">
        <v>45717</v>
      </c>
      <c r="C2680" t="str" cm="1">
        <f t="array" ref="C2680">IFERROR(IF(SUMPRODUCT((measured[Site Name]=A2680)*(measured[Date]=B2680)*ISNUMBER(measured[Measured Value (kWh)]))=0,"",SUMIFS(measured[Measured Value (kWh)],measured[Site Name],A2680,measured[Date],B2680)),"")</f>
        <v/>
      </c>
      <c r="D2680" cm="1">
        <f t="array" ref="D2680">IFERROR(IF(SUMPRODUCT((expected_production[Site Name]=A2680)*(expected_production[Date]=B2680)*ISNUMBER(expected_production[Expected Production (kWh)]))=0,"",SUMIFS(expected_production[Expected Production (kWh)],expected_production[Site Name],A2680,expected_production[Date],B2680)),"")</f>
        <v>23034.600000000002</v>
      </c>
      <c r="E2680" s="9" t="str">
        <f t="shared" si="84"/>
        <v/>
      </c>
      <c r="F2680" t="str">
        <f t="shared" si="85"/>
        <v/>
      </c>
    </row>
    <row r="2681" spans="1:6" x14ac:dyDescent="0.3">
      <c r="A2681" t="s">
        <v>251</v>
      </c>
      <c r="B2681" s="2">
        <v>45748</v>
      </c>
      <c r="C2681" t="str" cm="1">
        <f t="array" ref="C2681">IFERROR(IF(SUMPRODUCT((measured[Site Name]=A2681)*(measured[Date]=B2681)*ISNUMBER(measured[Measured Value (kWh)]))=0,"",SUMIFS(measured[Measured Value (kWh)],measured[Site Name],A2681,measured[Date],B2681)),"")</f>
        <v/>
      </c>
      <c r="D2681" cm="1">
        <f t="array" ref="D2681">IFERROR(IF(SUMPRODUCT((expected_production[Site Name]=A2681)*(expected_production[Date]=B2681)*ISNUMBER(expected_production[Expected Production (kWh)]))=0,"",SUMIFS(expected_production[Expected Production (kWh)],expected_production[Site Name],A2681,expected_production[Date],B2681)),"")</f>
        <v>19930.5</v>
      </c>
      <c r="E2681" s="9" t="str">
        <f t="shared" si="84"/>
        <v/>
      </c>
      <c r="F2681" t="str">
        <f t="shared" si="85"/>
        <v/>
      </c>
    </row>
    <row r="2682" spans="1:6" x14ac:dyDescent="0.3">
      <c r="A2682" t="s">
        <v>251</v>
      </c>
      <c r="B2682" s="2">
        <v>45778</v>
      </c>
      <c r="C2682" t="str" cm="1">
        <f t="array" ref="C2682">IFERROR(IF(SUMPRODUCT((measured[Site Name]=A2682)*(measured[Date]=B2682)*ISNUMBER(measured[Measured Value (kWh)]))=0,"",SUMIFS(measured[Measured Value (kWh)],measured[Site Name],A2682,measured[Date],B2682)),"")</f>
        <v/>
      </c>
      <c r="D2682" cm="1">
        <f t="array" ref="D2682">IFERROR(IF(SUMPRODUCT((expected_production[Site Name]=A2682)*(expected_production[Date]=B2682)*ISNUMBER(expected_production[Expected Production (kWh)]))=0,"",SUMIFS(expected_production[Expected Production (kWh)],expected_production[Site Name],A2682,expected_production[Date],B2682)),"")</f>
        <v>18754.2</v>
      </c>
      <c r="E2682" s="9" t="str">
        <f t="shared" si="84"/>
        <v/>
      </c>
      <c r="F2682" t="str">
        <f t="shared" si="85"/>
        <v/>
      </c>
    </row>
    <row r="2683" spans="1:6" x14ac:dyDescent="0.3">
      <c r="A2683" t="s">
        <v>251</v>
      </c>
      <c r="B2683" s="2">
        <v>45809</v>
      </c>
      <c r="C2683" t="str" cm="1">
        <f t="array" ref="C2683">IFERROR(IF(SUMPRODUCT((measured[Site Name]=A2683)*(measured[Date]=B2683)*ISNUMBER(measured[Measured Value (kWh)]))=0,"",SUMIFS(measured[Measured Value (kWh)],measured[Site Name],A2683,measured[Date],B2683)),"")</f>
        <v/>
      </c>
      <c r="D2683" cm="1">
        <f t="array" ref="D2683">IFERROR(IF(SUMPRODUCT((expected_production[Site Name]=A2683)*(expected_production[Date]=B2683)*ISNUMBER(expected_production[Expected Production (kWh)]))=0,"",SUMIFS(expected_production[Expected Production (kWh)],expected_production[Site Name],A2683,expected_production[Date],B2683)),"")</f>
        <v>16767.900000000001</v>
      </c>
      <c r="E2683" s="9" t="str">
        <f t="shared" si="84"/>
        <v/>
      </c>
      <c r="F2683" t="str">
        <f t="shared" si="85"/>
        <v/>
      </c>
    </row>
    <row r="2684" spans="1:6" x14ac:dyDescent="0.3">
      <c r="A2684" t="s">
        <v>251</v>
      </c>
      <c r="B2684" s="2">
        <v>45839</v>
      </c>
      <c r="C2684" t="str" cm="1">
        <f t="array" ref="C2684">IFERROR(IF(SUMPRODUCT((measured[Site Name]=A2684)*(measured[Date]=B2684)*ISNUMBER(measured[Measured Value (kWh)]))=0,"",SUMIFS(measured[Measured Value (kWh)],measured[Site Name],A2684,measured[Date],B2684)),"")</f>
        <v/>
      </c>
      <c r="D2684" cm="1">
        <f t="array" ref="D2684">IFERROR(IF(SUMPRODUCT((expected_production[Site Name]=A2684)*(expected_production[Date]=B2684)*ISNUMBER(expected_production[Expected Production (kWh)]))=0,"",SUMIFS(expected_production[Expected Production (kWh)],expected_production[Site Name],A2684,expected_production[Date],B2684)),"")</f>
        <v>18261</v>
      </c>
      <c r="E2684" s="9" t="str">
        <f t="shared" ref="E2684:E2747" si="86">IF(OR(C2684="",D2684="",D2684=0),"",C2684/D2684)</f>
        <v/>
      </c>
      <c r="F2684" t="str">
        <f t="shared" ref="F2684:F2747" si="87">IF(E2684="","",IF(E2684&gt;=0.9,"Expected",IF(E2684&gt;=0.7,"Moderate","Poor")))</f>
        <v/>
      </c>
    </row>
    <row r="2685" spans="1:6" x14ac:dyDescent="0.3">
      <c r="A2685" t="s">
        <v>251</v>
      </c>
      <c r="B2685" s="2">
        <v>45870</v>
      </c>
      <c r="C2685" t="str" cm="1">
        <f t="array" ref="C2685">IFERROR(IF(SUMPRODUCT((measured[Site Name]=A2685)*(measured[Date]=B2685)*ISNUMBER(measured[Measured Value (kWh)]))=0,"",SUMIFS(measured[Measured Value (kWh)],measured[Site Name],A2685,measured[Date],B2685)),"")</f>
        <v/>
      </c>
      <c r="D2685" cm="1">
        <f t="array" ref="D2685">IFERROR(IF(SUMPRODUCT((expected_production[Site Name]=A2685)*(expected_production[Date]=B2685)*ISNUMBER(expected_production[Expected Production (kWh)]))=0,"",SUMIFS(expected_production[Expected Production (kWh)],expected_production[Site Name],A2685,expected_production[Date],B2685)),"")</f>
        <v>21311.100000000002</v>
      </c>
      <c r="E2685" s="9" t="str">
        <f t="shared" si="86"/>
        <v/>
      </c>
      <c r="F2685" t="str">
        <f t="shared" si="87"/>
        <v/>
      </c>
    </row>
    <row r="2686" spans="1:6" x14ac:dyDescent="0.3">
      <c r="A2686" t="s">
        <v>251</v>
      </c>
      <c r="B2686" s="2">
        <v>45901</v>
      </c>
      <c r="C2686" t="str" cm="1">
        <f t="array" ref="C2686">IFERROR(IF(SUMPRODUCT((measured[Site Name]=A2686)*(measured[Date]=B2686)*ISNUMBER(measured[Measured Value (kWh)]))=0,"",SUMIFS(measured[Measured Value (kWh)],measured[Site Name],A2686,measured[Date],B2686)),"")</f>
        <v/>
      </c>
      <c r="D2686" cm="1">
        <f t="array" ref="D2686">IFERROR(IF(SUMPRODUCT((expected_production[Site Name]=A2686)*(expected_production[Date]=B2686)*ISNUMBER(expected_production[Expected Production (kWh)]))=0,"",SUMIFS(expected_production[Expected Production (kWh)],expected_production[Site Name],A2686,expected_production[Date],B2686)),"")</f>
        <v>23659.200000000001</v>
      </c>
      <c r="E2686" s="9" t="str">
        <f t="shared" si="86"/>
        <v/>
      </c>
      <c r="F2686" t="str">
        <f t="shared" si="87"/>
        <v/>
      </c>
    </row>
    <row r="2687" spans="1:6" x14ac:dyDescent="0.3">
      <c r="A2687" t="s">
        <v>251</v>
      </c>
      <c r="B2687" s="2">
        <v>45931</v>
      </c>
      <c r="C2687" t="str" cm="1">
        <f t="array" ref="C2687">IFERROR(IF(SUMPRODUCT((measured[Site Name]=A2687)*(measured[Date]=B2687)*ISNUMBER(measured[Measured Value (kWh)]))=0,"",SUMIFS(measured[Measured Value (kWh)],measured[Site Name],A2687,measured[Date],B2687)),"")</f>
        <v/>
      </c>
      <c r="D2687" cm="1">
        <f t="array" ref="D2687">IFERROR(IF(SUMPRODUCT((expected_production[Site Name]=A2687)*(expected_production[Date]=B2687)*ISNUMBER(expected_production[Expected Production (kWh)]))=0,"",SUMIFS(expected_production[Expected Production (kWh)],expected_production[Site Name],A2687,expected_production[Date],B2687)),"")</f>
        <v>26865.9</v>
      </c>
      <c r="E2687" s="9" t="str">
        <f t="shared" si="86"/>
        <v/>
      </c>
      <c r="F2687" t="str">
        <f t="shared" si="87"/>
        <v/>
      </c>
    </row>
    <row r="2688" spans="1:6" x14ac:dyDescent="0.3">
      <c r="A2688" t="s">
        <v>251</v>
      </c>
      <c r="B2688" s="2">
        <v>45962</v>
      </c>
      <c r="C2688" t="str" cm="1">
        <f t="array" ref="C2688">IFERROR(IF(SUMPRODUCT((measured[Site Name]=A2688)*(measured[Date]=B2688)*ISNUMBER(measured[Measured Value (kWh)]))=0,"",SUMIFS(measured[Measured Value (kWh)],measured[Site Name],A2688,measured[Date],B2688)),"")</f>
        <v/>
      </c>
      <c r="D2688" cm="1">
        <f t="array" ref="D2688">IFERROR(IF(SUMPRODUCT((expected_production[Site Name]=A2688)*(expected_production[Date]=B2688)*ISNUMBER(expected_production[Expected Production (kWh)]))=0,"",SUMIFS(expected_production[Expected Production (kWh)],expected_production[Site Name],A2688,expected_production[Date],B2688)),"")</f>
        <v>27153.9</v>
      </c>
      <c r="E2688" s="9" t="str">
        <f t="shared" si="86"/>
        <v/>
      </c>
      <c r="F2688" t="str">
        <f t="shared" si="87"/>
        <v/>
      </c>
    </row>
    <row r="2689" spans="1:7" x14ac:dyDescent="0.3">
      <c r="A2689" t="s">
        <v>251</v>
      </c>
      <c r="B2689" s="2">
        <v>45992</v>
      </c>
      <c r="C2689" t="str" cm="1">
        <f t="array" ref="C2689">IFERROR(IF(SUMPRODUCT((measured[Site Name]=A2689)*(measured[Date]=B2689)*ISNUMBER(measured[Measured Value (kWh)]))=0,"",SUMIFS(measured[Measured Value (kWh)],measured[Site Name],A2689,measured[Date],B2689)),"")</f>
        <v/>
      </c>
      <c r="D2689" cm="1">
        <f t="array" ref="D2689">IFERROR(IF(SUMPRODUCT((expected_production[Site Name]=A2689)*(expected_production[Date]=B2689)*ISNUMBER(expected_production[Expected Production (kWh)]))=0,"",SUMIFS(expected_production[Expected Production (kWh)],expected_production[Site Name],A2689,expected_production[Date],B2689)),"")</f>
        <v>27402.3</v>
      </c>
      <c r="E2689" s="9" t="str">
        <f t="shared" si="86"/>
        <v/>
      </c>
      <c r="F2689" t="str">
        <f t="shared" si="87"/>
        <v/>
      </c>
    </row>
    <row r="2690" spans="1:7" x14ac:dyDescent="0.3">
      <c r="A2690" t="s">
        <v>251</v>
      </c>
      <c r="B2690" s="2">
        <v>46023</v>
      </c>
      <c r="C2690" t="str" cm="1">
        <f t="array" ref="C2690">IFERROR(IF(SUMPRODUCT((measured[Site Name]=A2690)*(measured[Date]=B2690)*ISNUMBER(measured[Measured Value (kWh)]))=0,"",SUMIFS(measured[Measured Value (kWh)],measured[Site Name],A2690,measured[Date],B2690)),"")</f>
        <v/>
      </c>
      <c r="D2690" cm="1">
        <f t="array" ref="D2690">IFERROR(IF(SUMPRODUCT((expected_production[Site Name]=A2690)*(expected_production[Date]=B2690)*ISNUMBER(expected_production[Expected Production (kWh)]))=0,"",SUMIFS(expected_production[Expected Production (kWh)],expected_production[Site Name],A2690,expected_production[Date],B2690)),"")</f>
        <v>26451</v>
      </c>
      <c r="E2690" s="9" t="str">
        <f t="shared" si="86"/>
        <v/>
      </c>
      <c r="F2690" t="str">
        <f t="shared" si="87"/>
        <v/>
      </c>
    </row>
    <row r="2691" spans="1:7" x14ac:dyDescent="0.3">
      <c r="A2691" t="s">
        <v>251</v>
      </c>
      <c r="B2691" s="2">
        <v>46054</v>
      </c>
      <c r="C2691" t="str" cm="1">
        <f t="array" ref="C2691">IFERROR(IF(SUMPRODUCT((measured[Site Name]=A2691)*(measured[Date]=B2691)*ISNUMBER(measured[Measured Value (kWh)]))=0,"",SUMIFS(measured[Measured Value (kWh)],measured[Site Name],A2691,measured[Date],B2691)),"")</f>
        <v/>
      </c>
      <c r="D2691" cm="1">
        <f t="array" ref="D2691">IFERROR(IF(SUMPRODUCT((expected_production[Site Name]=A2691)*(expected_production[Date]=B2691)*ISNUMBER(expected_production[Expected Production (kWh)]))=0,"",SUMIFS(expected_production[Expected Production (kWh)],expected_production[Site Name],A2691,expected_production[Date],B2691)),"")</f>
        <v>23215.5</v>
      </c>
      <c r="E2691" s="9" t="str">
        <f t="shared" si="86"/>
        <v/>
      </c>
      <c r="F2691" t="str">
        <f t="shared" si="87"/>
        <v/>
      </c>
    </row>
    <row r="2692" spans="1:7" x14ac:dyDescent="0.3">
      <c r="A2692" t="s">
        <v>251</v>
      </c>
      <c r="B2692" s="2">
        <v>46082</v>
      </c>
      <c r="C2692" t="str" cm="1">
        <f t="array" ref="C2692">IFERROR(IF(SUMPRODUCT((measured[Site Name]=A2692)*(measured[Date]=B2692)*ISNUMBER(measured[Measured Value (kWh)]))=0,"",SUMIFS(measured[Measured Value (kWh)],measured[Site Name],A2692,measured[Date],B2692)),"")</f>
        <v/>
      </c>
      <c r="D2692" cm="1">
        <f t="array" ref="D2692">IFERROR(IF(SUMPRODUCT((expected_production[Site Name]=A2692)*(expected_production[Date]=B2692)*ISNUMBER(expected_production[Expected Production (kWh)]))=0,"",SUMIFS(expected_production[Expected Production (kWh)],expected_production[Site Name],A2692,expected_production[Date],B2692)),"")</f>
        <v>23034.600000000002</v>
      </c>
      <c r="E2692" s="9" t="str">
        <f t="shared" si="86"/>
        <v/>
      </c>
      <c r="F2692" t="str">
        <f t="shared" si="87"/>
        <v/>
      </c>
    </row>
    <row r="2693" spans="1:7" x14ac:dyDescent="0.3">
      <c r="A2693" t="s">
        <v>251</v>
      </c>
      <c r="B2693" s="2">
        <v>46113</v>
      </c>
      <c r="C2693" t="str" cm="1">
        <f t="array" ref="C2693">IFERROR(IF(SUMPRODUCT((measured[Site Name]=A2693)*(measured[Date]=B2693)*ISNUMBER(measured[Measured Value (kWh)]))=0,"",SUMIFS(measured[Measured Value (kWh)],measured[Site Name],A2693,measured[Date],B2693)),"")</f>
        <v/>
      </c>
      <c r="D2693" cm="1">
        <f t="array" ref="D2693">IFERROR(IF(SUMPRODUCT((expected_production[Site Name]=A2693)*(expected_production[Date]=B2693)*ISNUMBER(expected_production[Expected Production (kWh)]))=0,"",SUMIFS(expected_production[Expected Production (kWh)],expected_production[Site Name],A2693,expected_production[Date],B2693)),"")</f>
        <v>19930.5</v>
      </c>
      <c r="E2693" s="9" t="str">
        <f t="shared" si="86"/>
        <v/>
      </c>
      <c r="F2693" t="str">
        <f t="shared" si="87"/>
        <v/>
      </c>
    </row>
    <row r="2694" spans="1:7" x14ac:dyDescent="0.3">
      <c r="A2694" t="s">
        <v>251</v>
      </c>
      <c r="B2694" s="2">
        <v>46143</v>
      </c>
      <c r="C2694" cm="1">
        <f t="array" ref="C2694">IFERROR(IF(SUMPRODUCT((measured[Site Name]=A2694)*(measured[Date]=B2694)*ISNUMBER(measured[Measured Value (kWh)]))=0,"",SUMIFS(measured[Measured Value (kWh)],measured[Site Name],A2694,measured[Date],B2694)),"")</f>
        <v>17630</v>
      </c>
      <c r="D2694" cm="1">
        <f t="array" ref="D2694">IFERROR(IF(SUMPRODUCT((expected_production[Site Name]=A2694)*(expected_production[Date]=B2694)*ISNUMBER(expected_production[Expected Production (kWh)]))=0,"",SUMIFS(expected_production[Expected Production (kWh)],expected_production[Site Name],A2694,expected_production[Date],B2694)),"")</f>
        <v>18754.2</v>
      </c>
      <c r="E2694" s="9">
        <f t="shared" si="86"/>
        <v>0.94005609410158786</v>
      </c>
      <c r="F2694" t="str">
        <f t="shared" si="87"/>
        <v>Expected</v>
      </c>
    </row>
    <row r="2695" spans="1:7" x14ac:dyDescent="0.3">
      <c r="A2695" t="s">
        <v>251</v>
      </c>
      <c r="B2695" s="2">
        <v>46174</v>
      </c>
      <c r="C2695" t="str" cm="1">
        <f t="array" ref="C2695">IFERROR(IF(SUMPRODUCT((measured[Site Name]=A2695)*(measured[Date]=B2695)*ISNUMBER(measured[Measured Value (kWh)]))=0,"",SUMIFS(measured[Measured Value (kWh)],measured[Site Name],A2695,measured[Date],B2695)),"")</f>
        <v/>
      </c>
      <c r="D2695" cm="1">
        <f t="array" ref="D2695">IFERROR(IF(SUMPRODUCT((expected_production[Site Name]=A2695)*(expected_production[Date]=B2695)*ISNUMBER(expected_production[Expected Production (kWh)]))=0,"",SUMIFS(expected_production[Expected Production (kWh)],expected_production[Site Name],A2695,expected_production[Date],B2695)),"")</f>
        <v>16767.900000000001</v>
      </c>
      <c r="E2695" s="9" t="str">
        <f t="shared" si="86"/>
        <v/>
      </c>
      <c r="F2695" t="str">
        <f t="shared" si="87"/>
        <v/>
      </c>
    </row>
    <row r="2696" spans="1:7" x14ac:dyDescent="0.3">
      <c r="A2696" t="s">
        <v>211</v>
      </c>
      <c r="B2696" s="2">
        <v>46204</v>
      </c>
      <c r="C2696" cm="1">
        <f t="array" ref="C2696">IFERROR(IF(SUMPRODUCT((measured[Site Name]=A2696)*(measured[Date]=B2696)*ISNUMBER(measured[Measured Value (kWh)]))=0,"",SUMIFS(measured[Measured Value (kWh)],measured[Site Name],A2696,measured[Date],B2696)),"")</f>
        <v>2292.6909999999998</v>
      </c>
      <c r="D2696" cm="1">
        <f t="array" ref="D2696">IFERROR(IF(SUMPRODUCT((expected_production[Site Name]=A2696)*(expected_production[Date]=B2696)*ISNUMBER(expected_production[Expected Production (kWh)]))=0,"",SUMIFS(expected_production[Expected Production (kWh)],expected_production[Site Name],A2696,expected_production[Date],B2696)),"")</f>
        <v>4065.3</v>
      </c>
      <c r="E2696" s="9">
        <f t="shared" si="86"/>
        <v>0.56396600496888294</v>
      </c>
      <c r="F2696" t="str">
        <f t="shared" si="87"/>
        <v>Poor</v>
      </c>
      <c r="G2696" t="s">
        <v>875</v>
      </c>
    </row>
    <row r="2697" spans="1:7" x14ac:dyDescent="0.3">
      <c r="A2697" t="s">
        <v>251</v>
      </c>
      <c r="B2697" s="2">
        <v>46235</v>
      </c>
      <c r="C2697" t="str" cm="1">
        <f t="array" ref="C2697">IFERROR(IF(SUMPRODUCT((measured[Site Name]=A2697)*(measured[Date]=B2697)*ISNUMBER(measured[Measured Value (kWh)]))=0,"",SUMIFS(measured[Measured Value (kWh)],measured[Site Name],A2697,measured[Date],B2697)),"")</f>
        <v/>
      </c>
      <c r="D2697" cm="1">
        <f t="array" ref="D2697">IFERROR(IF(SUMPRODUCT((expected_production[Site Name]=A2697)*(expected_production[Date]=B2697)*ISNUMBER(expected_production[Expected Production (kWh)]))=0,"",SUMIFS(expected_production[Expected Production (kWh)],expected_production[Site Name],A2697,expected_production[Date],B2697)),"")</f>
        <v>21311.100000000002</v>
      </c>
      <c r="E2697" s="9" t="str">
        <f t="shared" si="86"/>
        <v/>
      </c>
      <c r="F2697" t="str">
        <f t="shared" si="87"/>
        <v/>
      </c>
    </row>
    <row r="2698" spans="1:7" x14ac:dyDescent="0.3">
      <c r="A2698" t="s">
        <v>251</v>
      </c>
      <c r="B2698" s="2">
        <v>46266</v>
      </c>
      <c r="C2698" t="str" cm="1">
        <f t="array" ref="C2698">IFERROR(IF(SUMPRODUCT((measured[Site Name]=A2698)*(measured[Date]=B2698)*ISNUMBER(measured[Measured Value (kWh)]))=0,"",SUMIFS(measured[Measured Value (kWh)],measured[Site Name],A2698,measured[Date],B2698)),"")</f>
        <v/>
      </c>
      <c r="D2698" cm="1">
        <f t="array" ref="D2698">IFERROR(IF(SUMPRODUCT((expected_production[Site Name]=A2698)*(expected_production[Date]=B2698)*ISNUMBER(expected_production[Expected Production (kWh)]))=0,"",SUMIFS(expected_production[Expected Production (kWh)],expected_production[Site Name],A2698,expected_production[Date],B2698)),"")</f>
        <v>23659.200000000001</v>
      </c>
      <c r="E2698" s="9" t="str">
        <f t="shared" si="86"/>
        <v/>
      </c>
      <c r="F2698" t="str">
        <f t="shared" si="87"/>
        <v/>
      </c>
    </row>
    <row r="2699" spans="1:7" x14ac:dyDescent="0.3">
      <c r="A2699" t="s">
        <v>251</v>
      </c>
      <c r="B2699" s="2">
        <v>46296</v>
      </c>
      <c r="C2699" t="str" cm="1">
        <f t="array" ref="C2699">IFERROR(IF(SUMPRODUCT((measured[Site Name]=A2699)*(measured[Date]=B2699)*ISNUMBER(measured[Measured Value (kWh)]))=0,"",SUMIFS(measured[Measured Value (kWh)],measured[Site Name],A2699,measured[Date],B2699)),"")</f>
        <v/>
      </c>
      <c r="D2699" cm="1">
        <f t="array" ref="D2699">IFERROR(IF(SUMPRODUCT((expected_production[Site Name]=A2699)*(expected_production[Date]=B2699)*ISNUMBER(expected_production[Expected Production (kWh)]))=0,"",SUMIFS(expected_production[Expected Production (kWh)],expected_production[Site Name],A2699,expected_production[Date],B2699)),"")</f>
        <v>26865.9</v>
      </c>
      <c r="E2699" s="9" t="str">
        <f t="shared" si="86"/>
        <v/>
      </c>
      <c r="F2699" t="str">
        <f t="shared" si="87"/>
        <v/>
      </c>
    </row>
    <row r="2700" spans="1:7" x14ac:dyDescent="0.3">
      <c r="A2700" t="s">
        <v>251</v>
      </c>
      <c r="B2700" s="2">
        <v>46327</v>
      </c>
      <c r="C2700" t="str" cm="1">
        <f t="array" ref="C2700">IFERROR(IF(SUMPRODUCT((measured[Site Name]=A2700)*(measured[Date]=B2700)*ISNUMBER(measured[Measured Value (kWh)]))=0,"",SUMIFS(measured[Measured Value (kWh)],measured[Site Name],A2700,measured[Date],B2700)),"")</f>
        <v/>
      </c>
      <c r="D2700" cm="1">
        <f t="array" ref="D2700">IFERROR(IF(SUMPRODUCT((expected_production[Site Name]=A2700)*(expected_production[Date]=B2700)*ISNUMBER(expected_production[Expected Production (kWh)]))=0,"",SUMIFS(expected_production[Expected Production (kWh)],expected_production[Site Name],A2700,expected_production[Date],B2700)),"")</f>
        <v>27153.9</v>
      </c>
      <c r="E2700" s="9" t="str">
        <f t="shared" si="86"/>
        <v/>
      </c>
      <c r="F2700" t="str">
        <f t="shared" si="87"/>
        <v/>
      </c>
    </row>
    <row r="2701" spans="1:7" x14ac:dyDescent="0.3">
      <c r="A2701" t="s">
        <v>251</v>
      </c>
      <c r="B2701" s="2">
        <v>46357</v>
      </c>
      <c r="C2701" t="str" cm="1">
        <f t="array" ref="C2701">IFERROR(IF(SUMPRODUCT((measured[Site Name]=A2701)*(measured[Date]=B2701)*ISNUMBER(measured[Measured Value (kWh)]))=0,"",SUMIFS(measured[Measured Value (kWh)],measured[Site Name],A2701,measured[Date],B2701)),"")</f>
        <v/>
      </c>
      <c r="D2701" cm="1">
        <f t="array" ref="D2701">IFERROR(IF(SUMPRODUCT((expected_production[Site Name]=A2701)*(expected_production[Date]=B2701)*ISNUMBER(expected_production[Expected Production (kWh)]))=0,"",SUMIFS(expected_production[Expected Production (kWh)],expected_production[Site Name],A2701,expected_production[Date],B2701)),"")</f>
        <v>27402.3</v>
      </c>
      <c r="E2701" s="9" t="str">
        <f t="shared" si="86"/>
        <v/>
      </c>
      <c r="F2701" t="str">
        <f t="shared" si="87"/>
        <v/>
      </c>
    </row>
    <row r="2702" spans="1:7" x14ac:dyDescent="0.3">
      <c r="A2702" t="s">
        <v>250</v>
      </c>
      <c r="B2702" s="2">
        <v>45292</v>
      </c>
      <c r="C2702" t="str" cm="1">
        <f t="array" ref="C2702">IFERROR(IF(SUMPRODUCT((measured[Site Name]=A2702)*(measured[Date]=B2702)*ISNUMBER(measured[Measured Value (kWh)]))=0,"",SUMIFS(measured[Measured Value (kWh)],measured[Site Name],A2702,measured[Date],B2702)),"")</f>
        <v/>
      </c>
      <c r="D2702" cm="1">
        <f t="array" ref="D2702">IFERROR(IF(SUMPRODUCT((expected_production[Site Name]=A2702)*(expected_production[Date]=B2702)*ISNUMBER(expected_production[Expected Production (kWh)]))=0,"",SUMIFS(expected_production[Expected Production (kWh)],expected_production[Site Name],A2702,expected_production[Date],B2702)),"")</f>
        <v>28877.4</v>
      </c>
      <c r="E2702" s="9" t="str">
        <f t="shared" si="86"/>
        <v/>
      </c>
      <c r="F2702" t="str">
        <f t="shared" si="87"/>
        <v/>
      </c>
    </row>
    <row r="2703" spans="1:7" x14ac:dyDescent="0.3">
      <c r="A2703" t="s">
        <v>250</v>
      </c>
      <c r="B2703" s="2">
        <v>45323</v>
      </c>
      <c r="C2703" t="str" cm="1">
        <f t="array" ref="C2703">IFERROR(IF(SUMPRODUCT((measured[Site Name]=A2703)*(measured[Date]=B2703)*ISNUMBER(measured[Measured Value (kWh)]))=0,"",SUMIFS(measured[Measured Value (kWh)],measured[Site Name],A2703,measured[Date],B2703)),"")</f>
        <v/>
      </c>
      <c r="D2703" cm="1">
        <f t="array" ref="D2703">IFERROR(IF(SUMPRODUCT((expected_production[Site Name]=A2703)*(expected_production[Date]=B2703)*ISNUMBER(expected_production[Expected Production (kWh)]))=0,"",SUMIFS(expected_production[Expected Production (kWh)],expected_production[Site Name],A2703,expected_production[Date],B2703)),"")</f>
        <v>25884.9</v>
      </c>
      <c r="E2703" s="9" t="str">
        <f t="shared" si="86"/>
        <v/>
      </c>
      <c r="F2703" t="str">
        <f t="shared" si="87"/>
        <v/>
      </c>
    </row>
    <row r="2704" spans="1:7" x14ac:dyDescent="0.3">
      <c r="A2704" t="s">
        <v>250</v>
      </c>
      <c r="B2704" s="2">
        <v>45352</v>
      </c>
      <c r="C2704" t="str" cm="1">
        <f t="array" ref="C2704">IFERROR(IF(SUMPRODUCT((measured[Site Name]=A2704)*(measured[Date]=B2704)*ISNUMBER(measured[Measured Value (kWh)]))=0,"",SUMIFS(measured[Measured Value (kWh)],measured[Site Name],A2704,measured[Date],B2704)),"")</f>
        <v/>
      </c>
      <c r="D2704" cm="1">
        <f t="array" ref="D2704">IFERROR(IF(SUMPRODUCT((expected_production[Site Name]=A2704)*(expected_production[Date]=B2704)*ISNUMBER(expected_production[Expected Production (kWh)]))=0,"",SUMIFS(expected_production[Expected Production (kWh)],expected_production[Site Name],A2704,expected_production[Date],B2704)),"")</f>
        <v>27341.100000000002</v>
      </c>
      <c r="E2704" s="9" t="str">
        <f t="shared" si="86"/>
        <v/>
      </c>
      <c r="F2704" t="str">
        <f t="shared" si="87"/>
        <v/>
      </c>
    </row>
    <row r="2705" spans="1:6" x14ac:dyDescent="0.3">
      <c r="A2705" t="s">
        <v>250</v>
      </c>
      <c r="B2705" s="2">
        <v>45383</v>
      </c>
      <c r="C2705" t="str" cm="1">
        <f t="array" ref="C2705">IFERROR(IF(SUMPRODUCT((measured[Site Name]=A2705)*(measured[Date]=B2705)*ISNUMBER(measured[Measured Value (kWh)]))=0,"",SUMIFS(measured[Measured Value (kWh)],measured[Site Name],A2705,measured[Date],B2705)),"")</f>
        <v/>
      </c>
      <c r="D2705" cm="1">
        <f t="array" ref="D2705">IFERROR(IF(SUMPRODUCT((expected_production[Site Name]=A2705)*(expected_production[Date]=B2705)*ISNUMBER(expected_production[Expected Production (kWh)]))=0,"",SUMIFS(expected_production[Expected Production (kWh)],expected_production[Site Name],A2705,expected_production[Date],B2705)),"")</f>
        <v>27823.5</v>
      </c>
      <c r="E2705" s="9" t="str">
        <f t="shared" si="86"/>
        <v/>
      </c>
      <c r="F2705" t="str">
        <f t="shared" si="87"/>
        <v/>
      </c>
    </row>
    <row r="2706" spans="1:6" x14ac:dyDescent="0.3">
      <c r="A2706" t="s">
        <v>250</v>
      </c>
      <c r="B2706" s="2">
        <v>45413</v>
      </c>
      <c r="C2706" t="str" cm="1">
        <f t="array" ref="C2706">IFERROR(IF(SUMPRODUCT((measured[Site Name]=A2706)*(measured[Date]=B2706)*ISNUMBER(measured[Measured Value (kWh)]))=0,"",SUMIFS(measured[Measured Value (kWh)],measured[Site Name],A2706,measured[Date],B2706)),"")</f>
        <v/>
      </c>
      <c r="D2706" cm="1">
        <f t="array" ref="D2706">IFERROR(IF(SUMPRODUCT((expected_production[Site Name]=A2706)*(expected_production[Date]=B2706)*ISNUMBER(expected_production[Expected Production (kWh)]))=0,"",SUMIFS(expected_production[Expected Production (kWh)],expected_production[Site Name],A2706,expected_production[Date],B2706)),"")</f>
        <v>29920.5</v>
      </c>
      <c r="E2706" s="9" t="str">
        <f t="shared" si="86"/>
        <v/>
      </c>
      <c r="F2706" t="str">
        <f t="shared" si="87"/>
        <v/>
      </c>
    </row>
    <row r="2707" spans="1:6" x14ac:dyDescent="0.3">
      <c r="A2707" t="s">
        <v>250</v>
      </c>
      <c r="B2707" s="2">
        <v>45444</v>
      </c>
      <c r="C2707" t="str" cm="1">
        <f t="array" ref="C2707">IFERROR(IF(SUMPRODUCT((measured[Site Name]=A2707)*(measured[Date]=B2707)*ISNUMBER(measured[Measured Value (kWh)]))=0,"",SUMIFS(measured[Measured Value (kWh)],measured[Site Name],A2707,measured[Date],B2707)),"")</f>
        <v/>
      </c>
      <c r="D2707" cm="1">
        <f t="array" ref="D2707">IFERROR(IF(SUMPRODUCT((expected_production[Site Name]=A2707)*(expected_production[Date]=B2707)*ISNUMBER(expected_production[Expected Production (kWh)]))=0,"",SUMIFS(expected_production[Expected Production (kWh)],expected_production[Site Name],A2707,expected_production[Date],B2707)),"")</f>
        <v>28644.3</v>
      </c>
      <c r="E2707" s="9" t="str">
        <f t="shared" si="86"/>
        <v/>
      </c>
      <c r="F2707" t="str">
        <f t="shared" si="87"/>
        <v/>
      </c>
    </row>
    <row r="2708" spans="1:6" x14ac:dyDescent="0.3">
      <c r="A2708" t="s">
        <v>250</v>
      </c>
      <c r="B2708" s="2">
        <v>45474</v>
      </c>
      <c r="C2708" t="str" cm="1">
        <f t="array" ref="C2708">IFERROR(IF(SUMPRODUCT((measured[Site Name]=A2708)*(measured[Date]=B2708)*ISNUMBER(measured[Measured Value (kWh)]))=0,"",SUMIFS(measured[Measured Value (kWh)],measured[Site Name],A2708,measured[Date],B2708)),"")</f>
        <v/>
      </c>
      <c r="D2708" cm="1">
        <f t="array" ref="D2708">IFERROR(IF(SUMPRODUCT((expected_production[Site Name]=A2708)*(expected_production[Date]=B2708)*ISNUMBER(expected_production[Expected Production (kWh)]))=0,"",SUMIFS(expected_production[Expected Production (kWh)],expected_production[Site Name],A2708,expected_production[Date],B2708)),"")</f>
        <v>28051.200000000001</v>
      </c>
      <c r="E2708" s="9" t="str">
        <f t="shared" si="86"/>
        <v/>
      </c>
      <c r="F2708" t="str">
        <f t="shared" si="87"/>
        <v/>
      </c>
    </row>
    <row r="2709" spans="1:6" x14ac:dyDescent="0.3">
      <c r="A2709" t="s">
        <v>250</v>
      </c>
      <c r="B2709" s="2">
        <v>45505</v>
      </c>
      <c r="C2709" t="str" cm="1">
        <f t="array" ref="C2709">IFERROR(IF(SUMPRODUCT((measured[Site Name]=A2709)*(measured[Date]=B2709)*ISNUMBER(measured[Measured Value (kWh)]))=0,"",SUMIFS(measured[Measured Value (kWh)],measured[Site Name],A2709,measured[Date],B2709)),"")</f>
        <v/>
      </c>
      <c r="D2709" cm="1">
        <f t="array" ref="D2709">IFERROR(IF(SUMPRODUCT((expected_production[Site Name]=A2709)*(expected_production[Date]=B2709)*ISNUMBER(expected_production[Expected Production (kWh)]))=0,"",SUMIFS(expected_production[Expected Production (kWh)],expected_production[Site Name],A2709,expected_production[Date],B2709)),"")</f>
        <v>31649.4</v>
      </c>
      <c r="E2709" s="9" t="str">
        <f t="shared" si="86"/>
        <v/>
      </c>
      <c r="F2709" t="str">
        <f t="shared" si="87"/>
        <v/>
      </c>
    </row>
    <row r="2710" spans="1:6" x14ac:dyDescent="0.3">
      <c r="A2710" t="s">
        <v>250</v>
      </c>
      <c r="B2710" s="2">
        <v>45536</v>
      </c>
      <c r="C2710" t="str" cm="1">
        <f t="array" ref="C2710">IFERROR(IF(SUMPRODUCT((measured[Site Name]=A2710)*(measured[Date]=B2710)*ISNUMBER(measured[Measured Value (kWh)]))=0,"",SUMIFS(measured[Measured Value (kWh)],measured[Site Name],A2710,measured[Date],B2710)),"")</f>
        <v/>
      </c>
      <c r="D2710" cm="1">
        <f t="array" ref="D2710">IFERROR(IF(SUMPRODUCT((expected_production[Site Name]=A2710)*(expected_production[Date]=B2710)*ISNUMBER(expected_production[Expected Production (kWh)]))=0,"",SUMIFS(expected_production[Expected Production (kWh)],expected_production[Site Name],A2710,expected_production[Date],B2710)),"")</f>
        <v>28250.100000000002</v>
      </c>
      <c r="E2710" s="9" t="str">
        <f t="shared" si="86"/>
        <v/>
      </c>
      <c r="F2710" t="str">
        <f t="shared" si="87"/>
        <v/>
      </c>
    </row>
    <row r="2711" spans="1:6" x14ac:dyDescent="0.3">
      <c r="A2711" t="s">
        <v>250</v>
      </c>
      <c r="B2711" s="2">
        <v>45566</v>
      </c>
      <c r="C2711" t="str" cm="1">
        <f t="array" ref="C2711">IFERROR(IF(SUMPRODUCT((measured[Site Name]=A2711)*(measured[Date]=B2711)*ISNUMBER(measured[Measured Value (kWh)]))=0,"",SUMIFS(measured[Measured Value (kWh)],measured[Site Name],A2711,measured[Date],B2711)),"")</f>
        <v/>
      </c>
      <c r="D2711" cm="1">
        <f t="array" ref="D2711">IFERROR(IF(SUMPRODUCT((expected_production[Site Name]=A2711)*(expected_production[Date]=B2711)*ISNUMBER(expected_production[Expected Production (kWh)]))=0,"",SUMIFS(expected_production[Expected Production (kWh)],expected_production[Site Name],A2711,expected_production[Date],B2711)),"")</f>
        <v>28466.100000000002</v>
      </c>
      <c r="E2711" s="9" t="str">
        <f t="shared" si="86"/>
        <v/>
      </c>
      <c r="F2711" t="str">
        <f t="shared" si="87"/>
        <v/>
      </c>
    </row>
    <row r="2712" spans="1:6" x14ac:dyDescent="0.3">
      <c r="A2712" t="s">
        <v>250</v>
      </c>
      <c r="B2712" s="2">
        <v>45597</v>
      </c>
      <c r="C2712" t="str" cm="1">
        <f t="array" ref="C2712">IFERROR(IF(SUMPRODUCT((measured[Site Name]=A2712)*(measured[Date]=B2712)*ISNUMBER(measured[Measured Value (kWh)]))=0,"",SUMIFS(measured[Measured Value (kWh)],measured[Site Name],A2712,measured[Date],B2712)),"")</f>
        <v/>
      </c>
      <c r="D2712" cm="1">
        <f t="array" ref="D2712">IFERROR(IF(SUMPRODUCT((expected_production[Site Name]=A2712)*(expected_production[Date]=B2712)*ISNUMBER(expected_production[Expected Production (kWh)]))=0,"",SUMIFS(expected_production[Expected Production (kWh)],expected_production[Site Name],A2712,expected_production[Date],B2712)),"")</f>
        <v>28991.7</v>
      </c>
      <c r="E2712" s="9" t="str">
        <f t="shared" si="86"/>
        <v/>
      </c>
      <c r="F2712" t="str">
        <f t="shared" si="87"/>
        <v/>
      </c>
    </row>
    <row r="2713" spans="1:6" x14ac:dyDescent="0.3">
      <c r="A2713" t="s">
        <v>250</v>
      </c>
      <c r="B2713" s="2">
        <v>45627</v>
      </c>
      <c r="C2713" t="str" cm="1">
        <f t="array" ref="C2713">IFERROR(IF(SUMPRODUCT((measured[Site Name]=A2713)*(measured[Date]=B2713)*ISNUMBER(measured[Measured Value (kWh)]))=0,"",SUMIFS(measured[Measured Value (kWh)],measured[Site Name],A2713,measured[Date],B2713)),"")</f>
        <v/>
      </c>
      <c r="D2713" cm="1">
        <f t="array" ref="D2713">IFERROR(IF(SUMPRODUCT((expected_production[Site Name]=A2713)*(expected_production[Date]=B2713)*ISNUMBER(expected_production[Expected Production (kWh)]))=0,"",SUMIFS(expected_production[Expected Production (kWh)],expected_production[Site Name],A2713,expected_production[Date],B2713)),"")</f>
        <v>28903.5</v>
      </c>
      <c r="E2713" s="9" t="str">
        <f t="shared" si="86"/>
        <v/>
      </c>
      <c r="F2713" t="str">
        <f t="shared" si="87"/>
        <v/>
      </c>
    </row>
    <row r="2714" spans="1:6" x14ac:dyDescent="0.3">
      <c r="A2714" t="s">
        <v>250</v>
      </c>
      <c r="B2714" s="2">
        <v>45658</v>
      </c>
      <c r="C2714" t="str" cm="1">
        <f t="array" ref="C2714">IFERROR(IF(SUMPRODUCT((measured[Site Name]=A2714)*(measured[Date]=B2714)*ISNUMBER(measured[Measured Value (kWh)]))=0,"",SUMIFS(measured[Measured Value (kWh)],measured[Site Name],A2714,measured[Date],B2714)),"")</f>
        <v/>
      </c>
      <c r="D2714" cm="1">
        <f t="array" ref="D2714">IFERROR(IF(SUMPRODUCT((expected_production[Site Name]=A2714)*(expected_production[Date]=B2714)*ISNUMBER(expected_production[Expected Production (kWh)]))=0,"",SUMIFS(expected_production[Expected Production (kWh)],expected_production[Site Name],A2714,expected_production[Date],B2714)),"")</f>
        <v>28877.4</v>
      </c>
      <c r="E2714" s="9" t="str">
        <f t="shared" si="86"/>
        <v/>
      </c>
      <c r="F2714" t="str">
        <f t="shared" si="87"/>
        <v/>
      </c>
    </row>
    <row r="2715" spans="1:6" x14ac:dyDescent="0.3">
      <c r="A2715" t="s">
        <v>250</v>
      </c>
      <c r="B2715" s="2">
        <v>45689</v>
      </c>
      <c r="C2715" t="str" cm="1">
        <f t="array" ref="C2715">IFERROR(IF(SUMPRODUCT((measured[Site Name]=A2715)*(measured[Date]=B2715)*ISNUMBER(measured[Measured Value (kWh)]))=0,"",SUMIFS(measured[Measured Value (kWh)],measured[Site Name],A2715,measured[Date],B2715)),"")</f>
        <v/>
      </c>
      <c r="D2715" cm="1">
        <f t="array" ref="D2715">IFERROR(IF(SUMPRODUCT((expected_production[Site Name]=A2715)*(expected_production[Date]=B2715)*ISNUMBER(expected_production[Expected Production (kWh)]))=0,"",SUMIFS(expected_production[Expected Production (kWh)],expected_production[Site Name],A2715,expected_production[Date],B2715)),"")</f>
        <v>25884.9</v>
      </c>
      <c r="E2715" s="9" t="str">
        <f t="shared" si="86"/>
        <v/>
      </c>
      <c r="F2715" t="str">
        <f t="shared" si="87"/>
        <v/>
      </c>
    </row>
    <row r="2716" spans="1:6" x14ac:dyDescent="0.3">
      <c r="A2716" t="s">
        <v>250</v>
      </c>
      <c r="B2716" s="2">
        <v>45717</v>
      </c>
      <c r="C2716" t="str" cm="1">
        <f t="array" ref="C2716">IFERROR(IF(SUMPRODUCT((measured[Site Name]=A2716)*(measured[Date]=B2716)*ISNUMBER(measured[Measured Value (kWh)]))=0,"",SUMIFS(measured[Measured Value (kWh)],measured[Site Name],A2716,measured[Date],B2716)),"")</f>
        <v/>
      </c>
      <c r="D2716" cm="1">
        <f t="array" ref="D2716">IFERROR(IF(SUMPRODUCT((expected_production[Site Name]=A2716)*(expected_production[Date]=B2716)*ISNUMBER(expected_production[Expected Production (kWh)]))=0,"",SUMIFS(expected_production[Expected Production (kWh)],expected_production[Site Name],A2716,expected_production[Date],B2716)),"")</f>
        <v>27341.100000000002</v>
      </c>
      <c r="E2716" s="9" t="str">
        <f t="shared" si="86"/>
        <v/>
      </c>
      <c r="F2716" t="str">
        <f t="shared" si="87"/>
        <v/>
      </c>
    </row>
    <row r="2717" spans="1:6" x14ac:dyDescent="0.3">
      <c r="A2717" t="s">
        <v>250</v>
      </c>
      <c r="B2717" s="2">
        <v>45748</v>
      </c>
      <c r="C2717" t="str" cm="1">
        <f t="array" ref="C2717">IFERROR(IF(SUMPRODUCT((measured[Site Name]=A2717)*(measured[Date]=B2717)*ISNUMBER(measured[Measured Value (kWh)]))=0,"",SUMIFS(measured[Measured Value (kWh)],measured[Site Name],A2717,measured[Date],B2717)),"")</f>
        <v/>
      </c>
      <c r="D2717" cm="1">
        <f t="array" ref="D2717">IFERROR(IF(SUMPRODUCT((expected_production[Site Name]=A2717)*(expected_production[Date]=B2717)*ISNUMBER(expected_production[Expected Production (kWh)]))=0,"",SUMIFS(expected_production[Expected Production (kWh)],expected_production[Site Name],A2717,expected_production[Date],B2717)),"")</f>
        <v>27823.5</v>
      </c>
      <c r="E2717" s="9" t="str">
        <f t="shared" si="86"/>
        <v/>
      </c>
      <c r="F2717" t="str">
        <f t="shared" si="87"/>
        <v/>
      </c>
    </row>
    <row r="2718" spans="1:6" x14ac:dyDescent="0.3">
      <c r="A2718" t="s">
        <v>250</v>
      </c>
      <c r="B2718" s="2">
        <v>45778</v>
      </c>
      <c r="C2718" t="str" cm="1">
        <f t="array" ref="C2718">IFERROR(IF(SUMPRODUCT((measured[Site Name]=A2718)*(measured[Date]=B2718)*ISNUMBER(measured[Measured Value (kWh)]))=0,"",SUMIFS(measured[Measured Value (kWh)],measured[Site Name],A2718,measured[Date],B2718)),"")</f>
        <v/>
      </c>
      <c r="D2718" cm="1">
        <f t="array" ref="D2718">IFERROR(IF(SUMPRODUCT((expected_production[Site Name]=A2718)*(expected_production[Date]=B2718)*ISNUMBER(expected_production[Expected Production (kWh)]))=0,"",SUMIFS(expected_production[Expected Production (kWh)],expected_production[Site Name],A2718,expected_production[Date],B2718)),"")</f>
        <v>29920.5</v>
      </c>
      <c r="E2718" s="9" t="str">
        <f t="shared" si="86"/>
        <v/>
      </c>
      <c r="F2718" t="str">
        <f t="shared" si="87"/>
        <v/>
      </c>
    </row>
    <row r="2719" spans="1:6" x14ac:dyDescent="0.3">
      <c r="A2719" t="s">
        <v>250</v>
      </c>
      <c r="B2719" s="2">
        <v>45809</v>
      </c>
      <c r="C2719" t="str" cm="1">
        <f t="array" ref="C2719">IFERROR(IF(SUMPRODUCT((measured[Site Name]=A2719)*(measured[Date]=B2719)*ISNUMBER(measured[Measured Value (kWh)]))=0,"",SUMIFS(measured[Measured Value (kWh)],measured[Site Name],A2719,measured[Date],B2719)),"")</f>
        <v/>
      </c>
      <c r="D2719" cm="1">
        <f t="array" ref="D2719">IFERROR(IF(SUMPRODUCT((expected_production[Site Name]=A2719)*(expected_production[Date]=B2719)*ISNUMBER(expected_production[Expected Production (kWh)]))=0,"",SUMIFS(expected_production[Expected Production (kWh)],expected_production[Site Name],A2719,expected_production[Date],B2719)),"")</f>
        <v>28644.3</v>
      </c>
      <c r="E2719" s="9" t="str">
        <f t="shared" si="86"/>
        <v/>
      </c>
      <c r="F2719" t="str">
        <f t="shared" si="87"/>
        <v/>
      </c>
    </row>
    <row r="2720" spans="1:6" x14ac:dyDescent="0.3">
      <c r="A2720" t="s">
        <v>250</v>
      </c>
      <c r="B2720" s="2">
        <v>45839</v>
      </c>
      <c r="C2720" t="str" cm="1">
        <f t="array" ref="C2720">IFERROR(IF(SUMPRODUCT((measured[Site Name]=A2720)*(measured[Date]=B2720)*ISNUMBER(measured[Measured Value (kWh)]))=0,"",SUMIFS(measured[Measured Value (kWh)],measured[Site Name],A2720,measured[Date],B2720)),"")</f>
        <v/>
      </c>
      <c r="D2720" cm="1">
        <f t="array" ref="D2720">IFERROR(IF(SUMPRODUCT((expected_production[Site Name]=A2720)*(expected_production[Date]=B2720)*ISNUMBER(expected_production[Expected Production (kWh)]))=0,"",SUMIFS(expected_production[Expected Production (kWh)],expected_production[Site Name],A2720,expected_production[Date],B2720)),"")</f>
        <v>28051.200000000001</v>
      </c>
      <c r="E2720" s="9" t="str">
        <f t="shared" si="86"/>
        <v/>
      </c>
      <c r="F2720" t="str">
        <f t="shared" si="87"/>
        <v/>
      </c>
    </row>
    <row r="2721" spans="1:7" x14ac:dyDescent="0.3">
      <c r="A2721" t="s">
        <v>250</v>
      </c>
      <c r="B2721" s="2">
        <v>45870</v>
      </c>
      <c r="C2721" t="str" cm="1">
        <f t="array" ref="C2721">IFERROR(IF(SUMPRODUCT((measured[Site Name]=A2721)*(measured[Date]=B2721)*ISNUMBER(measured[Measured Value (kWh)]))=0,"",SUMIFS(measured[Measured Value (kWh)],measured[Site Name],A2721,measured[Date],B2721)),"")</f>
        <v/>
      </c>
      <c r="D2721" cm="1">
        <f t="array" ref="D2721">IFERROR(IF(SUMPRODUCT((expected_production[Site Name]=A2721)*(expected_production[Date]=B2721)*ISNUMBER(expected_production[Expected Production (kWh)]))=0,"",SUMIFS(expected_production[Expected Production (kWh)],expected_production[Site Name],A2721,expected_production[Date],B2721)),"")</f>
        <v>31649.4</v>
      </c>
      <c r="E2721" s="9" t="str">
        <f t="shared" si="86"/>
        <v/>
      </c>
      <c r="F2721" t="str">
        <f t="shared" si="87"/>
        <v/>
      </c>
    </row>
    <row r="2722" spans="1:7" x14ac:dyDescent="0.3">
      <c r="A2722" t="s">
        <v>250</v>
      </c>
      <c r="B2722" s="2">
        <v>45901</v>
      </c>
      <c r="C2722" t="str" cm="1">
        <f t="array" ref="C2722">IFERROR(IF(SUMPRODUCT((measured[Site Name]=A2722)*(measured[Date]=B2722)*ISNUMBER(measured[Measured Value (kWh)]))=0,"",SUMIFS(measured[Measured Value (kWh)],measured[Site Name],A2722,measured[Date],B2722)),"")</f>
        <v/>
      </c>
      <c r="D2722" cm="1">
        <f t="array" ref="D2722">IFERROR(IF(SUMPRODUCT((expected_production[Site Name]=A2722)*(expected_production[Date]=B2722)*ISNUMBER(expected_production[Expected Production (kWh)]))=0,"",SUMIFS(expected_production[Expected Production (kWh)],expected_production[Site Name],A2722,expected_production[Date],B2722)),"")</f>
        <v>28250.100000000002</v>
      </c>
      <c r="E2722" s="9" t="str">
        <f t="shared" si="86"/>
        <v/>
      </c>
      <c r="F2722" t="str">
        <f t="shared" si="87"/>
        <v/>
      </c>
    </row>
    <row r="2723" spans="1:7" x14ac:dyDescent="0.3">
      <c r="A2723" t="s">
        <v>250</v>
      </c>
      <c r="B2723" s="2">
        <v>45931</v>
      </c>
      <c r="C2723" t="str" cm="1">
        <f t="array" ref="C2723">IFERROR(IF(SUMPRODUCT((measured[Site Name]=A2723)*(measured[Date]=B2723)*ISNUMBER(measured[Measured Value (kWh)]))=0,"",SUMIFS(measured[Measured Value (kWh)],measured[Site Name],A2723,measured[Date],B2723)),"")</f>
        <v/>
      </c>
      <c r="D2723" cm="1">
        <f t="array" ref="D2723">IFERROR(IF(SUMPRODUCT((expected_production[Site Name]=A2723)*(expected_production[Date]=B2723)*ISNUMBER(expected_production[Expected Production (kWh)]))=0,"",SUMIFS(expected_production[Expected Production (kWh)],expected_production[Site Name],A2723,expected_production[Date],B2723)),"")</f>
        <v>28466.100000000002</v>
      </c>
      <c r="E2723" s="9" t="str">
        <f t="shared" si="86"/>
        <v/>
      </c>
      <c r="F2723" t="str">
        <f t="shared" si="87"/>
        <v/>
      </c>
    </row>
    <row r="2724" spans="1:7" x14ac:dyDescent="0.3">
      <c r="A2724" t="s">
        <v>250</v>
      </c>
      <c r="B2724" s="2">
        <v>45962</v>
      </c>
      <c r="C2724" t="str" cm="1">
        <f t="array" ref="C2724">IFERROR(IF(SUMPRODUCT((measured[Site Name]=A2724)*(measured[Date]=B2724)*ISNUMBER(measured[Measured Value (kWh)]))=0,"",SUMIFS(measured[Measured Value (kWh)],measured[Site Name],A2724,measured[Date],B2724)),"")</f>
        <v/>
      </c>
      <c r="D2724" cm="1">
        <f t="array" ref="D2724">IFERROR(IF(SUMPRODUCT((expected_production[Site Name]=A2724)*(expected_production[Date]=B2724)*ISNUMBER(expected_production[Expected Production (kWh)]))=0,"",SUMIFS(expected_production[Expected Production (kWh)],expected_production[Site Name],A2724,expected_production[Date],B2724)),"")</f>
        <v>28991.7</v>
      </c>
      <c r="E2724" s="9" t="str">
        <f t="shared" si="86"/>
        <v/>
      </c>
      <c r="F2724" t="str">
        <f t="shared" si="87"/>
        <v/>
      </c>
    </row>
    <row r="2725" spans="1:7" x14ac:dyDescent="0.3">
      <c r="A2725" t="s">
        <v>250</v>
      </c>
      <c r="B2725" s="2">
        <v>45992</v>
      </c>
      <c r="C2725" t="str" cm="1">
        <f t="array" ref="C2725">IFERROR(IF(SUMPRODUCT((measured[Site Name]=A2725)*(measured[Date]=B2725)*ISNUMBER(measured[Measured Value (kWh)]))=0,"",SUMIFS(measured[Measured Value (kWh)],measured[Site Name],A2725,measured[Date],B2725)),"")</f>
        <v/>
      </c>
      <c r="D2725" cm="1">
        <f t="array" ref="D2725">IFERROR(IF(SUMPRODUCT((expected_production[Site Name]=A2725)*(expected_production[Date]=B2725)*ISNUMBER(expected_production[Expected Production (kWh)]))=0,"",SUMIFS(expected_production[Expected Production (kWh)],expected_production[Site Name],A2725,expected_production[Date],B2725)),"")</f>
        <v>28903.5</v>
      </c>
      <c r="E2725" s="9" t="str">
        <f t="shared" si="86"/>
        <v/>
      </c>
      <c r="F2725" t="str">
        <f t="shared" si="87"/>
        <v/>
      </c>
    </row>
    <row r="2726" spans="1:7" x14ac:dyDescent="0.3">
      <c r="A2726" t="s">
        <v>250</v>
      </c>
      <c r="B2726" s="2">
        <v>46023</v>
      </c>
      <c r="C2726" t="str" cm="1">
        <f t="array" ref="C2726">IFERROR(IF(SUMPRODUCT((measured[Site Name]=A2726)*(measured[Date]=B2726)*ISNUMBER(measured[Measured Value (kWh)]))=0,"",SUMIFS(measured[Measured Value (kWh)],measured[Site Name],A2726,measured[Date],B2726)),"")</f>
        <v/>
      </c>
      <c r="D2726" cm="1">
        <f t="array" ref="D2726">IFERROR(IF(SUMPRODUCT((expected_production[Site Name]=A2726)*(expected_production[Date]=B2726)*ISNUMBER(expected_production[Expected Production (kWh)]))=0,"",SUMIFS(expected_production[Expected Production (kWh)],expected_production[Site Name],A2726,expected_production[Date],B2726)),"")</f>
        <v>28877.4</v>
      </c>
      <c r="E2726" s="9" t="str">
        <f t="shared" si="86"/>
        <v/>
      </c>
      <c r="F2726" t="str">
        <f t="shared" si="87"/>
        <v/>
      </c>
    </row>
    <row r="2727" spans="1:7" x14ac:dyDescent="0.3">
      <c r="A2727" t="s">
        <v>250</v>
      </c>
      <c r="B2727" s="2">
        <v>46054</v>
      </c>
      <c r="C2727" t="str" cm="1">
        <f t="array" ref="C2727">IFERROR(IF(SUMPRODUCT((measured[Site Name]=A2727)*(measured[Date]=B2727)*ISNUMBER(measured[Measured Value (kWh)]))=0,"",SUMIFS(measured[Measured Value (kWh)],measured[Site Name],A2727,measured[Date],B2727)),"")</f>
        <v/>
      </c>
      <c r="D2727" cm="1">
        <f t="array" ref="D2727">IFERROR(IF(SUMPRODUCT((expected_production[Site Name]=A2727)*(expected_production[Date]=B2727)*ISNUMBER(expected_production[Expected Production (kWh)]))=0,"",SUMIFS(expected_production[Expected Production (kWh)],expected_production[Site Name],A2727,expected_production[Date],B2727)),"")</f>
        <v>25884.9</v>
      </c>
      <c r="E2727" s="9" t="str">
        <f t="shared" si="86"/>
        <v/>
      </c>
      <c r="F2727" t="str">
        <f t="shared" si="87"/>
        <v/>
      </c>
    </row>
    <row r="2728" spans="1:7" x14ac:dyDescent="0.3">
      <c r="A2728" t="s">
        <v>250</v>
      </c>
      <c r="B2728" s="2">
        <v>46082</v>
      </c>
      <c r="C2728" t="str" cm="1">
        <f t="array" ref="C2728">IFERROR(IF(SUMPRODUCT((measured[Site Name]=A2728)*(measured[Date]=B2728)*ISNUMBER(measured[Measured Value (kWh)]))=0,"",SUMIFS(measured[Measured Value (kWh)],measured[Site Name],A2728,measured[Date],B2728)),"")</f>
        <v/>
      </c>
      <c r="D2728" cm="1">
        <f t="array" ref="D2728">IFERROR(IF(SUMPRODUCT((expected_production[Site Name]=A2728)*(expected_production[Date]=B2728)*ISNUMBER(expected_production[Expected Production (kWh)]))=0,"",SUMIFS(expected_production[Expected Production (kWh)],expected_production[Site Name],A2728,expected_production[Date],B2728)),"")</f>
        <v>27341.100000000002</v>
      </c>
      <c r="E2728" s="9" t="str">
        <f t="shared" si="86"/>
        <v/>
      </c>
      <c r="F2728" t="str">
        <f t="shared" si="87"/>
        <v/>
      </c>
    </row>
    <row r="2729" spans="1:7" x14ac:dyDescent="0.3">
      <c r="A2729" t="s">
        <v>250</v>
      </c>
      <c r="B2729" s="2">
        <v>46113</v>
      </c>
      <c r="C2729" t="str" cm="1">
        <f t="array" ref="C2729">IFERROR(IF(SUMPRODUCT((measured[Site Name]=A2729)*(measured[Date]=B2729)*ISNUMBER(measured[Measured Value (kWh)]))=0,"",SUMIFS(measured[Measured Value (kWh)],measured[Site Name],A2729,measured[Date],B2729)),"")</f>
        <v/>
      </c>
      <c r="D2729" cm="1">
        <f t="array" ref="D2729">IFERROR(IF(SUMPRODUCT((expected_production[Site Name]=A2729)*(expected_production[Date]=B2729)*ISNUMBER(expected_production[Expected Production (kWh)]))=0,"",SUMIFS(expected_production[Expected Production (kWh)],expected_production[Site Name],A2729,expected_production[Date],B2729)),"")</f>
        <v>27823.5</v>
      </c>
      <c r="E2729" s="9" t="str">
        <f t="shared" si="86"/>
        <v/>
      </c>
      <c r="F2729" t="str">
        <f t="shared" si="87"/>
        <v/>
      </c>
    </row>
    <row r="2730" spans="1:7" x14ac:dyDescent="0.3">
      <c r="A2730" t="s">
        <v>250</v>
      </c>
      <c r="B2730" s="2">
        <v>46143</v>
      </c>
      <c r="C2730" cm="1">
        <f t="array" ref="C2730">IFERROR(IF(SUMPRODUCT((measured[Site Name]=A2730)*(measured[Date]=B2730)*ISNUMBER(measured[Measured Value (kWh)]))=0,"",SUMIFS(measured[Measured Value (kWh)],measured[Site Name],A2730,measured[Date],B2730)),"")</f>
        <v>27917.200000000001</v>
      </c>
      <c r="D2730" cm="1">
        <f t="array" ref="D2730">IFERROR(IF(SUMPRODUCT((expected_production[Site Name]=A2730)*(expected_production[Date]=B2730)*ISNUMBER(expected_production[Expected Production (kWh)]))=0,"",SUMIFS(expected_production[Expected Production (kWh)],expected_production[Site Name],A2730,expected_production[Date],B2730)),"")</f>
        <v>29920.5</v>
      </c>
      <c r="E2730" s="9">
        <f t="shared" si="86"/>
        <v>0.93304590498153439</v>
      </c>
      <c r="F2730" t="str">
        <f t="shared" si="87"/>
        <v>Expected</v>
      </c>
    </row>
    <row r="2731" spans="1:7" x14ac:dyDescent="0.3">
      <c r="A2731" t="s">
        <v>250</v>
      </c>
      <c r="B2731" s="2">
        <v>46174</v>
      </c>
      <c r="C2731" cm="1">
        <f t="array" ref="C2731">IFERROR(IF(SUMPRODUCT((measured[Site Name]=A2731)*(measured[Date]=B2731)*ISNUMBER(measured[Measured Value (kWh)]))=0,"",SUMIFS(measured[Measured Value (kWh)],measured[Site Name],A2731,measured[Date],B2731)),"")</f>
        <v>25295</v>
      </c>
      <c r="D2731" cm="1">
        <f t="array" ref="D2731">IFERROR(IF(SUMPRODUCT((expected_production[Site Name]=A2731)*(expected_production[Date]=B2731)*ISNUMBER(expected_production[Expected Production (kWh)]))=0,"",SUMIFS(expected_production[Expected Production (kWh)],expected_production[Site Name],A2731,expected_production[Date],B2731)),"")</f>
        <v>28644.3</v>
      </c>
      <c r="E2731" s="9">
        <f t="shared" si="86"/>
        <v>0.88307272301993767</v>
      </c>
      <c r="F2731" t="str">
        <f t="shared" si="87"/>
        <v>Moderate</v>
      </c>
    </row>
    <row r="2732" spans="1:7" x14ac:dyDescent="0.3">
      <c r="A2732" t="s">
        <v>202</v>
      </c>
      <c r="B2732" s="2">
        <v>46204</v>
      </c>
      <c r="C2732" cm="1">
        <f t="array" ref="C2732">IFERROR(IF(SUMPRODUCT((measured[Site Name]=A2732)*(measured[Date]=B2732)*ISNUMBER(measured[Measured Value (kWh)]))=0,"",SUMIFS(measured[Measured Value (kWh)],measured[Site Name],A2732,measured[Date],B2732)),"")</f>
        <v>14705</v>
      </c>
      <c r="D2732" cm="1">
        <f t="array" ref="D2732">IFERROR(IF(SUMPRODUCT((expected_production[Site Name]=A2732)*(expected_production[Date]=B2732)*ISNUMBER(expected_production[Expected Production (kWh)]))=0,"",SUMIFS(expected_production[Expected Production (kWh)],expected_production[Site Name],A2732,expected_production[Date],B2732)),"")</f>
        <v>18900</v>
      </c>
      <c r="E2732" s="9">
        <f t="shared" si="86"/>
        <v>0.77804232804232809</v>
      </c>
      <c r="F2732" t="str">
        <f t="shared" si="87"/>
        <v>Moderate</v>
      </c>
      <c r="G2732" t="s">
        <v>874</v>
      </c>
    </row>
    <row r="2733" spans="1:7" x14ac:dyDescent="0.3">
      <c r="A2733" t="s">
        <v>250</v>
      </c>
      <c r="B2733" s="2">
        <v>46235</v>
      </c>
      <c r="C2733" t="str" cm="1">
        <f t="array" ref="C2733">IFERROR(IF(SUMPRODUCT((measured[Site Name]=A2733)*(measured[Date]=B2733)*ISNUMBER(measured[Measured Value (kWh)]))=0,"",SUMIFS(measured[Measured Value (kWh)],measured[Site Name],A2733,measured[Date],B2733)),"")</f>
        <v/>
      </c>
      <c r="D2733" cm="1">
        <f t="array" ref="D2733">IFERROR(IF(SUMPRODUCT((expected_production[Site Name]=A2733)*(expected_production[Date]=B2733)*ISNUMBER(expected_production[Expected Production (kWh)]))=0,"",SUMIFS(expected_production[Expected Production (kWh)],expected_production[Site Name],A2733,expected_production[Date],B2733)),"")</f>
        <v>31649.4</v>
      </c>
      <c r="E2733" s="9" t="str">
        <f t="shared" si="86"/>
        <v/>
      </c>
      <c r="F2733" t="str">
        <f t="shared" si="87"/>
        <v/>
      </c>
    </row>
    <row r="2734" spans="1:7" x14ac:dyDescent="0.3">
      <c r="A2734" t="s">
        <v>250</v>
      </c>
      <c r="B2734" s="2">
        <v>46266</v>
      </c>
      <c r="C2734" t="str" cm="1">
        <f t="array" ref="C2734">IFERROR(IF(SUMPRODUCT((measured[Site Name]=A2734)*(measured[Date]=B2734)*ISNUMBER(measured[Measured Value (kWh)]))=0,"",SUMIFS(measured[Measured Value (kWh)],measured[Site Name],A2734,measured[Date],B2734)),"")</f>
        <v/>
      </c>
      <c r="D2734" cm="1">
        <f t="array" ref="D2734">IFERROR(IF(SUMPRODUCT((expected_production[Site Name]=A2734)*(expected_production[Date]=B2734)*ISNUMBER(expected_production[Expected Production (kWh)]))=0,"",SUMIFS(expected_production[Expected Production (kWh)],expected_production[Site Name],A2734,expected_production[Date],B2734)),"")</f>
        <v>28250.100000000002</v>
      </c>
      <c r="E2734" s="9" t="str">
        <f t="shared" si="86"/>
        <v/>
      </c>
      <c r="F2734" t="str">
        <f t="shared" si="87"/>
        <v/>
      </c>
    </row>
    <row r="2735" spans="1:7" x14ac:dyDescent="0.3">
      <c r="A2735" t="s">
        <v>250</v>
      </c>
      <c r="B2735" s="2">
        <v>46296</v>
      </c>
      <c r="C2735" t="str" cm="1">
        <f t="array" ref="C2735">IFERROR(IF(SUMPRODUCT((measured[Site Name]=A2735)*(measured[Date]=B2735)*ISNUMBER(measured[Measured Value (kWh)]))=0,"",SUMIFS(measured[Measured Value (kWh)],measured[Site Name],A2735,measured[Date],B2735)),"")</f>
        <v/>
      </c>
      <c r="D2735" cm="1">
        <f t="array" ref="D2735">IFERROR(IF(SUMPRODUCT((expected_production[Site Name]=A2735)*(expected_production[Date]=B2735)*ISNUMBER(expected_production[Expected Production (kWh)]))=0,"",SUMIFS(expected_production[Expected Production (kWh)],expected_production[Site Name],A2735,expected_production[Date],B2735)),"")</f>
        <v>28466.100000000002</v>
      </c>
      <c r="E2735" s="9" t="str">
        <f t="shared" si="86"/>
        <v/>
      </c>
      <c r="F2735" t="str">
        <f t="shared" si="87"/>
        <v/>
      </c>
    </row>
    <row r="2736" spans="1:7" x14ac:dyDescent="0.3">
      <c r="A2736" t="s">
        <v>250</v>
      </c>
      <c r="B2736" s="2">
        <v>46327</v>
      </c>
      <c r="C2736" t="str" cm="1">
        <f t="array" ref="C2736">IFERROR(IF(SUMPRODUCT((measured[Site Name]=A2736)*(measured[Date]=B2736)*ISNUMBER(measured[Measured Value (kWh)]))=0,"",SUMIFS(measured[Measured Value (kWh)],measured[Site Name],A2736,measured[Date],B2736)),"")</f>
        <v/>
      </c>
      <c r="D2736" cm="1">
        <f t="array" ref="D2736">IFERROR(IF(SUMPRODUCT((expected_production[Site Name]=A2736)*(expected_production[Date]=B2736)*ISNUMBER(expected_production[Expected Production (kWh)]))=0,"",SUMIFS(expected_production[Expected Production (kWh)],expected_production[Site Name],A2736,expected_production[Date],B2736)),"")</f>
        <v>28991.7</v>
      </c>
      <c r="E2736" s="9" t="str">
        <f t="shared" si="86"/>
        <v/>
      </c>
      <c r="F2736" t="str">
        <f t="shared" si="87"/>
        <v/>
      </c>
    </row>
    <row r="2737" spans="1:6" x14ac:dyDescent="0.3">
      <c r="A2737" t="s">
        <v>250</v>
      </c>
      <c r="B2737" s="2">
        <v>46357</v>
      </c>
      <c r="C2737" t="str" cm="1">
        <f t="array" ref="C2737">IFERROR(IF(SUMPRODUCT((measured[Site Name]=A2737)*(measured[Date]=B2737)*ISNUMBER(measured[Measured Value (kWh)]))=0,"",SUMIFS(measured[Measured Value (kWh)],measured[Site Name],A2737,measured[Date],B2737)),"")</f>
        <v/>
      </c>
      <c r="D2737" cm="1">
        <f t="array" ref="D2737">IFERROR(IF(SUMPRODUCT((expected_production[Site Name]=A2737)*(expected_production[Date]=B2737)*ISNUMBER(expected_production[Expected Production (kWh)]))=0,"",SUMIFS(expected_production[Expected Production (kWh)],expected_production[Site Name],A2737,expected_production[Date],B2737)),"")</f>
        <v>28903.5</v>
      </c>
      <c r="E2737" s="9" t="str">
        <f t="shared" si="86"/>
        <v/>
      </c>
      <c r="F2737" t="str">
        <f t="shared" si="87"/>
        <v/>
      </c>
    </row>
    <row r="2738" spans="1:6" x14ac:dyDescent="0.3">
      <c r="A2738" t="s">
        <v>271</v>
      </c>
      <c r="B2738" s="2">
        <v>45292</v>
      </c>
      <c r="C2738" t="str" cm="1">
        <f t="array" ref="C2738">IFERROR(IF(SUMPRODUCT((measured[Site Name]=A2738)*(measured[Date]=B2738)*ISNUMBER(measured[Measured Value (kWh)]))=0,"",SUMIFS(measured[Measured Value (kWh)],measured[Site Name],A2738,measured[Date],B2738)),"")</f>
        <v/>
      </c>
      <c r="D2738" cm="1">
        <f t="array" ref="D2738">IFERROR(IF(SUMPRODUCT((expected_production[Site Name]=A2738)*(expected_production[Date]=B2738)*ISNUMBER(expected_production[Expected Production (kWh)]))=0,"",SUMIFS(expected_production[Expected Production (kWh)],expected_production[Site Name],A2738,expected_production[Date],B2738)),"")</f>
        <v>17370.900000000001</v>
      </c>
      <c r="E2738" s="9" t="str">
        <f t="shared" si="86"/>
        <v/>
      </c>
      <c r="F2738" t="str">
        <f t="shared" si="87"/>
        <v/>
      </c>
    </row>
    <row r="2739" spans="1:6" x14ac:dyDescent="0.3">
      <c r="A2739" t="s">
        <v>271</v>
      </c>
      <c r="B2739" s="2">
        <v>45323</v>
      </c>
      <c r="C2739" t="str" cm="1">
        <f t="array" ref="C2739">IFERROR(IF(SUMPRODUCT((measured[Site Name]=A2739)*(measured[Date]=B2739)*ISNUMBER(measured[Measured Value (kWh)]))=0,"",SUMIFS(measured[Measured Value (kWh)],measured[Site Name],A2739,measured[Date],B2739)),"")</f>
        <v/>
      </c>
      <c r="D2739" cm="1">
        <f t="array" ref="D2739">IFERROR(IF(SUMPRODUCT((expected_production[Site Name]=A2739)*(expected_production[Date]=B2739)*ISNUMBER(expected_production[Expected Production (kWh)]))=0,"",SUMIFS(expected_production[Expected Production (kWh)],expected_production[Site Name],A2739,expected_production[Date],B2739)),"")</f>
        <v>15077.7</v>
      </c>
      <c r="E2739" s="9" t="str">
        <f t="shared" si="86"/>
        <v/>
      </c>
      <c r="F2739" t="str">
        <f t="shared" si="87"/>
        <v/>
      </c>
    </row>
    <row r="2740" spans="1:6" x14ac:dyDescent="0.3">
      <c r="A2740" t="s">
        <v>271</v>
      </c>
      <c r="B2740" s="2">
        <v>45352</v>
      </c>
      <c r="C2740" t="str" cm="1">
        <f t="array" ref="C2740">IFERROR(IF(SUMPRODUCT((measured[Site Name]=A2740)*(measured[Date]=B2740)*ISNUMBER(measured[Measured Value (kWh)]))=0,"",SUMIFS(measured[Measured Value (kWh)],measured[Site Name],A2740,measured[Date],B2740)),"")</f>
        <v/>
      </c>
      <c r="D2740" cm="1">
        <f t="array" ref="D2740">IFERROR(IF(SUMPRODUCT((expected_production[Site Name]=A2740)*(expected_production[Date]=B2740)*ISNUMBER(expected_production[Expected Production (kWh)]))=0,"",SUMIFS(expected_production[Expected Production (kWh)],expected_production[Site Name],A2740,expected_production[Date],B2740)),"")</f>
        <v>14634</v>
      </c>
      <c r="E2740" s="9" t="str">
        <f t="shared" si="86"/>
        <v/>
      </c>
      <c r="F2740" t="str">
        <f t="shared" si="87"/>
        <v/>
      </c>
    </row>
    <row r="2741" spans="1:6" x14ac:dyDescent="0.3">
      <c r="A2741" t="s">
        <v>271</v>
      </c>
      <c r="B2741" s="2">
        <v>45383</v>
      </c>
      <c r="C2741" t="str" cm="1">
        <f t="array" ref="C2741">IFERROR(IF(SUMPRODUCT((measured[Site Name]=A2741)*(measured[Date]=B2741)*ISNUMBER(measured[Measured Value (kWh)]))=0,"",SUMIFS(measured[Measured Value (kWh)],measured[Site Name],A2741,measured[Date],B2741)),"")</f>
        <v/>
      </c>
      <c r="D2741" cm="1">
        <f t="array" ref="D2741">IFERROR(IF(SUMPRODUCT((expected_production[Site Name]=A2741)*(expected_production[Date]=B2741)*ISNUMBER(expected_production[Expected Production (kWh)]))=0,"",SUMIFS(expected_production[Expected Production (kWh)],expected_production[Site Name],A2741,expected_production[Date],B2741)),"")</f>
        <v>12420</v>
      </c>
      <c r="E2741" s="9" t="str">
        <f t="shared" si="86"/>
        <v/>
      </c>
      <c r="F2741" t="str">
        <f t="shared" si="87"/>
        <v/>
      </c>
    </row>
    <row r="2742" spans="1:6" x14ac:dyDescent="0.3">
      <c r="A2742" t="s">
        <v>271</v>
      </c>
      <c r="B2742" s="2">
        <v>45413</v>
      </c>
      <c r="C2742" t="str" cm="1">
        <f t="array" ref="C2742">IFERROR(IF(SUMPRODUCT((measured[Site Name]=A2742)*(measured[Date]=B2742)*ISNUMBER(measured[Measured Value (kWh)]))=0,"",SUMIFS(measured[Measured Value (kWh)],measured[Site Name],A2742,measured[Date],B2742)),"")</f>
        <v/>
      </c>
      <c r="D2742" cm="1">
        <f t="array" ref="D2742">IFERROR(IF(SUMPRODUCT((expected_production[Site Name]=A2742)*(expected_production[Date]=B2742)*ISNUMBER(expected_production[Expected Production (kWh)]))=0,"",SUMIFS(expected_production[Expected Production (kWh)],expected_production[Site Name],A2742,expected_production[Date],B2742)),"")</f>
        <v>11402.1</v>
      </c>
      <c r="E2742" s="9" t="str">
        <f t="shared" si="86"/>
        <v/>
      </c>
      <c r="F2742" t="str">
        <f t="shared" si="87"/>
        <v/>
      </c>
    </row>
    <row r="2743" spans="1:6" x14ac:dyDescent="0.3">
      <c r="A2743" t="s">
        <v>271</v>
      </c>
      <c r="B2743" s="2">
        <v>45444</v>
      </c>
      <c r="C2743" t="str" cm="1">
        <f t="array" ref="C2743">IFERROR(IF(SUMPRODUCT((measured[Site Name]=A2743)*(measured[Date]=B2743)*ISNUMBER(measured[Measured Value (kWh)]))=0,"",SUMIFS(measured[Measured Value (kWh)],measured[Site Name],A2743,measured[Date],B2743)),"")</f>
        <v/>
      </c>
      <c r="D2743" cm="1">
        <f t="array" ref="D2743">IFERROR(IF(SUMPRODUCT((expected_production[Site Name]=A2743)*(expected_production[Date]=B2743)*ISNUMBER(expected_production[Expected Production (kWh)]))=0,"",SUMIFS(expected_production[Expected Production (kWh)],expected_production[Site Name],A2743,expected_production[Date],B2743)),"")</f>
        <v>9989.1</v>
      </c>
      <c r="E2743" s="9" t="str">
        <f t="shared" si="86"/>
        <v/>
      </c>
      <c r="F2743" t="str">
        <f t="shared" si="87"/>
        <v/>
      </c>
    </row>
    <row r="2744" spans="1:6" x14ac:dyDescent="0.3">
      <c r="A2744" t="s">
        <v>271</v>
      </c>
      <c r="B2744" s="2">
        <v>45474</v>
      </c>
      <c r="C2744" t="str" cm="1">
        <f t="array" ref="C2744">IFERROR(IF(SUMPRODUCT((measured[Site Name]=A2744)*(measured[Date]=B2744)*ISNUMBER(measured[Measured Value (kWh)]))=0,"",SUMIFS(measured[Measured Value (kWh)],measured[Site Name],A2744,measured[Date],B2744)),"")</f>
        <v/>
      </c>
      <c r="D2744" cm="1">
        <f t="array" ref="D2744">IFERROR(IF(SUMPRODUCT((expected_production[Site Name]=A2744)*(expected_production[Date]=B2744)*ISNUMBER(expected_production[Expected Production (kWh)]))=0,"",SUMIFS(expected_production[Expected Production (kWh)],expected_production[Site Name],A2744,expected_production[Date],B2744)),"")</f>
        <v>10986.300000000001</v>
      </c>
      <c r="E2744" s="9" t="str">
        <f t="shared" si="86"/>
        <v/>
      </c>
      <c r="F2744" t="str">
        <f t="shared" si="87"/>
        <v/>
      </c>
    </row>
    <row r="2745" spans="1:6" x14ac:dyDescent="0.3">
      <c r="A2745" t="s">
        <v>271</v>
      </c>
      <c r="B2745" s="2">
        <v>45505</v>
      </c>
      <c r="C2745" t="str" cm="1">
        <f t="array" ref="C2745">IFERROR(IF(SUMPRODUCT((measured[Site Name]=A2745)*(measured[Date]=B2745)*ISNUMBER(measured[Measured Value (kWh)]))=0,"",SUMIFS(measured[Measured Value (kWh)],measured[Site Name],A2745,measured[Date],B2745)),"")</f>
        <v/>
      </c>
      <c r="D2745" cm="1">
        <f t="array" ref="D2745">IFERROR(IF(SUMPRODUCT((expected_production[Site Name]=A2745)*(expected_production[Date]=B2745)*ISNUMBER(expected_production[Expected Production (kWh)]))=0,"",SUMIFS(expected_production[Expected Production (kWh)],expected_production[Site Name],A2745,expected_production[Date],B2745)),"")</f>
        <v>13108.77</v>
      </c>
      <c r="E2745" s="9" t="str">
        <f t="shared" si="86"/>
        <v/>
      </c>
      <c r="F2745" t="str">
        <f t="shared" si="87"/>
        <v/>
      </c>
    </row>
    <row r="2746" spans="1:6" x14ac:dyDescent="0.3">
      <c r="A2746" t="s">
        <v>271</v>
      </c>
      <c r="B2746" s="2">
        <v>45536</v>
      </c>
      <c r="C2746" t="str" cm="1">
        <f t="array" ref="C2746">IFERROR(IF(SUMPRODUCT((measured[Site Name]=A2746)*(measured[Date]=B2746)*ISNUMBER(measured[Measured Value (kWh)]))=0,"",SUMIFS(measured[Measured Value (kWh)],measured[Site Name],A2746,measured[Date],B2746)),"")</f>
        <v/>
      </c>
      <c r="D2746" cm="1">
        <f t="array" ref="D2746">IFERROR(IF(SUMPRODUCT((expected_production[Site Name]=A2746)*(expected_production[Date]=B2746)*ISNUMBER(expected_production[Expected Production (kWh)]))=0,"",SUMIFS(expected_production[Expected Production (kWh)],expected_production[Site Name],A2746,expected_production[Date],B2746)),"")</f>
        <v>14833.17</v>
      </c>
      <c r="E2746" s="9" t="str">
        <f t="shared" si="86"/>
        <v/>
      </c>
      <c r="F2746" t="str">
        <f t="shared" si="87"/>
        <v/>
      </c>
    </row>
    <row r="2747" spans="1:6" x14ac:dyDescent="0.3">
      <c r="A2747" t="s">
        <v>271</v>
      </c>
      <c r="B2747" s="2">
        <v>45566</v>
      </c>
      <c r="C2747" t="str" cm="1">
        <f t="array" ref="C2747">IFERROR(IF(SUMPRODUCT((measured[Site Name]=A2747)*(measured[Date]=B2747)*ISNUMBER(measured[Measured Value (kWh)]))=0,"",SUMIFS(measured[Measured Value (kWh)],measured[Site Name],A2747,measured[Date],B2747)),"")</f>
        <v/>
      </c>
      <c r="D2747" cm="1">
        <f t="array" ref="D2747">IFERROR(IF(SUMPRODUCT((expected_production[Site Name]=A2747)*(expected_production[Date]=B2747)*ISNUMBER(expected_production[Expected Production (kWh)]))=0,"",SUMIFS(expected_production[Expected Production (kWh)],expected_production[Site Name],A2747,expected_production[Date],B2747)),"")</f>
        <v>17053.2</v>
      </c>
      <c r="E2747" s="9" t="str">
        <f t="shared" si="86"/>
        <v/>
      </c>
      <c r="F2747" t="str">
        <f t="shared" si="87"/>
        <v/>
      </c>
    </row>
    <row r="2748" spans="1:6" x14ac:dyDescent="0.3">
      <c r="A2748" t="s">
        <v>271</v>
      </c>
      <c r="B2748" s="2">
        <v>45597</v>
      </c>
      <c r="C2748" t="str" cm="1">
        <f t="array" ref="C2748">IFERROR(IF(SUMPRODUCT((measured[Site Name]=A2748)*(measured[Date]=B2748)*ISNUMBER(measured[Measured Value (kWh)]))=0,"",SUMIFS(measured[Measured Value (kWh)],measured[Site Name],A2748,measured[Date],B2748)),"")</f>
        <v/>
      </c>
      <c r="D2748" cm="1">
        <f t="array" ref="D2748">IFERROR(IF(SUMPRODUCT((expected_production[Site Name]=A2748)*(expected_production[Date]=B2748)*ISNUMBER(expected_production[Expected Production (kWh)]))=0,"",SUMIFS(expected_production[Expected Production (kWh)],expected_production[Site Name],A2748,expected_production[Date],B2748)),"")</f>
        <v>17239.5</v>
      </c>
      <c r="E2748" s="9" t="str">
        <f t="shared" ref="E2748:E2768" si="88">IF(OR(C2748="",D2748="",D2748=0),"",C2748/D2748)</f>
        <v/>
      </c>
      <c r="F2748" t="str">
        <f t="shared" ref="F2748:F2768" si="89">IF(E2748="","",IF(E2748&gt;=0.9,"Expected",IF(E2748&gt;=0.7,"Moderate","Poor")))</f>
        <v/>
      </c>
    </row>
    <row r="2749" spans="1:6" x14ac:dyDescent="0.3">
      <c r="A2749" t="s">
        <v>271</v>
      </c>
      <c r="B2749" s="2">
        <v>45627</v>
      </c>
      <c r="C2749" t="str" cm="1">
        <f t="array" ref="C2749">IFERROR(IF(SUMPRODUCT((measured[Site Name]=A2749)*(measured[Date]=B2749)*ISNUMBER(measured[Measured Value (kWh)]))=0,"",SUMIFS(measured[Measured Value (kWh)],measured[Site Name],A2749,measured[Date],B2749)),"")</f>
        <v/>
      </c>
      <c r="D2749" cm="1">
        <f t="array" ref="D2749">IFERROR(IF(SUMPRODUCT((expected_production[Site Name]=A2749)*(expected_production[Date]=B2749)*ISNUMBER(expected_production[Expected Production (kWh)]))=0,"",SUMIFS(expected_production[Expected Production (kWh)],expected_production[Site Name],A2749,expected_production[Date],B2749)),"")</f>
        <v>17465.400000000001</v>
      </c>
      <c r="E2749" s="9" t="str">
        <f t="shared" si="88"/>
        <v/>
      </c>
      <c r="F2749" t="str">
        <f t="shared" si="89"/>
        <v/>
      </c>
    </row>
    <row r="2750" spans="1:6" x14ac:dyDescent="0.3">
      <c r="A2750" t="s">
        <v>271</v>
      </c>
      <c r="B2750" s="2">
        <v>45658</v>
      </c>
      <c r="C2750" t="str" cm="1">
        <f t="array" ref="C2750">IFERROR(IF(SUMPRODUCT((measured[Site Name]=A2750)*(measured[Date]=B2750)*ISNUMBER(measured[Measured Value (kWh)]))=0,"",SUMIFS(measured[Measured Value (kWh)],measured[Site Name],A2750,measured[Date],B2750)),"")</f>
        <v/>
      </c>
      <c r="D2750" cm="1">
        <f t="array" ref="D2750">IFERROR(IF(SUMPRODUCT((expected_production[Site Name]=A2750)*(expected_production[Date]=B2750)*ISNUMBER(expected_production[Expected Production (kWh)]))=0,"",SUMIFS(expected_production[Expected Production (kWh)],expected_production[Site Name],A2750,expected_production[Date],B2750)),"")</f>
        <v>17370.900000000001</v>
      </c>
      <c r="E2750" s="9" t="str">
        <f t="shared" si="88"/>
        <v/>
      </c>
      <c r="F2750" t="str">
        <f t="shared" si="89"/>
        <v/>
      </c>
    </row>
    <row r="2751" spans="1:6" x14ac:dyDescent="0.3">
      <c r="A2751" t="s">
        <v>271</v>
      </c>
      <c r="B2751" s="2">
        <v>45689</v>
      </c>
      <c r="C2751" t="str" cm="1">
        <f t="array" ref="C2751">IFERROR(IF(SUMPRODUCT((measured[Site Name]=A2751)*(measured[Date]=B2751)*ISNUMBER(measured[Measured Value (kWh)]))=0,"",SUMIFS(measured[Measured Value (kWh)],measured[Site Name],A2751,measured[Date],B2751)),"")</f>
        <v/>
      </c>
      <c r="D2751" cm="1">
        <f t="array" ref="D2751">IFERROR(IF(SUMPRODUCT((expected_production[Site Name]=A2751)*(expected_production[Date]=B2751)*ISNUMBER(expected_production[Expected Production (kWh)]))=0,"",SUMIFS(expected_production[Expected Production (kWh)],expected_production[Site Name],A2751,expected_production[Date],B2751)),"")</f>
        <v>15077.7</v>
      </c>
      <c r="E2751" s="9" t="str">
        <f t="shared" si="88"/>
        <v/>
      </c>
      <c r="F2751" t="str">
        <f t="shared" si="89"/>
        <v/>
      </c>
    </row>
    <row r="2752" spans="1:6" x14ac:dyDescent="0.3">
      <c r="A2752" t="s">
        <v>271</v>
      </c>
      <c r="B2752" s="2">
        <v>45717</v>
      </c>
      <c r="C2752" t="str" cm="1">
        <f t="array" ref="C2752">IFERROR(IF(SUMPRODUCT((measured[Site Name]=A2752)*(measured[Date]=B2752)*ISNUMBER(measured[Measured Value (kWh)]))=0,"",SUMIFS(measured[Measured Value (kWh)],measured[Site Name],A2752,measured[Date],B2752)),"")</f>
        <v/>
      </c>
      <c r="D2752" cm="1">
        <f t="array" ref="D2752">IFERROR(IF(SUMPRODUCT((expected_production[Site Name]=A2752)*(expected_production[Date]=B2752)*ISNUMBER(expected_production[Expected Production (kWh)]))=0,"",SUMIFS(expected_production[Expected Production (kWh)],expected_production[Site Name],A2752,expected_production[Date],B2752)),"")</f>
        <v>14634</v>
      </c>
      <c r="E2752" s="9" t="str">
        <f t="shared" si="88"/>
        <v/>
      </c>
      <c r="F2752" t="str">
        <f t="shared" si="89"/>
        <v/>
      </c>
    </row>
    <row r="2753" spans="1:6" x14ac:dyDescent="0.3">
      <c r="A2753" t="s">
        <v>271</v>
      </c>
      <c r="B2753" s="2">
        <v>45748</v>
      </c>
      <c r="C2753" t="str" cm="1">
        <f t="array" ref="C2753">IFERROR(IF(SUMPRODUCT((measured[Site Name]=A2753)*(measured[Date]=B2753)*ISNUMBER(measured[Measured Value (kWh)]))=0,"",SUMIFS(measured[Measured Value (kWh)],measured[Site Name],A2753,measured[Date],B2753)),"")</f>
        <v/>
      </c>
      <c r="D2753" cm="1">
        <f t="array" ref="D2753">IFERROR(IF(SUMPRODUCT((expected_production[Site Name]=A2753)*(expected_production[Date]=B2753)*ISNUMBER(expected_production[Expected Production (kWh)]))=0,"",SUMIFS(expected_production[Expected Production (kWh)],expected_production[Site Name],A2753,expected_production[Date],B2753)),"")</f>
        <v>12420</v>
      </c>
      <c r="E2753" s="9" t="str">
        <f t="shared" si="88"/>
        <v/>
      </c>
      <c r="F2753" t="str">
        <f t="shared" si="89"/>
        <v/>
      </c>
    </row>
    <row r="2754" spans="1:6" x14ac:dyDescent="0.3">
      <c r="A2754" t="s">
        <v>271</v>
      </c>
      <c r="B2754" s="2">
        <v>45778</v>
      </c>
      <c r="C2754" t="str" cm="1">
        <f t="array" ref="C2754">IFERROR(IF(SUMPRODUCT((measured[Site Name]=A2754)*(measured[Date]=B2754)*ISNUMBER(measured[Measured Value (kWh)]))=0,"",SUMIFS(measured[Measured Value (kWh)],measured[Site Name],A2754,measured[Date],B2754)),"")</f>
        <v/>
      </c>
      <c r="D2754" cm="1">
        <f t="array" ref="D2754">IFERROR(IF(SUMPRODUCT((expected_production[Site Name]=A2754)*(expected_production[Date]=B2754)*ISNUMBER(expected_production[Expected Production (kWh)]))=0,"",SUMIFS(expected_production[Expected Production (kWh)],expected_production[Site Name],A2754,expected_production[Date],B2754)),"")</f>
        <v>11402.1</v>
      </c>
      <c r="E2754" s="9" t="str">
        <f t="shared" si="88"/>
        <v/>
      </c>
      <c r="F2754" t="str">
        <f t="shared" si="89"/>
        <v/>
      </c>
    </row>
    <row r="2755" spans="1:6" x14ac:dyDescent="0.3">
      <c r="A2755" t="s">
        <v>271</v>
      </c>
      <c r="B2755" s="2">
        <v>45809</v>
      </c>
      <c r="C2755" t="str" cm="1">
        <f t="array" ref="C2755">IFERROR(IF(SUMPRODUCT((measured[Site Name]=A2755)*(measured[Date]=B2755)*ISNUMBER(measured[Measured Value (kWh)]))=0,"",SUMIFS(measured[Measured Value (kWh)],measured[Site Name],A2755,measured[Date],B2755)),"")</f>
        <v/>
      </c>
      <c r="D2755" cm="1">
        <f t="array" ref="D2755">IFERROR(IF(SUMPRODUCT((expected_production[Site Name]=A2755)*(expected_production[Date]=B2755)*ISNUMBER(expected_production[Expected Production (kWh)]))=0,"",SUMIFS(expected_production[Expected Production (kWh)],expected_production[Site Name],A2755,expected_production[Date],B2755)),"")</f>
        <v>9989.1</v>
      </c>
      <c r="E2755" s="9" t="str">
        <f t="shared" si="88"/>
        <v/>
      </c>
      <c r="F2755" t="str">
        <f t="shared" si="89"/>
        <v/>
      </c>
    </row>
    <row r="2756" spans="1:6" x14ac:dyDescent="0.3">
      <c r="A2756" t="s">
        <v>271</v>
      </c>
      <c r="B2756" s="2">
        <v>45839</v>
      </c>
      <c r="C2756" t="str" cm="1">
        <f t="array" ref="C2756">IFERROR(IF(SUMPRODUCT((measured[Site Name]=A2756)*(measured[Date]=B2756)*ISNUMBER(measured[Measured Value (kWh)]))=0,"",SUMIFS(measured[Measured Value (kWh)],measured[Site Name],A2756,measured[Date],B2756)),"")</f>
        <v/>
      </c>
      <c r="D2756" cm="1">
        <f t="array" ref="D2756">IFERROR(IF(SUMPRODUCT((expected_production[Site Name]=A2756)*(expected_production[Date]=B2756)*ISNUMBER(expected_production[Expected Production (kWh)]))=0,"",SUMIFS(expected_production[Expected Production (kWh)],expected_production[Site Name],A2756,expected_production[Date],B2756)),"")</f>
        <v>10986.300000000001</v>
      </c>
      <c r="E2756" s="9" t="str">
        <f t="shared" si="88"/>
        <v/>
      </c>
      <c r="F2756" t="str">
        <f t="shared" si="89"/>
        <v/>
      </c>
    </row>
    <row r="2757" spans="1:6" x14ac:dyDescent="0.3">
      <c r="A2757" t="s">
        <v>271</v>
      </c>
      <c r="B2757" s="2">
        <v>45870</v>
      </c>
      <c r="C2757" t="str" cm="1">
        <f t="array" ref="C2757">IFERROR(IF(SUMPRODUCT((measured[Site Name]=A2757)*(measured[Date]=B2757)*ISNUMBER(measured[Measured Value (kWh)]))=0,"",SUMIFS(measured[Measured Value (kWh)],measured[Site Name],A2757,measured[Date],B2757)),"")</f>
        <v/>
      </c>
      <c r="D2757" cm="1">
        <f t="array" ref="D2757">IFERROR(IF(SUMPRODUCT((expected_production[Site Name]=A2757)*(expected_production[Date]=B2757)*ISNUMBER(expected_production[Expected Production (kWh)]))=0,"",SUMIFS(expected_production[Expected Production (kWh)],expected_production[Site Name],A2757,expected_production[Date],B2757)),"")</f>
        <v>13108.77</v>
      </c>
      <c r="E2757" s="9" t="str">
        <f t="shared" si="88"/>
        <v/>
      </c>
      <c r="F2757" t="str">
        <f t="shared" si="89"/>
        <v/>
      </c>
    </row>
    <row r="2758" spans="1:6" x14ac:dyDescent="0.3">
      <c r="A2758" t="s">
        <v>271</v>
      </c>
      <c r="B2758" s="2">
        <v>45901</v>
      </c>
      <c r="C2758" t="str" cm="1">
        <f t="array" ref="C2758">IFERROR(IF(SUMPRODUCT((measured[Site Name]=A2758)*(measured[Date]=B2758)*ISNUMBER(measured[Measured Value (kWh)]))=0,"",SUMIFS(measured[Measured Value (kWh)],measured[Site Name],A2758,measured[Date],B2758)),"")</f>
        <v/>
      </c>
      <c r="D2758" cm="1">
        <f t="array" ref="D2758">IFERROR(IF(SUMPRODUCT((expected_production[Site Name]=A2758)*(expected_production[Date]=B2758)*ISNUMBER(expected_production[Expected Production (kWh)]))=0,"",SUMIFS(expected_production[Expected Production (kWh)],expected_production[Site Name],A2758,expected_production[Date],B2758)),"")</f>
        <v>14833.17</v>
      </c>
      <c r="E2758" s="9" t="str">
        <f t="shared" si="88"/>
        <v/>
      </c>
      <c r="F2758" t="str">
        <f t="shared" si="89"/>
        <v/>
      </c>
    </row>
    <row r="2759" spans="1:6" x14ac:dyDescent="0.3">
      <c r="A2759" t="s">
        <v>271</v>
      </c>
      <c r="B2759" s="2">
        <v>45931</v>
      </c>
      <c r="C2759" t="str" cm="1">
        <f t="array" ref="C2759">IFERROR(IF(SUMPRODUCT((measured[Site Name]=A2759)*(measured[Date]=B2759)*ISNUMBER(measured[Measured Value (kWh)]))=0,"",SUMIFS(measured[Measured Value (kWh)],measured[Site Name],A2759,measured[Date],B2759)),"")</f>
        <v/>
      </c>
      <c r="D2759" cm="1">
        <f t="array" ref="D2759">IFERROR(IF(SUMPRODUCT((expected_production[Site Name]=A2759)*(expected_production[Date]=B2759)*ISNUMBER(expected_production[Expected Production (kWh)]))=0,"",SUMIFS(expected_production[Expected Production (kWh)],expected_production[Site Name],A2759,expected_production[Date],B2759)),"")</f>
        <v>17053.2</v>
      </c>
      <c r="E2759" s="9" t="str">
        <f t="shared" si="88"/>
        <v/>
      </c>
      <c r="F2759" t="str">
        <f t="shared" si="89"/>
        <v/>
      </c>
    </row>
    <row r="2760" spans="1:6" x14ac:dyDescent="0.3">
      <c r="A2760" t="s">
        <v>271</v>
      </c>
      <c r="B2760" s="2">
        <v>45962</v>
      </c>
      <c r="C2760" t="str" cm="1">
        <f t="array" ref="C2760">IFERROR(IF(SUMPRODUCT((measured[Site Name]=A2760)*(measured[Date]=B2760)*ISNUMBER(measured[Measured Value (kWh)]))=0,"",SUMIFS(measured[Measured Value (kWh)],measured[Site Name],A2760,measured[Date],B2760)),"")</f>
        <v/>
      </c>
      <c r="D2760" cm="1">
        <f t="array" ref="D2760">IFERROR(IF(SUMPRODUCT((expected_production[Site Name]=A2760)*(expected_production[Date]=B2760)*ISNUMBER(expected_production[Expected Production (kWh)]))=0,"",SUMIFS(expected_production[Expected Production (kWh)],expected_production[Site Name],A2760,expected_production[Date],B2760)),"")</f>
        <v>17239.5</v>
      </c>
      <c r="E2760" s="9" t="str">
        <f t="shared" si="88"/>
        <v/>
      </c>
      <c r="F2760" t="str">
        <f t="shared" si="89"/>
        <v/>
      </c>
    </row>
    <row r="2761" spans="1:6" x14ac:dyDescent="0.3">
      <c r="A2761" t="s">
        <v>271</v>
      </c>
      <c r="B2761" s="2">
        <v>45992</v>
      </c>
      <c r="C2761" t="str" cm="1">
        <f t="array" ref="C2761">IFERROR(IF(SUMPRODUCT((measured[Site Name]=A2761)*(measured[Date]=B2761)*ISNUMBER(measured[Measured Value (kWh)]))=0,"",SUMIFS(measured[Measured Value (kWh)],measured[Site Name],A2761,measured[Date],B2761)),"")</f>
        <v/>
      </c>
      <c r="D2761" cm="1">
        <f t="array" ref="D2761">IFERROR(IF(SUMPRODUCT((expected_production[Site Name]=A2761)*(expected_production[Date]=B2761)*ISNUMBER(expected_production[Expected Production (kWh)]))=0,"",SUMIFS(expected_production[Expected Production (kWh)],expected_production[Site Name],A2761,expected_production[Date],B2761)),"")</f>
        <v>17465.400000000001</v>
      </c>
      <c r="E2761" s="9" t="str">
        <f t="shared" si="88"/>
        <v/>
      </c>
      <c r="F2761" t="str">
        <f t="shared" si="89"/>
        <v/>
      </c>
    </row>
    <row r="2762" spans="1:6" x14ac:dyDescent="0.3">
      <c r="A2762" t="s">
        <v>271</v>
      </c>
      <c r="B2762" s="2">
        <v>46023</v>
      </c>
      <c r="C2762" t="str" cm="1">
        <f t="array" ref="C2762">IFERROR(IF(SUMPRODUCT((measured[Site Name]=A2762)*(measured[Date]=B2762)*ISNUMBER(measured[Measured Value (kWh)]))=0,"",SUMIFS(measured[Measured Value (kWh)],measured[Site Name],A2762,measured[Date],B2762)),"")</f>
        <v/>
      </c>
      <c r="D2762" cm="1">
        <f t="array" ref="D2762">IFERROR(IF(SUMPRODUCT((expected_production[Site Name]=A2762)*(expected_production[Date]=B2762)*ISNUMBER(expected_production[Expected Production (kWh)]))=0,"",SUMIFS(expected_production[Expected Production (kWh)],expected_production[Site Name],A2762,expected_production[Date],B2762)),"")</f>
        <v>17370.900000000001</v>
      </c>
      <c r="E2762" s="9" t="str">
        <f t="shared" si="88"/>
        <v/>
      </c>
      <c r="F2762" t="str">
        <f t="shared" si="89"/>
        <v/>
      </c>
    </row>
    <row r="2763" spans="1:6" x14ac:dyDescent="0.3">
      <c r="A2763" t="s">
        <v>271</v>
      </c>
      <c r="B2763" s="2">
        <v>46054</v>
      </c>
      <c r="C2763" t="str" cm="1">
        <f t="array" ref="C2763">IFERROR(IF(SUMPRODUCT((measured[Site Name]=A2763)*(measured[Date]=B2763)*ISNUMBER(measured[Measured Value (kWh)]))=0,"",SUMIFS(measured[Measured Value (kWh)],measured[Site Name],A2763,measured[Date],B2763)),"")</f>
        <v/>
      </c>
      <c r="D2763" cm="1">
        <f t="array" ref="D2763">IFERROR(IF(SUMPRODUCT((expected_production[Site Name]=A2763)*(expected_production[Date]=B2763)*ISNUMBER(expected_production[Expected Production (kWh)]))=0,"",SUMIFS(expected_production[Expected Production (kWh)],expected_production[Site Name],A2763,expected_production[Date],B2763)),"")</f>
        <v>15077.7</v>
      </c>
      <c r="E2763" s="9" t="str">
        <f t="shared" si="88"/>
        <v/>
      </c>
      <c r="F2763" t="str">
        <f t="shared" si="89"/>
        <v/>
      </c>
    </row>
    <row r="2764" spans="1:6" x14ac:dyDescent="0.3">
      <c r="A2764" t="s">
        <v>271</v>
      </c>
      <c r="B2764" s="2">
        <v>46082</v>
      </c>
      <c r="C2764" t="str" cm="1">
        <f t="array" ref="C2764">IFERROR(IF(SUMPRODUCT((measured[Site Name]=A2764)*(measured[Date]=B2764)*ISNUMBER(measured[Measured Value (kWh)]))=0,"",SUMIFS(measured[Measured Value (kWh)],measured[Site Name],A2764,measured[Date],B2764)),"")</f>
        <v/>
      </c>
      <c r="D2764" cm="1">
        <f t="array" ref="D2764">IFERROR(IF(SUMPRODUCT((expected_production[Site Name]=A2764)*(expected_production[Date]=B2764)*ISNUMBER(expected_production[Expected Production (kWh)]))=0,"",SUMIFS(expected_production[Expected Production (kWh)],expected_production[Site Name],A2764,expected_production[Date],B2764)),"")</f>
        <v>14634</v>
      </c>
      <c r="E2764" s="9" t="str">
        <f t="shared" si="88"/>
        <v/>
      </c>
      <c r="F2764" t="str">
        <f t="shared" si="89"/>
        <v/>
      </c>
    </row>
    <row r="2765" spans="1:6" x14ac:dyDescent="0.3">
      <c r="A2765" t="s">
        <v>271</v>
      </c>
      <c r="B2765" s="2">
        <v>46113</v>
      </c>
      <c r="C2765" t="str" cm="1">
        <f t="array" ref="C2765">IFERROR(IF(SUMPRODUCT((measured[Site Name]=A2765)*(measured[Date]=B2765)*ISNUMBER(measured[Measured Value (kWh)]))=0,"",SUMIFS(measured[Measured Value (kWh)],measured[Site Name],A2765,measured[Date],B2765)),"")</f>
        <v/>
      </c>
      <c r="D2765" cm="1">
        <f t="array" ref="D2765">IFERROR(IF(SUMPRODUCT((expected_production[Site Name]=A2765)*(expected_production[Date]=B2765)*ISNUMBER(expected_production[Expected Production (kWh)]))=0,"",SUMIFS(expected_production[Expected Production (kWh)],expected_production[Site Name],A2765,expected_production[Date],B2765)),"")</f>
        <v>12420</v>
      </c>
      <c r="E2765" s="9" t="str">
        <f t="shared" si="88"/>
        <v/>
      </c>
      <c r="F2765" t="str">
        <f t="shared" si="89"/>
        <v/>
      </c>
    </row>
    <row r="2766" spans="1:6" x14ac:dyDescent="0.3">
      <c r="A2766" t="s">
        <v>271</v>
      </c>
      <c r="B2766" s="2">
        <v>46143</v>
      </c>
      <c r="C2766" t="str" cm="1">
        <f t="array" ref="C2766">IFERROR(IF(SUMPRODUCT((measured[Site Name]=A2766)*(measured[Date]=B2766)*ISNUMBER(measured[Measured Value (kWh)]))=0,"",SUMIFS(measured[Measured Value (kWh)],measured[Site Name],A2766,measured[Date],B2766)),"")</f>
        <v/>
      </c>
      <c r="D2766" cm="1">
        <f t="array" ref="D2766">IFERROR(IF(SUMPRODUCT((expected_production[Site Name]=A2766)*(expected_production[Date]=B2766)*ISNUMBER(expected_production[Expected Production (kWh)]))=0,"",SUMIFS(expected_production[Expected Production (kWh)],expected_production[Site Name],A2766,expected_production[Date],B2766)),"")</f>
        <v>11402.1</v>
      </c>
      <c r="E2766" s="9" t="str">
        <f t="shared" si="88"/>
        <v/>
      </c>
      <c r="F2766" t="str">
        <f t="shared" si="89"/>
        <v/>
      </c>
    </row>
    <row r="2767" spans="1:6" x14ac:dyDescent="0.3">
      <c r="A2767" t="s">
        <v>271</v>
      </c>
      <c r="B2767" s="2">
        <v>46174</v>
      </c>
      <c r="C2767" cm="1">
        <f t="array" ref="C2767">IFERROR(IF(SUMPRODUCT((measured[Site Name]=A2767)*(measured[Date]=B2767)*ISNUMBER(measured[Measured Value (kWh)]))=0,"",SUMIFS(measured[Measured Value (kWh)],measured[Site Name],A2767,measured[Date],B2767)),"")</f>
        <v>10169</v>
      </c>
      <c r="D2767" cm="1">
        <f t="array" ref="D2767">IFERROR(IF(SUMPRODUCT((expected_production[Site Name]=A2767)*(expected_production[Date]=B2767)*ISNUMBER(expected_production[Expected Production (kWh)]))=0,"",SUMIFS(expected_production[Expected Production (kWh)],expected_production[Site Name],A2767,expected_production[Date],B2767)),"")</f>
        <v>9989.1</v>
      </c>
      <c r="E2767" s="9">
        <f t="shared" si="88"/>
        <v>1.0180096304972419</v>
      </c>
      <c r="F2767" t="str">
        <f t="shared" si="89"/>
        <v>Expected</v>
      </c>
    </row>
    <row r="2768" spans="1:6" x14ac:dyDescent="0.3">
      <c r="A2768" t="s">
        <v>206</v>
      </c>
      <c r="B2768" s="2">
        <v>46204</v>
      </c>
      <c r="C2768" cm="1">
        <f t="array" ref="C2768">IFERROR(IF(SUMPRODUCT((measured[Site Name]=A2768)*(measured[Date]=B2768)*ISNUMBER(measured[Measured Value (kWh)]))=0,"",SUMIFS(measured[Measured Value (kWh)],measured[Site Name],A2768,measured[Date],B2768)),"")</f>
        <v>0</v>
      </c>
      <c r="D2768" t="str" cm="1">
        <f t="array" ref="D2768">IFERROR(IF(SUMPRODUCT((expected_production[Site Name]=A2768)*(expected_production[Date]=B2768)*ISNUMBER(expected_production[Expected Production (kWh)]))=0,"",SUMIFS(expected_production[Expected Production (kWh)],expected_production[Site Name],A2768,expected_production[Date],B2768)),"")</f>
        <v/>
      </c>
      <c r="E2768" s="9" t="str">
        <f t="shared" si="88"/>
        <v/>
      </c>
      <c r="F2768" t="str">
        <f t="shared" si="89"/>
        <v/>
      </c>
    </row>
    <row r="2769" spans="1:7" x14ac:dyDescent="0.3">
      <c r="A2769" t="s">
        <v>271</v>
      </c>
      <c r="B2769" s="2">
        <v>46235</v>
      </c>
      <c r="C2769" t="str" cm="1">
        <f t="array" ref="C2769">IFERROR(IF(SUMPRODUCT((measured[Site Name]=A2769)*(measured[Date]=B2769)*ISNUMBER(measured[Measured Value (kWh)]))=0,"",SUMIFS(measured[Measured Value (kWh)],measured[Site Name],A2769,measured[Date],B2769)),"")</f>
        <v/>
      </c>
      <c r="D2769" cm="1">
        <f t="array" ref="D2769">IFERROR(IF(SUMPRODUCT((expected_production[Site Name]=A2769)*(expected_production[Date]=B2769)*ISNUMBER(expected_production[Expected Production (kWh)]))=0,"",SUMIFS(expected_production[Expected Production (kWh)],expected_production[Site Name],A2769,expected_production[Date],B2769)),"")</f>
        <v>13108.77</v>
      </c>
      <c r="E2769" s="9" t="str">
        <f t="shared" ref="E2769:E2772" si="90">IF(OR(C2769="",D2769="",D2769=0),"",C2769/D2769)</f>
        <v/>
      </c>
      <c r="F2769" t="str">
        <f t="shared" ref="F2769:F2772" si="91">IF(E2769="","",IF(E2769&gt;=0.9,"Expected",IF(E2769&gt;=0.7,"Moderate","Poor")))</f>
        <v/>
      </c>
    </row>
    <row r="2770" spans="1:7" x14ac:dyDescent="0.3">
      <c r="A2770" t="s">
        <v>271</v>
      </c>
      <c r="B2770" s="2">
        <v>46266</v>
      </c>
      <c r="C2770" t="str" cm="1">
        <f t="array" ref="C2770">IFERROR(IF(SUMPRODUCT((measured[Site Name]=A2770)*(measured[Date]=B2770)*ISNUMBER(measured[Measured Value (kWh)]))=0,"",SUMIFS(measured[Measured Value (kWh)],measured[Site Name],A2770,measured[Date],B2770)),"")</f>
        <v/>
      </c>
      <c r="D2770" cm="1">
        <f t="array" ref="D2770">IFERROR(IF(SUMPRODUCT((expected_production[Site Name]=A2770)*(expected_production[Date]=B2770)*ISNUMBER(expected_production[Expected Production (kWh)]))=0,"",SUMIFS(expected_production[Expected Production (kWh)],expected_production[Site Name],A2770,expected_production[Date],B2770)),"")</f>
        <v>14833.17</v>
      </c>
      <c r="E2770" s="9" t="str">
        <f t="shared" si="90"/>
        <v/>
      </c>
      <c r="F2770" t="str">
        <f t="shared" si="91"/>
        <v/>
      </c>
    </row>
    <row r="2771" spans="1:7" x14ac:dyDescent="0.3">
      <c r="A2771" t="s">
        <v>271</v>
      </c>
      <c r="B2771" s="2">
        <v>46296</v>
      </c>
      <c r="C2771" t="str" cm="1">
        <f t="array" ref="C2771">IFERROR(IF(SUMPRODUCT((measured[Site Name]=A2771)*(measured[Date]=B2771)*ISNUMBER(measured[Measured Value (kWh)]))=0,"",SUMIFS(measured[Measured Value (kWh)],measured[Site Name],A2771,measured[Date],B2771)),"")</f>
        <v/>
      </c>
      <c r="D2771" cm="1">
        <f t="array" ref="D2771">IFERROR(IF(SUMPRODUCT((expected_production[Site Name]=A2771)*(expected_production[Date]=B2771)*ISNUMBER(expected_production[Expected Production (kWh)]))=0,"",SUMIFS(expected_production[Expected Production (kWh)],expected_production[Site Name],A2771,expected_production[Date],B2771)),"")</f>
        <v>17053.2</v>
      </c>
      <c r="E2771" s="9" t="str">
        <f t="shared" si="90"/>
        <v/>
      </c>
      <c r="F2771" t="str">
        <f t="shared" si="91"/>
        <v/>
      </c>
    </row>
    <row r="2772" spans="1:7" x14ac:dyDescent="0.3">
      <c r="A2772" t="s">
        <v>271</v>
      </c>
      <c r="B2772" s="2">
        <v>46327</v>
      </c>
      <c r="C2772" t="str" cm="1">
        <f t="array" ref="C2772">IFERROR(IF(SUMPRODUCT((measured[Site Name]=A2772)*(measured[Date]=B2772)*ISNUMBER(measured[Measured Value (kWh)]))=0,"",SUMIFS(measured[Measured Value (kWh)],measured[Site Name],A2772,measured[Date],B2772)),"")</f>
        <v/>
      </c>
      <c r="D2772" cm="1">
        <f t="array" ref="D2772">IFERROR(IF(SUMPRODUCT((expected_production[Site Name]=A2772)*(expected_production[Date]=B2772)*ISNUMBER(expected_production[Expected Production (kWh)]))=0,"",SUMIFS(expected_production[Expected Production (kWh)],expected_production[Site Name],A2772,expected_production[Date],B2772)),"")</f>
        <v>17239.5</v>
      </c>
      <c r="E2772" s="9" t="str">
        <f t="shared" si="90"/>
        <v/>
      </c>
      <c r="F2772" t="str">
        <f t="shared" si="91"/>
        <v/>
      </c>
    </row>
    <row r="2773" spans="1:7" x14ac:dyDescent="0.3">
      <c r="A2773" t="s">
        <v>271</v>
      </c>
      <c r="B2773" s="2">
        <v>46357</v>
      </c>
      <c r="C2773" t="str" cm="1">
        <f t="array" ref="C2773">IFERROR(IF(SUMPRODUCT((measured[Site Name]=A2773)*(measured[Date]=B2773)*ISNUMBER(measured[Measured Value (kWh)]))=0,"",SUMIFS(measured[Measured Value (kWh)],measured[Site Name],A2773,measured[Date],B2773)),"")</f>
        <v/>
      </c>
      <c r="D2773" cm="1">
        <f t="array" ref="D2773">IFERROR(IF(SUMPRODUCT((expected_production[Site Name]=A2773)*(expected_production[Date]=B2773)*ISNUMBER(expected_production[Expected Production (kWh)]))=0,"",SUMIFS(expected_production[Expected Production (kWh)],expected_production[Site Name],A2773,expected_production[Date],B2773)),"")</f>
        <v>17465.400000000001</v>
      </c>
      <c r="E2773" s="9" t="str">
        <f t="shared" ref="E2773:E2779" si="92">IF(OR(C2773="",D2773="",D2773=0),"",C2773/D2773)</f>
        <v/>
      </c>
      <c r="F2773" t="str">
        <f t="shared" ref="F2773:F2779" si="93">IF(E2773="","",IF(E2773&gt;=0.9,"Expected",IF(E2773&gt;=0.7,"Moderate","Poor")))</f>
        <v/>
      </c>
    </row>
    <row r="2774" spans="1:7" x14ac:dyDescent="0.3">
      <c r="A2774" t="s">
        <v>1004</v>
      </c>
      <c r="B2774" s="2">
        <v>46204</v>
      </c>
      <c r="C2774" cm="1">
        <f t="array" ref="C2774">IFERROR(IF(SUMPRODUCT((measured[Site Name]=A2774)*(measured[Date]=B2774)*ISNUMBER(measured[Measured Value (kWh)]))=0,"",SUMIFS(measured[Measured Value (kWh)],measured[Site Name],A2774,measured[Date],B2774)),"")</f>
        <v>4094.8841000000002</v>
      </c>
      <c r="D2774" cm="1">
        <f t="array" ref="D2774">IFERROR(IF(SUMPRODUCT((expected_production[Site Name]=A2774)*(expected_production[Date]=B2774)*ISNUMBER(expected_production[Expected Production (kWh)]))=0,"",SUMIFS(expected_production[Expected Production (kWh)],expected_production[Site Name],A2774,expected_production[Date],B2774)),"")</f>
        <v>4644.9000000000005</v>
      </c>
      <c r="E2774" s="9">
        <f t="shared" si="92"/>
        <v>0.88158713858210069</v>
      </c>
      <c r="F2774" t="str">
        <f t="shared" si="93"/>
        <v>Moderate</v>
      </c>
      <c r="G2774" t="s">
        <v>874</v>
      </c>
    </row>
    <row r="2775" spans="1:7" x14ac:dyDescent="0.3">
      <c r="A2775" t="s">
        <v>1004</v>
      </c>
      <c r="B2775" s="2">
        <v>46235</v>
      </c>
      <c r="C2775" t="str" cm="1">
        <f t="array" ref="C2775">IFERROR(IF(SUMPRODUCT((measured[Site Name]=A2775)*(measured[Date]=B2775)*ISNUMBER(measured[Measured Value (kWh)]))=0,"",SUMIFS(measured[Measured Value (kWh)],measured[Site Name],A2775,measured[Date],B2775)),"")</f>
        <v/>
      </c>
      <c r="D2775" cm="1">
        <f t="array" ref="D2775">IFERROR(IF(SUMPRODUCT((expected_production[Site Name]=A2775)*(expected_production[Date]=B2775)*ISNUMBER(expected_production[Expected Production (kWh)]))=0,"",SUMIFS(expected_production[Expected Production (kWh)],expected_production[Site Name],A2775,expected_production[Date],B2775)),"")</f>
        <v>5254.2</v>
      </c>
      <c r="E2775" s="9" t="str">
        <f t="shared" si="92"/>
        <v/>
      </c>
      <c r="F2775" t="str">
        <f t="shared" si="93"/>
        <v/>
      </c>
    </row>
    <row r="2776" spans="1:7" x14ac:dyDescent="0.3">
      <c r="A2776" t="s">
        <v>1004</v>
      </c>
      <c r="B2776" s="2">
        <v>46266</v>
      </c>
      <c r="C2776" t="str" cm="1">
        <f t="array" ref="C2776">IFERROR(IF(SUMPRODUCT((measured[Site Name]=A2776)*(measured[Date]=B2776)*ISNUMBER(measured[Measured Value (kWh)]))=0,"",SUMIFS(measured[Measured Value (kWh)],measured[Site Name],A2776,measured[Date],B2776)),"")</f>
        <v/>
      </c>
      <c r="D2776" cm="1">
        <f t="array" ref="D2776">IFERROR(IF(SUMPRODUCT((expected_production[Site Name]=A2776)*(expected_production[Date]=B2776)*ISNUMBER(expected_production[Expected Production (kWh)]))=0,"",SUMIFS(expected_production[Expected Production (kWh)],expected_production[Site Name],A2776,expected_production[Date],B2776)),"")</f>
        <v>5567.4000000000005</v>
      </c>
      <c r="E2776" s="9" t="str">
        <f t="shared" si="92"/>
        <v/>
      </c>
      <c r="F2776" t="str">
        <f t="shared" si="93"/>
        <v/>
      </c>
    </row>
    <row r="2777" spans="1:7" x14ac:dyDescent="0.3">
      <c r="A2777" t="s">
        <v>1004</v>
      </c>
      <c r="B2777" s="2">
        <v>46296</v>
      </c>
      <c r="C2777" t="str" cm="1">
        <f t="array" ref="C2777">IFERROR(IF(SUMPRODUCT((measured[Site Name]=A2777)*(measured[Date]=B2777)*ISNUMBER(measured[Measured Value (kWh)]))=0,"",SUMIFS(measured[Measured Value (kWh)],measured[Site Name],A2777,measured[Date],B2777)),"")</f>
        <v/>
      </c>
      <c r="D2777" cm="1">
        <f t="array" ref="D2777">IFERROR(IF(SUMPRODUCT((expected_production[Site Name]=A2777)*(expected_production[Date]=B2777)*ISNUMBER(expected_production[Expected Production (kWh)]))=0,"",SUMIFS(expected_production[Expected Production (kWh)],expected_production[Site Name],A2777,expected_production[Date],B2777)),"")</f>
        <v>6030.9000000000005</v>
      </c>
      <c r="E2777" s="9" t="str">
        <f t="shared" si="92"/>
        <v/>
      </c>
      <c r="F2777" t="str">
        <f t="shared" si="93"/>
        <v/>
      </c>
    </row>
    <row r="2778" spans="1:7" x14ac:dyDescent="0.3">
      <c r="A2778" t="s">
        <v>1004</v>
      </c>
      <c r="B2778" s="2">
        <v>46327</v>
      </c>
      <c r="C2778" t="str" cm="1">
        <f t="array" ref="C2778">IFERROR(IF(SUMPRODUCT((measured[Site Name]=A2778)*(measured[Date]=B2778)*ISNUMBER(measured[Measured Value (kWh)]))=0,"",SUMIFS(measured[Measured Value (kWh)],measured[Site Name],A2778,measured[Date],B2778)),"")</f>
        <v/>
      </c>
      <c r="D2778" cm="1">
        <f t="array" ref="D2778">IFERROR(IF(SUMPRODUCT((expected_production[Site Name]=A2778)*(expected_production[Date]=B2778)*ISNUMBER(expected_production[Expected Production (kWh)]))=0,"",SUMIFS(expected_production[Expected Production (kWh)],expected_production[Site Name],A2778,expected_production[Date],B2778)),"")</f>
        <v>5897.7</v>
      </c>
      <c r="E2778" s="9" t="str">
        <f t="shared" si="92"/>
        <v/>
      </c>
      <c r="F2778" t="str">
        <f t="shared" si="93"/>
        <v/>
      </c>
    </row>
    <row r="2779" spans="1:7" x14ac:dyDescent="0.3">
      <c r="A2779" t="s">
        <v>1004</v>
      </c>
      <c r="B2779" s="2">
        <v>46357</v>
      </c>
      <c r="C2779" t="str" cm="1">
        <f t="array" ref="C2779">IFERROR(IF(SUMPRODUCT((measured[Site Name]=A2779)*(measured[Date]=B2779)*ISNUMBER(measured[Measured Value (kWh)]))=0,"",SUMIFS(measured[Measured Value (kWh)],measured[Site Name],A2779,measured[Date],B2779)),"")</f>
        <v/>
      </c>
      <c r="D2779" cm="1">
        <f t="array" ref="D2779">IFERROR(IF(SUMPRODUCT((expected_production[Site Name]=A2779)*(expected_production[Date]=B2779)*ISNUMBER(expected_production[Expected Production (kWh)]))=0,"",SUMIFS(expected_production[Expected Production (kWh)],expected_production[Site Name],A2779,expected_production[Date],B2779)),"")</f>
        <v>5989.5</v>
      </c>
      <c r="E2779" s="9" t="str">
        <f t="shared" si="92"/>
        <v/>
      </c>
      <c r="F2779" t="str">
        <f t="shared" si="93"/>
        <v/>
      </c>
    </row>
  </sheetData>
  <dataValidations count="1">
    <dataValidation type="list" allowBlank="1" showInputMessage="1" showErrorMessage="1" sqref="G32 G2732 G68 G104 G140 G176 G212 G248 G284 G356 G392 G428 G320 G464 G500 G536 G572 G608 G680 G716 G752 G788:G789 G825 G644 G932 G968 G861 G1004 G1040 G1076 G1148 G1184 G1220 G1256 G1292 G1328 G1364 G1400 G1436 G1472 G1508 G1544 G1580 G1616 G1652 G1688 G1724 G1760 G1796 G1832 G1868 G1904 G1940 G1976 G2012 G2048 G2084 G2120 G2156 G2192 G2228 G2264 G2300 G2336 G2372 G2408 G2444 G2480 G2516 G2552 G2588 G2624 G2660 G2696 G1112 G2768 G2774:G2779" xr:uid="{CDE1D115-B860-4332-AA07-078EF4F2345D}">
      <formula1>"YES,NO"</formula1>
    </dataValidation>
  </dataValidations>
  <pageMargins left="0.75" right="0.75" top="1" bottom="1" header="0.511811023622047" footer="0.511811023622047"/>
  <pageSetup paperSize="9" orientation="portrait" horizontalDpi="300" verticalDpi="30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54"/>
  <sheetViews>
    <sheetView workbookViewId="0"/>
  </sheetViews>
  <sheetFormatPr defaultRowHeight="14.4" x14ac:dyDescent="0.3"/>
  <sheetData>
    <row r="1" spans="1:1" x14ac:dyDescent="0.3">
      <c r="A1" t="s">
        <v>800</v>
      </c>
    </row>
    <row r="2" spans="1:1" x14ac:dyDescent="0.3">
      <c r="A2" t="s">
        <v>801</v>
      </c>
    </row>
    <row r="3" spans="1:1" x14ac:dyDescent="0.3">
      <c r="A3" t="s">
        <v>802</v>
      </c>
    </row>
    <row r="4" spans="1:1" x14ac:dyDescent="0.3">
      <c r="A4" t="s">
        <v>803</v>
      </c>
    </row>
    <row r="5" spans="1:1" x14ac:dyDescent="0.3">
      <c r="A5" t="s">
        <v>804</v>
      </c>
    </row>
    <row r="6" spans="1:1" x14ac:dyDescent="0.3">
      <c r="A6" t="s">
        <v>805</v>
      </c>
    </row>
    <row r="7" spans="1:1" x14ac:dyDescent="0.3">
      <c r="A7" t="s">
        <v>806</v>
      </c>
    </row>
    <row r="8" spans="1:1" x14ac:dyDescent="0.3">
      <c r="A8" t="s">
        <v>807</v>
      </c>
    </row>
    <row r="9" spans="1:1" x14ac:dyDescent="0.3">
      <c r="A9" t="s">
        <v>808</v>
      </c>
    </row>
    <row r="10" spans="1:1" x14ac:dyDescent="0.3">
      <c r="A10" t="s">
        <v>809</v>
      </c>
    </row>
    <row r="11" spans="1:1" x14ac:dyDescent="0.3">
      <c r="A11" t="s">
        <v>810</v>
      </c>
    </row>
    <row r="12" spans="1:1" x14ac:dyDescent="0.3">
      <c r="A12" t="s">
        <v>811</v>
      </c>
    </row>
    <row r="13" spans="1:1" x14ac:dyDescent="0.3">
      <c r="A13" t="s">
        <v>812</v>
      </c>
    </row>
    <row r="14" spans="1:1" x14ac:dyDescent="0.3">
      <c r="A14" t="s">
        <v>813</v>
      </c>
    </row>
    <row r="15" spans="1:1" x14ac:dyDescent="0.3">
      <c r="A15" t="s">
        <v>814</v>
      </c>
    </row>
    <row r="16" spans="1:1" x14ac:dyDescent="0.3">
      <c r="A16" t="s">
        <v>815</v>
      </c>
    </row>
    <row r="17" spans="1:1" x14ac:dyDescent="0.3">
      <c r="A17" t="s">
        <v>816</v>
      </c>
    </row>
    <row r="18" spans="1:1" x14ac:dyDescent="0.3">
      <c r="A18" t="s">
        <v>817</v>
      </c>
    </row>
    <row r="19" spans="1:1" x14ac:dyDescent="0.3">
      <c r="A19" t="s">
        <v>818</v>
      </c>
    </row>
    <row r="20" spans="1:1" x14ac:dyDescent="0.3">
      <c r="A20" t="s">
        <v>819</v>
      </c>
    </row>
    <row r="21" spans="1:1" x14ac:dyDescent="0.3">
      <c r="A21" t="s">
        <v>820</v>
      </c>
    </row>
    <row r="22" spans="1:1" x14ac:dyDescent="0.3">
      <c r="A22" t="s">
        <v>821</v>
      </c>
    </row>
    <row r="23" spans="1:1" x14ac:dyDescent="0.3">
      <c r="A23" t="s">
        <v>822</v>
      </c>
    </row>
    <row r="24" spans="1:1" x14ac:dyDescent="0.3">
      <c r="A24" t="s">
        <v>823</v>
      </c>
    </row>
    <row r="25" spans="1:1" x14ac:dyDescent="0.3">
      <c r="A25" t="s">
        <v>824</v>
      </c>
    </row>
    <row r="26" spans="1:1" x14ac:dyDescent="0.3">
      <c r="A26" t="s">
        <v>825</v>
      </c>
    </row>
    <row r="27" spans="1:1" x14ac:dyDescent="0.3">
      <c r="A27" t="s">
        <v>826</v>
      </c>
    </row>
    <row r="28" spans="1:1" x14ac:dyDescent="0.3">
      <c r="A28" t="s">
        <v>827</v>
      </c>
    </row>
    <row r="29" spans="1:1" x14ac:dyDescent="0.3">
      <c r="A29" t="s">
        <v>828</v>
      </c>
    </row>
    <row r="30" spans="1:1" x14ac:dyDescent="0.3">
      <c r="A30" t="s">
        <v>829</v>
      </c>
    </row>
    <row r="31" spans="1:1" x14ac:dyDescent="0.3">
      <c r="A31" t="s">
        <v>830</v>
      </c>
    </row>
    <row r="32" spans="1:1" x14ac:dyDescent="0.3">
      <c r="A32" t="s">
        <v>831</v>
      </c>
    </row>
    <row r="33" spans="1:1" x14ac:dyDescent="0.3">
      <c r="A33" t="s">
        <v>832</v>
      </c>
    </row>
    <row r="34" spans="1:1" x14ac:dyDescent="0.3">
      <c r="A34" t="s">
        <v>833</v>
      </c>
    </row>
    <row r="35" spans="1:1" x14ac:dyDescent="0.3">
      <c r="A35" t="s">
        <v>834</v>
      </c>
    </row>
    <row r="36" spans="1:1" x14ac:dyDescent="0.3">
      <c r="A36" t="s">
        <v>835</v>
      </c>
    </row>
    <row r="37" spans="1:1" x14ac:dyDescent="0.3">
      <c r="A37" t="s">
        <v>836</v>
      </c>
    </row>
    <row r="38" spans="1:1" x14ac:dyDescent="0.3">
      <c r="A38" t="s">
        <v>837</v>
      </c>
    </row>
    <row r="39" spans="1:1" x14ac:dyDescent="0.3">
      <c r="A39" t="s">
        <v>838</v>
      </c>
    </row>
    <row r="40" spans="1:1" x14ac:dyDescent="0.3">
      <c r="A40" t="s">
        <v>839</v>
      </c>
    </row>
    <row r="41" spans="1:1" x14ac:dyDescent="0.3">
      <c r="A41" t="s">
        <v>840</v>
      </c>
    </row>
    <row r="42" spans="1:1" x14ac:dyDescent="0.3">
      <c r="A42" t="s">
        <v>841</v>
      </c>
    </row>
    <row r="43" spans="1:1" x14ac:dyDescent="0.3">
      <c r="A43" t="s">
        <v>842</v>
      </c>
    </row>
    <row r="44" spans="1:1" x14ac:dyDescent="0.3">
      <c r="A44" t="s">
        <v>843</v>
      </c>
    </row>
    <row r="45" spans="1:1" x14ac:dyDescent="0.3">
      <c r="A45" t="s">
        <v>844</v>
      </c>
    </row>
    <row r="46" spans="1:1" x14ac:dyDescent="0.3">
      <c r="A46" t="s">
        <v>23</v>
      </c>
    </row>
    <row r="47" spans="1:1" x14ac:dyDescent="0.3">
      <c r="A47" t="s">
        <v>845</v>
      </c>
    </row>
    <row r="48" spans="1:1" x14ac:dyDescent="0.3">
      <c r="A48" t="s">
        <v>846</v>
      </c>
    </row>
    <row r="49" spans="1:1" x14ac:dyDescent="0.3">
      <c r="A49" t="s">
        <v>847</v>
      </c>
    </row>
    <row r="50" spans="1:1" x14ac:dyDescent="0.3">
      <c r="A50" t="s">
        <v>848</v>
      </c>
    </row>
    <row r="51" spans="1:1" x14ac:dyDescent="0.3">
      <c r="A51" t="s">
        <v>849</v>
      </c>
    </row>
    <row r="52" spans="1:1" x14ac:dyDescent="0.3">
      <c r="A52" t="s">
        <v>850</v>
      </c>
    </row>
    <row r="53" spans="1:1" x14ac:dyDescent="0.3">
      <c r="A53" t="s">
        <v>245</v>
      </c>
    </row>
    <row r="54" spans="1:1" x14ac:dyDescent="0.3">
      <c r="A54" t="s">
        <v>851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81f4cea-e4a8-4ef1-8569-acd66926ff75">
      <Terms xmlns="http://schemas.microsoft.com/office/infopath/2007/PartnerControls"/>
    </lcf76f155ced4ddcb4097134ff3c332f>
    <TaxCatchAll xmlns="a90240b5-4e38-4506-935e-d3ed7ed7054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9AA89C7AA1C434699DD452F24C65F19" ma:contentTypeVersion="19" ma:contentTypeDescription="Create a new document." ma:contentTypeScope="" ma:versionID="40a245793d4cb22db8b02008dfbd96a7">
  <xsd:schema xmlns:xsd="http://www.w3.org/2001/XMLSchema" xmlns:xs="http://www.w3.org/2001/XMLSchema" xmlns:p="http://schemas.microsoft.com/office/2006/metadata/properties" xmlns:ns2="081f4cea-e4a8-4ef1-8569-acd66926ff75" xmlns:ns3="a90240b5-4e38-4506-935e-d3ed7ed70542" targetNamespace="http://schemas.microsoft.com/office/2006/metadata/properties" ma:root="true" ma:fieldsID="41dc93792ca85768c22f6f1b44e8071c" ns2:_="" ns3:_="">
    <xsd:import namespace="081f4cea-e4a8-4ef1-8569-acd66926ff75"/>
    <xsd:import namespace="a90240b5-4e38-4506-935e-d3ed7ed7054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3:SharedWithUsers" minOccurs="0"/>
                <xsd:element ref="ns3:SharedWithDetails"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1f4cea-e4a8-4ef1-8569-acd66926f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43aa3c2-a8d1-4a0c-8743-2084a0a69bf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90240b5-4e38-4506-935e-d3ed7ed70542"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1ae5a1e-713c-4539-b298-32b1b8471072}" ma:internalName="TaxCatchAll" ma:showField="CatchAllData" ma:web="a90240b5-4e38-4506-935e-d3ed7ed7054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814ABDB-E8F2-4B5F-8176-522B74CB7690}">
  <ds:schemaRefs>
    <ds:schemaRef ds:uri="http://schemas.microsoft.com/office/2006/metadata/properties"/>
    <ds:schemaRef ds:uri="http://schemas.microsoft.com/office/infopath/2007/PartnerControls"/>
    <ds:schemaRef ds:uri="081f4cea-e4a8-4ef1-8569-acd66926ff75"/>
    <ds:schemaRef ds:uri="a90240b5-4e38-4506-935e-d3ed7ed70542"/>
  </ds:schemaRefs>
</ds:datastoreItem>
</file>

<file path=customXml/itemProps2.xml><?xml version="1.0" encoding="utf-8"?>
<ds:datastoreItem xmlns:ds="http://schemas.openxmlformats.org/officeDocument/2006/customXml" ds:itemID="{881960BC-C6EC-4148-ABF7-51EC129FD1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81f4cea-e4a8-4ef1-8569-acd66926ff75"/>
    <ds:schemaRef ds:uri="a90240b5-4e38-4506-935e-d3ed7ed7054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E2F7CE6-75F3-4A2D-8E21-B7313B54D00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site_tech_info</vt:lpstr>
      <vt:lpstr>Simulated Production</vt:lpstr>
      <vt:lpstr>OG</vt:lpstr>
      <vt:lpstr>measured</vt:lpstr>
      <vt:lpstr>Expected Production</vt:lpstr>
      <vt:lpstr>expected_production</vt:lpstr>
      <vt:lpstr>Comments</vt:lpstr>
      <vt:lpstr>performance</vt:lpstr>
      <vt:lpstr>CountryList</vt:lpstr>
      <vt:lpstr>AfricaCountries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Mathakgale Mohale</dc:creator>
  <cp:keywords/>
  <dc:description/>
  <cp:lastModifiedBy>Mathakgale Mohale</cp:lastModifiedBy>
  <cp:revision>0</cp:revision>
  <dcterms:created xsi:type="dcterms:W3CDTF">2015-06-05T18:17:20Z</dcterms:created>
  <dcterms:modified xsi:type="dcterms:W3CDTF">2026-08-18T11:15:17Z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0x010100D9AA89C7AA1C434699DD452F24C65F19</vt:lpwstr>
  </property>
  <property fmtid="{D5CDD505-2E9C-101B-9397-08002B2CF9AE}" pid="3" name="MediaServiceImageTags">
    <vt:lpwstr/>
  </property>
</Properties>
</file>