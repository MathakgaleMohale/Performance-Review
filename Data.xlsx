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837" documentId="13_ncr:1_{8CCFD1E3-719E-4C10-96BD-950107C648A6}" xr6:coauthVersionLast="47" xr6:coauthVersionMax="47" xr10:uidLastSave="{FC247A43-31DF-49B9-A883-B0F53BFDAE48}"/>
  <bookViews>
    <workbookView xWindow="11424" yWindow="0" windowWidth="11712" windowHeight="12336" tabRatio="746" activeTab="5" xr2:uid="{00000000-000D-0000-FFFF-FFFF00000000}"/>
  </bookViews>
  <sheets>
    <sheet name="site_tech_info" sheetId="1" r:id="rId1"/>
    <sheet name="Simulated Production" sheetId="4" r:id="rId2"/>
    <sheet name="Expected Production" sheetId="6" r:id="rId3"/>
    <sheet name="expected_production" sheetId="7" r:id="rId4"/>
    <sheet name="measured" sheetId="8" r:id="rId5"/>
    <sheet name="performance" sheetId="9" r:id="rId6"/>
    <sheet name="Comments" sheetId="10" r:id="rId7"/>
    <sheet name="CountryList" sheetId="11" state="hidden" r:id="rId8"/>
  </sheets>
  <definedNames>
    <definedName name="AfricaCountries">CountryList!$A$1:$A$54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C59" i="1"/>
  <c r="C56" i="1"/>
  <c r="C40" i="1"/>
  <c r="C36" i="1"/>
  <c r="C34" i="1"/>
  <c r="C32" i="1"/>
  <c r="C31" i="1"/>
  <c r="C29" i="1"/>
  <c r="C26" i="1"/>
  <c r="C71" i="1"/>
  <c r="C18" i="1"/>
  <c r="C14" i="1"/>
  <c r="C6" i="1"/>
  <c r="C5" i="1"/>
  <c r="C4" i="1"/>
  <c r="C2703" i="7" a="1"/>
  <c r="C2703" i="7" s="1"/>
  <c r="C2704" i="7" a="1"/>
  <c r="C2704" i="7"/>
  <c r="C2705" i="7" a="1"/>
  <c r="C2705" i="7" s="1"/>
  <c r="C2706" i="7" a="1"/>
  <c r="C2706" i="7" s="1"/>
  <c r="C2707" i="7" a="1"/>
  <c r="C2707" i="7" s="1"/>
  <c r="C2708" i="7" a="1"/>
  <c r="C2708" i="7"/>
  <c r="C2709" i="7" a="1"/>
  <c r="C2709" i="7" s="1"/>
  <c r="C2710" i="7" a="1"/>
  <c r="C2710" i="7"/>
  <c r="C2711" i="7" a="1"/>
  <c r="C2711" i="7" s="1"/>
  <c r="C2712" i="7" a="1"/>
  <c r="C2712" i="7" s="1"/>
  <c r="C2713" i="7" a="1"/>
  <c r="C2713" i="7" s="1"/>
  <c r="C2714" i="7" a="1"/>
  <c r="C2714" i="7"/>
  <c r="C2715" i="7" a="1"/>
  <c r="C2715" i="7" s="1"/>
  <c r="C2716" i="7" a="1"/>
  <c r="C2716" i="7"/>
  <c r="C2717" i="7" a="1"/>
  <c r="C2717" i="7" s="1"/>
  <c r="C2718" i="7" a="1"/>
  <c r="C2718" i="7" s="1"/>
  <c r="C2719" i="7" a="1"/>
  <c r="C2719" i="7" s="1"/>
  <c r="C2720" i="7" a="1"/>
  <c r="C2720" i="7"/>
  <c r="C2721" i="7" a="1"/>
  <c r="C2721" i="7" s="1"/>
  <c r="C2722" i="7" a="1"/>
  <c r="C2722" i="7"/>
  <c r="C2723" i="7" a="1"/>
  <c r="C2723" i="7" s="1"/>
  <c r="C2724" i="7" a="1"/>
  <c r="C2724" i="7" s="1"/>
  <c r="C2725" i="7" a="1"/>
  <c r="C2725" i="7" s="1"/>
  <c r="C2726" i="7" a="1"/>
  <c r="C2726" i="7"/>
  <c r="C2727" i="7" a="1"/>
  <c r="C2727" i="7" s="1"/>
  <c r="C2728" i="7" a="1"/>
  <c r="C2728" i="7"/>
  <c r="C2729" i="7" a="1"/>
  <c r="C2729" i="7" s="1"/>
  <c r="C2730" i="7" a="1"/>
  <c r="C2730" i="7" s="1"/>
  <c r="C2731" i="7" a="1"/>
  <c r="C2731" i="7" s="1"/>
  <c r="C2732" i="7" a="1"/>
  <c r="C2732" i="7"/>
  <c r="C2733" i="7" a="1"/>
  <c r="C2733" i="7" s="1"/>
  <c r="C2734" i="7" a="1"/>
  <c r="C2734" i="7"/>
  <c r="C2735" i="7" a="1"/>
  <c r="C2735" i="7" s="1"/>
  <c r="C2736" i="7" a="1"/>
  <c r="C2736" i="7" s="1"/>
  <c r="C2737" i="7" a="1"/>
  <c r="C2737" i="7" s="1"/>
  <c r="C2738" i="7" a="1"/>
  <c r="C2738" i="7"/>
  <c r="C2739" i="7" a="1"/>
  <c r="C2739" i="7" s="1"/>
  <c r="C2740" i="7" a="1"/>
  <c r="C2740" i="7"/>
  <c r="C2741" i="7" a="1"/>
  <c r="C2741" i="7" s="1"/>
  <c r="C2742" i="7" a="1"/>
  <c r="C2742" i="7" s="1"/>
  <c r="C2743" i="7" a="1"/>
  <c r="C2743" i="7" s="1"/>
  <c r="C2744" i="7" a="1"/>
  <c r="C2744" i="7"/>
  <c r="C2745" i="7" a="1"/>
  <c r="C2745" i="7" s="1"/>
  <c r="C2746" i="7" a="1"/>
  <c r="C2746" i="7"/>
  <c r="C2747" i="7" a="1"/>
  <c r="C2747" i="7" s="1"/>
  <c r="C2748" i="7" a="1"/>
  <c r="C2748" i="7" s="1"/>
  <c r="C2749" i="7" a="1"/>
  <c r="C2749" i="7" s="1"/>
  <c r="C2750" i="7" a="1"/>
  <c r="C2750" i="7"/>
  <c r="C2751" i="7" a="1"/>
  <c r="C2751" i="7" s="1"/>
  <c r="C2752" i="7" a="1"/>
  <c r="C2752" i="7"/>
  <c r="C2753" i="7" a="1"/>
  <c r="C2753" i="7" s="1"/>
  <c r="C2754" i="7" a="1"/>
  <c r="C2754" i="7" s="1"/>
  <c r="C2755" i="7" a="1"/>
  <c r="C2755" i="7" s="1"/>
  <c r="C2756" i="7" a="1"/>
  <c r="C2756" i="7"/>
  <c r="C2757" i="7" a="1"/>
  <c r="C2757" i="7" s="1"/>
  <c r="C2758" i="7" a="1"/>
  <c r="C2758" i="7" s="1"/>
  <c r="C2759" i="7" a="1"/>
  <c r="C2759" i="7" s="1"/>
  <c r="C2760" i="7" a="1"/>
  <c r="C2760" i="7" s="1"/>
  <c r="C2761" i="7" a="1"/>
  <c r="C2761" i="7" s="1"/>
  <c r="C2762" i="7" a="1"/>
  <c r="C2762" i="7"/>
  <c r="C2763" i="7" a="1"/>
  <c r="C2763" i="7" s="1"/>
  <c r="C2764" i="7" a="1"/>
  <c r="C2764" i="7"/>
  <c r="C2765" i="7" a="1"/>
  <c r="C2765" i="7" s="1"/>
  <c r="C2766" i="7" a="1"/>
  <c r="C2766" i="7" s="1"/>
  <c r="C2767" i="7" a="1"/>
  <c r="C2767" i="7" s="1"/>
  <c r="C2768" i="7" a="1"/>
  <c r="C2768" i="7"/>
  <c r="C2769" i="7" a="1"/>
  <c r="C2769" i="7" s="1"/>
  <c r="C2770" i="7" a="1"/>
  <c r="C2770" i="7" s="1"/>
  <c r="C2771" i="7" a="1"/>
  <c r="C2771" i="7" s="1"/>
  <c r="C2772" i="7" a="1"/>
  <c r="C2772" i="7" s="1"/>
  <c r="C2773" i="7" a="1"/>
  <c r="C2773" i="7" s="1"/>
  <c r="C2774" i="7" a="1"/>
  <c r="C2774" i="7"/>
  <c r="C2775" i="7" a="1"/>
  <c r="C2775" i="7" s="1"/>
  <c r="C2776" i="7" a="1"/>
  <c r="C2776" i="7" s="1"/>
  <c r="C2777" i="7" a="1"/>
  <c r="C2777" i="7" s="1"/>
  <c r="C2778" i="7" a="1"/>
  <c r="C2778" i="7" s="1"/>
  <c r="C2779" i="7" a="1"/>
  <c r="C2779" i="7" s="1"/>
  <c r="C2780" i="7" a="1"/>
  <c r="C2780" i="7"/>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c r="C2793" i="7" a="1"/>
  <c r="C2793" i="7" s="1"/>
  <c r="C2794" i="7" a="1"/>
  <c r="C2794" i="7" s="1"/>
  <c r="C2795" i="7" a="1"/>
  <c r="C2795" i="7" s="1"/>
  <c r="C2796" i="7" a="1"/>
  <c r="C2796" i="7" s="1"/>
  <c r="C2797" i="7" a="1"/>
  <c r="C2797" i="7" s="1"/>
  <c r="C2798" i="7" a="1"/>
  <c r="C2798" i="7"/>
  <c r="C2799" i="7" a="1"/>
  <c r="C2799" i="7" s="1"/>
  <c r="C2800" i="7" a="1"/>
  <c r="C2800" i="7" s="1"/>
  <c r="C2801" i="7" a="1"/>
  <c r="C2801" i="7" s="1"/>
  <c r="C2802" i="7" a="1"/>
  <c r="C2802" i="7" s="1"/>
  <c r="C2803" i="7" a="1"/>
  <c r="C2803" i="7" s="1"/>
  <c r="C2804" i="7" a="1"/>
  <c r="C2804" i="7"/>
  <c r="C2805" i="7" a="1"/>
  <c r="C2805" i="7" s="1"/>
  <c r="C2806" i="7" a="1"/>
  <c r="C2806" i="7" s="1"/>
  <c r="C2807" i="7" a="1"/>
  <c r="C2807" i="7" s="1"/>
  <c r="C2808" i="7" a="1"/>
  <c r="C2808" i="7" s="1"/>
  <c r="C2809" i="7" a="1"/>
  <c r="C2809" i="7" s="1"/>
  <c r="C2702" i="7" a="1"/>
  <c r="C2702" i="7"/>
  <c r="D12" i="9" s="1" a="1"/>
  <c r="D12" i="9" s="1"/>
  <c r="D79" i="6"/>
  <c r="E79" i="6"/>
  <c r="F79" i="6"/>
  <c r="G79" i="6"/>
  <c r="H79" i="6"/>
  <c r="I79" i="6"/>
  <c r="J79" i="6"/>
  <c r="K79" i="6"/>
  <c r="L79" i="6"/>
  <c r="M79" i="6"/>
  <c r="N79" i="6"/>
  <c r="D78" i="6"/>
  <c r="E78" i="6"/>
  <c r="F78" i="6"/>
  <c r="G78" i="6"/>
  <c r="H78" i="6"/>
  <c r="I78" i="6"/>
  <c r="J78" i="6"/>
  <c r="K78" i="6"/>
  <c r="L78" i="6"/>
  <c r="M78" i="6"/>
  <c r="N78" i="6"/>
  <c r="C78" i="6"/>
  <c r="C79" i="6"/>
  <c r="C77" i="6"/>
  <c r="C78" i="1"/>
  <c r="D154" i="9" a="1"/>
  <c r="D154" i="9" s="1"/>
  <c r="D173" i="9" a="1"/>
  <c r="D173" i="9" s="1"/>
  <c r="D182" i="9" a="1"/>
  <c r="D182" i="9" s="1"/>
  <c r="D192" i="9" a="1"/>
  <c r="D192" i="9" s="1"/>
  <c r="D201" i="9" a="1"/>
  <c r="D201" i="9" s="1"/>
  <c r="D231" i="9" a="1"/>
  <c r="D231" i="9" s="1"/>
  <c r="D241" i="9" a="1"/>
  <c r="D241" i="9" s="1"/>
  <c r="D251" i="9" a="1"/>
  <c r="D251" i="9" s="1"/>
  <c r="D261" i="9" a="1"/>
  <c r="D261" i="9" s="1"/>
  <c r="D271" i="9" a="1"/>
  <c r="D271" i="9" s="1"/>
  <c r="D281" i="9" a="1"/>
  <c r="D281" i="9" s="1"/>
  <c r="D290" i="9" a="1"/>
  <c r="D290" i="9" s="1"/>
  <c r="D299" i="9" a="1"/>
  <c r="D299" i="9" s="1"/>
  <c r="D316" i="9" a="1"/>
  <c r="D316" i="9" s="1"/>
  <c r="D323" i="9" a="1"/>
  <c r="D323" i="9" s="1"/>
  <c r="D339" i="9" a="1"/>
  <c r="D339" i="9" s="1"/>
  <c r="D357" i="9" a="1"/>
  <c r="D357" i="9" s="1"/>
  <c r="D384" i="9" a="1"/>
  <c r="D384" i="9" s="1"/>
  <c r="D392" i="9" a="1"/>
  <c r="D392" i="9" s="1"/>
  <c r="D408" i="9" a="1"/>
  <c r="D408" i="9" s="1"/>
  <c r="D417" i="9" a="1"/>
  <c r="D417" i="9" s="1"/>
  <c r="D427" i="9" a="1"/>
  <c r="D427" i="9" s="1"/>
  <c r="D436" i="9" a="1"/>
  <c r="D436" i="9" s="1"/>
  <c r="D446" i="9" a="1"/>
  <c r="D446" i="9" s="1"/>
  <c r="D449" i="9" a="1"/>
  <c r="D449" i="9" s="1"/>
  <c r="D458" i="9" a="1"/>
  <c r="D458" i="9" s="1"/>
  <c r="D470" i="9" a="1"/>
  <c r="D470" i="9" s="1"/>
  <c r="D474" i="9" a="1"/>
  <c r="D474" i="9" s="1"/>
  <c r="D482" i="9" a="1"/>
  <c r="D482" i="9" s="1"/>
  <c r="D487" i="9" a="1"/>
  <c r="D487" i="9" s="1"/>
  <c r="D489" i="9" a="1"/>
  <c r="D489" i="9" s="1"/>
  <c r="D491" i="9" a="1"/>
  <c r="D491" i="9" s="1"/>
  <c r="D497" i="9" a="1"/>
  <c r="D497" i="9" s="1"/>
  <c r="D499" i="9" a="1"/>
  <c r="D499" i="9" s="1"/>
  <c r="D500" i="9" a="1"/>
  <c r="D500" i="9" s="1"/>
  <c r="D506" i="9" a="1"/>
  <c r="D506" i="9" s="1"/>
  <c r="D508" i="9" a="1"/>
  <c r="D508" i="9" s="1"/>
  <c r="D516" i="9" a="1"/>
  <c r="D516" i="9" s="1"/>
  <c r="D518" i="9" a="1"/>
  <c r="D518" i="9" s="1"/>
  <c r="D520" i="9" a="1"/>
  <c r="D520" i="9" s="1"/>
  <c r="D524" i="9" a="1"/>
  <c r="D524" i="9" s="1"/>
  <c r="D526" i="9" a="1"/>
  <c r="D526" i="9" s="1"/>
  <c r="D528" i="9" a="1"/>
  <c r="D528" i="9" s="1"/>
  <c r="D530" i="9" a="1"/>
  <c r="D530" i="9" s="1"/>
  <c r="D535" i="9" a="1"/>
  <c r="D535" i="9" s="1"/>
  <c r="D538" i="9" a="1"/>
  <c r="D538" i="9" s="1"/>
  <c r="D543" i="9" a="1"/>
  <c r="D543" i="9" s="1"/>
  <c r="D544" i="9" a="1"/>
  <c r="D544" i="9" s="1"/>
  <c r="D545" i="9" a="1"/>
  <c r="D545" i="9" s="1"/>
  <c r="D546" i="9" a="1"/>
  <c r="D546" i="9" s="1"/>
  <c r="D547" i="9" a="1"/>
  <c r="D547" i="9" s="1"/>
  <c r="D551" i="9" a="1"/>
  <c r="D551" i="9" s="1"/>
  <c r="D552" i="9" a="1"/>
  <c r="D552" i="9" s="1"/>
  <c r="D554" i="9" a="1"/>
  <c r="D554" i="9" s="1"/>
  <c r="D556" i="9" a="1"/>
  <c r="D556" i="9" s="1"/>
  <c r="D557" i="9" a="1"/>
  <c r="D557" i="9" s="1"/>
  <c r="D560" i="9" a="1"/>
  <c r="D560" i="9" s="1"/>
  <c r="D561" i="9" a="1"/>
  <c r="D561" i="9" s="1"/>
  <c r="D562" i="9" a="1"/>
  <c r="D562" i="9" s="1"/>
  <c r="D563" i="9" a="1"/>
  <c r="D563" i="9" s="1"/>
  <c r="D565" i="9" a="1"/>
  <c r="D565" i="9" s="1"/>
  <c r="D570" i="9" a="1"/>
  <c r="D570" i="9" s="1"/>
  <c r="D571" i="9" a="1"/>
  <c r="D571" i="9" s="1"/>
  <c r="D572" i="9" a="1"/>
  <c r="D572" i="9" s="1"/>
  <c r="D573" i="9" a="1"/>
  <c r="D573" i="9" s="1"/>
  <c r="D578" i="9" a="1"/>
  <c r="D578" i="9" s="1"/>
  <c r="D579" i="9" a="1"/>
  <c r="D579" i="9" s="1"/>
  <c r="D581" i="9" a="1"/>
  <c r="D581" i="9" s="1"/>
  <c r="D582" i="9" a="1"/>
  <c r="D582" i="9" s="1"/>
  <c r="D587" i="9" a="1"/>
  <c r="D587" i="9" s="1"/>
  <c r="D588" i="9" a="1"/>
  <c r="D588" i="9" s="1"/>
  <c r="D590" i="9" a="1"/>
  <c r="D590" i="9" s="1"/>
  <c r="D591" i="9" a="1"/>
  <c r="D591" i="9" s="1"/>
  <c r="D592" i="9" a="1"/>
  <c r="D592" i="9" s="1"/>
  <c r="D593" i="9" a="1"/>
  <c r="D593" i="9" s="1"/>
  <c r="D597" i="9" a="1"/>
  <c r="D597" i="9" s="1"/>
  <c r="D599" i="9" a="1"/>
  <c r="D599" i="9" s="1"/>
  <c r="D600" i="9" a="1"/>
  <c r="D600" i="9" s="1"/>
  <c r="D601" i="9" a="1"/>
  <c r="D601" i="9" s="1"/>
  <c r="D603" i="9" a="1"/>
  <c r="D603" i="9" s="1"/>
  <c r="D606" i="9" a="1"/>
  <c r="D606" i="9" s="1"/>
  <c r="D608" i="9" a="1"/>
  <c r="D608" i="9" s="1"/>
  <c r="D609" i="9" a="1"/>
  <c r="D609" i="9" s="1"/>
  <c r="D610" i="9" a="1"/>
  <c r="D610" i="9" s="1"/>
  <c r="D611" i="9" a="1"/>
  <c r="D611" i="9" s="1"/>
  <c r="D612" i="9" a="1"/>
  <c r="D612" i="9" s="1"/>
  <c r="D617" i="9" a="1"/>
  <c r="D617" i="9" s="1"/>
  <c r="D618" i="9" a="1"/>
  <c r="D618" i="9" s="1"/>
  <c r="D619" i="9" a="1"/>
  <c r="D619" i="9" s="1"/>
  <c r="D620" i="9" a="1"/>
  <c r="D620" i="9" s="1"/>
  <c r="D622" i="9" a="1"/>
  <c r="D622" i="9" s="1"/>
  <c r="D625" i="9" a="1"/>
  <c r="D625" i="9" s="1"/>
  <c r="D626" i="9" a="1"/>
  <c r="D626" i="9" s="1"/>
  <c r="D628" i="9" a="1"/>
  <c r="D628" i="9" s="1"/>
  <c r="D629" i="9" a="1"/>
  <c r="D629" i="9" s="1"/>
  <c r="D630" i="9" a="1"/>
  <c r="D630" i="9" s="1"/>
  <c r="D633" i="9" a="1"/>
  <c r="D633" i="9" s="1"/>
  <c r="D634" i="9" a="1"/>
  <c r="D634" i="9" s="1"/>
  <c r="D636" i="9" a="1"/>
  <c r="D636" i="9" s="1"/>
  <c r="D637" i="9" a="1"/>
  <c r="D637" i="9" s="1"/>
  <c r="D638" i="9" a="1"/>
  <c r="D638" i="9" s="1"/>
  <c r="D639" i="9" a="1"/>
  <c r="D639" i="9" s="1"/>
  <c r="D640" i="9" a="1"/>
  <c r="D640" i="9" s="1"/>
  <c r="D642" i="9" a="1"/>
  <c r="D642" i="9" s="1"/>
  <c r="D644" i="9" a="1"/>
  <c r="D644" i="9" s="1"/>
  <c r="D645" i="9" a="1"/>
  <c r="D645" i="9" s="1"/>
  <c r="D646" i="9" a="1"/>
  <c r="D646" i="9" s="1"/>
  <c r="D647" i="9" a="1"/>
  <c r="D647" i="9" s="1"/>
  <c r="D648" i="9" a="1"/>
  <c r="D648" i="9" s="1"/>
  <c r="D649" i="9" a="1"/>
  <c r="D649" i="9" s="1"/>
  <c r="D651" i="9" a="1"/>
  <c r="D651" i="9" s="1"/>
  <c r="D653" i="9" a="1"/>
  <c r="D653" i="9" s="1"/>
  <c r="D654" i="9" a="1"/>
  <c r="D654" i="9" s="1"/>
  <c r="D656" i="9" a="1"/>
  <c r="D656" i="9" s="1"/>
  <c r="D657" i="9" a="1"/>
  <c r="D657" i="9" s="1"/>
  <c r="D658" i="9" a="1"/>
  <c r="D658" i="9" s="1"/>
  <c r="D660" i="9" a="1"/>
  <c r="D660" i="9" s="1"/>
  <c r="D663" i="9" a="1"/>
  <c r="D663" i="9" s="1"/>
  <c r="D664" i="9" a="1"/>
  <c r="D664" i="9" s="1"/>
  <c r="D665" i="9" a="1"/>
  <c r="D665" i="9" s="1"/>
  <c r="D666" i="9" a="1"/>
  <c r="D666" i="9" s="1"/>
  <c r="D667" i="9" a="1"/>
  <c r="D667" i="9" s="1"/>
  <c r="D671" i="9" a="1"/>
  <c r="D671" i="9" s="1"/>
  <c r="D672" i="9" a="1"/>
  <c r="D672" i="9" s="1"/>
  <c r="D674" i="9" a="1"/>
  <c r="D674" i="9" s="1"/>
  <c r="D675" i="9" a="1"/>
  <c r="D675" i="9" s="1"/>
  <c r="D676" i="9" a="1"/>
  <c r="D676" i="9" s="1"/>
  <c r="D677" i="9" a="1"/>
  <c r="D677" i="9" s="1"/>
  <c r="D678" i="9" a="1"/>
  <c r="D678" i="9" s="1"/>
  <c r="D680" i="9" a="1"/>
  <c r="D680" i="9" s="1"/>
  <c r="D681" i="9" a="1"/>
  <c r="D681" i="9" s="1"/>
  <c r="D682" i="9" a="1"/>
  <c r="D682" i="9" s="1"/>
  <c r="D683" i="9" a="1"/>
  <c r="D683" i="9" s="1"/>
  <c r="D684" i="9" a="1"/>
  <c r="D684" i="9" s="1"/>
  <c r="D685" i="9" a="1"/>
  <c r="D685" i="9" s="1"/>
  <c r="D686" i="9" a="1"/>
  <c r="D686" i="9" s="1"/>
  <c r="D688" i="9" a="1"/>
  <c r="D688" i="9" s="1"/>
  <c r="D690" i="9" a="1"/>
  <c r="D690" i="9" s="1"/>
  <c r="D691" i="9" a="1"/>
  <c r="D691" i="9" s="1"/>
  <c r="D692" i="9" a="1"/>
  <c r="D692" i="9" s="1"/>
  <c r="D693" i="9" a="1"/>
  <c r="D693" i="9" s="1"/>
  <c r="D694" i="9" a="1"/>
  <c r="D694" i="9" s="1"/>
  <c r="D698" i="9" a="1"/>
  <c r="D698" i="9" s="1"/>
  <c r="D699" i="9" a="1"/>
  <c r="D699" i="9" s="1"/>
  <c r="D700" i="9" a="1"/>
  <c r="D700" i="9" s="1"/>
  <c r="D701" i="9" a="1"/>
  <c r="D701" i="9" s="1"/>
  <c r="D702" i="9" a="1"/>
  <c r="D702" i="9" s="1"/>
  <c r="D705" i="9" a="1"/>
  <c r="D705" i="9" s="1"/>
  <c r="D706" i="9" a="1"/>
  <c r="D706" i="9" s="1"/>
  <c r="D707" i="9" a="1"/>
  <c r="D707" i="9" s="1"/>
  <c r="D708" i="9" a="1"/>
  <c r="D708" i="9" s="1"/>
  <c r="D709" i="9" a="1"/>
  <c r="D709" i="9" s="1"/>
  <c r="D710" i="9" a="1"/>
  <c r="D710" i="9" s="1"/>
  <c r="D711" i="9" a="1"/>
  <c r="D711"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30" i="9" a="1"/>
  <c r="D730" i="9" s="1"/>
  <c r="D731" i="9" a="1"/>
  <c r="D731" i="9" s="1"/>
  <c r="D732" i="9" a="1"/>
  <c r="D732" i="9" s="1"/>
  <c r="D733" i="9" a="1"/>
  <c r="D733" i="9" s="1"/>
  <c r="D734" i="9" a="1"/>
  <c r="D734" i="9" s="1"/>
  <c r="D735" i="9" a="1"/>
  <c r="D735" i="9" s="1"/>
  <c r="D736" i="9" a="1"/>
  <c r="D736" i="9" s="1"/>
  <c r="D737" i="9" a="1"/>
  <c r="D737" i="9" s="1"/>
  <c r="D739" i="9" a="1"/>
  <c r="D739" i="9" s="1"/>
  <c r="D740" i="9" a="1"/>
  <c r="D740" i="9" s="1"/>
  <c r="D741" i="9" a="1"/>
  <c r="D741" i="9" s="1"/>
  <c r="D742" i="9" a="1"/>
  <c r="D742" i="9" s="1"/>
  <c r="D743" i="9" a="1"/>
  <c r="D743" i="9" s="1"/>
  <c r="D744" i="9" a="1"/>
  <c r="D744" i="9" s="1"/>
  <c r="D745" i="9" a="1"/>
  <c r="D745" i="9" s="1"/>
  <c r="D746" i="9" a="1"/>
  <c r="D746" i="9" s="1"/>
  <c r="D747" i="9" a="1"/>
  <c r="D747" i="9" s="1"/>
  <c r="D749" i="9" a="1"/>
  <c r="D749" i="9" s="1"/>
  <c r="D750" i="9" a="1"/>
  <c r="D750" i="9" s="1"/>
  <c r="D751" i="9" a="1"/>
  <c r="D751" i="9" s="1"/>
  <c r="D752" i="9" a="1"/>
  <c r="D752" i="9" s="1"/>
  <c r="D753" i="9" a="1"/>
  <c r="D753" i="9" s="1"/>
  <c r="D754" i="9" a="1"/>
  <c r="D754" i="9" s="1"/>
  <c r="D756" i="9" a="1"/>
  <c r="D756" i="9" s="1"/>
  <c r="D757" i="9" a="1"/>
  <c r="D757" i="9" s="1"/>
  <c r="D758" i="9" a="1"/>
  <c r="D758" i="9" s="1"/>
  <c r="D759" i="9" a="1"/>
  <c r="D759" i="9" s="1"/>
  <c r="D760" i="9" a="1"/>
  <c r="D760" i="9" s="1"/>
  <c r="D761" i="9" a="1"/>
  <c r="D761" i="9" s="1"/>
  <c r="D762" i="9" a="1"/>
  <c r="D762"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s="1"/>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s="1"/>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s="1"/>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s="1"/>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D2337" i="9" a="1"/>
  <c r="D2337" i="9" s="1"/>
  <c r="D2338" i="9" a="1"/>
  <c r="D2338" i="9" s="1"/>
  <c r="D2339" i="9" a="1"/>
  <c r="D2339" i="9" s="1"/>
  <c r="D2340" i="9" a="1"/>
  <c r="D2340" i="9" s="1"/>
  <c r="D2341" i="9" a="1"/>
  <c r="D2341" i="9" s="1"/>
  <c r="D2342" i="9" a="1"/>
  <c r="D2342" i="9" s="1"/>
  <c r="D2343" i="9" a="1"/>
  <c r="D2343" i="9" s="1"/>
  <c r="D2344" i="9" a="1"/>
  <c r="D2344" i="9" s="1"/>
  <c r="D2345" i="9" a="1"/>
  <c r="D2345" i="9" s="1"/>
  <c r="D2346" i="9" a="1"/>
  <c r="D2346" i="9" s="1"/>
  <c r="D2347" i="9" a="1"/>
  <c r="D2347" i="9" s="1"/>
  <c r="D2348" i="9" a="1"/>
  <c r="D2348" i="9" s="1"/>
  <c r="D2349" i="9" a="1"/>
  <c r="D2349" i="9" s="1"/>
  <c r="D2350" i="9" a="1"/>
  <c r="D2350" i="9" s="1"/>
  <c r="D2351" i="9" a="1"/>
  <c r="D2351" i="9" s="1"/>
  <c r="D2352" i="9" a="1"/>
  <c r="D2352" i="9" s="1"/>
  <c r="D2353" i="9" a="1"/>
  <c r="D2353" i="9" s="1"/>
  <c r="D2354" i="9" a="1"/>
  <c r="D2354" i="9" s="1"/>
  <c r="D2355" i="9" a="1"/>
  <c r="D2355" i="9" s="1"/>
  <c r="D2356" i="9" a="1"/>
  <c r="D2356" i="9" s="1"/>
  <c r="D2357" i="9" a="1"/>
  <c r="D2357" i="9" s="1"/>
  <c r="D2358" i="9" a="1"/>
  <c r="D2358" i="9" s="1"/>
  <c r="D2359" i="9" a="1"/>
  <c r="D2359" i="9" s="1"/>
  <c r="D2360" i="9" a="1"/>
  <c r="D2360" i="9" s="1"/>
  <c r="D2361" i="9" a="1"/>
  <c r="D2361" i="9" s="1"/>
  <c r="D2362" i="9" a="1"/>
  <c r="D2362" i="9" s="1"/>
  <c r="D2363" i="9" a="1"/>
  <c r="D2363" i="9" s="1"/>
  <c r="D2364" i="9" a="1"/>
  <c r="D2364" i="9" s="1"/>
  <c r="D2365" i="9" a="1"/>
  <c r="D2365" i="9" s="1"/>
  <c r="D2366" i="9" a="1"/>
  <c r="D2366" i="9" s="1"/>
  <c r="D2367" i="9" a="1"/>
  <c r="D2367" i="9" s="1"/>
  <c r="D2368" i="9" a="1"/>
  <c r="D2368" i="9" s="1"/>
  <c r="D2369" i="9" a="1"/>
  <c r="D2369" i="9" s="1"/>
  <c r="D2370" i="9" a="1"/>
  <c r="D2370" i="9" s="1"/>
  <c r="D2371" i="9" a="1"/>
  <c r="D2371" i="9" s="1"/>
  <c r="D2372" i="9" a="1"/>
  <c r="D2372" i="9" s="1"/>
  <c r="D2373" i="9" a="1"/>
  <c r="D2373" i="9" s="1"/>
  <c r="D2374" i="9" a="1"/>
  <c r="D2374" i="9" s="1"/>
  <c r="D2375" i="9" a="1"/>
  <c r="D2375" i="9" s="1"/>
  <c r="D2376" i="9" a="1"/>
  <c r="D2376" i="9" s="1"/>
  <c r="D2377" i="9" a="1"/>
  <c r="D2377" i="9" s="1"/>
  <c r="D2378" i="9" a="1"/>
  <c r="D2378" i="9" s="1"/>
  <c r="D2379" i="9" a="1"/>
  <c r="D2379" i="9" s="1"/>
  <c r="D2380" i="9" a="1"/>
  <c r="D2380" i="9" s="1"/>
  <c r="D2381" i="9" a="1"/>
  <c r="D2381" i="9" s="1"/>
  <c r="D2382" i="9" a="1"/>
  <c r="D2382" i="9" s="1"/>
  <c r="D2383" i="9" a="1"/>
  <c r="D2383" i="9"/>
  <c r="D2384" i="9" a="1"/>
  <c r="D2384" i="9" s="1"/>
  <c r="D2385" i="9" a="1"/>
  <c r="D2385" i="9" s="1"/>
  <c r="D2386" i="9" a="1"/>
  <c r="D2386" i="9" s="1"/>
  <c r="D2387" i="9" a="1"/>
  <c r="D2387" i="9" s="1"/>
  <c r="D2388" i="9" a="1"/>
  <c r="D2388" i="9" s="1"/>
  <c r="D2389" i="9" a="1"/>
  <c r="D2389" i="9" s="1"/>
  <c r="D2390" i="9" a="1"/>
  <c r="D2390" i="9" s="1"/>
  <c r="D2391" i="9" a="1"/>
  <c r="D2391" i="9" s="1"/>
  <c r="D2392" i="9" a="1"/>
  <c r="D2392" i="9" s="1"/>
  <c r="D2393" i="9" a="1"/>
  <c r="D2393" i="9" s="1"/>
  <c r="D2394" i="9" a="1"/>
  <c r="D2394" i="9" s="1"/>
  <c r="D2395" i="9" a="1"/>
  <c r="D2395" i="9" s="1"/>
  <c r="D2396" i="9" a="1"/>
  <c r="D2396" i="9" s="1"/>
  <c r="D2397" i="9" a="1"/>
  <c r="D2397" i="9" s="1"/>
  <c r="D2398" i="9" a="1"/>
  <c r="D2398" i="9" s="1"/>
  <c r="D2399" i="9" a="1"/>
  <c r="D2399" i="9" s="1"/>
  <c r="D2400" i="9" a="1"/>
  <c r="D2400" i="9" s="1"/>
  <c r="D2401" i="9" a="1"/>
  <c r="D2401" i="9" s="1"/>
  <c r="D2402" i="9" a="1"/>
  <c r="D2402" i="9" s="1"/>
  <c r="D2403" i="9" a="1"/>
  <c r="D2403" i="9" s="1"/>
  <c r="D2404" i="9" a="1"/>
  <c r="D2404" i="9" s="1"/>
  <c r="D2405" i="9" a="1"/>
  <c r="D2405" i="9" s="1"/>
  <c r="D2406" i="9" a="1"/>
  <c r="D2406" i="9" s="1"/>
  <c r="D2407" i="9" a="1"/>
  <c r="D2407" i="9" s="1"/>
  <c r="D2408" i="9" a="1"/>
  <c r="D2408" i="9" s="1"/>
  <c r="D2409" i="9" a="1"/>
  <c r="D2409" i="9" s="1"/>
  <c r="D2410" i="9" a="1"/>
  <c r="D2410" i="9" s="1"/>
  <c r="D2411" i="9" a="1"/>
  <c r="D2411" i="9" s="1"/>
  <c r="D2412" i="9" a="1"/>
  <c r="D2412" i="9" s="1"/>
  <c r="D2413" i="9" a="1"/>
  <c r="D2413" i="9" s="1"/>
  <c r="D2414" i="9" a="1"/>
  <c r="D2414" i="9" s="1"/>
  <c r="D2415" i="9" a="1"/>
  <c r="D2415" i="9" s="1"/>
  <c r="D2416" i="9" a="1"/>
  <c r="D2416" i="9" s="1"/>
  <c r="D2417" i="9" a="1"/>
  <c r="D2417" i="9" s="1"/>
  <c r="D2418" i="9" a="1"/>
  <c r="D2418" i="9" s="1"/>
  <c r="D2419" i="9" a="1"/>
  <c r="D2419" i="9" s="1"/>
  <c r="D2420" i="9" a="1"/>
  <c r="D2420" i="9" s="1"/>
  <c r="D2421" i="9" a="1"/>
  <c r="D2421" i="9" s="1"/>
  <c r="D2422" i="9" a="1"/>
  <c r="D2422" i="9" s="1"/>
  <c r="D2423" i="9" a="1"/>
  <c r="D2423" i="9" s="1"/>
  <c r="D2424" i="9" a="1"/>
  <c r="D2424" i="9" s="1"/>
  <c r="D2425" i="9" a="1"/>
  <c r="D2425" i="9" s="1"/>
  <c r="D2426" i="9" a="1"/>
  <c r="D2426" i="9" s="1"/>
  <c r="D2427" i="9" a="1"/>
  <c r="D2427" i="9" s="1"/>
  <c r="D2428" i="9" a="1"/>
  <c r="D2428" i="9" s="1"/>
  <c r="D2429" i="9" a="1"/>
  <c r="D2429" i="9" s="1"/>
  <c r="D2430" i="9" a="1"/>
  <c r="D2430" i="9" s="1"/>
  <c r="D2431" i="9" a="1"/>
  <c r="D2431" i="9" s="1"/>
  <c r="D2432" i="9" a="1"/>
  <c r="D2432" i="9" s="1"/>
  <c r="D2433" i="9" a="1"/>
  <c r="D2433" i="9" s="1"/>
  <c r="D2434" i="9" a="1"/>
  <c r="D2434" i="9" s="1"/>
  <c r="D2435" i="9" a="1"/>
  <c r="D2435" i="9" s="1"/>
  <c r="D2436" i="9" a="1"/>
  <c r="D2436" i="9" s="1"/>
  <c r="D2437" i="9" a="1"/>
  <c r="D2437" i="9" s="1"/>
  <c r="D2438" i="9" a="1"/>
  <c r="D2438" i="9" s="1"/>
  <c r="D2439" i="9" a="1"/>
  <c r="D2439" i="9" s="1"/>
  <c r="D2440" i="9" a="1"/>
  <c r="D2440" i="9" s="1"/>
  <c r="D2441" i="9" a="1"/>
  <c r="D2441" i="9" s="1"/>
  <c r="D2442" i="9" a="1"/>
  <c r="D2442" i="9" s="1"/>
  <c r="D2443" i="9" a="1"/>
  <c r="D2443" i="9" s="1"/>
  <c r="D2444" i="9" a="1"/>
  <c r="D2444" i="9" s="1"/>
  <c r="D2445" i="9" a="1"/>
  <c r="D2445" i="9" s="1"/>
  <c r="D2446" i="9" a="1"/>
  <c r="D2446" i="9" s="1"/>
  <c r="D2447" i="9" a="1"/>
  <c r="D2447" i="9" s="1"/>
  <c r="D2448" i="9" a="1"/>
  <c r="D2448" i="9" s="1"/>
  <c r="D2449" i="9" a="1"/>
  <c r="D2449" i="9" s="1"/>
  <c r="D2450" i="9" a="1"/>
  <c r="D2450" i="9" s="1"/>
  <c r="D2451" i="9" a="1"/>
  <c r="D2451" i="9" s="1"/>
  <c r="D2452" i="9" a="1"/>
  <c r="D2452" i="9" s="1"/>
  <c r="D2453" i="9" a="1"/>
  <c r="D2453" i="9" s="1"/>
  <c r="D2454" i="9" a="1"/>
  <c r="D2454" i="9" s="1"/>
  <c r="D2455" i="9" a="1"/>
  <c r="D2455" i="9" s="1"/>
  <c r="D2456" i="9" a="1"/>
  <c r="D2456" i="9" s="1"/>
  <c r="D2457" i="9" a="1"/>
  <c r="D2457" i="9" s="1"/>
  <c r="D2458" i="9" a="1"/>
  <c r="D2458" i="9" s="1"/>
  <c r="D2459" i="9" a="1"/>
  <c r="D2459" i="9" s="1"/>
  <c r="D2460" i="9" a="1"/>
  <c r="D2460" i="9" s="1"/>
  <c r="D2461" i="9" a="1"/>
  <c r="D2461" i="9" s="1"/>
  <c r="D2462" i="9" a="1"/>
  <c r="D2462" i="9" s="1"/>
  <c r="D2463" i="9" a="1"/>
  <c r="D2463" i="9" s="1"/>
  <c r="D2464" i="9" a="1"/>
  <c r="D2464" i="9" s="1"/>
  <c r="D2465" i="9" a="1"/>
  <c r="D2465" i="9" s="1"/>
  <c r="D2466" i="9" a="1"/>
  <c r="D2466" i="9" s="1"/>
  <c r="D2467" i="9" a="1"/>
  <c r="D2467" i="9" s="1"/>
  <c r="D2468" i="9" a="1"/>
  <c r="D2468" i="9" s="1"/>
  <c r="D2469" i="9" a="1"/>
  <c r="D2469" i="9" s="1"/>
  <c r="D2470" i="9" a="1"/>
  <c r="D2470" i="9" s="1"/>
  <c r="D2471" i="9" a="1"/>
  <c r="D2471" i="9" s="1"/>
  <c r="D2472" i="9" a="1"/>
  <c r="D2472" i="9" s="1"/>
  <c r="D2473" i="9" a="1"/>
  <c r="D2473" i="9" s="1"/>
  <c r="D2474" i="9" a="1"/>
  <c r="D2474" i="9" s="1"/>
  <c r="D2475" i="9" a="1"/>
  <c r="D2475" i="9" s="1"/>
  <c r="D2476" i="9" a="1"/>
  <c r="D2476" i="9" s="1"/>
  <c r="D2477" i="9" a="1"/>
  <c r="D2477" i="9" s="1"/>
  <c r="D2478" i="9" a="1"/>
  <c r="D2478" i="9" s="1"/>
  <c r="D2479" i="9" a="1"/>
  <c r="D2479" i="9" s="1"/>
  <c r="D2480" i="9" a="1"/>
  <c r="D2480" i="9" s="1"/>
  <c r="D2481" i="9" a="1"/>
  <c r="D2481" i="9" s="1"/>
  <c r="D2482" i="9" a="1"/>
  <c r="D2482" i="9" s="1"/>
  <c r="D2483" i="9" a="1"/>
  <c r="D2483" i="9" s="1"/>
  <c r="D2484" i="9" a="1"/>
  <c r="D2484" i="9" s="1"/>
  <c r="D2485" i="9" a="1"/>
  <c r="D2485" i="9" s="1"/>
  <c r="D2486" i="9" a="1"/>
  <c r="D2486" i="9" s="1"/>
  <c r="D2487" i="9" a="1"/>
  <c r="D2487" i="9" s="1"/>
  <c r="D2488" i="9" a="1"/>
  <c r="D2488" i="9" s="1"/>
  <c r="D2489" i="9" a="1"/>
  <c r="D2489" i="9" s="1"/>
  <c r="D2490" i="9" a="1"/>
  <c r="D2490" i="9" s="1"/>
  <c r="D2491" i="9" a="1"/>
  <c r="D2491" i="9" s="1"/>
  <c r="D2492" i="9" a="1"/>
  <c r="D2492" i="9" s="1"/>
  <c r="D2493" i="9" a="1"/>
  <c r="D2493" i="9" s="1"/>
  <c r="D2494" i="9" a="1"/>
  <c r="D2494" i="9" s="1"/>
  <c r="D2495" i="9" a="1"/>
  <c r="D2495" i="9" s="1"/>
  <c r="D2496" i="9" a="1"/>
  <c r="D2496" i="9" s="1"/>
  <c r="D2497" i="9" a="1"/>
  <c r="D2497" i="9" s="1"/>
  <c r="D2498" i="9" a="1"/>
  <c r="D2498" i="9" s="1"/>
  <c r="D2499" i="9" a="1"/>
  <c r="D2499" i="9" s="1"/>
  <c r="D2500" i="9" a="1"/>
  <c r="D2500" i="9" s="1"/>
  <c r="D2501" i="9" a="1"/>
  <c r="D2501" i="9" s="1"/>
  <c r="D2502" i="9" a="1"/>
  <c r="D2502" i="9" s="1"/>
  <c r="D2503" i="9" a="1"/>
  <c r="D2503" i="9" s="1"/>
  <c r="D2504" i="9" a="1"/>
  <c r="D2504" i="9" s="1"/>
  <c r="D2505" i="9" a="1"/>
  <c r="D2505" i="9" s="1"/>
  <c r="D2506" i="9" a="1"/>
  <c r="D2506" i="9" s="1"/>
  <c r="D2507" i="9" a="1"/>
  <c r="D2507" i="9" s="1"/>
  <c r="D2508" i="9" a="1"/>
  <c r="D2508" i="9" s="1"/>
  <c r="D2509" i="9" a="1"/>
  <c r="D2509" i="9" s="1"/>
  <c r="D2510" i="9" a="1"/>
  <c r="D2510" i="9" s="1"/>
  <c r="D2511" i="9" a="1"/>
  <c r="D2511" i="9" s="1"/>
  <c r="D2512" i="9" a="1"/>
  <c r="D2512" i="9" s="1"/>
  <c r="D2513" i="9" a="1"/>
  <c r="D2513" i="9" s="1"/>
  <c r="D2514" i="9" a="1"/>
  <c r="D2514" i="9" s="1"/>
  <c r="D2515" i="9" a="1"/>
  <c r="D2515" i="9" s="1"/>
  <c r="D2516" i="9" a="1"/>
  <c r="D2516" i="9" s="1"/>
  <c r="D2517" i="9" a="1"/>
  <c r="D2517" i="9" s="1"/>
  <c r="D2518" i="9" a="1"/>
  <c r="D2518" i="9" s="1"/>
  <c r="D2519" i="9" a="1"/>
  <c r="D2519" i="9" s="1"/>
  <c r="D2520" i="9" a="1"/>
  <c r="D2520" i="9" s="1"/>
  <c r="D2521" i="9" a="1"/>
  <c r="D2521" i="9" s="1"/>
  <c r="D2522" i="9" a="1"/>
  <c r="D2522" i="9" s="1"/>
  <c r="D2523" i="9" a="1"/>
  <c r="D2523" i="9" s="1"/>
  <c r="D2524" i="9" a="1"/>
  <c r="D2524" i="9" s="1"/>
  <c r="D2525" i="9" a="1"/>
  <c r="D2525" i="9" s="1"/>
  <c r="D2526" i="9" a="1"/>
  <c r="D2526" i="9" s="1"/>
  <c r="D2527" i="9" a="1"/>
  <c r="D2527" i="9" s="1"/>
  <c r="D2528" i="9" a="1"/>
  <c r="D2528" i="9" s="1"/>
  <c r="D2529" i="9" a="1"/>
  <c r="D2529" i="9" s="1"/>
  <c r="D2530" i="9" a="1"/>
  <c r="D2530" i="9" s="1"/>
  <c r="D2531" i="9" a="1"/>
  <c r="D2531" i="9" s="1"/>
  <c r="D2532" i="9" a="1"/>
  <c r="D2532" i="9" s="1"/>
  <c r="D2533" i="9" a="1"/>
  <c r="D2533" i="9" s="1"/>
  <c r="D2534" i="9" a="1"/>
  <c r="D2534" i="9" s="1"/>
  <c r="D2535" i="9" a="1"/>
  <c r="D2535" i="9" s="1"/>
  <c r="D2536" i="9" a="1"/>
  <c r="D2536" i="9" s="1"/>
  <c r="D2537" i="9" a="1"/>
  <c r="D2537" i="9" s="1"/>
  <c r="D2538" i="9" a="1"/>
  <c r="D2538" i="9" s="1"/>
  <c r="D2539" i="9" a="1"/>
  <c r="D2539" i="9" s="1"/>
  <c r="D2540" i="9" a="1"/>
  <c r="D2540" i="9" s="1"/>
  <c r="D2541" i="9" a="1"/>
  <c r="D2541" i="9" s="1"/>
  <c r="D2542" i="9" a="1"/>
  <c r="D2542" i="9" s="1"/>
  <c r="D2543" i="9" a="1"/>
  <c r="D2543" i="9" s="1"/>
  <c r="D2544" i="9" a="1"/>
  <c r="D2544" i="9" s="1"/>
  <c r="D2545" i="9" a="1"/>
  <c r="D2545" i="9" s="1"/>
  <c r="D2546" i="9" a="1"/>
  <c r="D2546" i="9" s="1"/>
  <c r="D2547" i="9" a="1"/>
  <c r="D2547" i="9" s="1"/>
  <c r="D2548" i="9" a="1"/>
  <c r="D2548" i="9" s="1"/>
  <c r="D2549" i="9" a="1"/>
  <c r="D2549" i="9" s="1"/>
  <c r="D2550" i="9" a="1"/>
  <c r="D2550" i="9" s="1"/>
  <c r="D2551" i="9" a="1"/>
  <c r="D2551" i="9" s="1"/>
  <c r="D2552" i="9" a="1"/>
  <c r="D2552" i="9" s="1"/>
  <c r="D2553" i="9" a="1"/>
  <c r="D2553" i="9" s="1"/>
  <c r="D2554" i="9" a="1"/>
  <c r="D2554" i="9" s="1"/>
  <c r="D2555" i="9" a="1"/>
  <c r="D2555" i="9" s="1"/>
  <c r="D2556" i="9" a="1"/>
  <c r="D2556" i="9" s="1"/>
  <c r="D2557" i="9" a="1"/>
  <c r="D2557" i="9" s="1"/>
  <c r="D2558" i="9" a="1"/>
  <c r="D2558" i="9" s="1"/>
  <c r="D2559" i="9" a="1"/>
  <c r="D2559" i="9" s="1"/>
  <c r="D2560" i="9" a="1"/>
  <c r="D2560" i="9" s="1"/>
  <c r="D2561" i="9" a="1"/>
  <c r="D2561" i="9" s="1"/>
  <c r="D2562" i="9" a="1"/>
  <c r="D2562" i="9" s="1"/>
  <c r="D2563" i="9" a="1"/>
  <c r="D2563" i="9" s="1"/>
  <c r="D2564" i="9" a="1"/>
  <c r="D2564" i="9" s="1"/>
  <c r="D2565" i="9" a="1"/>
  <c r="D2565" i="9" s="1"/>
  <c r="D2566" i="9" a="1"/>
  <c r="D2566" i="9" s="1"/>
  <c r="D2567" i="9" a="1"/>
  <c r="D2567" i="9" s="1"/>
  <c r="D2568" i="9" a="1"/>
  <c r="D2568" i="9" s="1"/>
  <c r="D2569" i="9" a="1"/>
  <c r="D2569" i="9" s="1"/>
  <c r="D2570" i="9" a="1"/>
  <c r="D2570" i="9" s="1"/>
  <c r="D2571" i="9" a="1"/>
  <c r="D2571" i="9" s="1"/>
  <c r="D2572" i="9" a="1"/>
  <c r="D2572" i="9" s="1"/>
  <c r="D2573" i="9" a="1"/>
  <c r="D2573" i="9" s="1"/>
  <c r="D2574" i="9" a="1"/>
  <c r="D2574" i="9" s="1"/>
  <c r="D2575" i="9" a="1"/>
  <c r="D2575" i="9" s="1"/>
  <c r="D2576" i="9" a="1"/>
  <c r="D2576" i="9" s="1"/>
  <c r="D2577" i="9" a="1"/>
  <c r="D2577" i="9" s="1"/>
  <c r="D2578" i="9" a="1"/>
  <c r="D2578" i="9" s="1"/>
  <c r="D2579" i="9" a="1"/>
  <c r="D2579" i="9" s="1"/>
  <c r="D2580" i="9" a="1"/>
  <c r="D2580" i="9" s="1"/>
  <c r="D2581" i="9" a="1"/>
  <c r="D2581" i="9" s="1"/>
  <c r="D2582" i="9" a="1"/>
  <c r="D2582" i="9" s="1"/>
  <c r="D2583" i="9" a="1"/>
  <c r="D2583" i="9" s="1"/>
  <c r="D2584" i="9" a="1"/>
  <c r="D2584" i="9" s="1"/>
  <c r="D2585" i="9" a="1"/>
  <c r="D2585" i="9" s="1"/>
  <c r="D2586" i="9" a="1"/>
  <c r="D2586" i="9" s="1"/>
  <c r="D2587" i="9" a="1"/>
  <c r="D2587" i="9" s="1"/>
  <c r="D2588" i="9" a="1"/>
  <c r="D2588" i="9" s="1"/>
  <c r="D2589" i="9" a="1"/>
  <c r="D2589" i="9" s="1"/>
  <c r="D2590" i="9" a="1"/>
  <c r="D2590" i="9" s="1"/>
  <c r="D2591" i="9" a="1"/>
  <c r="D2591" i="9" s="1"/>
  <c r="D2592" i="9" a="1"/>
  <c r="D2592" i="9" s="1"/>
  <c r="D2593" i="9" a="1"/>
  <c r="D2593" i="9" s="1"/>
  <c r="D2594" i="9" a="1"/>
  <c r="D2594" i="9" s="1"/>
  <c r="D2595" i="9" a="1"/>
  <c r="D2595" i="9" s="1"/>
  <c r="D2596" i="9" a="1"/>
  <c r="D2596" i="9" s="1"/>
  <c r="D2597" i="9" a="1"/>
  <c r="D2597" i="9" s="1"/>
  <c r="D2598" i="9" a="1"/>
  <c r="D2598" i="9" s="1"/>
  <c r="D2599" i="9" a="1"/>
  <c r="D2599" i="9" s="1"/>
  <c r="D2600" i="9" a="1"/>
  <c r="D2600" i="9" s="1"/>
  <c r="D2601" i="9" a="1"/>
  <c r="D2601" i="9" s="1"/>
  <c r="D2602" i="9" a="1"/>
  <c r="D2602" i="9" s="1"/>
  <c r="D2603" i="9" a="1"/>
  <c r="D2603" i="9" s="1"/>
  <c r="D2604" i="9" a="1"/>
  <c r="D2604" i="9" s="1"/>
  <c r="D2605" i="9" a="1"/>
  <c r="D2605" i="9" s="1"/>
  <c r="D2606" i="9" a="1"/>
  <c r="D2606" i="9" s="1"/>
  <c r="D2607" i="9" a="1"/>
  <c r="D2607" i="9" s="1"/>
  <c r="D2608" i="9" a="1"/>
  <c r="D2608" i="9" s="1"/>
  <c r="D2609" i="9" a="1"/>
  <c r="D2609" i="9" s="1"/>
  <c r="D2610" i="9" a="1"/>
  <c r="D2610" i="9" s="1"/>
  <c r="D2611" i="9" a="1"/>
  <c r="D2611" i="9" s="1"/>
  <c r="D2612" i="9" a="1"/>
  <c r="D2612" i="9" s="1"/>
  <c r="D2613" i="9" a="1"/>
  <c r="D2613" i="9" s="1"/>
  <c r="D2614" i="9" a="1"/>
  <c r="D2614" i="9" s="1"/>
  <c r="D2615" i="9" a="1"/>
  <c r="D2615" i="9" s="1"/>
  <c r="D2616" i="9" a="1"/>
  <c r="D2616" i="9" s="1"/>
  <c r="D2617" i="9" a="1"/>
  <c r="D2617" i="9" s="1"/>
  <c r="D2618" i="9" a="1"/>
  <c r="D2618" i="9" s="1"/>
  <c r="D2619" i="9" a="1"/>
  <c r="D2619" i="9" s="1"/>
  <c r="D2620" i="9" a="1"/>
  <c r="D2620" i="9" s="1"/>
  <c r="D2621" i="9" a="1"/>
  <c r="D2621" i="9" s="1"/>
  <c r="D2622" i="9" a="1"/>
  <c r="D2622" i="9" s="1"/>
  <c r="D2623" i="9" a="1"/>
  <c r="D2623" i="9" s="1"/>
  <c r="D2624" i="9" a="1"/>
  <c r="D2624" i="9" s="1"/>
  <c r="D2625" i="9" a="1"/>
  <c r="D2625" i="9" s="1"/>
  <c r="D2626" i="9" a="1"/>
  <c r="D2626" i="9" s="1"/>
  <c r="D2627" i="9" a="1"/>
  <c r="D2627" i="9" s="1"/>
  <c r="D2628" i="9" a="1"/>
  <c r="D2628" i="9" s="1"/>
  <c r="D2629" i="9" a="1"/>
  <c r="D2629" i="9" s="1"/>
  <c r="D2630" i="9" a="1"/>
  <c r="D2630" i="9" s="1"/>
  <c r="D2631" i="9" a="1"/>
  <c r="D2631" i="9" s="1"/>
  <c r="D2632" i="9" a="1"/>
  <c r="D2632" i="9" s="1"/>
  <c r="D2633" i="9" a="1"/>
  <c r="D2633" i="9" s="1"/>
  <c r="D2634" i="9" a="1"/>
  <c r="D2634" i="9" s="1"/>
  <c r="D2635" i="9" a="1"/>
  <c r="D2635" i="9" s="1"/>
  <c r="D2636" i="9" a="1"/>
  <c r="D2636" i="9" s="1"/>
  <c r="D2637" i="9" a="1"/>
  <c r="D2637" i="9" s="1"/>
  <c r="D2638" i="9" a="1"/>
  <c r="D2638" i="9" s="1"/>
  <c r="D2639" i="9" a="1"/>
  <c r="D2639" i="9" s="1"/>
  <c r="D2640" i="9" a="1"/>
  <c r="D2640" i="9" s="1"/>
  <c r="D2641" i="9" a="1"/>
  <c r="D2641" i="9" s="1"/>
  <c r="D2642" i="9" a="1"/>
  <c r="D2642" i="9" s="1"/>
  <c r="D2643" i="9" a="1"/>
  <c r="D2643" i="9" s="1"/>
  <c r="D2644" i="9" a="1"/>
  <c r="D2644" i="9" s="1"/>
  <c r="D2645" i="9" a="1"/>
  <c r="D2645" i="9" s="1"/>
  <c r="D2646" i="9" a="1"/>
  <c r="D2646" i="9" s="1"/>
  <c r="D2647" i="9" a="1"/>
  <c r="D2647" i="9" s="1"/>
  <c r="D2648" i="9" a="1"/>
  <c r="D2648" i="9" s="1"/>
  <c r="D2649" i="9" a="1"/>
  <c r="D2649" i="9" s="1"/>
  <c r="D2650" i="9" a="1"/>
  <c r="D2650" i="9" s="1"/>
  <c r="D2651" i="9" a="1"/>
  <c r="D2651" i="9" s="1"/>
  <c r="D2652" i="9" a="1"/>
  <c r="D2652" i="9" s="1"/>
  <c r="D2653" i="9" a="1"/>
  <c r="D2653" i="9" s="1"/>
  <c r="D2654" i="9" a="1"/>
  <c r="D2654" i="9" s="1"/>
  <c r="D2655" i="9" a="1"/>
  <c r="D2655" i="9" s="1"/>
  <c r="D2656" i="9" a="1"/>
  <c r="D2656" i="9" s="1"/>
  <c r="D2657" i="9" a="1"/>
  <c r="D2657" i="9" s="1"/>
  <c r="D2658" i="9" a="1"/>
  <c r="D2658" i="9" s="1"/>
  <c r="D2659" i="9" a="1"/>
  <c r="D2659" i="9" s="1"/>
  <c r="D2660" i="9" a="1"/>
  <c r="D2660" i="9" s="1"/>
  <c r="D2661" i="9" a="1"/>
  <c r="D2661" i="9" s="1"/>
  <c r="D2662" i="9" a="1"/>
  <c r="D2662" i="9" s="1"/>
  <c r="D2663" i="9" a="1"/>
  <c r="D2663" i="9" s="1"/>
  <c r="D2664" i="9" a="1"/>
  <c r="D2664" i="9" s="1"/>
  <c r="D2665" i="9" a="1"/>
  <c r="D2665" i="9" s="1"/>
  <c r="D2666" i="9" a="1"/>
  <c r="D2666" i="9" s="1"/>
  <c r="D2667" i="9" a="1"/>
  <c r="D2667" i="9" s="1"/>
  <c r="D2668" i="9" a="1"/>
  <c r="D2668" i="9" s="1"/>
  <c r="D2669" i="9" a="1"/>
  <c r="D2669" i="9" s="1"/>
  <c r="D2670" i="9" a="1"/>
  <c r="D2670" i="9" s="1"/>
  <c r="D2671" i="9" a="1"/>
  <c r="D2671" i="9" s="1"/>
  <c r="D2672" i="9" a="1"/>
  <c r="D2672" i="9" s="1"/>
  <c r="D2673" i="9" a="1"/>
  <c r="D2673" i="9" s="1"/>
  <c r="D2674" i="9" a="1"/>
  <c r="D2674" i="9" s="1"/>
  <c r="D2675" i="9" a="1"/>
  <c r="D2675" i="9" s="1"/>
  <c r="D2676" i="9" a="1"/>
  <c r="D2676" i="9" s="1"/>
  <c r="D2677" i="9" a="1"/>
  <c r="D2677" i="9" s="1"/>
  <c r="D2678" i="9" a="1"/>
  <c r="D2678" i="9" s="1"/>
  <c r="D2679" i="9" a="1"/>
  <c r="D2679" i="9" s="1"/>
  <c r="D2680" i="9" a="1"/>
  <c r="D2680" i="9" s="1"/>
  <c r="D2681" i="9" a="1"/>
  <c r="D2681" i="9" s="1"/>
  <c r="D2682" i="9" a="1"/>
  <c r="D2682" i="9" s="1"/>
  <c r="D2683" i="9" a="1"/>
  <c r="D2683" i="9" s="1"/>
  <c r="D2684" i="9" a="1"/>
  <c r="D2684" i="9" s="1"/>
  <c r="D2685" i="9" a="1"/>
  <c r="D2685" i="9" s="1"/>
  <c r="D2686" i="9" a="1"/>
  <c r="D2686" i="9" s="1"/>
  <c r="D2687" i="9" a="1"/>
  <c r="D2687" i="9" s="1"/>
  <c r="D2688" i="9" a="1"/>
  <c r="D2688" i="9" s="1"/>
  <c r="D2689" i="9" a="1"/>
  <c r="D2689" i="9" s="1"/>
  <c r="D2690" i="9" a="1"/>
  <c r="D2690" i="9" s="1"/>
  <c r="D2691" i="9" a="1"/>
  <c r="D2691" i="9" s="1"/>
  <c r="D2692" i="9" a="1"/>
  <c r="D2692" i="9" s="1"/>
  <c r="D2693" i="9" a="1"/>
  <c r="D2693" i="9" s="1"/>
  <c r="D2694" i="9" a="1"/>
  <c r="D2694" i="9" s="1"/>
  <c r="D2695" i="9" a="1"/>
  <c r="D2695" i="9" s="1"/>
  <c r="D2696" i="9" a="1"/>
  <c r="D2696" i="9" s="1"/>
  <c r="D2697" i="9" a="1"/>
  <c r="D2697" i="9" s="1"/>
  <c r="D2698" i="9" a="1"/>
  <c r="D2698" i="9" s="1"/>
  <c r="D2699" i="9" a="1"/>
  <c r="D2699" i="9" s="1"/>
  <c r="D2700" i="9" a="1"/>
  <c r="D2700" i="9" s="1"/>
  <c r="D2701" i="9" a="1"/>
  <c r="D2701" i="9" s="1"/>
  <c r="D2702" i="9" a="1"/>
  <c r="D2702" i="9" s="1"/>
  <c r="D2703" i="9" a="1"/>
  <c r="D2703" i="9" s="1"/>
  <c r="D2704" i="9" a="1"/>
  <c r="D2704" i="9" s="1"/>
  <c r="D2705" i="9" a="1"/>
  <c r="D2705" i="9" s="1"/>
  <c r="D2706" i="9" a="1"/>
  <c r="D2706" i="9" s="1"/>
  <c r="D2707" i="9" a="1"/>
  <c r="D2707" i="9" s="1"/>
  <c r="D2708" i="9" a="1"/>
  <c r="D2708" i="9" s="1"/>
  <c r="D2709" i="9" a="1"/>
  <c r="D2709" i="9" s="1"/>
  <c r="D2710" i="9" a="1"/>
  <c r="D2710" i="9" s="1"/>
  <c r="D2711" i="9" a="1"/>
  <c r="D2711" i="9" s="1"/>
  <c r="D2712" i="9" a="1"/>
  <c r="D2712" i="9" s="1"/>
  <c r="D2713" i="9" a="1"/>
  <c r="D2713" i="9" s="1"/>
  <c r="D2714" i="9" a="1"/>
  <c r="D2714" i="9" s="1"/>
  <c r="D2715" i="9" a="1"/>
  <c r="D2715" i="9" s="1"/>
  <c r="D2716" i="9" a="1"/>
  <c r="D2716" i="9" s="1"/>
  <c r="D2717" i="9" a="1"/>
  <c r="D2717" i="9" s="1"/>
  <c r="D2718" i="9" a="1"/>
  <c r="D2718" i="9" s="1"/>
  <c r="D2719" i="9" a="1"/>
  <c r="D2719" i="9" s="1"/>
  <c r="D2720" i="9" a="1"/>
  <c r="D2720" i="9" s="1"/>
  <c r="D2721" i="9" a="1"/>
  <c r="D2721" i="9" s="1"/>
  <c r="D2722" i="9" a="1"/>
  <c r="D2722" i="9" s="1"/>
  <c r="D2723" i="9" a="1"/>
  <c r="D2723" i="9" s="1"/>
  <c r="D2724" i="9" a="1"/>
  <c r="D2724" i="9" s="1"/>
  <c r="D2725" i="9" a="1"/>
  <c r="D2725" i="9" s="1"/>
  <c r="D2726" i="9" a="1"/>
  <c r="D2726" i="9" s="1"/>
  <c r="D2727" i="9" a="1"/>
  <c r="D2727" i="9" s="1"/>
  <c r="D2728" i="9" a="1"/>
  <c r="D2728" i="9" s="1"/>
  <c r="D2729" i="9" a="1"/>
  <c r="D2729" i="9" s="1"/>
  <c r="D2730" i="9" a="1"/>
  <c r="D2730" i="9" s="1"/>
  <c r="D2731" i="9" a="1"/>
  <c r="D2731" i="9" s="1"/>
  <c r="D2732" i="9" a="1"/>
  <c r="D2732" i="9" s="1"/>
  <c r="D2733" i="9" a="1"/>
  <c r="D2733" i="9" s="1"/>
  <c r="D2734" i="9" a="1"/>
  <c r="D2734" i="9" s="1"/>
  <c r="D2735" i="9" a="1"/>
  <c r="D2735" i="9" s="1"/>
  <c r="D2736" i="9" a="1"/>
  <c r="D2736" i="9" s="1"/>
  <c r="D2737" i="9" a="1"/>
  <c r="D2737" i="9" s="1"/>
  <c r="D2738" i="9" a="1"/>
  <c r="D2738" i="9" s="1"/>
  <c r="D2739" i="9" a="1"/>
  <c r="D2739" i="9" s="1"/>
  <c r="D2740" i="9" a="1"/>
  <c r="D2740" i="9" s="1"/>
  <c r="D2741" i="9" a="1"/>
  <c r="D2741" i="9" s="1"/>
  <c r="D2742" i="9" a="1"/>
  <c r="D2742" i="9" s="1"/>
  <c r="D2743" i="9" a="1"/>
  <c r="D2743" i="9" s="1"/>
  <c r="D2744" i="9" a="1"/>
  <c r="D2744" i="9" s="1"/>
  <c r="D2745" i="9" a="1"/>
  <c r="D2745" i="9" s="1"/>
  <c r="D2746" i="9" a="1"/>
  <c r="D2746" i="9" s="1"/>
  <c r="D2747" i="9" a="1"/>
  <c r="D2747" i="9" s="1"/>
  <c r="D2748" i="9" a="1"/>
  <c r="D2748" i="9" s="1"/>
  <c r="D2749" i="9" a="1"/>
  <c r="D2749" i="9" s="1"/>
  <c r="D2750" i="9" a="1"/>
  <c r="D2750" i="9" s="1"/>
  <c r="D2751" i="9" a="1"/>
  <c r="D2751" i="9" s="1"/>
  <c r="D2752" i="9" a="1"/>
  <c r="D2752" i="9" s="1"/>
  <c r="D2753" i="9" a="1"/>
  <c r="D2753" i="9" s="1"/>
  <c r="D2754" i="9" a="1"/>
  <c r="D2754" i="9" s="1"/>
  <c r="D2755" i="9" a="1"/>
  <c r="D2755" i="9" s="1"/>
  <c r="D2756" i="9" a="1"/>
  <c r="D2756" i="9" s="1"/>
  <c r="D2757" i="9" a="1"/>
  <c r="D2757" i="9" s="1"/>
  <c r="D2758" i="9" a="1"/>
  <c r="D2758" i="9" s="1"/>
  <c r="D2759" i="9" a="1"/>
  <c r="D2759" i="9" s="1"/>
  <c r="D2760" i="9" a="1"/>
  <c r="D2760" i="9" s="1"/>
  <c r="D2761" i="9" a="1"/>
  <c r="D2761" i="9" s="1"/>
  <c r="D2762" i="9" a="1"/>
  <c r="D2762" i="9" s="1"/>
  <c r="D2763" i="9" a="1"/>
  <c r="D2763" i="9" s="1"/>
  <c r="D2764" i="9" a="1"/>
  <c r="D2764" i="9" s="1"/>
  <c r="D2765" i="9" a="1"/>
  <c r="D2765" i="9" s="1"/>
  <c r="D2766" i="9" a="1"/>
  <c r="D2766" i="9" s="1"/>
  <c r="D2767" i="9" a="1"/>
  <c r="D2767" i="9" s="1"/>
  <c r="D2768" i="9" a="1"/>
  <c r="D2768" i="9" s="1"/>
  <c r="D2769" i="9" a="1"/>
  <c r="D2769" i="9" s="1"/>
  <c r="D2770" i="9" a="1"/>
  <c r="D2770" i="9" s="1"/>
  <c r="D2771" i="9" a="1"/>
  <c r="D2771" i="9" s="1"/>
  <c r="D2772" i="9" a="1"/>
  <c r="D2772" i="9" s="1"/>
  <c r="D2773" i="9" a="1"/>
  <c r="D2773" i="9" s="1"/>
  <c r="D2774" i="9" a="1"/>
  <c r="D2774" i="9" s="1"/>
  <c r="D2775" i="9" a="1"/>
  <c r="D2775" i="9" s="1"/>
  <c r="D2776" i="9" a="1"/>
  <c r="D2776" i="9" s="1"/>
  <c r="D2777" i="9" a="1"/>
  <c r="D2777" i="9" s="1"/>
  <c r="D2778" i="9" a="1"/>
  <c r="D2778" i="9" s="1"/>
  <c r="D2779" i="9" a="1"/>
  <c r="D2779" i="9" s="1"/>
  <c r="D2780" i="9" a="1"/>
  <c r="D2780" i="9" s="1"/>
  <c r="D2781" i="9" a="1"/>
  <c r="D2781" i="9" s="1"/>
  <c r="D2782" i="9" a="1"/>
  <c r="D2782" i="9" s="1"/>
  <c r="D2783" i="9" a="1"/>
  <c r="D2783" i="9" s="1"/>
  <c r="D2784" i="9" a="1"/>
  <c r="D2784" i="9" s="1"/>
  <c r="D2785" i="9" a="1"/>
  <c r="D2785" i="9" s="1"/>
  <c r="D2786" i="9" a="1"/>
  <c r="D2786" i="9" s="1"/>
  <c r="D2787" i="9" a="1"/>
  <c r="D2787" i="9" s="1"/>
  <c r="D2788" i="9" a="1"/>
  <c r="D2788" i="9" s="1"/>
  <c r="D2789" i="9" a="1"/>
  <c r="D2789" i="9" s="1"/>
  <c r="D2790" i="9" a="1"/>
  <c r="D2790" i="9" s="1"/>
  <c r="D2791" i="9" a="1"/>
  <c r="D2791" i="9" s="1"/>
  <c r="D2792" i="9" a="1"/>
  <c r="D2792" i="9" s="1"/>
  <c r="D2793" i="9" a="1"/>
  <c r="D2793" i="9" s="1"/>
  <c r="D2794" i="9" a="1"/>
  <c r="D2794" i="9" s="1"/>
  <c r="D2795" i="9" a="1"/>
  <c r="D2795" i="9" s="1"/>
  <c r="D2796" i="9" a="1"/>
  <c r="D2796" i="9" s="1"/>
  <c r="D2797" i="9" a="1"/>
  <c r="D2797" i="9" s="1"/>
  <c r="D2798" i="9" a="1"/>
  <c r="D2798" i="9" s="1"/>
  <c r="D2799" i="9" a="1"/>
  <c r="D2799" i="9" s="1"/>
  <c r="D2800" i="9" a="1"/>
  <c r="D2800" i="9" s="1"/>
  <c r="D2801" i="9" a="1"/>
  <c r="D2801" i="9" s="1"/>
  <c r="D2802" i="9" a="1"/>
  <c r="D2802" i="9" s="1"/>
  <c r="D2803" i="9" a="1"/>
  <c r="D2803" i="9" s="1"/>
  <c r="D2804" i="9" a="1"/>
  <c r="D2804" i="9" s="1"/>
  <c r="D2805" i="9" a="1"/>
  <c r="D2805" i="9" s="1"/>
  <c r="D2806" i="9" a="1"/>
  <c r="D2806" i="9" s="1"/>
  <c r="D2807" i="9" a="1"/>
  <c r="D2807" i="9" s="1"/>
  <c r="D2808" i="9" a="1"/>
  <c r="D2808" i="9" s="1"/>
  <c r="D2809" i="9" a="1"/>
  <c r="D2809"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E2703" i="9" s="1"/>
  <c r="F2703" i="9" s="1"/>
  <c r="C2704" i="9" a="1"/>
  <c r="C2704" i="9" s="1"/>
  <c r="E2704" i="9" s="1"/>
  <c r="F2704" i="9" s="1"/>
  <c r="C2705" i="9" a="1"/>
  <c r="C2705" i="9" s="1"/>
  <c r="C2706" i="9" a="1"/>
  <c r="C2706" i="9" s="1"/>
  <c r="C2707" i="9" a="1"/>
  <c r="C2707" i="9" s="1"/>
  <c r="E2707" i="9" s="1"/>
  <c r="F2707" i="9" s="1"/>
  <c r="C2708" i="9" a="1"/>
  <c r="C2708" i="9" s="1"/>
  <c r="E2708" i="9" s="1"/>
  <c r="F2708" i="9" s="1"/>
  <c r="C2709" i="9" a="1"/>
  <c r="C2709" i="9" s="1"/>
  <c r="C2710" i="9" a="1"/>
  <c r="C2710" i="9" s="1"/>
  <c r="E2710" i="9" s="1"/>
  <c r="F2710" i="9" s="1"/>
  <c r="C2711" i="9" a="1"/>
  <c r="C2711" i="9" s="1"/>
  <c r="C2712" i="9" a="1"/>
  <c r="C2712" i="9" s="1"/>
  <c r="C2713" i="9" a="1"/>
  <c r="C2713" i="9" s="1"/>
  <c r="C2714" i="9" a="1"/>
  <c r="C2714" i="9" s="1"/>
  <c r="C2715" i="9" a="1"/>
  <c r="C2715" i="9" s="1"/>
  <c r="C2716" i="9" a="1"/>
  <c r="C2716" i="9" s="1"/>
  <c r="E2716" i="9" s="1"/>
  <c r="F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E2727" i="9" s="1"/>
  <c r="F2727" i="9" s="1"/>
  <c r="C2728" i="9" a="1"/>
  <c r="C2728" i="9" s="1"/>
  <c r="E2728" i="9" s="1"/>
  <c r="F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E2754" i="9" s="1"/>
  <c r="F2754" i="9" s="1"/>
  <c r="C2755" i="9" a="1"/>
  <c r="C2755" i="9" s="1"/>
  <c r="C2756" i="9" a="1"/>
  <c r="C2756" i="9" s="1"/>
  <c r="C2757" i="9" a="1"/>
  <c r="C2757" i="9" s="1"/>
  <c r="C2758" i="9" a="1"/>
  <c r="C2758" i="9" s="1"/>
  <c r="C2759" i="9" a="1"/>
  <c r="C2759" i="9" s="1"/>
  <c r="C2760" i="9" a="1"/>
  <c r="C2760" i="9" s="1"/>
  <c r="C2761" i="9" a="1"/>
  <c r="C2761" i="9" s="1"/>
  <c r="C2762" i="9" a="1"/>
  <c r="C2762" i="9"/>
  <c r="E2762" i="9" s="1"/>
  <c r="F2762" i="9" s="1"/>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D2" i="9" a="1"/>
  <c r="D2" i="9" s="1"/>
  <c r="C2" i="9" a="1"/>
  <c r="C2" i="9" s="1"/>
  <c r="E2742" i="9" l="1"/>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<sst xmlns="http://schemas.openxmlformats.org/spreadsheetml/2006/main" count="12614" uniqueCount="981">
  <si>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</si>
  <si>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</si>
  <si>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</si>
  <si>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</si>
  <si>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</si>
  <si>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</si>
  <si>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</si>
  <si>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</si>
  <si>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</si>
  <si>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</si>
  <si>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</si>
  <si>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</si>
  <si>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</si>
  <si>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</si>
  <si>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</si>
  <si>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</si>
  <si>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</si>
  <si>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</si>
  <si>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</si>
  <si>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Column1</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</si>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</sst>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5"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5">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cellXfs>
  <cellStyles count="2">
    <cellStyle name="Normal" xfId="0" builtinId="0"/>
    <cellStyle name="Valuta 2" xfId="1"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V81" totalsRowShown="0">
  <autoFilter ref="A1:V81" xr:uid="{00000000-000C-0000-FFFF-FFFF00000000}"/>
  <tableColumns count="22">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 id="21" xr3:uid="{00000000-0010-0000-0000-000015000000}"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filterColumn colId="1">
      <filters>
        <dateGroupItem year="2026" month="5" dateTimeGrouping="month"/>
      </filters>
    </filterColumn>
  </autoFilter>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28"/>
  <sheetViews>
    <sheetView zoomScale="98" zoomScaleNormal="98" workbookViewId="0">
      <pane xSplit="1" ySplit="1" topLeftCell="B2" activePane="bottomRight" state="frozen"/>
      <selection pane="topRight" activeCell="B1" sqref="B1"/>
      <selection pane="bottomLeft" activeCell="A2" sqref="A2"/>
      <selection pane="bottomRight" activeCell="C11" sqref="C11"/>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s>
  <sheetData>
    <row r="1" spans="1:22" ht="33" customHeight="1" x14ac:dyDescent="0.3">
      <c r="A1" s="1" t="s">
        <v>0</v>
      </c>
      <c r="B1" s="1" t="s">
        <v>977</v>
      </c>
      <c r="C1" s="1" t="s">
        <v>1</v>
      </c>
      <c r="D1" s="1" t="s">
        <v>978</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t="s">
        <v>19</v>
      </c>
    </row>
    <row r="2" spans="1:22" ht="14.25" customHeight="1" x14ac:dyDescent="0.3">
      <c r="A2" s="12" t="s">
        <v>20</v>
      </c>
      <c r="B2" s="1">
        <v>40000</v>
      </c>
      <c r="C2" s="1"/>
      <c r="D2" s="1">
        <v>0</v>
      </c>
      <c r="E2" s="1" t="s">
        <v>21</v>
      </c>
      <c r="F2" s="1" t="s">
        <v>22</v>
      </c>
      <c r="G2" s="1" t="s">
        <v>23</v>
      </c>
      <c r="H2" s="1" t="s">
        <v>23</v>
      </c>
      <c r="I2" s="1" t="s">
        <v>24</v>
      </c>
      <c r="J2" s="1" t="s">
        <v>25</v>
      </c>
      <c r="K2" s="1" t="s">
        <v>26</v>
      </c>
      <c r="L2" s="1" t="s">
        <v>23</v>
      </c>
      <c r="M2" s="1" t="s">
        <v>27</v>
      </c>
      <c r="N2" s="1" t="s">
        <v>28</v>
      </c>
      <c r="O2" s="1" t="s">
        <v>29</v>
      </c>
      <c r="P2" s="1"/>
      <c r="Q2" s="1" t="s">
        <v>30</v>
      </c>
      <c r="R2" s="1" t="s">
        <v>31</v>
      </c>
      <c r="S2" s="1" t="s">
        <v>23</v>
      </c>
      <c r="T2" s="1" t="s">
        <v>44</v>
      </c>
      <c r="U2" s="1" t="s">
        <v>23</v>
      </c>
    </row>
    <row r="3" spans="1:22" ht="14.25" customHeight="1" x14ac:dyDescent="0.3">
      <c r="A3" s="1" t="s">
        <v>32</v>
      </c>
      <c r="B3" s="1">
        <v>14000</v>
      </c>
      <c r="C3" s="1">
        <v>36</v>
      </c>
      <c r="D3" s="1">
        <v>35808</v>
      </c>
      <c r="E3" s="1" t="s">
        <v>22</v>
      </c>
      <c r="F3" s="1" t="s">
        <v>33</v>
      </c>
      <c r="G3" s="1" t="s">
        <v>34</v>
      </c>
      <c r="H3" s="1" t="s">
        <v>34</v>
      </c>
      <c r="I3" s="1" t="s">
        <v>24</v>
      </c>
      <c r="J3" s="1" t="s">
        <v>35</v>
      </c>
      <c r="K3" s="1" t="s">
        <v>36</v>
      </c>
      <c r="L3" s="1" t="s">
        <v>37</v>
      </c>
      <c r="M3" s="1" t="s">
        <v>38</v>
      </c>
      <c r="N3" s="1" t="s">
        <v>39</v>
      </c>
      <c r="O3" s="1" t="s">
        <v>40</v>
      </c>
      <c r="P3" s="1"/>
      <c r="Q3" s="1" t="s">
        <v>41</v>
      </c>
      <c r="R3" s="1" t="s">
        <v>42</v>
      </c>
      <c r="S3" s="1" t="s">
        <v>43</v>
      </c>
      <c r="T3" s="1" t="s">
        <v>44</v>
      </c>
      <c r="U3" s="1" t="s">
        <v>22</v>
      </c>
    </row>
    <row r="4" spans="1:22" ht="14.25" customHeight="1" x14ac:dyDescent="0.3">
      <c r="A4" s="1" t="s">
        <v>45</v>
      </c>
      <c r="B4" s="1">
        <v>178000</v>
      </c>
      <c r="C4" s="1">
        <f>2*80</f>
        <v>160</v>
      </c>
      <c r="D4" s="1">
        <v>0</v>
      </c>
      <c r="E4" s="1" t="s">
        <v>37</v>
      </c>
      <c r="F4" s="1" t="s">
        <v>37</v>
      </c>
      <c r="G4" s="1" t="s">
        <v>34</v>
      </c>
      <c r="H4" s="1" t="s">
        <v>34</v>
      </c>
      <c r="I4" s="1" t="s">
        <v>24</v>
      </c>
      <c r="J4" s="1" t="s">
        <v>35</v>
      </c>
      <c r="K4" s="1" t="s">
        <v>46</v>
      </c>
      <c r="L4" s="1" t="s">
        <v>47</v>
      </c>
      <c r="M4" s="1" t="s">
        <v>27</v>
      </c>
      <c r="N4" s="1" t="s">
        <v>48</v>
      </c>
      <c r="O4" s="1" t="s">
        <v>256</v>
      </c>
      <c r="P4" s="1"/>
      <c r="Q4" s="1" t="s">
        <v>30</v>
      </c>
      <c r="R4" s="1" t="s">
        <v>49</v>
      </c>
      <c r="S4" s="1" t="s">
        <v>23</v>
      </c>
      <c r="T4" s="1" t="s">
        <v>44</v>
      </c>
      <c r="U4" s="1" t="s">
        <v>50</v>
      </c>
    </row>
    <row r="5" spans="1:22" ht="14.25" customHeight="1" x14ac:dyDescent="0.3">
      <c r="A5" s="1" t="s">
        <v>51</v>
      </c>
      <c r="B5" s="1">
        <v>36000</v>
      </c>
      <c r="C5" s="1">
        <f>1*33</f>
        <v>33</v>
      </c>
      <c r="D5" s="1">
        <v>0</v>
      </c>
      <c r="E5" s="1" t="s">
        <v>37</v>
      </c>
      <c r="F5" s="1" t="s">
        <v>37</v>
      </c>
      <c r="G5" s="1" t="s">
        <v>34</v>
      </c>
      <c r="H5" s="1" t="s">
        <v>34</v>
      </c>
      <c r="I5" s="1" t="s">
        <v>24</v>
      </c>
      <c r="J5" s="1" t="s">
        <v>52</v>
      </c>
      <c r="K5" s="1" t="s">
        <v>53</v>
      </c>
      <c r="L5" s="1" t="s">
        <v>54</v>
      </c>
      <c r="M5" s="1" t="s">
        <v>27</v>
      </c>
      <c r="N5" s="1" t="s">
        <v>39</v>
      </c>
      <c r="O5" s="1" t="s">
        <v>40</v>
      </c>
      <c r="P5" s="1"/>
      <c r="Q5" s="1" t="s">
        <v>55</v>
      </c>
      <c r="R5" s="1" t="s">
        <v>23</v>
      </c>
      <c r="S5" s="1"/>
      <c r="T5" s="1" t="s">
        <v>44</v>
      </c>
      <c r="U5" s="1" t="s">
        <v>56</v>
      </c>
    </row>
    <row r="6" spans="1:22" ht="14.25" customHeight="1" x14ac:dyDescent="0.3">
      <c r="A6" s="1" t="s">
        <v>57</v>
      </c>
      <c r="B6" s="1">
        <v>110000</v>
      </c>
      <c r="C6" s="1">
        <f>1*110</f>
        <v>110</v>
      </c>
      <c r="D6" s="1">
        <v>0</v>
      </c>
      <c r="E6" s="1" t="s">
        <v>37</v>
      </c>
      <c r="F6" s="1" t="s">
        <v>37</v>
      </c>
      <c r="G6" s="1" t="s">
        <v>37</v>
      </c>
      <c r="H6" s="1" t="s">
        <v>37</v>
      </c>
      <c r="I6" s="1" t="s">
        <v>24</v>
      </c>
      <c r="J6" s="1" t="s">
        <v>58</v>
      </c>
      <c r="K6" s="1" t="s">
        <v>59</v>
      </c>
      <c r="L6" s="1" t="s">
        <v>23</v>
      </c>
      <c r="M6" s="1" t="s">
        <v>27</v>
      </c>
      <c r="N6" s="1" t="s">
        <v>60</v>
      </c>
      <c r="O6" s="1" t="s">
        <v>40</v>
      </c>
      <c r="P6" s="1"/>
      <c r="Q6" s="1" t="s">
        <v>41</v>
      </c>
      <c r="R6" s="1" t="s">
        <v>61</v>
      </c>
      <c r="S6" s="1" t="s">
        <v>23</v>
      </c>
      <c r="T6" s="1" t="s">
        <v>44</v>
      </c>
      <c r="U6" s="1" t="s">
        <v>23</v>
      </c>
    </row>
    <row r="7" spans="1:22" ht="14.25" customHeight="1" x14ac:dyDescent="0.3">
      <c r="A7" s="1" t="s">
        <v>62</v>
      </c>
      <c r="B7" s="1">
        <v>400000</v>
      </c>
      <c r="C7" s="1" t="s">
        <v>23</v>
      </c>
      <c r="D7" s="1">
        <v>0</v>
      </c>
      <c r="E7" s="1" t="s">
        <v>37</v>
      </c>
      <c r="F7" s="1" t="s">
        <v>37</v>
      </c>
      <c r="G7" s="1" t="s">
        <v>23</v>
      </c>
      <c r="H7" s="1" t="s">
        <v>23</v>
      </c>
      <c r="I7" s="1" t="s">
        <v>24</v>
      </c>
      <c r="J7" s="1" t="s">
        <v>58</v>
      </c>
      <c r="K7" s="1" t="s">
        <v>23</v>
      </c>
      <c r="L7" s="1" t="s">
        <v>23</v>
      </c>
      <c r="M7" s="1" t="s">
        <v>27</v>
      </c>
      <c r="N7" s="1" t="s">
        <v>60</v>
      </c>
      <c r="O7" s="1" t="s">
        <v>256</v>
      </c>
      <c r="P7" s="1"/>
      <c r="Q7" s="1" t="s">
        <v>41</v>
      </c>
      <c r="R7" s="1" t="s">
        <v>23</v>
      </c>
      <c r="S7" s="1" t="s">
        <v>23</v>
      </c>
      <c r="T7" s="1" t="s">
        <v>44</v>
      </c>
      <c r="U7" s="1" t="s">
        <v>23</v>
      </c>
    </row>
    <row r="8" spans="1:22" ht="14.25" customHeight="1" x14ac:dyDescent="0.3">
      <c r="A8" s="1" t="s">
        <v>63</v>
      </c>
      <c r="B8" s="1">
        <v>78000</v>
      </c>
      <c r="C8" s="1" t="s">
        <v>23</v>
      </c>
      <c r="D8" s="1">
        <v>0</v>
      </c>
      <c r="E8" s="1" t="s">
        <v>37</v>
      </c>
      <c r="F8" s="1" t="s">
        <v>37</v>
      </c>
      <c r="G8" s="1" t="s">
        <v>23</v>
      </c>
      <c r="H8" s="1" t="s">
        <v>23</v>
      </c>
      <c r="I8" s="1" t="s">
        <v>24</v>
      </c>
      <c r="J8" s="1" t="s">
        <v>64</v>
      </c>
      <c r="K8" s="1" t="s">
        <v>65</v>
      </c>
      <c r="L8" s="1" t="s">
        <v>23</v>
      </c>
      <c r="M8" s="1" t="s">
        <v>27</v>
      </c>
      <c r="N8" s="1" t="s">
        <v>48</v>
      </c>
      <c r="O8" s="1" t="s">
        <v>40</v>
      </c>
      <c r="P8" s="1"/>
      <c r="Q8" s="1" t="s">
        <v>30</v>
      </c>
      <c r="R8" s="1" t="s">
        <v>23</v>
      </c>
      <c r="S8" s="1" t="s">
        <v>23</v>
      </c>
      <c r="T8" s="1" t="s">
        <v>979</v>
      </c>
      <c r="U8" s="1" t="s">
        <v>23</v>
      </c>
    </row>
    <row r="9" spans="1:22" ht="14.25" customHeight="1" x14ac:dyDescent="0.3">
      <c r="A9" s="1" t="s">
        <v>66</v>
      </c>
      <c r="B9" s="1">
        <v>544000</v>
      </c>
      <c r="C9" s="1">
        <v>50</v>
      </c>
      <c r="D9" s="1">
        <v>0</v>
      </c>
      <c r="E9" s="1" t="s">
        <v>37</v>
      </c>
      <c r="F9" s="1" t="s">
        <v>37</v>
      </c>
      <c r="G9" s="1" t="s">
        <v>37</v>
      </c>
      <c r="H9" s="1" t="s">
        <v>37</v>
      </c>
      <c r="I9" s="1" t="s">
        <v>24</v>
      </c>
      <c r="J9" s="1" t="s">
        <v>25</v>
      </c>
      <c r="K9" s="1" t="s">
        <v>67</v>
      </c>
      <c r="L9" s="1" t="s">
        <v>54</v>
      </c>
      <c r="M9" s="1" t="s">
        <v>38</v>
      </c>
      <c r="N9" s="1" t="s">
        <v>60</v>
      </c>
      <c r="O9" s="1" t="s">
        <v>40</v>
      </c>
      <c r="P9" s="1"/>
      <c r="Q9" s="1" t="s">
        <v>30</v>
      </c>
      <c r="R9" s="1" t="s">
        <v>23</v>
      </c>
      <c r="S9" s="1"/>
      <c r="T9" s="1" t="s">
        <v>44</v>
      </c>
      <c r="U9" s="1" t="s">
        <v>23</v>
      </c>
    </row>
    <row r="10" spans="1:22" ht="14.25" customHeight="1" x14ac:dyDescent="0.3">
      <c r="A10" s="1" t="s">
        <v>68</v>
      </c>
      <c r="B10" s="1">
        <v>15000</v>
      </c>
      <c r="C10" s="1" t="s">
        <v>37</v>
      </c>
      <c r="D10" s="14"/>
      <c r="E10" s="1" t="s">
        <v>23</v>
      </c>
      <c r="F10" s="1" t="s">
        <v>69</v>
      </c>
      <c r="G10" s="1" t="s">
        <v>37</v>
      </c>
      <c r="H10" s="1" t="s">
        <v>37</v>
      </c>
      <c r="I10" s="1" t="s">
        <v>24</v>
      </c>
      <c r="J10" s="1" t="s">
        <v>70</v>
      </c>
      <c r="K10" s="1" t="s">
        <v>71</v>
      </c>
      <c r="L10" s="1" t="s">
        <v>23</v>
      </c>
      <c r="M10" s="1" t="s">
        <v>38</v>
      </c>
      <c r="N10" s="1" t="s">
        <v>39</v>
      </c>
      <c r="O10" s="1" t="s">
        <v>40</v>
      </c>
      <c r="P10" s="1"/>
      <c r="Q10" s="1" t="s">
        <v>30</v>
      </c>
      <c r="R10" s="1" t="s">
        <v>72</v>
      </c>
      <c r="S10" s="1" t="s">
        <v>73</v>
      </c>
      <c r="T10" s="1" t="s">
        <v>44</v>
      </c>
      <c r="U10" s="1" t="s">
        <v>22</v>
      </c>
    </row>
    <row r="11" spans="1:22" ht="14.25" customHeight="1" x14ac:dyDescent="0.3">
      <c r="A11" s="1" t="s">
        <v>74</v>
      </c>
      <c r="B11" s="1">
        <v>154000</v>
      </c>
      <c r="C11" s="1">
        <v>125</v>
      </c>
      <c r="D11" s="1">
        <v>0</v>
      </c>
      <c r="E11" s="1" t="s">
        <v>37</v>
      </c>
      <c r="F11" s="1" t="s">
        <v>37</v>
      </c>
      <c r="G11" s="1" t="s">
        <v>37</v>
      </c>
      <c r="H11" s="1" t="s">
        <v>75</v>
      </c>
      <c r="I11" s="1" t="s">
        <v>24</v>
      </c>
      <c r="J11" s="1" t="s">
        <v>76</v>
      </c>
      <c r="K11" s="1" t="s">
        <v>77</v>
      </c>
      <c r="L11" s="1"/>
      <c r="M11" s="1" t="s">
        <v>27</v>
      </c>
      <c r="N11" s="1" t="s">
        <v>60</v>
      </c>
      <c r="O11" s="1" t="s">
        <v>256</v>
      </c>
      <c r="P11" s="1"/>
      <c r="Q11" s="1" t="s">
        <v>55</v>
      </c>
      <c r="R11" s="1" t="s">
        <v>78</v>
      </c>
      <c r="S11" s="1" t="s">
        <v>23</v>
      </c>
      <c r="T11" s="1" t="s">
        <v>44</v>
      </c>
      <c r="U11" s="1" t="s">
        <v>79</v>
      </c>
    </row>
    <row r="12" spans="1:22" ht="14.25" customHeight="1" x14ac:dyDescent="0.3">
      <c r="A12" s="1" t="s">
        <v>80</v>
      </c>
      <c r="B12" s="1">
        <v>152000</v>
      </c>
      <c r="C12" s="1">
        <v>125</v>
      </c>
      <c r="D12" s="1">
        <v>0</v>
      </c>
      <c r="E12" s="1" t="s">
        <v>37</v>
      </c>
      <c r="F12" s="1" t="s">
        <v>37</v>
      </c>
      <c r="G12" s="1">
        <v>500</v>
      </c>
      <c r="H12" s="1" t="s">
        <v>81</v>
      </c>
      <c r="I12" s="1" t="s">
        <v>24</v>
      </c>
      <c r="J12" s="1" t="s">
        <v>35</v>
      </c>
      <c r="K12" s="1" t="s">
        <v>82</v>
      </c>
      <c r="L12" s="1" t="s">
        <v>54</v>
      </c>
      <c r="M12" s="1" t="s">
        <v>27</v>
      </c>
      <c r="N12" s="1" t="s">
        <v>60</v>
      </c>
      <c r="O12" s="1" t="s">
        <v>256</v>
      </c>
      <c r="P12" s="1"/>
      <c r="Q12" s="1" t="s">
        <v>55</v>
      </c>
      <c r="R12" s="1" t="s">
        <v>23</v>
      </c>
      <c r="S12" s="1" t="s">
        <v>83</v>
      </c>
      <c r="T12" s="1" t="s">
        <v>44</v>
      </c>
      <c r="U12" s="1" t="s">
        <v>56</v>
      </c>
    </row>
    <row r="13" spans="1:22" ht="14.25" customHeight="1" x14ac:dyDescent="0.3">
      <c r="A13" s="1" t="s">
        <v>84</v>
      </c>
      <c r="B13" s="1">
        <v>142000</v>
      </c>
      <c r="C13" s="1">
        <v>125</v>
      </c>
      <c r="D13" s="1">
        <v>0</v>
      </c>
      <c r="E13" s="1" t="s">
        <v>37</v>
      </c>
      <c r="F13" s="1" t="s">
        <v>37</v>
      </c>
      <c r="G13" s="1" t="s">
        <v>37</v>
      </c>
      <c r="H13" s="1" t="s">
        <v>37</v>
      </c>
      <c r="I13" s="1" t="s">
        <v>24</v>
      </c>
      <c r="J13" s="1" t="s">
        <v>35</v>
      </c>
      <c r="K13" s="1" t="s">
        <v>82</v>
      </c>
      <c r="L13" s="1" t="s">
        <v>54</v>
      </c>
      <c r="M13" s="1" t="s">
        <v>27</v>
      </c>
      <c r="N13" s="1" t="s">
        <v>60</v>
      </c>
      <c r="O13" s="1" t="s">
        <v>256</v>
      </c>
      <c r="P13" s="1"/>
      <c r="Q13" s="1" t="s">
        <v>55</v>
      </c>
      <c r="R13" s="1" t="s">
        <v>23</v>
      </c>
      <c r="S13" s="1" t="s">
        <v>85</v>
      </c>
      <c r="T13" s="1" t="s">
        <v>44</v>
      </c>
      <c r="U13" s="1" t="s">
        <v>56</v>
      </c>
    </row>
    <row r="14" spans="1:22" ht="14.25" customHeight="1" x14ac:dyDescent="0.3">
      <c r="A14" s="1" t="s">
        <v>86</v>
      </c>
      <c r="B14" s="1">
        <v>70000</v>
      </c>
      <c r="C14" s="1">
        <f>2*33</f>
        <v>66</v>
      </c>
      <c r="D14" s="1">
        <v>0</v>
      </c>
      <c r="E14" s="1" t="s">
        <v>37</v>
      </c>
      <c r="F14" s="1" t="s">
        <v>37</v>
      </c>
      <c r="G14" s="1" t="s">
        <v>37</v>
      </c>
      <c r="H14" s="1" t="s">
        <v>37</v>
      </c>
      <c r="I14" s="1" t="s">
        <v>24</v>
      </c>
      <c r="J14" s="1" t="s">
        <v>35</v>
      </c>
      <c r="K14" s="1" t="s">
        <v>87</v>
      </c>
      <c r="L14" s="1" t="s">
        <v>23</v>
      </c>
      <c r="M14" s="1" t="s">
        <v>27</v>
      </c>
      <c r="N14" s="1" t="s">
        <v>60</v>
      </c>
      <c r="O14" s="1" t="s">
        <v>256</v>
      </c>
      <c r="P14" s="1"/>
      <c r="Q14" s="1" t="s">
        <v>55</v>
      </c>
      <c r="R14" s="1" t="s">
        <v>88</v>
      </c>
      <c r="S14" s="1" t="s">
        <v>23</v>
      </c>
      <c r="T14" s="1" t="s">
        <v>44</v>
      </c>
      <c r="U14" s="1" t="s">
        <v>89</v>
      </c>
    </row>
    <row r="15" spans="1:22" ht="14.25" customHeight="1" x14ac:dyDescent="0.3">
      <c r="A15" s="1" t="s">
        <v>90</v>
      </c>
      <c r="B15" s="1">
        <v>60000</v>
      </c>
      <c r="C15" s="1" t="s">
        <v>37</v>
      </c>
      <c r="D15" s="1">
        <v>84000</v>
      </c>
      <c r="E15" s="1" t="s">
        <v>37</v>
      </c>
      <c r="F15" s="1" t="s">
        <v>91</v>
      </c>
      <c r="G15" s="1" t="s">
        <v>37</v>
      </c>
      <c r="H15" s="1" t="s">
        <v>23</v>
      </c>
      <c r="I15" s="1" t="s">
        <v>24</v>
      </c>
      <c r="J15" s="1" t="s">
        <v>35</v>
      </c>
      <c r="K15" s="1" t="s">
        <v>92</v>
      </c>
      <c r="L15" s="1" t="s">
        <v>37</v>
      </c>
      <c r="M15" s="1" t="s">
        <v>27</v>
      </c>
      <c r="N15" s="1" t="s">
        <v>39</v>
      </c>
      <c r="O15" t="s">
        <v>40</v>
      </c>
      <c r="P15" s="1"/>
      <c r="Q15" s="1" t="s">
        <v>41</v>
      </c>
      <c r="R15" s="1" t="s">
        <v>93</v>
      </c>
      <c r="S15" s="1" t="s">
        <v>23</v>
      </c>
      <c r="T15" s="1" t="s">
        <v>44</v>
      </c>
      <c r="U15" s="1" t="s">
        <v>94</v>
      </c>
    </row>
    <row r="16" spans="1:22" ht="14.25" customHeight="1" x14ac:dyDescent="0.3">
      <c r="A16" s="1" t="s">
        <v>95</v>
      </c>
      <c r="B16" s="1">
        <v>41000</v>
      </c>
      <c r="C16" s="1">
        <v>36</v>
      </c>
      <c r="D16" s="1">
        <v>0</v>
      </c>
      <c r="E16" s="1" t="s">
        <v>37</v>
      </c>
      <c r="F16" s="1" t="s">
        <v>37</v>
      </c>
      <c r="G16" s="1" t="s">
        <v>37</v>
      </c>
      <c r="H16" s="1" t="s">
        <v>37</v>
      </c>
      <c r="I16" s="1" t="s">
        <v>24</v>
      </c>
      <c r="J16" s="1" t="s">
        <v>52</v>
      </c>
      <c r="K16" s="1" t="s">
        <v>96</v>
      </c>
      <c r="L16" s="1" t="s">
        <v>37</v>
      </c>
      <c r="M16" s="1" t="s">
        <v>27</v>
      </c>
      <c r="N16" s="1" t="s">
        <v>28</v>
      </c>
      <c r="O16" t="s">
        <v>40</v>
      </c>
      <c r="P16" s="1"/>
      <c r="Q16" s="1" t="s">
        <v>41</v>
      </c>
      <c r="R16" s="1" t="s">
        <v>97</v>
      </c>
      <c r="S16" s="1"/>
      <c r="T16" s="1" t="s">
        <v>44</v>
      </c>
      <c r="U16" s="1" t="s">
        <v>89</v>
      </c>
    </row>
    <row r="17" spans="1:21" ht="14.25" customHeight="1" x14ac:dyDescent="0.3">
      <c r="A17" s="1" t="s">
        <v>98</v>
      </c>
      <c r="B17" s="1">
        <v>65000</v>
      </c>
      <c r="C17" s="1" t="s">
        <v>23</v>
      </c>
      <c r="D17" s="1">
        <v>0</v>
      </c>
      <c r="E17" s="1" t="s">
        <v>37</v>
      </c>
      <c r="F17" s="1" t="s">
        <v>37</v>
      </c>
      <c r="G17" s="1" t="s">
        <v>37</v>
      </c>
      <c r="H17" s="1" t="s">
        <v>23</v>
      </c>
      <c r="I17" s="1" t="s">
        <v>24</v>
      </c>
      <c r="J17" s="1" t="s">
        <v>64</v>
      </c>
      <c r="K17" s="1" t="s">
        <v>23</v>
      </c>
      <c r="L17" s="1" t="s">
        <v>23</v>
      </c>
      <c r="M17" s="1" t="s">
        <v>27</v>
      </c>
      <c r="N17" s="1" t="s">
        <v>99</v>
      </c>
      <c r="O17" s="1" t="s">
        <v>40</v>
      </c>
      <c r="P17" s="1"/>
      <c r="Q17" s="1" t="s">
        <v>55</v>
      </c>
      <c r="R17" s="1" t="s">
        <v>23</v>
      </c>
      <c r="S17" s="1" t="s">
        <v>23</v>
      </c>
      <c r="T17" s="1" t="s">
        <v>979</v>
      </c>
      <c r="U17" s="1" t="s">
        <v>23</v>
      </c>
    </row>
    <row r="18" spans="1:21" ht="14.25" customHeight="1" x14ac:dyDescent="0.3">
      <c r="A18" s="1" t="s">
        <v>100</v>
      </c>
      <c r="B18" s="1">
        <v>235000</v>
      </c>
      <c r="C18" s="1">
        <f>2*110</f>
        <v>220</v>
      </c>
      <c r="D18" s="1">
        <v>0</v>
      </c>
      <c r="E18" s="1" t="s">
        <v>37</v>
      </c>
      <c r="F18" s="1" t="s">
        <v>37</v>
      </c>
      <c r="G18" s="1" t="s">
        <v>37</v>
      </c>
      <c r="H18" s="1" t="s">
        <v>37</v>
      </c>
      <c r="I18" s="1" t="s">
        <v>24</v>
      </c>
      <c r="J18" s="1" t="s">
        <v>35</v>
      </c>
      <c r="K18" s="1" t="s">
        <v>101</v>
      </c>
      <c r="L18" s="1" t="s">
        <v>47</v>
      </c>
      <c r="M18" s="1" t="s">
        <v>27</v>
      </c>
      <c r="N18" s="1" t="s">
        <v>48</v>
      </c>
      <c r="O18" s="1" t="s">
        <v>40</v>
      </c>
      <c r="P18" s="1"/>
      <c r="Q18" s="1" t="s">
        <v>55</v>
      </c>
      <c r="R18" s="1" t="s">
        <v>102</v>
      </c>
      <c r="S18" s="1" t="s">
        <v>23</v>
      </c>
      <c r="T18" s="1" t="s">
        <v>44</v>
      </c>
      <c r="U18" s="1" t="s">
        <v>89</v>
      </c>
    </row>
    <row r="19" spans="1:21" ht="14.25" customHeight="1" x14ac:dyDescent="0.3">
      <c r="A19" s="1" t="s">
        <v>103</v>
      </c>
      <c r="B19" s="1">
        <v>180000</v>
      </c>
      <c r="C19" s="1">
        <v>160</v>
      </c>
      <c r="D19" s="1">
        <v>0</v>
      </c>
      <c r="E19" s="1" t="s">
        <v>37</v>
      </c>
      <c r="F19" s="1" t="s">
        <v>37</v>
      </c>
      <c r="G19" s="1" t="s">
        <v>37</v>
      </c>
      <c r="H19" s="1" t="s">
        <v>37</v>
      </c>
      <c r="I19" s="1" t="s">
        <v>24</v>
      </c>
      <c r="J19" s="1" t="s">
        <v>52</v>
      </c>
      <c r="K19" s="1" t="s">
        <v>104</v>
      </c>
      <c r="L19" s="1" t="s">
        <v>47</v>
      </c>
      <c r="M19" s="1" t="s">
        <v>27</v>
      </c>
      <c r="N19" s="1" t="s">
        <v>48</v>
      </c>
      <c r="O19" s="1" t="s">
        <v>40</v>
      </c>
      <c r="P19" s="1"/>
      <c r="Q19" s="1" t="s">
        <v>30</v>
      </c>
      <c r="R19" s="1" t="s">
        <v>105</v>
      </c>
      <c r="S19" s="1" t="s">
        <v>23</v>
      </c>
      <c r="T19" s="1" t="s">
        <v>44</v>
      </c>
      <c r="U19" s="1" t="s">
        <v>106</v>
      </c>
    </row>
    <row r="20" spans="1:21" ht="14.25" customHeight="1" x14ac:dyDescent="0.3">
      <c r="A20" s="1" t="s">
        <v>107</v>
      </c>
      <c r="B20" s="1">
        <v>106000</v>
      </c>
      <c r="C20" s="1" t="s">
        <v>23</v>
      </c>
      <c r="D20" s="1">
        <v>0</v>
      </c>
      <c r="E20" s="1" t="s">
        <v>37</v>
      </c>
      <c r="F20" s="1" t="s">
        <v>37</v>
      </c>
      <c r="G20" s="1" t="s">
        <v>37</v>
      </c>
      <c r="H20" s="1" t="s">
        <v>23</v>
      </c>
      <c r="I20" s="1" t="s">
        <v>24</v>
      </c>
      <c r="J20" s="1" t="s">
        <v>52</v>
      </c>
      <c r="K20" s="1" t="s">
        <v>104</v>
      </c>
      <c r="L20" s="1" t="s">
        <v>47</v>
      </c>
      <c r="M20" s="1" t="s">
        <v>27</v>
      </c>
      <c r="N20" s="1" t="s">
        <v>28</v>
      </c>
      <c r="O20" s="1" t="s">
        <v>40</v>
      </c>
      <c r="P20" s="1"/>
      <c r="Q20" s="1" t="s">
        <v>30</v>
      </c>
      <c r="R20" s="1" t="s">
        <v>23</v>
      </c>
      <c r="S20" s="1" t="s">
        <v>23</v>
      </c>
      <c r="T20" s="1" t="s">
        <v>44</v>
      </c>
      <c r="U20" s="1" t="s">
        <v>108</v>
      </c>
    </row>
    <row r="21" spans="1:21" ht="14.25" customHeight="1" x14ac:dyDescent="0.3">
      <c r="A21" s="1" t="s">
        <v>109</v>
      </c>
      <c r="B21" s="1">
        <v>30000</v>
      </c>
      <c r="C21" s="1">
        <v>33</v>
      </c>
      <c r="D21" s="1">
        <v>0</v>
      </c>
      <c r="E21" s="1" t="s">
        <v>37</v>
      </c>
      <c r="F21" s="1" t="s">
        <v>37</v>
      </c>
      <c r="G21" s="1" t="s">
        <v>37</v>
      </c>
      <c r="H21" s="1" t="s">
        <v>37</v>
      </c>
      <c r="I21" s="1" t="s">
        <v>24</v>
      </c>
      <c r="J21" s="1" t="s">
        <v>70</v>
      </c>
      <c r="K21" s="1" t="s">
        <v>110</v>
      </c>
      <c r="L21" s="1" t="s">
        <v>23</v>
      </c>
      <c r="M21" s="1" t="s">
        <v>27</v>
      </c>
      <c r="N21" s="1" t="s">
        <v>39</v>
      </c>
      <c r="O21" s="1" t="s">
        <v>40</v>
      </c>
      <c r="P21" s="1"/>
      <c r="Q21" s="1" t="s">
        <v>30</v>
      </c>
      <c r="R21" s="1" t="s">
        <v>111</v>
      </c>
      <c r="S21" s="1" t="s">
        <v>112</v>
      </c>
      <c r="T21" s="1" t="s">
        <v>44</v>
      </c>
      <c r="U21" s="1" t="s">
        <v>89</v>
      </c>
    </row>
    <row r="22" spans="1:21" ht="14.25" customHeight="1" x14ac:dyDescent="0.3">
      <c r="A22" s="1" t="s">
        <v>113</v>
      </c>
      <c r="B22" s="1">
        <v>30000</v>
      </c>
      <c r="C22" s="1">
        <v>33</v>
      </c>
      <c r="D22" s="1">
        <v>0</v>
      </c>
      <c r="E22" s="1" t="s">
        <v>37</v>
      </c>
      <c r="F22" s="1" t="s">
        <v>37</v>
      </c>
      <c r="G22" s="1" t="s">
        <v>37</v>
      </c>
      <c r="H22" s="1" t="s">
        <v>37</v>
      </c>
      <c r="I22" s="1" t="s">
        <v>24</v>
      </c>
      <c r="J22" s="1" t="s">
        <v>70</v>
      </c>
      <c r="K22" s="1" t="s">
        <v>110</v>
      </c>
      <c r="L22" s="1" t="s">
        <v>23</v>
      </c>
      <c r="M22" s="1" t="s">
        <v>27</v>
      </c>
      <c r="N22" s="1" t="s">
        <v>60</v>
      </c>
      <c r="O22" s="1" t="s">
        <v>256</v>
      </c>
      <c r="P22" s="1"/>
      <c r="Q22" s="1" t="s">
        <v>30</v>
      </c>
      <c r="R22" s="1" t="s">
        <v>114</v>
      </c>
      <c r="S22" s="1" t="s">
        <v>112</v>
      </c>
      <c r="T22" s="1" t="s">
        <v>44</v>
      </c>
      <c r="U22" s="1" t="s">
        <v>89</v>
      </c>
    </row>
    <row r="23" spans="1:21" ht="14.25" customHeight="1" x14ac:dyDescent="0.3">
      <c r="A23" s="1" t="s">
        <v>115</v>
      </c>
      <c r="B23" s="1">
        <v>24000</v>
      </c>
      <c r="C23" s="1" t="s">
        <v>37</v>
      </c>
      <c r="D23" s="1">
        <v>127400</v>
      </c>
      <c r="E23" s="1" t="s">
        <v>37</v>
      </c>
      <c r="F23" s="1" t="s">
        <v>116</v>
      </c>
      <c r="G23" s="1" t="s">
        <v>37</v>
      </c>
      <c r="H23" s="1" t="s">
        <v>37</v>
      </c>
      <c r="I23" s="1" t="s">
        <v>24</v>
      </c>
      <c r="J23" s="1" t="s">
        <v>70</v>
      </c>
      <c r="K23" s="1" t="s">
        <v>117</v>
      </c>
      <c r="L23" s="1" t="s">
        <v>23</v>
      </c>
      <c r="M23" s="1" t="s">
        <v>38</v>
      </c>
      <c r="N23" s="1" t="s">
        <v>39</v>
      </c>
      <c r="O23" s="1" t="s">
        <v>40</v>
      </c>
      <c r="P23" s="1"/>
      <c r="Q23" s="1" t="s">
        <v>30</v>
      </c>
      <c r="R23" s="1" t="s">
        <v>118</v>
      </c>
      <c r="S23" s="1"/>
      <c r="T23" s="1" t="s">
        <v>44</v>
      </c>
      <c r="U23" s="1" t="s">
        <v>22</v>
      </c>
    </row>
    <row r="24" spans="1:21" ht="14.25" customHeight="1" x14ac:dyDescent="0.3">
      <c r="A24" s="1" t="s">
        <v>119</v>
      </c>
      <c r="B24" s="1">
        <v>223000</v>
      </c>
      <c r="C24" s="1" t="s">
        <v>23</v>
      </c>
      <c r="D24" s="1">
        <v>0</v>
      </c>
      <c r="E24" s="1" t="s">
        <v>37</v>
      </c>
      <c r="F24" s="1" t="s">
        <v>37</v>
      </c>
      <c r="G24" s="1" t="s">
        <v>37</v>
      </c>
      <c r="H24" s="1" t="s">
        <v>23</v>
      </c>
      <c r="I24" s="1" t="s">
        <v>24</v>
      </c>
      <c r="J24" s="1" t="s">
        <v>64</v>
      </c>
      <c r="K24" s="1" t="s">
        <v>23</v>
      </c>
      <c r="L24" s="1" t="s">
        <v>23</v>
      </c>
      <c r="M24" s="1" t="s">
        <v>27</v>
      </c>
      <c r="N24" s="1" t="s">
        <v>39</v>
      </c>
      <c r="O24" s="1" t="s">
        <v>256</v>
      </c>
      <c r="P24" s="1"/>
      <c r="Q24" s="1" t="s">
        <v>30</v>
      </c>
      <c r="R24" s="1" t="s">
        <v>23</v>
      </c>
      <c r="S24" s="1" t="s">
        <v>23</v>
      </c>
      <c r="T24" s="1" t="s">
        <v>44</v>
      </c>
      <c r="U24" s="1" t="s">
        <v>23</v>
      </c>
    </row>
    <row r="25" spans="1:21" ht="14.25" customHeight="1" x14ac:dyDescent="0.3">
      <c r="A25" s="1" t="s">
        <v>120</v>
      </c>
      <c r="B25" s="1">
        <v>240000</v>
      </c>
      <c r="C25" s="1">
        <v>240</v>
      </c>
      <c r="D25" s="1">
        <v>0</v>
      </c>
      <c r="E25" s="1" t="s">
        <v>37</v>
      </c>
      <c r="F25" s="1" t="s">
        <v>37</v>
      </c>
      <c r="G25" s="1" t="s">
        <v>37</v>
      </c>
      <c r="H25" s="1" t="s">
        <v>37</v>
      </c>
      <c r="I25" s="1" t="s">
        <v>24</v>
      </c>
      <c r="J25" s="1" t="s">
        <v>35</v>
      </c>
      <c r="K25" s="1" t="s">
        <v>121</v>
      </c>
      <c r="L25" s="1" t="s">
        <v>23</v>
      </c>
      <c r="M25" s="1" t="s">
        <v>27</v>
      </c>
      <c r="N25" s="1" t="s">
        <v>39</v>
      </c>
      <c r="O25" s="1" t="s">
        <v>256</v>
      </c>
      <c r="P25" s="1"/>
      <c r="Q25" s="1" t="s">
        <v>41</v>
      </c>
      <c r="R25" s="1" t="s">
        <v>122</v>
      </c>
      <c r="S25" s="1" t="s">
        <v>123</v>
      </c>
      <c r="T25" s="1" t="s">
        <v>44</v>
      </c>
      <c r="U25" s="1" t="s">
        <v>56</v>
      </c>
    </row>
    <row r="26" spans="1:21" ht="14.25" customHeight="1" x14ac:dyDescent="0.3">
      <c r="A26" s="1" t="s">
        <v>124</v>
      </c>
      <c r="B26" s="1">
        <v>215000</v>
      </c>
      <c r="C26" s="1">
        <f>2*110</f>
        <v>220</v>
      </c>
      <c r="D26" s="1">
        <v>0</v>
      </c>
      <c r="E26" s="1" t="s">
        <v>37</v>
      </c>
      <c r="F26" s="1" t="s">
        <v>37</v>
      </c>
      <c r="G26" s="1" t="s">
        <v>37</v>
      </c>
      <c r="H26" s="1" t="s">
        <v>37</v>
      </c>
      <c r="I26" s="1" t="s">
        <v>24</v>
      </c>
      <c r="J26" s="1" t="s">
        <v>35</v>
      </c>
      <c r="K26" s="1" t="s">
        <v>125</v>
      </c>
      <c r="L26" s="1" t="s">
        <v>54</v>
      </c>
      <c r="M26" s="1" t="s">
        <v>27</v>
      </c>
      <c r="N26" s="1" t="s">
        <v>28</v>
      </c>
      <c r="O26" s="1" t="s">
        <v>256</v>
      </c>
      <c r="P26" s="1"/>
      <c r="Q26" s="1" t="s">
        <v>55</v>
      </c>
      <c r="R26" s="1" t="s">
        <v>126</v>
      </c>
      <c r="S26" s="1" t="s">
        <v>127</v>
      </c>
      <c r="T26" s="1" t="s">
        <v>44</v>
      </c>
      <c r="U26" s="1" t="s">
        <v>89</v>
      </c>
    </row>
    <row r="27" spans="1:21" ht="14.25" customHeight="1" x14ac:dyDescent="0.3">
      <c r="A27" s="1" t="s">
        <v>128</v>
      </c>
      <c r="B27" s="1">
        <v>79000</v>
      </c>
      <c r="C27" s="1" t="s">
        <v>23</v>
      </c>
      <c r="D27" s="1">
        <v>0</v>
      </c>
      <c r="E27" s="1" t="s">
        <v>37</v>
      </c>
      <c r="F27" s="1" t="s">
        <v>37</v>
      </c>
      <c r="G27" s="1" t="s">
        <v>37</v>
      </c>
      <c r="H27" s="1" t="s">
        <v>23</v>
      </c>
      <c r="I27" s="1" t="s">
        <v>24</v>
      </c>
      <c r="J27" s="1" t="s">
        <v>76</v>
      </c>
      <c r="K27" s="1" t="s">
        <v>129</v>
      </c>
      <c r="L27" s="1" t="s">
        <v>23</v>
      </c>
      <c r="M27" s="1" t="s">
        <v>23</v>
      </c>
      <c r="N27" s="1" t="s">
        <v>28</v>
      </c>
      <c r="O27" s="1" t="s">
        <v>256</v>
      </c>
      <c r="P27" s="1"/>
      <c r="Q27" s="1" t="s">
        <v>41</v>
      </c>
      <c r="R27" s="1" t="s">
        <v>23</v>
      </c>
      <c r="S27" s="1" t="s">
        <v>23</v>
      </c>
      <c r="T27" s="1" t="s">
        <v>44</v>
      </c>
      <c r="U27" s="1" t="s">
        <v>23</v>
      </c>
    </row>
    <row r="28" spans="1:21" ht="14.25" customHeight="1" x14ac:dyDescent="0.3">
      <c r="A28" s="1" t="s">
        <v>130</v>
      </c>
      <c r="B28" s="1">
        <v>184000</v>
      </c>
      <c r="C28" s="1" t="s">
        <v>23</v>
      </c>
      <c r="D28" s="1">
        <v>0</v>
      </c>
      <c r="E28" s="1" t="s">
        <v>37</v>
      </c>
      <c r="F28" s="1" t="s">
        <v>37</v>
      </c>
      <c r="G28" s="1" t="s">
        <v>37</v>
      </c>
      <c r="H28" s="1" t="s">
        <v>23</v>
      </c>
      <c r="I28" s="1" t="s">
        <v>24</v>
      </c>
      <c r="J28" s="1" t="s">
        <v>52</v>
      </c>
      <c r="K28" s="1" t="s">
        <v>23</v>
      </c>
      <c r="L28" s="1" t="s">
        <v>23</v>
      </c>
      <c r="M28" s="1" t="s">
        <v>27</v>
      </c>
      <c r="N28" s="1" t="s">
        <v>60</v>
      </c>
      <c r="O28" s="1" t="s">
        <v>256</v>
      </c>
      <c r="P28" s="1"/>
      <c r="Q28" s="1" t="s">
        <v>41</v>
      </c>
      <c r="R28" s="1" t="s">
        <v>131</v>
      </c>
      <c r="S28" s="1" t="s">
        <v>23</v>
      </c>
      <c r="T28" s="1" t="s">
        <v>44</v>
      </c>
      <c r="U28" s="1" t="s">
        <v>50</v>
      </c>
    </row>
    <row r="29" spans="1:21" ht="14.25" customHeight="1" x14ac:dyDescent="0.3">
      <c r="A29" s="1" t="s">
        <v>132</v>
      </c>
      <c r="B29" s="1">
        <v>518000</v>
      </c>
      <c r="C29" s="1">
        <f>4*110</f>
        <v>440</v>
      </c>
      <c r="D29" s="1">
        <v>0</v>
      </c>
      <c r="E29" s="1" t="s">
        <v>37</v>
      </c>
      <c r="F29" s="1" t="s">
        <v>37</v>
      </c>
      <c r="G29" s="1" t="s">
        <v>37</v>
      </c>
      <c r="H29" s="1" t="s">
        <v>37</v>
      </c>
      <c r="I29" s="1" t="s">
        <v>24</v>
      </c>
      <c r="J29" s="1" t="s">
        <v>52</v>
      </c>
      <c r="K29" s="1" t="s">
        <v>133</v>
      </c>
      <c r="L29" s="1" t="s">
        <v>23</v>
      </c>
      <c r="M29" s="1" t="s">
        <v>27</v>
      </c>
      <c r="N29" s="1" t="s">
        <v>48</v>
      </c>
      <c r="O29" s="1" t="s">
        <v>256</v>
      </c>
      <c r="P29" s="1"/>
      <c r="Q29" s="1" t="s">
        <v>41</v>
      </c>
      <c r="R29" s="1" t="s">
        <v>134</v>
      </c>
      <c r="S29" s="1" t="s">
        <v>135</v>
      </c>
      <c r="T29" s="1" t="s">
        <v>44</v>
      </c>
      <c r="U29" s="1" t="s">
        <v>89</v>
      </c>
    </row>
    <row r="30" spans="1:21" ht="14.25" customHeight="1" x14ac:dyDescent="0.3">
      <c r="A30" s="1" t="s">
        <v>136</v>
      </c>
      <c r="B30" s="1">
        <v>114000</v>
      </c>
      <c r="C30" s="1" t="s">
        <v>23</v>
      </c>
      <c r="D30" s="1">
        <v>0</v>
      </c>
      <c r="E30" s="1" t="s">
        <v>37</v>
      </c>
      <c r="F30" s="1" t="s">
        <v>37</v>
      </c>
      <c r="G30" s="1" t="s">
        <v>37</v>
      </c>
      <c r="H30" s="1" t="s">
        <v>23</v>
      </c>
      <c r="I30" s="1" t="s">
        <v>24</v>
      </c>
      <c r="J30" s="1" t="s">
        <v>70</v>
      </c>
      <c r="K30" s="1" t="s">
        <v>137</v>
      </c>
      <c r="L30" s="1" t="s">
        <v>23</v>
      </c>
      <c r="M30" s="1" t="s">
        <v>27</v>
      </c>
      <c r="N30" s="1" t="s">
        <v>39</v>
      </c>
      <c r="O30" s="1" t="s">
        <v>40</v>
      </c>
      <c r="P30" s="1"/>
      <c r="Q30" s="1" t="s">
        <v>55</v>
      </c>
      <c r="R30" s="1" t="s">
        <v>138</v>
      </c>
      <c r="S30" s="1" t="s">
        <v>23</v>
      </c>
      <c r="T30" s="1" t="s">
        <v>44</v>
      </c>
      <c r="U30" s="1" t="s">
        <v>139</v>
      </c>
    </row>
    <row r="31" spans="1:21" ht="14.25" customHeight="1" x14ac:dyDescent="0.3">
      <c r="A31" s="1" t="s">
        <v>140</v>
      </c>
      <c r="B31" s="1">
        <v>33000</v>
      </c>
      <c r="C31" s="1">
        <f>1*33</f>
        <v>33</v>
      </c>
      <c r="D31" s="1">
        <v>0</v>
      </c>
      <c r="E31" s="1" t="s">
        <v>37</v>
      </c>
      <c r="F31" s="1" t="s">
        <v>37</v>
      </c>
      <c r="G31" s="1" t="s">
        <v>37</v>
      </c>
      <c r="H31" s="1" t="s">
        <v>37</v>
      </c>
      <c r="I31" s="1" t="s">
        <v>24</v>
      </c>
      <c r="J31" s="1" t="s">
        <v>35</v>
      </c>
      <c r="K31" s="1" t="s">
        <v>141</v>
      </c>
      <c r="L31" s="1" t="s">
        <v>23</v>
      </c>
      <c r="M31" s="1" t="s">
        <v>27</v>
      </c>
      <c r="N31" s="1" t="s">
        <v>39</v>
      </c>
      <c r="O31" s="1" t="s">
        <v>256</v>
      </c>
      <c r="P31" s="1"/>
      <c r="Q31" s="1" t="s">
        <v>41</v>
      </c>
      <c r="R31" s="1" t="s">
        <v>142</v>
      </c>
      <c r="S31" s="1"/>
      <c r="T31" s="1" t="s">
        <v>44</v>
      </c>
      <c r="U31" s="1" t="s">
        <v>89</v>
      </c>
    </row>
    <row r="32" spans="1:21" ht="14.25" customHeight="1" x14ac:dyDescent="0.3">
      <c r="A32" s="1" t="s">
        <v>143</v>
      </c>
      <c r="B32" s="1">
        <v>281000</v>
      </c>
      <c r="C32" s="1">
        <f>2*125</f>
        <v>250</v>
      </c>
      <c r="D32" s="1">
        <v>0</v>
      </c>
      <c r="E32" s="1" t="s">
        <v>37</v>
      </c>
      <c r="F32" s="1" t="s">
        <v>37</v>
      </c>
      <c r="G32" s="1" t="s">
        <v>37</v>
      </c>
      <c r="H32" s="1" t="s">
        <v>75</v>
      </c>
      <c r="I32" s="1" t="s">
        <v>24</v>
      </c>
      <c r="J32" s="1" t="s">
        <v>35</v>
      </c>
      <c r="K32" s="1" t="s">
        <v>144</v>
      </c>
      <c r="L32" s="1" t="s">
        <v>23</v>
      </c>
      <c r="M32" s="1" t="s">
        <v>27</v>
      </c>
      <c r="N32" s="1" t="s">
        <v>60</v>
      </c>
      <c r="O32" s="1" t="s">
        <v>256</v>
      </c>
      <c r="P32" s="1"/>
      <c r="Q32" s="1" t="s">
        <v>41</v>
      </c>
      <c r="R32" s="1" t="s">
        <v>145</v>
      </c>
      <c r="S32" s="1" t="s">
        <v>23</v>
      </c>
      <c r="T32" s="1" t="s">
        <v>44</v>
      </c>
      <c r="U32" s="1" t="s">
        <v>146</v>
      </c>
    </row>
    <row r="33" spans="1:21" ht="14.25" customHeight="1" x14ac:dyDescent="0.3">
      <c r="A33" s="1" t="s">
        <v>147</v>
      </c>
      <c r="B33" s="1">
        <v>158400</v>
      </c>
      <c r="C33" s="1">
        <v>125</v>
      </c>
      <c r="D33" s="1">
        <v>0</v>
      </c>
      <c r="E33" s="1" t="s">
        <v>21</v>
      </c>
      <c r="F33" s="1" t="s">
        <v>148</v>
      </c>
      <c r="G33" s="1" t="s">
        <v>37</v>
      </c>
      <c r="H33" s="1" t="s">
        <v>23</v>
      </c>
      <c r="I33" s="1" t="s">
        <v>24</v>
      </c>
      <c r="J33" s="1" t="s">
        <v>70</v>
      </c>
      <c r="K33" s="1" t="s">
        <v>149</v>
      </c>
      <c r="L33" s="1" t="s">
        <v>23</v>
      </c>
      <c r="M33" s="1" t="s">
        <v>38</v>
      </c>
      <c r="N33" s="1" t="s">
        <v>39</v>
      </c>
      <c r="O33" s="1" t="s">
        <v>40</v>
      </c>
      <c r="P33" s="1"/>
      <c r="Q33" s="1" t="s">
        <v>30</v>
      </c>
      <c r="R33" s="1" t="s">
        <v>150</v>
      </c>
      <c r="S33" s="1" t="s">
        <v>23</v>
      </c>
      <c r="T33" s="1" t="s">
        <v>44</v>
      </c>
      <c r="U33" s="1" t="s">
        <v>23</v>
      </c>
    </row>
    <row r="34" spans="1:21" ht="14.25" customHeight="1" x14ac:dyDescent="0.3">
      <c r="A34" s="1" t="s">
        <v>151</v>
      </c>
      <c r="B34" s="1">
        <v>35000</v>
      </c>
      <c r="C34" s="1">
        <f>1*33</f>
        <v>33</v>
      </c>
      <c r="D34" s="1">
        <v>0</v>
      </c>
      <c r="E34" s="1" t="s">
        <v>37</v>
      </c>
      <c r="F34" s="1" t="s">
        <v>37</v>
      </c>
      <c r="G34" s="1" t="s">
        <v>37</v>
      </c>
      <c r="H34" s="1" t="s">
        <v>37</v>
      </c>
      <c r="I34" s="1" t="s">
        <v>24</v>
      </c>
      <c r="J34" s="1" t="s">
        <v>35</v>
      </c>
      <c r="K34" s="1" t="s">
        <v>152</v>
      </c>
      <c r="L34" s="1" t="s">
        <v>23</v>
      </c>
      <c r="M34" s="1" t="s">
        <v>38</v>
      </c>
      <c r="N34" s="1" t="s">
        <v>60</v>
      </c>
      <c r="O34" s="1" t="s">
        <v>256</v>
      </c>
      <c r="P34" s="1"/>
      <c r="Q34" s="1" t="s">
        <v>41</v>
      </c>
      <c r="R34" s="1" t="s">
        <v>153</v>
      </c>
      <c r="S34" s="1" t="s">
        <v>154</v>
      </c>
      <c r="T34" s="1" t="s">
        <v>44</v>
      </c>
      <c r="U34" s="1" t="s">
        <v>89</v>
      </c>
    </row>
    <row r="35" spans="1:21" ht="15" customHeight="1" x14ac:dyDescent="0.3">
      <c r="A35" s="1" t="s">
        <v>155</v>
      </c>
      <c r="B35" s="1">
        <v>220000</v>
      </c>
      <c r="C35" s="1" t="s">
        <v>23</v>
      </c>
      <c r="D35" s="1">
        <v>0</v>
      </c>
      <c r="E35" s="1" t="s">
        <v>37</v>
      </c>
      <c r="F35" s="1" t="s">
        <v>37</v>
      </c>
      <c r="G35" s="1" t="s">
        <v>37</v>
      </c>
      <c r="H35" s="1" t="s">
        <v>23</v>
      </c>
      <c r="I35" s="1" t="s">
        <v>24</v>
      </c>
      <c r="J35" s="1" t="s">
        <v>25</v>
      </c>
      <c r="K35" s="1" t="s">
        <v>156</v>
      </c>
      <c r="L35" s="1" t="s">
        <v>23</v>
      </c>
      <c r="M35" s="1" t="s">
        <v>27</v>
      </c>
      <c r="N35" s="1" t="s">
        <v>48</v>
      </c>
      <c r="O35" s="1" t="s">
        <v>256</v>
      </c>
      <c r="P35" s="1"/>
      <c r="Q35" s="1" t="s">
        <v>30</v>
      </c>
      <c r="R35" s="1" t="s">
        <v>157</v>
      </c>
      <c r="S35" s="1" t="s">
        <v>23</v>
      </c>
      <c r="T35" s="1" t="s">
        <v>44</v>
      </c>
      <c r="U35" s="1" t="s">
        <v>158</v>
      </c>
    </row>
    <row r="36" spans="1:21" ht="14.25" customHeight="1" x14ac:dyDescent="0.3">
      <c r="A36" s="1" t="s">
        <v>159</v>
      </c>
      <c r="B36" s="1">
        <v>66000</v>
      </c>
      <c r="C36" s="1">
        <f>2*33</f>
        <v>66</v>
      </c>
      <c r="D36" s="1">
        <v>0</v>
      </c>
      <c r="E36" s="1" t="s">
        <v>37</v>
      </c>
      <c r="F36" s="1" t="s">
        <v>37</v>
      </c>
      <c r="G36" s="1" t="s">
        <v>37</v>
      </c>
      <c r="H36" s="1" t="s">
        <v>37</v>
      </c>
      <c r="I36" s="1" t="s">
        <v>24</v>
      </c>
      <c r="J36" s="1" t="s">
        <v>35</v>
      </c>
      <c r="K36" s="1" t="s">
        <v>160</v>
      </c>
      <c r="L36" s="1" t="s">
        <v>23</v>
      </c>
      <c r="M36" s="1" t="s">
        <v>27</v>
      </c>
      <c r="N36" s="1" t="s">
        <v>48</v>
      </c>
      <c r="O36" s="1" t="s">
        <v>256</v>
      </c>
      <c r="P36" s="1"/>
      <c r="Q36" s="1" t="s">
        <v>41</v>
      </c>
      <c r="R36" s="1" t="s">
        <v>161</v>
      </c>
      <c r="S36" s="1" t="s">
        <v>162</v>
      </c>
      <c r="T36" s="1" t="s">
        <v>44</v>
      </c>
      <c r="U36" s="1" t="s">
        <v>89</v>
      </c>
    </row>
    <row r="37" spans="1:21" ht="14.25" customHeight="1" x14ac:dyDescent="0.3">
      <c r="A37" s="1" t="s">
        <v>163</v>
      </c>
      <c r="B37" s="1">
        <v>95000</v>
      </c>
      <c r="C37" s="1" t="s">
        <v>23</v>
      </c>
      <c r="D37" s="1">
        <v>0</v>
      </c>
      <c r="E37" s="1" t="s">
        <v>37</v>
      </c>
      <c r="F37" s="1" t="s">
        <v>37</v>
      </c>
      <c r="G37" s="1" t="s">
        <v>37</v>
      </c>
      <c r="H37" s="1" t="s">
        <v>23</v>
      </c>
      <c r="I37" s="1" t="s">
        <v>24</v>
      </c>
      <c r="J37" s="1" t="s">
        <v>164</v>
      </c>
      <c r="K37" s="1" t="s">
        <v>165</v>
      </c>
      <c r="L37" s="1" t="s">
        <v>23</v>
      </c>
      <c r="M37" s="1" t="s">
        <v>27</v>
      </c>
      <c r="N37" s="1" t="s">
        <v>28</v>
      </c>
      <c r="O37" s="1" t="s">
        <v>256</v>
      </c>
      <c r="P37" s="1"/>
      <c r="Q37" s="1" t="s">
        <v>30</v>
      </c>
      <c r="R37" s="1" t="s">
        <v>23</v>
      </c>
      <c r="S37" s="1" t="s">
        <v>23</v>
      </c>
      <c r="T37" s="1" t="s">
        <v>44</v>
      </c>
      <c r="U37" s="1" t="s">
        <v>23</v>
      </c>
    </row>
    <row r="38" spans="1:21" ht="14.25" customHeight="1" x14ac:dyDescent="0.3">
      <c r="A38" s="1" t="s">
        <v>166</v>
      </c>
      <c r="B38" s="1">
        <v>35000</v>
      </c>
      <c r="C38" s="1">
        <v>30</v>
      </c>
      <c r="D38" s="1">
        <v>0</v>
      </c>
      <c r="E38" s="1" t="s">
        <v>37</v>
      </c>
      <c r="F38" s="1" t="s">
        <v>37</v>
      </c>
      <c r="G38" s="1" t="s">
        <v>37</v>
      </c>
      <c r="H38" s="1" t="s">
        <v>75</v>
      </c>
      <c r="I38" s="1" t="s">
        <v>24</v>
      </c>
      <c r="J38" s="1" t="s">
        <v>35</v>
      </c>
      <c r="K38" s="1" t="s">
        <v>23</v>
      </c>
      <c r="L38" s="1" t="s">
        <v>23</v>
      </c>
      <c r="M38" s="1" t="s">
        <v>27</v>
      </c>
      <c r="N38" s="1" t="s">
        <v>60</v>
      </c>
      <c r="O38" s="1" t="s">
        <v>256</v>
      </c>
      <c r="P38" s="1"/>
      <c r="Q38" s="1" t="s">
        <v>30</v>
      </c>
      <c r="R38" s="1" t="s">
        <v>167</v>
      </c>
      <c r="S38" s="1" t="s">
        <v>23</v>
      </c>
      <c r="T38" s="1" t="s">
        <v>44</v>
      </c>
      <c r="U38" s="1" t="s">
        <v>146</v>
      </c>
    </row>
    <row r="39" spans="1:21" ht="14.25" customHeight="1" x14ac:dyDescent="0.3">
      <c r="A39" s="1" t="s">
        <v>168</v>
      </c>
      <c r="B39" s="1">
        <v>40000</v>
      </c>
      <c r="C39" s="1">
        <v>33</v>
      </c>
      <c r="D39" s="1">
        <v>0</v>
      </c>
      <c r="E39" s="1" t="s">
        <v>37</v>
      </c>
      <c r="F39" s="1" t="s">
        <v>37</v>
      </c>
      <c r="G39" s="1" t="s">
        <v>37</v>
      </c>
      <c r="H39" s="1" t="s">
        <v>37</v>
      </c>
      <c r="I39" s="1" t="s">
        <v>24</v>
      </c>
      <c r="J39" s="1" t="s">
        <v>35</v>
      </c>
      <c r="K39" s="1" t="s">
        <v>169</v>
      </c>
      <c r="L39" s="1" t="s">
        <v>23</v>
      </c>
      <c r="M39" s="1" t="s">
        <v>27</v>
      </c>
      <c r="N39" s="1" t="s">
        <v>39</v>
      </c>
      <c r="O39" s="1" t="s">
        <v>40</v>
      </c>
      <c r="P39" s="1"/>
      <c r="Q39" s="1" t="s">
        <v>30</v>
      </c>
      <c r="R39" s="1" t="s">
        <v>170</v>
      </c>
      <c r="S39" s="1" t="s">
        <v>23</v>
      </c>
      <c r="T39" s="1" t="s">
        <v>44</v>
      </c>
      <c r="U39" s="1" t="s">
        <v>23</v>
      </c>
    </row>
    <row r="40" spans="1:21" ht="14.25" customHeight="1" x14ac:dyDescent="0.3">
      <c r="A40" s="1" t="s">
        <v>171</v>
      </c>
      <c r="B40" s="1">
        <v>110000</v>
      </c>
      <c r="C40" s="1">
        <f>2*50</f>
        <v>100</v>
      </c>
      <c r="D40" s="1">
        <v>0</v>
      </c>
      <c r="E40" s="1" t="s">
        <v>37</v>
      </c>
      <c r="F40" s="1" t="s">
        <v>37</v>
      </c>
      <c r="G40" s="1" t="s">
        <v>37</v>
      </c>
      <c r="H40" s="1" t="s">
        <v>37</v>
      </c>
      <c r="I40" s="1" t="s">
        <v>24</v>
      </c>
      <c r="J40" s="1" t="s">
        <v>164</v>
      </c>
      <c r="K40" s="1" t="s">
        <v>172</v>
      </c>
      <c r="L40" s="1" t="s">
        <v>23</v>
      </c>
      <c r="M40" s="1" t="s">
        <v>27</v>
      </c>
      <c r="N40" s="1" t="s">
        <v>39</v>
      </c>
      <c r="O40" s="1" t="s">
        <v>256</v>
      </c>
      <c r="P40" s="1"/>
      <c r="Q40" s="1" t="s">
        <v>41</v>
      </c>
      <c r="R40" s="1" t="s">
        <v>173</v>
      </c>
      <c r="S40" s="1" t="s">
        <v>174</v>
      </c>
      <c r="T40" s="1" t="s">
        <v>44</v>
      </c>
      <c r="U40" s="1" t="s">
        <v>89</v>
      </c>
    </row>
    <row r="41" spans="1:21" ht="14.25" customHeight="1" x14ac:dyDescent="0.3">
      <c r="A41" s="1" t="s">
        <v>175</v>
      </c>
      <c r="B41" s="1">
        <v>38000</v>
      </c>
      <c r="C41" s="1">
        <v>30</v>
      </c>
      <c r="D41" s="1">
        <v>0</v>
      </c>
      <c r="E41" s="1" t="s">
        <v>37</v>
      </c>
      <c r="F41" s="1" t="s">
        <v>37</v>
      </c>
      <c r="G41" s="1" t="s">
        <v>37</v>
      </c>
      <c r="H41" s="1" t="s">
        <v>37</v>
      </c>
      <c r="I41" s="1" t="s">
        <v>24</v>
      </c>
      <c r="J41" s="1" t="s">
        <v>35</v>
      </c>
      <c r="K41" s="1" t="s">
        <v>176</v>
      </c>
      <c r="L41" s="1" t="s">
        <v>23</v>
      </c>
      <c r="M41" s="1" t="s">
        <v>27</v>
      </c>
      <c r="N41" s="1" t="s">
        <v>28</v>
      </c>
      <c r="O41" s="1" t="s">
        <v>29</v>
      </c>
      <c r="P41" s="1"/>
      <c r="Q41" s="1" t="s">
        <v>30</v>
      </c>
      <c r="R41" s="1" t="s">
        <v>177</v>
      </c>
      <c r="S41" s="1" t="s">
        <v>23</v>
      </c>
      <c r="T41" s="1" t="s">
        <v>44</v>
      </c>
      <c r="U41" s="1" t="s">
        <v>23</v>
      </c>
    </row>
    <row r="42" spans="1:21" ht="14.25" customHeight="1" x14ac:dyDescent="0.3">
      <c r="A42" s="1" t="s">
        <v>178</v>
      </c>
      <c r="B42" s="1">
        <v>180000</v>
      </c>
      <c r="C42" s="1">
        <v>100</v>
      </c>
      <c r="D42" s="1">
        <v>0</v>
      </c>
      <c r="E42" s="1" t="s">
        <v>37</v>
      </c>
      <c r="F42" s="1" t="s">
        <v>37</v>
      </c>
      <c r="G42" s="1" t="s">
        <v>37</v>
      </c>
      <c r="H42" s="1" t="s">
        <v>37</v>
      </c>
      <c r="I42" s="1" t="s">
        <v>24</v>
      </c>
      <c r="J42" s="1" t="s">
        <v>58</v>
      </c>
      <c r="K42" s="1" t="s">
        <v>179</v>
      </c>
      <c r="L42" s="1" t="s">
        <v>23</v>
      </c>
      <c r="M42" s="1" t="s">
        <v>27</v>
      </c>
      <c r="N42" s="1" t="s">
        <v>60</v>
      </c>
      <c r="O42" s="1" t="s">
        <v>40</v>
      </c>
      <c r="P42" s="1"/>
      <c r="Q42" s="1" t="s">
        <v>30</v>
      </c>
      <c r="R42" s="1" t="s">
        <v>180</v>
      </c>
      <c r="S42" s="1" t="s">
        <v>23</v>
      </c>
      <c r="T42" s="1" t="s">
        <v>44</v>
      </c>
      <c r="U42" s="1" t="s">
        <v>106</v>
      </c>
    </row>
    <row r="43" spans="1:21" ht="14.25" customHeight="1" x14ac:dyDescent="0.3">
      <c r="A43" s="1" t="s">
        <v>181</v>
      </c>
      <c r="B43" s="1">
        <v>27300</v>
      </c>
      <c r="C43" s="1">
        <v>30</v>
      </c>
      <c r="D43" s="1">
        <v>0</v>
      </c>
      <c r="E43" s="1" t="s">
        <v>37</v>
      </c>
      <c r="F43" s="1" t="s">
        <v>37</v>
      </c>
      <c r="G43" s="1" t="s">
        <v>37</v>
      </c>
      <c r="H43" s="1" t="s">
        <v>37</v>
      </c>
      <c r="I43" s="1" t="s">
        <v>24</v>
      </c>
      <c r="J43" s="1" t="s">
        <v>58</v>
      </c>
      <c r="K43" s="1" t="s">
        <v>182</v>
      </c>
      <c r="L43" s="1" t="s">
        <v>23</v>
      </c>
      <c r="M43" s="1" t="s">
        <v>27</v>
      </c>
      <c r="N43" s="1" t="s">
        <v>60</v>
      </c>
      <c r="O43" s="1" t="s">
        <v>40</v>
      </c>
      <c r="P43" s="1"/>
      <c r="Q43" s="1" t="s">
        <v>30</v>
      </c>
      <c r="R43" s="1" t="s">
        <v>23</v>
      </c>
      <c r="S43" s="1" t="s">
        <v>23</v>
      </c>
      <c r="T43" s="1" t="s">
        <v>44</v>
      </c>
      <c r="U43" s="1" t="s">
        <v>106</v>
      </c>
    </row>
    <row r="44" spans="1:21" ht="14.25" customHeight="1" x14ac:dyDescent="0.3">
      <c r="A44" s="1" t="s">
        <v>183</v>
      </c>
      <c r="B44" s="1">
        <v>95000</v>
      </c>
      <c r="C44" s="1" t="s">
        <v>23</v>
      </c>
      <c r="D44" s="1">
        <v>0</v>
      </c>
      <c r="E44" s="1" t="s">
        <v>37</v>
      </c>
      <c r="F44" s="1" t="s">
        <v>37</v>
      </c>
      <c r="G44" s="1" t="s">
        <v>37</v>
      </c>
      <c r="H44" s="1" t="s">
        <v>23</v>
      </c>
      <c r="I44" s="1" t="s">
        <v>24</v>
      </c>
      <c r="J44" s="1" t="s">
        <v>52</v>
      </c>
      <c r="K44" s="1" t="s">
        <v>23</v>
      </c>
      <c r="L44" s="1" t="s">
        <v>23</v>
      </c>
      <c r="M44" s="1" t="s">
        <v>27</v>
      </c>
      <c r="N44" s="1" t="s">
        <v>60</v>
      </c>
      <c r="O44" s="1" t="s">
        <v>256</v>
      </c>
      <c r="P44" s="1"/>
      <c r="Q44" s="1" t="s">
        <v>41</v>
      </c>
      <c r="R44" s="1" t="s">
        <v>23</v>
      </c>
      <c r="S44" s="1" t="s">
        <v>23</v>
      </c>
      <c r="T44" s="1" t="s">
        <v>44</v>
      </c>
      <c r="U44" s="1" t="s">
        <v>23</v>
      </c>
    </row>
    <row r="45" spans="1:21" ht="14.25" customHeight="1" x14ac:dyDescent="0.3">
      <c r="A45" s="1" t="s">
        <v>184</v>
      </c>
      <c r="B45" s="1">
        <v>96000</v>
      </c>
      <c r="C45" s="1" t="s">
        <v>23</v>
      </c>
      <c r="D45" s="1">
        <v>0</v>
      </c>
      <c r="E45" s="1" t="s">
        <v>37</v>
      </c>
      <c r="F45" s="1" t="s">
        <v>37</v>
      </c>
      <c r="G45" s="1" t="s">
        <v>37</v>
      </c>
      <c r="H45" s="1" t="s">
        <v>23</v>
      </c>
      <c r="I45" s="1" t="s">
        <v>24</v>
      </c>
      <c r="J45" s="1" t="s">
        <v>52</v>
      </c>
      <c r="K45" s="1" t="s">
        <v>185</v>
      </c>
      <c r="L45" s="1" t="s">
        <v>23</v>
      </c>
      <c r="M45" s="1" t="s">
        <v>27</v>
      </c>
      <c r="N45" s="1" t="s">
        <v>60</v>
      </c>
      <c r="O45" s="1" t="s">
        <v>256</v>
      </c>
      <c r="P45" s="1"/>
      <c r="Q45" s="1" t="s">
        <v>30</v>
      </c>
      <c r="R45" s="1" t="s">
        <v>23</v>
      </c>
      <c r="S45" s="1" t="s">
        <v>23</v>
      </c>
      <c r="T45" s="1" t="s">
        <v>44</v>
      </c>
      <c r="U45" s="1" t="s">
        <v>23</v>
      </c>
    </row>
    <row r="46" spans="1:21" ht="14.25" customHeight="1" x14ac:dyDescent="0.3">
      <c r="A46" s="1" t="s">
        <v>186</v>
      </c>
      <c r="B46" s="1">
        <v>121000</v>
      </c>
      <c r="C46" s="1">
        <v>110</v>
      </c>
      <c r="D46" s="1">
        <v>0</v>
      </c>
      <c r="E46" s="1" t="s">
        <v>37</v>
      </c>
      <c r="F46" s="1" t="s">
        <v>37</v>
      </c>
      <c r="G46" s="1" t="s">
        <v>37</v>
      </c>
      <c r="H46" s="1" t="s">
        <v>37</v>
      </c>
      <c r="I46" s="1" t="s">
        <v>24</v>
      </c>
      <c r="J46" s="1" t="s">
        <v>70</v>
      </c>
      <c r="K46" s="1" t="s">
        <v>187</v>
      </c>
      <c r="L46" s="1" t="s">
        <v>23</v>
      </c>
      <c r="M46" s="1" t="s">
        <v>27</v>
      </c>
      <c r="N46" s="1" t="s">
        <v>60</v>
      </c>
      <c r="O46" s="1" t="s">
        <v>40</v>
      </c>
      <c r="P46" s="1"/>
      <c r="Q46" s="1" t="s">
        <v>30</v>
      </c>
      <c r="R46" s="1" t="s">
        <v>188</v>
      </c>
      <c r="S46" s="1"/>
      <c r="T46" s="1" t="s">
        <v>44</v>
      </c>
      <c r="U46" s="1" t="s">
        <v>89</v>
      </c>
    </row>
    <row r="47" spans="1:21" ht="14.25" customHeight="1" x14ac:dyDescent="0.3">
      <c r="A47" s="1" t="s">
        <v>189</v>
      </c>
      <c r="B47" s="1">
        <v>35000</v>
      </c>
      <c r="C47" s="1">
        <v>33</v>
      </c>
      <c r="D47" s="1">
        <v>0</v>
      </c>
      <c r="E47" s="1" t="s">
        <v>37</v>
      </c>
      <c r="F47" s="1" t="s">
        <v>37</v>
      </c>
      <c r="G47" s="1" t="s">
        <v>37</v>
      </c>
      <c r="H47" s="1" t="s">
        <v>37</v>
      </c>
      <c r="I47" s="1" t="s">
        <v>24</v>
      </c>
      <c r="J47" s="1" t="s">
        <v>70</v>
      </c>
      <c r="K47" s="1" t="s">
        <v>190</v>
      </c>
      <c r="L47" s="1" t="s">
        <v>23</v>
      </c>
      <c r="M47" s="1" t="s">
        <v>27</v>
      </c>
      <c r="N47" s="1" t="s">
        <v>60</v>
      </c>
      <c r="O47" s="1" t="s">
        <v>40</v>
      </c>
      <c r="P47" s="1"/>
      <c r="Q47" s="1" t="s">
        <v>30</v>
      </c>
      <c r="R47" s="1" t="s">
        <v>191</v>
      </c>
      <c r="S47" s="1"/>
      <c r="T47" s="1" t="s">
        <v>44</v>
      </c>
      <c r="U47" s="1" t="s">
        <v>89</v>
      </c>
    </row>
    <row r="48" spans="1:21" ht="14.25" customHeight="1" x14ac:dyDescent="0.3">
      <c r="A48" s="1" t="s">
        <v>192</v>
      </c>
      <c r="B48" s="1">
        <v>153000</v>
      </c>
      <c r="C48" s="1">
        <v>125</v>
      </c>
      <c r="D48" s="1">
        <v>0</v>
      </c>
      <c r="E48" s="1" t="s">
        <v>37</v>
      </c>
      <c r="F48" s="1" t="s">
        <v>37</v>
      </c>
      <c r="G48" s="1" t="s">
        <v>37</v>
      </c>
      <c r="H48" s="1" t="s">
        <v>37</v>
      </c>
      <c r="I48" s="1" t="s">
        <v>24</v>
      </c>
      <c r="J48" s="1" t="s">
        <v>35</v>
      </c>
      <c r="K48" s="1" t="s">
        <v>193</v>
      </c>
      <c r="L48" s="1" t="s">
        <v>54</v>
      </c>
      <c r="M48" s="1" t="s">
        <v>27</v>
      </c>
      <c r="N48" s="1" t="s">
        <v>60</v>
      </c>
      <c r="O48" s="1" t="s">
        <v>256</v>
      </c>
      <c r="P48" s="1"/>
      <c r="Q48" s="1" t="s">
        <v>55</v>
      </c>
      <c r="R48" s="1" t="s">
        <v>23</v>
      </c>
      <c r="S48" s="1"/>
      <c r="T48" s="1" t="s">
        <v>44</v>
      </c>
      <c r="U48" s="1" t="s">
        <v>56</v>
      </c>
    </row>
    <row r="49" spans="1:21" ht="14.25" customHeight="1" x14ac:dyDescent="0.3">
      <c r="A49" s="1" t="s">
        <v>194</v>
      </c>
      <c r="B49" s="1">
        <v>126000</v>
      </c>
      <c r="C49" s="1" t="s">
        <v>23</v>
      </c>
      <c r="D49" s="1">
        <v>0</v>
      </c>
      <c r="E49" s="1" t="s">
        <v>37</v>
      </c>
      <c r="F49" s="1" t="s">
        <v>37</v>
      </c>
      <c r="G49" s="1" t="s">
        <v>195</v>
      </c>
      <c r="H49" s="1" t="s">
        <v>75</v>
      </c>
      <c r="I49" s="1" t="s">
        <v>24</v>
      </c>
      <c r="J49" s="1" t="s">
        <v>35</v>
      </c>
      <c r="K49" s="1" t="s">
        <v>23</v>
      </c>
      <c r="L49" s="1" t="s">
        <v>54</v>
      </c>
      <c r="M49" s="1" t="s">
        <v>27</v>
      </c>
      <c r="N49" s="1" t="s">
        <v>60</v>
      </c>
      <c r="O49" s="1" t="s">
        <v>256</v>
      </c>
      <c r="P49" s="1"/>
      <c r="Q49" s="1" t="s">
        <v>55</v>
      </c>
      <c r="R49" s="1" t="s">
        <v>23</v>
      </c>
      <c r="S49" s="1" t="s">
        <v>23</v>
      </c>
      <c r="T49" s="1" t="s">
        <v>44</v>
      </c>
      <c r="U49" s="1" t="s">
        <v>23</v>
      </c>
    </row>
    <row r="50" spans="1:21" ht="14.25" customHeight="1" x14ac:dyDescent="0.3">
      <c r="A50" s="1" t="s">
        <v>196</v>
      </c>
      <c r="B50" s="1">
        <v>250000</v>
      </c>
      <c r="C50" s="1">
        <v>110</v>
      </c>
      <c r="D50" s="1">
        <v>0</v>
      </c>
      <c r="E50" s="1" t="s">
        <v>37</v>
      </c>
      <c r="F50" s="1" t="s">
        <v>37</v>
      </c>
      <c r="G50" s="1" t="s">
        <v>37</v>
      </c>
      <c r="H50" s="1" t="s">
        <v>37</v>
      </c>
      <c r="I50" s="1" t="s">
        <v>24</v>
      </c>
      <c r="J50" s="1" t="s">
        <v>25</v>
      </c>
      <c r="K50" s="1" t="s">
        <v>197</v>
      </c>
      <c r="L50" s="1" t="s">
        <v>54</v>
      </c>
      <c r="M50" s="1" t="s">
        <v>27</v>
      </c>
      <c r="N50" s="1" t="s">
        <v>60</v>
      </c>
      <c r="O50" s="1" t="s">
        <v>256</v>
      </c>
      <c r="P50" s="1"/>
      <c r="Q50" s="1" t="s">
        <v>55</v>
      </c>
      <c r="R50" s="1" t="s">
        <v>23</v>
      </c>
      <c r="S50" s="1"/>
      <c r="T50" s="1" t="s">
        <v>44</v>
      </c>
      <c r="U50" s="1" t="s">
        <v>23</v>
      </c>
    </row>
    <row r="51" spans="1:21" ht="14.25" customHeight="1" x14ac:dyDescent="0.3">
      <c r="A51" s="1" t="s">
        <v>198</v>
      </c>
      <c r="B51" s="1">
        <v>240000</v>
      </c>
      <c r="C51" s="1">
        <v>110</v>
      </c>
      <c r="D51" s="1">
        <v>0</v>
      </c>
      <c r="E51" s="1" t="s">
        <v>37</v>
      </c>
      <c r="F51" s="1" t="s">
        <v>37</v>
      </c>
      <c r="G51" s="1" t="s">
        <v>37</v>
      </c>
      <c r="H51" s="1" t="s">
        <v>75</v>
      </c>
      <c r="I51" s="1" t="s">
        <v>24</v>
      </c>
      <c r="J51" s="1" t="s">
        <v>164</v>
      </c>
      <c r="K51" s="1" t="s">
        <v>172</v>
      </c>
      <c r="L51" s="1" t="s">
        <v>54</v>
      </c>
      <c r="M51" s="1" t="s">
        <v>27</v>
      </c>
      <c r="N51" s="1" t="s">
        <v>60</v>
      </c>
      <c r="O51" s="1" t="s">
        <v>256</v>
      </c>
      <c r="P51" s="1"/>
      <c r="Q51" s="1" t="s">
        <v>55</v>
      </c>
      <c r="R51" s="1" t="s">
        <v>199</v>
      </c>
      <c r="S51" s="1"/>
      <c r="T51" s="1" t="s">
        <v>44</v>
      </c>
      <c r="U51" s="1" t="s">
        <v>146</v>
      </c>
    </row>
    <row r="52" spans="1:21" ht="14.25" customHeight="1" x14ac:dyDescent="0.3">
      <c r="A52" s="1" t="s">
        <v>200</v>
      </c>
      <c r="B52" s="1">
        <v>125000</v>
      </c>
      <c r="C52" s="1">
        <v>125</v>
      </c>
      <c r="D52" s="1">
        <v>0</v>
      </c>
      <c r="E52" s="1" t="s">
        <v>37</v>
      </c>
      <c r="F52" s="1" t="s">
        <v>37</v>
      </c>
      <c r="G52" s="1">
        <v>500</v>
      </c>
      <c r="H52" s="1" t="s">
        <v>75</v>
      </c>
      <c r="I52" s="1" t="s">
        <v>24</v>
      </c>
      <c r="J52" s="1" t="s">
        <v>35</v>
      </c>
      <c r="K52" s="1" t="s">
        <v>201</v>
      </c>
      <c r="L52" s="1" t="s">
        <v>54</v>
      </c>
      <c r="M52" s="1" t="s">
        <v>27</v>
      </c>
      <c r="N52" s="1" t="s">
        <v>60</v>
      </c>
      <c r="O52" s="1" t="s">
        <v>256</v>
      </c>
      <c r="P52" s="1"/>
      <c r="Q52" s="1" t="s">
        <v>55</v>
      </c>
      <c r="R52" s="1" t="s">
        <v>23</v>
      </c>
      <c r="S52" s="1" t="s">
        <v>23</v>
      </c>
      <c r="T52" s="1" t="s">
        <v>44</v>
      </c>
      <c r="U52" s="1" t="s">
        <v>22</v>
      </c>
    </row>
    <row r="53" spans="1:21" ht="14.25" customHeight="1" x14ac:dyDescent="0.3">
      <c r="A53" s="1" t="s">
        <v>202</v>
      </c>
      <c r="B53" s="1">
        <v>116000</v>
      </c>
      <c r="C53" s="1">
        <v>110</v>
      </c>
      <c r="D53" s="1">
        <v>0</v>
      </c>
      <c r="E53" s="1" t="s">
        <v>37</v>
      </c>
      <c r="F53" s="1" t="s">
        <v>37</v>
      </c>
      <c r="G53" s="1" t="s">
        <v>37</v>
      </c>
      <c r="H53" s="1" t="s">
        <v>37</v>
      </c>
      <c r="I53" s="1" t="s">
        <v>24</v>
      </c>
      <c r="J53" s="1" t="s">
        <v>35</v>
      </c>
      <c r="K53" s="1" t="s">
        <v>203</v>
      </c>
      <c r="L53" s="1" t="s">
        <v>47</v>
      </c>
      <c r="M53" s="1" t="s">
        <v>27</v>
      </c>
      <c r="N53" s="1" t="s">
        <v>39</v>
      </c>
      <c r="O53" s="1" t="s">
        <v>40</v>
      </c>
      <c r="P53" s="1"/>
      <c r="Q53" s="1" t="s">
        <v>30</v>
      </c>
      <c r="R53" s="1" t="s">
        <v>23</v>
      </c>
      <c r="S53" s="1" t="s">
        <v>23</v>
      </c>
      <c r="T53" s="1" t="s">
        <v>44</v>
      </c>
      <c r="U53" s="1" t="s">
        <v>108</v>
      </c>
    </row>
    <row r="54" spans="1:21" ht="14.25" customHeight="1" x14ac:dyDescent="0.3">
      <c r="A54" s="1" t="s">
        <v>204</v>
      </c>
      <c r="B54" s="1">
        <v>61600</v>
      </c>
      <c r="C54" s="1" t="s">
        <v>23</v>
      </c>
      <c r="D54" s="1">
        <v>289000</v>
      </c>
      <c r="E54" s="1" t="s">
        <v>37</v>
      </c>
      <c r="F54" s="1" t="s">
        <v>37</v>
      </c>
      <c r="G54" s="1" t="s">
        <v>37</v>
      </c>
      <c r="H54" s="1" t="s">
        <v>23</v>
      </c>
      <c r="I54" s="1" t="s">
        <v>24</v>
      </c>
      <c r="J54" s="1" t="s">
        <v>164</v>
      </c>
      <c r="K54" s="1" t="s">
        <v>205</v>
      </c>
      <c r="L54" s="1" t="s">
        <v>23</v>
      </c>
      <c r="M54" s="1" t="s">
        <v>27</v>
      </c>
      <c r="N54" s="1" t="s">
        <v>39</v>
      </c>
      <c r="O54" s="1" t="s">
        <v>40</v>
      </c>
      <c r="P54" s="1"/>
      <c r="Q54" s="1" t="s">
        <v>30</v>
      </c>
      <c r="R54" s="1" t="s">
        <v>23</v>
      </c>
      <c r="S54" s="1" t="s">
        <v>23</v>
      </c>
      <c r="T54" s="1" t="s">
        <v>44</v>
      </c>
      <c r="U54" s="1" t="s">
        <v>23</v>
      </c>
    </row>
    <row r="55" spans="1:21" ht="14.25" customHeight="1" x14ac:dyDescent="0.3">
      <c r="A55" s="1" t="s">
        <v>206</v>
      </c>
      <c r="B55" s="1">
        <v>55000</v>
      </c>
      <c r="C55" s="1">
        <v>50</v>
      </c>
      <c r="D55" s="1">
        <v>0</v>
      </c>
      <c r="E55" s="1" t="s">
        <v>37</v>
      </c>
      <c r="F55" s="1" t="s">
        <v>37</v>
      </c>
      <c r="G55" s="1" t="s">
        <v>37</v>
      </c>
      <c r="H55" s="1" t="s">
        <v>75</v>
      </c>
      <c r="I55" s="1" t="s">
        <v>24</v>
      </c>
      <c r="J55" s="1" t="s">
        <v>35</v>
      </c>
      <c r="K55" s="1" t="s">
        <v>207</v>
      </c>
      <c r="L55" s="1" t="s">
        <v>23</v>
      </c>
      <c r="M55" s="1" t="s">
        <v>27</v>
      </c>
      <c r="N55" s="1" t="s">
        <v>39</v>
      </c>
      <c r="O55" s="1" t="s">
        <v>40</v>
      </c>
      <c r="P55" s="1"/>
      <c r="Q55" s="1" t="s">
        <v>41</v>
      </c>
      <c r="R55" s="1" t="s">
        <v>23</v>
      </c>
      <c r="S55" s="1"/>
      <c r="T55" s="1" t="s">
        <v>44</v>
      </c>
      <c r="U55" s="1" t="s">
        <v>56</v>
      </c>
    </row>
    <row r="56" spans="1:21" ht="14.25" customHeight="1" x14ac:dyDescent="0.3">
      <c r="A56" s="1" t="s">
        <v>208</v>
      </c>
      <c r="B56" s="1">
        <v>40000</v>
      </c>
      <c r="C56" s="1">
        <f>1*33</f>
        <v>33</v>
      </c>
      <c r="D56" s="1">
        <v>0</v>
      </c>
      <c r="E56" s="1" t="s">
        <v>37</v>
      </c>
      <c r="F56" s="1" t="s">
        <v>37</v>
      </c>
      <c r="G56" s="1" t="s">
        <v>37</v>
      </c>
      <c r="H56" s="1" t="s">
        <v>37</v>
      </c>
      <c r="I56" s="1" t="s">
        <v>24</v>
      </c>
      <c r="J56" s="1" t="s">
        <v>52</v>
      </c>
      <c r="K56" s="1" t="s">
        <v>209</v>
      </c>
      <c r="L56" s="1"/>
      <c r="M56" s="1" t="s">
        <v>27</v>
      </c>
      <c r="N56" s="1" t="s">
        <v>39</v>
      </c>
      <c r="O56" s="1" t="s">
        <v>40</v>
      </c>
      <c r="P56" s="1"/>
      <c r="Q56" s="1" t="s">
        <v>41</v>
      </c>
      <c r="R56" s="1" t="s">
        <v>210</v>
      </c>
      <c r="S56" s="1"/>
      <c r="T56" s="1" t="s">
        <v>44</v>
      </c>
      <c r="U56" s="1" t="s">
        <v>89</v>
      </c>
    </row>
    <row r="57" spans="1:21" ht="14.25" customHeight="1" x14ac:dyDescent="0.3">
      <c r="A57" s="1" t="s">
        <v>211</v>
      </c>
      <c r="B57" s="1">
        <v>34000</v>
      </c>
      <c r="C57" s="1">
        <v>30</v>
      </c>
      <c r="D57" s="1">
        <v>0</v>
      </c>
      <c r="E57" s="1" t="s">
        <v>37</v>
      </c>
      <c r="F57" s="1" t="s">
        <v>37</v>
      </c>
      <c r="G57" s="1" t="s">
        <v>37</v>
      </c>
      <c r="H57" s="1" t="s">
        <v>23</v>
      </c>
      <c r="I57" s="1" t="s">
        <v>24</v>
      </c>
      <c r="J57" s="1" t="s">
        <v>58</v>
      </c>
      <c r="K57" s="1" t="s">
        <v>212</v>
      </c>
      <c r="L57" s="1" t="s">
        <v>47</v>
      </c>
      <c r="M57" s="1" t="s">
        <v>27</v>
      </c>
      <c r="N57" s="1" t="s">
        <v>60</v>
      </c>
      <c r="O57" s="1" t="s">
        <v>40</v>
      </c>
      <c r="P57" s="1"/>
      <c r="Q57" s="1" t="s">
        <v>30</v>
      </c>
      <c r="R57" s="1" t="s">
        <v>23</v>
      </c>
      <c r="S57" s="1" t="s">
        <v>23</v>
      </c>
      <c r="T57" s="1" t="s">
        <v>44</v>
      </c>
      <c r="U57" s="1" t="s">
        <v>23</v>
      </c>
    </row>
    <row r="58" spans="1:21" ht="14.25" customHeight="1" x14ac:dyDescent="0.3">
      <c r="A58" s="1" t="s">
        <v>213</v>
      </c>
      <c r="B58" s="1">
        <v>103000</v>
      </c>
      <c r="C58" s="1" t="s">
        <v>23</v>
      </c>
      <c r="D58" s="1">
        <v>0</v>
      </c>
      <c r="E58" s="1" t="s">
        <v>37</v>
      </c>
      <c r="F58" s="1" t="s">
        <v>37</v>
      </c>
      <c r="G58" s="1" t="s">
        <v>37</v>
      </c>
      <c r="H58" s="1" t="s">
        <v>23</v>
      </c>
      <c r="I58" s="1" t="s">
        <v>24</v>
      </c>
      <c r="J58" s="1" t="s">
        <v>35</v>
      </c>
      <c r="K58" s="1" t="s">
        <v>23</v>
      </c>
      <c r="L58" s="1" t="s">
        <v>47</v>
      </c>
      <c r="M58" s="1" t="s">
        <v>27</v>
      </c>
      <c r="N58" s="1" t="s">
        <v>48</v>
      </c>
      <c r="O58" s="1" t="s">
        <v>256</v>
      </c>
      <c r="P58" s="1"/>
      <c r="Q58" s="1" t="s">
        <v>30</v>
      </c>
      <c r="R58" s="1" t="s">
        <v>23</v>
      </c>
      <c r="S58" s="1" t="s">
        <v>23</v>
      </c>
      <c r="T58" s="1" t="s">
        <v>44</v>
      </c>
      <c r="U58" s="1" t="s">
        <v>23</v>
      </c>
    </row>
    <row r="59" spans="1:21" ht="14.25" customHeight="1" x14ac:dyDescent="0.3">
      <c r="A59" s="1" t="s">
        <v>214</v>
      </c>
      <c r="B59" s="1">
        <v>230000</v>
      </c>
      <c r="C59" s="1">
        <f>2*110</f>
        <v>220</v>
      </c>
      <c r="D59" s="1">
        <v>0</v>
      </c>
      <c r="E59" s="1" t="s">
        <v>37</v>
      </c>
      <c r="F59" s="1" t="s">
        <v>37</v>
      </c>
      <c r="G59" s="1" t="s">
        <v>37</v>
      </c>
      <c r="H59" s="1" t="s">
        <v>75</v>
      </c>
      <c r="I59" s="1" t="s">
        <v>24</v>
      </c>
      <c r="J59" s="1" t="s">
        <v>35</v>
      </c>
      <c r="K59" s="1" t="s">
        <v>215</v>
      </c>
      <c r="L59" s="1" t="s">
        <v>23</v>
      </c>
      <c r="M59" s="1" t="s">
        <v>27</v>
      </c>
      <c r="N59" s="1" t="s">
        <v>48</v>
      </c>
      <c r="O59" s="1" t="s">
        <v>256</v>
      </c>
      <c r="P59" s="1"/>
      <c r="Q59" s="1" t="s">
        <v>41</v>
      </c>
      <c r="R59" s="1" t="s">
        <v>216</v>
      </c>
      <c r="S59" s="1" t="s">
        <v>123</v>
      </c>
      <c r="T59" s="1" t="s">
        <v>44</v>
      </c>
      <c r="U59" s="1" t="s">
        <v>217</v>
      </c>
    </row>
    <row r="60" spans="1:21" ht="14.25" customHeight="1" x14ac:dyDescent="0.3">
      <c r="A60" s="1" t="s">
        <v>218</v>
      </c>
      <c r="B60" s="1">
        <v>27000</v>
      </c>
      <c r="C60" s="1">
        <f>1*33</f>
        <v>33</v>
      </c>
      <c r="D60" s="1" t="s">
        <v>23</v>
      </c>
      <c r="E60" s="1" t="s">
        <v>37</v>
      </c>
      <c r="F60" s="1" t="s">
        <v>37</v>
      </c>
      <c r="G60" s="1" t="s">
        <v>37</v>
      </c>
      <c r="H60" s="1" t="s">
        <v>23</v>
      </c>
      <c r="I60" s="1" t="s">
        <v>24</v>
      </c>
      <c r="J60" s="1" t="s">
        <v>35</v>
      </c>
      <c r="K60" s="1" t="s">
        <v>219</v>
      </c>
      <c r="L60" s="1" t="s">
        <v>23</v>
      </c>
      <c r="M60" s="1" t="s">
        <v>38</v>
      </c>
      <c r="N60" s="1" t="s">
        <v>39</v>
      </c>
      <c r="O60" s="1" t="s">
        <v>40</v>
      </c>
      <c r="P60" s="1"/>
      <c r="Q60" s="1" t="s">
        <v>41</v>
      </c>
      <c r="R60" s="1" t="s">
        <v>23</v>
      </c>
      <c r="S60" s="1" t="s">
        <v>23</v>
      </c>
      <c r="T60" s="1" t="s">
        <v>44</v>
      </c>
      <c r="U60" s="1" t="s">
        <v>23</v>
      </c>
    </row>
    <row r="61" spans="1:21" ht="14.25" customHeight="1" x14ac:dyDescent="0.3">
      <c r="A61" s="1" t="s">
        <v>220</v>
      </c>
      <c r="B61" s="1">
        <v>115000</v>
      </c>
      <c r="C61" s="1">
        <v>125</v>
      </c>
      <c r="D61" s="1">
        <v>0</v>
      </c>
      <c r="E61" s="1" t="s">
        <v>37</v>
      </c>
      <c r="F61" s="1" t="s">
        <v>37</v>
      </c>
      <c r="G61" s="1" t="s">
        <v>37</v>
      </c>
      <c r="H61" s="1" t="s">
        <v>37</v>
      </c>
      <c r="I61" s="1" t="s">
        <v>24</v>
      </c>
      <c r="J61" s="1" t="s">
        <v>35</v>
      </c>
      <c r="K61" s="1" t="s">
        <v>221</v>
      </c>
      <c r="L61" s="1" t="s">
        <v>54</v>
      </c>
      <c r="M61" s="1" t="s">
        <v>27</v>
      </c>
      <c r="N61" s="1" t="s">
        <v>60</v>
      </c>
      <c r="O61" s="1" t="s">
        <v>256</v>
      </c>
      <c r="P61" s="1"/>
      <c r="Q61" s="1" t="s">
        <v>55</v>
      </c>
      <c r="R61" s="1" t="s">
        <v>23</v>
      </c>
      <c r="S61" s="1" t="s">
        <v>222</v>
      </c>
      <c r="T61" s="1" t="s">
        <v>44</v>
      </c>
      <c r="U61" s="1" t="s">
        <v>223</v>
      </c>
    </row>
    <row r="62" spans="1:21" ht="14.25" customHeight="1" x14ac:dyDescent="0.3">
      <c r="A62" s="1" t="s">
        <v>224</v>
      </c>
      <c r="B62" s="1">
        <v>33000</v>
      </c>
      <c r="C62" s="1">
        <v>30</v>
      </c>
      <c r="D62" s="1">
        <v>0</v>
      </c>
      <c r="E62" s="1" t="s">
        <v>37</v>
      </c>
      <c r="F62" s="1" t="s">
        <v>37</v>
      </c>
      <c r="G62" s="1" t="s">
        <v>37</v>
      </c>
      <c r="H62" s="1" t="s">
        <v>37</v>
      </c>
      <c r="I62" s="1" t="s">
        <v>24</v>
      </c>
      <c r="J62" s="1" t="s">
        <v>64</v>
      </c>
      <c r="K62" s="1" t="s">
        <v>225</v>
      </c>
      <c r="L62" s="1" t="s">
        <v>54</v>
      </c>
      <c r="M62" s="1" t="s">
        <v>27</v>
      </c>
      <c r="N62" s="1" t="s">
        <v>60</v>
      </c>
      <c r="O62" s="1" t="s">
        <v>40</v>
      </c>
      <c r="P62" s="1"/>
      <c r="Q62" s="1" t="s">
        <v>30</v>
      </c>
      <c r="R62" s="1" t="s">
        <v>23</v>
      </c>
      <c r="S62" s="1"/>
      <c r="T62" s="1" t="s">
        <v>44</v>
      </c>
      <c r="U62" s="1" t="s">
        <v>223</v>
      </c>
    </row>
    <row r="63" spans="1:21" ht="14.25" customHeight="1" x14ac:dyDescent="0.3">
      <c r="A63" s="1" t="s">
        <v>226</v>
      </c>
      <c r="B63" s="1">
        <v>57000</v>
      </c>
      <c r="C63" s="1">
        <v>50</v>
      </c>
      <c r="D63" s="1">
        <v>0</v>
      </c>
      <c r="E63" s="1" t="s">
        <v>37</v>
      </c>
      <c r="F63" s="1" t="s">
        <v>37</v>
      </c>
      <c r="G63" s="1" t="s">
        <v>37</v>
      </c>
      <c r="H63" s="1" t="s">
        <v>37</v>
      </c>
      <c r="I63" s="1" t="s">
        <v>24</v>
      </c>
      <c r="J63" s="1" t="s">
        <v>35</v>
      </c>
      <c r="K63" s="1" t="s">
        <v>227</v>
      </c>
      <c r="L63" s="1" t="s">
        <v>54</v>
      </c>
      <c r="M63" s="1" t="s">
        <v>27</v>
      </c>
      <c r="N63" s="1" t="s">
        <v>60</v>
      </c>
      <c r="O63" s="1" t="s">
        <v>256</v>
      </c>
      <c r="P63" s="1"/>
      <c r="Q63" s="1" t="s">
        <v>30</v>
      </c>
      <c r="R63" s="1" t="s">
        <v>228</v>
      </c>
      <c r="S63" s="1" t="s">
        <v>23</v>
      </c>
      <c r="T63" s="1" t="s">
        <v>44</v>
      </c>
      <c r="U63" s="1" t="s">
        <v>223</v>
      </c>
    </row>
    <row r="64" spans="1:21" ht="14.25" customHeight="1" x14ac:dyDescent="0.3">
      <c r="A64" s="1" t="s">
        <v>229</v>
      </c>
      <c r="B64" s="1">
        <v>177000</v>
      </c>
      <c r="C64" s="1">
        <v>125</v>
      </c>
      <c r="D64" s="1">
        <v>0</v>
      </c>
      <c r="E64" s="1" t="s">
        <v>37</v>
      </c>
      <c r="F64" s="1" t="s">
        <v>37</v>
      </c>
      <c r="G64" s="1" t="s">
        <v>37</v>
      </c>
      <c r="H64" s="1" t="s">
        <v>37</v>
      </c>
      <c r="I64" s="1" t="s">
        <v>24</v>
      </c>
      <c r="J64" s="1" t="s">
        <v>35</v>
      </c>
      <c r="K64" s="1" t="s">
        <v>230</v>
      </c>
      <c r="L64" s="1" t="s">
        <v>54</v>
      </c>
      <c r="M64" s="1" t="s">
        <v>27</v>
      </c>
      <c r="N64" s="1" t="s">
        <v>60</v>
      </c>
      <c r="O64" s="1" t="s">
        <v>256</v>
      </c>
      <c r="P64" s="1"/>
      <c r="Q64" s="1" t="s">
        <v>55</v>
      </c>
      <c r="R64" s="1" t="s">
        <v>228</v>
      </c>
      <c r="S64" s="1"/>
      <c r="T64" s="1" t="s">
        <v>44</v>
      </c>
      <c r="U64" s="1" t="s">
        <v>223</v>
      </c>
    </row>
    <row r="65" spans="1:21" ht="14.25" customHeight="1" x14ac:dyDescent="0.3">
      <c r="A65" s="1" t="s">
        <v>231</v>
      </c>
      <c r="B65" s="1">
        <v>57000</v>
      </c>
      <c r="C65" s="1">
        <v>50</v>
      </c>
      <c r="D65" s="1">
        <v>0</v>
      </c>
      <c r="E65" s="1" t="s">
        <v>37</v>
      </c>
      <c r="F65" s="1" t="s">
        <v>37</v>
      </c>
      <c r="G65" s="1" t="s">
        <v>37</v>
      </c>
      <c r="H65" s="1" t="s">
        <v>37</v>
      </c>
      <c r="I65" s="1" t="s">
        <v>24</v>
      </c>
      <c r="J65" s="1" t="s">
        <v>35</v>
      </c>
      <c r="K65" s="1" t="s">
        <v>232</v>
      </c>
      <c r="L65" s="1" t="s">
        <v>54</v>
      </c>
      <c r="M65" s="1" t="s">
        <v>27</v>
      </c>
      <c r="N65" s="1" t="s">
        <v>60</v>
      </c>
      <c r="O65" s="1" t="s">
        <v>256</v>
      </c>
      <c r="P65" s="1"/>
      <c r="Q65" s="1" t="s">
        <v>55</v>
      </c>
      <c r="R65" s="1" t="s">
        <v>228</v>
      </c>
      <c r="S65" s="1"/>
      <c r="T65" s="1" t="s">
        <v>44</v>
      </c>
      <c r="U65" s="1" t="s">
        <v>223</v>
      </c>
    </row>
    <row r="66" spans="1:21" ht="14.25" customHeight="1" x14ac:dyDescent="0.3">
      <c r="A66" s="1" t="s">
        <v>233</v>
      </c>
      <c r="B66" s="1">
        <v>70000</v>
      </c>
      <c r="C66" s="1" t="s">
        <v>23</v>
      </c>
      <c r="D66" s="1">
        <v>0</v>
      </c>
      <c r="E66" s="1" t="s">
        <v>37</v>
      </c>
      <c r="F66" s="1" t="s">
        <v>37</v>
      </c>
      <c r="G66" s="1" t="s">
        <v>37</v>
      </c>
      <c r="H66" s="1" t="s">
        <v>37</v>
      </c>
      <c r="I66" s="1" t="s">
        <v>24</v>
      </c>
      <c r="J66" s="1" t="s">
        <v>35</v>
      </c>
      <c r="K66" s="1" t="s">
        <v>234</v>
      </c>
      <c r="L66" s="1" t="s">
        <v>54</v>
      </c>
      <c r="M66" s="1" t="s">
        <v>27</v>
      </c>
      <c r="N66" s="1" t="s">
        <v>60</v>
      </c>
      <c r="O66" s="1" t="s">
        <v>256</v>
      </c>
      <c r="P66" s="1"/>
      <c r="Q66" s="1" t="s">
        <v>30</v>
      </c>
      <c r="R66" s="1" t="s">
        <v>23</v>
      </c>
      <c r="S66" s="1" t="s">
        <v>23</v>
      </c>
      <c r="T66" s="1" t="s">
        <v>44</v>
      </c>
      <c r="U66" s="1" t="s">
        <v>23</v>
      </c>
    </row>
    <row r="67" spans="1:21" ht="14.25" customHeight="1" x14ac:dyDescent="0.3">
      <c r="A67" s="1" t="s">
        <v>235</v>
      </c>
      <c r="B67" s="1">
        <v>300000</v>
      </c>
      <c r="C67" s="1" t="s">
        <v>23</v>
      </c>
      <c r="D67" s="1">
        <v>0</v>
      </c>
      <c r="E67" s="1" t="s">
        <v>37</v>
      </c>
      <c r="F67" s="1" t="s">
        <v>37</v>
      </c>
      <c r="G67" s="1" t="s">
        <v>37</v>
      </c>
      <c r="H67" s="1" t="s">
        <v>37</v>
      </c>
      <c r="I67" s="1" t="s">
        <v>24</v>
      </c>
      <c r="J67" s="1" t="s">
        <v>35</v>
      </c>
      <c r="K67" s="1" t="s">
        <v>234</v>
      </c>
      <c r="L67" s="1" t="s">
        <v>54</v>
      </c>
      <c r="M67" s="1" t="s">
        <v>27</v>
      </c>
      <c r="N67" s="1" t="s">
        <v>60</v>
      </c>
      <c r="O67" s="1" t="s">
        <v>256</v>
      </c>
      <c r="P67" s="1"/>
      <c r="Q67" s="1" t="s">
        <v>30</v>
      </c>
      <c r="R67" s="1" t="s">
        <v>23</v>
      </c>
      <c r="S67" s="1" t="s">
        <v>23</v>
      </c>
      <c r="T67" s="1" t="s">
        <v>44</v>
      </c>
      <c r="U67" s="1" t="s">
        <v>23</v>
      </c>
    </row>
    <row r="68" spans="1:21" ht="14.25" customHeight="1" x14ac:dyDescent="0.3">
      <c r="A68" s="1" t="s">
        <v>236</v>
      </c>
      <c r="B68" s="1">
        <v>47600</v>
      </c>
      <c r="C68" s="1" t="s">
        <v>23</v>
      </c>
      <c r="D68" s="1">
        <v>0</v>
      </c>
      <c r="E68" s="1" t="s">
        <v>37</v>
      </c>
      <c r="F68" s="1" t="s">
        <v>37</v>
      </c>
      <c r="G68" s="1" t="s">
        <v>37</v>
      </c>
      <c r="H68" s="1" t="s">
        <v>37</v>
      </c>
      <c r="I68" s="1" t="s">
        <v>24</v>
      </c>
      <c r="J68" s="1" t="s">
        <v>35</v>
      </c>
      <c r="K68" s="1" t="s">
        <v>237</v>
      </c>
      <c r="L68" s="1" t="s">
        <v>54</v>
      </c>
      <c r="M68" s="1" t="s">
        <v>27</v>
      </c>
      <c r="N68" s="1" t="s">
        <v>28</v>
      </c>
      <c r="O68" s="1" t="s">
        <v>256</v>
      </c>
      <c r="P68" s="1"/>
      <c r="Q68" s="1" t="s">
        <v>30</v>
      </c>
      <c r="R68" s="1" t="s">
        <v>23</v>
      </c>
      <c r="S68" s="1" t="s">
        <v>23</v>
      </c>
      <c r="T68" s="1" t="s">
        <v>44</v>
      </c>
      <c r="U68" s="1" t="s">
        <v>23</v>
      </c>
    </row>
    <row r="69" spans="1:21" ht="14.25" customHeight="1" x14ac:dyDescent="0.3">
      <c r="A69" s="1" t="s">
        <v>238</v>
      </c>
      <c r="B69" s="1">
        <v>547400</v>
      </c>
      <c r="C69" s="1" t="s">
        <v>23</v>
      </c>
      <c r="D69" s="1">
        <v>0</v>
      </c>
      <c r="E69" s="1" t="s">
        <v>37</v>
      </c>
      <c r="F69" s="1" t="s">
        <v>37</v>
      </c>
      <c r="G69" s="1" t="s">
        <v>37</v>
      </c>
      <c r="H69" s="1" t="s">
        <v>37</v>
      </c>
      <c r="I69" s="1" t="s">
        <v>24</v>
      </c>
      <c r="J69" s="1" t="s">
        <v>35</v>
      </c>
      <c r="K69" s="1" t="s">
        <v>237</v>
      </c>
      <c r="L69" s="1" t="s">
        <v>54</v>
      </c>
      <c r="M69" s="1" t="s">
        <v>27</v>
      </c>
      <c r="N69" s="1" t="s">
        <v>28</v>
      </c>
      <c r="O69" s="1" t="s">
        <v>256</v>
      </c>
      <c r="P69" s="1"/>
      <c r="Q69" s="1" t="s">
        <v>30</v>
      </c>
      <c r="R69" s="1" t="s">
        <v>23</v>
      </c>
      <c r="S69" s="1" t="s">
        <v>23</v>
      </c>
      <c r="T69" s="1" t="s">
        <v>44</v>
      </c>
      <c r="U69" s="1" t="s">
        <v>23</v>
      </c>
    </row>
    <row r="70" spans="1:21" ht="14.25" customHeight="1" x14ac:dyDescent="0.3">
      <c r="A70" s="1" t="s">
        <v>239</v>
      </c>
      <c r="B70" s="1">
        <v>200000</v>
      </c>
      <c r="C70" s="1" t="s">
        <v>23</v>
      </c>
      <c r="D70" s="1">
        <v>0</v>
      </c>
      <c r="E70" s="1" t="s">
        <v>37</v>
      </c>
      <c r="F70" s="1" t="s">
        <v>37</v>
      </c>
      <c r="G70" s="1" t="s">
        <v>37</v>
      </c>
      <c r="H70" s="1" t="s">
        <v>37</v>
      </c>
      <c r="I70" s="1" t="s">
        <v>24</v>
      </c>
      <c r="J70" s="1" t="s">
        <v>52</v>
      </c>
      <c r="K70" s="1" t="s">
        <v>240</v>
      </c>
      <c r="L70" s="1" t="s">
        <v>54</v>
      </c>
      <c r="M70" s="1" t="s">
        <v>27</v>
      </c>
      <c r="N70" s="1" t="s">
        <v>39</v>
      </c>
      <c r="O70" s="1" t="s">
        <v>256</v>
      </c>
      <c r="P70" s="1"/>
      <c r="Q70" s="1" t="s">
        <v>30</v>
      </c>
      <c r="R70" s="1" t="s">
        <v>23</v>
      </c>
      <c r="S70" s="1" t="s">
        <v>23</v>
      </c>
      <c r="T70" s="1" t="s">
        <v>44</v>
      </c>
      <c r="U70" s="1" t="s">
        <v>23</v>
      </c>
    </row>
    <row r="71" spans="1:21" ht="14.25" customHeight="1" x14ac:dyDescent="0.3">
      <c r="A71" s="1" t="s">
        <v>241</v>
      </c>
      <c r="B71" s="1">
        <v>170000</v>
      </c>
      <c r="C71" s="1">
        <f>4*50</f>
        <v>200</v>
      </c>
      <c r="D71" s="1">
        <v>491520</v>
      </c>
      <c r="E71" s="1" t="s">
        <v>242</v>
      </c>
      <c r="F71" s="1" t="s">
        <v>243</v>
      </c>
      <c r="G71" s="1" t="s">
        <v>37</v>
      </c>
      <c r="H71" s="1" t="s">
        <v>37</v>
      </c>
      <c r="I71" s="1" t="s">
        <v>24</v>
      </c>
      <c r="J71" s="1" t="s">
        <v>164</v>
      </c>
      <c r="K71" s="1" t="s">
        <v>244</v>
      </c>
      <c r="L71" s="1" t="s">
        <v>37</v>
      </c>
      <c r="M71" s="1" t="s">
        <v>38</v>
      </c>
      <c r="N71" s="1" t="s">
        <v>99</v>
      </c>
      <c r="O71" s="1" t="s">
        <v>40</v>
      </c>
      <c r="P71" s="1"/>
      <c r="Q71" s="1" t="s">
        <v>30</v>
      </c>
      <c r="R71" s="1" t="s">
        <v>23</v>
      </c>
      <c r="S71" s="1" t="s">
        <v>23</v>
      </c>
      <c r="T71" s="1" t="s">
        <v>245</v>
      </c>
      <c r="U71" s="1" t="s">
        <v>246</v>
      </c>
    </row>
    <row r="72" spans="1:21" ht="14.25" customHeight="1" x14ac:dyDescent="0.3">
      <c r="A72" s="1" t="s">
        <v>247</v>
      </c>
      <c r="B72" s="1">
        <v>330000</v>
      </c>
      <c r="C72" s="1" t="s">
        <v>23</v>
      </c>
      <c r="D72" s="1">
        <v>0</v>
      </c>
      <c r="E72" s="1" t="s">
        <v>37</v>
      </c>
      <c r="F72" s="1" t="s">
        <v>37</v>
      </c>
      <c r="G72" s="1" t="s">
        <v>37</v>
      </c>
      <c r="H72" s="1" t="s">
        <v>37</v>
      </c>
      <c r="I72" s="1" t="s">
        <v>24</v>
      </c>
      <c r="J72" s="1" t="s">
        <v>64</v>
      </c>
      <c r="K72" s="1" t="s">
        <v>248</v>
      </c>
      <c r="L72" s="1" t="s">
        <v>54</v>
      </c>
      <c r="M72" s="1" t="s">
        <v>27</v>
      </c>
      <c r="N72" s="1" t="s">
        <v>28</v>
      </c>
      <c r="O72" s="1" t="s">
        <v>256</v>
      </c>
      <c r="P72" s="1"/>
      <c r="Q72" s="1" t="s">
        <v>55</v>
      </c>
      <c r="R72" s="1" t="s">
        <v>23</v>
      </c>
      <c r="S72" s="1" t="s">
        <v>23</v>
      </c>
      <c r="T72" s="1" t="s">
        <v>44</v>
      </c>
      <c r="U72" s="1" t="s">
        <v>23</v>
      </c>
    </row>
    <row r="73" spans="1:21" ht="14.25" customHeight="1" x14ac:dyDescent="0.3">
      <c r="A73" t="s">
        <v>249</v>
      </c>
      <c r="B73">
        <v>120000</v>
      </c>
      <c r="D73">
        <v>0</v>
      </c>
      <c r="E73" s="1" t="s">
        <v>37</v>
      </c>
      <c r="F73" s="1" t="s">
        <v>37</v>
      </c>
      <c r="G73" s="1" t="s">
        <v>37</v>
      </c>
      <c r="H73" s="1" t="s">
        <v>37</v>
      </c>
      <c r="I73" s="1" t="s">
        <v>24</v>
      </c>
      <c r="J73" t="s">
        <v>58</v>
      </c>
      <c r="K73" t="s">
        <v>250</v>
      </c>
      <c r="N73" s="1" t="s">
        <v>251</v>
      </c>
      <c r="O73" s="1" t="s">
        <v>40</v>
      </c>
      <c r="P73" s="1"/>
      <c r="Q73" s="1" t="s">
        <v>30</v>
      </c>
      <c r="T73" s="1" t="s">
        <v>44</v>
      </c>
    </row>
    <row r="74" spans="1:21" ht="14.25" customHeight="1" x14ac:dyDescent="0.3">
      <c r="A74" t="s">
        <v>252</v>
      </c>
      <c r="B74">
        <v>23010</v>
      </c>
      <c r="D74">
        <v>0</v>
      </c>
      <c r="E74" s="1" t="s">
        <v>37</v>
      </c>
      <c r="F74" s="1" t="s">
        <v>37</v>
      </c>
      <c r="G74" s="1" t="s">
        <v>37</v>
      </c>
      <c r="H74" s="1" t="s">
        <v>37</v>
      </c>
      <c r="I74" s="1" t="s">
        <v>24</v>
      </c>
      <c r="J74" t="s">
        <v>35</v>
      </c>
      <c r="K74" t="s">
        <v>253</v>
      </c>
      <c r="L74" t="s">
        <v>54</v>
      </c>
      <c r="M74" t="s">
        <v>27</v>
      </c>
      <c r="N74" s="1" t="s">
        <v>60</v>
      </c>
      <c r="O74" s="1" t="s">
        <v>256</v>
      </c>
      <c r="P74" s="1"/>
      <c r="Q74" s="1" t="s">
        <v>30</v>
      </c>
      <c r="T74" s="1" t="s">
        <v>44</v>
      </c>
    </row>
    <row r="75" spans="1:21" ht="14.25" customHeight="1" x14ac:dyDescent="0.3">
      <c r="A75" t="s">
        <v>254</v>
      </c>
      <c r="B75">
        <v>175680</v>
      </c>
      <c r="C75">
        <v>150</v>
      </c>
      <c r="D75">
        <v>0</v>
      </c>
      <c r="E75" s="1" t="s">
        <v>37</v>
      </c>
      <c r="F75" t="s">
        <v>37</v>
      </c>
      <c r="G75" s="1" t="s">
        <v>37</v>
      </c>
      <c r="H75" s="1" t="s">
        <v>37</v>
      </c>
      <c r="I75" s="1" t="s">
        <v>24</v>
      </c>
      <c r="J75" t="s">
        <v>70</v>
      </c>
      <c r="K75" t="s">
        <v>255</v>
      </c>
      <c r="L75" t="s">
        <v>54</v>
      </c>
      <c r="M75" t="s">
        <v>27</v>
      </c>
      <c r="N75" s="1" t="s">
        <v>60</v>
      </c>
      <c r="O75" s="1" t="s">
        <v>256</v>
      </c>
      <c r="P75" s="1"/>
      <c r="Q75" s="1" t="s">
        <v>30</v>
      </c>
      <c r="S75" s="2">
        <v>46068</v>
      </c>
      <c r="T75" t="s">
        <v>44</v>
      </c>
      <c r="U75" t="s">
        <v>223</v>
      </c>
    </row>
    <row r="76" spans="1:21" ht="14.25" customHeight="1" x14ac:dyDescent="0.3">
      <c r="A76" t="s">
        <v>257</v>
      </c>
      <c r="B76">
        <v>127440</v>
      </c>
      <c r="C76">
        <v>100</v>
      </c>
      <c r="D76">
        <v>246</v>
      </c>
      <c r="E76" t="s">
        <v>242</v>
      </c>
      <c r="F76" t="s">
        <v>242</v>
      </c>
      <c r="G76" s="1" t="s">
        <v>37</v>
      </c>
      <c r="H76" s="1" t="s">
        <v>37</v>
      </c>
      <c r="I76" s="1" t="s">
        <v>258</v>
      </c>
      <c r="J76" t="s">
        <v>259</v>
      </c>
      <c r="K76" t="s">
        <v>260</v>
      </c>
      <c r="L76" t="s">
        <v>37</v>
      </c>
      <c r="M76" t="s">
        <v>38</v>
      </c>
      <c r="N76" s="1" t="s">
        <v>60</v>
      </c>
      <c r="O76" s="1" t="s">
        <v>256</v>
      </c>
      <c r="P76" s="1"/>
      <c r="Q76" s="1"/>
      <c r="S76" s="2">
        <v>46114</v>
      </c>
      <c r="T76" t="s">
        <v>261</v>
      </c>
      <c r="U76" t="s">
        <v>246</v>
      </c>
    </row>
    <row r="77" spans="1:21" ht="14.25" customHeight="1" x14ac:dyDescent="0.3">
      <c r="A77" t="s">
        <v>262</v>
      </c>
      <c r="B77">
        <v>114070</v>
      </c>
      <c r="C77">
        <v>125</v>
      </c>
      <c r="D77">
        <v>0</v>
      </c>
      <c r="E77" t="s">
        <v>37</v>
      </c>
      <c r="F77" t="s">
        <v>37</v>
      </c>
      <c r="G77" s="1" t="s">
        <v>37</v>
      </c>
      <c r="H77" s="1" t="s">
        <v>37</v>
      </c>
      <c r="I77" s="1" t="s">
        <v>24</v>
      </c>
      <c r="J77" t="s">
        <v>35</v>
      </c>
      <c r="K77" t="s">
        <v>263</v>
      </c>
      <c r="L77" t="s">
        <v>54</v>
      </c>
      <c r="M77" t="s">
        <v>27</v>
      </c>
      <c r="N77" t="s">
        <v>60</v>
      </c>
      <c r="O77" s="1" t="s">
        <v>256</v>
      </c>
      <c r="T77" t="s">
        <v>44</v>
      </c>
    </row>
    <row r="78" spans="1:21" ht="14.25" customHeight="1" x14ac:dyDescent="0.3">
      <c r="A78" t="s">
        <v>264</v>
      </c>
      <c r="B78">
        <v>217000</v>
      </c>
      <c r="C78">
        <f>2*110</f>
        <v>220</v>
      </c>
      <c r="D78">
        <v>0</v>
      </c>
      <c r="E78" t="s">
        <v>37</v>
      </c>
      <c r="F78" t="s">
        <v>37</v>
      </c>
      <c r="G78" s="1" t="s">
        <v>37</v>
      </c>
      <c r="H78" s="1" t="s">
        <v>37</v>
      </c>
      <c r="I78" s="1" t="s">
        <v>24</v>
      </c>
      <c r="K78" s="1" t="s">
        <v>53</v>
      </c>
      <c r="M78" t="s">
        <v>27</v>
      </c>
      <c r="N78" t="s">
        <v>39</v>
      </c>
      <c r="O78" s="1" t="s">
        <v>256</v>
      </c>
      <c r="Q78" t="s">
        <v>55</v>
      </c>
      <c r="T78" t="s">
        <v>44</v>
      </c>
    </row>
    <row r="79" spans="1:21" ht="14.25" customHeight="1" x14ac:dyDescent="0.3">
      <c r="A79" t="s">
        <v>265</v>
      </c>
      <c r="B79">
        <v>161000</v>
      </c>
      <c r="C79">
        <v>150</v>
      </c>
      <c r="D79">
        <v>0</v>
      </c>
      <c r="E79" t="s">
        <v>37</v>
      </c>
      <c r="F79" t="s">
        <v>37</v>
      </c>
      <c r="G79" s="1" t="s">
        <v>37</v>
      </c>
      <c r="H79" s="1" t="s">
        <v>37</v>
      </c>
      <c r="I79" t="s">
        <v>24</v>
      </c>
      <c r="J79" t="s">
        <v>164</v>
      </c>
      <c r="K79" t="s">
        <v>266</v>
      </c>
      <c r="M79" t="s">
        <v>27</v>
      </c>
      <c r="N79" t="s">
        <v>60</v>
      </c>
      <c r="O79" s="1" t="s">
        <v>256</v>
      </c>
      <c r="T79" t="s">
        <v>980</v>
      </c>
    </row>
    <row r="80" spans="1:21"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6">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4" activePane="bottomRight" state="frozen"/>
      <selection pane="topRight" activeCell="B1" sqref="B1"/>
      <selection pane="bottomLeft" activeCell="A2" sqref="A2"/>
      <selection pane="bottomRight" activeCell="A78" sqref="A78"/>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267</v>
      </c>
      <c r="C1" t="s">
        <v>268</v>
      </c>
      <c r="D1" t="s">
        <v>269</v>
      </c>
      <c r="E1" t="s">
        <v>270</v>
      </c>
      <c r="F1" t="s">
        <v>271</v>
      </c>
      <c r="G1" t="s">
        <v>272</v>
      </c>
      <c r="H1" t="s">
        <v>273</v>
      </c>
      <c r="I1" t="s">
        <v>274</v>
      </c>
      <c r="J1" t="s">
        <v>275</v>
      </c>
      <c r="K1" t="s">
        <v>276</v>
      </c>
      <c r="L1" t="s">
        <v>277</v>
      </c>
      <c r="M1" t="s">
        <v>278</v>
      </c>
    </row>
    <row r="2" spans="1:13" ht="14.25" customHeight="1" x14ac:dyDescent="0.3">
      <c r="A2" t="s">
        <v>32</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45</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51</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57</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62</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63</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66</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68</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74</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80</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84</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86</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90</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95</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98</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100</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252</v>
      </c>
      <c r="B18">
        <v>2735</v>
      </c>
      <c r="C18">
        <v>2556</v>
      </c>
      <c r="D18">
        <v>2535</v>
      </c>
      <c r="E18">
        <v>2442</v>
      </c>
      <c r="F18">
        <v>2474</v>
      </c>
      <c r="G18">
        <v>2756</v>
      </c>
      <c r="H18">
        <v>2611</v>
      </c>
      <c r="I18">
        <v>2800</v>
      </c>
      <c r="J18">
        <v>2707</v>
      </c>
      <c r="K18">
        <v>2695</v>
      </c>
      <c r="L18">
        <v>2618</v>
      </c>
      <c r="M18">
        <v>2708</v>
      </c>
    </row>
    <row r="19" spans="1:13" ht="14.25" customHeight="1" x14ac:dyDescent="0.3">
      <c r="A19" t="s">
        <v>103</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107</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109</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113</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241</v>
      </c>
    </row>
    <row r="24" spans="1:13" ht="14.25" customHeight="1" x14ac:dyDescent="0.3">
      <c r="A24" t="s">
        <v>115</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119</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120</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124</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238</v>
      </c>
      <c r="B28">
        <v>8415</v>
      </c>
      <c r="C28">
        <v>7237.5</v>
      </c>
      <c r="D28">
        <v>7601.5</v>
      </c>
      <c r="E28">
        <v>6870</v>
      </c>
      <c r="F28">
        <v>6583</v>
      </c>
      <c r="G28">
        <v>5884</v>
      </c>
      <c r="H28">
        <v>6428</v>
      </c>
      <c r="I28">
        <v>7317</v>
      </c>
      <c r="J28">
        <v>7798.5</v>
      </c>
      <c r="K28">
        <v>8310.5</v>
      </c>
      <c r="L28">
        <v>8392</v>
      </c>
      <c r="M28">
        <v>8239</v>
      </c>
    </row>
    <row r="29" spans="1:13" ht="14.25" customHeight="1" x14ac:dyDescent="0.3">
      <c r="A29" t="s">
        <v>236</v>
      </c>
      <c r="B29">
        <v>8415</v>
      </c>
      <c r="C29">
        <v>7237.5</v>
      </c>
      <c r="D29">
        <v>7601.5</v>
      </c>
      <c r="E29">
        <v>6870</v>
      </c>
      <c r="F29">
        <v>6583</v>
      </c>
      <c r="G29">
        <v>5884</v>
      </c>
      <c r="H29">
        <v>6428</v>
      </c>
      <c r="I29">
        <v>7317</v>
      </c>
      <c r="J29">
        <v>7798.5</v>
      </c>
      <c r="K29">
        <v>8310.5</v>
      </c>
      <c r="L29">
        <v>8392</v>
      </c>
      <c r="M29">
        <v>8239</v>
      </c>
    </row>
    <row r="30" spans="1:13" ht="14.25" customHeight="1" x14ac:dyDescent="0.3">
      <c r="A30" t="s">
        <v>128</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249</v>
      </c>
    </row>
    <row r="32" spans="1:13" ht="14.25" customHeight="1" x14ac:dyDescent="0.3">
      <c r="A32" t="s">
        <v>130</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132</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136</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247</v>
      </c>
      <c r="B35">
        <v>59291</v>
      </c>
      <c r="C35">
        <v>48612</v>
      </c>
      <c r="D35">
        <v>45479</v>
      </c>
      <c r="E35">
        <v>32312</v>
      </c>
      <c r="F35">
        <v>23816</v>
      </c>
      <c r="G35">
        <v>19426</v>
      </c>
      <c r="H35">
        <v>21982</v>
      </c>
      <c r="I35">
        <v>28360</v>
      </c>
      <c r="J35">
        <v>37091</v>
      </c>
      <c r="K35">
        <v>47820</v>
      </c>
      <c r="L35">
        <v>55073</v>
      </c>
      <c r="M35">
        <v>60151</v>
      </c>
    </row>
    <row r="36" spans="1:13" ht="14.25" customHeight="1" x14ac:dyDescent="0.3">
      <c r="A36" t="s">
        <v>140</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143</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147</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233</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235</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151</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155</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159</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163</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166</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168</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171</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175</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178</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181</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183</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184</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279</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189</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192</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194</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196</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198</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200</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239</v>
      </c>
      <c r="B60">
        <v>34135</v>
      </c>
      <c r="C60">
        <v>26981</v>
      </c>
      <c r="D60">
        <v>26829</v>
      </c>
      <c r="E60">
        <v>20433</v>
      </c>
      <c r="F60">
        <v>21068</v>
      </c>
      <c r="G60">
        <v>16978</v>
      </c>
      <c r="H60">
        <v>19291</v>
      </c>
      <c r="I60">
        <v>21448</v>
      </c>
      <c r="J60">
        <v>20157</v>
      </c>
      <c r="K60">
        <v>25054</v>
      </c>
      <c r="L60">
        <v>25471</v>
      </c>
      <c r="M60">
        <v>31547</v>
      </c>
    </row>
    <row r="61" spans="1:13" ht="14.25" customHeight="1" x14ac:dyDescent="0.3">
      <c r="A61" t="s">
        <v>220</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202</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226</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229</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231</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204</v>
      </c>
      <c r="B66" s="6"/>
      <c r="C66" s="6"/>
      <c r="D66" s="6"/>
      <c r="E66" s="6"/>
      <c r="F66" s="6"/>
      <c r="G66" s="6"/>
      <c r="H66" s="6"/>
      <c r="I66" s="6"/>
      <c r="J66" s="6"/>
      <c r="K66" s="6"/>
      <c r="L66" s="6"/>
      <c r="M66" s="6"/>
    </row>
    <row r="67" spans="1:13" ht="14.25" customHeight="1" x14ac:dyDescent="0.3">
      <c r="A67" t="s">
        <v>206</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208</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211</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213</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224</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214</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218</v>
      </c>
      <c r="B73" s="6" t="s">
        <v>37</v>
      </c>
      <c r="C73" s="6" t="s">
        <v>37</v>
      </c>
      <c r="D73" s="6" t="s">
        <v>37</v>
      </c>
      <c r="E73" s="6" t="s">
        <v>37</v>
      </c>
      <c r="F73" s="6" t="s">
        <v>37</v>
      </c>
      <c r="G73" s="6" t="s">
        <v>37</v>
      </c>
      <c r="H73" s="6" t="s">
        <v>37</v>
      </c>
      <c r="I73" s="6" t="s">
        <v>37</v>
      </c>
      <c r="J73" s="6" t="s">
        <v>37</v>
      </c>
      <c r="K73" s="6" t="s">
        <v>37</v>
      </c>
      <c r="L73" s="6" t="s">
        <v>37</v>
      </c>
      <c r="M73" s="6" t="s">
        <v>37</v>
      </c>
    </row>
    <row r="74" spans="1:13" ht="14.25" customHeight="1" x14ac:dyDescent="0.3">
      <c r="A74" t="s">
        <v>254</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241</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257</v>
      </c>
      <c r="B76">
        <v>20178</v>
      </c>
      <c r="C76">
        <v>17954</v>
      </c>
      <c r="D76">
        <v>19150</v>
      </c>
      <c r="E76">
        <v>18060</v>
      </c>
      <c r="F76">
        <v>18124</v>
      </c>
      <c r="G76">
        <v>15908</v>
      </c>
      <c r="H76">
        <v>16827</v>
      </c>
      <c r="I76">
        <v>19405</v>
      </c>
      <c r="J76">
        <v>19981</v>
      </c>
      <c r="K76">
        <v>22401</v>
      </c>
      <c r="L76">
        <v>20125</v>
      </c>
      <c r="M76">
        <v>20771</v>
      </c>
    </row>
    <row r="77" spans="1:13" x14ac:dyDescent="0.3">
      <c r="A77" t="s">
        <v>262</v>
      </c>
      <c r="B77">
        <v>19301</v>
      </c>
      <c r="C77">
        <v>16753</v>
      </c>
      <c r="D77">
        <v>16260</v>
      </c>
      <c r="E77">
        <v>13800</v>
      </c>
      <c r="F77">
        <v>12669</v>
      </c>
      <c r="G77">
        <v>11099</v>
      </c>
      <c r="H77">
        <v>12207</v>
      </c>
      <c r="I77">
        <v>14565.3</v>
      </c>
      <c r="J77">
        <v>16481.3</v>
      </c>
      <c r="K77">
        <v>18948</v>
      </c>
      <c r="L77">
        <v>19155</v>
      </c>
      <c r="M77">
        <v>19406</v>
      </c>
    </row>
    <row r="78" spans="1:13" x14ac:dyDescent="0.3">
      <c r="A78" t="s">
        <v>265</v>
      </c>
      <c r="B78">
        <v>29390</v>
      </c>
      <c r="C78">
        <v>25795</v>
      </c>
      <c r="D78">
        <v>25594</v>
      </c>
      <c r="E78">
        <v>22145</v>
      </c>
      <c r="F78">
        <v>20838</v>
      </c>
      <c r="G78">
        <v>18631</v>
      </c>
      <c r="H78">
        <v>20290</v>
      </c>
      <c r="I78">
        <v>23679</v>
      </c>
      <c r="J78">
        <v>26288</v>
      </c>
      <c r="K78">
        <v>29851</v>
      </c>
      <c r="L78">
        <v>30171</v>
      </c>
      <c r="M78">
        <v>30447</v>
      </c>
    </row>
    <row r="79" spans="1:13" x14ac:dyDescent="0.3">
      <c r="A79" t="s">
        <v>264</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F81" sqref="F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281</v>
      </c>
      <c r="C1" t="s">
        <v>267</v>
      </c>
      <c r="D1" t="s">
        <v>268</v>
      </c>
      <c r="E1" t="s">
        <v>269</v>
      </c>
      <c r="F1" t="s">
        <v>270</v>
      </c>
      <c r="G1" t="s">
        <v>271</v>
      </c>
      <c r="H1" t="s">
        <v>272</v>
      </c>
      <c r="I1" t="s">
        <v>273</v>
      </c>
      <c r="J1" t="s">
        <v>274</v>
      </c>
      <c r="K1" t="s">
        <v>275</v>
      </c>
      <c r="L1" t="s">
        <v>276</v>
      </c>
      <c r="M1" t="s">
        <v>277</v>
      </c>
      <c r="N1" t="s">
        <v>278</v>
      </c>
    </row>
    <row r="2" spans="1:14" ht="14.25" customHeight="1" x14ac:dyDescent="0.3">
      <c r="A2" t="s">
        <v>32</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45</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51</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57</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62</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63</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66</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68</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74</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80</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84</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86</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90</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95</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98</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100</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252</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103</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107</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109</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113</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241</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115</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119</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120</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124</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238</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236</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128</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249</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130</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132</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136</v>
      </c>
      <c r="B34">
        <v>0.9</v>
      </c>
      <c r="C34" s="6">
        <f>Table4[[#This Row],[Jan]]*$B34</f>
        <v>15870.6</v>
      </c>
      <c r="D34" s="6">
        <f>Table4[[#This Row],[Feb]]*$B34</f>
        <v>14825.7</v>
      </c>
      <c r="E34" s="6">
        <f>Table4[[#This Row],[Mar]]*$B34</f>
        <v>17314.2</v>
      </c>
      <c r="F34" s="6">
        <f>Table4[[#This Row],[Apr]]*$B34</f>
        <v>15358.5</v>
      </c>
      <c r="G34" s="6">
        <f>Table4[[#This Row],[May]]*$B34</f>
        <v>15197.4</v>
      </c>
      <c r="H34" s="6">
        <f>Table4[[#This Row],[Jun]]*$B34</f>
        <v>14489.1</v>
      </c>
      <c r="I34" s="6">
        <f>Table4[[#This Row],[Jul]]*$B34</f>
        <v>15390.9</v>
      </c>
      <c r="J34" s="6">
        <f>Table4[[#This Row],[Aug]]*$B34</f>
        <v>15613.2</v>
      </c>
      <c r="K34" s="6">
        <f>Table4[[#This Row],[Sep]]*$B34</f>
        <v>15191.1</v>
      </c>
      <c r="L34" s="6">
        <f>Table4[[#This Row],[Oct]]*$B34</f>
        <v>14349.6</v>
      </c>
      <c r="M34" s="6">
        <f>Table4[[#This Row],[Nov]]*$B34</f>
        <v>13257.9</v>
      </c>
      <c r="N34" s="6">
        <f>Table4[[#This Row],[Dec]]*$B34</f>
        <v>13839.300000000001</v>
      </c>
    </row>
    <row r="35" spans="1:14" ht="14.25" customHeight="1" x14ac:dyDescent="0.3">
      <c r="A35" t="s">
        <v>247</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140</v>
      </c>
      <c r="B36">
        <v>0.85</v>
      </c>
      <c r="C36" s="6">
        <f>Table4[[#This Row],[Jan]]*$B36</f>
        <v>5063.45</v>
      </c>
      <c r="D36" s="6">
        <f>Table4[[#This Row],[Feb]]*$B36</f>
        <v>4598.5</v>
      </c>
      <c r="E36" s="6">
        <f>Table4[[#This Row],[Mar]]*$B36</f>
        <v>5071.95</v>
      </c>
      <c r="F36" s="6">
        <f>Table4[[#This Row],[Apr]]*$B36</f>
        <v>4864.55</v>
      </c>
      <c r="G36" s="6">
        <f>Table4[[#This Row],[May]]*$B36</f>
        <v>5173.0999999999995</v>
      </c>
      <c r="H36" s="6">
        <f>Table4[[#This Row],[Jun]]*$B36</f>
        <v>5002.25</v>
      </c>
      <c r="I36" s="6">
        <f>Table4[[#This Row],[Jul]]*$B36</f>
        <v>5383.9</v>
      </c>
      <c r="J36" s="6">
        <f>Table4[[#This Row],[Aug]]*$B36</f>
        <v>5638.05</v>
      </c>
      <c r="K36" s="6">
        <f>Table4[[#This Row],[Sep]]*$B36</f>
        <v>5587.05</v>
      </c>
      <c r="L36" s="6">
        <f>Table4[[#This Row],[Oct]]*$B36</f>
        <v>5491.8499999999995</v>
      </c>
      <c r="M36" s="6">
        <f>Table4[[#This Row],[Nov]]*$B36</f>
        <v>5110.2</v>
      </c>
      <c r="N36" s="6">
        <f>Table4[[#This Row],[Dec]]*$B36</f>
        <v>5223.25</v>
      </c>
    </row>
    <row r="37" spans="1:14" ht="14.25" customHeight="1" x14ac:dyDescent="0.3">
      <c r="A37" t="s">
        <v>143</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147</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233</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235</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151</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155</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159</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163</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166</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168</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171</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175</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178</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181</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183</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184</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279</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189</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192</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194</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196</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198</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200</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239</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220</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202</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226</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229</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231</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204</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206</v>
      </c>
      <c r="B67">
        <v>0.9</v>
      </c>
      <c r="C67" s="6">
        <f>Table4[[#This Row],[Jan]]*$B67</f>
        <v>7399.8</v>
      </c>
      <c r="D67" s="6">
        <f>Table4[[#This Row],[Feb]]*$B67</f>
        <v>6298.2</v>
      </c>
      <c r="E67" s="6">
        <f>Table4[[#This Row],[Mar]]*$B67</f>
        <v>6353.1</v>
      </c>
      <c r="F67" s="6">
        <f>Table4[[#This Row],[Apr]]*$B67</f>
        <v>5016.6000000000004</v>
      </c>
      <c r="G67" s="6">
        <f>Table4[[#This Row],[May]]*$B67</f>
        <v>4753.8</v>
      </c>
      <c r="H67" s="6">
        <f>Table4[[#This Row],[Jun]]*$B67</f>
        <v>4257</v>
      </c>
      <c r="I67" s="6">
        <f>Table4[[#This Row],[Jul]]*$B67</f>
        <v>4730.4000000000005</v>
      </c>
      <c r="J67" s="6">
        <f>Table4[[#This Row],[Aug]]*$B67</f>
        <v>5440.5</v>
      </c>
      <c r="K67" s="6">
        <f>Table4[[#This Row],[Sep]]*$B67</f>
        <v>6345.9000000000005</v>
      </c>
      <c r="L67" s="6">
        <f>Table4[[#This Row],[Oct]]*$B67</f>
        <v>7250.4000000000005</v>
      </c>
      <c r="M67" s="6">
        <f>Table4[[#This Row],[Nov]]*$B67</f>
        <v>7330.5</v>
      </c>
      <c r="N67" s="6">
        <f>Table4[[#This Row],[Dec]]*$B67</f>
        <v>7866</v>
      </c>
    </row>
    <row r="68" spans="1:14" ht="14.25" customHeight="1" x14ac:dyDescent="0.3">
      <c r="A68" t="s">
        <v>208</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211</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213</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224</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214</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218</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254</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241</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257</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262</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265</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264</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77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282</v>
      </c>
      <c r="B1" t="s">
        <v>280</v>
      </c>
      <c r="C1" t="s">
        <v>283</v>
      </c>
    </row>
    <row r="2" spans="1:3" ht="15" customHeight="1" x14ac:dyDescent="0.3">
      <c r="A2" t="s">
        <v>32</v>
      </c>
      <c r="B2" s="3">
        <v>45292</v>
      </c>
      <c r="C2">
        <v>2370.6</v>
      </c>
    </row>
    <row r="3" spans="1:3" ht="15" customHeight="1" x14ac:dyDescent="0.3">
      <c r="A3" t="s">
        <v>32</v>
      </c>
      <c r="B3" s="3">
        <v>45323</v>
      </c>
      <c r="C3">
        <v>2680.2</v>
      </c>
    </row>
    <row r="4" spans="1:3" ht="15" customHeight="1" x14ac:dyDescent="0.3">
      <c r="A4" t="s">
        <v>32</v>
      </c>
      <c r="B4" s="3">
        <v>45352</v>
      </c>
      <c r="C4">
        <v>2183.4</v>
      </c>
    </row>
    <row r="5" spans="1:3" ht="15" customHeight="1" x14ac:dyDescent="0.3">
      <c r="A5" t="s">
        <v>32</v>
      </c>
      <c r="B5" s="3">
        <v>45383</v>
      </c>
      <c r="C5">
        <v>1873.8</v>
      </c>
    </row>
    <row r="6" spans="1:3" ht="15" customHeight="1" x14ac:dyDescent="0.3">
      <c r="A6" t="s">
        <v>32</v>
      </c>
      <c r="B6" s="3">
        <v>45413</v>
      </c>
      <c r="C6">
        <v>1822.5</v>
      </c>
    </row>
    <row r="7" spans="1:3" ht="15" customHeight="1" x14ac:dyDescent="0.3">
      <c r="A7" t="s">
        <v>32</v>
      </c>
      <c r="B7" s="3">
        <v>45444</v>
      </c>
      <c r="C7">
        <v>1629</v>
      </c>
    </row>
    <row r="8" spans="1:3" ht="15" customHeight="1" x14ac:dyDescent="0.3">
      <c r="A8" t="s">
        <v>32</v>
      </c>
      <c r="B8" s="3">
        <v>45474</v>
      </c>
      <c r="C8">
        <v>1814.4</v>
      </c>
    </row>
    <row r="9" spans="1:3" ht="15" customHeight="1" x14ac:dyDescent="0.3">
      <c r="A9" t="s">
        <v>32</v>
      </c>
      <c r="B9" s="3">
        <v>45505</v>
      </c>
      <c r="C9">
        <v>2116.8000000000002</v>
      </c>
    </row>
    <row r="10" spans="1:3" ht="15" customHeight="1" x14ac:dyDescent="0.3">
      <c r="A10" t="s">
        <v>32</v>
      </c>
      <c r="B10" s="3">
        <v>45536</v>
      </c>
      <c r="C10">
        <v>2275.1999999999998</v>
      </c>
    </row>
    <row r="11" spans="1:3" ht="15" customHeight="1" x14ac:dyDescent="0.3">
      <c r="A11" t="s">
        <v>32</v>
      </c>
      <c r="B11" s="3">
        <v>45566</v>
      </c>
      <c r="C11">
        <v>2407.5</v>
      </c>
    </row>
    <row r="12" spans="1:3" ht="15" customHeight="1" x14ac:dyDescent="0.3">
      <c r="A12" t="s">
        <v>32</v>
      </c>
      <c r="B12" s="3">
        <v>45597</v>
      </c>
      <c r="C12">
        <v>2356.1999999999998</v>
      </c>
    </row>
    <row r="13" spans="1:3" ht="15" customHeight="1" x14ac:dyDescent="0.3">
      <c r="A13" t="s">
        <v>32</v>
      </c>
      <c r="B13" s="3">
        <v>45627</v>
      </c>
      <c r="C13">
        <v>2482.1999999999998</v>
      </c>
    </row>
    <row r="14" spans="1:3" ht="15" customHeight="1" x14ac:dyDescent="0.3">
      <c r="A14" t="s">
        <v>32</v>
      </c>
      <c r="B14" s="3">
        <v>45658</v>
      </c>
      <c r="C14">
        <v>2370.6</v>
      </c>
    </row>
    <row r="15" spans="1:3" ht="15" customHeight="1" x14ac:dyDescent="0.3">
      <c r="A15" t="s">
        <v>32</v>
      </c>
      <c r="B15" s="3">
        <v>45689</v>
      </c>
      <c r="C15">
        <v>2680.2</v>
      </c>
    </row>
    <row r="16" spans="1:3" ht="15" customHeight="1" x14ac:dyDescent="0.3">
      <c r="A16" t="s">
        <v>32</v>
      </c>
      <c r="B16" s="3">
        <v>45717</v>
      </c>
      <c r="C16">
        <v>2183.4</v>
      </c>
    </row>
    <row r="17" spans="1:3" ht="15" customHeight="1" x14ac:dyDescent="0.3">
      <c r="A17" t="s">
        <v>32</v>
      </c>
      <c r="B17" s="3">
        <v>45748</v>
      </c>
      <c r="C17">
        <v>1873.8</v>
      </c>
    </row>
    <row r="18" spans="1:3" ht="15" customHeight="1" x14ac:dyDescent="0.3">
      <c r="A18" t="s">
        <v>32</v>
      </c>
      <c r="B18" s="3">
        <v>45778</v>
      </c>
      <c r="C18">
        <v>1822.5</v>
      </c>
    </row>
    <row r="19" spans="1:3" ht="15" customHeight="1" x14ac:dyDescent="0.3">
      <c r="A19" t="s">
        <v>32</v>
      </c>
      <c r="B19" s="3">
        <v>45809</v>
      </c>
      <c r="C19">
        <v>1629</v>
      </c>
    </row>
    <row r="20" spans="1:3" ht="15" customHeight="1" x14ac:dyDescent="0.3">
      <c r="A20" t="s">
        <v>32</v>
      </c>
      <c r="B20" s="3">
        <v>45839</v>
      </c>
      <c r="C20">
        <v>1814.4</v>
      </c>
    </row>
    <row r="21" spans="1:3" ht="15" customHeight="1" x14ac:dyDescent="0.3">
      <c r="A21" t="s">
        <v>32</v>
      </c>
      <c r="B21" s="3">
        <v>45870</v>
      </c>
      <c r="C21">
        <v>2116.8000000000002</v>
      </c>
    </row>
    <row r="22" spans="1:3" ht="15" customHeight="1" x14ac:dyDescent="0.3">
      <c r="A22" t="s">
        <v>32</v>
      </c>
      <c r="B22" s="3">
        <v>45901</v>
      </c>
      <c r="C22">
        <v>2275.1999999999998</v>
      </c>
    </row>
    <row r="23" spans="1:3" ht="15" customHeight="1" x14ac:dyDescent="0.3">
      <c r="A23" t="s">
        <v>32</v>
      </c>
      <c r="B23" s="3">
        <v>45931</v>
      </c>
      <c r="C23">
        <v>2407.5</v>
      </c>
    </row>
    <row r="24" spans="1:3" ht="15" customHeight="1" x14ac:dyDescent="0.3">
      <c r="A24" t="s">
        <v>32</v>
      </c>
      <c r="B24" s="3">
        <v>45962</v>
      </c>
      <c r="C24">
        <v>2356.1999999999998</v>
      </c>
    </row>
    <row r="25" spans="1:3" ht="15" customHeight="1" x14ac:dyDescent="0.3">
      <c r="A25" t="s">
        <v>32</v>
      </c>
      <c r="B25" s="3">
        <v>45992</v>
      </c>
      <c r="C25">
        <v>2482.1999999999998</v>
      </c>
    </row>
    <row r="26" spans="1:3" ht="15" customHeight="1" x14ac:dyDescent="0.3">
      <c r="A26" t="s">
        <v>32</v>
      </c>
      <c r="B26" s="3">
        <v>46023</v>
      </c>
      <c r="C26">
        <v>2370.6</v>
      </c>
    </row>
    <row r="27" spans="1:3" ht="15" customHeight="1" x14ac:dyDescent="0.3">
      <c r="A27" t="s">
        <v>32</v>
      </c>
      <c r="B27" s="3">
        <v>46054</v>
      </c>
      <c r="C27">
        <v>2680.2</v>
      </c>
    </row>
    <row r="28" spans="1:3" ht="15" customHeight="1" x14ac:dyDescent="0.3">
      <c r="A28" t="s">
        <v>32</v>
      </c>
      <c r="B28" s="3">
        <v>46082</v>
      </c>
      <c r="C28">
        <v>2183.4</v>
      </c>
    </row>
    <row r="29" spans="1:3" ht="15" customHeight="1" x14ac:dyDescent="0.3">
      <c r="A29" t="s">
        <v>32</v>
      </c>
      <c r="B29" s="3">
        <v>46113</v>
      </c>
      <c r="C29">
        <v>1873.8</v>
      </c>
    </row>
    <row r="30" spans="1:3" ht="15" customHeight="1" x14ac:dyDescent="0.3">
      <c r="A30" t="s">
        <v>32</v>
      </c>
      <c r="B30" s="3">
        <v>46143</v>
      </c>
      <c r="C30">
        <v>1822.5</v>
      </c>
    </row>
    <row r="31" spans="1:3" ht="15" customHeight="1" x14ac:dyDescent="0.3">
      <c r="A31" t="s">
        <v>32</v>
      </c>
      <c r="B31" s="3">
        <v>46174</v>
      </c>
      <c r="C31">
        <v>1629</v>
      </c>
    </row>
    <row r="32" spans="1:3" ht="15" customHeight="1" x14ac:dyDescent="0.3">
      <c r="A32" t="s">
        <v>32</v>
      </c>
      <c r="B32" s="3">
        <v>46204</v>
      </c>
      <c r="C32">
        <v>1814.4</v>
      </c>
    </row>
    <row r="33" spans="1:3" ht="15" customHeight="1" x14ac:dyDescent="0.3">
      <c r="A33" t="s">
        <v>32</v>
      </c>
      <c r="B33" s="3">
        <v>46235</v>
      </c>
      <c r="C33">
        <v>2116.8000000000002</v>
      </c>
    </row>
    <row r="34" spans="1:3" ht="15" customHeight="1" x14ac:dyDescent="0.3">
      <c r="A34" t="s">
        <v>32</v>
      </c>
      <c r="B34" s="3">
        <v>46266</v>
      </c>
      <c r="C34">
        <v>2275.1999999999998</v>
      </c>
    </row>
    <row r="35" spans="1:3" ht="15" customHeight="1" x14ac:dyDescent="0.3">
      <c r="A35" t="s">
        <v>32</v>
      </c>
      <c r="B35" s="3">
        <v>46296</v>
      </c>
      <c r="C35">
        <v>2407.5</v>
      </c>
    </row>
    <row r="36" spans="1:3" ht="15" customHeight="1" x14ac:dyDescent="0.3">
      <c r="A36" t="s">
        <v>32</v>
      </c>
      <c r="B36" s="3">
        <v>46327</v>
      </c>
      <c r="C36">
        <v>2356.1999999999998</v>
      </c>
    </row>
    <row r="37" spans="1:3" ht="15" customHeight="1" x14ac:dyDescent="0.3">
      <c r="A37" t="s">
        <v>32</v>
      </c>
      <c r="B37" s="3">
        <v>46357</v>
      </c>
      <c r="C37">
        <v>2482.1999999999998</v>
      </c>
    </row>
    <row r="38" spans="1:3" ht="15" customHeight="1" x14ac:dyDescent="0.3">
      <c r="A38" t="s">
        <v>45</v>
      </c>
      <c r="B38" s="3">
        <v>45292</v>
      </c>
      <c r="C38">
        <v>22515.904999999999</v>
      </c>
    </row>
    <row r="39" spans="1:3" ht="15" customHeight="1" x14ac:dyDescent="0.3">
      <c r="A39" t="s">
        <v>45</v>
      </c>
      <c r="B39" s="3">
        <v>45323</v>
      </c>
      <c r="C39">
        <v>19786.13</v>
      </c>
    </row>
    <row r="40" spans="1:3" ht="15" customHeight="1" x14ac:dyDescent="0.3">
      <c r="A40" t="s">
        <v>45</v>
      </c>
      <c r="B40" s="3">
        <v>45352</v>
      </c>
      <c r="C40">
        <v>20148.400000000001</v>
      </c>
    </row>
    <row r="41" spans="1:3" ht="15" customHeight="1" x14ac:dyDescent="0.3">
      <c r="A41" t="s">
        <v>45</v>
      </c>
      <c r="B41" s="3">
        <v>45383</v>
      </c>
      <c r="C41">
        <v>16764.89</v>
      </c>
    </row>
    <row r="42" spans="1:3" ht="15" customHeight="1" x14ac:dyDescent="0.3">
      <c r="A42" t="s">
        <v>45</v>
      </c>
      <c r="B42" s="3">
        <v>45413</v>
      </c>
      <c r="C42">
        <v>15972.094999999999</v>
      </c>
    </row>
    <row r="43" spans="1:3" ht="15" customHeight="1" x14ac:dyDescent="0.3">
      <c r="A43" t="s">
        <v>45</v>
      </c>
      <c r="B43" s="3">
        <v>45444</v>
      </c>
      <c r="C43">
        <v>14367.21</v>
      </c>
    </row>
    <row r="44" spans="1:3" ht="15" customHeight="1" x14ac:dyDescent="0.3">
      <c r="A44" t="s">
        <v>45</v>
      </c>
      <c r="B44" s="3">
        <v>45474</v>
      </c>
      <c r="C44">
        <v>15907.665000000001</v>
      </c>
    </row>
    <row r="45" spans="1:3" ht="15" customHeight="1" x14ac:dyDescent="0.3">
      <c r="A45" t="s">
        <v>45</v>
      </c>
      <c r="B45" s="3">
        <v>45505</v>
      </c>
      <c r="C45">
        <v>18527.365000000002</v>
      </c>
    </row>
    <row r="46" spans="1:3" ht="15" customHeight="1" x14ac:dyDescent="0.3">
      <c r="A46" t="s">
        <v>45</v>
      </c>
      <c r="B46" s="3">
        <v>45536</v>
      </c>
      <c r="C46">
        <v>20404.334999999999</v>
      </c>
    </row>
    <row r="47" spans="1:3" ht="15" customHeight="1" x14ac:dyDescent="0.3">
      <c r="A47" t="s">
        <v>45</v>
      </c>
      <c r="B47" s="3">
        <v>45566</v>
      </c>
      <c r="C47">
        <v>22320.66</v>
      </c>
    </row>
    <row r="48" spans="1:3" ht="15" customHeight="1" x14ac:dyDescent="0.3">
      <c r="A48" t="s">
        <v>45</v>
      </c>
      <c r="B48" s="3">
        <v>45597</v>
      </c>
      <c r="C48">
        <v>22520.665000000001</v>
      </c>
    </row>
    <row r="49" spans="1:3" ht="15" customHeight="1" x14ac:dyDescent="0.3">
      <c r="A49" t="s">
        <v>45</v>
      </c>
      <c r="B49" s="3">
        <v>45627</v>
      </c>
      <c r="C49">
        <v>23777.985000000001</v>
      </c>
    </row>
    <row r="50" spans="1:3" ht="15" customHeight="1" x14ac:dyDescent="0.3">
      <c r="A50" t="s">
        <v>45</v>
      </c>
      <c r="B50" s="3">
        <v>45658</v>
      </c>
      <c r="C50">
        <v>22515.904999999999</v>
      </c>
    </row>
    <row r="51" spans="1:3" ht="15" customHeight="1" x14ac:dyDescent="0.3">
      <c r="A51" t="s">
        <v>45</v>
      </c>
      <c r="B51" s="3">
        <v>45689</v>
      </c>
      <c r="C51">
        <v>19786.13</v>
      </c>
    </row>
    <row r="52" spans="1:3" ht="15" customHeight="1" x14ac:dyDescent="0.3">
      <c r="A52" t="s">
        <v>45</v>
      </c>
      <c r="B52" s="3">
        <v>45717</v>
      </c>
      <c r="C52">
        <v>20148.400000000001</v>
      </c>
    </row>
    <row r="53" spans="1:3" ht="15" customHeight="1" x14ac:dyDescent="0.3">
      <c r="A53" t="s">
        <v>45</v>
      </c>
      <c r="B53" s="3">
        <v>45748</v>
      </c>
      <c r="C53">
        <v>16764.89</v>
      </c>
    </row>
    <row r="54" spans="1:3" ht="15" customHeight="1" x14ac:dyDescent="0.3">
      <c r="A54" t="s">
        <v>45</v>
      </c>
      <c r="B54" s="3">
        <v>45778</v>
      </c>
      <c r="C54">
        <v>15972.094999999999</v>
      </c>
    </row>
    <row r="55" spans="1:3" ht="15" customHeight="1" x14ac:dyDescent="0.3">
      <c r="A55" t="s">
        <v>45</v>
      </c>
      <c r="B55" s="3">
        <v>45809</v>
      </c>
      <c r="C55">
        <v>14367.21</v>
      </c>
    </row>
    <row r="56" spans="1:3" ht="15" customHeight="1" x14ac:dyDescent="0.3">
      <c r="A56" t="s">
        <v>45</v>
      </c>
      <c r="B56" s="3">
        <v>45839</v>
      </c>
      <c r="C56">
        <v>15907.665000000001</v>
      </c>
    </row>
    <row r="57" spans="1:3" ht="15" customHeight="1" x14ac:dyDescent="0.3">
      <c r="A57" t="s">
        <v>45</v>
      </c>
      <c r="B57" s="3">
        <v>45870</v>
      </c>
      <c r="C57">
        <v>18527.365000000002</v>
      </c>
    </row>
    <row r="58" spans="1:3" ht="15" customHeight="1" x14ac:dyDescent="0.3">
      <c r="A58" t="s">
        <v>45</v>
      </c>
      <c r="B58" s="3">
        <v>45901</v>
      </c>
      <c r="C58">
        <v>20404.334999999999</v>
      </c>
    </row>
    <row r="59" spans="1:3" ht="15" customHeight="1" x14ac:dyDescent="0.3">
      <c r="A59" t="s">
        <v>45</v>
      </c>
      <c r="B59" s="3">
        <v>45931</v>
      </c>
      <c r="C59">
        <v>22320.66</v>
      </c>
    </row>
    <row r="60" spans="1:3" ht="15" customHeight="1" x14ac:dyDescent="0.3">
      <c r="A60" t="s">
        <v>45</v>
      </c>
      <c r="B60" s="3">
        <v>45962</v>
      </c>
      <c r="C60">
        <v>22520.665000000001</v>
      </c>
    </row>
    <row r="61" spans="1:3" ht="15" customHeight="1" x14ac:dyDescent="0.3">
      <c r="A61" t="s">
        <v>45</v>
      </c>
      <c r="B61" s="3">
        <v>45992</v>
      </c>
      <c r="C61">
        <v>23777.985000000001</v>
      </c>
    </row>
    <row r="62" spans="1:3" ht="15" customHeight="1" x14ac:dyDescent="0.3">
      <c r="A62" t="s">
        <v>45</v>
      </c>
      <c r="B62" s="3">
        <v>46023</v>
      </c>
      <c r="C62">
        <v>22515.904999999999</v>
      </c>
    </row>
    <row r="63" spans="1:3" ht="15" customHeight="1" x14ac:dyDescent="0.3">
      <c r="A63" t="s">
        <v>45</v>
      </c>
      <c r="B63" s="3">
        <v>46054</v>
      </c>
      <c r="C63">
        <v>19786.13</v>
      </c>
    </row>
    <row r="64" spans="1:3" ht="15" customHeight="1" x14ac:dyDescent="0.3">
      <c r="A64" t="s">
        <v>45</v>
      </c>
      <c r="B64" s="3">
        <v>46082</v>
      </c>
      <c r="C64">
        <v>20148.400000000001</v>
      </c>
    </row>
    <row r="65" spans="1:3" ht="15" customHeight="1" x14ac:dyDescent="0.3">
      <c r="A65" t="s">
        <v>45</v>
      </c>
      <c r="B65" s="3">
        <v>46113</v>
      </c>
      <c r="C65">
        <v>16764.89</v>
      </c>
    </row>
    <row r="66" spans="1:3" ht="15" customHeight="1" x14ac:dyDescent="0.3">
      <c r="A66" t="s">
        <v>45</v>
      </c>
      <c r="B66" s="3">
        <v>46143</v>
      </c>
      <c r="C66">
        <v>15972.094999999999</v>
      </c>
    </row>
    <row r="67" spans="1:3" ht="15" customHeight="1" x14ac:dyDescent="0.3">
      <c r="A67" t="s">
        <v>45</v>
      </c>
      <c r="B67" s="3">
        <v>46174</v>
      </c>
      <c r="C67">
        <v>14367.21</v>
      </c>
    </row>
    <row r="68" spans="1:3" ht="15" customHeight="1" x14ac:dyDescent="0.3">
      <c r="A68" t="s">
        <v>45</v>
      </c>
      <c r="B68" s="3">
        <v>46204</v>
      </c>
      <c r="C68">
        <v>15907.665000000001</v>
      </c>
    </row>
    <row r="69" spans="1:3" ht="15" customHeight="1" x14ac:dyDescent="0.3">
      <c r="A69" t="s">
        <v>45</v>
      </c>
      <c r="B69" s="3">
        <v>46235</v>
      </c>
      <c r="C69">
        <v>18527.365000000002</v>
      </c>
    </row>
    <row r="70" spans="1:3" ht="15" customHeight="1" x14ac:dyDescent="0.3">
      <c r="A70" t="s">
        <v>45</v>
      </c>
      <c r="B70" s="3">
        <v>46266</v>
      </c>
      <c r="C70">
        <v>20404.334999999999</v>
      </c>
    </row>
    <row r="71" spans="1:3" ht="15" customHeight="1" x14ac:dyDescent="0.3">
      <c r="A71" t="s">
        <v>45</v>
      </c>
      <c r="B71" s="3">
        <v>46296</v>
      </c>
      <c r="C71">
        <v>22320.66</v>
      </c>
    </row>
    <row r="72" spans="1:3" ht="15" customHeight="1" x14ac:dyDescent="0.3">
      <c r="A72" t="s">
        <v>45</v>
      </c>
      <c r="B72" s="3">
        <v>46327</v>
      </c>
      <c r="C72">
        <v>22520.665000000001</v>
      </c>
    </row>
    <row r="73" spans="1:3" ht="15" customHeight="1" x14ac:dyDescent="0.3">
      <c r="A73" t="s">
        <v>45</v>
      </c>
      <c r="B73" s="3">
        <v>46357</v>
      </c>
      <c r="C73">
        <v>23777.985000000001</v>
      </c>
    </row>
    <row r="74" spans="1:3" ht="15" customHeight="1" x14ac:dyDescent="0.3">
      <c r="A74" t="s">
        <v>51</v>
      </c>
      <c r="B74" s="3">
        <v>45292</v>
      </c>
      <c r="C74">
        <v>4801.5</v>
      </c>
    </row>
    <row r="75" spans="1:3" ht="15" customHeight="1" x14ac:dyDescent="0.3">
      <c r="A75" t="s">
        <v>51</v>
      </c>
      <c r="B75" s="3">
        <v>45323</v>
      </c>
      <c r="C75">
        <v>4303.8</v>
      </c>
    </row>
    <row r="76" spans="1:3" ht="15" customHeight="1" x14ac:dyDescent="0.3">
      <c r="A76" t="s">
        <v>51</v>
      </c>
      <c r="B76" s="3">
        <v>45352</v>
      </c>
      <c r="C76">
        <v>4545.8999999999996</v>
      </c>
    </row>
    <row r="77" spans="1:3" ht="15" customHeight="1" x14ac:dyDescent="0.3">
      <c r="A77" t="s">
        <v>51</v>
      </c>
      <c r="B77" s="3">
        <v>45383</v>
      </c>
      <c r="C77">
        <v>4619.7</v>
      </c>
    </row>
    <row r="78" spans="1:3" ht="15" customHeight="1" x14ac:dyDescent="0.3">
      <c r="A78" t="s">
        <v>51</v>
      </c>
      <c r="B78" s="3">
        <v>45413</v>
      </c>
      <c r="C78">
        <v>4990.5</v>
      </c>
    </row>
    <row r="79" spans="1:3" ht="15" customHeight="1" x14ac:dyDescent="0.3">
      <c r="A79" t="s">
        <v>51</v>
      </c>
      <c r="B79" s="3">
        <v>45444</v>
      </c>
      <c r="C79">
        <v>4761.8999999999996</v>
      </c>
    </row>
    <row r="80" spans="1:3" ht="15" customHeight="1" x14ac:dyDescent="0.3">
      <c r="A80" t="s">
        <v>51</v>
      </c>
      <c r="B80" s="3">
        <v>45474</v>
      </c>
      <c r="C80">
        <v>4680.8999999999996</v>
      </c>
    </row>
    <row r="81" spans="1:3" ht="15" customHeight="1" x14ac:dyDescent="0.3">
      <c r="A81" t="s">
        <v>51</v>
      </c>
      <c r="B81" s="3">
        <v>45505</v>
      </c>
      <c r="C81">
        <v>5249.7</v>
      </c>
    </row>
    <row r="82" spans="1:3" ht="15" customHeight="1" x14ac:dyDescent="0.3">
      <c r="A82" t="s">
        <v>51</v>
      </c>
      <c r="B82" s="3">
        <v>45536</v>
      </c>
      <c r="C82">
        <v>4694.3999999999996</v>
      </c>
    </row>
    <row r="83" spans="1:3" ht="15" customHeight="1" x14ac:dyDescent="0.3">
      <c r="A83" t="s">
        <v>51</v>
      </c>
      <c r="B83" s="3">
        <v>45566</v>
      </c>
      <c r="C83">
        <v>4732.2</v>
      </c>
    </row>
    <row r="84" spans="1:3" ht="15" customHeight="1" x14ac:dyDescent="0.3">
      <c r="A84" t="s">
        <v>51</v>
      </c>
      <c r="B84" s="3">
        <v>45597</v>
      </c>
      <c r="C84">
        <v>4822.2</v>
      </c>
    </row>
    <row r="85" spans="1:3" ht="15" customHeight="1" x14ac:dyDescent="0.3">
      <c r="A85" t="s">
        <v>51</v>
      </c>
      <c r="B85" s="3">
        <v>45627</v>
      </c>
      <c r="C85">
        <v>4805.1000000000004</v>
      </c>
    </row>
    <row r="86" spans="1:3" ht="15" customHeight="1" x14ac:dyDescent="0.3">
      <c r="A86" t="s">
        <v>51</v>
      </c>
      <c r="B86" s="3">
        <v>45658</v>
      </c>
      <c r="C86">
        <v>4801.5</v>
      </c>
    </row>
    <row r="87" spans="1:3" ht="15" customHeight="1" x14ac:dyDescent="0.3">
      <c r="A87" t="s">
        <v>51</v>
      </c>
      <c r="B87" s="3">
        <v>45689</v>
      </c>
      <c r="C87">
        <v>4303.8</v>
      </c>
    </row>
    <row r="88" spans="1:3" ht="15" customHeight="1" x14ac:dyDescent="0.3">
      <c r="A88" t="s">
        <v>51</v>
      </c>
      <c r="B88" s="3">
        <v>45717</v>
      </c>
      <c r="C88">
        <v>4545.8999999999996</v>
      </c>
    </row>
    <row r="89" spans="1:3" ht="15" customHeight="1" x14ac:dyDescent="0.3">
      <c r="A89" t="s">
        <v>51</v>
      </c>
      <c r="B89" s="3">
        <v>45748</v>
      </c>
      <c r="C89">
        <v>4619.7</v>
      </c>
    </row>
    <row r="90" spans="1:3" ht="15" customHeight="1" x14ac:dyDescent="0.3">
      <c r="A90" t="s">
        <v>51</v>
      </c>
      <c r="B90" s="3">
        <v>45778</v>
      </c>
      <c r="C90">
        <v>4990.5</v>
      </c>
    </row>
    <row r="91" spans="1:3" ht="15" customHeight="1" x14ac:dyDescent="0.3">
      <c r="A91" t="s">
        <v>51</v>
      </c>
      <c r="B91" s="3">
        <v>45809</v>
      </c>
      <c r="C91">
        <v>4761.8999999999996</v>
      </c>
    </row>
    <row r="92" spans="1:3" ht="15" customHeight="1" x14ac:dyDescent="0.3">
      <c r="A92" t="s">
        <v>51</v>
      </c>
      <c r="B92" s="3">
        <v>45839</v>
      </c>
      <c r="C92">
        <v>4680.8999999999996</v>
      </c>
    </row>
    <row r="93" spans="1:3" ht="15" customHeight="1" x14ac:dyDescent="0.3">
      <c r="A93" t="s">
        <v>51</v>
      </c>
      <c r="B93" s="3">
        <v>45870</v>
      </c>
      <c r="C93">
        <v>5249.7</v>
      </c>
    </row>
    <row r="94" spans="1:3" ht="15" customHeight="1" x14ac:dyDescent="0.3">
      <c r="A94" t="s">
        <v>51</v>
      </c>
      <c r="B94" s="3">
        <v>45901</v>
      </c>
      <c r="C94">
        <v>4694.3999999999996</v>
      </c>
    </row>
    <row r="95" spans="1:3" ht="15" customHeight="1" x14ac:dyDescent="0.3">
      <c r="A95" t="s">
        <v>51</v>
      </c>
      <c r="B95" s="3">
        <v>45931</v>
      </c>
      <c r="C95">
        <v>4732.2</v>
      </c>
    </row>
    <row r="96" spans="1:3" ht="15" customHeight="1" x14ac:dyDescent="0.3">
      <c r="A96" t="s">
        <v>51</v>
      </c>
      <c r="B96" s="3">
        <v>45962</v>
      </c>
      <c r="C96">
        <v>4822.2</v>
      </c>
    </row>
    <row r="97" spans="1:3" ht="15" customHeight="1" x14ac:dyDescent="0.3">
      <c r="A97" t="s">
        <v>51</v>
      </c>
      <c r="B97" s="3">
        <v>45992</v>
      </c>
      <c r="C97">
        <v>4805.1000000000004</v>
      </c>
    </row>
    <row r="98" spans="1:3" ht="15" customHeight="1" x14ac:dyDescent="0.3">
      <c r="A98" t="s">
        <v>51</v>
      </c>
      <c r="B98" s="3">
        <v>46023</v>
      </c>
      <c r="C98">
        <v>4801.5</v>
      </c>
    </row>
    <row r="99" spans="1:3" ht="15" customHeight="1" x14ac:dyDescent="0.3">
      <c r="A99" t="s">
        <v>51</v>
      </c>
      <c r="B99" s="3">
        <v>46054</v>
      </c>
      <c r="C99">
        <v>4303.8</v>
      </c>
    </row>
    <row r="100" spans="1:3" ht="15" customHeight="1" x14ac:dyDescent="0.3">
      <c r="A100" t="s">
        <v>51</v>
      </c>
      <c r="B100" s="3">
        <v>46082</v>
      </c>
      <c r="C100">
        <v>4545.8999999999996</v>
      </c>
    </row>
    <row r="101" spans="1:3" ht="15" customHeight="1" x14ac:dyDescent="0.3">
      <c r="A101" t="s">
        <v>51</v>
      </c>
      <c r="B101" s="3">
        <v>46113</v>
      </c>
      <c r="C101">
        <v>4619.7</v>
      </c>
    </row>
    <row r="102" spans="1:3" ht="15" customHeight="1" x14ac:dyDescent="0.3">
      <c r="A102" t="s">
        <v>51</v>
      </c>
      <c r="B102" s="3">
        <v>46143</v>
      </c>
      <c r="C102">
        <v>4990.5</v>
      </c>
    </row>
    <row r="103" spans="1:3" ht="15" customHeight="1" x14ac:dyDescent="0.3">
      <c r="A103" t="s">
        <v>51</v>
      </c>
      <c r="B103" s="3">
        <v>46174</v>
      </c>
      <c r="C103">
        <v>4761.8999999999996</v>
      </c>
    </row>
    <row r="104" spans="1:3" ht="15" customHeight="1" x14ac:dyDescent="0.3">
      <c r="A104" t="s">
        <v>51</v>
      </c>
      <c r="B104" s="3">
        <v>46204</v>
      </c>
      <c r="C104">
        <v>4680.8999999999996</v>
      </c>
    </row>
    <row r="105" spans="1:3" ht="15" customHeight="1" x14ac:dyDescent="0.3">
      <c r="A105" t="s">
        <v>51</v>
      </c>
      <c r="B105" s="3">
        <v>46235</v>
      </c>
      <c r="C105">
        <v>5249.7</v>
      </c>
    </row>
    <row r="106" spans="1:3" ht="15" customHeight="1" x14ac:dyDescent="0.3">
      <c r="A106" t="s">
        <v>51</v>
      </c>
      <c r="B106" s="3">
        <v>46266</v>
      </c>
      <c r="C106">
        <v>4694.3999999999996</v>
      </c>
    </row>
    <row r="107" spans="1:3" ht="15" customHeight="1" x14ac:dyDescent="0.3">
      <c r="A107" t="s">
        <v>51</v>
      </c>
      <c r="B107" s="3">
        <v>46296</v>
      </c>
      <c r="C107">
        <v>4732.2</v>
      </c>
    </row>
    <row r="108" spans="1:3" ht="15" customHeight="1" x14ac:dyDescent="0.3">
      <c r="A108" t="s">
        <v>51</v>
      </c>
      <c r="B108" s="3">
        <v>46327</v>
      </c>
      <c r="C108">
        <v>4822.2</v>
      </c>
    </row>
    <row r="109" spans="1:3" ht="15" customHeight="1" x14ac:dyDescent="0.3">
      <c r="A109" t="s">
        <v>51</v>
      </c>
      <c r="B109" s="3">
        <v>46357</v>
      </c>
      <c r="C109">
        <v>4805.1000000000004</v>
      </c>
    </row>
    <row r="110" spans="1:3" ht="15" customHeight="1" x14ac:dyDescent="0.3">
      <c r="A110" t="s">
        <v>66</v>
      </c>
      <c r="B110" s="3">
        <v>45292</v>
      </c>
      <c r="C110">
        <v>8151.3</v>
      </c>
    </row>
    <row r="111" spans="1:3" ht="15" customHeight="1" x14ac:dyDescent="0.3">
      <c r="A111" t="s">
        <v>66</v>
      </c>
      <c r="B111" s="3">
        <v>45323</v>
      </c>
      <c r="C111">
        <v>7235.1</v>
      </c>
    </row>
    <row r="112" spans="1:3" ht="15" customHeight="1" x14ac:dyDescent="0.3">
      <c r="A112" t="s">
        <v>66</v>
      </c>
      <c r="B112" s="3">
        <v>45352</v>
      </c>
      <c r="C112">
        <v>7075.8</v>
      </c>
    </row>
    <row r="113" spans="1:3" ht="15" customHeight="1" x14ac:dyDescent="0.3">
      <c r="A113" t="s">
        <v>66</v>
      </c>
      <c r="B113" s="3">
        <v>45383</v>
      </c>
      <c r="C113">
        <v>5754.6</v>
      </c>
    </row>
    <row r="114" spans="1:3" ht="15" customHeight="1" x14ac:dyDescent="0.3">
      <c r="A114" t="s">
        <v>66</v>
      </c>
      <c r="B114" s="3">
        <v>45413</v>
      </c>
      <c r="C114">
        <v>5424.3</v>
      </c>
    </row>
    <row r="115" spans="1:3" ht="15" customHeight="1" x14ac:dyDescent="0.3">
      <c r="A115" t="s">
        <v>66</v>
      </c>
      <c r="B115" s="3">
        <v>45444</v>
      </c>
      <c r="C115">
        <v>4787.1000000000004</v>
      </c>
    </row>
    <row r="116" spans="1:3" ht="15" customHeight="1" x14ac:dyDescent="0.3">
      <c r="A116" t="s">
        <v>66</v>
      </c>
      <c r="B116" s="3">
        <v>45474</v>
      </c>
      <c r="C116">
        <v>5360.4</v>
      </c>
    </row>
    <row r="117" spans="1:3" ht="15" customHeight="1" x14ac:dyDescent="0.3">
      <c r="A117" t="s">
        <v>66</v>
      </c>
      <c r="B117" s="3">
        <v>45505</v>
      </c>
      <c r="C117">
        <v>6363</v>
      </c>
    </row>
    <row r="118" spans="1:3" ht="15" customHeight="1" x14ac:dyDescent="0.3">
      <c r="A118" t="s">
        <v>66</v>
      </c>
      <c r="B118" s="3">
        <v>45536</v>
      </c>
      <c r="C118">
        <v>7218.9</v>
      </c>
    </row>
    <row r="119" spans="1:3" ht="15" customHeight="1" x14ac:dyDescent="0.3">
      <c r="A119" t="s">
        <v>66</v>
      </c>
      <c r="B119" s="3">
        <v>45566</v>
      </c>
      <c r="C119">
        <v>7839</v>
      </c>
    </row>
    <row r="120" spans="1:3" ht="15" customHeight="1" x14ac:dyDescent="0.3">
      <c r="A120" t="s">
        <v>66</v>
      </c>
      <c r="B120" s="3">
        <v>45597</v>
      </c>
      <c r="C120">
        <v>8191.8</v>
      </c>
    </row>
    <row r="121" spans="1:3" ht="15" customHeight="1" x14ac:dyDescent="0.3">
      <c r="A121" t="s">
        <v>66</v>
      </c>
      <c r="B121" s="3">
        <v>45627</v>
      </c>
      <c r="C121">
        <v>8227.7999999999993</v>
      </c>
    </row>
    <row r="122" spans="1:3" ht="15" customHeight="1" x14ac:dyDescent="0.3">
      <c r="A122" t="s">
        <v>66</v>
      </c>
      <c r="B122" s="3">
        <v>45658</v>
      </c>
      <c r="C122">
        <v>8151.3</v>
      </c>
    </row>
    <row r="123" spans="1:3" ht="15" customHeight="1" x14ac:dyDescent="0.3">
      <c r="A123" t="s">
        <v>66</v>
      </c>
      <c r="B123" s="3">
        <v>45689</v>
      </c>
      <c r="C123">
        <v>7235.1</v>
      </c>
    </row>
    <row r="124" spans="1:3" ht="15" customHeight="1" x14ac:dyDescent="0.3">
      <c r="A124" t="s">
        <v>66</v>
      </c>
      <c r="B124" s="3">
        <v>45717</v>
      </c>
      <c r="C124">
        <v>7075.8</v>
      </c>
    </row>
    <row r="125" spans="1:3" ht="15" customHeight="1" x14ac:dyDescent="0.3">
      <c r="A125" t="s">
        <v>66</v>
      </c>
      <c r="B125" s="3">
        <v>45748</v>
      </c>
      <c r="C125">
        <v>5754.6</v>
      </c>
    </row>
    <row r="126" spans="1:3" ht="15" customHeight="1" x14ac:dyDescent="0.3">
      <c r="A126" t="s">
        <v>66</v>
      </c>
      <c r="B126" s="3">
        <v>45778</v>
      </c>
      <c r="C126">
        <v>5424.3</v>
      </c>
    </row>
    <row r="127" spans="1:3" ht="15" customHeight="1" x14ac:dyDescent="0.3">
      <c r="A127" t="s">
        <v>66</v>
      </c>
      <c r="B127" s="3">
        <v>45809</v>
      </c>
      <c r="C127">
        <v>4787.1000000000004</v>
      </c>
    </row>
    <row r="128" spans="1:3" ht="15" customHeight="1" x14ac:dyDescent="0.3">
      <c r="A128" t="s">
        <v>66</v>
      </c>
      <c r="B128" s="3">
        <v>45839</v>
      </c>
      <c r="C128">
        <v>5360.4</v>
      </c>
    </row>
    <row r="129" spans="1:3" ht="15" customHeight="1" x14ac:dyDescent="0.3">
      <c r="A129" t="s">
        <v>66</v>
      </c>
      <c r="B129" s="3">
        <v>45870</v>
      </c>
      <c r="C129">
        <v>6363</v>
      </c>
    </row>
    <row r="130" spans="1:3" ht="15" customHeight="1" x14ac:dyDescent="0.3">
      <c r="A130" t="s">
        <v>66</v>
      </c>
      <c r="B130" s="3">
        <v>45901</v>
      </c>
      <c r="C130">
        <v>7218.9</v>
      </c>
    </row>
    <row r="131" spans="1:3" ht="15" customHeight="1" x14ac:dyDescent="0.3">
      <c r="A131" t="s">
        <v>66</v>
      </c>
      <c r="B131" s="3">
        <v>45931</v>
      </c>
      <c r="C131">
        <v>7839</v>
      </c>
    </row>
    <row r="132" spans="1:3" ht="15" customHeight="1" x14ac:dyDescent="0.3">
      <c r="A132" t="s">
        <v>66</v>
      </c>
      <c r="B132" s="3">
        <v>45962</v>
      </c>
      <c r="C132">
        <v>8191.8</v>
      </c>
    </row>
    <row r="133" spans="1:3" ht="15" customHeight="1" x14ac:dyDescent="0.3">
      <c r="A133" t="s">
        <v>66</v>
      </c>
      <c r="B133" s="3">
        <v>45992</v>
      </c>
      <c r="C133">
        <v>8227.7999999999993</v>
      </c>
    </row>
    <row r="134" spans="1:3" ht="15" customHeight="1" x14ac:dyDescent="0.3">
      <c r="A134" t="s">
        <v>66</v>
      </c>
      <c r="B134" s="3">
        <v>46023</v>
      </c>
      <c r="C134">
        <v>8151.3</v>
      </c>
    </row>
    <row r="135" spans="1:3" ht="15" customHeight="1" x14ac:dyDescent="0.3">
      <c r="A135" t="s">
        <v>66</v>
      </c>
      <c r="B135" s="3">
        <v>46054</v>
      </c>
      <c r="C135">
        <v>7235.1</v>
      </c>
    </row>
    <row r="136" spans="1:3" ht="15" customHeight="1" x14ac:dyDescent="0.3">
      <c r="A136" t="s">
        <v>66</v>
      </c>
      <c r="B136" s="3">
        <v>46082</v>
      </c>
      <c r="C136">
        <v>7075.8</v>
      </c>
    </row>
    <row r="137" spans="1:3" ht="15" customHeight="1" x14ac:dyDescent="0.3">
      <c r="A137" t="s">
        <v>66</v>
      </c>
      <c r="B137" s="3">
        <v>46113</v>
      </c>
      <c r="C137">
        <v>5754.6</v>
      </c>
    </row>
    <row r="138" spans="1:3" ht="15" customHeight="1" x14ac:dyDescent="0.3">
      <c r="A138" t="s">
        <v>66</v>
      </c>
      <c r="B138" s="3">
        <v>46143</v>
      </c>
      <c r="C138">
        <v>5424.3</v>
      </c>
    </row>
    <row r="139" spans="1:3" ht="15" customHeight="1" x14ac:dyDescent="0.3">
      <c r="A139" t="s">
        <v>66</v>
      </c>
      <c r="B139" s="3">
        <v>46174</v>
      </c>
      <c r="C139">
        <v>4787.1000000000004</v>
      </c>
    </row>
    <row r="140" spans="1:3" ht="15" customHeight="1" x14ac:dyDescent="0.3">
      <c r="A140" t="s">
        <v>66</v>
      </c>
      <c r="B140" s="3">
        <v>46204</v>
      </c>
      <c r="C140">
        <v>5360.4</v>
      </c>
    </row>
    <row r="141" spans="1:3" ht="15" customHeight="1" x14ac:dyDescent="0.3">
      <c r="A141" t="s">
        <v>66</v>
      </c>
      <c r="B141" s="3">
        <v>46235</v>
      </c>
      <c r="C141">
        <v>6363</v>
      </c>
    </row>
    <row r="142" spans="1:3" ht="15" customHeight="1" x14ac:dyDescent="0.3">
      <c r="A142" t="s">
        <v>66</v>
      </c>
      <c r="B142" s="3">
        <v>46266</v>
      </c>
      <c r="C142">
        <v>7218.9</v>
      </c>
    </row>
    <row r="143" spans="1:3" ht="15" customHeight="1" x14ac:dyDescent="0.3">
      <c r="A143" t="s">
        <v>66</v>
      </c>
      <c r="B143" s="3">
        <v>46296</v>
      </c>
      <c r="C143">
        <v>7839</v>
      </c>
    </row>
    <row r="144" spans="1:3" ht="15" customHeight="1" x14ac:dyDescent="0.3">
      <c r="A144" t="s">
        <v>66</v>
      </c>
      <c r="B144" s="3">
        <v>46327</v>
      </c>
      <c r="C144">
        <v>8191.8</v>
      </c>
    </row>
    <row r="145" spans="1:3" ht="15" customHeight="1" x14ac:dyDescent="0.3">
      <c r="A145" t="s">
        <v>66</v>
      </c>
      <c r="B145" s="3">
        <v>46357</v>
      </c>
      <c r="C145">
        <v>8227.7999999999993</v>
      </c>
    </row>
    <row r="146" spans="1:3" ht="15" customHeight="1" x14ac:dyDescent="0.3">
      <c r="A146" t="s">
        <v>57</v>
      </c>
      <c r="B146" s="3">
        <v>45292</v>
      </c>
      <c r="C146">
        <v>16262.2</v>
      </c>
    </row>
    <row r="147" spans="1:3" ht="15" customHeight="1" x14ac:dyDescent="0.3">
      <c r="A147" t="s">
        <v>57</v>
      </c>
      <c r="B147" s="3">
        <v>45323</v>
      </c>
      <c r="C147">
        <v>13986.75</v>
      </c>
    </row>
    <row r="148" spans="1:3" ht="15" customHeight="1" x14ac:dyDescent="0.3">
      <c r="A148" t="s">
        <v>57</v>
      </c>
      <c r="B148" s="3">
        <v>45352</v>
      </c>
      <c r="C148">
        <v>15463.2</v>
      </c>
    </row>
    <row r="149" spans="1:3" ht="15" customHeight="1" x14ac:dyDescent="0.3">
      <c r="A149" t="s">
        <v>57</v>
      </c>
      <c r="B149" s="3">
        <v>45383</v>
      </c>
      <c r="C149">
        <v>14886.05</v>
      </c>
    </row>
    <row r="150" spans="1:3" ht="15" customHeight="1" x14ac:dyDescent="0.3">
      <c r="A150" t="s">
        <v>57</v>
      </c>
      <c r="B150" s="3">
        <v>45413</v>
      </c>
      <c r="C150">
        <v>14411.75</v>
      </c>
    </row>
    <row r="151" spans="1:3" ht="15" customHeight="1" x14ac:dyDescent="0.3">
      <c r="A151" t="s">
        <v>57</v>
      </c>
      <c r="B151" s="3">
        <v>45444</v>
      </c>
      <c r="C151">
        <v>13050.05</v>
      </c>
    </row>
    <row r="152" spans="1:3" ht="15" customHeight="1" x14ac:dyDescent="0.3">
      <c r="A152" t="s">
        <v>57</v>
      </c>
      <c r="B152" s="3">
        <v>45474</v>
      </c>
      <c r="C152">
        <v>13735.15</v>
      </c>
    </row>
    <row r="153" spans="1:3" ht="15" customHeight="1" x14ac:dyDescent="0.3">
      <c r="A153" t="s">
        <v>57</v>
      </c>
      <c r="B153" s="3">
        <v>45505</v>
      </c>
      <c r="C153">
        <v>15350.15</v>
      </c>
    </row>
    <row r="154" spans="1:3" ht="15" customHeight="1" x14ac:dyDescent="0.3">
      <c r="A154" t="s">
        <v>57</v>
      </c>
      <c r="B154" s="3">
        <v>45536</v>
      </c>
      <c r="C154">
        <v>15431.75</v>
      </c>
    </row>
    <row r="155" spans="1:3" ht="15" customHeight="1" x14ac:dyDescent="0.3">
      <c r="A155" t="s">
        <v>57</v>
      </c>
      <c r="B155" s="3">
        <v>45566</v>
      </c>
      <c r="C155">
        <v>14821.45</v>
      </c>
    </row>
    <row r="156" spans="1:3" ht="15" customHeight="1" x14ac:dyDescent="0.3">
      <c r="A156" t="s">
        <v>57</v>
      </c>
      <c r="B156" s="3">
        <v>45597</v>
      </c>
      <c r="C156">
        <v>14695.65</v>
      </c>
    </row>
    <row r="157" spans="1:3" ht="15" customHeight="1" x14ac:dyDescent="0.3">
      <c r="A157" t="s">
        <v>57</v>
      </c>
      <c r="B157" s="3">
        <v>45627</v>
      </c>
      <c r="C157">
        <v>16154.25</v>
      </c>
    </row>
    <row r="158" spans="1:3" ht="15" customHeight="1" x14ac:dyDescent="0.3">
      <c r="A158" t="s">
        <v>57</v>
      </c>
      <c r="B158" s="3">
        <v>45658</v>
      </c>
      <c r="C158">
        <v>16262.2</v>
      </c>
    </row>
    <row r="159" spans="1:3" ht="15" customHeight="1" x14ac:dyDescent="0.3">
      <c r="A159" t="s">
        <v>57</v>
      </c>
      <c r="B159" s="3">
        <v>45689</v>
      </c>
      <c r="C159">
        <v>13986.75</v>
      </c>
    </row>
    <row r="160" spans="1:3" ht="15" customHeight="1" x14ac:dyDescent="0.3">
      <c r="A160" t="s">
        <v>57</v>
      </c>
      <c r="B160" s="3">
        <v>45717</v>
      </c>
      <c r="C160">
        <v>15463.2</v>
      </c>
    </row>
    <row r="161" spans="1:3" ht="15" customHeight="1" x14ac:dyDescent="0.3">
      <c r="A161" t="s">
        <v>57</v>
      </c>
      <c r="B161" s="3">
        <v>45748</v>
      </c>
      <c r="C161">
        <v>14886.05</v>
      </c>
    </row>
    <row r="162" spans="1:3" ht="15" customHeight="1" x14ac:dyDescent="0.3">
      <c r="A162" t="s">
        <v>57</v>
      </c>
      <c r="B162" s="3">
        <v>45778</v>
      </c>
      <c r="C162">
        <v>14411.75</v>
      </c>
    </row>
    <row r="163" spans="1:3" ht="15" customHeight="1" x14ac:dyDescent="0.3">
      <c r="A163" t="s">
        <v>57</v>
      </c>
      <c r="B163" s="3">
        <v>45809</v>
      </c>
      <c r="C163">
        <v>13050.05</v>
      </c>
    </row>
    <row r="164" spans="1:3" ht="15" customHeight="1" x14ac:dyDescent="0.3">
      <c r="A164" t="s">
        <v>57</v>
      </c>
      <c r="B164" s="3">
        <v>45839</v>
      </c>
      <c r="C164">
        <v>13735.15</v>
      </c>
    </row>
    <row r="165" spans="1:3" ht="15" customHeight="1" x14ac:dyDescent="0.3">
      <c r="A165" t="s">
        <v>57</v>
      </c>
      <c r="B165" s="3">
        <v>45870</v>
      </c>
      <c r="C165">
        <v>15350.15</v>
      </c>
    </row>
    <row r="166" spans="1:3" ht="15" customHeight="1" x14ac:dyDescent="0.3">
      <c r="A166" t="s">
        <v>57</v>
      </c>
      <c r="B166" s="3">
        <v>45901</v>
      </c>
      <c r="C166">
        <v>15431.75</v>
      </c>
    </row>
    <row r="167" spans="1:3" ht="15" customHeight="1" x14ac:dyDescent="0.3">
      <c r="A167" t="s">
        <v>57</v>
      </c>
      <c r="B167" s="3">
        <v>45931</v>
      </c>
      <c r="C167">
        <v>14821.45</v>
      </c>
    </row>
    <row r="168" spans="1:3" ht="15" customHeight="1" x14ac:dyDescent="0.3">
      <c r="A168" t="s">
        <v>57</v>
      </c>
      <c r="B168" s="3">
        <v>45962</v>
      </c>
      <c r="C168">
        <v>14695.65</v>
      </c>
    </row>
    <row r="169" spans="1:3" ht="15" customHeight="1" x14ac:dyDescent="0.3">
      <c r="A169" t="s">
        <v>57</v>
      </c>
      <c r="B169" s="3">
        <v>45992</v>
      </c>
      <c r="C169">
        <v>16154.25</v>
      </c>
    </row>
    <row r="170" spans="1:3" ht="15" customHeight="1" x14ac:dyDescent="0.3">
      <c r="A170" t="s">
        <v>57</v>
      </c>
      <c r="B170" s="3">
        <v>46023</v>
      </c>
      <c r="C170">
        <v>16262.2</v>
      </c>
    </row>
    <row r="171" spans="1:3" ht="15" customHeight="1" x14ac:dyDescent="0.3">
      <c r="A171" t="s">
        <v>57</v>
      </c>
      <c r="B171" s="3">
        <v>46054</v>
      </c>
      <c r="C171">
        <v>13986.75</v>
      </c>
    </row>
    <row r="172" spans="1:3" ht="15" customHeight="1" x14ac:dyDescent="0.3">
      <c r="A172" t="s">
        <v>57</v>
      </c>
      <c r="B172" s="3">
        <v>46082</v>
      </c>
      <c r="C172">
        <v>15463.2</v>
      </c>
    </row>
    <row r="173" spans="1:3" ht="15" customHeight="1" x14ac:dyDescent="0.3">
      <c r="A173" t="s">
        <v>57</v>
      </c>
      <c r="B173" s="3">
        <v>46113</v>
      </c>
      <c r="C173">
        <v>14886.05</v>
      </c>
    </row>
    <row r="174" spans="1:3" ht="15" customHeight="1" x14ac:dyDescent="0.3">
      <c r="A174" t="s">
        <v>57</v>
      </c>
      <c r="B174" s="3">
        <v>46143</v>
      </c>
      <c r="C174">
        <v>14411.75</v>
      </c>
    </row>
    <row r="175" spans="1:3" ht="15" customHeight="1" x14ac:dyDescent="0.3">
      <c r="A175" t="s">
        <v>57</v>
      </c>
      <c r="B175" s="3">
        <v>46174</v>
      </c>
      <c r="C175">
        <v>13050.05</v>
      </c>
    </row>
    <row r="176" spans="1:3" ht="15" customHeight="1" x14ac:dyDescent="0.3">
      <c r="A176" t="s">
        <v>57</v>
      </c>
      <c r="B176" s="3">
        <v>46204</v>
      </c>
      <c r="C176">
        <v>13735.15</v>
      </c>
    </row>
    <row r="177" spans="1:3" ht="15" customHeight="1" x14ac:dyDescent="0.3">
      <c r="A177" t="s">
        <v>57</v>
      </c>
      <c r="B177" s="3">
        <v>46235</v>
      </c>
      <c r="C177">
        <v>15350.15</v>
      </c>
    </row>
    <row r="178" spans="1:3" ht="15" customHeight="1" x14ac:dyDescent="0.3">
      <c r="A178" t="s">
        <v>57</v>
      </c>
      <c r="B178" s="3">
        <v>46266</v>
      </c>
      <c r="C178">
        <v>15431.75</v>
      </c>
    </row>
    <row r="179" spans="1:3" ht="15" customHeight="1" x14ac:dyDescent="0.3">
      <c r="A179" t="s">
        <v>57</v>
      </c>
      <c r="B179" s="3">
        <v>46296</v>
      </c>
      <c r="C179">
        <v>14821.45</v>
      </c>
    </row>
    <row r="180" spans="1:3" ht="15" customHeight="1" x14ac:dyDescent="0.3">
      <c r="A180" t="s">
        <v>57</v>
      </c>
      <c r="B180" s="3">
        <v>46327</v>
      </c>
      <c r="C180">
        <v>14695.65</v>
      </c>
    </row>
    <row r="181" spans="1:3" ht="15" customHeight="1" x14ac:dyDescent="0.3">
      <c r="A181" t="s">
        <v>57</v>
      </c>
      <c r="B181" s="3">
        <v>46357</v>
      </c>
      <c r="C181">
        <v>16154.25</v>
      </c>
    </row>
    <row r="182" spans="1:3" ht="15" customHeight="1" x14ac:dyDescent="0.3">
      <c r="A182" t="s">
        <v>62</v>
      </c>
      <c r="B182" s="3">
        <v>45292</v>
      </c>
      <c r="C182">
        <v>51314.734709999997</v>
      </c>
    </row>
    <row r="183" spans="1:3" ht="15" customHeight="1" x14ac:dyDescent="0.3">
      <c r="A183" t="s">
        <v>62</v>
      </c>
      <c r="B183" s="3">
        <v>45323</v>
      </c>
      <c r="C183">
        <v>44103.290670000002</v>
      </c>
    </row>
    <row r="184" spans="1:3" ht="15" customHeight="1" x14ac:dyDescent="0.3">
      <c r="A184" t="s">
        <v>62</v>
      </c>
      <c r="B184" s="3">
        <v>45352</v>
      </c>
      <c r="C184">
        <v>48739.270049999999</v>
      </c>
    </row>
    <row r="185" spans="1:3" ht="15" customHeight="1" x14ac:dyDescent="0.3">
      <c r="A185" t="s">
        <v>62</v>
      </c>
      <c r="B185" s="3">
        <v>45383</v>
      </c>
      <c r="C185">
        <v>46849.898880000001</v>
      </c>
    </row>
    <row r="186" spans="1:3" ht="15" customHeight="1" x14ac:dyDescent="0.3">
      <c r="A186" t="s">
        <v>62</v>
      </c>
      <c r="B186" s="3">
        <v>45413</v>
      </c>
      <c r="C186">
        <v>45273.233339999999</v>
      </c>
    </row>
    <row r="187" spans="1:3" ht="15" customHeight="1" x14ac:dyDescent="0.3">
      <c r="A187" t="s">
        <v>62</v>
      </c>
      <c r="B187" s="3">
        <v>45444</v>
      </c>
      <c r="C187">
        <v>40943.971799999999</v>
      </c>
    </row>
    <row r="188" spans="1:3" ht="15" customHeight="1" x14ac:dyDescent="0.3">
      <c r="A188" t="s">
        <v>62</v>
      </c>
      <c r="B188" s="3">
        <v>45474</v>
      </c>
      <c r="C188">
        <v>43112.802960000001</v>
      </c>
    </row>
    <row r="189" spans="1:3" ht="15" customHeight="1" x14ac:dyDescent="0.3">
      <c r="A189" t="s">
        <v>62</v>
      </c>
      <c r="B189" s="3">
        <v>45505</v>
      </c>
      <c r="C189">
        <v>48266.50275</v>
      </c>
    </row>
    <row r="190" spans="1:3" ht="15" customHeight="1" x14ac:dyDescent="0.3">
      <c r="A190" t="s">
        <v>62</v>
      </c>
      <c r="B190" s="3">
        <v>45536</v>
      </c>
      <c r="C190">
        <v>48602.891430000003</v>
      </c>
    </row>
    <row r="191" spans="1:3" ht="15" customHeight="1" x14ac:dyDescent="0.3">
      <c r="A191" t="s">
        <v>62</v>
      </c>
      <c r="B191" s="3">
        <v>45566</v>
      </c>
      <c r="C191">
        <v>46748.910779999998</v>
      </c>
    </row>
    <row r="192" spans="1:3" ht="15" customHeight="1" x14ac:dyDescent="0.3">
      <c r="A192" t="s">
        <v>62</v>
      </c>
      <c r="B192" s="3">
        <v>45597</v>
      </c>
      <c r="C192">
        <v>46388.481570000004</v>
      </c>
    </row>
    <row r="193" spans="1:3" ht="15" customHeight="1" x14ac:dyDescent="0.3">
      <c r="A193" t="s">
        <v>62</v>
      </c>
      <c r="B193" s="3">
        <v>45627</v>
      </c>
      <c r="C193">
        <v>50640.311422710001</v>
      </c>
    </row>
    <row r="194" spans="1:3" ht="15" customHeight="1" x14ac:dyDescent="0.3">
      <c r="A194" t="s">
        <v>62</v>
      </c>
      <c r="B194" s="3">
        <v>45658</v>
      </c>
      <c r="C194">
        <v>51314.734709999997</v>
      </c>
    </row>
    <row r="195" spans="1:3" ht="15" customHeight="1" x14ac:dyDescent="0.3">
      <c r="A195" t="s">
        <v>62</v>
      </c>
      <c r="B195" s="3">
        <v>45689</v>
      </c>
      <c r="C195">
        <v>44103.290670000002</v>
      </c>
    </row>
    <row r="196" spans="1:3" ht="15" customHeight="1" x14ac:dyDescent="0.3">
      <c r="A196" t="s">
        <v>62</v>
      </c>
      <c r="B196" s="3">
        <v>45717</v>
      </c>
      <c r="C196">
        <v>48739.270049999999</v>
      </c>
    </row>
    <row r="197" spans="1:3" ht="15" customHeight="1" x14ac:dyDescent="0.3">
      <c r="A197" t="s">
        <v>62</v>
      </c>
      <c r="B197" s="3">
        <v>45748</v>
      </c>
      <c r="C197">
        <v>46849.898880000001</v>
      </c>
    </row>
    <row r="198" spans="1:3" ht="15" customHeight="1" x14ac:dyDescent="0.3">
      <c r="A198" t="s">
        <v>62</v>
      </c>
      <c r="B198" s="3">
        <v>45778</v>
      </c>
      <c r="C198">
        <v>45273.233339999999</v>
      </c>
    </row>
    <row r="199" spans="1:3" ht="15" customHeight="1" x14ac:dyDescent="0.3">
      <c r="A199" t="s">
        <v>62</v>
      </c>
      <c r="B199" s="3">
        <v>45809</v>
      </c>
      <c r="C199">
        <v>40943.971799999999</v>
      </c>
    </row>
    <row r="200" spans="1:3" ht="15" customHeight="1" x14ac:dyDescent="0.3">
      <c r="A200" t="s">
        <v>62</v>
      </c>
      <c r="B200" s="3">
        <v>45839</v>
      </c>
      <c r="C200">
        <v>43112.802960000001</v>
      </c>
    </row>
    <row r="201" spans="1:3" ht="15" customHeight="1" x14ac:dyDescent="0.3">
      <c r="A201" t="s">
        <v>62</v>
      </c>
      <c r="B201" s="3">
        <v>45870</v>
      </c>
      <c r="C201">
        <v>48266.50275</v>
      </c>
    </row>
    <row r="202" spans="1:3" ht="15" customHeight="1" x14ac:dyDescent="0.3">
      <c r="A202" t="s">
        <v>62</v>
      </c>
      <c r="B202" s="3">
        <v>45901</v>
      </c>
      <c r="C202">
        <v>48602.891430000003</v>
      </c>
    </row>
    <row r="203" spans="1:3" ht="15" customHeight="1" x14ac:dyDescent="0.3">
      <c r="A203" t="s">
        <v>62</v>
      </c>
      <c r="B203" s="3">
        <v>45931</v>
      </c>
      <c r="C203">
        <v>46748.910779999998</v>
      </c>
    </row>
    <row r="204" spans="1:3" ht="15" customHeight="1" x14ac:dyDescent="0.3">
      <c r="A204" t="s">
        <v>62</v>
      </c>
      <c r="B204" s="3">
        <v>45962</v>
      </c>
      <c r="C204">
        <v>46388.481570000004</v>
      </c>
    </row>
    <row r="205" spans="1:3" ht="15" customHeight="1" x14ac:dyDescent="0.3">
      <c r="A205" t="s">
        <v>62</v>
      </c>
      <c r="B205" s="3">
        <v>45992</v>
      </c>
      <c r="C205">
        <v>50640.311422710001</v>
      </c>
    </row>
    <row r="206" spans="1:3" ht="15" customHeight="1" x14ac:dyDescent="0.3">
      <c r="A206" t="s">
        <v>62</v>
      </c>
      <c r="B206" s="3">
        <v>46023</v>
      </c>
      <c r="C206">
        <v>51314.734709999997</v>
      </c>
    </row>
    <row r="207" spans="1:3" ht="15" customHeight="1" x14ac:dyDescent="0.3">
      <c r="A207" t="s">
        <v>62</v>
      </c>
      <c r="B207" s="3">
        <v>46054</v>
      </c>
      <c r="C207">
        <v>44103.290670000002</v>
      </c>
    </row>
    <row r="208" spans="1:3" ht="15" customHeight="1" x14ac:dyDescent="0.3">
      <c r="A208" t="s">
        <v>62</v>
      </c>
      <c r="B208" s="3">
        <v>46082</v>
      </c>
      <c r="C208">
        <v>48739.270049999999</v>
      </c>
    </row>
    <row r="209" spans="1:3" ht="15" customHeight="1" x14ac:dyDescent="0.3">
      <c r="A209" t="s">
        <v>62</v>
      </c>
      <c r="B209" s="3">
        <v>46113</v>
      </c>
      <c r="C209">
        <v>46849.898880000001</v>
      </c>
    </row>
    <row r="210" spans="1:3" ht="15" customHeight="1" x14ac:dyDescent="0.3">
      <c r="A210" t="s">
        <v>62</v>
      </c>
      <c r="B210" s="3">
        <v>46143</v>
      </c>
      <c r="C210">
        <v>45273.233339999999</v>
      </c>
    </row>
    <row r="211" spans="1:3" ht="15" customHeight="1" x14ac:dyDescent="0.3">
      <c r="A211" t="s">
        <v>62</v>
      </c>
      <c r="B211" s="3">
        <v>46174</v>
      </c>
      <c r="C211">
        <v>40943.971799999999</v>
      </c>
    </row>
    <row r="212" spans="1:3" ht="15" customHeight="1" x14ac:dyDescent="0.3">
      <c r="A212" t="s">
        <v>62</v>
      </c>
      <c r="B212" s="3">
        <v>46204</v>
      </c>
      <c r="C212">
        <v>43112.802960000001</v>
      </c>
    </row>
    <row r="213" spans="1:3" ht="15" customHeight="1" x14ac:dyDescent="0.3">
      <c r="A213" t="s">
        <v>62</v>
      </c>
      <c r="B213" s="3">
        <v>46235</v>
      </c>
      <c r="C213">
        <v>48266.50275</v>
      </c>
    </row>
    <row r="214" spans="1:3" ht="15" customHeight="1" x14ac:dyDescent="0.3">
      <c r="A214" t="s">
        <v>62</v>
      </c>
      <c r="B214" s="3">
        <v>46266</v>
      </c>
      <c r="C214">
        <v>48602.891430000003</v>
      </c>
    </row>
    <row r="215" spans="1:3" ht="15" customHeight="1" x14ac:dyDescent="0.3">
      <c r="A215" t="s">
        <v>62</v>
      </c>
      <c r="B215" s="3">
        <v>46296</v>
      </c>
      <c r="C215">
        <v>46748.910779999998</v>
      </c>
    </row>
    <row r="216" spans="1:3" ht="15" customHeight="1" x14ac:dyDescent="0.3">
      <c r="A216" t="s">
        <v>62</v>
      </c>
      <c r="B216" s="3">
        <v>46327</v>
      </c>
      <c r="C216">
        <v>46388.481570000004</v>
      </c>
    </row>
    <row r="217" spans="1:3" ht="15" customHeight="1" x14ac:dyDescent="0.3">
      <c r="A217" t="s">
        <v>62</v>
      </c>
      <c r="B217" s="3">
        <v>46357</v>
      </c>
      <c r="C217">
        <v>50640.311422710001</v>
      </c>
    </row>
    <row r="218" spans="1:3" ht="15" customHeight="1" x14ac:dyDescent="0.3">
      <c r="A218" t="s">
        <v>63</v>
      </c>
      <c r="B218" s="3">
        <v>45292</v>
      </c>
      <c r="C218">
        <v>13787.1</v>
      </c>
    </row>
    <row r="219" spans="1:3" ht="15" customHeight="1" x14ac:dyDescent="0.3">
      <c r="A219" t="s">
        <v>63</v>
      </c>
      <c r="B219" s="3">
        <v>45323</v>
      </c>
      <c r="C219">
        <v>11359.8</v>
      </c>
    </row>
    <row r="220" spans="1:3" ht="15" customHeight="1" x14ac:dyDescent="0.3">
      <c r="A220" t="s">
        <v>63</v>
      </c>
      <c r="B220" s="3">
        <v>45352</v>
      </c>
      <c r="C220">
        <v>10881</v>
      </c>
    </row>
    <row r="221" spans="1:3" ht="15" customHeight="1" x14ac:dyDescent="0.3">
      <c r="A221" t="s">
        <v>63</v>
      </c>
      <c r="B221" s="3">
        <v>45383</v>
      </c>
      <c r="C221">
        <v>7828.2</v>
      </c>
    </row>
    <row r="222" spans="1:3" ht="15" customHeight="1" x14ac:dyDescent="0.3">
      <c r="A222" t="s">
        <v>63</v>
      </c>
      <c r="B222" s="3">
        <v>45413</v>
      </c>
      <c r="C222">
        <v>5953.5</v>
      </c>
    </row>
    <row r="223" spans="1:3" ht="15" customHeight="1" x14ac:dyDescent="0.3">
      <c r="A223" t="s">
        <v>63</v>
      </c>
      <c r="B223" s="3">
        <v>45444</v>
      </c>
      <c r="C223">
        <v>5166</v>
      </c>
    </row>
    <row r="224" spans="1:3" ht="15" customHeight="1" x14ac:dyDescent="0.3">
      <c r="A224" t="s">
        <v>63</v>
      </c>
      <c r="B224" s="3">
        <v>45474</v>
      </c>
      <c r="C224">
        <v>5564.7</v>
      </c>
    </row>
    <row r="225" spans="1:3" ht="15" customHeight="1" x14ac:dyDescent="0.3">
      <c r="A225" t="s">
        <v>63</v>
      </c>
      <c r="B225" s="3">
        <v>45505</v>
      </c>
      <c r="C225">
        <v>6960.6</v>
      </c>
    </row>
    <row r="226" spans="1:3" ht="15" customHeight="1" x14ac:dyDescent="0.3">
      <c r="A226" t="s">
        <v>63</v>
      </c>
      <c r="B226" s="3">
        <v>45536</v>
      </c>
      <c r="C226">
        <v>8946</v>
      </c>
    </row>
    <row r="227" spans="1:3" ht="15" customHeight="1" x14ac:dyDescent="0.3">
      <c r="A227" t="s">
        <v>63</v>
      </c>
      <c r="B227" s="3">
        <v>45566</v>
      </c>
      <c r="C227">
        <v>11314.8</v>
      </c>
    </row>
    <row r="228" spans="1:3" ht="15" customHeight="1" x14ac:dyDescent="0.3">
      <c r="A228" t="s">
        <v>63</v>
      </c>
      <c r="B228" s="3">
        <v>45597</v>
      </c>
      <c r="C228">
        <v>12713.4</v>
      </c>
    </row>
    <row r="229" spans="1:3" ht="15" customHeight="1" x14ac:dyDescent="0.3">
      <c r="A229" t="s">
        <v>63</v>
      </c>
      <c r="B229" s="3">
        <v>45627</v>
      </c>
      <c r="C229">
        <v>13878.9</v>
      </c>
    </row>
    <row r="230" spans="1:3" ht="15" customHeight="1" x14ac:dyDescent="0.3">
      <c r="A230" t="s">
        <v>63</v>
      </c>
      <c r="B230" s="3">
        <v>45658</v>
      </c>
      <c r="C230">
        <v>13787.1</v>
      </c>
    </row>
    <row r="231" spans="1:3" ht="15" customHeight="1" x14ac:dyDescent="0.3">
      <c r="A231" t="s">
        <v>63</v>
      </c>
      <c r="B231" s="3">
        <v>45689</v>
      </c>
      <c r="C231">
        <v>11359.8</v>
      </c>
    </row>
    <row r="232" spans="1:3" ht="15" customHeight="1" x14ac:dyDescent="0.3">
      <c r="A232" t="s">
        <v>63</v>
      </c>
      <c r="B232" s="3">
        <v>45717</v>
      </c>
      <c r="C232">
        <v>10881</v>
      </c>
    </row>
    <row r="233" spans="1:3" ht="15" customHeight="1" x14ac:dyDescent="0.3">
      <c r="A233" t="s">
        <v>63</v>
      </c>
      <c r="B233" s="3">
        <v>45748</v>
      </c>
      <c r="C233">
        <v>7828.2</v>
      </c>
    </row>
    <row r="234" spans="1:3" ht="15" customHeight="1" x14ac:dyDescent="0.3">
      <c r="A234" t="s">
        <v>63</v>
      </c>
      <c r="B234" s="3">
        <v>45778</v>
      </c>
      <c r="C234">
        <v>5953.5</v>
      </c>
    </row>
    <row r="235" spans="1:3" ht="15" customHeight="1" x14ac:dyDescent="0.3">
      <c r="A235" t="s">
        <v>63</v>
      </c>
      <c r="B235" s="3">
        <v>45809</v>
      </c>
      <c r="C235">
        <v>5166</v>
      </c>
    </row>
    <row r="236" spans="1:3" ht="15" customHeight="1" x14ac:dyDescent="0.3">
      <c r="A236" t="s">
        <v>63</v>
      </c>
      <c r="B236" s="3">
        <v>45839</v>
      </c>
      <c r="C236">
        <v>5564.7</v>
      </c>
    </row>
    <row r="237" spans="1:3" ht="15" customHeight="1" x14ac:dyDescent="0.3">
      <c r="A237" t="s">
        <v>63</v>
      </c>
      <c r="B237" s="3">
        <v>45870</v>
      </c>
      <c r="C237">
        <v>6960.6</v>
      </c>
    </row>
    <row r="238" spans="1:3" ht="15" customHeight="1" x14ac:dyDescent="0.3">
      <c r="A238" t="s">
        <v>63</v>
      </c>
      <c r="B238" s="3">
        <v>45901</v>
      </c>
      <c r="C238">
        <v>8946</v>
      </c>
    </row>
    <row r="239" spans="1:3" ht="15" customHeight="1" x14ac:dyDescent="0.3">
      <c r="A239" t="s">
        <v>63</v>
      </c>
      <c r="B239" s="3">
        <v>45931</v>
      </c>
      <c r="C239">
        <v>11314.8</v>
      </c>
    </row>
    <row r="240" spans="1:3" ht="15" customHeight="1" x14ac:dyDescent="0.3">
      <c r="A240" t="s">
        <v>63</v>
      </c>
      <c r="B240" s="3">
        <v>45962</v>
      </c>
      <c r="C240">
        <v>12713.4</v>
      </c>
    </row>
    <row r="241" spans="1:3" ht="15" customHeight="1" x14ac:dyDescent="0.3">
      <c r="A241" t="s">
        <v>63</v>
      </c>
      <c r="B241" s="3">
        <v>45992</v>
      </c>
      <c r="C241">
        <v>13878.9</v>
      </c>
    </row>
    <row r="242" spans="1:3" ht="15" customHeight="1" x14ac:dyDescent="0.3">
      <c r="A242" t="s">
        <v>63</v>
      </c>
      <c r="B242" s="3">
        <v>46023</v>
      </c>
      <c r="C242">
        <v>13787.1</v>
      </c>
    </row>
    <row r="243" spans="1:3" ht="15" customHeight="1" x14ac:dyDescent="0.3">
      <c r="A243" t="s">
        <v>63</v>
      </c>
      <c r="B243" s="3">
        <v>46054</v>
      </c>
      <c r="C243">
        <v>11359.8</v>
      </c>
    </row>
    <row r="244" spans="1:3" ht="15" customHeight="1" x14ac:dyDescent="0.3">
      <c r="A244" t="s">
        <v>63</v>
      </c>
      <c r="B244" s="3">
        <v>46082</v>
      </c>
      <c r="C244">
        <v>10881</v>
      </c>
    </row>
    <row r="245" spans="1:3" ht="15" customHeight="1" x14ac:dyDescent="0.3">
      <c r="A245" t="s">
        <v>63</v>
      </c>
      <c r="B245" s="3">
        <v>46113</v>
      </c>
      <c r="C245">
        <v>7828.2</v>
      </c>
    </row>
    <row r="246" spans="1:3" ht="15" customHeight="1" x14ac:dyDescent="0.3">
      <c r="A246" t="s">
        <v>63</v>
      </c>
      <c r="B246" s="3">
        <v>46143</v>
      </c>
      <c r="C246">
        <v>5953.5</v>
      </c>
    </row>
    <row r="247" spans="1:3" ht="15" customHeight="1" x14ac:dyDescent="0.3">
      <c r="A247" t="s">
        <v>63</v>
      </c>
      <c r="B247" s="3">
        <v>46174</v>
      </c>
      <c r="C247">
        <v>5166</v>
      </c>
    </row>
    <row r="248" spans="1:3" ht="15" customHeight="1" x14ac:dyDescent="0.3">
      <c r="A248" t="s">
        <v>63</v>
      </c>
      <c r="B248" s="3">
        <v>46204</v>
      </c>
      <c r="C248">
        <v>5564.7</v>
      </c>
    </row>
    <row r="249" spans="1:3" ht="15" customHeight="1" x14ac:dyDescent="0.3">
      <c r="A249" t="s">
        <v>63</v>
      </c>
      <c r="B249" s="3">
        <v>46235</v>
      </c>
      <c r="C249">
        <v>6960.6</v>
      </c>
    </row>
    <row r="250" spans="1:3" ht="15" customHeight="1" x14ac:dyDescent="0.3">
      <c r="A250" t="s">
        <v>63</v>
      </c>
      <c r="B250" s="3">
        <v>46266</v>
      </c>
      <c r="C250">
        <v>8946</v>
      </c>
    </row>
    <row r="251" spans="1:3" ht="15" customHeight="1" x14ac:dyDescent="0.3">
      <c r="A251" t="s">
        <v>63</v>
      </c>
      <c r="B251" s="3">
        <v>46296</v>
      </c>
      <c r="C251">
        <v>11314.8</v>
      </c>
    </row>
    <row r="252" spans="1:3" ht="15" customHeight="1" x14ac:dyDescent="0.3">
      <c r="A252" t="s">
        <v>63</v>
      </c>
      <c r="B252" s="3">
        <v>46327</v>
      </c>
      <c r="C252">
        <v>12713.4</v>
      </c>
    </row>
    <row r="253" spans="1:3" ht="15" customHeight="1" x14ac:dyDescent="0.3">
      <c r="A253" t="s">
        <v>63</v>
      </c>
      <c r="B253" s="3">
        <v>46357</v>
      </c>
      <c r="C253">
        <v>13878.9</v>
      </c>
    </row>
    <row r="254" spans="1:3" ht="15" customHeight="1" x14ac:dyDescent="0.3">
      <c r="A254" t="s">
        <v>68</v>
      </c>
      <c r="B254" s="3">
        <v>45292</v>
      </c>
      <c r="C254">
        <v>2202.3000000000002</v>
      </c>
    </row>
    <row r="255" spans="1:3" ht="15" customHeight="1" x14ac:dyDescent="0.3">
      <c r="A255" t="s">
        <v>68</v>
      </c>
      <c r="B255" s="3">
        <v>45323</v>
      </c>
      <c r="C255">
        <v>1983.6</v>
      </c>
    </row>
    <row r="256" spans="1:3" ht="15" customHeight="1" x14ac:dyDescent="0.3">
      <c r="A256" t="s">
        <v>68</v>
      </c>
      <c r="B256" s="3">
        <v>45352</v>
      </c>
      <c r="C256">
        <v>2127.6</v>
      </c>
    </row>
    <row r="257" spans="1:3" ht="15" customHeight="1" x14ac:dyDescent="0.3">
      <c r="A257" t="s">
        <v>68</v>
      </c>
      <c r="B257" s="3">
        <v>45383</v>
      </c>
      <c r="C257">
        <v>1767.6</v>
      </c>
    </row>
    <row r="258" spans="1:3" ht="15" customHeight="1" x14ac:dyDescent="0.3">
      <c r="A258" t="s">
        <v>68</v>
      </c>
      <c r="B258" s="3">
        <v>45413</v>
      </c>
      <c r="C258">
        <v>1631.7</v>
      </c>
    </row>
    <row r="259" spans="1:3" ht="15" customHeight="1" x14ac:dyDescent="0.3">
      <c r="A259" t="s">
        <v>68</v>
      </c>
      <c r="B259" s="3">
        <v>45444</v>
      </c>
      <c r="C259">
        <v>1480.5</v>
      </c>
    </row>
    <row r="260" spans="1:3" ht="15" customHeight="1" x14ac:dyDescent="0.3">
      <c r="A260" t="s">
        <v>68</v>
      </c>
      <c r="B260" s="3">
        <v>45474</v>
      </c>
      <c r="C260">
        <v>1612.8</v>
      </c>
    </row>
    <row r="261" spans="1:3" ht="15" customHeight="1" x14ac:dyDescent="0.3">
      <c r="A261" t="s">
        <v>68</v>
      </c>
      <c r="B261" s="3">
        <v>45505</v>
      </c>
      <c r="C261">
        <v>1764</v>
      </c>
    </row>
    <row r="262" spans="1:3" ht="15" customHeight="1" x14ac:dyDescent="0.3">
      <c r="A262" t="s">
        <v>68</v>
      </c>
      <c r="B262" s="3">
        <v>45536</v>
      </c>
      <c r="C262">
        <v>1868.4</v>
      </c>
    </row>
    <row r="263" spans="1:3" ht="15" customHeight="1" x14ac:dyDescent="0.3">
      <c r="A263" t="s">
        <v>68</v>
      </c>
      <c r="B263" s="3">
        <v>45566</v>
      </c>
      <c r="C263">
        <v>1900.8</v>
      </c>
    </row>
    <row r="264" spans="1:3" ht="15" customHeight="1" x14ac:dyDescent="0.3">
      <c r="A264" t="s">
        <v>68</v>
      </c>
      <c r="B264" s="3">
        <v>45597</v>
      </c>
      <c r="C264">
        <v>1835.1</v>
      </c>
    </row>
    <row r="265" spans="1:3" ht="15" customHeight="1" x14ac:dyDescent="0.3">
      <c r="A265" t="s">
        <v>68</v>
      </c>
      <c r="B265" s="3">
        <v>45627</v>
      </c>
      <c r="C265">
        <v>1986.3</v>
      </c>
    </row>
    <row r="266" spans="1:3" ht="15" customHeight="1" x14ac:dyDescent="0.3">
      <c r="A266" t="s">
        <v>68</v>
      </c>
      <c r="B266" s="3">
        <v>45658</v>
      </c>
      <c r="C266">
        <v>2202.3000000000002</v>
      </c>
    </row>
    <row r="267" spans="1:3" ht="15" customHeight="1" x14ac:dyDescent="0.3">
      <c r="A267" t="s">
        <v>68</v>
      </c>
      <c r="B267" s="3">
        <v>45689</v>
      </c>
      <c r="C267">
        <v>1983.6</v>
      </c>
    </row>
    <row r="268" spans="1:3" ht="15" customHeight="1" x14ac:dyDescent="0.3">
      <c r="A268" t="s">
        <v>68</v>
      </c>
      <c r="B268" s="3">
        <v>45717</v>
      </c>
      <c r="C268">
        <v>2127.6</v>
      </c>
    </row>
    <row r="269" spans="1:3" ht="15" customHeight="1" x14ac:dyDescent="0.3">
      <c r="A269" t="s">
        <v>68</v>
      </c>
      <c r="B269" s="3">
        <v>45748</v>
      </c>
      <c r="C269">
        <v>1767.6</v>
      </c>
    </row>
    <row r="270" spans="1:3" ht="15" customHeight="1" x14ac:dyDescent="0.3">
      <c r="A270" t="s">
        <v>68</v>
      </c>
      <c r="B270" s="3">
        <v>45778</v>
      </c>
      <c r="C270">
        <v>1631.7</v>
      </c>
    </row>
    <row r="271" spans="1:3" ht="15" customHeight="1" x14ac:dyDescent="0.3">
      <c r="A271" t="s">
        <v>68</v>
      </c>
      <c r="B271" s="3">
        <v>45809</v>
      </c>
      <c r="C271">
        <v>1480.5</v>
      </c>
    </row>
    <row r="272" spans="1:3" ht="15" customHeight="1" x14ac:dyDescent="0.3">
      <c r="A272" t="s">
        <v>68</v>
      </c>
      <c r="B272" s="3">
        <v>45839</v>
      </c>
      <c r="C272">
        <v>1612.8</v>
      </c>
    </row>
    <row r="273" spans="1:3" ht="15" customHeight="1" x14ac:dyDescent="0.3">
      <c r="A273" t="s">
        <v>68</v>
      </c>
      <c r="B273" s="3">
        <v>45870</v>
      </c>
      <c r="C273">
        <v>1764</v>
      </c>
    </row>
    <row r="274" spans="1:3" ht="15" customHeight="1" x14ac:dyDescent="0.3">
      <c r="A274" t="s">
        <v>68</v>
      </c>
      <c r="B274" s="3">
        <v>45901</v>
      </c>
      <c r="C274">
        <v>1868.4</v>
      </c>
    </row>
    <row r="275" spans="1:3" ht="15" customHeight="1" x14ac:dyDescent="0.3">
      <c r="A275" t="s">
        <v>68</v>
      </c>
      <c r="B275" s="3">
        <v>45931</v>
      </c>
      <c r="C275">
        <v>1900.8</v>
      </c>
    </row>
    <row r="276" spans="1:3" ht="15" customHeight="1" x14ac:dyDescent="0.3">
      <c r="A276" t="s">
        <v>68</v>
      </c>
      <c r="B276" s="3">
        <v>45962</v>
      </c>
      <c r="C276">
        <v>1835.1</v>
      </c>
    </row>
    <row r="277" spans="1:3" ht="15" customHeight="1" x14ac:dyDescent="0.3">
      <c r="A277" t="s">
        <v>68</v>
      </c>
      <c r="B277" s="3">
        <v>45992</v>
      </c>
      <c r="C277">
        <v>1986.3</v>
      </c>
    </row>
    <row r="278" spans="1:3" ht="15" customHeight="1" x14ac:dyDescent="0.3">
      <c r="A278" t="s">
        <v>68</v>
      </c>
      <c r="B278" s="3">
        <v>46023</v>
      </c>
      <c r="C278">
        <v>2202.3000000000002</v>
      </c>
    </row>
    <row r="279" spans="1:3" ht="15" customHeight="1" x14ac:dyDescent="0.3">
      <c r="A279" t="s">
        <v>68</v>
      </c>
      <c r="B279" s="3">
        <v>46054</v>
      </c>
      <c r="C279">
        <v>1983.6</v>
      </c>
    </row>
    <row r="280" spans="1:3" ht="15" customHeight="1" x14ac:dyDescent="0.3">
      <c r="A280" t="s">
        <v>68</v>
      </c>
      <c r="B280" s="3">
        <v>46082</v>
      </c>
      <c r="C280">
        <v>2127.6</v>
      </c>
    </row>
    <row r="281" spans="1:3" ht="15" customHeight="1" x14ac:dyDescent="0.3">
      <c r="A281" t="s">
        <v>68</v>
      </c>
      <c r="B281" s="3">
        <v>46113</v>
      </c>
      <c r="C281">
        <v>1767.6</v>
      </c>
    </row>
    <row r="282" spans="1:3" ht="15" customHeight="1" x14ac:dyDescent="0.3">
      <c r="A282" t="s">
        <v>68</v>
      </c>
      <c r="B282" s="3">
        <v>46143</v>
      </c>
      <c r="C282">
        <v>1631.7</v>
      </c>
    </row>
    <row r="283" spans="1:3" ht="15" customHeight="1" x14ac:dyDescent="0.3">
      <c r="A283" t="s">
        <v>68</v>
      </c>
      <c r="B283" s="3">
        <v>46174</v>
      </c>
      <c r="C283">
        <v>1480.5</v>
      </c>
    </row>
    <row r="284" spans="1:3" ht="15" customHeight="1" x14ac:dyDescent="0.3">
      <c r="A284" t="s">
        <v>68</v>
      </c>
      <c r="B284" s="3">
        <v>46204</v>
      </c>
      <c r="C284">
        <v>1612.8</v>
      </c>
    </row>
    <row r="285" spans="1:3" ht="15" customHeight="1" x14ac:dyDescent="0.3">
      <c r="A285" t="s">
        <v>68</v>
      </c>
      <c r="B285" s="3">
        <v>46235</v>
      </c>
      <c r="C285">
        <v>1764</v>
      </c>
    </row>
    <row r="286" spans="1:3" ht="15" customHeight="1" x14ac:dyDescent="0.3">
      <c r="A286" t="s">
        <v>68</v>
      </c>
      <c r="B286" s="3">
        <v>46266</v>
      </c>
      <c r="C286">
        <v>1868.4</v>
      </c>
    </row>
    <row r="287" spans="1:3" ht="15" customHeight="1" x14ac:dyDescent="0.3">
      <c r="A287" t="s">
        <v>68</v>
      </c>
      <c r="B287" s="3">
        <v>46296</v>
      </c>
      <c r="C287">
        <v>1900.8</v>
      </c>
    </row>
    <row r="288" spans="1:3" ht="15" customHeight="1" x14ac:dyDescent="0.3">
      <c r="A288" t="s">
        <v>68</v>
      </c>
      <c r="B288" s="3">
        <v>46327</v>
      </c>
      <c r="C288">
        <v>1835.1</v>
      </c>
    </row>
    <row r="289" spans="1:3" ht="15" customHeight="1" x14ac:dyDescent="0.3">
      <c r="A289" t="s">
        <v>68</v>
      </c>
      <c r="B289" s="3">
        <v>46357</v>
      </c>
      <c r="C289">
        <v>1986.3</v>
      </c>
    </row>
    <row r="290" spans="1:3" ht="15" customHeight="1" x14ac:dyDescent="0.3">
      <c r="A290" t="s">
        <v>74</v>
      </c>
      <c r="B290" s="3">
        <v>45292</v>
      </c>
      <c r="C290">
        <v>26689.5</v>
      </c>
    </row>
    <row r="291" spans="1:3" ht="15" customHeight="1" x14ac:dyDescent="0.3">
      <c r="A291" t="s">
        <v>74</v>
      </c>
      <c r="B291" s="3">
        <v>45323</v>
      </c>
      <c r="C291">
        <v>20674.8</v>
      </c>
    </row>
    <row r="292" spans="1:3" ht="15" customHeight="1" x14ac:dyDescent="0.3">
      <c r="A292" t="s">
        <v>74</v>
      </c>
      <c r="B292" s="3">
        <v>45352</v>
      </c>
      <c r="C292">
        <v>20095.2</v>
      </c>
    </row>
    <row r="293" spans="1:3" ht="15" customHeight="1" x14ac:dyDescent="0.3">
      <c r="A293" t="s">
        <v>74</v>
      </c>
      <c r="B293" s="3">
        <v>45383</v>
      </c>
      <c r="C293">
        <v>16286.4</v>
      </c>
    </row>
    <row r="294" spans="1:3" ht="15" customHeight="1" x14ac:dyDescent="0.3">
      <c r="A294" t="s">
        <v>74</v>
      </c>
      <c r="B294" s="3">
        <v>45413</v>
      </c>
      <c r="C294">
        <v>13518.9</v>
      </c>
    </row>
    <row r="295" spans="1:3" ht="15" customHeight="1" x14ac:dyDescent="0.3">
      <c r="A295" t="s">
        <v>74</v>
      </c>
      <c r="B295" s="3">
        <v>45444</v>
      </c>
      <c r="C295">
        <v>11864.7</v>
      </c>
    </row>
    <row r="296" spans="1:3" ht="15" customHeight="1" x14ac:dyDescent="0.3">
      <c r="A296" t="s">
        <v>74</v>
      </c>
      <c r="B296" s="3">
        <v>45474</v>
      </c>
      <c r="C296">
        <v>13589.1</v>
      </c>
    </row>
    <row r="297" spans="1:3" ht="15" customHeight="1" x14ac:dyDescent="0.3">
      <c r="A297" t="s">
        <v>74</v>
      </c>
      <c r="B297" s="3">
        <v>45505</v>
      </c>
      <c r="C297">
        <v>17109</v>
      </c>
    </row>
    <row r="298" spans="1:3" ht="15" customHeight="1" x14ac:dyDescent="0.3">
      <c r="A298" t="s">
        <v>74</v>
      </c>
      <c r="B298" s="3">
        <v>45536</v>
      </c>
      <c r="C298">
        <v>19506.599999999999</v>
      </c>
    </row>
    <row r="299" spans="1:3" ht="15" customHeight="1" x14ac:dyDescent="0.3">
      <c r="A299" t="s">
        <v>74</v>
      </c>
      <c r="B299" s="3">
        <v>45566</v>
      </c>
      <c r="C299">
        <v>24081.3</v>
      </c>
    </row>
    <row r="300" spans="1:3" ht="15" customHeight="1" x14ac:dyDescent="0.3">
      <c r="A300" t="s">
        <v>74</v>
      </c>
      <c r="B300" s="3">
        <v>45597</v>
      </c>
      <c r="C300">
        <v>25889.4</v>
      </c>
    </row>
    <row r="301" spans="1:3" ht="15" customHeight="1" x14ac:dyDescent="0.3">
      <c r="A301" t="s">
        <v>74</v>
      </c>
      <c r="B301" s="3">
        <v>45627</v>
      </c>
      <c r="C301">
        <v>27992.7</v>
      </c>
    </row>
    <row r="302" spans="1:3" ht="15" customHeight="1" x14ac:dyDescent="0.3">
      <c r="A302" t="s">
        <v>74</v>
      </c>
      <c r="B302" s="3">
        <v>45658</v>
      </c>
      <c r="C302">
        <v>26689.5</v>
      </c>
    </row>
    <row r="303" spans="1:3" ht="15" customHeight="1" x14ac:dyDescent="0.3">
      <c r="A303" t="s">
        <v>74</v>
      </c>
      <c r="B303" s="3">
        <v>45689</v>
      </c>
      <c r="C303">
        <v>20674.8</v>
      </c>
    </row>
    <row r="304" spans="1:3" ht="15" customHeight="1" x14ac:dyDescent="0.3">
      <c r="A304" t="s">
        <v>74</v>
      </c>
      <c r="B304" s="3">
        <v>45717</v>
      </c>
      <c r="C304">
        <v>20095.2</v>
      </c>
    </row>
    <row r="305" spans="1:3" ht="15" customHeight="1" x14ac:dyDescent="0.3">
      <c r="A305" t="s">
        <v>74</v>
      </c>
      <c r="B305" s="3">
        <v>45748</v>
      </c>
      <c r="C305">
        <v>16286.4</v>
      </c>
    </row>
    <row r="306" spans="1:3" ht="15" customHeight="1" x14ac:dyDescent="0.3">
      <c r="A306" t="s">
        <v>74</v>
      </c>
      <c r="B306" s="3">
        <v>45778</v>
      </c>
      <c r="C306">
        <v>13518.9</v>
      </c>
    </row>
    <row r="307" spans="1:3" ht="15" customHeight="1" x14ac:dyDescent="0.3">
      <c r="A307" t="s">
        <v>74</v>
      </c>
      <c r="B307" s="3">
        <v>45809</v>
      </c>
      <c r="C307">
        <v>11864.7</v>
      </c>
    </row>
    <row r="308" spans="1:3" ht="15" customHeight="1" x14ac:dyDescent="0.3">
      <c r="A308" t="s">
        <v>74</v>
      </c>
      <c r="B308" s="3">
        <v>45839</v>
      </c>
      <c r="C308">
        <v>13589.1</v>
      </c>
    </row>
    <row r="309" spans="1:3" ht="15" customHeight="1" x14ac:dyDescent="0.3">
      <c r="A309" t="s">
        <v>74</v>
      </c>
      <c r="B309" s="3">
        <v>45870</v>
      </c>
      <c r="C309">
        <v>17109</v>
      </c>
    </row>
    <row r="310" spans="1:3" ht="15" customHeight="1" x14ac:dyDescent="0.3">
      <c r="A310" t="s">
        <v>74</v>
      </c>
      <c r="B310" s="3">
        <v>45901</v>
      </c>
      <c r="C310">
        <v>19506.599999999999</v>
      </c>
    </row>
    <row r="311" spans="1:3" ht="15" customHeight="1" x14ac:dyDescent="0.3">
      <c r="A311" t="s">
        <v>74</v>
      </c>
      <c r="B311" s="3">
        <v>45931</v>
      </c>
      <c r="C311">
        <v>24081.3</v>
      </c>
    </row>
    <row r="312" spans="1:3" ht="15" customHeight="1" x14ac:dyDescent="0.3">
      <c r="A312" t="s">
        <v>74</v>
      </c>
      <c r="B312" s="3">
        <v>45962</v>
      </c>
      <c r="C312">
        <v>25889.4</v>
      </c>
    </row>
    <row r="313" spans="1:3" ht="15" customHeight="1" x14ac:dyDescent="0.3">
      <c r="A313" t="s">
        <v>74</v>
      </c>
      <c r="B313" s="3">
        <v>45992</v>
      </c>
      <c r="C313">
        <v>27992.7</v>
      </c>
    </row>
    <row r="314" spans="1:3" ht="15" customHeight="1" x14ac:dyDescent="0.3">
      <c r="A314" t="s">
        <v>74</v>
      </c>
      <c r="B314" s="3">
        <v>46023</v>
      </c>
      <c r="C314">
        <v>26689.5</v>
      </c>
    </row>
    <row r="315" spans="1:3" ht="15" customHeight="1" x14ac:dyDescent="0.3">
      <c r="A315" t="s">
        <v>74</v>
      </c>
      <c r="B315" s="3">
        <v>46054</v>
      </c>
      <c r="C315">
        <v>20674.8</v>
      </c>
    </row>
    <row r="316" spans="1:3" ht="15" customHeight="1" x14ac:dyDescent="0.3">
      <c r="A316" t="s">
        <v>74</v>
      </c>
      <c r="B316" s="3">
        <v>46082</v>
      </c>
      <c r="C316">
        <v>20095.2</v>
      </c>
    </row>
    <row r="317" spans="1:3" ht="15" customHeight="1" x14ac:dyDescent="0.3">
      <c r="A317" t="s">
        <v>74</v>
      </c>
      <c r="B317" s="3">
        <v>46113</v>
      </c>
      <c r="C317">
        <v>16286.4</v>
      </c>
    </row>
    <row r="318" spans="1:3" ht="15" customHeight="1" x14ac:dyDescent="0.3">
      <c r="A318" t="s">
        <v>74</v>
      </c>
      <c r="B318" s="3">
        <v>46143</v>
      </c>
      <c r="C318">
        <v>13518.9</v>
      </c>
    </row>
    <row r="319" spans="1:3" ht="15" customHeight="1" x14ac:dyDescent="0.3">
      <c r="A319" t="s">
        <v>74</v>
      </c>
      <c r="B319" s="3">
        <v>46174</v>
      </c>
      <c r="C319">
        <v>11864.7</v>
      </c>
    </row>
    <row r="320" spans="1:3" ht="15" customHeight="1" x14ac:dyDescent="0.3">
      <c r="A320" t="s">
        <v>74</v>
      </c>
      <c r="B320" s="3">
        <v>46204</v>
      </c>
      <c r="C320">
        <v>13589.1</v>
      </c>
    </row>
    <row r="321" spans="1:3" ht="15" customHeight="1" x14ac:dyDescent="0.3">
      <c r="A321" t="s">
        <v>74</v>
      </c>
      <c r="B321" s="3">
        <v>46235</v>
      </c>
      <c r="C321">
        <v>17109</v>
      </c>
    </row>
    <row r="322" spans="1:3" ht="15" customHeight="1" x14ac:dyDescent="0.3">
      <c r="A322" t="s">
        <v>74</v>
      </c>
      <c r="B322" s="3">
        <v>46266</v>
      </c>
      <c r="C322">
        <v>19506.599999999999</v>
      </c>
    </row>
    <row r="323" spans="1:3" ht="15" customHeight="1" x14ac:dyDescent="0.3">
      <c r="A323" t="s">
        <v>74</v>
      </c>
      <c r="B323" s="3">
        <v>46296</v>
      </c>
      <c r="C323">
        <v>24081.3</v>
      </c>
    </row>
    <row r="324" spans="1:3" ht="15" customHeight="1" x14ac:dyDescent="0.3">
      <c r="A324" t="s">
        <v>74</v>
      </c>
      <c r="B324" s="3">
        <v>46327</v>
      </c>
      <c r="C324">
        <v>25889.4</v>
      </c>
    </row>
    <row r="325" spans="1:3" ht="15" customHeight="1" x14ac:dyDescent="0.3">
      <c r="A325" t="s">
        <v>74</v>
      </c>
      <c r="B325" s="3">
        <v>46357</v>
      </c>
      <c r="C325">
        <v>27992.7</v>
      </c>
    </row>
    <row r="326" spans="1:3" ht="15" customHeight="1" x14ac:dyDescent="0.3">
      <c r="A326" t="s">
        <v>80</v>
      </c>
      <c r="B326" s="3">
        <v>45292</v>
      </c>
      <c r="C326">
        <v>21105</v>
      </c>
    </row>
    <row r="327" spans="1:3" ht="15" customHeight="1" x14ac:dyDescent="0.3">
      <c r="A327" t="s">
        <v>80</v>
      </c>
      <c r="B327" s="3">
        <v>45323</v>
      </c>
      <c r="C327">
        <v>18220.5</v>
      </c>
    </row>
    <row r="328" spans="1:3" ht="15" customHeight="1" x14ac:dyDescent="0.3">
      <c r="A328" t="s">
        <v>80</v>
      </c>
      <c r="B328" s="3">
        <v>45352</v>
      </c>
      <c r="C328">
        <v>18368.099999999999</v>
      </c>
    </row>
    <row r="329" spans="1:3" ht="15" customHeight="1" x14ac:dyDescent="0.3">
      <c r="A329" t="s">
        <v>80</v>
      </c>
      <c r="B329" s="3">
        <v>45383</v>
      </c>
      <c r="C329">
        <v>15103.8</v>
      </c>
    </row>
    <row r="330" spans="1:3" ht="15" customHeight="1" x14ac:dyDescent="0.3">
      <c r="A330" t="s">
        <v>80</v>
      </c>
      <c r="B330" s="3">
        <v>45413</v>
      </c>
      <c r="C330">
        <v>14130</v>
      </c>
    </row>
    <row r="331" spans="1:3" ht="15" customHeight="1" x14ac:dyDescent="0.3">
      <c r="A331" t="s">
        <v>80</v>
      </c>
      <c r="B331" s="3">
        <v>45444</v>
      </c>
      <c r="C331">
        <v>12619.8</v>
      </c>
    </row>
    <row r="332" spans="1:3" ht="15" customHeight="1" x14ac:dyDescent="0.3">
      <c r="A332" t="s">
        <v>80</v>
      </c>
      <c r="B332" s="3">
        <v>45474</v>
      </c>
      <c r="C332">
        <v>14002.2</v>
      </c>
    </row>
    <row r="333" spans="1:3" ht="15" customHeight="1" x14ac:dyDescent="0.3">
      <c r="A333" t="s">
        <v>80</v>
      </c>
      <c r="B333" s="3">
        <v>45505</v>
      </c>
      <c r="C333">
        <v>16641.900000000001</v>
      </c>
    </row>
    <row r="334" spans="1:3" ht="15" customHeight="1" x14ac:dyDescent="0.3">
      <c r="A334" t="s">
        <v>80</v>
      </c>
      <c r="B334" s="3">
        <v>45536</v>
      </c>
      <c r="C334">
        <v>18626.400000000001</v>
      </c>
    </row>
    <row r="335" spans="1:3" ht="15" customHeight="1" x14ac:dyDescent="0.3">
      <c r="A335" t="s">
        <v>80</v>
      </c>
      <c r="B335" s="3">
        <v>45566</v>
      </c>
      <c r="C335">
        <v>20503.8</v>
      </c>
    </row>
    <row r="336" spans="1:3" ht="15" customHeight="1" x14ac:dyDescent="0.3">
      <c r="A336" t="s">
        <v>80</v>
      </c>
      <c r="B336" s="3">
        <v>45597</v>
      </c>
      <c r="C336">
        <v>20601</v>
      </c>
    </row>
    <row r="337" spans="1:3" ht="15" customHeight="1" x14ac:dyDescent="0.3">
      <c r="A337" t="s">
        <v>80</v>
      </c>
      <c r="B337" s="3">
        <v>45627</v>
      </c>
      <c r="C337">
        <v>22024.799999999999</v>
      </c>
    </row>
    <row r="338" spans="1:3" ht="15" customHeight="1" x14ac:dyDescent="0.3">
      <c r="A338" t="s">
        <v>80</v>
      </c>
      <c r="B338" s="3">
        <v>45658</v>
      </c>
      <c r="C338">
        <v>21105</v>
      </c>
    </row>
    <row r="339" spans="1:3" ht="15" customHeight="1" x14ac:dyDescent="0.3">
      <c r="A339" t="s">
        <v>80</v>
      </c>
      <c r="B339" s="3">
        <v>45689</v>
      </c>
      <c r="C339">
        <v>18220.5</v>
      </c>
    </row>
    <row r="340" spans="1:3" ht="15" customHeight="1" x14ac:dyDescent="0.3">
      <c r="A340" t="s">
        <v>80</v>
      </c>
      <c r="B340" s="3">
        <v>45717</v>
      </c>
      <c r="C340">
        <v>18368.099999999999</v>
      </c>
    </row>
    <row r="341" spans="1:3" ht="15" customHeight="1" x14ac:dyDescent="0.3">
      <c r="A341" t="s">
        <v>80</v>
      </c>
      <c r="B341" s="3">
        <v>45748</v>
      </c>
      <c r="C341">
        <v>15103.8</v>
      </c>
    </row>
    <row r="342" spans="1:3" ht="15" customHeight="1" x14ac:dyDescent="0.3">
      <c r="A342" t="s">
        <v>80</v>
      </c>
      <c r="B342" s="3">
        <v>45778</v>
      </c>
      <c r="C342">
        <v>14130</v>
      </c>
    </row>
    <row r="343" spans="1:3" ht="15" customHeight="1" x14ac:dyDescent="0.3">
      <c r="A343" t="s">
        <v>80</v>
      </c>
      <c r="B343" s="3">
        <v>45809</v>
      </c>
      <c r="C343">
        <v>12619.8</v>
      </c>
    </row>
    <row r="344" spans="1:3" ht="15" customHeight="1" x14ac:dyDescent="0.3">
      <c r="A344" t="s">
        <v>80</v>
      </c>
      <c r="B344" s="3">
        <v>45839</v>
      </c>
      <c r="C344">
        <v>14002.2</v>
      </c>
    </row>
    <row r="345" spans="1:3" ht="15" customHeight="1" x14ac:dyDescent="0.3">
      <c r="A345" t="s">
        <v>80</v>
      </c>
      <c r="B345" s="3">
        <v>45870</v>
      </c>
      <c r="C345">
        <v>16641.900000000001</v>
      </c>
    </row>
    <row r="346" spans="1:3" ht="15" customHeight="1" x14ac:dyDescent="0.3">
      <c r="A346" t="s">
        <v>80</v>
      </c>
      <c r="B346" s="3">
        <v>45901</v>
      </c>
      <c r="C346">
        <v>18626.400000000001</v>
      </c>
    </row>
    <row r="347" spans="1:3" ht="15" customHeight="1" x14ac:dyDescent="0.3">
      <c r="A347" t="s">
        <v>80</v>
      </c>
      <c r="B347" s="3">
        <v>45931</v>
      </c>
      <c r="C347">
        <v>20503.8</v>
      </c>
    </row>
    <row r="348" spans="1:3" ht="15" customHeight="1" x14ac:dyDescent="0.3">
      <c r="A348" t="s">
        <v>80</v>
      </c>
      <c r="B348" s="3">
        <v>45962</v>
      </c>
      <c r="C348">
        <v>20601</v>
      </c>
    </row>
    <row r="349" spans="1:3" ht="15" customHeight="1" x14ac:dyDescent="0.3">
      <c r="A349" t="s">
        <v>80</v>
      </c>
      <c r="B349" s="3">
        <v>45992</v>
      </c>
      <c r="C349">
        <v>22024.799999999999</v>
      </c>
    </row>
    <row r="350" spans="1:3" ht="15" customHeight="1" x14ac:dyDescent="0.3">
      <c r="A350" t="s">
        <v>80</v>
      </c>
      <c r="B350" s="3">
        <v>46023</v>
      </c>
      <c r="C350">
        <v>21105</v>
      </c>
    </row>
    <row r="351" spans="1:3" ht="15" customHeight="1" x14ac:dyDescent="0.3">
      <c r="A351" t="s">
        <v>80</v>
      </c>
      <c r="B351" s="3">
        <v>46054</v>
      </c>
      <c r="C351">
        <v>18220.5</v>
      </c>
    </row>
    <row r="352" spans="1:3" ht="15" customHeight="1" x14ac:dyDescent="0.3">
      <c r="A352" t="s">
        <v>80</v>
      </c>
      <c r="B352" s="3">
        <v>46082</v>
      </c>
      <c r="C352">
        <v>18368.099999999999</v>
      </c>
    </row>
    <row r="353" spans="1:3" ht="15" customHeight="1" x14ac:dyDescent="0.3">
      <c r="A353" t="s">
        <v>80</v>
      </c>
      <c r="B353" s="3">
        <v>46113</v>
      </c>
      <c r="C353">
        <v>15103.8</v>
      </c>
    </row>
    <row r="354" spans="1:3" ht="15" customHeight="1" x14ac:dyDescent="0.3">
      <c r="A354" t="s">
        <v>80</v>
      </c>
      <c r="B354" s="3">
        <v>46143</v>
      </c>
      <c r="C354">
        <v>14130</v>
      </c>
    </row>
    <row r="355" spans="1:3" ht="15" customHeight="1" x14ac:dyDescent="0.3">
      <c r="A355" t="s">
        <v>80</v>
      </c>
      <c r="B355" s="3">
        <v>46174</v>
      </c>
      <c r="C355">
        <v>12619.8</v>
      </c>
    </row>
    <row r="356" spans="1:3" ht="15" customHeight="1" x14ac:dyDescent="0.3">
      <c r="A356" t="s">
        <v>80</v>
      </c>
      <c r="B356" s="3">
        <v>46204</v>
      </c>
      <c r="C356">
        <v>14002.2</v>
      </c>
    </row>
    <row r="357" spans="1:3" ht="15" customHeight="1" x14ac:dyDescent="0.3">
      <c r="A357" t="s">
        <v>80</v>
      </c>
      <c r="B357" s="3">
        <v>46235</v>
      </c>
      <c r="C357">
        <v>16641.900000000001</v>
      </c>
    </row>
    <row r="358" spans="1:3" ht="15" customHeight="1" x14ac:dyDescent="0.3">
      <c r="A358" t="s">
        <v>80</v>
      </c>
      <c r="B358" s="3">
        <v>46266</v>
      </c>
      <c r="C358">
        <v>18626.400000000001</v>
      </c>
    </row>
    <row r="359" spans="1:3" ht="15" customHeight="1" x14ac:dyDescent="0.3">
      <c r="A359" t="s">
        <v>80</v>
      </c>
      <c r="B359" s="3">
        <v>46296</v>
      </c>
      <c r="C359">
        <v>20503.8</v>
      </c>
    </row>
    <row r="360" spans="1:3" ht="15" customHeight="1" x14ac:dyDescent="0.3">
      <c r="A360" t="s">
        <v>80</v>
      </c>
      <c r="B360" s="3">
        <v>46327</v>
      </c>
      <c r="C360">
        <v>20601</v>
      </c>
    </row>
    <row r="361" spans="1:3" ht="15" customHeight="1" x14ac:dyDescent="0.3">
      <c r="A361" t="s">
        <v>80</v>
      </c>
      <c r="B361" s="3">
        <v>46357</v>
      </c>
      <c r="C361">
        <v>22024.799999999999</v>
      </c>
    </row>
    <row r="362" spans="1:3" ht="15" customHeight="1" x14ac:dyDescent="0.3">
      <c r="A362" t="s">
        <v>84</v>
      </c>
      <c r="B362" s="3">
        <v>45292</v>
      </c>
      <c r="C362">
        <v>21105</v>
      </c>
    </row>
    <row r="363" spans="1:3" ht="15" customHeight="1" x14ac:dyDescent="0.3">
      <c r="A363" t="s">
        <v>84</v>
      </c>
      <c r="B363" s="3">
        <v>45323</v>
      </c>
      <c r="C363">
        <v>18220.5</v>
      </c>
    </row>
    <row r="364" spans="1:3" ht="15" customHeight="1" x14ac:dyDescent="0.3">
      <c r="A364" t="s">
        <v>84</v>
      </c>
      <c r="B364" s="3">
        <v>45352</v>
      </c>
      <c r="C364">
        <v>18368.099999999999</v>
      </c>
    </row>
    <row r="365" spans="1:3" ht="15" customHeight="1" x14ac:dyDescent="0.3">
      <c r="A365" t="s">
        <v>84</v>
      </c>
      <c r="B365" s="3">
        <v>45383</v>
      </c>
      <c r="C365">
        <v>15103.8</v>
      </c>
    </row>
    <row r="366" spans="1:3" ht="15" customHeight="1" x14ac:dyDescent="0.3">
      <c r="A366" t="s">
        <v>84</v>
      </c>
      <c r="B366" s="3">
        <v>45413</v>
      </c>
      <c r="C366">
        <v>14130</v>
      </c>
    </row>
    <row r="367" spans="1:3" ht="15" customHeight="1" x14ac:dyDescent="0.3">
      <c r="A367" t="s">
        <v>84</v>
      </c>
      <c r="B367" s="3">
        <v>45444</v>
      </c>
      <c r="C367">
        <v>12619.8</v>
      </c>
    </row>
    <row r="368" spans="1:3" ht="15" customHeight="1" x14ac:dyDescent="0.3">
      <c r="A368" t="s">
        <v>84</v>
      </c>
      <c r="B368" s="3">
        <v>45474</v>
      </c>
      <c r="C368">
        <v>14002.2</v>
      </c>
    </row>
    <row r="369" spans="1:3" ht="15" customHeight="1" x14ac:dyDescent="0.3">
      <c r="A369" t="s">
        <v>84</v>
      </c>
      <c r="B369" s="3">
        <v>45505</v>
      </c>
      <c r="C369">
        <v>16641.900000000001</v>
      </c>
    </row>
    <row r="370" spans="1:3" ht="15" customHeight="1" x14ac:dyDescent="0.3">
      <c r="A370" t="s">
        <v>84</v>
      </c>
      <c r="B370" s="3">
        <v>45536</v>
      </c>
      <c r="C370">
        <v>18626.400000000001</v>
      </c>
    </row>
    <row r="371" spans="1:3" ht="15" customHeight="1" x14ac:dyDescent="0.3">
      <c r="A371" t="s">
        <v>84</v>
      </c>
      <c r="B371" s="3">
        <v>45566</v>
      </c>
      <c r="C371">
        <v>20503.8</v>
      </c>
    </row>
    <row r="372" spans="1:3" ht="15" customHeight="1" x14ac:dyDescent="0.3">
      <c r="A372" t="s">
        <v>84</v>
      </c>
      <c r="B372" s="3">
        <v>45597</v>
      </c>
      <c r="C372">
        <v>20601</v>
      </c>
    </row>
    <row r="373" spans="1:3" ht="15" customHeight="1" x14ac:dyDescent="0.3">
      <c r="A373" t="s">
        <v>84</v>
      </c>
      <c r="B373" s="3">
        <v>45627</v>
      </c>
      <c r="C373">
        <v>22024.799999999999</v>
      </c>
    </row>
    <row r="374" spans="1:3" ht="15" customHeight="1" x14ac:dyDescent="0.3">
      <c r="A374" t="s">
        <v>84</v>
      </c>
      <c r="B374" s="3">
        <v>45658</v>
      </c>
      <c r="C374">
        <v>21105</v>
      </c>
    </row>
    <row r="375" spans="1:3" ht="15" customHeight="1" x14ac:dyDescent="0.3">
      <c r="A375" t="s">
        <v>84</v>
      </c>
      <c r="B375" s="3">
        <v>45689</v>
      </c>
      <c r="C375">
        <v>18220.5</v>
      </c>
    </row>
    <row r="376" spans="1:3" ht="15" customHeight="1" x14ac:dyDescent="0.3">
      <c r="A376" t="s">
        <v>84</v>
      </c>
      <c r="B376" s="3">
        <v>45717</v>
      </c>
      <c r="C376">
        <v>18368.099999999999</v>
      </c>
    </row>
    <row r="377" spans="1:3" ht="15" customHeight="1" x14ac:dyDescent="0.3">
      <c r="A377" t="s">
        <v>84</v>
      </c>
      <c r="B377" s="3">
        <v>45748</v>
      </c>
      <c r="C377">
        <v>15103.8</v>
      </c>
    </row>
    <row r="378" spans="1:3" ht="15" customHeight="1" x14ac:dyDescent="0.3">
      <c r="A378" t="s">
        <v>84</v>
      </c>
      <c r="B378" s="3">
        <v>45778</v>
      </c>
      <c r="C378">
        <v>14130</v>
      </c>
    </row>
    <row r="379" spans="1:3" ht="15" customHeight="1" x14ac:dyDescent="0.3">
      <c r="A379" t="s">
        <v>84</v>
      </c>
      <c r="B379" s="3">
        <v>45809</v>
      </c>
      <c r="C379">
        <v>12619.8</v>
      </c>
    </row>
    <row r="380" spans="1:3" ht="15" customHeight="1" x14ac:dyDescent="0.3">
      <c r="A380" t="s">
        <v>84</v>
      </c>
      <c r="B380" s="3">
        <v>45839</v>
      </c>
      <c r="C380">
        <v>14002.2</v>
      </c>
    </row>
    <row r="381" spans="1:3" ht="15" customHeight="1" x14ac:dyDescent="0.3">
      <c r="A381" t="s">
        <v>84</v>
      </c>
      <c r="B381" s="3">
        <v>45870</v>
      </c>
      <c r="C381">
        <v>16641.900000000001</v>
      </c>
    </row>
    <row r="382" spans="1:3" ht="15" customHeight="1" x14ac:dyDescent="0.3">
      <c r="A382" t="s">
        <v>84</v>
      </c>
      <c r="B382" s="3">
        <v>45901</v>
      </c>
      <c r="C382">
        <v>18626.400000000001</v>
      </c>
    </row>
    <row r="383" spans="1:3" ht="15" customHeight="1" x14ac:dyDescent="0.3">
      <c r="A383" t="s">
        <v>84</v>
      </c>
      <c r="B383" s="3">
        <v>45931</v>
      </c>
      <c r="C383">
        <v>20503.8</v>
      </c>
    </row>
    <row r="384" spans="1:3" ht="15" customHeight="1" x14ac:dyDescent="0.3">
      <c r="A384" t="s">
        <v>84</v>
      </c>
      <c r="B384" s="3">
        <v>45962</v>
      </c>
      <c r="C384">
        <v>20601</v>
      </c>
    </row>
    <row r="385" spans="1:3" ht="15" customHeight="1" x14ac:dyDescent="0.3">
      <c r="A385" t="s">
        <v>84</v>
      </c>
      <c r="B385" s="3">
        <v>45992</v>
      </c>
      <c r="C385">
        <v>22024.799999999999</v>
      </c>
    </row>
    <row r="386" spans="1:3" ht="15" customHeight="1" x14ac:dyDescent="0.3">
      <c r="A386" t="s">
        <v>84</v>
      </c>
      <c r="B386" s="3">
        <v>46023</v>
      </c>
      <c r="C386">
        <v>21105</v>
      </c>
    </row>
    <row r="387" spans="1:3" ht="15" customHeight="1" x14ac:dyDescent="0.3">
      <c r="A387" t="s">
        <v>84</v>
      </c>
      <c r="B387" s="3">
        <v>46054</v>
      </c>
      <c r="C387">
        <v>18220.5</v>
      </c>
    </row>
    <row r="388" spans="1:3" ht="15" customHeight="1" x14ac:dyDescent="0.3">
      <c r="A388" t="s">
        <v>84</v>
      </c>
      <c r="B388" s="3">
        <v>46082</v>
      </c>
      <c r="C388">
        <v>18368.099999999999</v>
      </c>
    </row>
    <row r="389" spans="1:3" ht="15" customHeight="1" x14ac:dyDescent="0.3">
      <c r="A389" t="s">
        <v>84</v>
      </c>
      <c r="B389" s="3">
        <v>46113</v>
      </c>
      <c r="C389">
        <v>15103.8</v>
      </c>
    </row>
    <row r="390" spans="1:3" ht="15" customHeight="1" x14ac:dyDescent="0.3">
      <c r="A390" t="s">
        <v>84</v>
      </c>
      <c r="B390" s="3">
        <v>46143</v>
      </c>
      <c r="C390">
        <v>14130</v>
      </c>
    </row>
    <row r="391" spans="1:3" ht="15" customHeight="1" x14ac:dyDescent="0.3">
      <c r="A391" t="s">
        <v>84</v>
      </c>
      <c r="B391" s="3">
        <v>46174</v>
      </c>
      <c r="C391">
        <v>12619.8</v>
      </c>
    </row>
    <row r="392" spans="1:3" ht="15" customHeight="1" x14ac:dyDescent="0.3">
      <c r="A392" t="s">
        <v>84</v>
      </c>
      <c r="B392" s="3">
        <v>46204</v>
      </c>
      <c r="C392">
        <v>14002.2</v>
      </c>
    </row>
    <row r="393" spans="1:3" ht="15" customHeight="1" x14ac:dyDescent="0.3">
      <c r="A393" t="s">
        <v>84</v>
      </c>
      <c r="B393" s="3">
        <v>46235</v>
      </c>
      <c r="C393">
        <v>16641.900000000001</v>
      </c>
    </row>
    <row r="394" spans="1:3" ht="15" customHeight="1" x14ac:dyDescent="0.3">
      <c r="A394" t="s">
        <v>84</v>
      </c>
      <c r="B394" s="3">
        <v>46266</v>
      </c>
      <c r="C394">
        <v>18626.400000000001</v>
      </c>
    </row>
    <row r="395" spans="1:3" ht="15" customHeight="1" x14ac:dyDescent="0.3">
      <c r="A395" t="s">
        <v>84</v>
      </c>
      <c r="B395" s="3">
        <v>46296</v>
      </c>
      <c r="C395">
        <v>20503.8</v>
      </c>
    </row>
    <row r="396" spans="1:3" ht="15" customHeight="1" x14ac:dyDescent="0.3">
      <c r="A396" t="s">
        <v>84</v>
      </c>
      <c r="B396" s="3">
        <v>46327</v>
      </c>
      <c r="C396">
        <v>20601</v>
      </c>
    </row>
    <row r="397" spans="1:3" ht="15" customHeight="1" x14ac:dyDescent="0.3">
      <c r="A397" t="s">
        <v>84</v>
      </c>
      <c r="B397" s="3">
        <v>46357</v>
      </c>
      <c r="C397">
        <v>22024.799999999999</v>
      </c>
    </row>
    <row r="398" spans="1:3" ht="15" customHeight="1" x14ac:dyDescent="0.3">
      <c r="A398" t="s">
        <v>86</v>
      </c>
      <c r="B398" s="3">
        <v>45292</v>
      </c>
      <c r="C398">
        <v>8664.2999999999993</v>
      </c>
    </row>
    <row r="399" spans="1:3" ht="15" customHeight="1" x14ac:dyDescent="0.3">
      <c r="A399" t="s">
        <v>86</v>
      </c>
      <c r="B399" s="3">
        <v>45323</v>
      </c>
      <c r="C399">
        <v>8100</v>
      </c>
    </row>
    <row r="400" spans="1:3" ht="15" customHeight="1" x14ac:dyDescent="0.3">
      <c r="A400" t="s">
        <v>86</v>
      </c>
      <c r="B400" s="3">
        <v>45352</v>
      </c>
      <c r="C400">
        <v>7805.7</v>
      </c>
    </row>
    <row r="401" spans="1:3" ht="15" customHeight="1" x14ac:dyDescent="0.3">
      <c r="A401" t="s">
        <v>86</v>
      </c>
      <c r="B401" s="3">
        <v>45383</v>
      </c>
      <c r="C401">
        <v>6534</v>
      </c>
    </row>
    <row r="402" spans="1:3" ht="15" customHeight="1" x14ac:dyDescent="0.3">
      <c r="A402" t="s">
        <v>86</v>
      </c>
      <c r="B402" s="3">
        <v>45413</v>
      </c>
      <c r="C402">
        <v>5592.6</v>
      </c>
    </row>
    <row r="403" spans="1:3" ht="15" customHeight="1" x14ac:dyDescent="0.3">
      <c r="A403" t="s">
        <v>86</v>
      </c>
      <c r="B403" s="3">
        <v>45444</v>
      </c>
      <c r="C403">
        <v>5059.8</v>
      </c>
    </row>
    <row r="404" spans="1:3" ht="15" customHeight="1" x14ac:dyDescent="0.3">
      <c r="A404" t="s">
        <v>86</v>
      </c>
      <c r="B404" s="3">
        <v>45474</v>
      </c>
      <c r="C404">
        <v>5372.1</v>
      </c>
    </row>
    <row r="405" spans="1:3" ht="15" customHeight="1" x14ac:dyDescent="0.3">
      <c r="A405" t="s">
        <v>86</v>
      </c>
      <c r="B405" s="3">
        <v>45505</v>
      </c>
      <c r="C405">
        <v>6485.4</v>
      </c>
    </row>
    <row r="406" spans="1:3" ht="15" customHeight="1" x14ac:dyDescent="0.3">
      <c r="A406" t="s">
        <v>86</v>
      </c>
      <c r="B406" s="3">
        <v>45536</v>
      </c>
      <c r="C406">
        <v>6914.7</v>
      </c>
    </row>
    <row r="407" spans="1:3" ht="15" customHeight="1" x14ac:dyDescent="0.3">
      <c r="A407" t="s">
        <v>86</v>
      </c>
      <c r="B407" s="3">
        <v>45566</v>
      </c>
      <c r="C407">
        <v>8033.4</v>
      </c>
    </row>
    <row r="408" spans="1:3" ht="15" customHeight="1" x14ac:dyDescent="0.3">
      <c r="A408" t="s">
        <v>86</v>
      </c>
      <c r="B408" s="3">
        <v>45597</v>
      </c>
      <c r="C408">
        <v>8012.7</v>
      </c>
    </row>
    <row r="409" spans="1:3" ht="15" customHeight="1" x14ac:dyDescent="0.3">
      <c r="A409" t="s">
        <v>86</v>
      </c>
      <c r="B409" s="3">
        <v>45627</v>
      </c>
      <c r="C409">
        <v>8547.2999999999993</v>
      </c>
    </row>
    <row r="410" spans="1:3" ht="15" customHeight="1" x14ac:dyDescent="0.3">
      <c r="A410" t="s">
        <v>86</v>
      </c>
      <c r="B410" s="3">
        <v>45658</v>
      </c>
      <c r="C410">
        <v>8664.2999999999993</v>
      </c>
    </row>
    <row r="411" spans="1:3" ht="15" customHeight="1" x14ac:dyDescent="0.3">
      <c r="A411" t="s">
        <v>86</v>
      </c>
      <c r="B411" s="3">
        <v>45689</v>
      </c>
      <c r="C411">
        <v>8100</v>
      </c>
    </row>
    <row r="412" spans="1:3" ht="15" customHeight="1" x14ac:dyDescent="0.3">
      <c r="A412" t="s">
        <v>86</v>
      </c>
      <c r="B412" s="3">
        <v>45717</v>
      </c>
      <c r="C412">
        <v>7805.7</v>
      </c>
    </row>
    <row r="413" spans="1:3" ht="15" customHeight="1" x14ac:dyDescent="0.3">
      <c r="A413" t="s">
        <v>86</v>
      </c>
      <c r="B413" s="3">
        <v>45748</v>
      </c>
      <c r="C413">
        <v>6534</v>
      </c>
    </row>
    <row r="414" spans="1:3" ht="15" customHeight="1" x14ac:dyDescent="0.3">
      <c r="A414" t="s">
        <v>86</v>
      </c>
      <c r="B414" s="3">
        <v>45778</v>
      </c>
      <c r="C414">
        <v>5592.6</v>
      </c>
    </row>
    <row r="415" spans="1:3" ht="15" customHeight="1" x14ac:dyDescent="0.3">
      <c r="A415" t="s">
        <v>86</v>
      </c>
      <c r="B415" s="3">
        <v>45809</v>
      </c>
      <c r="C415">
        <v>5059.8</v>
      </c>
    </row>
    <row r="416" spans="1:3" ht="15" customHeight="1" x14ac:dyDescent="0.3">
      <c r="A416" t="s">
        <v>86</v>
      </c>
      <c r="B416" s="3">
        <v>45839</v>
      </c>
      <c r="C416">
        <v>5372.1</v>
      </c>
    </row>
    <row r="417" spans="1:3" ht="15" customHeight="1" x14ac:dyDescent="0.3">
      <c r="A417" t="s">
        <v>86</v>
      </c>
      <c r="B417" s="3">
        <v>45870</v>
      </c>
      <c r="C417">
        <v>6485.4</v>
      </c>
    </row>
    <row r="418" spans="1:3" ht="15" customHeight="1" x14ac:dyDescent="0.3">
      <c r="A418" t="s">
        <v>86</v>
      </c>
      <c r="B418" s="3">
        <v>45901</v>
      </c>
      <c r="C418">
        <v>6914.7</v>
      </c>
    </row>
    <row r="419" spans="1:3" ht="15" customHeight="1" x14ac:dyDescent="0.3">
      <c r="A419" t="s">
        <v>86</v>
      </c>
      <c r="B419" s="3">
        <v>45931</v>
      </c>
      <c r="C419">
        <v>8033.4</v>
      </c>
    </row>
    <row r="420" spans="1:3" ht="15" customHeight="1" x14ac:dyDescent="0.3">
      <c r="A420" t="s">
        <v>86</v>
      </c>
      <c r="B420" s="3">
        <v>45962</v>
      </c>
      <c r="C420">
        <v>8012.7</v>
      </c>
    </row>
    <row r="421" spans="1:3" ht="15" customHeight="1" x14ac:dyDescent="0.3">
      <c r="A421" t="s">
        <v>86</v>
      </c>
      <c r="B421" s="3">
        <v>45992</v>
      </c>
      <c r="C421">
        <v>8547.2999999999993</v>
      </c>
    </row>
    <row r="422" spans="1:3" ht="15" customHeight="1" x14ac:dyDescent="0.3">
      <c r="A422" t="s">
        <v>86</v>
      </c>
      <c r="B422" s="3">
        <v>46023</v>
      </c>
      <c r="C422">
        <v>8664.2999999999993</v>
      </c>
    </row>
    <row r="423" spans="1:3" ht="15" customHeight="1" x14ac:dyDescent="0.3">
      <c r="A423" t="s">
        <v>86</v>
      </c>
      <c r="B423" s="3">
        <v>46054</v>
      </c>
      <c r="C423">
        <v>8100</v>
      </c>
    </row>
    <row r="424" spans="1:3" ht="15" customHeight="1" x14ac:dyDescent="0.3">
      <c r="A424" t="s">
        <v>86</v>
      </c>
      <c r="B424" s="3">
        <v>46082</v>
      </c>
      <c r="C424">
        <v>7805.7</v>
      </c>
    </row>
    <row r="425" spans="1:3" ht="15" customHeight="1" x14ac:dyDescent="0.3">
      <c r="A425" t="s">
        <v>86</v>
      </c>
      <c r="B425" s="3">
        <v>46113</v>
      </c>
      <c r="C425">
        <v>6534</v>
      </c>
    </row>
    <row r="426" spans="1:3" ht="15" customHeight="1" x14ac:dyDescent="0.3">
      <c r="A426" t="s">
        <v>86</v>
      </c>
      <c r="B426" s="3">
        <v>46143</v>
      </c>
      <c r="C426">
        <v>5592.6</v>
      </c>
    </row>
    <row r="427" spans="1:3" ht="15" customHeight="1" x14ac:dyDescent="0.3">
      <c r="A427" t="s">
        <v>86</v>
      </c>
      <c r="B427" s="3">
        <v>46174</v>
      </c>
      <c r="C427">
        <v>5059.8</v>
      </c>
    </row>
    <row r="428" spans="1:3" ht="15" customHeight="1" x14ac:dyDescent="0.3">
      <c r="A428" t="s">
        <v>86</v>
      </c>
      <c r="B428" s="3">
        <v>46204</v>
      </c>
      <c r="C428">
        <v>5372.1</v>
      </c>
    </row>
    <row r="429" spans="1:3" ht="15" customHeight="1" x14ac:dyDescent="0.3">
      <c r="A429" t="s">
        <v>86</v>
      </c>
      <c r="B429" s="3">
        <v>46235</v>
      </c>
      <c r="C429">
        <v>6485.4</v>
      </c>
    </row>
    <row r="430" spans="1:3" ht="15" customHeight="1" x14ac:dyDescent="0.3">
      <c r="A430" t="s">
        <v>86</v>
      </c>
      <c r="B430" s="3">
        <v>46266</v>
      </c>
      <c r="C430">
        <v>6914.7</v>
      </c>
    </row>
    <row r="431" spans="1:3" ht="15" customHeight="1" x14ac:dyDescent="0.3">
      <c r="A431" t="s">
        <v>86</v>
      </c>
      <c r="B431" s="3">
        <v>46296</v>
      </c>
      <c r="C431">
        <v>8033.4</v>
      </c>
    </row>
    <row r="432" spans="1:3" ht="15" customHeight="1" x14ac:dyDescent="0.3">
      <c r="A432" t="s">
        <v>86</v>
      </c>
      <c r="B432" s="3">
        <v>46327</v>
      </c>
      <c r="C432">
        <v>8012.7</v>
      </c>
    </row>
    <row r="433" spans="1:3" ht="15" customHeight="1" x14ac:dyDescent="0.3">
      <c r="A433" t="s">
        <v>86</v>
      </c>
      <c r="B433" s="3">
        <v>46357</v>
      </c>
      <c r="C433">
        <v>8547.2999999999993</v>
      </c>
    </row>
    <row r="434" spans="1:3" ht="15" customHeight="1" x14ac:dyDescent="0.3">
      <c r="A434" t="s">
        <v>90</v>
      </c>
      <c r="B434" s="3">
        <v>45292</v>
      </c>
      <c r="C434">
        <v>5767.2</v>
      </c>
    </row>
    <row r="435" spans="1:3" ht="15" customHeight="1" x14ac:dyDescent="0.3">
      <c r="A435" t="s">
        <v>90</v>
      </c>
      <c r="B435" s="3">
        <v>45323</v>
      </c>
      <c r="C435">
        <v>4828.5</v>
      </c>
    </row>
    <row r="436" spans="1:3" ht="15" customHeight="1" x14ac:dyDescent="0.3">
      <c r="A436" t="s">
        <v>90</v>
      </c>
      <c r="B436" s="3">
        <v>45352</v>
      </c>
      <c r="C436">
        <v>4913.1000000000004</v>
      </c>
    </row>
    <row r="437" spans="1:3" ht="15" customHeight="1" x14ac:dyDescent="0.3">
      <c r="A437" t="s">
        <v>90</v>
      </c>
      <c r="B437" s="3">
        <v>45383</v>
      </c>
      <c r="C437">
        <v>4149.8999999999996</v>
      </c>
    </row>
    <row r="438" spans="1:3" ht="15" customHeight="1" x14ac:dyDescent="0.3">
      <c r="A438" t="s">
        <v>90</v>
      </c>
      <c r="B438" s="3">
        <v>45413</v>
      </c>
      <c r="C438">
        <v>3937.5</v>
      </c>
    </row>
    <row r="439" spans="1:3" ht="15" customHeight="1" x14ac:dyDescent="0.3">
      <c r="A439" t="s">
        <v>90</v>
      </c>
      <c r="B439" s="3">
        <v>45444</v>
      </c>
      <c r="C439">
        <v>3463.2</v>
      </c>
    </row>
    <row r="440" spans="1:3" ht="15" customHeight="1" x14ac:dyDescent="0.3">
      <c r="A440" t="s">
        <v>90</v>
      </c>
      <c r="B440" s="3">
        <v>45474</v>
      </c>
      <c r="C440">
        <v>3874.5</v>
      </c>
    </row>
    <row r="441" spans="1:3" ht="15" customHeight="1" x14ac:dyDescent="0.3">
      <c r="A441" t="s">
        <v>90</v>
      </c>
      <c r="B441" s="3">
        <v>45505</v>
      </c>
      <c r="C441">
        <v>4560.3</v>
      </c>
    </row>
    <row r="442" spans="1:3" ht="15" customHeight="1" x14ac:dyDescent="0.3">
      <c r="A442" t="s">
        <v>90</v>
      </c>
      <c r="B442" s="3">
        <v>45536</v>
      </c>
      <c r="C442">
        <v>5033.7</v>
      </c>
    </row>
    <row r="443" spans="1:3" ht="15" customHeight="1" x14ac:dyDescent="0.3">
      <c r="A443" t="s">
        <v>90</v>
      </c>
      <c r="B443" s="3">
        <v>45566</v>
      </c>
      <c r="C443">
        <v>5613.3</v>
      </c>
    </row>
    <row r="444" spans="1:3" ht="15" customHeight="1" x14ac:dyDescent="0.3">
      <c r="A444" t="s">
        <v>90</v>
      </c>
      <c r="B444" s="3">
        <v>45597</v>
      </c>
      <c r="C444">
        <v>5712.3</v>
      </c>
    </row>
    <row r="445" spans="1:3" ht="15" customHeight="1" x14ac:dyDescent="0.3">
      <c r="A445" t="s">
        <v>90</v>
      </c>
      <c r="B445" s="3">
        <v>45627</v>
      </c>
      <c r="C445">
        <v>6027.3</v>
      </c>
    </row>
    <row r="446" spans="1:3" ht="15" customHeight="1" x14ac:dyDescent="0.3">
      <c r="A446" t="s">
        <v>90</v>
      </c>
      <c r="B446" s="3">
        <v>45658</v>
      </c>
      <c r="C446">
        <v>5767.2</v>
      </c>
    </row>
    <row r="447" spans="1:3" ht="15" customHeight="1" x14ac:dyDescent="0.3">
      <c r="A447" t="s">
        <v>90</v>
      </c>
      <c r="B447" s="3">
        <v>45689</v>
      </c>
      <c r="C447">
        <v>4828.5</v>
      </c>
    </row>
    <row r="448" spans="1:3" ht="15" customHeight="1" x14ac:dyDescent="0.3">
      <c r="A448" t="s">
        <v>90</v>
      </c>
      <c r="B448" s="3">
        <v>45717</v>
      </c>
      <c r="C448">
        <v>4913.1000000000004</v>
      </c>
    </row>
    <row r="449" spans="1:3" ht="15" customHeight="1" x14ac:dyDescent="0.3">
      <c r="A449" t="s">
        <v>90</v>
      </c>
      <c r="B449" s="3">
        <v>45748</v>
      </c>
      <c r="C449">
        <v>4149.8999999999996</v>
      </c>
    </row>
    <row r="450" spans="1:3" ht="15" customHeight="1" x14ac:dyDescent="0.3">
      <c r="A450" t="s">
        <v>90</v>
      </c>
      <c r="B450" s="3">
        <v>45778</v>
      </c>
      <c r="C450">
        <v>3937.5</v>
      </c>
    </row>
    <row r="451" spans="1:3" ht="15" customHeight="1" x14ac:dyDescent="0.3">
      <c r="A451" t="s">
        <v>90</v>
      </c>
      <c r="B451" s="3">
        <v>45809</v>
      </c>
      <c r="C451">
        <v>3463.2</v>
      </c>
    </row>
    <row r="452" spans="1:3" ht="15" customHeight="1" x14ac:dyDescent="0.3">
      <c r="A452" t="s">
        <v>90</v>
      </c>
      <c r="B452" s="3">
        <v>45839</v>
      </c>
      <c r="C452">
        <v>3874.5</v>
      </c>
    </row>
    <row r="453" spans="1:3" ht="15" customHeight="1" x14ac:dyDescent="0.3">
      <c r="A453" t="s">
        <v>90</v>
      </c>
      <c r="B453" s="3">
        <v>45870</v>
      </c>
      <c r="C453">
        <v>4560.3</v>
      </c>
    </row>
    <row r="454" spans="1:3" ht="15" customHeight="1" x14ac:dyDescent="0.3">
      <c r="A454" t="s">
        <v>90</v>
      </c>
      <c r="B454" s="3">
        <v>45901</v>
      </c>
      <c r="C454">
        <v>5033.7</v>
      </c>
    </row>
    <row r="455" spans="1:3" ht="15" customHeight="1" x14ac:dyDescent="0.3">
      <c r="A455" t="s">
        <v>90</v>
      </c>
      <c r="B455" s="3">
        <v>45931</v>
      </c>
      <c r="C455">
        <v>5613.3</v>
      </c>
    </row>
    <row r="456" spans="1:3" ht="15" customHeight="1" x14ac:dyDescent="0.3">
      <c r="A456" t="s">
        <v>90</v>
      </c>
      <c r="B456" s="3">
        <v>45962</v>
      </c>
      <c r="C456">
        <v>5712.3</v>
      </c>
    </row>
    <row r="457" spans="1:3" ht="15" customHeight="1" x14ac:dyDescent="0.3">
      <c r="A457" t="s">
        <v>90</v>
      </c>
      <c r="B457" s="3">
        <v>45992</v>
      </c>
      <c r="C457">
        <v>6027.3</v>
      </c>
    </row>
    <row r="458" spans="1:3" ht="15" customHeight="1" x14ac:dyDescent="0.3">
      <c r="A458" t="s">
        <v>90</v>
      </c>
      <c r="B458" s="3">
        <v>46023</v>
      </c>
      <c r="C458">
        <v>5767.2</v>
      </c>
    </row>
    <row r="459" spans="1:3" ht="15" customHeight="1" x14ac:dyDescent="0.3">
      <c r="A459" t="s">
        <v>90</v>
      </c>
      <c r="B459" s="3">
        <v>46054</v>
      </c>
      <c r="C459">
        <v>4828.5</v>
      </c>
    </row>
    <row r="460" spans="1:3" ht="15" customHeight="1" x14ac:dyDescent="0.3">
      <c r="A460" t="s">
        <v>90</v>
      </c>
      <c r="B460" s="3">
        <v>46082</v>
      </c>
      <c r="C460">
        <v>4913.1000000000004</v>
      </c>
    </row>
    <row r="461" spans="1:3" ht="15" customHeight="1" x14ac:dyDescent="0.3">
      <c r="A461" t="s">
        <v>90</v>
      </c>
      <c r="B461" s="3">
        <v>46113</v>
      </c>
      <c r="C461">
        <v>4149.8999999999996</v>
      </c>
    </row>
    <row r="462" spans="1:3" ht="15" customHeight="1" x14ac:dyDescent="0.3">
      <c r="A462" t="s">
        <v>90</v>
      </c>
      <c r="B462" s="3">
        <v>46143</v>
      </c>
      <c r="C462">
        <v>3937.5</v>
      </c>
    </row>
    <row r="463" spans="1:3" ht="15" customHeight="1" x14ac:dyDescent="0.3">
      <c r="A463" t="s">
        <v>90</v>
      </c>
      <c r="B463" s="3">
        <v>46174</v>
      </c>
      <c r="C463">
        <v>3463.2</v>
      </c>
    </row>
    <row r="464" spans="1:3" ht="15" customHeight="1" x14ac:dyDescent="0.3">
      <c r="A464" t="s">
        <v>90</v>
      </c>
      <c r="B464" s="3">
        <v>46204</v>
      </c>
      <c r="C464">
        <v>3874.5</v>
      </c>
    </row>
    <row r="465" spans="1:3" ht="15" customHeight="1" x14ac:dyDescent="0.3">
      <c r="A465" t="s">
        <v>90</v>
      </c>
      <c r="B465" s="3">
        <v>46235</v>
      </c>
      <c r="C465">
        <v>4560.3</v>
      </c>
    </row>
    <row r="466" spans="1:3" ht="15" customHeight="1" x14ac:dyDescent="0.3">
      <c r="A466" t="s">
        <v>90</v>
      </c>
      <c r="B466" s="3">
        <v>46266</v>
      </c>
      <c r="C466">
        <v>5033.7</v>
      </c>
    </row>
    <row r="467" spans="1:3" ht="15" customHeight="1" x14ac:dyDescent="0.3">
      <c r="A467" t="s">
        <v>90</v>
      </c>
      <c r="B467" s="3">
        <v>46296</v>
      </c>
      <c r="C467">
        <v>5613.3</v>
      </c>
    </row>
    <row r="468" spans="1:3" ht="15" customHeight="1" x14ac:dyDescent="0.3">
      <c r="A468" t="s">
        <v>90</v>
      </c>
      <c r="B468" s="3">
        <v>46327</v>
      </c>
      <c r="C468">
        <v>5712.3</v>
      </c>
    </row>
    <row r="469" spans="1:3" ht="15" customHeight="1" x14ac:dyDescent="0.3">
      <c r="A469" t="s">
        <v>90</v>
      </c>
      <c r="B469" s="3">
        <v>46357</v>
      </c>
      <c r="C469">
        <v>6027.3</v>
      </c>
    </row>
    <row r="470" spans="1:3" ht="15" customHeight="1" x14ac:dyDescent="0.3">
      <c r="A470" t="s">
        <v>95</v>
      </c>
      <c r="B470" s="3">
        <v>45292</v>
      </c>
      <c r="C470">
        <v>4897.0200000000004</v>
      </c>
    </row>
    <row r="471" spans="1:3" ht="15" customHeight="1" x14ac:dyDescent="0.3">
      <c r="A471" t="s">
        <v>95</v>
      </c>
      <c r="B471" s="3">
        <v>45323</v>
      </c>
      <c r="C471">
        <v>4496.2449999999999</v>
      </c>
    </row>
    <row r="472" spans="1:3" ht="15" customHeight="1" x14ac:dyDescent="0.3">
      <c r="A472" t="s">
        <v>95</v>
      </c>
      <c r="B472" s="3">
        <v>45352</v>
      </c>
      <c r="C472">
        <v>4548.6049999999996</v>
      </c>
    </row>
    <row r="473" spans="1:3" ht="15" customHeight="1" x14ac:dyDescent="0.3">
      <c r="A473" t="s">
        <v>95</v>
      </c>
      <c r="B473" s="3">
        <v>45383</v>
      </c>
      <c r="C473">
        <v>3805.1950000000002</v>
      </c>
    </row>
    <row r="474" spans="1:3" ht="15" customHeight="1" x14ac:dyDescent="0.3">
      <c r="A474" t="s">
        <v>95</v>
      </c>
      <c r="B474" s="3">
        <v>45413</v>
      </c>
      <c r="C474">
        <v>3522.57</v>
      </c>
    </row>
    <row r="475" spans="1:3" ht="15" customHeight="1" x14ac:dyDescent="0.3">
      <c r="A475" t="s">
        <v>95</v>
      </c>
      <c r="B475" s="3">
        <v>45444</v>
      </c>
      <c r="C475">
        <v>3187.9250000000002</v>
      </c>
    </row>
    <row r="476" spans="1:3" ht="15" customHeight="1" x14ac:dyDescent="0.3">
      <c r="A476" t="s">
        <v>95</v>
      </c>
      <c r="B476" s="3">
        <v>45474</v>
      </c>
      <c r="C476">
        <v>3416.15</v>
      </c>
    </row>
    <row r="477" spans="1:3" ht="15" customHeight="1" x14ac:dyDescent="0.3">
      <c r="A477" t="s">
        <v>95</v>
      </c>
      <c r="B477" s="3">
        <v>45505</v>
      </c>
      <c r="C477">
        <v>3857.0450000000001</v>
      </c>
    </row>
    <row r="478" spans="1:3" ht="15" customHeight="1" x14ac:dyDescent="0.3">
      <c r="A478" t="s">
        <v>95</v>
      </c>
      <c r="B478" s="3">
        <v>45536</v>
      </c>
      <c r="C478">
        <v>3805.7049999999999</v>
      </c>
    </row>
    <row r="479" spans="1:3" ht="15" customHeight="1" x14ac:dyDescent="0.3">
      <c r="A479" t="s">
        <v>95</v>
      </c>
      <c r="B479" s="3">
        <v>45566</v>
      </c>
      <c r="C479">
        <v>4238.6949999999997</v>
      </c>
    </row>
    <row r="480" spans="1:3" ht="15" customHeight="1" x14ac:dyDescent="0.3">
      <c r="A480" t="s">
        <v>95</v>
      </c>
      <c r="B480" s="3">
        <v>45597</v>
      </c>
      <c r="C480">
        <v>4335.34</v>
      </c>
    </row>
    <row r="481" spans="1:3" ht="15" customHeight="1" x14ac:dyDescent="0.3">
      <c r="A481" t="s">
        <v>95</v>
      </c>
      <c r="B481" s="3">
        <v>45627</v>
      </c>
      <c r="C481">
        <v>5058.01</v>
      </c>
    </row>
    <row r="482" spans="1:3" ht="15" customHeight="1" x14ac:dyDescent="0.3">
      <c r="A482" t="s">
        <v>95</v>
      </c>
      <c r="B482" s="3">
        <v>45658</v>
      </c>
      <c r="C482">
        <v>4897.0200000000004</v>
      </c>
    </row>
    <row r="483" spans="1:3" ht="15" customHeight="1" x14ac:dyDescent="0.3">
      <c r="A483" t="s">
        <v>95</v>
      </c>
      <c r="B483" s="3">
        <v>45689</v>
      </c>
      <c r="C483">
        <v>4496.2449999999999</v>
      </c>
    </row>
    <row r="484" spans="1:3" ht="15" customHeight="1" x14ac:dyDescent="0.3">
      <c r="A484" t="s">
        <v>95</v>
      </c>
      <c r="B484" s="3">
        <v>45717</v>
      </c>
      <c r="C484">
        <v>4548.6049999999996</v>
      </c>
    </row>
    <row r="485" spans="1:3" ht="15" customHeight="1" x14ac:dyDescent="0.3">
      <c r="A485" t="s">
        <v>95</v>
      </c>
      <c r="B485" s="3">
        <v>45748</v>
      </c>
      <c r="C485">
        <v>3805.1950000000002</v>
      </c>
    </row>
    <row r="486" spans="1:3" ht="15" customHeight="1" x14ac:dyDescent="0.3">
      <c r="A486" t="s">
        <v>95</v>
      </c>
      <c r="B486" s="3">
        <v>45778</v>
      </c>
      <c r="C486">
        <v>3522.57</v>
      </c>
    </row>
    <row r="487" spans="1:3" ht="15" customHeight="1" x14ac:dyDescent="0.3">
      <c r="A487" t="s">
        <v>95</v>
      </c>
      <c r="B487" s="3">
        <v>45809</v>
      </c>
      <c r="C487">
        <v>3187.9250000000002</v>
      </c>
    </row>
    <row r="488" spans="1:3" ht="15" customHeight="1" x14ac:dyDescent="0.3">
      <c r="A488" t="s">
        <v>95</v>
      </c>
      <c r="B488" s="3">
        <v>45839</v>
      </c>
      <c r="C488">
        <v>3416.15</v>
      </c>
    </row>
    <row r="489" spans="1:3" ht="15" customHeight="1" x14ac:dyDescent="0.3">
      <c r="A489" t="s">
        <v>95</v>
      </c>
      <c r="B489" s="3">
        <v>45870</v>
      </c>
      <c r="C489">
        <v>3857.0450000000001</v>
      </c>
    </row>
    <row r="490" spans="1:3" ht="15" customHeight="1" x14ac:dyDescent="0.3">
      <c r="A490" t="s">
        <v>95</v>
      </c>
      <c r="B490" s="3">
        <v>45901</v>
      </c>
      <c r="C490">
        <v>3805.7049999999999</v>
      </c>
    </row>
    <row r="491" spans="1:3" ht="15" customHeight="1" x14ac:dyDescent="0.3">
      <c r="A491" t="s">
        <v>95</v>
      </c>
      <c r="B491" s="3">
        <v>45931</v>
      </c>
      <c r="C491">
        <v>4238.6949999999997</v>
      </c>
    </row>
    <row r="492" spans="1:3" ht="15" customHeight="1" x14ac:dyDescent="0.3">
      <c r="A492" t="s">
        <v>95</v>
      </c>
      <c r="B492" s="3">
        <v>45962</v>
      </c>
      <c r="C492">
        <v>4335.34</v>
      </c>
    </row>
    <row r="493" spans="1:3" ht="15" customHeight="1" x14ac:dyDescent="0.3">
      <c r="A493" t="s">
        <v>95</v>
      </c>
      <c r="B493" s="3">
        <v>45992</v>
      </c>
      <c r="C493">
        <v>5058.01</v>
      </c>
    </row>
    <row r="494" spans="1:3" ht="15" customHeight="1" x14ac:dyDescent="0.3">
      <c r="A494" t="s">
        <v>95</v>
      </c>
      <c r="B494" s="3">
        <v>46023</v>
      </c>
      <c r="C494">
        <v>4897.0200000000004</v>
      </c>
    </row>
    <row r="495" spans="1:3" ht="15" customHeight="1" x14ac:dyDescent="0.3">
      <c r="A495" t="s">
        <v>95</v>
      </c>
      <c r="B495" s="3">
        <v>46054</v>
      </c>
      <c r="C495">
        <v>4496.2449999999999</v>
      </c>
    </row>
    <row r="496" spans="1:3" ht="15" customHeight="1" x14ac:dyDescent="0.3">
      <c r="A496" t="s">
        <v>95</v>
      </c>
      <c r="B496" s="3">
        <v>46082</v>
      </c>
      <c r="C496">
        <v>4548.6049999999996</v>
      </c>
    </row>
    <row r="497" spans="1:3" ht="15" customHeight="1" x14ac:dyDescent="0.3">
      <c r="A497" t="s">
        <v>95</v>
      </c>
      <c r="B497" s="3">
        <v>46113</v>
      </c>
      <c r="C497">
        <v>3805.1950000000002</v>
      </c>
    </row>
    <row r="498" spans="1:3" ht="15" customHeight="1" x14ac:dyDescent="0.3">
      <c r="A498" t="s">
        <v>95</v>
      </c>
      <c r="B498" s="3">
        <v>46143</v>
      </c>
      <c r="C498">
        <v>3522.57</v>
      </c>
    </row>
    <row r="499" spans="1:3" ht="15" customHeight="1" x14ac:dyDescent="0.3">
      <c r="A499" t="s">
        <v>95</v>
      </c>
      <c r="B499" s="3">
        <v>46174</v>
      </c>
      <c r="C499">
        <v>3187.9250000000002</v>
      </c>
    </row>
    <row r="500" spans="1:3" ht="15" customHeight="1" x14ac:dyDescent="0.3">
      <c r="A500" t="s">
        <v>95</v>
      </c>
      <c r="B500" s="3">
        <v>46204</v>
      </c>
      <c r="C500">
        <v>3416.15</v>
      </c>
    </row>
    <row r="501" spans="1:3" ht="15" customHeight="1" x14ac:dyDescent="0.3">
      <c r="A501" t="s">
        <v>95</v>
      </c>
      <c r="B501" s="3">
        <v>46235</v>
      </c>
      <c r="C501">
        <v>3857.0450000000001</v>
      </c>
    </row>
    <row r="502" spans="1:3" ht="15" customHeight="1" x14ac:dyDescent="0.3">
      <c r="A502" t="s">
        <v>95</v>
      </c>
      <c r="B502" s="3">
        <v>46266</v>
      </c>
      <c r="C502">
        <v>3805.7049999999999</v>
      </c>
    </row>
    <row r="503" spans="1:3" ht="15" customHeight="1" x14ac:dyDescent="0.3">
      <c r="A503" t="s">
        <v>95</v>
      </c>
      <c r="B503" s="3">
        <v>46296</v>
      </c>
      <c r="C503">
        <v>4238.6949999999997</v>
      </c>
    </row>
    <row r="504" spans="1:3" ht="15" customHeight="1" x14ac:dyDescent="0.3">
      <c r="A504" t="s">
        <v>95</v>
      </c>
      <c r="B504" s="3">
        <v>46327</v>
      </c>
      <c r="C504">
        <v>4335.34</v>
      </c>
    </row>
    <row r="505" spans="1:3" ht="15" customHeight="1" x14ac:dyDescent="0.3">
      <c r="A505" t="s">
        <v>95</v>
      </c>
      <c r="B505" s="3">
        <v>46357</v>
      </c>
      <c r="C505">
        <v>5058.01</v>
      </c>
    </row>
    <row r="506" spans="1:3" ht="15" customHeight="1" x14ac:dyDescent="0.3">
      <c r="A506" t="s">
        <v>98</v>
      </c>
      <c r="B506" s="3">
        <v>45292</v>
      </c>
      <c r="C506">
        <v>11798.1</v>
      </c>
    </row>
    <row r="507" spans="1:3" ht="15" customHeight="1" x14ac:dyDescent="0.3">
      <c r="A507" t="s">
        <v>98</v>
      </c>
      <c r="B507" s="3">
        <v>45323</v>
      </c>
      <c r="C507">
        <v>10269.9</v>
      </c>
    </row>
    <row r="508" spans="1:3" ht="15" customHeight="1" x14ac:dyDescent="0.3">
      <c r="A508" t="s">
        <v>98</v>
      </c>
      <c r="B508" s="3">
        <v>45352</v>
      </c>
      <c r="C508">
        <v>10571.4</v>
      </c>
    </row>
    <row r="509" spans="1:3" ht="15" customHeight="1" x14ac:dyDescent="0.3">
      <c r="A509" t="s">
        <v>98</v>
      </c>
      <c r="B509" s="3">
        <v>45383</v>
      </c>
      <c r="C509">
        <v>8335.7999999999993</v>
      </c>
    </row>
    <row r="510" spans="1:3" ht="15" customHeight="1" x14ac:dyDescent="0.3">
      <c r="A510" t="s">
        <v>98</v>
      </c>
      <c r="B510" s="3">
        <v>45413</v>
      </c>
      <c r="C510">
        <v>6723.9</v>
      </c>
    </row>
    <row r="511" spans="1:3" ht="15" customHeight="1" x14ac:dyDescent="0.3">
      <c r="A511" t="s">
        <v>98</v>
      </c>
      <c r="B511" s="3">
        <v>45444</v>
      </c>
      <c r="C511">
        <v>5859.9</v>
      </c>
    </row>
    <row r="512" spans="1:3" ht="15" customHeight="1" x14ac:dyDescent="0.3">
      <c r="A512" t="s">
        <v>98</v>
      </c>
      <c r="B512" s="3">
        <v>45474</v>
      </c>
      <c r="C512">
        <v>6453</v>
      </c>
    </row>
    <row r="513" spans="1:3" ht="15" customHeight="1" x14ac:dyDescent="0.3">
      <c r="A513" t="s">
        <v>98</v>
      </c>
      <c r="B513" s="3">
        <v>45505</v>
      </c>
      <c r="C513">
        <v>7491.6</v>
      </c>
    </row>
    <row r="514" spans="1:3" ht="15" customHeight="1" x14ac:dyDescent="0.3">
      <c r="A514" t="s">
        <v>98</v>
      </c>
      <c r="B514" s="3">
        <v>45536</v>
      </c>
      <c r="C514">
        <v>8864.1</v>
      </c>
    </row>
    <row r="515" spans="1:3" ht="15" customHeight="1" x14ac:dyDescent="0.3">
      <c r="A515" t="s">
        <v>98</v>
      </c>
      <c r="B515" s="3">
        <v>45566</v>
      </c>
      <c r="C515">
        <v>10361.700000000001</v>
      </c>
    </row>
    <row r="516" spans="1:3" ht="15" customHeight="1" x14ac:dyDescent="0.3">
      <c r="A516" t="s">
        <v>98</v>
      </c>
      <c r="B516" s="3">
        <v>45597</v>
      </c>
      <c r="C516">
        <v>10972.8</v>
      </c>
    </row>
    <row r="517" spans="1:3" ht="15" customHeight="1" x14ac:dyDescent="0.3">
      <c r="A517" t="s">
        <v>98</v>
      </c>
      <c r="B517" s="3">
        <v>45627</v>
      </c>
      <c r="C517">
        <v>11630.7</v>
      </c>
    </row>
    <row r="518" spans="1:3" ht="15" customHeight="1" x14ac:dyDescent="0.3">
      <c r="A518" t="s">
        <v>98</v>
      </c>
      <c r="B518" s="3">
        <v>45658</v>
      </c>
      <c r="C518">
        <v>11798.1</v>
      </c>
    </row>
    <row r="519" spans="1:3" ht="15" customHeight="1" x14ac:dyDescent="0.3">
      <c r="A519" t="s">
        <v>98</v>
      </c>
      <c r="B519" s="3">
        <v>45689</v>
      </c>
      <c r="C519">
        <v>10269.9</v>
      </c>
    </row>
    <row r="520" spans="1:3" ht="15" customHeight="1" x14ac:dyDescent="0.3">
      <c r="A520" t="s">
        <v>98</v>
      </c>
      <c r="B520" s="3">
        <v>45717</v>
      </c>
      <c r="C520">
        <v>10571.4</v>
      </c>
    </row>
    <row r="521" spans="1:3" ht="15" customHeight="1" x14ac:dyDescent="0.3">
      <c r="A521" t="s">
        <v>98</v>
      </c>
      <c r="B521" s="3">
        <v>45748</v>
      </c>
      <c r="C521">
        <v>8335.7999999999993</v>
      </c>
    </row>
    <row r="522" spans="1:3" ht="15" customHeight="1" x14ac:dyDescent="0.3">
      <c r="A522" t="s">
        <v>98</v>
      </c>
      <c r="B522" s="3">
        <v>45778</v>
      </c>
      <c r="C522">
        <v>6723.9</v>
      </c>
    </row>
    <row r="523" spans="1:3" ht="15" customHeight="1" x14ac:dyDescent="0.3">
      <c r="A523" t="s">
        <v>98</v>
      </c>
      <c r="B523" s="3">
        <v>45809</v>
      </c>
      <c r="C523">
        <v>5859.9</v>
      </c>
    </row>
    <row r="524" spans="1:3" ht="15" customHeight="1" x14ac:dyDescent="0.3">
      <c r="A524" t="s">
        <v>98</v>
      </c>
      <c r="B524" s="3">
        <v>45839</v>
      </c>
      <c r="C524">
        <v>6453</v>
      </c>
    </row>
    <row r="525" spans="1:3" ht="15" customHeight="1" x14ac:dyDescent="0.3">
      <c r="A525" t="s">
        <v>98</v>
      </c>
      <c r="B525" s="3">
        <v>45870</v>
      </c>
      <c r="C525">
        <v>7491.6</v>
      </c>
    </row>
    <row r="526" spans="1:3" ht="15" customHeight="1" x14ac:dyDescent="0.3">
      <c r="A526" t="s">
        <v>98</v>
      </c>
      <c r="B526" s="3">
        <v>45901</v>
      </c>
      <c r="C526">
        <v>8864.1</v>
      </c>
    </row>
    <row r="527" spans="1:3" ht="15" customHeight="1" x14ac:dyDescent="0.3">
      <c r="A527" t="s">
        <v>98</v>
      </c>
      <c r="B527" s="3">
        <v>45931</v>
      </c>
      <c r="C527">
        <v>10361.700000000001</v>
      </c>
    </row>
    <row r="528" spans="1:3" ht="15" customHeight="1" x14ac:dyDescent="0.3">
      <c r="A528" t="s">
        <v>98</v>
      </c>
      <c r="B528" s="3">
        <v>45962</v>
      </c>
      <c r="C528">
        <v>10972.8</v>
      </c>
    </row>
    <row r="529" spans="1:3" ht="15" customHeight="1" x14ac:dyDescent="0.3">
      <c r="A529" t="s">
        <v>98</v>
      </c>
      <c r="B529" s="3">
        <v>45992</v>
      </c>
      <c r="C529">
        <v>11630.7</v>
      </c>
    </row>
    <row r="530" spans="1:3" ht="15" customHeight="1" x14ac:dyDescent="0.3">
      <c r="A530" t="s">
        <v>98</v>
      </c>
      <c r="B530" s="3">
        <v>46023</v>
      </c>
      <c r="C530">
        <v>11798.1</v>
      </c>
    </row>
    <row r="531" spans="1:3" ht="15" customHeight="1" x14ac:dyDescent="0.3">
      <c r="A531" t="s">
        <v>98</v>
      </c>
      <c r="B531" s="3">
        <v>46054</v>
      </c>
      <c r="C531">
        <v>10269.9</v>
      </c>
    </row>
    <row r="532" spans="1:3" ht="15" customHeight="1" x14ac:dyDescent="0.3">
      <c r="A532" t="s">
        <v>98</v>
      </c>
      <c r="B532" s="3">
        <v>46082</v>
      </c>
      <c r="C532">
        <v>10571.4</v>
      </c>
    </row>
    <row r="533" spans="1:3" ht="15" customHeight="1" x14ac:dyDescent="0.3">
      <c r="A533" t="s">
        <v>98</v>
      </c>
      <c r="B533" s="3">
        <v>46113</v>
      </c>
      <c r="C533">
        <v>8335.7999999999993</v>
      </c>
    </row>
    <row r="534" spans="1:3" ht="15" customHeight="1" x14ac:dyDescent="0.3">
      <c r="A534" t="s">
        <v>98</v>
      </c>
      <c r="B534" s="3">
        <v>46143</v>
      </c>
      <c r="C534">
        <v>6723.9</v>
      </c>
    </row>
    <row r="535" spans="1:3" ht="15" customHeight="1" x14ac:dyDescent="0.3">
      <c r="A535" t="s">
        <v>98</v>
      </c>
      <c r="B535" s="3">
        <v>46174</v>
      </c>
      <c r="C535">
        <v>5859.9</v>
      </c>
    </row>
    <row r="536" spans="1:3" ht="15" customHeight="1" x14ac:dyDescent="0.3">
      <c r="A536" t="s">
        <v>98</v>
      </c>
      <c r="B536" s="3">
        <v>46204</v>
      </c>
      <c r="C536">
        <v>6453</v>
      </c>
    </row>
    <row r="537" spans="1:3" ht="15" customHeight="1" x14ac:dyDescent="0.3">
      <c r="A537" t="s">
        <v>98</v>
      </c>
      <c r="B537" s="3">
        <v>46235</v>
      </c>
      <c r="C537">
        <v>7491.6</v>
      </c>
    </row>
    <row r="538" spans="1:3" ht="15" customHeight="1" x14ac:dyDescent="0.3">
      <c r="A538" t="s">
        <v>98</v>
      </c>
      <c r="B538" s="3">
        <v>46266</v>
      </c>
      <c r="C538">
        <v>8864.1</v>
      </c>
    </row>
    <row r="539" spans="1:3" ht="15" customHeight="1" x14ac:dyDescent="0.3">
      <c r="A539" t="s">
        <v>98</v>
      </c>
      <c r="B539" s="3">
        <v>46296</v>
      </c>
      <c r="C539">
        <v>10361.700000000001</v>
      </c>
    </row>
    <row r="540" spans="1:3" ht="15" customHeight="1" x14ac:dyDescent="0.3">
      <c r="A540" t="s">
        <v>98</v>
      </c>
      <c r="B540" s="3">
        <v>46327</v>
      </c>
      <c r="C540">
        <v>10972.8</v>
      </c>
    </row>
    <row r="541" spans="1:3" ht="15" customHeight="1" x14ac:dyDescent="0.3">
      <c r="A541" t="s">
        <v>98</v>
      </c>
      <c r="B541" s="3">
        <v>46357</v>
      </c>
      <c r="C541">
        <v>11630.7</v>
      </c>
    </row>
    <row r="542" spans="1:3" ht="15" customHeight="1" x14ac:dyDescent="0.3">
      <c r="A542" t="s">
        <v>100</v>
      </c>
      <c r="B542" s="3">
        <v>45292</v>
      </c>
      <c r="C542">
        <v>33516</v>
      </c>
    </row>
    <row r="543" spans="1:3" ht="15" customHeight="1" x14ac:dyDescent="0.3">
      <c r="A543" t="s">
        <v>100</v>
      </c>
      <c r="B543" s="3">
        <v>45323</v>
      </c>
      <c r="C543">
        <v>28776.799999999999</v>
      </c>
    </row>
    <row r="544" spans="1:3" ht="15" customHeight="1" x14ac:dyDescent="0.3">
      <c r="A544" t="s">
        <v>100</v>
      </c>
      <c r="B544" s="3">
        <v>45352</v>
      </c>
      <c r="C544">
        <v>29186.400000000001</v>
      </c>
    </row>
    <row r="545" spans="1:3" ht="15" customHeight="1" x14ac:dyDescent="0.3">
      <c r="A545" t="s">
        <v>100</v>
      </c>
      <c r="B545" s="3">
        <v>45383</v>
      </c>
      <c r="C545">
        <v>24678.400000000001</v>
      </c>
    </row>
    <row r="546" spans="1:3" ht="15" customHeight="1" x14ac:dyDescent="0.3">
      <c r="A546" t="s">
        <v>100</v>
      </c>
      <c r="B546" s="3">
        <v>45413</v>
      </c>
      <c r="C546">
        <v>23380.799999999999</v>
      </c>
    </row>
    <row r="547" spans="1:3" ht="15" customHeight="1" x14ac:dyDescent="0.3">
      <c r="A547" t="s">
        <v>100</v>
      </c>
      <c r="B547" s="3">
        <v>45444</v>
      </c>
      <c r="C547">
        <v>20986.400000000001</v>
      </c>
    </row>
    <row r="548" spans="1:3" ht="15" customHeight="1" x14ac:dyDescent="0.3">
      <c r="A548" t="s">
        <v>100</v>
      </c>
      <c r="B548" s="3">
        <v>45474</v>
      </c>
      <c r="C548">
        <v>23255.200000000001</v>
      </c>
    </row>
    <row r="549" spans="1:3" ht="15" customHeight="1" x14ac:dyDescent="0.3">
      <c r="A549" t="s">
        <v>100</v>
      </c>
      <c r="B549" s="3">
        <v>45505</v>
      </c>
      <c r="C549">
        <v>27306.400000000001</v>
      </c>
    </row>
    <row r="550" spans="1:3" ht="15" customHeight="1" x14ac:dyDescent="0.3">
      <c r="A550" t="s">
        <v>100</v>
      </c>
      <c r="B550" s="3">
        <v>45536</v>
      </c>
      <c r="C550">
        <v>30312</v>
      </c>
    </row>
    <row r="551" spans="1:3" ht="15" customHeight="1" x14ac:dyDescent="0.3">
      <c r="A551" t="s">
        <v>100</v>
      </c>
      <c r="B551" s="3">
        <v>45566</v>
      </c>
      <c r="C551">
        <v>33024</v>
      </c>
    </row>
    <row r="552" spans="1:3" ht="15" customHeight="1" x14ac:dyDescent="0.3">
      <c r="A552" t="s">
        <v>100</v>
      </c>
      <c r="B552" s="3">
        <v>45597</v>
      </c>
      <c r="C552">
        <v>33214.400000000001</v>
      </c>
    </row>
    <row r="553" spans="1:3" ht="15" customHeight="1" x14ac:dyDescent="0.3">
      <c r="A553" t="s">
        <v>100</v>
      </c>
      <c r="B553" s="3">
        <v>45627</v>
      </c>
      <c r="C553">
        <v>35066.400000000001</v>
      </c>
    </row>
    <row r="554" spans="1:3" ht="15" customHeight="1" x14ac:dyDescent="0.3">
      <c r="A554" t="s">
        <v>100</v>
      </c>
      <c r="B554" s="3">
        <v>45658</v>
      </c>
      <c r="C554">
        <v>33516</v>
      </c>
    </row>
    <row r="555" spans="1:3" ht="15" customHeight="1" x14ac:dyDescent="0.3">
      <c r="A555" t="s">
        <v>100</v>
      </c>
      <c r="B555" s="3">
        <v>45689</v>
      </c>
      <c r="C555">
        <v>28776.799999999999</v>
      </c>
    </row>
    <row r="556" spans="1:3" ht="15" customHeight="1" x14ac:dyDescent="0.3">
      <c r="A556" t="s">
        <v>100</v>
      </c>
      <c r="B556" s="3">
        <v>45717</v>
      </c>
      <c r="C556">
        <v>29186.400000000001</v>
      </c>
    </row>
    <row r="557" spans="1:3" ht="15" customHeight="1" x14ac:dyDescent="0.3">
      <c r="A557" t="s">
        <v>100</v>
      </c>
      <c r="B557" s="3">
        <v>45748</v>
      </c>
      <c r="C557">
        <v>24678.400000000001</v>
      </c>
    </row>
    <row r="558" spans="1:3" ht="15" customHeight="1" x14ac:dyDescent="0.3">
      <c r="A558" t="s">
        <v>100</v>
      </c>
      <c r="B558" s="3">
        <v>45778</v>
      </c>
      <c r="C558">
        <v>23380.799999999999</v>
      </c>
    </row>
    <row r="559" spans="1:3" ht="15" customHeight="1" x14ac:dyDescent="0.3">
      <c r="A559" t="s">
        <v>100</v>
      </c>
      <c r="B559" s="3">
        <v>45809</v>
      </c>
      <c r="C559">
        <v>20986.400000000001</v>
      </c>
    </row>
    <row r="560" spans="1:3" ht="15" customHeight="1" x14ac:dyDescent="0.3">
      <c r="A560" t="s">
        <v>100</v>
      </c>
      <c r="B560" s="3">
        <v>45839</v>
      </c>
      <c r="C560">
        <v>23255.200000000001</v>
      </c>
    </row>
    <row r="561" spans="1:3" ht="15" customHeight="1" x14ac:dyDescent="0.3">
      <c r="A561" t="s">
        <v>100</v>
      </c>
      <c r="B561" s="3">
        <v>45870</v>
      </c>
      <c r="C561">
        <v>27306.400000000001</v>
      </c>
    </row>
    <row r="562" spans="1:3" ht="15" customHeight="1" x14ac:dyDescent="0.3">
      <c r="A562" t="s">
        <v>100</v>
      </c>
      <c r="B562" s="3">
        <v>45901</v>
      </c>
      <c r="C562">
        <v>30312</v>
      </c>
    </row>
    <row r="563" spans="1:3" ht="15" customHeight="1" x14ac:dyDescent="0.3">
      <c r="A563" t="s">
        <v>100</v>
      </c>
      <c r="B563" s="3">
        <v>45931</v>
      </c>
      <c r="C563">
        <v>33024</v>
      </c>
    </row>
    <row r="564" spans="1:3" ht="15" customHeight="1" x14ac:dyDescent="0.3">
      <c r="A564" t="s">
        <v>100</v>
      </c>
      <c r="B564" s="3">
        <v>45962</v>
      </c>
      <c r="C564">
        <v>33214.400000000001</v>
      </c>
    </row>
    <row r="565" spans="1:3" ht="15" customHeight="1" x14ac:dyDescent="0.3">
      <c r="A565" t="s">
        <v>100</v>
      </c>
      <c r="B565" s="3">
        <v>45992</v>
      </c>
      <c r="C565">
        <v>35066.400000000001</v>
      </c>
    </row>
    <row r="566" spans="1:3" ht="15" customHeight="1" x14ac:dyDescent="0.3">
      <c r="A566" t="s">
        <v>100</v>
      </c>
      <c r="B566" s="3">
        <v>46023</v>
      </c>
      <c r="C566">
        <v>33516</v>
      </c>
    </row>
    <row r="567" spans="1:3" ht="15" customHeight="1" x14ac:dyDescent="0.3">
      <c r="A567" t="s">
        <v>100</v>
      </c>
      <c r="B567" s="3">
        <v>46054</v>
      </c>
      <c r="C567">
        <v>28776.799999999999</v>
      </c>
    </row>
    <row r="568" spans="1:3" ht="15" customHeight="1" x14ac:dyDescent="0.3">
      <c r="A568" t="s">
        <v>100</v>
      </c>
      <c r="B568" s="3">
        <v>46082</v>
      </c>
      <c r="C568">
        <v>29186.400000000001</v>
      </c>
    </row>
    <row r="569" spans="1:3" ht="15" customHeight="1" x14ac:dyDescent="0.3">
      <c r="A569" t="s">
        <v>100</v>
      </c>
      <c r="B569" s="3">
        <v>46113</v>
      </c>
      <c r="C569">
        <v>24678.400000000001</v>
      </c>
    </row>
    <row r="570" spans="1:3" ht="15" customHeight="1" x14ac:dyDescent="0.3">
      <c r="A570" t="s">
        <v>100</v>
      </c>
      <c r="B570" s="3">
        <v>46143</v>
      </c>
      <c r="C570">
        <v>23380.799999999999</v>
      </c>
    </row>
    <row r="571" spans="1:3" ht="15" customHeight="1" x14ac:dyDescent="0.3">
      <c r="A571" t="s">
        <v>100</v>
      </c>
      <c r="B571" s="3">
        <v>46174</v>
      </c>
      <c r="C571">
        <v>20986.400000000001</v>
      </c>
    </row>
    <row r="572" spans="1:3" ht="15" customHeight="1" x14ac:dyDescent="0.3">
      <c r="A572" t="s">
        <v>100</v>
      </c>
      <c r="B572" s="3">
        <v>46204</v>
      </c>
      <c r="C572">
        <v>23255.200000000001</v>
      </c>
    </row>
    <row r="573" spans="1:3" ht="15" customHeight="1" x14ac:dyDescent="0.3">
      <c r="A573" t="s">
        <v>100</v>
      </c>
      <c r="B573" s="3">
        <v>46235</v>
      </c>
      <c r="C573">
        <v>27306.400000000001</v>
      </c>
    </row>
    <row r="574" spans="1:3" ht="15" customHeight="1" x14ac:dyDescent="0.3">
      <c r="A574" t="s">
        <v>100</v>
      </c>
      <c r="B574" s="3">
        <v>46266</v>
      </c>
      <c r="C574">
        <v>30312</v>
      </c>
    </row>
    <row r="575" spans="1:3" ht="15" customHeight="1" x14ac:dyDescent="0.3">
      <c r="A575" t="s">
        <v>100</v>
      </c>
      <c r="B575" s="3">
        <v>46296</v>
      </c>
      <c r="C575">
        <v>33024</v>
      </c>
    </row>
    <row r="576" spans="1:3" ht="15" customHeight="1" x14ac:dyDescent="0.3">
      <c r="A576" t="s">
        <v>100</v>
      </c>
      <c r="B576" s="3">
        <v>46327</v>
      </c>
      <c r="C576">
        <v>33214.400000000001</v>
      </c>
    </row>
    <row r="577" spans="1:3" ht="15" customHeight="1" x14ac:dyDescent="0.3">
      <c r="A577" t="s">
        <v>100</v>
      </c>
      <c r="B577" s="3">
        <v>46357</v>
      </c>
      <c r="C577">
        <v>35066.400000000001</v>
      </c>
    </row>
    <row r="578" spans="1:3" ht="15" customHeight="1" x14ac:dyDescent="0.3">
      <c r="A578" t="s">
        <v>252</v>
      </c>
      <c r="B578" s="3">
        <v>45292</v>
      </c>
      <c r="C578">
        <v>2461.5</v>
      </c>
    </row>
    <row r="579" spans="1:3" ht="15" customHeight="1" x14ac:dyDescent="0.3">
      <c r="A579" t="s">
        <v>252</v>
      </c>
      <c r="B579" s="3">
        <v>45323</v>
      </c>
      <c r="C579">
        <v>2300.4</v>
      </c>
    </row>
    <row r="580" spans="1:3" ht="15" customHeight="1" x14ac:dyDescent="0.3">
      <c r="A580" t="s">
        <v>252</v>
      </c>
      <c r="B580" s="3">
        <v>45352</v>
      </c>
      <c r="C580">
        <v>2281.5</v>
      </c>
    </row>
    <row r="581" spans="1:3" ht="15" customHeight="1" x14ac:dyDescent="0.3">
      <c r="A581" t="s">
        <v>252</v>
      </c>
      <c r="B581" s="3">
        <v>45383</v>
      </c>
      <c r="C581">
        <v>2197.8000000000002</v>
      </c>
    </row>
    <row r="582" spans="1:3" ht="15" customHeight="1" x14ac:dyDescent="0.3">
      <c r="A582" t="s">
        <v>252</v>
      </c>
      <c r="B582" s="3">
        <v>45413</v>
      </c>
      <c r="C582">
        <v>2226.6</v>
      </c>
    </row>
    <row r="583" spans="1:3" ht="15" customHeight="1" x14ac:dyDescent="0.3">
      <c r="A583" t="s">
        <v>252</v>
      </c>
      <c r="B583" s="3">
        <v>45444</v>
      </c>
      <c r="C583">
        <v>2480.4</v>
      </c>
    </row>
    <row r="584" spans="1:3" ht="15" customHeight="1" x14ac:dyDescent="0.3">
      <c r="A584" t="s">
        <v>252</v>
      </c>
      <c r="B584" s="3">
        <v>45474</v>
      </c>
      <c r="C584">
        <v>2349.9</v>
      </c>
    </row>
    <row r="585" spans="1:3" ht="15" customHeight="1" x14ac:dyDescent="0.3">
      <c r="A585" t="s">
        <v>252</v>
      </c>
      <c r="B585" s="3">
        <v>45505</v>
      </c>
      <c r="C585">
        <v>2520</v>
      </c>
    </row>
    <row r="586" spans="1:3" ht="15" customHeight="1" x14ac:dyDescent="0.3">
      <c r="A586" t="s">
        <v>252</v>
      </c>
      <c r="B586" s="3">
        <v>45536</v>
      </c>
      <c r="C586">
        <v>2436.3000000000002</v>
      </c>
    </row>
    <row r="587" spans="1:3" ht="15" customHeight="1" x14ac:dyDescent="0.3">
      <c r="A587" t="s">
        <v>252</v>
      </c>
      <c r="B587" s="3">
        <v>45566</v>
      </c>
      <c r="C587">
        <v>2425.5</v>
      </c>
    </row>
    <row r="588" spans="1:3" ht="15" customHeight="1" x14ac:dyDescent="0.3">
      <c r="A588" t="s">
        <v>252</v>
      </c>
      <c r="B588" s="3">
        <v>45597</v>
      </c>
      <c r="C588">
        <v>2356.1999999999998</v>
      </c>
    </row>
    <row r="589" spans="1:3" ht="15" customHeight="1" x14ac:dyDescent="0.3">
      <c r="A589" t="s">
        <v>252</v>
      </c>
      <c r="B589" s="3">
        <v>45627</v>
      </c>
      <c r="C589">
        <v>2437.1999999999998</v>
      </c>
    </row>
    <row r="590" spans="1:3" ht="15" customHeight="1" x14ac:dyDescent="0.3">
      <c r="A590" t="s">
        <v>252</v>
      </c>
      <c r="B590" s="3">
        <v>45658</v>
      </c>
      <c r="C590">
        <v>2461.5</v>
      </c>
    </row>
    <row r="591" spans="1:3" ht="15" customHeight="1" x14ac:dyDescent="0.3">
      <c r="A591" t="s">
        <v>252</v>
      </c>
      <c r="B591" s="3">
        <v>45689</v>
      </c>
      <c r="C591">
        <v>2300.4</v>
      </c>
    </row>
    <row r="592" spans="1:3" ht="15" customHeight="1" x14ac:dyDescent="0.3">
      <c r="A592" t="s">
        <v>252</v>
      </c>
      <c r="B592" s="3">
        <v>45717</v>
      </c>
      <c r="C592">
        <v>2281.5</v>
      </c>
    </row>
    <row r="593" spans="1:3" ht="15" customHeight="1" x14ac:dyDescent="0.3">
      <c r="A593" t="s">
        <v>252</v>
      </c>
      <c r="B593" s="3">
        <v>45748</v>
      </c>
      <c r="C593">
        <v>2197.8000000000002</v>
      </c>
    </row>
    <row r="594" spans="1:3" ht="15" customHeight="1" x14ac:dyDescent="0.3">
      <c r="A594" t="s">
        <v>252</v>
      </c>
      <c r="B594" s="3">
        <v>45778</v>
      </c>
      <c r="C594">
        <v>2226.6</v>
      </c>
    </row>
    <row r="595" spans="1:3" ht="15" customHeight="1" x14ac:dyDescent="0.3">
      <c r="A595" t="s">
        <v>252</v>
      </c>
      <c r="B595" s="3">
        <v>45809</v>
      </c>
      <c r="C595">
        <v>2480.4</v>
      </c>
    </row>
    <row r="596" spans="1:3" ht="15" customHeight="1" x14ac:dyDescent="0.3">
      <c r="A596" t="s">
        <v>252</v>
      </c>
      <c r="B596" s="3">
        <v>45839</v>
      </c>
      <c r="C596">
        <v>2349.9</v>
      </c>
    </row>
    <row r="597" spans="1:3" ht="15" customHeight="1" x14ac:dyDescent="0.3">
      <c r="A597" t="s">
        <v>252</v>
      </c>
      <c r="B597" s="3">
        <v>45870</v>
      </c>
      <c r="C597">
        <v>2520</v>
      </c>
    </row>
    <row r="598" spans="1:3" ht="15" customHeight="1" x14ac:dyDescent="0.3">
      <c r="A598" t="s">
        <v>252</v>
      </c>
      <c r="B598" s="3">
        <v>45901</v>
      </c>
      <c r="C598">
        <v>2436.3000000000002</v>
      </c>
    </row>
    <row r="599" spans="1:3" ht="15" customHeight="1" x14ac:dyDescent="0.3">
      <c r="A599" t="s">
        <v>252</v>
      </c>
      <c r="B599" s="3">
        <v>45931</v>
      </c>
      <c r="C599">
        <v>2425.5</v>
      </c>
    </row>
    <row r="600" spans="1:3" ht="15" customHeight="1" x14ac:dyDescent="0.3">
      <c r="A600" t="s">
        <v>252</v>
      </c>
      <c r="B600" s="3">
        <v>45962</v>
      </c>
      <c r="C600">
        <v>2356.1999999999998</v>
      </c>
    </row>
    <row r="601" spans="1:3" ht="15" customHeight="1" x14ac:dyDescent="0.3">
      <c r="A601" t="s">
        <v>252</v>
      </c>
      <c r="B601" s="3">
        <v>45992</v>
      </c>
      <c r="C601">
        <v>2437.1999999999998</v>
      </c>
    </row>
    <row r="602" spans="1:3" ht="15" customHeight="1" x14ac:dyDescent="0.3">
      <c r="A602" t="s">
        <v>252</v>
      </c>
      <c r="B602" s="3">
        <v>46023</v>
      </c>
      <c r="C602">
        <v>2461.5</v>
      </c>
    </row>
    <row r="603" spans="1:3" ht="15" customHeight="1" x14ac:dyDescent="0.3">
      <c r="A603" t="s">
        <v>252</v>
      </c>
      <c r="B603" s="3">
        <v>46054</v>
      </c>
      <c r="C603">
        <v>2300.4</v>
      </c>
    </row>
    <row r="604" spans="1:3" ht="15" customHeight="1" x14ac:dyDescent="0.3">
      <c r="A604" t="s">
        <v>252</v>
      </c>
      <c r="B604" s="3">
        <v>46082</v>
      </c>
      <c r="C604">
        <v>2281.5</v>
      </c>
    </row>
    <row r="605" spans="1:3" ht="15" customHeight="1" x14ac:dyDescent="0.3">
      <c r="A605" t="s">
        <v>252</v>
      </c>
      <c r="B605" s="3">
        <v>46113</v>
      </c>
      <c r="C605">
        <v>2197.8000000000002</v>
      </c>
    </row>
    <row r="606" spans="1:3" ht="15" customHeight="1" x14ac:dyDescent="0.3">
      <c r="A606" t="s">
        <v>252</v>
      </c>
      <c r="B606" s="3">
        <v>46143</v>
      </c>
      <c r="C606">
        <v>2226.6</v>
      </c>
    </row>
    <row r="607" spans="1:3" ht="15" customHeight="1" x14ac:dyDescent="0.3">
      <c r="A607" t="s">
        <v>252</v>
      </c>
      <c r="B607" s="3">
        <v>46174</v>
      </c>
      <c r="C607">
        <v>2480.4</v>
      </c>
    </row>
    <row r="608" spans="1:3" ht="15" customHeight="1" x14ac:dyDescent="0.3">
      <c r="A608" t="s">
        <v>252</v>
      </c>
      <c r="B608" s="3">
        <v>46204</v>
      </c>
      <c r="C608">
        <v>2349.9</v>
      </c>
    </row>
    <row r="609" spans="1:3" ht="15" customHeight="1" x14ac:dyDescent="0.3">
      <c r="A609" t="s">
        <v>252</v>
      </c>
      <c r="B609" s="3">
        <v>46235</v>
      </c>
      <c r="C609">
        <v>2520</v>
      </c>
    </row>
    <row r="610" spans="1:3" ht="15" customHeight="1" x14ac:dyDescent="0.3">
      <c r="A610" t="s">
        <v>252</v>
      </c>
      <c r="B610" s="3">
        <v>46266</v>
      </c>
      <c r="C610">
        <v>2436.3000000000002</v>
      </c>
    </row>
    <row r="611" spans="1:3" ht="15" customHeight="1" x14ac:dyDescent="0.3">
      <c r="A611" t="s">
        <v>252</v>
      </c>
      <c r="B611" s="3">
        <v>46296</v>
      </c>
      <c r="C611">
        <v>2425.5</v>
      </c>
    </row>
    <row r="612" spans="1:3" ht="15" customHeight="1" x14ac:dyDescent="0.3">
      <c r="A612" t="s">
        <v>252</v>
      </c>
      <c r="B612" s="3">
        <v>46327</v>
      </c>
      <c r="C612">
        <v>2356.1999999999998</v>
      </c>
    </row>
    <row r="613" spans="1:3" ht="15" customHeight="1" x14ac:dyDescent="0.3">
      <c r="A613" t="s">
        <v>252</v>
      </c>
      <c r="B613" s="3">
        <v>46357</v>
      </c>
      <c r="C613">
        <v>2437.1999999999998</v>
      </c>
    </row>
    <row r="614" spans="1:3" ht="15" customHeight="1" x14ac:dyDescent="0.3">
      <c r="A614" t="s">
        <v>103</v>
      </c>
      <c r="B614" s="3">
        <v>45292</v>
      </c>
      <c r="C614">
        <v>13584</v>
      </c>
    </row>
    <row r="615" spans="1:3" ht="15" customHeight="1" x14ac:dyDescent="0.3">
      <c r="A615" t="s">
        <v>103</v>
      </c>
      <c r="B615" s="3">
        <v>45323</v>
      </c>
      <c r="C615">
        <v>12445.28</v>
      </c>
    </row>
    <row r="616" spans="1:3" ht="15" customHeight="1" x14ac:dyDescent="0.3">
      <c r="A616" t="s">
        <v>103</v>
      </c>
      <c r="B616" s="3">
        <v>45352</v>
      </c>
      <c r="C616">
        <v>12742.08</v>
      </c>
    </row>
    <row r="617" spans="1:3" ht="15" customHeight="1" x14ac:dyDescent="0.3">
      <c r="A617" t="s">
        <v>103</v>
      </c>
      <c r="B617" s="3">
        <v>45383</v>
      </c>
      <c r="C617">
        <v>10941.84</v>
      </c>
    </row>
    <row r="618" spans="1:3" ht="15" customHeight="1" x14ac:dyDescent="0.3">
      <c r="A618" t="s">
        <v>103</v>
      </c>
      <c r="B618" s="3">
        <v>45413</v>
      </c>
      <c r="C618">
        <v>9881.2800000000007</v>
      </c>
    </row>
    <row r="619" spans="1:3" ht="15" customHeight="1" x14ac:dyDescent="0.3">
      <c r="A619" t="s">
        <v>103</v>
      </c>
      <c r="B619" s="3">
        <v>45444</v>
      </c>
      <c r="C619">
        <v>9234.8799999999992</v>
      </c>
    </row>
    <row r="620" spans="1:3" ht="15" customHeight="1" x14ac:dyDescent="0.3">
      <c r="A620" t="s">
        <v>103</v>
      </c>
      <c r="B620" s="3">
        <v>45474</v>
      </c>
      <c r="C620">
        <v>9756.08</v>
      </c>
    </row>
    <row r="621" spans="1:3" ht="15" customHeight="1" x14ac:dyDescent="0.3">
      <c r="A621" t="s">
        <v>103</v>
      </c>
      <c r="B621" s="3">
        <v>45505</v>
      </c>
      <c r="C621">
        <v>10822.4</v>
      </c>
    </row>
    <row r="622" spans="1:3" ht="15" customHeight="1" x14ac:dyDescent="0.3">
      <c r="A622" t="s">
        <v>103</v>
      </c>
      <c r="B622" s="3">
        <v>45536</v>
      </c>
      <c r="C622">
        <v>10915.68</v>
      </c>
    </row>
    <row r="623" spans="1:3" ht="15" customHeight="1" x14ac:dyDescent="0.3">
      <c r="A623" t="s">
        <v>103</v>
      </c>
      <c r="B623" s="3">
        <v>45566</v>
      </c>
      <c r="C623">
        <v>12133.12</v>
      </c>
    </row>
    <row r="624" spans="1:3" ht="15" customHeight="1" x14ac:dyDescent="0.3">
      <c r="A624" t="s">
        <v>103</v>
      </c>
      <c r="B624" s="3">
        <v>45597</v>
      </c>
      <c r="C624">
        <v>12325.98984</v>
      </c>
    </row>
    <row r="625" spans="1:3" ht="15" customHeight="1" x14ac:dyDescent="0.3">
      <c r="A625" t="s">
        <v>103</v>
      </c>
      <c r="B625" s="3">
        <v>45627</v>
      </c>
      <c r="C625">
        <v>13473.89784</v>
      </c>
    </row>
    <row r="626" spans="1:3" ht="15" customHeight="1" x14ac:dyDescent="0.3">
      <c r="A626" t="s">
        <v>103</v>
      </c>
      <c r="B626" s="3">
        <v>45658</v>
      </c>
      <c r="C626">
        <v>13584</v>
      </c>
    </row>
    <row r="627" spans="1:3" ht="15" customHeight="1" x14ac:dyDescent="0.3">
      <c r="A627" t="s">
        <v>103</v>
      </c>
      <c r="B627" s="3">
        <v>45689</v>
      </c>
      <c r="C627">
        <v>12445.28</v>
      </c>
    </row>
    <row r="628" spans="1:3" ht="15" customHeight="1" x14ac:dyDescent="0.3">
      <c r="A628" t="s">
        <v>103</v>
      </c>
      <c r="B628" s="3">
        <v>45717</v>
      </c>
      <c r="C628">
        <v>12742.08</v>
      </c>
    </row>
    <row r="629" spans="1:3" ht="15" customHeight="1" x14ac:dyDescent="0.3">
      <c r="A629" t="s">
        <v>103</v>
      </c>
      <c r="B629" s="3">
        <v>45748</v>
      </c>
      <c r="C629">
        <v>10941.84</v>
      </c>
    </row>
    <row r="630" spans="1:3" ht="15" customHeight="1" x14ac:dyDescent="0.3">
      <c r="A630" t="s">
        <v>103</v>
      </c>
      <c r="B630" s="3">
        <v>45778</v>
      </c>
      <c r="C630">
        <v>9881.2800000000007</v>
      </c>
    </row>
    <row r="631" spans="1:3" ht="15" customHeight="1" x14ac:dyDescent="0.3">
      <c r="A631" t="s">
        <v>103</v>
      </c>
      <c r="B631" s="3">
        <v>45809</v>
      </c>
      <c r="C631">
        <v>9234.8799999999992</v>
      </c>
    </row>
    <row r="632" spans="1:3" ht="15" customHeight="1" x14ac:dyDescent="0.3">
      <c r="A632" t="s">
        <v>103</v>
      </c>
      <c r="B632" s="3">
        <v>45839</v>
      </c>
      <c r="C632">
        <v>9756.08</v>
      </c>
    </row>
    <row r="633" spans="1:3" ht="15" customHeight="1" x14ac:dyDescent="0.3">
      <c r="A633" t="s">
        <v>103</v>
      </c>
      <c r="B633" s="3">
        <v>45870</v>
      </c>
      <c r="C633">
        <v>10822.4</v>
      </c>
    </row>
    <row r="634" spans="1:3" ht="15" customHeight="1" x14ac:dyDescent="0.3">
      <c r="A634" t="s">
        <v>103</v>
      </c>
      <c r="B634" s="3">
        <v>45901</v>
      </c>
      <c r="C634">
        <v>10915.68</v>
      </c>
    </row>
    <row r="635" spans="1:3" ht="15" customHeight="1" x14ac:dyDescent="0.3">
      <c r="A635" t="s">
        <v>103</v>
      </c>
      <c r="B635" s="3">
        <v>45931</v>
      </c>
      <c r="C635">
        <v>12133.12</v>
      </c>
    </row>
    <row r="636" spans="1:3" ht="15" customHeight="1" x14ac:dyDescent="0.3">
      <c r="A636" t="s">
        <v>103</v>
      </c>
      <c r="B636" s="3">
        <v>45962</v>
      </c>
      <c r="C636">
        <v>12325.98984</v>
      </c>
    </row>
    <row r="637" spans="1:3" ht="15" customHeight="1" x14ac:dyDescent="0.3">
      <c r="A637" t="s">
        <v>103</v>
      </c>
      <c r="B637" s="3">
        <v>45992</v>
      </c>
      <c r="C637">
        <v>13473.89784</v>
      </c>
    </row>
    <row r="638" spans="1:3" ht="15" customHeight="1" x14ac:dyDescent="0.3">
      <c r="A638" t="s">
        <v>103</v>
      </c>
      <c r="B638" s="3">
        <v>46023</v>
      </c>
      <c r="C638">
        <v>13584</v>
      </c>
    </row>
    <row r="639" spans="1:3" ht="15" customHeight="1" x14ac:dyDescent="0.3">
      <c r="A639" t="s">
        <v>103</v>
      </c>
      <c r="B639" s="3">
        <v>46054</v>
      </c>
      <c r="C639">
        <v>12445.28</v>
      </c>
    </row>
    <row r="640" spans="1:3" ht="15" customHeight="1" x14ac:dyDescent="0.3">
      <c r="A640" t="s">
        <v>103</v>
      </c>
      <c r="B640" s="3">
        <v>46082</v>
      </c>
      <c r="C640">
        <v>12742.08</v>
      </c>
    </row>
    <row r="641" spans="1:3" ht="15" customHeight="1" x14ac:dyDescent="0.3">
      <c r="A641" t="s">
        <v>103</v>
      </c>
      <c r="B641" s="3">
        <v>46113</v>
      </c>
      <c r="C641">
        <v>10941.84</v>
      </c>
    </row>
    <row r="642" spans="1:3" ht="15" customHeight="1" x14ac:dyDescent="0.3">
      <c r="A642" t="s">
        <v>103</v>
      </c>
      <c r="B642" s="3">
        <v>46143</v>
      </c>
      <c r="C642">
        <v>9881.2800000000007</v>
      </c>
    </row>
    <row r="643" spans="1:3" ht="15" customHeight="1" x14ac:dyDescent="0.3">
      <c r="A643" t="s">
        <v>103</v>
      </c>
      <c r="B643" s="3">
        <v>46174</v>
      </c>
      <c r="C643">
        <v>9234.8799999999992</v>
      </c>
    </row>
    <row r="644" spans="1:3" ht="15" customHeight="1" x14ac:dyDescent="0.3">
      <c r="A644" t="s">
        <v>103</v>
      </c>
      <c r="B644" s="3">
        <v>46204</v>
      </c>
      <c r="C644">
        <v>9756.08</v>
      </c>
    </row>
    <row r="645" spans="1:3" ht="15" customHeight="1" x14ac:dyDescent="0.3">
      <c r="A645" t="s">
        <v>103</v>
      </c>
      <c r="B645" s="3">
        <v>46235</v>
      </c>
      <c r="C645">
        <v>10822.4</v>
      </c>
    </row>
    <row r="646" spans="1:3" ht="15" customHeight="1" x14ac:dyDescent="0.3">
      <c r="A646" t="s">
        <v>103</v>
      </c>
      <c r="B646" s="3">
        <v>46266</v>
      </c>
      <c r="C646">
        <v>10915.68</v>
      </c>
    </row>
    <row r="647" spans="1:3" ht="15" customHeight="1" x14ac:dyDescent="0.3">
      <c r="A647" t="s">
        <v>103</v>
      </c>
      <c r="B647" s="3">
        <v>46296</v>
      </c>
      <c r="C647">
        <v>12133.12</v>
      </c>
    </row>
    <row r="648" spans="1:3" ht="15" customHeight="1" x14ac:dyDescent="0.3">
      <c r="A648" t="s">
        <v>103</v>
      </c>
      <c r="B648" s="3">
        <v>46327</v>
      </c>
      <c r="C648">
        <v>12325.98984</v>
      </c>
    </row>
    <row r="649" spans="1:3" ht="15" customHeight="1" x14ac:dyDescent="0.3">
      <c r="A649" t="s">
        <v>103</v>
      </c>
      <c r="B649" s="3">
        <v>46357</v>
      </c>
      <c r="C649">
        <v>13473.89784</v>
      </c>
    </row>
    <row r="650" spans="1:3" ht="15" customHeight="1" x14ac:dyDescent="0.3">
      <c r="A650" t="s">
        <v>107</v>
      </c>
      <c r="B650" s="3">
        <v>45292</v>
      </c>
      <c r="C650">
        <v>11384.625</v>
      </c>
    </row>
    <row r="651" spans="1:3" ht="15" customHeight="1" x14ac:dyDescent="0.3">
      <c r="A651" t="s">
        <v>107</v>
      </c>
      <c r="B651" s="3">
        <v>45323</v>
      </c>
      <c r="C651">
        <v>10143.6</v>
      </c>
    </row>
    <row r="652" spans="1:3" ht="15" customHeight="1" x14ac:dyDescent="0.3">
      <c r="A652" t="s">
        <v>107</v>
      </c>
      <c r="B652" s="3">
        <v>45352</v>
      </c>
      <c r="C652">
        <v>10396.424999999999</v>
      </c>
    </row>
    <row r="653" spans="1:3" ht="15" customHeight="1" x14ac:dyDescent="0.3">
      <c r="A653" t="s">
        <v>107</v>
      </c>
      <c r="B653" s="3">
        <v>45383</v>
      </c>
      <c r="C653">
        <v>8842.2749999999996</v>
      </c>
    </row>
    <row r="654" spans="1:3" ht="15" customHeight="1" x14ac:dyDescent="0.3">
      <c r="A654" t="s">
        <v>107</v>
      </c>
      <c r="B654" s="3">
        <v>45413</v>
      </c>
      <c r="C654">
        <v>7963.7250000000004</v>
      </c>
    </row>
    <row r="655" spans="1:3" ht="15" customHeight="1" x14ac:dyDescent="0.3">
      <c r="A655" t="s">
        <v>107</v>
      </c>
      <c r="B655" s="3">
        <v>45444</v>
      </c>
      <c r="C655">
        <v>7364.3249999999998</v>
      </c>
    </row>
    <row r="656" spans="1:3" ht="15" customHeight="1" x14ac:dyDescent="0.3">
      <c r="A656" t="s">
        <v>107</v>
      </c>
      <c r="B656" s="3">
        <v>45474</v>
      </c>
      <c r="C656">
        <v>7865.1750000000002</v>
      </c>
    </row>
    <row r="657" spans="1:3" ht="15" customHeight="1" x14ac:dyDescent="0.3">
      <c r="A657" t="s">
        <v>107</v>
      </c>
      <c r="B657" s="3">
        <v>45505</v>
      </c>
      <c r="C657">
        <v>8758.7250000000004</v>
      </c>
    </row>
    <row r="658" spans="1:3" ht="15" customHeight="1" x14ac:dyDescent="0.3">
      <c r="A658" t="s">
        <v>107</v>
      </c>
      <c r="B658" s="3">
        <v>45536</v>
      </c>
      <c r="C658">
        <v>8956.35</v>
      </c>
    </row>
    <row r="659" spans="1:3" ht="15" customHeight="1" x14ac:dyDescent="0.3">
      <c r="A659" t="s">
        <v>107</v>
      </c>
      <c r="B659" s="3">
        <v>45566</v>
      </c>
      <c r="C659">
        <v>9957.75</v>
      </c>
    </row>
    <row r="660" spans="1:3" ht="15" customHeight="1" x14ac:dyDescent="0.3">
      <c r="A660" t="s">
        <v>107</v>
      </c>
      <c r="B660" s="3">
        <v>45597</v>
      </c>
      <c r="C660">
        <v>10009.663425000001</v>
      </c>
    </row>
    <row r="661" spans="1:3" ht="15" customHeight="1" x14ac:dyDescent="0.3">
      <c r="A661" t="s">
        <v>107</v>
      </c>
      <c r="B661" s="3">
        <v>45627</v>
      </c>
      <c r="C661">
        <v>11121.500700000001</v>
      </c>
    </row>
    <row r="662" spans="1:3" ht="15" customHeight="1" x14ac:dyDescent="0.3">
      <c r="A662" t="s">
        <v>107</v>
      </c>
      <c r="B662" s="3">
        <v>45658</v>
      </c>
      <c r="C662">
        <v>11384.625</v>
      </c>
    </row>
    <row r="663" spans="1:3" ht="15" customHeight="1" x14ac:dyDescent="0.3">
      <c r="A663" t="s">
        <v>107</v>
      </c>
      <c r="B663" s="3">
        <v>45689</v>
      </c>
      <c r="C663">
        <v>10143.6</v>
      </c>
    </row>
    <row r="664" spans="1:3" ht="15" customHeight="1" x14ac:dyDescent="0.3">
      <c r="A664" t="s">
        <v>107</v>
      </c>
      <c r="B664" s="3">
        <v>45717</v>
      </c>
      <c r="C664">
        <v>10396.424999999999</v>
      </c>
    </row>
    <row r="665" spans="1:3" ht="15" customHeight="1" x14ac:dyDescent="0.3">
      <c r="A665" t="s">
        <v>107</v>
      </c>
      <c r="B665" s="3">
        <v>45748</v>
      </c>
      <c r="C665">
        <v>8842.2749999999996</v>
      </c>
    </row>
    <row r="666" spans="1:3" ht="15" customHeight="1" x14ac:dyDescent="0.3">
      <c r="A666" t="s">
        <v>107</v>
      </c>
      <c r="B666" s="3">
        <v>45778</v>
      </c>
      <c r="C666">
        <v>7963.7250000000004</v>
      </c>
    </row>
    <row r="667" spans="1:3" ht="15" customHeight="1" x14ac:dyDescent="0.3">
      <c r="A667" t="s">
        <v>107</v>
      </c>
      <c r="B667" s="3">
        <v>45809</v>
      </c>
      <c r="C667">
        <v>7364.3249999999998</v>
      </c>
    </row>
    <row r="668" spans="1:3" ht="15" customHeight="1" x14ac:dyDescent="0.3">
      <c r="A668" t="s">
        <v>107</v>
      </c>
      <c r="B668" s="3">
        <v>45839</v>
      </c>
      <c r="C668">
        <v>7865.1750000000002</v>
      </c>
    </row>
    <row r="669" spans="1:3" ht="15" customHeight="1" x14ac:dyDescent="0.3">
      <c r="A669" t="s">
        <v>107</v>
      </c>
      <c r="B669" s="3">
        <v>45870</v>
      </c>
      <c r="C669">
        <v>8758.7250000000004</v>
      </c>
    </row>
    <row r="670" spans="1:3" ht="15" customHeight="1" x14ac:dyDescent="0.3">
      <c r="A670" t="s">
        <v>107</v>
      </c>
      <c r="B670" s="3">
        <v>45901</v>
      </c>
      <c r="C670">
        <v>8956.35</v>
      </c>
    </row>
    <row r="671" spans="1:3" ht="15" customHeight="1" x14ac:dyDescent="0.3">
      <c r="A671" t="s">
        <v>107</v>
      </c>
      <c r="B671" s="3">
        <v>45931</v>
      </c>
      <c r="C671">
        <v>9957.75</v>
      </c>
    </row>
    <row r="672" spans="1:3" ht="15" customHeight="1" x14ac:dyDescent="0.3">
      <c r="A672" t="s">
        <v>107</v>
      </c>
      <c r="B672" s="3">
        <v>45962</v>
      </c>
      <c r="C672">
        <v>10009.663425000001</v>
      </c>
    </row>
    <row r="673" spans="1:3" ht="15" customHeight="1" x14ac:dyDescent="0.3">
      <c r="A673" t="s">
        <v>107</v>
      </c>
      <c r="B673" s="3">
        <v>45992</v>
      </c>
      <c r="C673">
        <v>11121.500700000001</v>
      </c>
    </row>
    <row r="674" spans="1:3" ht="15" customHeight="1" x14ac:dyDescent="0.3">
      <c r="A674" t="s">
        <v>107</v>
      </c>
      <c r="B674" s="3">
        <v>46023</v>
      </c>
      <c r="C674">
        <v>11384.625</v>
      </c>
    </row>
    <row r="675" spans="1:3" ht="15" customHeight="1" x14ac:dyDescent="0.3">
      <c r="A675" t="s">
        <v>107</v>
      </c>
      <c r="B675" s="3">
        <v>46054</v>
      </c>
      <c r="C675">
        <v>10143.6</v>
      </c>
    </row>
    <row r="676" spans="1:3" ht="15" customHeight="1" x14ac:dyDescent="0.3">
      <c r="A676" t="s">
        <v>107</v>
      </c>
      <c r="B676" s="3">
        <v>46082</v>
      </c>
      <c r="C676">
        <v>10396.424999999999</v>
      </c>
    </row>
    <row r="677" spans="1:3" ht="15" customHeight="1" x14ac:dyDescent="0.3">
      <c r="A677" t="s">
        <v>107</v>
      </c>
      <c r="B677" s="3">
        <v>46113</v>
      </c>
      <c r="C677">
        <v>8842.2749999999996</v>
      </c>
    </row>
    <row r="678" spans="1:3" ht="15" customHeight="1" x14ac:dyDescent="0.3">
      <c r="A678" t="s">
        <v>107</v>
      </c>
      <c r="B678" s="3">
        <v>46143</v>
      </c>
      <c r="C678">
        <v>7963.7250000000004</v>
      </c>
    </row>
    <row r="679" spans="1:3" ht="15" customHeight="1" x14ac:dyDescent="0.3">
      <c r="A679" t="s">
        <v>107</v>
      </c>
      <c r="B679" s="3">
        <v>46174</v>
      </c>
      <c r="C679">
        <v>7364.3249999999998</v>
      </c>
    </row>
    <row r="680" spans="1:3" ht="15" customHeight="1" x14ac:dyDescent="0.3">
      <c r="A680" t="s">
        <v>107</v>
      </c>
      <c r="B680" s="3">
        <v>46204</v>
      </c>
      <c r="C680">
        <v>7865.1750000000002</v>
      </c>
    </row>
    <row r="681" spans="1:3" ht="15" customHeight="1" x14ac:dyDescent="0.3">
      <c r="A681" t="s">
        <v>107</v>
      </c>
      <c r="B681" s="3">
        <v>46235</v>
      </c>
      <c r="C681">
        <v>8758.7250000000004</v>
      </c>
    </row>
    <row r="682" spans="1:3" ht="15" customHeight="1" x14ac:dyDescent="0.3">
      <c r="A682" t="s">
        <v>107</v>
      </c>
      <c r="B682" s="3">
        <v>46266</v>
      </c>
      <c r="C682">
        <v>8956.35</v>
      </c>
    </row>
    <row r="683" spans="1:3" ht="15" customHeight="1" x14ac:dyDescent="0.3">
      <c r="A683" t="s">
        <v>107</v>
      </c>
      <c r="B683" s="3">
        <v>46296</v>
      </c>
      <c r="C683">
        <v>9957.75</v>
      </c>
    </row>
    <row r="684" spans="1:3" ht="15" customHeight="1" x14ac:dyDescent="0.3">
      <c r="A684" t="s">
        <v>107</v>
      </c>
      <c r="B684" s="3">
        <v>46327</v>
      </c>
      <c r="C684">
        <v>10009.663425000001</v>
      </c>
    </row>
    <row r="685" spans="1:3" ht="15" customHeight="1" x14ac:dyDescent="0.3">
      <c r="A685" t="s">
        <v>107</v>
      </c>
      <c r="B685" s="3">
        <v>46357</v>
      </c>
      <c r="C685">
        <v>11121.500700000001</v>
      </c>
    </row>
    <row r="686" spans="1:3" ht="15" customHeight="1" x14ac:dyDescent="0.3">
      <c r="A686" t="s">
        <v>109</v>
      </c>
      <c r="B686" s="3">
        <v>45292</v>
      </c>
      <c r="C686">
        <v>4042.8</v>
      </c>
    </row>
    <row r="687" spans="1:3" ht="15" customHeight="1" x14ac:dyDescent="0.3">
      <c r="A687" t="s">
        <v>109</v>
      </c>
      <c r="B687" s="3">
        <v>45323</v>
      </c>
      <c r="C687">
        <v>3650.4</v>
      </c>
    </row>
    <row r="688" spans="1:3" ht="15" customHeight="1" x14ac:dyDescent="0.3">
      <c r="A688" t="s">
        <v>109</v>
      </c>
      <c r="B688" s="3">
        <v>45352</v>
      </c>
      <c r="C688">
        <v>3957.3</v>
      </c>
    </row>
    <row r="689" spans="1:3" ht="15" customHeight="1" x14ac:dyDescent="0.3">
      <c r="A689" t="s">
        <v>109</v>
      </c>
      <c r="B689" s="3">
        <v>45383</v>
      </c>
      <c r="C689">
        <v>3279.6</v>
      </c>
    </row>
    <row r="690" spans="1:3" ht="15" customHeight="1" x14ac:dyDescent="0.3">
      <c r="A690" t="s">
        <v>109</v>
      </c>
      <c r="B690" s="3">
        <v>45413</v>
      </c>
      <c r="C690">
        <v>3050.1</v>
      </c>
    </row>
    <row r="691" spans="1:3" ht="15" customHeight="1" x14ac:dyDescent="0.3">
      <c r="A691" t="s">
        <v>109</v>
      </c>
      <c r="B691" s="3">
        <v>45444</v>
      </c>
      <c r="C691">
        <v>2790</v>
      </c>
    </row>
    <row r="692" spans="1:3" ht="15" customHeight="1" x14ac:dyDescent="0.3">
      <c r="A692" t="s">
        <v>109</v>
      </c>
      <c r="B692" s="3">
        <v>45474</v>
      </c>
      <c r="C692">
        <v>3044.7</v>
      </c>
    </row>
    <row r="693" spans="1:3" ht="15" customHeight="1" x14ac:dyDescent="0.3">
      <c r="A693" t="s">
        <v>109</v>
      </c>
      <c r="B693" s="3">
        <v>45505</v>
      </c>
      <c r="C693">
        <v>3298.5</v>
      </c>
    </row>
    <row r="694" spans="1:3" ht="15" customHeight="1" x14ac:dyDescent="0.3">
      <c r="A694" t="s">
        <v>109</v>
      </c>
      <c r="B694" s="3">
        <v>45536</v>
      </c>
      <c r="C694">
        <v>3492.9</v>
      </c>
    </row>
    <row r="695" spans="1:3" ht="15" customHeight="1" x14ac:dyDescent="0.3">
      <c r="A695" t="s">
        <v>109</v>
      </c>
      <c r="B695" s="3">
        <v>45566</v>
      </c>
      <c r="C695">
        <v>3509.1</v>
      </c>
    </row>
    <row r="696" spans="1:3" ht="15" customHeight="1" x14ac:dyDescent="0.3">
      <c r="A696" t="s">
        <v>109</v>
      </c>
      <c r="B696" s="3">
        <v>45597</v>
      </c>
      <c r="C696">
        <v>3348</v>
      </c>
    </row>
    <row r="697" spans="1:3" ht="15" customHeight="1" x14ac:dyDescent="0.3">
      <c r="A697" t="s">
        <v>109</v>
      </c>
      <c r="B697" s="3">
        <v>45627</v>
      </c>
      <c r="C697">
        <v>3591.9</v>
      </c>
    </row>
    <row r="698" spans="1:3" ht="15" customHeight="1" x14ac:dyDescent="0.3">
      <c r="A698" t="s">
        <v>109</v>
      </c>
      <c r="B698" s="3">
        <v>45658</v>
      </c>
      <c r="C698">
        <v>4042.8</v>
      </c>
    </row>
    <row r="699" spans="1:3" ht="15" customHeight="1" x14ac:dyDescent="0.3">
      <c r="A699" t="s">
        <v>109</v>
      </c>
      <c r="B699" s="3">
        <v>45689</v>
      </c>
      <c r="C699">
        <v>3650.4</v>
      </c>
    </row>
    <row r="700" spans="1:3" ht="15" customHeight="1" x14ac:dyDescent="0.3">
      <c r="A700" t="s">
        <v>109</v>
      </c>
      <c r="B700" s="3">
        <v>45717</v>
      </c>
      <c r="C700">
        <v>3957.3</v>
      </c>
    </row>
    <row r="701" spans="1:3" ht="15" customHeight="1" x14ac:dyDescent="0.3">
      <c r="A701" t="s">
        <v>109</v>
      </c>
      <c r="B701" s="3">
        <v>45748</v>
      </c>
      <c r="C701">
        <v>3279.6</v>
      </c>
    </row>
    <row r="702" spans="1:3" ht="15" customHeight="1" x14ac:dyDescent="0.3">
      <c r="A702" t="s">
        <v>109</v>
      </c>
      <c r="B702" s="3">
        <v>45778</v>
      </c>
      <c r="C702">
        <v>3050.1</v>
      </c>
    </row>
    <row r="703" spans="1:3" ht="15" customHeight="1" x14ac:dyDescent="0.3">
      <c r="A703" t="s">
        <v>109</v>
      </c>
      <c r="B703" s="3">
        <v>45809</v>
      </c>
      <c r="C703">
        <v>2790</v>
      </c>
    </row>
    <row r="704" spans="1:3" ht="15" customHeight="1" x14ac:dyDescent="0.3">
      <c r="A704" t="s">
        <v>109</v>
      </c>
      <c r="B704" s="3">
        <v>45839</v>
      </c>
      <c r="C704">
        <v>3044.7</v>
      </c>
    </row>
    <row r="705" spans="1:3" ht="15" customHeight="1" x14ac:dyDescent="0.3">
      <c r="A705" t="s">
        <v>109</v>
      </c>
      <c r="B705" s="3">
        <v>45870</v>
      </c>
      <c r="C705">
        <v>3298.5</v>
      </c>
    </row>
    <row r="706" spans="1:3" ht="15" customHeight="1" x14ac:dyDescent="0.3">
      <c r="A706" t="s">
        <v>109</v>
      </c>
      <c r="B706" s="3">
        <v>45901</v>
      </c>
      <c r="C706">
        <v>3492.9</v>
      </c>
    </row>
    <row r="707" spans="1:3" ht="15" customHeight="1" x14ac:dyDescent="0.3">
      <c r="A707" t="s">
        <v>109</v>
      </c>
      <c r="B707" s="3">
        <v>45931</v>
      </c>
      <c r="C707">
        <v>3509.1</v>
      </c>
    </row>
    <row r="708" spans="1:3" ht="15" customHeight="1" x14ac:dyDescent="0.3">
      <c r="A708" t="s">
        <v>109</v>
      </c>
      <c r="B708" s="3">
        <v>45962</v>
      </c>
      <c r="C708">
        <v>3348</v>
      </c>
    </row>
    <row r="709" spans="1:3" ht="15" customHeight="1" x14ac:dyDescent="0.3">
      <c r="A709" t="s">
        <v>109</v>
      </c>
      <c r="B709" s="3">
        <v>45992</v>
      </c>
      <c r="C709">
        <v>3591.9</v>
      </c>
    </row>
    <row r="710" spans="1:3" ht="15" customHeight="1" x14ac:dyDescent="0.3">
      <c r="A710" t="s">
        <v>109</v>
      </c>
      <c r="B710" s="3">
        <v>46023</v>
      </c>
      <c r="C710">
        <v>4042.8</v>
      </c>
    </row>
    <row r="711" spans="1:3" ht="15" customHeight="1" x14ac:dyDescent="0.3">
      <c r="A711" t="s">
        <v>109</v>
      </c>
      <c r="B711" s="3">
        <v>46054</v>
      </c>
      <c r="C711">
        <v>3650.4</v>
      </c>
    </row>
    <row r="712" spans="1:3" ht="15" customHeight="1" x14ac:dyDescent="0.3">
      <c r="A712" t="s">
        <v>109</v>
      </c>
      <c r="B712" s="3">
        <v>46082</v>
      </c>
      <c r="C712">
        <v>3957.3</v>
      </c>
    </row>
    <row r="713" spans="1:3" ht="15" customHeight="1" x14ac:dyDescent="0.3">
      <c r="A713" t="s">
        <v>109</v>
      </c>
      <c r="B713" s="3">
        <v>46113</v>
      </c>
      <c r="C713">
        <v>3279.6</v>
      </c>
    </row>
    <row r="714" spans="1:3" ht="15" customHeight="1" x14ac:dyDescent="0.3">
      <c r="A714" t="s">
        <v>109</v>
      </c>
      <c r="B714" s="3">
        <v>46143</v>
      </c>
      <c r="C714">
        <v>3050.1</v>
      </c>
    </row>
    <row r="715" spans="1:3" ht="15" customHeight="1" x14ac:dyDescent="0.3">
      <c r="A715" t="s">
        <v>109</v>
      </c>
      <c r="B715" s="3">
        <v>46174</v>
      </c>
      <c r="C715">
        <v>2790</v>
      </c>
    </row>
    <row r="716" spans="1:3" ht="15" customHeight="1" x14ac:dyDescent="0.3">
      <c r="A716" t="s">
        <v>109</v>
      </c>
      <c r="B716" s="3">
        <v>46204</v>
      </c>
      <c r="C716">
        <v>3044.7</v>
      </c>
    </row>
    <row r="717" spans="1:3" ht="15" customHeight="1" x14ac:dyDescent="0.3">
      <c r="A717" t="s">
        <v>109</v>
      </c>
      <c r="B717" s="3">
        <v>46235</v>
      </c>
      <c r="C717">
        <v>3298.5</v>
      </c>
    </row>
    <row r="718" spans="1:3" ht="15" customHeight="1" x14ac:dyDescent="0.3">
      <c r="A718" t="s">
        <v>109</v>
      </c>
      <c r="B718" s="3">
        <v>46266</v>
      </c>
      <c r="C718">
        <v>3492.9</v>
      </c>
    </row>
    <row r="719" spans="1:3" ht="15" customHeight="1" x14ac:dyDescent="0.3">
      <c r="A719" t="s">
        <v>109</v>
      </c>
      <c r="B719" s="3">
        <v>46296</v>
      </c>
      <c r="C719">
        <v>3509.1</v>
      </c>
    </row>
    <row r="720" spans="1:3" ht="15" customHeight="1" x14ac:dyDescent="0.3">
      <c r="A720" t="s">
        <v>109</v>
      </c>
      <c r="B720" s="3">
        <v>46327</v>
      </c>
      <c r="C720">
        <v>3348</v>
      </c>
    </row>
    <row r="721" spans="1:3" ht="15" customHeight="1" x14ac:dyDescent="0.3">
      <c r="A721" t="s">
        <v>109</v>
      </c>
      <c r="B721" s="3">
        <v>46357</v>
      </c>
      <c r="C721">
        <v>3591.9</v>
      </c>
    </row>
    <row r="722" spans="1:3" ht="15" customHeight="1" x14ac:dyDescent="0.3">
      <c r="A722" t="s">
        <v>113</v>
      </c>
      <c r="B722" s="3">
        <v>45292</v>
      </c>
      <c r="C722">
        <v>3618</v>
      </c>
    </row>
    <row r="723" spans="1:3" ht="15" customHeight="1" x14ac:dyDescent="0.3">
      <c r="A723" t="s">
        <v>113</v>
      </c>
      <c r="B723" s="3">
        <v>45323</v>
      </c>
      <c r="C723">
        <v>3254.4</v>
      </c>
    </row>
    <row r="724" spans="1:3" ht="15" customHeight="1" x14ac:dyDescent="0.3">
      <c r="A724" t="s">
        <v>113</v>
      </c>
      <c r="B724" s="3">
        <v>45352</v>
      </c>
      <c r="C724">
        <v>3608.1</v>
      </c>
    </row>
    <row r="725" spans="1:3" ht="15" customHeight="1" x14ac:dyDescent="0.3">
      <c r="A725" t="s">
        <v>113</v>
      </c>
      <c r="B725" s="3">
        <v>45383</v>
      </c>
      <c r="C725">
        <v>2962.8</v>
      </c>
    </row>
    <row r="726" spans="1:3" ht="15" customHeight="1" x14ac:dyDescent="0.3">
      <c r="A726" t="s">
        <v>113</v>
      </c>
      <c r="B726" s="3">
        <v>45413</v>
      </c>
      <c r="C726">
        <v>2723.4</v>
      </c>
    </row>
    <row r="727" spans="1:3" ht="15" customHeight="1" x14ac:dyDescent="0.3">
      <c r="A727" t="s">
        <v>113</v>
      </c>
      <c r="B727" s="3">
        <v>45444</v>
      </c>
      <c r="C727">
        <v>2461.5</v>
      </c>
    </row>
    <row r="728" spans="1:3" ht="15" customHeight="1" x14ac:dyDescent="0.3">
      <c r="A728" t="s">
        <v>113</v>
      </c>
      <c r="B728" s="3">
        <v>45474</v>
      </c>
      <c r="C728">
        <v>2701.8</v>
      </c>
    </row>
    <row r="729" spans="1:3" ht="15" customHeight="1" x14ac:dyDescent="0.3">
      <c r="A729" t="s">
        <v>113</v>
      </c>
      <c r="B729" s="3">
        <v>45505</v>
      </c>
      <c r="C729">
        <v>2973.6</v>
      </c>
    </row>
    <row r="730" spans="1:3" ht="15" customHeight="1" x14ac:dyDescent="0.3">
      <c r="A730" t="s">
        <v>113</v>
      </c>
      <c r="B730" s="3">
        <v>45536</v>
      </c>
      <c r="C730">
        <v>3147.3</v>
      </c>
    </row>
    <row r="731" spans="1:3" ht="15" customHeight="1" x14ac:dyDescent="0.3">
      <c r="A731" t="s">
        <v>113</v>
      </c>
      <c r="B731" s="3">
        <v>45566</v>
      </c>
      <c r="C731">
        <v>3179.7</v>
      </c>
    </row>
    <row r="732" spans="1:3" ht="15" customHeight="1" x14ac:dyDescent="0.3">
      <c r="A732" t="s">
        <v>113</v>
      </c>
      <c r="B732" s="3">
        <v>45597</v>
      </c>
      <c r="C732">
        <v>3013.2</v>
      </c>
    </row>
    <row r="733" spans="1:3" ht="15" customHeight="1" x14ac:dyDescent="0.3">
      <c r="A733" t="s">
        <v>113</v>
      </c>
      <c r="B733" s="3">
        <v>45627</v>
      </c>
      <c r="C733">
        <v>3204</v>
      </c>
    </row>
    <row r="734" spans="1:3" ht="15" customHeight="1" x14ac:dyDescent="0.3">
      <c r="A734" t="s">
        <v>113</v>
      </c>
      <c r="B734" s="3">
        <v>45658</v>
      </c>
      <c r="C734">
        <v>3618</v>
      </c>
    </row>
    <row r="735" spans="1:3" ht="15" customHeight="1" x14ac:dyDescent="0.3">
      <c r="A735" t="s">
        <v>113</v>
      </c>
      <c r="B735" s="3">
        <v>45689</v>
      </c>
      <c r="C735">
        <v>3254.4</v>
      </c>
    </row>
    <row r="736" spans="1:3" ht="15" customHeight="1" x14ac:dyDescent="0.3">
      <c r="A736" t="s">
        <v>113</v>
      </c>
      <c r="B736" s="3">
        <v>45717</v>
      </c>
      <c r="C736">
        <v>3608.1</v>
      </c>
    </row>
    <row r="737" spans="1:3" ht="15" customHeight="1" x14ac:dyDescent="0.3">
      <c r="A737" t="s">
        <v>113</v>
      </c>
      <c r="B737" s="3">
        <v>45748</v>
      </c>
      <c r="C737">
        <v>2962.8</v>
      </c>
    </row>
    <row r="738" spans="1:3" ht="15" customHeight="1" x14ac:dyDescent="0.3">
      <c r="A738" t="s">
        <v>113</v>
      </c>
      <c r="B738" s="3">
        <v>45778</v>
      </c>
      <c r="C738">
        <v>2723.4</v>
      </c>
    </row>
    <row r="739" spans="1:3" ht="15" customHeight="1" x14ac:dyDescent="0.3">
      <c r="A739" t="s">
        <v>113</v>
      </c>
      <c r="B739" s="3">
        <v>45809</v>
      </c>
      <c r="C739">
        <v>2461.5</v>
      </c>
    </row>
    <row r="740" spans="1:3" ht="15" customHeight="1" x14ac:dyDescent="0.3">
      <c r="A740" t="s">
        <v>113</v>
      </c>
      <c r="B740" s="3">
        <v>45839</v>
      </c>
      <c r="C740">
        <v>2701.8</v>
      </c>
    </row>
    <row r="741" spans="1:3" ht="15" customHeight="1" x14ac:dyDescent="0.3">
      <c r="A741" t="s">
        <v>113</v>
      </c>
      <c r="B741" s="3">
        <v>45870</v>
      </c>
      <c r="C741">
        <v>2973.6</v>
      </c>
    </row>
    <row r="742" spans="1:3" ht="15" customHeight="1" x14ac:dyDescent="0.3">
      <c r="A742" t="s">
        <v>113</v>
      </c>
      <c r="B742" s="3">
        <v>45901</v>
      </c>
      <c r="C742">
        <v>3147.3</v>
      </c>
    </row>
    <row r="743" spans="1:3" ht="15" customHeight="1" x14ac:dyDescent="0.3">
      <c r="A743" t="s">
        <v>113</v>
      </c>
      <c r="B743" s="3">
        <v>45931</v>
      </c>
      <c r="C743">
        <v>3179.7</v>
      </c>
    </row>
    <row r="744" spans="1:3" ht="15" customHeight="1" x14ac:dyDescent="0.3">
      <c r="A744" t="s">
        <v>113</v>
      </c>
      <c r="B744" s="3">
        <v>45962</v>
      </c>
      <c r="C744">
        <v>3013.2</v>
      </c>
    </row>
    <row r="745" spans="1:3" ht="15" customHeight="1" x14ac:dyDescent="0.3">
      <c r="A745" t="s">
        <v>113</v>
      </c>
      <c r="B745" s="3">
        <v>45992</v>
      </c>
      <c r="C745">
        <v>3204</v>
      </c>
    </row>
    <row r="746" spans="1:3" ht="15" customHeight="1" x14ac:dyDescent="0.3">
      <c r="A746" t="s">
        <v>113</v>
      </c>
      <c r="B746" s="3">
        <v>46023</v>
      </c>
      <c r="C746">
        <v>3618</v>
      </c>
    </row>
    <row r="747" spans="1:3" ht="15" customHeight="1" x14ac:dyDescent="0.3">
      <c r="A747" t="s">
        <v>113</v>
      </c>
      <c r="B747" s="3">
        <v>46054</v>
      </c>
      <c r="C747">
        <v>3254.4</v>
      </c>
    </row>
    <row r="748" spans="1:3" ht="15" customHeight="1" x14ac:dyDescent="0.3">
      <c r="A748" t="s">
        <v>113</v>
      </c>
      <c r="B748" s="3">
        <v>46082</v>
      </c>
      <c r="C748">
        <v>3608.1</v>
      </c>
    </row>
    <row r="749" spans="1:3" ht="15" customHeight="1" x14ac:dyDescent="0.3">
      <c r="A749" t="s">
        <v>113</v>
      </c>
      <c r="B749" s="3">
        <v>46113</v>
      </c>
      <c r="C749">
        <v>2962.8</v>
      </c>
    </row>
    <row r="750" spans="1:3" ht="15" customHeight="1" x14ac:dyDescent="0.3">
      <c r="A750" t="s">
        <v>113</v>
      </c>
      <c r="B750" s="3">
        <v>46143</v>
      </c>
      <c r="C750">
        <v>2723.4</v>
      </c>
    </row>
    <row r="751" spans="1:3" ht="15" customHeight="1" x14ac:dyDescent="0.3">
      <c r="A751" t="s">
        <v>113</v>
      </c>
      <c r="B751" s="3">
        <v>46174</v>
      </c>
      <c r="C751">
        <v>2461.5</v>
      </c>
    </row>
    <row r="752" spans="1:3" ht="15" customHeight="1" x14ac:dyDescent="0.3">
      <c r="A752" t="s">
        <v>113</v>
      </c>
      <c r="B752" s="3">
        <v>46204</v>
      </c>
      <c r="C752">
        <v>2701.8</v>
      </c>
    </row>
    <row r="753" spans="1:3" ht="15" customHeight="1" x14ac:dyDescent="0.3">
      <c r="A753" t="s">
        <v>113</v>
      </c>
      <c r="B753" s="3">
        <v>46235</v>
      </c>
      <c r="C753">
        <v>2973.6</v>
      </c>
    </row>
    <row r="754" spans="1:3" ht="15" customHeight="1" x14ac:dyDescent="0.3">
      <c r="A754" t="s">
        <v>113</v>
      </c>
      <c r="B754" s="3">
        <v>46266</v>
      </c>
      <c r="C754">
        <v>3147.3</v>
      </c>
    </row>
    <row r="755" spans="1:3" ht="15" customHeight="1" x14ac:dyDescent="0.3">
      <c r="A755" t="s">
        <v>113</v>
      </c>
      <c r="B755" s="3">
        <v>46296</v>
      </c>
      <c r="C755">
        <v>3179.7</v>
      </c>
    </row>
    <row r="756" spans="1:3" ht="15" customHeight="1" x14ac:dyDescent="0.3">
      <c r="A756" t="s">
        <v>113</v>
      </c>
      <c r="B756" s="3">
        <v>46327</v>
      </c>
      <c r="C756">
        <v>3013.2</v>
      </c>
    </row>
    <row r="757" spans="1:3" ht="15" customHeight="1" x14ac:dyDescent="0.3">
      <c r="A757" t="s">
        <v>113</v>
      </c>
      <c r="B757" s="3">
        <v>46357</v>
      </c>
      <c r="C757">
        <v>3204</v>
      </c>
    </row>
    <row r="758" spans="1:3" ht="15" customHeight="1" x14ac:dyDescent="0.3">
      <c r="A758" t="s">
        <v>241</v>
      </c>
      <c r="B758" s="3">
        <v>45292</v>
      </c>
      <c r="C758">
        <v>0</v>
      </c>
    </row>
    <row r="759" spans="1:3" ht="15" customHeight="1" x14ac:dyDescent="0.3">
      <c r="A759" t="s">
        <v>241</v>
      </c>
      <c r="B759" s="3">
        <v>45292</v>
      </c>
      <c r="C759">
        <v>29074.5</v>
      </c>
    </row>
    <row r="760" spans="1:3" ht="15" customHeight="1" x14ac:dyDescent="0.3">
      <c r="A760" t="s">
        <v>241</v>
      </c>
      <c r="B760" s="3">
        <v>45323</v>
      </c>
      <c r="C760">
        <v>0</v>
      </c>
    </row>
    <row r="761" spans="1:3" ht="15" customHeight="1" x14ac:dyDescent="0.3">
      <c r="A761" t="s">
        <v>241</v>
      </c>
      <c r="B761" s="3">
        <v>45323</v>
      </c>
      <c r="C761">
        <v>26716.5</v>
      </c>
    </row>
    <row r="762" spans="1:3" ht="15" customHeight="1" x14ac:dyDescent="0.3">
      <c r="A762" t="s">
        <v>241</v>
      </c>
      <c r="B762" s="3">
        <v>45352</v>
      </c>
      <c r="C762">
        <v>0</v>
      </c>
    </row>
    <row r="763" spans="1:3" ht="15" customHeight="1" x14ac:dyDescent="0.3">
      <c r="A763" t="s">
        <v>241</v>
      </c>
      <c r="B763" s="3">
        <v>45352</v>
      </c>
      <c r="C763">
        <v>27941.4</v>
      </c>
    </row>
    <row r="764" spans="1:3" ht="15" customHeight="1" x14ac:dyDescent="0.3">
      <c r="A764" t="s">
        <v>241</v>
      </c>
      <c r="B764" s="3">
        <v>45383</v>
      </c>
      <c r="C764">
        <v>0</v>
      </c>
    </row>
    <row r="765" spans="1:3" ht="15" customHeight="1" x14ac:dyDescent="0.3">
      <c r="A765" t="s">
        <v>241</v>
      </c>
      <c r="B765" s="3">
        <v>45383</v>
      </c>
      <c r="C765">
        <v>25610.400000000001</v>
      </c>
    </row>
    <row r="766" spans="1:3" ht="15" customHeight="1" x14ac:dyDescent="0.3">
      <c r="A766" t="s">
        <v>241</v>
      </c>
      <c r="B766" s="3">
        <v>45413</v>
      </c>
      <c r="C766">
        <v>0</v>
      </c>
    </row>
    <row r="767" spans="1:3" ht="15" customHeight="1" x14ac:dyDescent="0.3">
      <c r="A767" t="s">
        <v>241</v>
      </c>
      <c r="B767" s="3">
        <v>45413</v>
      </c>
      <c r="C767">
        <v>25802.1</v>
      </c>
    </row>
    <row r="768" spans="1:3" ht="15" customHeight="1" x14ac:dyDescent="0.3">
      <c r="A768" t="s">
        <v>241</v>
      </c>
      <c r="B768" s="3">
        <v>45444</v>
      </c>
      <c r="C768">
        <v>0</v>
      </c>
    </row>
    <row r="769" spans="1:3" ht="15" customHeight="1" x14ac:dyDescent="0.3">
      <c r="A769" t="s">
        <v>241</v>
      </c>
      <c r="B769" s="3">
        <v>45444</v>
      </c>
      <c r="C769">
        <v>23428.799999999999</v>
      </c>
    </row>
    <row r="770" spans="1:3" ht="15" customHeight="1" x14ac:dyDescent="0.3">
      <c r="A770" t="s">
        <v>241</v>
      </c>
      <c r="B770" s="3">
        <v>45474</v>
      </c>
      <c r="C770">
        <v>0</v>
      </c>
    </row>
    <row r="771" spans="1:3" ht="15" customHeight="1" x14ac:dyDescent="0.3">
      <c r="A771" t="s">
        <v>241</v>
      </c>
      <c r="B771" s="3">
        <v>45474</v>
      </c>
      <c r="C771">
        <v>25632</v>
      </c>
    </row>
    <row r="772" spans="1:3" ht="15" customHeight="1" x14ac:dyDescent="0.3">
      <c r="A772" t="s">
        <v>241</v>
      </c>
      <c r="B772" s="3">
        <v>45505</v>
      </c>
      <c r="C772">
        <v>0</v>
      </c>
    </row>
    <row r="773" spans="1:3" ht="15" customHeight="1" x14ac:dyDescent="0.3">
      <c r="A773" t="s">
        <v>241</v>
      </c>
      <c r="B773" s="3">
        <v>45505</v>
      </c>
      <c r="C773">
        <v>28549.8</v>
      </c>
    </row>
    <row r="774" spans="1:3" ht="15" customHeight="1" x14ac:dyDescent="0.3">
      <c r="A774" t="s">
        <v>241</v>
      </c>
      <c r="B774" s="3">
        <v>45536</v>
      </c>
      <c r="C774">
        <v>0</v>
      </c>
    </row>
    <row r="775" spans="1:3" ht="15" customHeight="1" x14ac:dyDescent="0.3">
      <c r="A775" t="s">
        <v>241</v>
      </c>
      <c r="B775" s="3">
        <v>45536</v>
      </c>
      <c r="C775">
        <v>29561.4</v>
      </c>
    </row>
    <row r="776" spans="1:3" ht="15" customHeight="1" x14ac:dyDescent="0.3">
      <c r="A776" t="s">
        <v>241</v>
      </c>
      <c r="B776" s="3">
        <v>45566</v>
      </c>
      <c r="C776">
        <v>0</v>
      </c>
    </row>
    <row r="777" spans="1:3" ht="15" customHeight="1" x14ac:dyDescent="0.3">
      <c r="A777" t="s">
        <v>241</v>
      </c>
      <c r="B777" s="3">
        <v>45566</v>
      </c>
      <c r="C777">
        <v>31417.200000000001</v>
      </c>
    </row>
    <row r="778" spans="1:3" ht="15" customHeight="1" x14ac:dyDescent="0.3">
      <c r="A778" t="s">
        <v>241</v>
      </c>
      <c r="B778" s="3">
        <v>45597</v>
      </c>
      <c r="C778">
        <v>0</v>
      </c>
    </row>
    <row r="779" spans="1:3" ht="15" customHeight="1" x14ac:dyDescent="0.3">
      <c r="A779" t="s">
        <v>241</v>
      </c>
      <c r="B779" s="3">
        <v>45597</v>
      </c>
      <c r="C779">
        <v>30121.200000000001</v>
      </c>
    </row>
    <row r="780" spans="1:3" ht="15" customHeight="1" x14ac:dyDescent="0.3">
      <c r="A780" t="s">
        <v>241</v>
      </c>
      <c r="B780" s="3">
        <v>45627</v>
      </c>
      <c r="C780">
        <v>0</v>
      </c>
    </row>
    <row r="781" spans="1:3" ht="15" customHeight="1" x14ac:dyDescent="0.3">
      <c r="A781" t="s">
        <v>241</v>
      </c>
      <c r="B781" s="3">
        <v>45627</v>
      </c>
      <c r="C781">
        <v>29445.3</v>
      </c>
    </row>
    <row r="782" spans="1:3" ht="15" customHeight="1" x14ac:dyDescent="0.3">
      <c r="A782" t="s">
        <v>241</v>
      </c>
      <c r="B782" s="3">
        <v>45658</v>
      </c>
      <c r="C782">
        <v>0</v>
      </c>
    </row>
    <row r="783" spans="1:3" ht="15" customHeight="1" x14ac:dyDescent="0.3">
      <c r="A783" t="s">
        <v>241</v>
      </c>
      <c r="B783" s="3">
        <v>45658</v>
      </c>
      <c r="C783">
        <v>29074.5</v>
      </c>
    </row>
    <row r="784" spans="1:3" ht="15" customHeight="1" x14ac:dyDescent="0.3">
      <c r="A784" t="s">
        <v>241</v>
      </c>
      <c r="B784" s="3">
        <v>45689</v>
      </c>
      <c r="C784">
        <v>0</v>
      </c>
    </row>
    <row r="785" spans="1:3" ht="15" customHeight="1" x14ac:dyDescent="0.3">
      <c r="A785" t="s">
        <v>241</v>
      </c>
      <c r="B785" s="3">
        <v>45689</v>
      </c>
      <c r="C785">
        <v>26716.5</v>
      </c>
    </row>
    <row r="786" spans="1:3" ht="15" customHeight="1" x14ac:dyDescent="0.3">
      <c r="A786" t="s">
        <v>241</v>
      </c>
      <c r="B786" s="3">
        <v>45717</v>
      </c>
      <c r="C786">
        <v>0</v>
      </c>
    </row>
    <row r="787" spans="1:3" ht="15" customHeight="1" x14ac:dyDescent="0.3">
      <c r="A787" t="s">
        <v>241</v>
      </c>
      <c r="B787" s="3">
        <v>45717</v>
      </c>
      <c r="C787">
        <v>27941.4</v>
      </c>
    </row>
    <row r="788" spans="1:3" ht="15" customHeight="1" x14ac:dyDescent="0.3">
      <c r="A788" t="s">
        <v>241</v>
      </c>
      <c r="B788" s="3">
        <v>45748</v>
      </c>
      <c r="C788">
        <v>0</v>
      </c>
    </row>
    <row r="789" spans="1:3" ht="15" customHeight="1" x14ac:dyDescent="0.3">
      <c r="A789" t="s">
        <v>241</v>
      </c>
      <c r="B789" s="3">
        <v>45748</v>
      </c>
      <c r="C789">
        <v>25610.400000000001</v>
      </c>
    </row>
    <row r="790" spans="1:3" ht="15" customHeight="1" x14ac:dyDescent="0.3">
      <c r="A790" t="s">
        <v>241</v>
      </c>
      <c r="B790" s="3">
        <v>45778</v>
      </c>
      <c r="C790">
        <v>0</v>
      </c>
    </row>
    <row r="791" spans="1:3" ht="15" customHeight="1" x14ac:dyDescent="0.3">
      <c r="A791" t="s">
        <v>241</v>
      </c>
      <c r="B791" s="3">
        <v>45778</v>
      </c>
      <c r="C791">
        <v>25802.1</v>
      </c>
    </row>
    <row r="792" spans="1:3" ht="15" customHeight="1" x14ac:dyDescent="0.3">
      <c r="A792" t="s">
        <v>241</v>
      </c>
      <c r="B792" s="3">
        <v>45809</v>
      </c>
      <c r="C792">
        <v>0</v>
      </c>
    </row>
    <row r="793" spans="1:3" ht="15" customHeight="1" x14ac:dyDescent="0.3">
      <c r="A793" t="s">
        <v>241</v>
      </c>
      <c r="B793" s="3">
        <v>45809</v>
      </c>
      <c r="C793">
        <v>23428.799999999999</v>
      </c>
    </row>
    <row r="794" spans="1:3" ht="15" customHeight="1" x14ac:dyDescent="0.3">
      <c r="A794" t="s">
        <v>241</v>
      </c>
      <c r="B794" s="3">
        <v>45839</v>
      </c>
      <c r="C794">
        <v>0</v>
      </c>
    </row>
    <row r="795" spans="1:3" ht="15" customHeight="1" x14ac:dyDescent="0.3">
      <c r="A795" t="s">
        <v>241</v>
      </c>
      <c r="B795" s="3">
        <v>45839</v>
      </c>
      <c r="C795">
        <v>25632</v>
      </c>
    </row>
    <row r="796" spans="1:3" ht="15" customHeight="1" x14ac:dyDescent="0.3">
      <c r="A796" t="s">
        <v>241</v>
      </c>
      <c r="B796" s="3">
        <v>45870</v>
      </c>
      <c r="C796">
        <v>0</v>
      </c>
    </row>
    <row r="797" spans="1:3" ht="15" customHeight="1" x14ac:dyDescent="0.3">
      <c r="A797" t="s">
        <v>241</v>
      </c>
      <c r="B797" s="3">
        <v>45870</v>
      </c>
      <c r="C797">
        <v>28549.8</v>
      </c>
    </row>
    <row r="798" spans="1:3" ht="15" customHeight="1" x14ac:dyDescent="0.3">
      <c r="A798" t="s">
        <v>241</v>
      </c>
      <c r="B798" s="3">
        <v>45901</v>
      </c>
      <c r="C798">
        <v>0</v>
      </c>
    </row>
    <row r="799" spans="1:3" ht="15" customHeight="1" x14ac:dyDescent="0.3">
      <c r="A799" t="s">
        <v>241</v>
      </c>
      <c r="B799" s="3">
        <v>45901</v>
      </c>
      <c r="C799">
        <v>29561.4</v>
      </c>
    </row>
    <row r="800" spans="1:3" ht="15" customHeight="1" x14ac:dyDescent="0.3">
      <c r="A800" t="s">
        <v>241</v>
      </c>
      <c r="B800" s="3">
        <v>45931</v>
      </c>
      <c r="C800">
        <v>0</v>
      </c>
    </row>
    <row r="801" spans="1:3" ht="15" customHeight="1" x14ac:dyDescent="0.3">
      <c r="A801" t="s">
        <v>241</v>
      </c>
      <c r="B801" s="3">
        <v>45931</v>
      </c>
      <c r="C801">
        <v>31417.200000000001</v>
      </c>
    </row>
    <row r="802" spans="1:3" ht="15" customHeight="1" x14ac:dyDescent="0.3">
      <c r="A802" t="s">
        <v>241</v>
      </c>
      <c r="B802" s="3">
        <v>45962</v>
      </c>
      <c r="C802">
        <v>0</v>
      </c>
    </row>
    <row r="803" spans="1:3" ht="15" customHeight="1" x14ac:dyDescent="0.3">
      <c r="A803" t="s">
        <v>241</v>
      </c>
      <c r="B803" s="3">
        <v>45962</v>
      </c>
      <c r="C803">
        <v>30121.200000000001</v>
      </c>
    </row>
    <row r="804" spans="1:3" ht="15" customHeight="1" x14ac:dyDescent="0.3">
      <c r="A804" t="s">
        <v>241</v>
      </c>
      <c r="B804" s="3">
        <v>45992</v>
      </c>
      <c r="C804">
        <v>0</v>
      </c>
    </row>
    <row r="805" spans="1:3" ht="15" customHeight="1" x14ac:dyDescent="0.3">
      <c r="A805" t="s">
        <v>241</v>
      </c>
      <c r="B805" s="3">
        <v>45992</v>
      </c>
      <c r="C805">
        <v>29445.3</v>
      </c>
    </row>
    <row r="806" spans="1:3" ht="15" customHeight="1" x14ac:dyDescent="0.3">
      <c r="A806" t="s">
        <v>241</v>
      </c>
      <c r="B806" s="3">
        <v>46023</v>
      </c>
      <c r="C806">
        <v>0</v>
      </c>
    </row>
    <row r="807" spans="1:3" ht="15" customHeight="1" x14ac:dyDescent="0.3">
      <c r="A807" t="s">
        <v>241</v>
      </c>
      <c r="B807" s="3">
        <v>46023</v>
      </c>
      <c r="C807">
        <v>29074.5</v>
      </c>
    </row>
    <row r="808" spans="1:3" ht="15" customHeight="1" x14ac:dyDescent="0.3">
      <c r="A808" t="s">
        <v>241</v>
      </c>
      <c r="B808" s="3">
        <v>46054</v>
      </c>
      <c r="C808">
        <v>0</v>
      </c>
    </row>
    <row r="809" spans="1:3" ht="15" customHeight="1" x14ac:dyDescent="0.3">
      <c r="A809" t="s">
        <v>241</v>
      </c>
      <c r="B809" s="3">
        <v>46054</v>
      </c>
      <c r="C809">
        <v>26716.5</v>
      </c>
    </row>
    <row r="810" spans="1:3" ht="15" customHeight="1" x14ac:dyDescent="0.3">
      <c r="A810" t="s">
        <v>241</v>
      </c>
      <c r="B810" s="3">
        <v>46082</v>
      </c>
      <c r="C810">
        <v>0</v>
      </c>
    </row>
    <row r="811" spans="1:3" ht="15" customHeight="1" x14ac:dyDescent="0.3">
      <c r="A811" t="s">
        <v>241</v>
      </c>
      <c r="B811" s="3">
        <v>46082</v>
      </c>
      <c r="C811">
        <v>27941.4</v>
      </c>
    </row>
    <row r="812" spans="1:3" ht="15" customHeight="1" x14ac:dyDescent="0.3">
      <c r="A812" t="s">
        <v>241</v>
      </c>
      <c r="B812" s="3">
        <v>46113</v>
      </c>
      <c r="C812">
        <v>25610.400000000001</v>
      </c>
    </row>
    <row r="813" spans="1:3" ht="15" customHeight="1" x14ac:dyDescent="0.3">
      <c r="A813" t="s">
        <v>241</v>
      </c>
      <c r="B813" s="3">
        <v>46113</v>
      </c>
      <c r="C813">
        <v>25610.400000000001</v>
      </c>
    </row>
    <row r="814" spans="1:3" ht="15" customHeight="1" x14ac:dyDescent="0.3">
      <c r="A814" t="s">
        <v>241</v>
      </c>
      <c r="B814" s="3">
        <v>46143</v>
      </c>
      <c r="C814">
        <v>0</v>
      </c>
    </row>
    <row r="815" spans="1:3" ht="15" customHeight="1" x14ac:dyDescent="0.3">
      <c r="A815" t="s">
        <v>241</v>
      </c>
      <c r="B815" s="3">
        <v>46143</v>
      </c>
      <c r="C815">
        <v>25802.1</v>
      </c>
    </row>
    <row r="816" spans="1:3" ht="15" customHeight="1" x14ac:dyDescent="0.3">
      <c r="A816" t="s">
        <v>241</v>
      </c>
      <c r="B816" s="3">
        <v>46174</v>
      </c>
      <c r="C816">
        <v>0</v>
      </c>
    </row>
    <row r="817" spans="1:3" ht="15" customHeight="1" x14ac:dyDescent="0.3">
      <c r="A817" t="s">
        <v>241</v>
      </c>
      <c r="B817" s="3">
        <v>46174</v>
      </c>
      <c r="C817">
        <v>23428.799999999999</v>
      </c>
    </row>
    <row r="818" spans="1:3" ht="15" customHeight="1" x14ac:dyDescent="0.3">
      <c r="A818" t="s">
        <v>241</v>
      </c>
      <c r="B818" s="3">
        <v>46204</v>
      </c>
      <c r="C818">
        <v>0</v>
      </c>
    </row>
    <row r="819" spans="1:3" ht="15" customHeight="1" x14ac:dyDescent="0.3">
      <c r="A819" t="s">
        <v>241</v>
      </c>
      <c r="B819" s="3">
        <v>46204</v>
      </c>
      <c r="C819">
        <v>25632</v>
      </c>
    </row>
    <row r="820" spans="1:3" ht="15" customHeight="1" x14ac:dyDescent="0.3">
      <c r="A820" t="s">
        <v>241</v>
      </c>
      <c r="B820" s="3">
        <v>46235</v>
      </c>
      <c r="C820">
        <v>0</v>
      </c>
    </row>
    <row r="821" spans="1:3" ht="15" customHeight="1" x14ac:dyDescent="0.3">
      <c r="A821" t="s">
        <v>241</v>
      </c>
      <c r="B821" s="3">
        <v>46235</v>
      </c>
      <c r="C821">
        <v>28549.8</v>
      </c>
    </row>
    <row r="822" spans="1:3" ht="15" customHeight="1" x14ac:dyDescent="0.3">
      <c r="A822" t="s">
        <v>241</v>
      </c>
      <c r="B822" s="3">
        <v>46266</v>
      </c>
      <c r="C822">
        <v>0</v>
      </c>
    </row>
    <row r="823" spans="1:3" ht="15" customHeight="1" x14ac:dyDescent="0.3">
      <c r="A823" t="s">
        <v>241</v>
      </c>
      <c r="B823" s="3">
        <v>46266</v>
      </c>
      <c r="C823">
        <v>29561.4</v>
      </c>
    </row>
    <row r="824" spans="1:3" ht="15" customHeight="1" x14ac:dyDescent="0.3">
      <c r="A824" t="s">
        <v>241</v>
      </c>
      <c r="B824" s="3">
        <v>46296</v>
      </c>
      <c r="C824">
        <v>0</v>
      </c>
    </row>
    <row r="825" spans="1:3" ht="15" customHeight="1" x14ac:dyDescent="0.3">
      <c r="A825" t="s">
        <v>241</v>
      </c>
      <c r="B825" s="3">
        <v>46296</v>
      </c>
      <c r="C825">
        <v>31417.200000000001</v>
      </c>
    </row>
    <row r="826" spans="1:3" ht="15" customHeight="1" x14ac:dyDescent="0.3">
      <c r="A826" t="s">
        <v>241</v>
      </c>
      <c r="B826" s="3">
        <v>46327</v>
      </c>
      <c r="C826">
        <v>0</v>
      </c>
    </row>
    <row r="827" spans="1:3" ht="15" customHeight="1" x14ac:dyDescent="0.3">
      <c r="A827" t="s">
        <v>241</v>
      </c>
      <c r="B827" s="3">
        <v>46327</v>
      </c>
      <c r="C827">
        <v>30121.200000000001</v>
      </c>
    </row>
    <row r="828" spans="1:3" ht="15" customHeight="1" x14ac:dyDescent="0.3">
      <c r="A828" t="s">
        <v>241</v>
      </c>
      <c r="B828" s="3">
        <v>46357</v>
      </c>
      <c r="C828">
        <v>0</v>
      </c>
    </row>
    <row r="829" spans="1:3" ht="15" customHeight="1" x14ac:dyDescent="0.3">
      <c r="A829" t="s">
        <v>241</v>
      </c>
      <c r="B829" s="3">
        <v>46357</v>
      </c>
      <c r="C829">
        <v>29445.3</v>
      </c>
    </row>
    <row r="830" spans="1:3" ht="15" customHeight="1" x14ac:dyDescent="0.3">
      <c r="A830" t="s">
        <v>115</v>
      </c>
      <c r="B830" s="3">
        <v>45292</v>
      </c>
      <c r="C830">
        <v>4235.3999999999996</v>
      </c>
    </row>
    <row r="831" spans="1:3" ht="15" customHeight="1" x14ac:dyDescent="0.3">
      <c r="A831" t="s">
        <v>115</v>
      </c>
      <c r="B831" s="3">
        <v>45323</v>
      </c>
      <c r="C831">
        <v>3699</v>
      </c>
    </row>
    <row r="832" spans="1:3" ht="15" customHeight="1" x14ac:dyDescent="0.3">
      <c r="A832" t="s">
        <v>115</v>
      </c>
      <c r="B832" s="3">
        <v>45352</v>
      </c>
      <c r="C832">
        <v>3788.1</v>
      </c>
    </row>
    <row r="833" spans="1:3" ht="15" customHeight="1" x14ac:dyDescent="0.3">
      <c r="A833" t="s">
        <v>115</v>
      </c>
      <c r="B833" s="3">
        <v>45383</v>
      </c>
      <c r="C833">
        <v>3184.2</v>
      </c>
    </row>
    <row r="834" spans="1:3" ht="15" customHeight="1" x14ac:dyDescent="0.3">
      <c r="A834" t="s">
        <v>115</v>
      </c>
      <c r="B834" s="3">
        <v>45413</v>
      </c>
      <c r="C834">
        <v>3052.8</v>
      </c>
    </row>
    <row r="835" spans="1:3" ht="15" customHeight="1" x14ac:dyDescent="0.3">
      <c r="A835" t="s">
        <v>115</v>
      </c>
      <c r="B835" s="3">
        <v>45444</v>
      </c>
      <c r="C835">
        <v>2752.2</v>
      </c>
    </row>
    <row r="836" spans="1:3" ht="15" customHeight="1" x14ac:dyDescent="0.3">
      <c r="A836" t="s">
        <v>115</v>
      </c>
      <c r="B836" s="3">
        <v>45474</v>
      </c>
      <c r="C836">
        <v>3029.4</v>
      </c>
    </row>
    <row r="837" spans="1:3" ht="15" customHeight="1" x14ac:dyDescent="0.3">
      <c r="A837" t="s">
        <v>115</v>
      </c>
      <c r="B837" s="3">
        <v>45505</v>
      </c>
      <c r="C837">
        <v>3546.9</v>
      </c>
    </row>
    <row r="838" spans="1:3" ht="15" customHeight="1" x14ac:dyDescent="0.3">
      <c r="A838" t="s">
        <v>115</v>
      </c>
      <c r="B838" s="3">
        <v>45536</v>
      </c>
      <c r="C838">
        <v>3911.4</v>
      </c>
    </row>
    <row r="839" spans="1:3" ht="15" customHeight="1" x14ac:dyDescent="0.3">
      <c r="A839" t="s">
        <v>115</v>
      </c>
      <c r="B839" s="3">
        <v>45566</v>
      </c>
      <c r="C839">
        <v>4103.1000000000004</v>
      </c>
    </row>
    <row r="840" spans="1:3" ht="15" customHeight="1" x14ac:dyDescent="0.3">
      <c r="A840" t="s">
        <v>115</v>
      </c>
      <c r="B840" s="3">
        <v>45597</v>
      </c>
      <c r="C840">
        <v>4120.2</v>
      </c>
    </row>
    <row r="841" spans="1:3" ht="15" customHeight="1" x14ac:dyDescent="0.3">
      <c r="A841" t="s">
        <v>115</v>
      </c>
      <c r="B841" s="3">
        <v>45627</v>
      </c>
      <c r="C841">
        <v>4377.6000000000004</v>
      </c>
    </row>
    <row r="842" spans="1:3" ht="15" customHeight="1" x14ac:dyDescent="0.3">
      <c r="A842" t="s">
        <v>115</v>
      </c>
      <c r="B842" s="3">
        <v>45658</v>
      </c>
      <c r="C842">
        <v>4235.3999999999996</v>
      </c>
    </row>
    <row r="843" spans="1:3" ht="15" customHeight="1" x14ac:dyDescent="0.3">
      <c r="A843" t="s">
        <v>115</v>
      </c>
      <c r="B843" s="3">
        <v>45689</v>
      </c>
      <c r="C843">
        <v>3699</v>
      </c>
    </row>
    <row r="844" spans="1:3" ht="15" customHeight="1" x14ac:dyDescent="0.3">
      <c r="A844" t="s">
        <v>115</v>
      </c>
      <c r="B844" s="3">
        <v>45717</v>
      </c>
      <c r="C844">
        <v>3788.1</v>
      </c>
    </row>
    <row r="845" spans="1:3" ht="15" customHeight="1" x14ac:dyDescent="0.3">
      <c r="A845" t="s">
        <v>115</v>
      </c>
      <c r="B845" s="3">
        <v>45748</v>
      </c>
      <c r="C845">
        <v>3184.2</v>
      </c>
    </row>
    <row r="846" spans="1:3" ht="15" customHeight="1" x14ac:dyDescent="0.3">
      <c r="A846" t="s">
        <v>115</v>
      </c>
      <c r="B846" s="3">
        <v>45778</v>
      </c>
      <c r="C846">
        <v>3052.8</v>
      </c>
    </row>
    <row r="847" spans="1:3" ht="15" customHeight="1" x14ac:dyDescent="0.3">
      <c r="A847" t="s">
        <v>115</v>
      </c>
      <c r="B847" s="3">
        <v>45809</v>
      </c>
      <c r="C847">
        <v>2752.2</v>
      </c>
    </row>
    <row r="848" spans="1:3" ht="15" customHeight="1" x14ac:dyDescent="0.3">
      <c r="A848" t="s">
        <v>115</v>
      </c>
      <c r="B848" s="3">
        <v>45839</v>
      </c>
      <c r="C848">
        <v>3029.4</v>
      </c>
    </row>
    <row r="849" spans="1:3" ht="15" customHeight="1" x14ac:dyDescent="0.3">
      <c r="A849" t="s">
        <v>115</v>
      </c>
      <c r="B849" s="3">
        <v>45870</v>
      </c>
      <c r="C849">
        <v>3546.9</v>
      </c>
    </row>
    <row r="850" spans="1:3" ht="15" customHeight="1" x14ac:dyDescent="0.3">
      <c r="A850" t="s">
        <v>115</v>
      </c>
      <c r="B850" s="3">
        <v>45901</v>
      </c>
      <c r="C850">
        <v>3911.4</v>
      </c>
    </row>
    <row r="851" spans="1:3" ht="15" customHeight="1" x14ac:dyDescent="0.3">
      <c r="A851" t="s">
        <v>115</v>
      </c>
      <c r="B851" s="3">
        <v>45931</v>
      </c>
      <c r="C851">
        <v>4103.1000000000004</v>
      </c>
    </row>
    <row r="852" spans="1:3" ht="15" customHeight="1" x14ac:dyDescent="0.3">
      <c r="A852" t="s">
        <v>115</v>
      </c>
      <c r="B852" s="3">
        <v>45962</v>
      </c>
      <c r="C852">
        <v>4120.2</v>
      </c>
    </row>
    <row r="853" spans="1:3" ht="15" customHeight="1" x14ac:dyDescent="0.3">
      <c r="A853" t="s">
        <v>115</v>
      </c>
      <c r="B853" s="3">
        <v>45992</v>
      </c>
      <c r="C853">
        <v>4377.6000000000004</v>
      </c>
    </row>
    <row r="854" spans="1:3" ht="15" customHeight="1" x14ac:dyDescent="0.3">
      <c r="A854" t="s">
        <v>115</v>
      </c>
      <c r="B854" s="3">
        <v>46023</v>
      </c>
      <c r="C854">
        <v>4235.3999999999996</v>
      </c>
    </row>
    <row r="855" spans="1:3" ht="15" customHeight="1" x14ac:dyDescent="0.3">
      <c r="A855" t="s">
        <v>115</v>
      </c>
      <c r="B855" s="3">
        <v>46054</v>
      </c>
      <c r="C855">
        <v>3699</v>
      </c>
    </row>
    <row r="856" spans="1:3" ht="15" customHeight="1" x14ac:dyDescent="0.3">
      <c r="A856" t="s">
        <v>115</v>
      </c>
      <c r="B856" s="3">
        <v>46082</v>
      </c>
      <c r="C856">
        <v>3788.1</v>
      </c>
    </row>
    <row r="857" spans="1:3" ht="15" customHeight="1" x14ac:dyDescent="0.3">
      <c r="A857" t="s">
        <v>115</v>
      </c>
      <c r="B857" s="3">
        <v>46113</v>
      </c>
      <c r="C857">
        <v>3184.2</v>
      </c>
    </row>
    <row r="858" spans="1:3" ht="15" customHeight="1" x14ac:dyDescent="0.3">
      <c r="A858" t="s">
        <v>115</v>
      </c>
      <c r="B858" s="3">
        <v>46143</v>
      </c>
      <c r="C858">
        <v>3052.8</v>
      </c>
    </row>
    <row r="859" spans="1:3" ht="15" customHeight="1" x14ac:dyDescent="0.3">
      <c r="A859" t="s">
        <v>115</v>
      </c>
      <c r="B859" s="3">
        <v>46174</v>
      </c>
      <c r="C859">
        <v>2752.2</v>
      </c>
    </row>
    <row r="860" spans="1:3" ht="15" customHeight="1" x14ac:dyDescent="0.3">
      <c r="A860" t="s">
        <v>115</v>
      </c>
      <c r="B860" s="3">
        <v>46204</v>
      </c>
      <c r="C860">
        <v>3029.4</v>
      </c>
    </row>
    <row r="861" spans="1:3" ht="15" customHeight="1" x14ac:dyDescent="0.3">
      <c r="A861" t="s">
        <v>115</v>
      </c>
      <c r="B861" s="3">
        <v>46235</v>
      </c>
      <c r="C861">
        <v>3546.9</v>
      </c>
    </row>
    <row r="862" spans="1:3" ht="15" customHeight="1" x14ac:dyDescent="0.3">
      <c r="A862" t="s">
        <v>115</v>
      </c>
      <c r="B862" s="3">
        <v>46266</v>
      </c>
      <c r="C862">
        <v>3911.4</v>
      </c>
    </row>
    <row r="863" spans="1:3" ht="15" customHeight="1" x14ac:dyDescent="0.3">
      <c r="A863" t="s">
        <v>115</v>
      </c>
      <c r="B863" s="3">
        <v>46296</v>
      </c>
      <c r="C863">
        <v>4103.1000000000004</v>
      </c>
    </row>
    <row r="864" spans="1:3" ht="15" customHeight="1" x14ac:dyDescent="0.3">
      <c r="A864" t="s">
        <v>115</v>
      </c>
      <c r="B864" s="3">
        <v>46327</v>
      </c>
      <c r="C864">
        <v>4120.2</v>
      </c>
    </row>
    <row r="865" spans="1:3" ht="15" customHeight="1" x14ac:dyDescent="0.3">
      <c r="A865" t="s">
        <v>115</v>
      </c>
      <c r="B865" s="3">
        <v>46357</v>
      </c>
      <c r="C865">
        <v>4377.6000000000004</v>
      </c>
    </row>
    <row r="866" spans="1:3" ht="15" customHeight="1" x14ac:dyDescent="0.3">
      <c r="A866" t="s">
        <v>119</v>
      </c>
      <c r="B866" s="3">
        <v>45292</v>
      </c>
      <c r="C866">
        <v>39600.81</v>
      </c>
    </row>
    <row r="867" spans="1:3" ht="15" customHeight="1" x14ac:dyDescent="0.3">
      <c r="A867" t="s">
        <v>119</v>
      </c>
      <c r="B867" s="3">
        <v>45323</v>
      </c>
      <c r="C867">
        <v>33064.92</v>
      </c>
    </row>
    <row r="868" spans="1:3" ht="15" customHeight="1" x14ac:dyDescent="0.3">
      <c r="A868" t="s">
        <v>119</v>
      </c>
      <c r="B868" s="3">
        <v>45352</v>
      </c>
      <c r="C868">
        <v>32219.55</v>
      </c>
    </row>
    <row r="869" spans="1:3" ht="15" customHeight="1" x14ac:dyDescent="0.3">
      <c r="A869" t="s">
        <v>119</v>
      </c>
      <c r="B869" s="3">
        <v>45383</v>
      </c>
      <c r="C869">
        <v>23614.38</v>
      </c>
    </row>
    <row r="870" spans="1:3" ht="15" customHeight="1" x14ac:dyDescent="0.3">
      <c r="A870" t="s">
        <v>119</v>
      </c>
      <c r="B870" s="3">
        <v>45413</v>
      </c>
      <c r="C870">
        <v>17952.57</v>
      </c>
    </row>
    <row r="871" spans="1:3" ht="15" customHeight="1" x14ac:dyDescent="0.3">
      <c r="A871" t="s">
        <v>119</v>
      </c>
      <c r="B871" s="3">
        <v>45444</v>
      </c>
      <c r="C871">
        <v>14925.6</v>
      </c>
    </row>
    <row r="872" spans="1:3" ht="15" customHeight="1" x14ac:dyDescent="0.3">
      <c r="A872" t="s">
        <v>119</v>
      </c>
      <c r="B872" s="3">
        <v>45474</v>
      </c>
      <c r="C872">
        <v>16774.830000000002</v>
      </c>
    </row>
    <row r="873" spans="1:3" ht="15" customHeight="1" x14ac:dyDescent="0.3">
      <c r="A873" t="s">
        <v>119</v>
      </c>
      <c r="B873" s="3">
        <v>45505</v>
      </c>
      <c r="C873">
        <v>20886.75</v>
      </c>
    </row>
    <row r="874" spans="1:3" ht="15" customHeight="1" x14ac:dyDescent="0.3">
      <c r="A874" t="s">
        <v>119</v>
      </c>
      <c r="B874" s="3">
        <v>45536</v>
      </c>
      <c r="C874">
        <v>26689.95</v>
      </c>
    </row>
    <row r="875" spans="1:3" ht="15" customHeight="1" x14ac:dyDescent="0.3">
      <c r="A875" t="s">
        <v>119</v>
      </c>
      <c r="B875" s="3">
        <v>45566</v>
      </c>
      <c r="C875">
        <v>33024.69</v>
      </c>
    </row>
    <row r="876" spans="1:3" ht="15" customHeight="1" x14ac:dyDescent="0.3">
      <c r="A876" t="s">
        <v>119</v>
      </c>
      <c r="B876" s="3">
        <v>45597</v>
      </c>
      <c r="C876">
        <v>37111.769999999997</v>
      </c>
    </row>
    <row r="877" spans="1:3" ht="15" customHeight="1" x14ac:dyDescent="0.3">
      <c r="A877" t="s">
        <v>119</v>
      </c>
      <c r="B877" s="3">
        <v>45627</v>
      </c>
      <c r="C877">
        <v>40125.69</v>
      </c>
    </row>
    <row r="878" spans="1:3" ht="15" customHeight="1" x14ac:dyDescent="0.3">
      <c r="A878" t="s">
        <v>119</v>
      </c>
      <c r="B878" s="3">
        <v>45658</v>
      </c>
      <c r="C878">
        <v>39600.81</v>
      </c>
    </row>
    <row r="879" spans="1:3" ht="15" customHeight="1" x14ac:dyDescent="0.3">
      <c r="A879" t="s">
        <v>119</v>
      </c>
      <c r="B879" s="3">
        <v>45689</v>
      </c>
      <c r="C879">
        <v>33064.92</v>
      </c>
    </row>
    <row r="880" spans="1:3" ht="15" customHeight="1" x14ac:dyDescent="0.3">
      <c r="A880" t="s">
        <v>119</v>
      </c>
      <c r="B880" s="3">
        <v>45717</v>
      </c>
      <c r="C880">
        <v>32219.55</v>
      </c>
    </row>
    <row r="881" spans="1:3" ht="15" customHeight="1" x14ac:dyDescent="0.3">
      <c r="A881" t="s">
        <v>119</v>
      </c>
      <c r="B881" s="3">
        <v>45748</v>
      </c>
      <c r="C881">
        <v>23614.38</v>
      </c>
    </row>
    <row r="882" spans="1:3" ht="15" customHeight="1" x14ac:dyDescent="0.3">
      <c r="A882" t="s">
        <v>119</v>
      </c>
      <c r="B882" s="3">
        <v>45778</v>
      </c>
      <c r="C882">
        <v>17952.57</v>
      </c>
    </row>
    <row r="883" spans="1:3" ht="15" customHeight="1" x14ac:dyDescent="0.3">
      <c r="A883" t="s">
        <v>119</v>
      </c>
      <c r="B883" s="3">
        <v>45809</v>
      </c>
      <c r="C883">
        <v>14925.6</v>
      </c>
    </row>
    <row r="884" spans="1:3" ht="15" customHeight="1" x14ac:dyDescent="0.3">
      <c r="A884" t="s">
        <v>119</v>
      </c>
      <c r="B884" s="3">
        <v>45839</v>
      </c>
      <c r="C884">
        <v>16774.830000000002</v>
      </c>
    </row>
    <row r="885" spans="1:3" ht="15" customHeight="1" x14ac:dyDescent="0.3">
      <c r="A885" t="s">
        <v>119</v>
      </c>
      <c r="B885" s="3">
        <v>45870</v>
      </c>
      <c r="C885">
        <v>20886.75</v>
      </c>
    </row>
    <row r="886" spans="1:3" ht="15" customHeight="1" x14ac:dyDescent="0.3">
      <c r="A886" t="s">
        <v>119</v>
      </c>
      <c r="B886" s="3">
        <v>45901</v>
      </c>
      <c r="C886">
        <v>26689.95</v>
      </c>
    </row>
    <row r="887" spans="1:3" ht="15" customHeight="1" x14ac:dyDescent="0.3">
      <c r="A887" t="s">
        <v>119</v>
      </c>
      <c r="B887" s="3">
        <v>45931</v>
      </c>
      <c r="C887">
        <v>33024.69</v>
      </c>
    </row>
    <row r="888" spans="1:3" ht="15" customHeight="1" x14ac:dyDescent="0.3">
      <c r="A888" t="s">
        <v>119</v>
      </c>
      <c r="B888" s="3">
        <v>45962</v>
      </c>
      <c r="C888">
        <v>37111.769999999997</v>
      </c>
    </row>
    <row r="889" spans="1:3" ht="15" customHeight="1" x14ac:dyDescent="0.3">
      <c r="A889" t="s">
        <v>119</v>
      </c>
      <c r="B889" s="3">
        <v>45992</v>
      </c>
      <c r="C889">
        <v>40125.69</v>
      </c>
    </row>
    <row r="890" spans="1:3" ht="15" customHeight="1" x14ac:dyDescent="0.3">
      <c r="A890" t="s">
        <v>119</v>
      </c>
      <c r="B890" s="3">
        <v>46023</v>
      </c>
      <c r="C890">
        <v>39600.81</v>
      </c>
    </row>
    <row r="891" spans="1:3" ht="15" customHeight="1" x14ac:dyDescent="0.3">
      <c r="A891" t="s">
        <v>119</v>
      </c>
      <c r="B891" s="3">
        <v>46054</v>
      </c>
      <c r="C891">
        <v>33064.92</v>
      </c>
    </row>
    <row r="892" spans="1:3" ht="15" customHeight="1" x14ac:dyDescent="0.3">
      <c r="A892" t="s">
        <v>119</v>
      </c>
      <c r="B892" s="3">
        <v>46082</v>
      </c>
      <c r="C892">
        <v>32219.55</v>
      </c>
    </row>
    <row r="893" spans="1:3" ht="15" customHeight="1" x14ac:dyDescent="0.3">
      <c r="A893" t="s">
        <v>119</v>
      </c>
      <c r="B893" s="3">
        <v>46113</v>
      </c>
      <c r="C893">
        <v>23614.38</v>
      </c>
    </row>
    <row r="894" spans="1:3" ht="15" customHeight="1" x14ac:dyDescent="0.3">
      <c r="A894" t="s">
        <v>119</v>
      </c>
      <c r="B894" s="3">
        <v>46143</v>
      </c>
      <c r="C894">
        <v>17952.57</v>
      </c>
    </row>
    <row r="895" spans="1:3" ht="15" customHeight="1" x14ac:dyDescent="0.3">
      <c r="A895" t="s">
        <v>119</v>
      </c>
      <c r="B895" s="3">
        <v>46174</v>
      </c>
      <c r="C895">
        <v>14925.6</v>
      </c>
    </row>
    <row r="896" spans="1:3" ht="15" customHeight="1" x14ac:dyDescent="0.3">
      <c r="A896" t="s">
        <v>119</v>
      </c>
      <c r="B896" s="3">
        <v>46204</v>
      </c>
      <c r="C896">
        <v>16774.830000000002</v>
      </c>
    </row>
    <row r="897" spans="1:3" ht="15" customHeight="1" x14ac:dyDescent="0.3">
      <c r="A897" t="s">
        <v>119</v>
      </c>
      <c r="B897" s="3">
        <v>46235</v>
      </c>
      <c r="C897">
        <v>20886.75</v>
      </c>
    </row>
    <row r="898" spans="1:3" ht="15" customHeight="1" x14ac:dyDescent="0.3">
      <c r="A898" t="s">
        <v>119</v>
      </c>
      <c r="B898" s="3">
        <v>46266</v>
      </c>
      <c r="C898">
        <v>26689.95</v>
      </c>
    </row>
    <row r="899" spans="1:3" ht="15" customHeight="1" x14ac:dyDescent="0.3">
      <c r="A899" t="s">
        <v>119</v>
      </c>
      <c r="B899" s="3">
        <v>46296</v>
      </c>
      <c r="C899">
        <v>33024.69</v>
      </c>
    </row>
    <row r="900" spans="1:3" ht="15" customHeight="1" x14ac:dyDescent="0.3">
      <c r="A900" t="s">
        <v>119</v>
      </c>
      <c r="B900" s="3">
        <v>46327</v>
      </c>
      <c r="C900">
        <v>37111.769999999997</v>
      </c>
    </row>
    <row r="901" spans="1:3" ht="15" customHeight="1" x14ac:dyDescent="0.3">
      <c r="A901" t="s">
        <v>119</v>
      </c>
      <c r="B901" s="3">
        <v>46357</v>
      </c>
      <c r="C901">
        <v>40125.69</v>
      </c>
    </row>
    <row r="902" spans="1:3" ht="15" customHeight="1" x14ac:dyDescent="0.3">
      <c r="A902" t="s">
        <v>120</v>
      </c>
      <c r="B902" s="3">
        <v>45292</v>
      </c>
      <c r="C902">
        <v>29391.3</v>
      </c>
    </row>
    <row r="903" spans="1:3" ht="15" customHeight="1" x14ac:dyDescent="0.3">
      <c r="A903" t="s">
        <v>120</v>
      </c>
      <c r="B903" s="3">
        <v>45323</v>
      </c>
      <c r="C903">
        <v>25677</v>
      </c>
    </row>
    <row r="904" spans="1:3" ht="15" customHeight="1" x14ac:dyDescent="0.3">
      <c r="A904" t="s">
        <v>120</v>
      </c>
      <c r="B904" s="3">
        <v>45352</v>
      </c>
      <c r="C904">
        <v>24204.6</v>
      </c>
    </row>
    <row r="905" spans="1:3" ht="15" customHeight="1" x14ac:dyDescent="0.3">
      <c r="A905" t="s">
        <v>120</v>
      </c>
      <c r="B905" s="3">
        <v>45383</v>
      </c>
      <c r="C905">
        <v>21550.5</v>
      </c>
    </row>
    <row r="906" spans="1:3" ht="15" customHeight="1" x14ac:dyDescent="0.3">
      <c r="A906" t="s">
        <v>120</v>
      </c>
      <c r="B906" s="3">
        <v>45413</v>
      </c>
      <c r="C906">
        <v>19301.400000000001</v>
      </c>
    </row>
    <row r="907" spans="1:3" ht="15" customHeight="1" x14ac:dyDescent="0.3">
      <c r="A907" t="s">
        <v>120</v>
      </c>
      <c r="B907" s="3">
        <v>45444</v>
      </c>
      <c r="C907">
        <v>17076.599999999999</v>
      </c>
    </row>
    <row r="908" spans="1:3" ht="15" customHeight="1" x14ac:dyDescent="0.3">
      <c r="A908" t="s">
        <v>120</v>
      </c>
      <c r="B908" s="3">
        <v>45474</v>
      </c>
      <c r="C908">
        <v>19010.7</v>
      </c>
    </row>
    <row r="909" spans="1:3" ht="15" customHeight="1" x14ac:dyDescent="0.3">
      <c r="A909" t="s">
        <v>120</v>
      </c>
      <c r="B909" s="3">
        <v>45505</v>
      </c>
      <c r="C909">
        <v>22169.7</v>
      </c>
    </row>
    <row r="910" spans="1:3" ht="15" customHeight="1" x14ac:dyDescent="0.3">
      <c r="A910" t="s">
        <v>120</v>
      </c>
      <c r="B910" s="3">
        <v>45536</v>
      </c>
      <c r="C910">
        <v>24661.8</v>
      </c>
    </row>
    <row r="911" spans="1:3" ht="15" customHeight="1" x14ac:dyDescent="0.3">
      <c r="A911" t="s">
        <v>120</v>
      </c>
      <c r="B911" s="3">
        <v>45566</v>
      </c>
      <c r="C911">
        <v>27450.9</v>
      </c>
    </row>
    <row r="912" spans="1:3" ht="15" customHeight="1" x14ac:dyDescent="0.3">
      <c r="A912" t="s">
        <v>120</v>
      </c>
      <c r="B912" s="3">
        <v>45597</v>
      </c>
      <c r="C912">
        <v>28825.200000000001</v>
      </c>
    </row>
    <row r="913" spans="1:3" ht="15" customHeight="1" x14ac:dyDescent="0.3">
      <c r="A913" t="s">
        <v>120</v>
      </c>
      <c r="B913" s="3">
        <v>45627</v>
      </c>
      <c r="C913">
        <v>28327.5</v>
      </c>
    </row>
    <row r="914" spans="1:3" ht="15" customHeight="1" x14ac:dyDescent="0.3">
      <c r="A914" t="s">
        <v>120</v>
      </c>
      <c r="B914" s="3">
        <v>45658</v>
      </c>
      <c r="C914">
        <v>29391.3</v>
      </c>
    </row>
    <row r="915" spans="1:3" ht="15" customHeight="1" x14ac:dyDescent="0.3">
      <c r="A915" t="s">
        <v>120</v>
      </c>
      <c r="B915" s="3">
        <v>45689</v>
      </c>
      <c r="C915">
        <v>25677</v>
      </c>
    </row>
    <row r="916" spans="1:3" ht="15" customHeight="1" x14ac:dyDescent="0.3">
      <c r="A916" t="s">
        <v>120</v>
      </c>
      <c r="B916" s="3">
        <v>45717</v>
      </c>
      <c r="C916">
        <v>24204.6</v>
      </c>
    </row>
    <row r="917" spans="1:3" ht="15" customHeight="1" x14ac:dyDescent="0.3">
      <c r="A917" t="s">
        <v>120</v>
      </c>
      <c r="B917" s="3">
        <v>45748</v>
      </c>
      <c r="C917">
        <v>21550.5</v>
      </c>
    </row>
    <row r="918" spans="1:3" ht="15" customHeight="1" x14ac:dyDescent="0.3">
      <c r="A918" t="s">
        <v>120</v>
      </c>
      <c r="B918" s="3">
        <v>45778</v>
      </c>
      <c r="C918">
        <v>19301.400000000001</v>
      </c>
    </row>
    <row r="919" spans="1:3" ht="15" customHeight="1" x14ac:dyDescent="0.3">
      <c r="A919" t="s">
        <v>120</v>
      </c>
      <c r="B919" s="3">
        <v>45809</v>
      </c>
      <c r="C919">
        <v>17076.599999999999</v>
      </c>
    </row>
    <row r="920" spans="1:3" ht="15" customHeight="1" x14ac:dyDescent="0.3">
      <c r="A920" t="s">
        <v>120</v>
      </c>
      <c r="B920" s="3">
        <v>45839</v>
      </c>
      <c r="C920">
        <v>19010.7</v>
      </c>
    </row>
    <row r="921" spans="1:3" ht="15" customHeight="1" x14ac:dyDescent="0.3">
      <c r="A921" t="s">
        <v>120</v>
      </c>
      <c r="B921" s="3">
        <v>45870</v>
      </c>
      <c r="C921">
        <v>22169.7</v>
      </c>
    </row>
    <row r="922" spans="1:3" ht="15" customHeight="1" x14ac:dyDescent="0.3">
      <c r="A922" t="s">
        <v>120</v>
      </c>
      <c r="B922" s="3">
        <v>45901</v>
      </c>
      <c r="C922">
        <v>24661.8</v>
      </c>
    </row>
    <row r="923" spans="1:3" ht="15" customHeight="1" x14ac:dyDescent="0.3">
      <c r="A923" t="s">
        <v>120</v>
      </c>
      <c r="B923" s="3">
        <v>45931</v>
      </c>
      <c r="C923">
        <v>27450.9</v>
      </c>
    </row>
    <row r="924" spans="1:3" ht="15" customHeight="1" x14ac:dyDescent="0.3">
      <c r="A924" t="s">
        <v>120</v>
      </c>
      <c r="B924" s="3">
        <v>45962</v>
      </c>
      <c r="C924">
        <v>28825.200000000001</v>
      </c>
    </row>
    <row r="925" spans="1:3" ht="15" customHeight="1" x14ac:dyDescent="0.3">
      <c r="A925" t="s">
        <v>120</v>
      </c>
      <c r="B925" s="3">
        <v>45992</v>
      </c>
      <c r="C925">
        <v>28327.5</v>
      </c>
    </row>
    <row r="926" spans="1:3" ht="15" customHeight="1" x14ac:dyDescent="0.3">
      <c r="A926" t="s">
        <v>120</v>
      </c>
      <c r="B926" s="3">
        <v>46023</v>
      </c>
      <c r="C926">
        <v>29391.3</v>
      </c>
    </row>
    <row r="927" spans="1:3" ht="15" customHeight="1" x14ac:dyDescent="0.3">
      <c r="A927" t="s">
        <v>120</v>
      </c>
      <c r="B927" s="3">
        <v>46054</v>
      </c>
      <c r="C927">
        <v>25677</v>
      </c>
    </row>
    <row r="928" spans="1:3" ht="15" customHeight="1" x14ac:dyDescent="0.3">
      <c r="A928" t="s">
        <v>120</v>
      </c>
      <c r="B928" s="3">
        <v>46082</v>
      </c>
      <c r="C928">
        <v>24204.6</v>
      </c>
    </row>
    <row r="929" spans="1:3" ht="15" customHeight="1" x14ac:dyDescent="0.3">
      <c r="A929" t="s">
        <v>120</v>
      </c>
      <c r="B929" s="3">
        <v>46113</v>
      </c>
      <c r="C929">
        <v>21550.5</v>
      </c>
    </row>
    <row r="930" spans="1:3" ht="15" customHeight="1" x14ac:dyDescent="0.3">
      <c r="A930" t="s">
        <v>120</v>
      </c>
      <c r="B930" s="3">
        <v>46143</v>
      </c>
      <c r="C930">
        <v>19301.400000000001</v>
      </c>
    </row>
    <row r="931" spans="1:3" ht="15" customHeight="1" x14ac:dyDescent="0.3">
      <c r="A931" t="s">
        <v>120</v>
      </c>
      <c r="B931" s="3">
        <v>46174</v>
      </c>
      <c r="C931">
        <v>17076.599999999999</v>
      </c>
    </row>
    <row r="932" spans="1:3" ht="15" customHeight="1" x14ac:dyDescent="0.3">
      <c r="A932" t="s">
        <v>120</v>
      </c>
      <c r="B932" s="3">
        <v>46204</v>
      </c>
      <c r="C932">
        <v>19010.7</v>
      </c>
    </row>
    <row r="933" spans="1:3" ht="15" customHeight="1" x14ac:dyDescent="0.3">
      <c r="A933" t="s">
        <v>120</v>
      </c>
      <c r="B933" s="3">
        <v>46235</v>
      </c>
      <c r="C933">
        <v>22169.7</v>
      </c>
    </row>
    <row r="934" spans="1:3" ht="15" customHeight="1" x14ac:dyDescent="0.3">
      <c r="A934" t="s">
        <v>120</v>
      </c>
      <c r="B934" s="3">
        <v>46266</v>
      </c>
      <c r="C934">
        <v>24661.8</v>
      </c>
    </row>
    <row r="935" spans="1:3" ht="15" customHeight="1" x14ac:dyDescent="0.3">
      <c r="A935" t="s">
        <v>120</v>
      </c>
      <c r="B935" s="3">
        <v>46296</v>
      </c>
      <c r="C935">
        <v>27450.9</v>
      </c>
    </row>
    <row r="936" spans="1:3" ht="15" customHeight="1" x14ac:dyDescent="0.3">
      <c r="A936" t="s">
        <v>120</v>
      </c>
      <c r="B936" s="3">
        <v>46327</v>
      </c>
      <c r="C936">
        <v>28825.200000000001</v>
      </c>
    </row>
    <row r="937" spans="1:3" ht="15" customHeight="1" x14ac:dyDescent="0.3">
      <c r="A937" t="s">
        <v>120</v>
      </c>
      <c r="B937" s="3">
        <v>46357</v>
      </c>
      <c r="C937">
        <v>28327.5</v>
      </c>
    </row>
    <row r="938" spans="1:3" ht="15" customHeight="1" x14ac:dyDescent="0.3">
      <c r="A938" t="s">
        <v>124</v>
      </c>
      <c r="B938" s="3">
        <v>45292</v>
      </c>
      <c r="C938">
        <v>30214.799999999999</v>
      </c>
    </row>
    <row r="939" spans="1:3" ht="15" customHeight="1" x14ac:dyDescent="0.3">
      <c r="A939" t="s">
        <v>124</v>
      </c>
      <c r="B939" s="3">
        <v>45323</v>
      </c>
      <c r="C939">
        <v>26381.7</v>
      </c>
    </row>
    <row r="940" spans="1:3" ht="15" customHeight="1" x14ac:dyDescent="0.3">
      <c r="A940" t="s">
        <v>124</v>
      </c>
      <c r="B940" s="3">
        <v>45352</v>
      </c>
      <c r="C940">
        <v>27566.1</v>
      </c>
    </row>
    <row r="941" spans="1:3" ht="15" customHeight="1" x14ac:dyDescent="0.3">
      <c r="A941" t="s">
        <v>124</v>
      </c>
      <c r="B941" s="3">
        <v>45383</v>
      </c>
      <c r="C941">
        <v>23747.4</v>
      </c>
    </row>
    <row r="942" spans="1:3" ht="15" customHeight="1" x14ac:dyDescent="0.3">
      <c r="A942" t="s">
        <v>124</v>
      </c>
      <c r="B942" s="3">
        <v>45413</v>
      </c>
      <c r="C942">
        <v>22569.3</v>
      </c>
    </row>
    <row r="943" spans="1:3" ht="15" customHeight="1" x14ac:dyDescent="0.3">
      <c r="A943" t="s">
        <v>124</v>
      </c>
      <c r="B943" s="3">
        <v>45444</v>
      </c>
      <c r="C943">
        <v>20228.400000000001</v>
      </c>
    </row>
    <row r="944" spans="1:3" ht="15" customHeight="1" x14ac:dyDescent="0.3">
      <c r="A944" t="s">
        <v>124</v>
      </c>
      <c r="B944" s="3">
        <v>45474</v>
      </c>
      <c r="C944">
        <v>22354.2</v>
      </c>
    </row>
    <row r="945" spans="1:3" ht="15" customHeight="1" x14ac:dyDescent="0.3">
      <c r="A945" t="s">
        <v>124</v>
      </c>
      <c r="B945" s="3">
        <v>45505</v>
      </c>
      <c r="C945">
        <v>26968.5</v>
      </c>
    </row>
    <row r="946" spans="1:3" ht="15" customHeight="1" x14ac:dyDescent="0.3">
      <c r="A946" t="s">
        <v>124</v>
      </c>
      <c r="B946" s="3">
        <v>45536</v>
      </c>
      <c r="C946">
        <v>28840.5</v>
      </c>
    </row>
    <row r="947" spans="1:3" ht="15" customHeight="1" x14ac:dyDescent="0.3">
      <c r="A947" t="s">
        <v>124</v>
      </c>
      <c r="B947" s="3">
        <v>45566</v>
      </c>
      <c r="C947">
        <v>30258</v>
      </c>
    </row>
    <row r="948" spans="1:3" ht="15" customHeight="1" x14ac:dyDescent="0.3">
      <c r="A948" t="s">
        <v>124</v>
      </c>
      <c r="B948" s="3">
        <v>45597</v>
      </c>
      <c r="C948">
        <v>29380.5</v>
      </c>
    </row>
    <row r="949" spans="1:3" ht="15" customHeight="1" x14ac:dyDescent="0.3">
      <c r="A949" t="s">
        <v>124</v>
      </c>
      <c r="B949" s="3">
        <v>45627</v>
      </c>
      <c r="C949">
        <v>31219.200000000001</v>
      </c>
    </row>
    <row r="950" spans="1:3" ht="15" customHeight="1" x14ac:dyDescent="0.3">
      <c r="A950" t="s">
        <v>124</v>
      </c>
      <c r="B950" s="3">
        <v>45658</v>
      </c>
      <c r="C950">
        <v>30214.799999999999</v>
      </c>
    </row>
    <row r="951" spans="1:3" ht="15" customHeight="1" x14ac:dyDescent="0.3">
      <c r="A951" t="s">
        <v>124</v>
      </c>
      <c r="B951" s="3">
        <v>45689</v>
      </c>
      <c r="C951">
        <v>26381.7</v>
      </c>
    </row>
    <row r="952" spans="1:3" ht="15" customHeight="1" x14ac:dyDescent="0.3">
      <c r="A952" t="s">
        <v>124</v>
      </c>
      <c r="B952" s="3">
        <v>45717</v>
      </c>
      <c r="C952">
        <v>27566.1</v>
      </c>
    </row>
    <row r="953" spans="1:3" ht="15" customHeight="1" x14ac:dyDescent="0.3">
      <c r="A953" t="s">
        <v>124</v>
      </c>
      <c r="B953" s="3">
        <v>45748</v>
      </c>
      <c r="C953">
        <v>23747.4</v>
      </c>
    </row>
    <row r="954" spans="1:3" ht="15" customHeight="1" x14ac:dyDescent="0.3">
      <c r="A954" t="s">
        <v>124</v>
      </c>
      <c r="B954" s="3">
        <v>45778</v>
      </c>
      <c r="C954">
        <v>22569.3</v>
      </c>
    </row>
    <row r="955" spans="1:3" ht="15" customHeight="1" x14ac:dyDescent="0.3">
      <c r="A955" t="s">
        <v>124</v>
      </c>
      <c r="B955" s="3">
        <v>45809</v>
      </c>
      <c r="C955">
        <v>20228.400000000001</v>
      </c>
    </row>
    <row r="956" spans="1:3" ht="15" customHeight="1" x14ac:dyDescent="0.3">
      <c r="A956" t="s">
        <v>124</v>
      </c>
      <c r="B956" s="3">
        <v>45839</v>
      </c>
      <c r="C956">
        <v>22354.2</v>
      </c>
    </row>
    <row r="957" spans="1:3" ht="15" customHeight="1" x14ac:dyDescent="0.3">
      <c r="A957" t="s">
        <v>124</v>
      </c>
      <c r="B957" s="3">
        <v>45870</v>
      </c>
      <c r="C957">
        <v>26968.5</v>
      </c>
    </row>
    <row r="958" spans="1:3" ht="15" customHeight="1" x14ac:dyDescent="0.3">
      <c r="A958" t="s">
        <v>124</v>
      </c>
      <c r="B958" s="3">
        <v>45901</v>
      </c>
      <c r="C958">
        <v>28840.5</v>
      </c>
    </row>
    <row r="959" spans="1:3" ht="15" customHeight="1" x14ac:dyDescent="0.3">
      <c r="A959" t="s">
        <v>124</v>
      </c>
      <c r="B959" s="3">
        <v>45931</v>
      </c>
      <c r="C959">
        <v>30258</v>
      </c>
    </row>
    <row r="960" spans="1:3" ht="15" customHeight="1" x14ac:dyDescent="0.3">
      <c r="A960" t="s">
        <v>124</v>
      </c>
      <c r="B960" s="3">
        <v>45962</v>
      </c>
      <c r="C960">
        <v>29380.5</v>
      </c>
    </row>
    <row r="961" spans="1:3" ht="15" customHeight="1" x14ac:dyDescent="0.3">
      <c r="A961" t="s">
        <v>124</v>
      </c>
      <c r="B961" s="3">
        <v>45992</v>
      </c>
      <c r="C961">
        <v>31219.200000000001</v>
      </c>
    </row>
    <row r="962" spans="1:3" ht="15" customHeight="1" x14ac:dyDescent="0.3">
      <c r="A962" t="s">
        <v>124</v>
      </c>
      <c r="B962" s="3">
        <v>46023</v>
      </c>
      <c r="C962">
        <v>30214.799999999999</v>
      </c>
    </row>
    <row r="963" spans="1:3" ht="15" customHeight="1" x14ac:dyDescent="0.3">
      <c r="A963" t="s">
        <v>124</v>
      </c>
      <c r="B963" s="3">
        <v>46054</v>
      </c>
      <c r="C963">
        <v>26381.7</v>
      </c>
    </row>
    <row r="964" spans="1:3" ht="15" customHeight="1" x14ac:dyDescent="0.3">
      <c r="A964" t="s">
        <v>124</v>
      </c>
      <c r="B964" s="3">
        <v>46082</v>
      </c>
      <c r="C964">
        <v>27566.1</v>
      </c>
    </row>
    <row r="965" spans="1:3" ht="15" customHeight="1" x14ac:dyDescent="0.3">
      <c r="A965" t="s">
        <v>124</v>
      </c>
      <c r="B965" s="3">
        <v>46113</v>
      </c>
      <c r="C965">
        <v>23747.4</v>
      </c>
    </row>
    <row r="966" spans="1:3" ht="15" customHeight="1" x14ac:dyDescent="0.3">
      <c r="A966" t="s">
        <v>124</v>
      </c>
      <c r="B966" s="3">
        <v>46143</v>
      </c>
      <c r="C966">
        <v>22569.3</v>
      </c>
    </row>
    <row r="967" spans="1:3" ht="15" customHeight="1" x14ac:dyDescent="0.3">
      <c r="A967" t="s">
        <v>124</v>
      </c>
      <c r="B967" s="3">
        <v>46174</v>
      </c>
      <c r="C967">
        <v>20228.400000000001</v>
      </c>
    </row>
    <row r="968" spans="1:3" ht="15" customHeight="1" x14ac:dyDescent="0.3">
      <c r="A968" t="s">
        <v>124</v>
      </c>
      <c r="B968" s="3">
        <v>46204</v>
      </c>
      <c r="C968">
        <v>22354.2</v>
      </c>
    </row>
    <row r="969" spans="1:3" ht="15" customHeight="1" x14ac:dyDescent="0.3">
      <c r="A969" t="s">
        <v>124</v>
      </c>
      <c r="B969" s="3">
        <v>46235</v>
      </c>
      <c r="C969">
        <v>26968.5</v>
      </c>
    </row>
    <row r="970" spans="1:3" ht="15" customHeight="1" x14ac:dyDescent="0.3">
      <c r="A970" t="s">
        <v>124</v>
      </c>
      <c r="B970" s="3">
        <v>46266</v>
      </c>
      <c r="C970">
        <v>28840.5</v>
      </c>
    </row>
    <row r="971" spans="1:3" ht="15" customHeight="1" x14ac:dyDescent="0.3">
      <c r="A971" t="s">
        <v>124</v>
      </c>
      <c r="B971" s="3">
        <v>46296</v>
      </c>
      <c r="C971">
        <v>30258</v>
      </c>
    </row>
    <row r="972" spans="1:3" ht="15" customHeight="1" x14ac:dyDescent="0.3">
      <c r="A972" t="s">
        <v>124</v>
      </c>
      <c r="B972" s="3">
        <v>46327</v>
      </c>
      <c r="C972">
        <v>29380.5</v>
      </c>
    </row>
    <row r="973" spans="1:3" ht="15" customHeight="1" x14ac:dyDescent="0.3">
      <c r="A973" t="s">
        <v>124</v>
      </c>
      <c r="B973" s="3">
        <v>46357</v>
      </c>
      <c r="C973">
        <v>31219.200000000001</v>
      </c>
    </row>
    <row r="974" spans="1:3" ht="15" customHeight="1" x14ac:dyDescent="0.3">
      <c r="A974" t="s">
        <v>238</v>
      </c>
      <c r="B974" s="3">
        <v>45292</v>
      </c>
      <c r="C974">
        <v>7573.5</v>
      </c>
    </row>
    <row r="975" spans="1:3" ht="15" customHeight="1" x14ac:dyDescent="0.3">
      <c r="A975" t="s">
        <v>238</v>
      </c>
      <c r="B975" s="3">
        <v>45323</v>
      </c>
      <c r="C975">
        <v>6513.75</v>
      </c>
    </row>
    <row r="976" spans="1:3" ht="15" customHeight="1" x14ac:dyDescent="0.3">
      <c r="A976" t="s">
        <v>238</v>
      </c>
      <c r="B976" s="3">
        <v>45352</v>
      </c>
      <c r="C976">
        <v>6841.35</v>
      </c>
    </row>
    <row r="977" spans="1:3" ht="15" customHeight="1" x14ac:dyDescent="0.3">
      <c r="A977" t="s">
        <v>238</v>
      </c>
      <c r="B977" s="3">
        <v>45383</v>
      </c>
      <c r="C977">
        <v>618.29999999999995</v>
      </c>
    </row>
    <row r="978" spans="1:3" ht="15" customHeight="1" x14ac:dyDescent="0.3">
      <c r="A978" t="s">
        <v>238</v>
      </c>
      <c r="B978" s="3">
        <v>45413</v>
      </c>
      <c r="C978">
        <v>5924.7</v>
      </c>
    </row>
    <row r="979" spans="1:3" ht="15" customHeight="1" x14ac:dyDescent="0.3">
      <c r="A979" t="s">
        <v>238</v>
      </c>
      <c r="B979" s="3">
        <v>45444</v>
      </c>
      <c r="C979">
        <v>5295.6</v>
      </c>
    </row>
    <row r="980" spans="1:3" ht="15" customHeight="1" x14ac:dyDescent="0.3">
      <c r="A980" t="s">
        <v>238</v>
      </c>
      <c r="B980" s="3">
        <v>45474</v>
      </c>
      <c r="C980">
        <v>5785.2</v>
      </c>
    </row>
    <row r="981" spans="1:3" ht="15" customHeight="1" x14ac:dyDescent="0.3">
      <c r="A981" t="s">
        <v>238</v>
      </c>
      <c r="B981" s="3">
        <v>45505</v>
      </c>
      <c r="C981">
        <v>6585.3</v>
      </c>
    </row>
    <row r="982" spans="1:3" ht="15" customHeight="1" x14ac:dyDescent="0.3">
      <c r="A982" t="s">
        <v>238</v>
      </c>
      <c r="B982" s="3">
        <v>45536</v>
      </c>
      <c r="C982">
        <v>7018.65</v>
      </c>
    </row>
    <row r="983" spans="1:3" ht="15" customHeight="1" x14ac:dyDescent="0.3">
      <c r="A983" t="s">
        <v>238</v>
      </c>
      <c r="B983" s="3">
        <v>45566</v>
      </c>
      <c r="C983">
        <v>7479.45</v>
      </c>
    </row>
    <row r="984" spans="1:3" ht="15" customHeight="1" x14ac:dyDescent="0.3">
      <c r="A984" t="s">
        <v>238</v>
      </c>
      <c r="B984" s="3">
        <v>45597</v>
      </c>
      <c r="C984">
        <v>7552.8</v>
      </c>
    </row>
    <row r="985" spans="1:3" ht="15" customHeight="1" x14ac:dyDescent="0.3">
      <c r="A985" t="s">
        <v>238</v>
      </c>
      <c r="B985" s="3">
        <v>45627</v>
      </c>
      <c r="C985">
        <v>7415.1</v>
      </c>
    </row>
    <row r="986" spans="1:3" ht="15" customHeight="1" x14ac:dyDescent="0.3">
      <c r="A986" t="s">
        <v>238</v>
      </c>
      <c r="B986" s="3">
        <v>45658</v>
      </c>
      <c r="C986">
        <v>7573.5</v>
      </c>
    </row>
    <row r="987" spans="1:3" ht="15" customHeight="1" x14ac:dyDescent="0.3">
      <c r="A987" t="s">
        <v>238</v>
      </c>
      <c r="B987" s="3">
        <v>45689</v>
      </c>
      <c r="C987">
        <v>6513.75</v>
      </c>
    </row>
    <row r="988" spans="1:3" ht="15" customHeight="1" x14ac:dyDescent="0.3">
      <c r="A988" t="s">
        <v>238</v>
      </c>
      <c r="B988" s="3">
        <v>45717</v>
      </c>
      <c r="C988">
        <v>6841.35</v>
      </c>
    </row>
    <row r="989" spans="1:3" ht="15" customHeight="1" x14ac:dyDescent="0.3">
      <c r="A989" t="s">
        <v>238</v>
      </c>
      <c r="B989" s="3">
        <v>45748</v>
      </c>
      <c r="C989">
        <v>618.29999999999995</v>
      </c>
    </row>
    <row r="990" spans="1:3" ht="15" customHeight="1" x14ac:dyDescent="0.3">
      <c r="A990" t="s">
        <v>238</v>
      </c>
      <c r="B990" s="3">
        <v>45778</v>
      </c>
      <c r="C990">
        <v>5924.7</v>
      </c>
    </row>
    <row r="991" spans="1:3" ht="15" customHeight="1" x14ac:dyDescent="0.3">
      <c r="A991" t="s">
        <v>238</v>
      </c>
      <c r="B991" s="3">
        <v>45809</v>
      </c>
      <c r="C991">
        <v>5295.6</v>
      </c>
    </row>
    <row r="992" spans="1:3" ht="15" customHeight="1" x14ac:dyDescent="0.3">
      <c r="A992" t="s">
        <v>238</v>
      </c>
      <c r="B992" s="3">
        <v>45839</v>
      </c>
      <c r="C992">
        <v>5785.2</v>
      </c>
    </row>
    <row r="993" spans="1:3" ht="15" customHeight="1" x14ac:dyDescent="0.3">
      <c r="A993" t="s">
        <v>238</v>
      </c>
      <c r="B993" s="3">
        <v>45870</v>
      </c>
      <c r="C993">
        <v>6585.3</v>
      </c>
    </row>
    <row r="994" spans="1:3" ht="15" customHeight="1" x14ac:dyDescent="0.3">
      <c r="A994" t="s">
        <v>238</v>
      </c>
      <c r="B994" s="3">
        <v>45901</v>
      </c>
      <c r="C994">
        <v>7018.65</v>
      </c>
    </row>
    <row r="995" spans="1:3" ht="15" customHeight="1" x14ac:dyDescent="0.3">
      <c r="A995" t="s">
        <v>238</v>
      </c>
      <c r="B995" s="3">
        <v>45931</v>
      </c>
      <c r="C995">
        <v>7479.45</v>
      </c>
    </row>
    <row r="996" spans="1:3" ht="15" customHeight="1" x14ac:dyDescent="0.3">
      <c r="A996" t="s">
        <v>238</v>
      </c>
      <c r="B996" s="3">
        <v>45962</v>
      </c>
      <c r="C996">
        <v>7552.8</v>
      </c>
    </row>
    <row r="997" spans="1:3" ht="15" customHeight="1" x14ac:dyDescent="0.3">
      <c r="A997" t="s">
        <v>238</v>
      </c>
      <c r="B997" s="3">
        <v>45992</v>
      </c>
      <c r="C997">
        <v>7415.1</v>
      </c>
    </row>
    <row r="998" spans="1:3" ht="15" customHeight="1" x14ac:dyDescent="0.3">
      <c r="A998" t="s">
        <v>238</v>
      </c>
      <c r="B998" s="3">
        <v>46023</v>
      </c>
      <c r="C998">
        <v>7573.5</v>
      </c>
    </row>
    <row r="999" spans="1:3" ht="15" customHeight="1" x14ac:dyDescent="0.3">
      <c r="A999" t="s">
        <v>238</v>
      </c>
      <c r="B999" s="3">
        <v>46054</v>
      </c>
      <c r="C999">
        <v>6513.75</v>
      </c>
    </row>
    <row r="1000" spans="1:3" ht="15" customHeight="1" x14ac:dyDescent="0.3">
      <c r="A1000" t="s">
        <v>238</v>
      </c>
      <c r="B1000" s="3">
        <v>46082</v>
      </c>
      <c r="C1000">
        <v>6841.35</v>
      </c>
    </row>
    <row r="1001" spans="1:3" ht="15" customHeight="1" x14ac:dyDescent="0.3">
      <c r="A1001" t="s">
        <v>238</v>
      </c>
      <c r="B1001" s="3">
        <v>46113</v>
      </c>
      <c r="C1001">
        <v>6183</v>
      </c>
    </row>
    <row r="1002" spans="1:3" ht="15" customHeight="1" x14ac:dyDescent="0.3">
      <c r="A1002" t="s">
        <v>238</v>
      </c>
      <c r="B1002" s="3">
        <v>46143</v>
      </c>
      <c r="C1002">
        <v>5924.7</v>
      </c>
    </row>
    <row r="1003" spans="1:3" ht="15" customHeight="1" x14ac:dyDescent="0.3">
      <c r="A1003" t="s">
        <v>238</v>
      </c>
      <c r="B1003" s="3">
        <v>46174</v>
      </c>
      <c r="C1003">
        <v>5295.6</v>
      </c>
    </row>
    <row r="1004" spans="1:3" ht="15" customHeight="1" x14ac:dyDescent="0.3">
      <c r="A1004" t="s">
        <v>238</v>
      </c>
      <c r="B1004" s="3">
        <v>46204</v>
      </c>
      <c r="C1004">
        <v>5785.2</v>
      </c>
    </row>
    <row r="1005" spans="1:3" ht="15" customHeight="1" x14ac:dyDescent="0.3">
      <c r="A1005" t="s">
        <v>238</v>
      </c>
      <c r="B1005" s="3">
        <v>46235</v>
      </c>
      <c r="C1005">
        <v>6585.3</v>
      </c>
    </row>
    <row r="1006" spans="1:3" ht="15" customHeight="1" x14ac:dyDescent="0.3">
      <c r="A1006" t="s">
        <v>238</v>
      </c>
      <c r="B1006" s="3">
        <v>46266</v>
      </c>
      <c r="C1006">
        <v>7018.65</v>
      </c>
    </row>
    <row r="1007" spans="1:3" ht="15" customHeight="1" x14ac:dyDescent="0.3">
      <c r="A1007" t="s">
        <v>238</v>
      </c>
      <c r="B1007" s="3">
        <v>46296</v>
      </c>
      <c r="C1007">
        <v>7479.45</v>
      </c>
    </row>
    <row r="1008" spans="1:3" ht="15" customHeight="1" x14ac:dyDescent="0.3">
      <c r="A1008" t="s">
        <v>238</v>
      </c>
      <c r="B1008" s="3">
        <v>46327</v>
      </c>
      <c r="C1008">
        <v>7552.8</v>
      </c>
    </row>
    <row r="1009" spans="1:3" ht="15" customHeight="1" x14ac:dyDescent="0.3">
      <c r="A1009" t="s">
        <v>238</v>
      </c>
      <c r="B1009" s="3">
        <v>46357</v>
      </c>
      <c r="C1009">
        <v>7415.1</v>
      </c>
    </row>
    <row r="1010" spans="1:3" ht="15" customHeight="1" x14ac:dyDescent="0.3">
      <c r="A1010" t="s">
        <v>236</v>
      </c>
      <c r="B1010" s="3">
        <v>45292</v>
      </c>
      <c r="C1010">
        <v>7573.5</v>
      </c>
    </row>
    <row r="1011" spans="1:3" ht="15" customHeight="1" x14ac:dyDescent="0.3">
      <c r="A1011" t="s">
        <v>236</v>
      </c>
      <c r="B1011" s="3">
        <v>45323</v>
      </c>
      <c r="C1011">
        <v>6513.75</v>
      </c>
    </row>
    <row r="1012" spans="1:3" ht="15" customHeight="1" x14ac:dyDescent="0.3">
      <c r="A1012" t="s">
        <v>236</v>
      </c>
      <c r="B1012" s="3">
        <v>45352</v>
      </c>
      <c r="C1012">
        <v>6841.35</v>
      </c>
    </row>
    <row r="1013" spans="1:3" ht="15" customHeight="1" x14ac:dyDescent="0.3">
      <c r="A1013" t="s">
        <v>236</v>
      </c>
      <c r="B1013" s="3">
        <v>45383</v>
      </c>
      <c r="C1013">
        <v>618.29999999999995</v>
      </c>
    </row>
    <row r="1014" spans="1:3" ht="15" customHeight="1" x14ac:dyDescent="0.3">
      <c r="A1014" t="s">
        <v>236</v>
      </c>
      <c r="B1014" s="3">
        <v>45413</v>
      </c>
      <c r="C1014">
        <v>5924.7</v>
      </c>
    </row>
    <row r="1015" spans="1:3" ht="15" customHeight="1" x14ac:dyDescent="0.3">
      <c r="A1015" t="s">
        <v>236</v>
      </c>
      <c r="B1015" s="3">
        <v>45444</v>
      </c>
      <c r="C1015">
        <v>5295.6</v>
      </c>
    </row>
    <row r="1016" spans="1:3" ht="15" customHeight="1" x14ac:dyDescent="0.3">
      <c r="A1016" t="s">
        <v>236</v>
      </c>
      <c r="B1016" s="3">
        <v>45474</v>
      </c>
      <c r="C1016">
        <v>5785.2</v>
      </c>
    </row>
    <row r="1017" spans="1:3" ht="15" customHeight="1" x14ac:dyDescent="0.3">
      <c r="A1017" t="s">
        <v>236</v>
      </c>
      <c r="B1017" s="3">
        <v>45505</v>
      </c>
      <c r="C1017">
        <v>6585.3</v>
      </c>
    </row>
    <row r="1018" spans="1:3" ht="15" customHeight="1" x14ac:dyDescent="0.3">
      <c r="A1018" t="s">
        <v>236</v>
      </c>
      <c r="B1018" s="3">
        <v>45536</v>
      </c>
      <c r="C1018">
        <v>7018.65</v>
      </c>
    </row>
    <row r="1019" spans="1:3" ht="15" customHeight="1" x14ac:dyDescent="0.3">
      <c r="A1019" t="s">
        <v>236</v>
      </c>
      <c r="B1019" s="3">
        <v>45566</v>
      </c>
      <c r="C1019">
        <v>7479.45</v>
      </c>
    </row>
    <row r="1020" spans="1:3" ht="15" customHeight="1" x14ac:dyDescent="0.3">
      <c r="A1020" t="s">
        <v>236</v>
      </c>
      <c r="B1020" s="3">
        <v>45597</v>
      </c>
      <c r="C1020">
        <v>7552.8</v>
      </c>
    </row>
    <row r="1021" spans="1:3" ht="15" customHeight="1" x14ac:dyDescent="0.3">
      <c r="A1021" t="s">
        <v>236</v>
      </c>
      <c r="B1021" s="3">
        <v>45627</v>
      </c>
      <c r="C1021">
        <v>7415.1</v>
      </c>
    </row>
    <row r="1022" spans="1:3" ht="15" customHeight="1" x14ac:dyDescent="0.3">
      <c r="A1022" t="s">
        <v>236</v>
      </c>
      <c r="B1022" s="3">
        <v>45658</v>
      </c>
      <c r="C1022">
        <v>7573.5</v>
      </c>
    </row>
    <row r="1023" spans="1:3" ht="15" customHeight="1" x14ac:dyDescent="0.3">
      <c r="A1023" t="s">
        <v>236</v>
      </c>
      <c r="B1023" s="3">
        <v>45689</v>
      </c>
      <c r="C1023">
        <v>6513.75</v>
      </c>
    </row>
    <row r="1024" spans="1:3" ht="15" customHeight="1" x14ac:dyDescent="0.3">
      <c r="A1024" t="s">
        <v>236</v>
      </c>
      <c r="B1024" s="3">
        <v>45717</v>
      </c>
      <c r="C1024">
        <v>6841.35</v>
      </c>
    </row>
    <row r="1025" spans="1:3" ht="15" customHeight="1" x14ac:dyDescent="0.3">
      <c r="A1025" t="s">
        <v>236</v>
      </c>
      <c r="B1025" s="3">
        <v>45748</v>
      </c>
      <c r="C1025">
        <v>618.29999999999995</v>
      </c>
    </row>
    <row r="1026" spans="1:3" ht="15" customHeight="1" x14ac:dyDescent="0.3">
      <c r="A1026" t="s">
        <v>236</v>
      </c>
      <c r="B1026" s="3">
        <v>45778</v>
      </c>
      <c r="C1026">
        <v>5924.7</v>
      </c>
    </row>
    <row r="1027" spans="1:3" ht="15" customHeight="1" x14ac:dyDescent="0.3">
      <c r="A1027" t="s">
        <v>236</v>
      </c>
      <c r="B1027" s="3">
        <v>45809</v>
      </c>
      <c r="C1027">
        <v>5295.6</v>
      </c>
    </row>
    <row r="1028" spans="1:3" ht="15" customHeight="1" x14ac:dyDescent="0.3">
      <c r="A1028" t="s">
        <v>236</v>
      </c>
      <c r="B1028" s="3">
        <v>45839</v>
      </c>
      <c r="C1028">
        <v>5785.2</v>
      </c>
    </row>
    <row r="1029" spans="1:3" ht="15" customHeight="1" x14ac:dyDescent="0.3">
      <c r="A1029" t="s">
        <v>236</v>
      </c>
      <c r="B1029" s="3">
        <v>45870</v>
      </c>
      <c r="C1029">
        <v>6585.3</v>
      </c>
    </row>
    <row r="1030" spans="1:3" ht="15" customHeight="1" x14ac:dyDescent="0.3">
      <c r="A1030" t="s">
        <v>236</v>
      </c>
      <c r="B1030" s="3">
        <v>45901</v>
      </c>
      <c r="C1030">
        <v>7018.65</v>
      </c>
    </row>
    <row r="1031" spans="1:3" ht="15" customHeight="1" x14ac:dyDescent="0.3">
      <c r="A1031" t="s">
        <v>236</v>
      </c>
      <c r="B1031" s="3">
        <v>45931</v>
      </c>
      <c r="C1031">
        <v>7479.45</v>
      </c>
    </row>
    <row r="1032" spans="1:3" ht="15" customHeight="1" x14ac:dyDescent="0.3">
      <c r="A1032" t="s">
        <v>236</v>
      </c>
      <c r="B1032" s="3">
        <v>45962</v>
      </c>
      <c r="C1032">
        <v>7552.8</v>
      </c>
    </row>
    <row r="1033" spans="1:3" ht="15" customHeight="1" x14ac:dyDescent="0.3">
      <c r="A1033" t="s">
        <v>236</v>
      </c>
      <c r="B1033" s="3">
        <v>45992</v>
      </c>
      <c r="C1033">
        <v>7415.1</v>
      </c>
    </row>
    <row r="1034" spans="1:3" ht="15" customHeight="1" x14ac:dyDescent="0.3">
      <c r="A1034" t="s">
        <v>236</v>
      </c>
      <c r="B1034" s="3">
        <v>46023</v>
      </c>
      <c r="C1034">
        <v>7573.5</v>
      </c>
    </row>
    <row r="1035" spans="1:3" ht="15" customHeight="1" x14ac:dyDescent="0.3">
      <c r="A1035" t="s">
        <v>236</v>
      </c>
      <c r="B1035" s="3">
        <v>46054</v>
      </c>
      <c r="C1035">
        <v>6513.75</v>
      </c>
    </row>
    <row r="1036" spans="1:3" ht="15" customHeight="1" x14ac:dyDescent="0.3">
      <c r="A1036" t="s">
        <v>236</v>
      </c>
      <c r="B1036" s="3">
        <v>46082</v>
      </c>
      <c r="C1036">
        <v>6841.35</v>
      </c>
    </row>
    <row r="1037" spans="1:3" ht="15" customHeight="1" x14ac:dyDescent="0.3">
      <c r="A1037" t="s">
        <v>236</v>
      </c>
      <c r="B1037" s="3">
        <v>46113</v>
      </c>
      <c r="C1037">
        <v>6183</v>
      </c>
    </row>
    <row r="1038" spans="1:3" ht="15" customHeight="1" x14ac:dyDescent="0.3">
      <c r="A1038" t="s">
        <v>236</v>
      </c>
      <c r="B1038" s="3">
        <v>46143</v>
      </c>
      <c r="C1038">
        <v>5924.7</v>
      </c>
    </row>
    <row r="1039" spans="1:3" ht="15" customHeight="1" x14ac:dyDescent="0.3">
      <c r="A1039" t="s">
        <v>236</v>
      </c>
      <c r="B1039" s="3">
        <v>46174</v>
      </c>
      <c r="C1039">
        <v>5295.6</v>
      </c>
    </row>
    <row r="1040" spans="1:3" ht="15" customHeight="1" x14ac:dyDescent="0.3">
      <c r="A1040" t="s">
        <v>236</v>
      </c>
      <c r="B1040" s="3">
        <v>46204</v>
      </c>
      <c r="C1040">
        <v>5785.2</v>
      </c>
    </row>
    <row r="1041" spans="1:3" ht="15" customHeight="1" x14ac:dyDescent="0.3">
      <c r="A1041" t="s">
        <v>236</v>
      </c>
      <c r="B1041" s="3">
        <v>46235</v>
      </c>
      <c r="C1041">
        <v>6585.3</v>
      </c>
    </row>
    <row r="1042" spans="1:3" ht="15" customHeight="1" x14ac:dyDescent="0.3">
      <c r="A1042" t="s">
        <v>236</v>
      </c>
      <c r="B1042" s="3">
        <v>46266</v>
      </c>
      <c r="C1042">
        <v>7018.65</v>
      </c>
    </row>
    <row r="1043" spans="1:3" ht="15" customHeight="1" x14ac:dyDescent="0.3">
      <c r="A1043" t="s">
        <v>236</v>
      </c>
      <c r="B1043" s="3">
        <v>46296</v>
      </c>
      <c r="C1043">
        <v>7479.45</v>
      </c>
    </row>
    <row r="1044" spans="1:3" ht="15" customHeight="1" x14ac:dyDescent="0.3">
      <c r="A1044" t="s">
        <v>236</v>
      </c>
      <c r="B1044" s="3">
        <v>46327</v>
      </c>
      <c r="C1044">
        <v>7552.8</v>
      </c>
    </row>
    <row r="1045" spans="1:3" ht="15" customHeight="1" x14ac:dyDescent="0.3">
      <c r="A1045" t="s">
        <v>236</v>
      </c>
      <c r="B1045" s="3">
        <v>46357</v>
      </c>
      <c r="C1045">
        <v>7415.1</v>
      </c>
    </row>
    <row r="1046" spans="1:3" ht="15" customHeight="1" x14ac:dyDescent="0.3">
      <c r="A1046" t="s">
        <v>128</v>
      </c>
      <c r="B1046" s="3">
        <v>45292</v>
      </c>
      <c r="C1046">
        <v>12213</v>
      </c>
    </row>
    <row r="1047" spans="1:3" ht="15" customHeight="1" x14ac:dyDescent="0.3">
      <c r="A1047" t="s">
        <v>128</v>
      </c>
      <c r="B1047" s="3">
        <v>45323</v>
      </c>
      <c r="C1047">
        <v>10570.5</v>
      </c>
    </row>
    <row r="1048" spans="1:3" ht="15" customHeight="1" x14ac:dyDescent="0.3">
      <c r="A1048" t="s">
        <v>128</v>
      </c>
      <c r="B1048" s="3">
        <v>45352</v>
      </c>
      <c r="C1048">
        <v>10619.1</v>
      </c>
    </row>
    <row r="1049" spans="1:3" ht="15" customHeight="1" x14ac:dyDescent="0.3">
      <c r="A1049" t="s">
        <v>128</v>
      </c>
      <c r="B1049" s="3">
        <v>45383</v>
      </c>
      <c r="C1049">
        <v>9139.5</v>
      </c>
    </row>
    <row r="1050" spans="1:3" ht="15" customHeight="1" x14ac:dyDescent="0.3">
      <c r="A1050" t="s">
        <v>128</v>
      </c>
      <c r="B1050" s="3">
        <v>45413</v>
      </c>
      <c r="C1050">
        <v>8593.2000000000007</v>
      </c>
    </row>
    <row r="1051" spans="1:3" ht="15" customHeight="1" x14ac:dyDescent="0.3">
      <c r="A1051" t="s">
        <v>128</v>
      </c>
      <c r="B1051" s="3">
        <v>45444</v>
      </c>
      <c r="C1051">
        <v>7680.6</v>
      </c>
    </row>
    <row r="1052" spans="1:3" ht="15" customHeight="1" x14ac:dyDescent="0.3">
      <c r="A1052" t="s">
        <v>128</v>
      </c>
      <c r="B1052" s="3">
        <v>45474</v>
      </c>
      <c r="C1052">
        <v>8550.9</v>
      </c>
    </row>
    <row r="1053" spans="1:3" ht="15" customHeight="1" x14ac:dyDescent="0.3">
      <c r="A1053" t="s">
        <v>128</v>
      </c>
      <c r="B1053" s="3">
        <v>45505</v>
      </c>
      <c r="C1053">
        <v>9997.2000000000007</v>
      </c>
    </row>
    <row r="1054" spans="1:3" ht="15" customHeight="1" x14ac:dyDescent="0.3">
      <c r="A1054" t="s">
        <v>128</v>
      </c>
      <c r="B1054" s="3">
        <v>45536</v>
      </c>
      <c r="C1054">
        <v>10701.9</v>
      </c>
    </row>
    <row r="1055" spans="1:3" ht="15" customHeight="1" x14ac:dyDescent="0.3">
      <c r="A1055" t="s">
        <v>128</v>
      </c>
      <c r="B1055" s="3">
        <v>45566</v>
      </c>
      <c r="C1055">
        <v>11834.1</v>
      </c>
    </row>
    <row r="1056" spans="1:3" ht="15" customHeight="1" x14ac:dyDescent="0.3">
      <c r="A1056" t="s">
        <v>128</v>
      </c>
      <c r="B1056" s="3">
        <v>45597</v>
      </c>
      <c r="C1056">
        <v>12129.3</v>
      </c>
    </row>
    <row r="1057" spans="1:3" ht="15" customHeight="1" x14ac:dyDescent="0.3">
      <c r="A1057" t="s">
        <v>128</v>
      </c>
      <c r="B1057" s="3">
        <v>45627</v>
      </c>
      <c r="C1057">
        <v>12998.7</v>
      </c>
    </row>
    <row r="1058" spans="1:3" ht="15" customHeight="1" x14ac:dyDescent="0.3">
      <c r="A1058" t="s">
        <v>128</v>
      </c>
      <c r="B1058" s="3">
        <v>45658</v>
      </c>
      <c r="C1058">
        <v>12213</v>
      </c>
    </row>
    <row r="1059" spans="1:3" ht="15" customHeight="1" x14ac:dyDescent="0.3">
      <c r="A1059" t="s">
        <v>128</v>
      </c>
      <c r="B1059" s="3">
        <v>45689</v>
      </c>
      <c r="C1059">
        <v>10570.5</v>
      </c>
    </row>
    <row r="1060" spans="1:3" ht="15" customHeight="1" x14ac:dyDescent="0.3">
      <c r="A1060" t="s">
        <v>128</v>
      </c>
      <c r="B1060" s="3">
        <v>45717</v>
      </c>
      <c r="C1060">
        <v>10619.1</v>
      </c>
    </row>
    <row r="1061" spans="1:3" ht="15" customHeight="1" x14ac:dyDescent="0.3">
      <c r="A1061" t="s">
        <v>128</v>
      </c>
      <c r="B1061" s="3">
        <v>45748</v>
      </c>
      <c r="C1061">
        <v>9139.5</v>
      </c>
    </row>
    <row r="1062" spans="1:3" ht="15" customHeight="1" x14ac:dyDescent="0.3">
      <c r="A1062" t="s">
        <v>128</v>
      </c>
      <c r="B1062" s="3">
        <v>45778</v>
      </c>
      <c r="C1062">
        <v>8593.2000000000007</v>
      </c>
    </row>
    <row r="1063" spans="1:3" ht="15" customHeight="1" x14ac:dyDescent="0.3">
      <c r="A1063" t="s">
        <v>128</v>
      </c>
      <c r="B1063" s="3">
        <v>45809</v>
      </c>
      <c r="C1063">
        <v>7680.6</v>
      </c>
    </row>
    <row r="1064" spans="1:3" ht="15" customHeight="1" x14ac:dyDescent="0.3">
      <c r="A1064" t="s">
        <v>128</v>
      </c>
      <c r="B1064" s="3">
        <v>45839</v>
      </c>
      <c r="C1064">
        <v>8550.9</v>
      </c>
    </row>
    <row r="1065" spans="1:3" ht="15" customHeight="1" x14ac:dyDescent="0.3">
      <c r="A1065" t="s">
        <v>128</v>
      </c>
      <c r="B1065" s="3">
        <v>45870</v>
      </c>
      <c r="C1065">
        <v>9997.2000000000007</v>
      </c>
    </row>
    <row r="1066" spans="1:3" ht="15" customHeight="1" x14ac:dyDescent="0.3">
      <c r="A1066" t="s">
        <v>128</v>
      </c>
      <c r="B1066" s="3">
        <v>45901</v>
      </c>
      <c r="C1066">
        <v>10701.9</v>
      </c>
    </row>
    <row r="1067" spans="1:3" ht="15" customHeight="1" x14ac:dyDescent="0.3">
      <c r="A1067" t="s">
        <v>128</v>
      </c>
      <c r="B1067" s="3">
        <v>45931</v>
      </c>
      <c r="C1067">
        <v>11834.1</v>
      </c>
    </row>
    <row r="1068" spans="1:3" ht="15" customHeight="1" x14ac:dyDescent="0.3">
      <c r="A1068" t="s">
        <v>128</v>
      </c>
      <c r="B1068" s="3">
        <v>45962</v>
      </c>
      <c r="C1068">
        <v>12129.3</v>
      </c>
    </row>
    <row r="1069" spans="1:3" ht="15" customHeight="1" x14ac:dyDescent="0.3">
      <c r="A1069" t="s">
        <v>128</v>
      </c>
      <c r="B1069" s="3">
        <v>45992</v>
      </c>
      <c r="C1069">
        <v>12998.7</v>
      </c>
    </row>
    <row r="1070" spans="1:3" ht="15" customHeight="1" x14ac:dyDescent="0.3">
      <c r="A1070" t="s">
        <v>128</v>
      </c>
      <c r="B1070" s="3">
        <v>46023</v>
      </c>
      <c r="C1070">
        <v>12213</v>
      </c>
    </row>
    <row r="1071" spans="1:3" ht="15" customHeight="1" x14ac:dyDescent="0.3">
      <c r="A1071" t="s">
        <v>128</v>
      </c>
      <c r="B1071" s="3">
        <v>46054</v>
      </c>
      <c r="C1071">
        <v>10570.5</v>
      </c>
    </row>
    <row r="1072" spans="1:3" ht="15" customHeight="1" x14ac:dyDescent="0.3">
      <c r="A1072" t="s">
        <v>128</v>
      </c>
      <c r="B1072" s="3">
        <v>46082</v>
      </c>
      <c r="C1072">
        <v>10619.1</v>
      </c>
    </row>
    <row r="1073" spans="1:3" ht="15" customHeight="1" x14ac:dyDescent="0.3">
      <c r="A1073" t="s">
        <v>128</v>
      </c>
      <c r="B1073" s="3">
        <v>46113</v>
      </c>
      <c r="C1073">
        <v>9139.5</v>
      </c>
    </row>
    <row r="1074" spans="1:3" ht="15" customHeight="1" x14ac:dyDescent="0.3">
      <c r="A1074" t="s">
        <v>128</v>
      </c>
      <c r="B1074" s="3">
        <v>46143</v>
      </c>
      <c r="C1074">
        <v>8593.2000000000007</v>
      </c>
    </row>
    <row r="1075" spans="1:3" ht="15" customHeight="1" x14ac:dyDescent="0.3">
      <c r="A1075" t="s">
        <v>128</v>
      </c>
      <c r="B1075" s="3">
        <v>46174</v>
      </c>
      <c r="C1075">
        <v>7680.6</v>
      </c>
    </row>
    <row r="1076" spans="1:3" ht="15" customHeight="1" x14ac:dyDescent="0.3">
      <c r="A1076" t="s">
        <v>128</v>
      </c>
      <c r="B1076" s="3">
        <v>46204</v>
      </c>
      <c r="C1076">
        <v>8550.9</v>
      </c>
    </row>
    <row r="1077" spans="1:3" ht="15" customHeight="1" x14ac:dyDescent="0.3">
      <c r="A1077" t="s">
        <v>128</v>
      </c>
      <c r="B1077" s="3">
        <v>46235</v>
      </c>
      <c r="C1077">
        <v>9997.2000000000007</v>
      </c>
    </row>
    <row r="1078" spans="1:3" ht="15" customHeight="1" x14ac:dyDescent="0.3">
      <c r="A1078" t="s">
        <v>128</v>
      </c>
      <c r="B1078" s="3">
        <v>46266</v>
      </c>
      <c r="C1078">
        <v>10701.9</v>
      </c>
    </row>
    <row r="1079" spans="1:3" ht="15" customHeight="1" x14ac:dyDescent="0.3">
      <c r="A1079" t="s">
        <v>128</v>
      </c>
      <c r="B1079" s="3">
        <v>46296</v>
      </c>
      <c r="C1079">
        <v>11834.1</v>
      </c>
    </row>
    <row r="1080" spans="1:3" ht="15" customHeight="1" x14ac:dyDescent="0.3">
      <c r="A1080" t="s">
        <v>128</v>
      </c>
      <c r="B1080" s="3">
        <v>46327</v>
      </c>
      <c r="C1080">
        <v>12129.3</v>
      </c>
    </row>
    <row r="1081" spans="1:3" ht="15" customHeight="1" x14ac:dyDescent="0.3">
      <c r="A1081" t="s">
        <v>128</v>
      </c>
      <c r="B1081" s="3">
        <v>46357</v>
      </c>
      <c r="C1081">
        <v>12998.7</v>
      </c>
    </row>
    <row r="1082" spans="1:3" ht="15" customHeight="1" x14ac:dyDescent="0.3">
      <c r="A1082" t="s">
        <v>249</v>
      </c>
      <c r="B1082" s="3">
        <v>45292</v>
      </c>
      <c r="C1082">
        <v>0</v>
      </c>
    </row>
    <row r="1083" spans="1:3" ht="15" customHeight="1" x14ac:dyDescent="0.3">
      <c r="A1083" t="s">
        <v>249</v>
      </c>
      <c r="B1083" s="3">
        <v>45323</v>
      </c>
      <c r="C1083">
        <v>0</v>
      </c>
    </row>
    <row r="1084" spans="1:3" ht="15" customHeight="1" x14ac:dyDescent="0.3">
      <c r="A1084" t="s">
        <v>249</v>
      </c>
      <c r="B1084" s="3">
        <v>45352</v>
      </c>
      <c r="C1084">
        <v>0</v>
      </c>
    </row>
    <row r="1085" spans="1:3" ht="15" customHeight="1" x14ac:dyDescent="0.3">
      <c r="A1085" t="s">
        <v>249</v>
      </c>
      <c r="B1085" s="3">
        <v>45383</v>
      </c>
      <c r="C1085">
        <v>0</v>
      </c>
    </row>
    <row r="1086" spans="1:3" ht="15" customHeight="1" x14ac:dyDescent="0.3">
      <c r="A1086" t="s">
        <v>249</v>
      </c>
      <c r="B1086" s="3">
        <v>45413</v>
      </c>
      <c r="C1086">
        <v>0</v>
      </c>
    </row>
    <row r="1087" spans="1:3" ht="15" customHeight="1" x14ac:dyDescent="0.3">
      <c r="A1087" t="s">
        <v>249</v>
      </c>
      <c r="B1087" s="3">
        <v>45444</v>
      </c>
      <c r="C1087">
        <v>0</v>
      </c>
    </row>
    <row r="1088" spans="1:3" ht="15" customHeight="1" x14ac:dyDescent="0.3">
      <c r="A1088" t="s">
        <v>249</v>
      </c>
      <c r="B1088" s="3">
        <v>45474</v>
      </c>
      <c r="C1088">
        <v>0</v>
      </c>
    </row>
    <row r="1089" spans="1:3" ht="15" customHeight="1" x14ac:dyDescent="0.3">
      <c r="A1089" t="s">
        <v>249</v>
      </c>
      <c r="B1089" s="3">
        <v>45505</v>
      </c>
      <c r="C1089">
        <v>0</v>
      </c>
    </row>
    <row r="1090" spans="1:3" ht="15" customHeight="1" x14ac:dyDescent="0.3">
      <c r="A1090" t="s">
        <v>249</v>
      </c>
      <c r="B1090" s="3">
        <v>45536</v>
      </c>
      <c r="C1090">
        <v>0</v>
      </c>
    </row>
    <row r="1091" spans="1:3" ht="15" customHeight="1" x14ac:dyDescent="0.3">
      <c r="A1091" t="s">
        <v>249</v>
      </c>
      <c r="B1091" s="3">
        <v>45566</v>
      </c>
      <c r="C1091">
        <v>0</v>
      </c>
    </row>
    <row r="1092" spans="1:3" ht="15" customHeight="1" x14ac:dyDescent="0.3">
      <c r="A1092" t="s">
        <v>249</v>
      </c>
      <c r="B1092" s="3">
        <v>45597</v>
      </c>
      <c r="C1092">
        <v>0</v>
      </c>
    </row>
    <row r="1093" spans="1:3" ht="15" customHeight="1" x14ac:dyDescent="0.3">
      <c r="A1093" t="s">
        <v>249</v>
      </c>
      <c r="B1093" s="3">
        <v>45627</v>
      </c>
      <c r="C1093">
        <v>0</v>
      </c>
    </row>
    <row r="1094" spans="1:3" ht="15" customHeight="1" x14ac:dyDescent="0.3">
      <c r="A1094" t="s">
        <v>249</v>
      </c>
      <c r="B1094" s="3">
        <v>45658</v>
      </c>
      <c r="C1094">
        <v>0</v>
      </c>
    </row>
    <row r="1095" spans="1:3" ht="15" customHeight="1" x14ac:dyDescent="0.3">
      <c r="A1095" t="s">
        <v>249</v>
      </c>
      <c r="B1095" s="3">
        <v>45689</v>
      </c>
      <c r="C1095">
        <v>0</v>
      </c>
    </row>
    <row r="1096" spans="1:3" ht="15" customHeight="1" x14ac:dyDescent="0.3">
      <c r="A1096" t="s">
        <v>249</v>
      </c>
      <c r="B1096" s="3">
        <v>45717</v>
      </c>
      <c r="C1096">
        <v>0</v>
      </c>
    </row>
    <row r="1097" spans="1:3" ht="15" customHeight="1" x14ac:dyDescent="0.3">
      <c r="A1097" t="s">
        <v>249</v>
      </c>
      <c r="B1097" s="3">
        <v>45748</v>
      </c>
      <c r="C1097">
        <v>0</v>
      </c>
    </row>
    <row r="1098" spans="1:3" ht="15" customHeight="1" x14ac:dyDescent="0.3">
      <c r="A1098" t="s">
        <v>249</v>
      </c>
      <c r="B1098" s="3">
        <v>45778</v>
      </c>
      <c r="C1098">
        <v>0</v>
      </c>
    </row>
    <row r="1099" spans="1:3" ht="15" customHeight="1" x14ac:dyDescent="0.3">
      <c r="A1099" t="s">
        <v>249</v>
      </c>
      <c r="B1099" s="3">
        <v>45809</v>
      </c>
      <c r="C1099">
        <v>0</v>
      </c>
    </row>
    <row r="1100" spans="1:3" ht="15" customHeight="1" x14ac:dyDescent="0.3">
      <c r="A1100" t="s">
        <v>249</v>
      </c>
      <c r="B1100" s="3">
        <v>45839</v>
      </c>
      <c r="C1100">
        <v>0</v>
      </c>
    </row>
    <row r="1101" spans="1:3" ht="15" customHeight="1" x14ac:dyDescent="0.3">
      <c r="A1101" t="s">
        <v>249</v>
      </c>
      <c r="B1101" s="3">
        <v>45870</v>
      </c>
      <c r="C1101">
        <v>0</v>
      </c>
    </row>
    <row r="1102" spans="1:3" ht="15" customHeight="1" x14ac:dyDescent="0.3">
      <c r="A1102" t="s">
        <v>249</v>
      </c>
      <c r="B1102" s="3">
        <v>45901</v>
      </c>
      <c r="C1102">
        <v>0</v>
      </c>
    </row>
    <row r="1103" spans="1:3" ht="15" customHeight="1" x14ac:dyDescent="0.3">
      <c r="A1103" t="s">
        <v>249</v>
      </c>
      <c r="B1103" s="3">
        <v>45931</v>
      </c>
      <c r="C1103">
        <v>0</v>
      </c>
    </row>
    <row r="1104" spans="1:3" ht="15" customHeight="1" x14ac:dyDescent="0.3">
      <c r="A1104" t="s">
        <v>249</v>
      </c>
      <c r="B1104" s="3">
        <v>45962</v>
      </c>
      <c r="C1104">
        <v>0</v>
      </c>
    </row>
    <row r="1105" spans="1:3" ht="15" customHeight="1" x14ac:dyDescent="0.3">
      <c r="A1105" t="s">
        <v>249</v>
      </c>
      <c r="B1105" s="3">
        <v>45992</v>
      </c>
      <c r="C1105">
        <v>0</v>
      </c>
    </row>
    <row r="1106" spans="1:3" ht="15" customHeight="1" x14ac:dyDescent="0.3">
      <c r="A1106" t="s">
        <v>249</v>
      </c>
      <c r="B1106" s="3">
        <v>46023</v>
      </c>
      <c r="C1106">
        <v>0</v>
      </c>
    </row>
    <row r="1107" spans="1:3" ht="15" customHeight="1" x14ac:dyDescent="0.3">
      <c r="A1107" t="s">
        <v>249</v>
      </c>
      <c r="B1107" s="3">
        <v>46054</v>
      </c>
      <c r="C1107">
        <v>0</v>
      </c>
    </row>
    <row r="1108" spans="1:3" ht="15" customHeight="1" x14ac:dyDescent="0.3">
      <c r="A1108" t="s">
        <v>249</v>
      </c>
      <c r="B1108" s="3">
        <v>46082</v>
      </c>
      <c r="C1108">
        <v>0</v>
      </c>
    </row>
    <row r="1109" spans="1:3" ht="15" customHeight="1" x14ac:dyDescent="0.3">
      <c r="A1109" t="s">
        <v>249</v>
      </c>
      <c r="B1109" s="3">
        <v>46113</v>
      </c>
      <c r="C1109">
        <v>0</v>
      </c>
    </row>
    <row r="1110" spans="1:3" ht="15" customHeight="1" x14ac:dyDescent="0.3">
      <c r="A1110" t="s">
        <v>249</v>
      </c>
      <c r="B1110" s="3">
        <v>46143</v>
      </c>
      <c r="C1110">
        <v>0</v>
      </c>
    </row>
    <row r="1111" spans="1:3" ht="15" customHeight="1" x14ac:dyDescent="0.3">
      <c r="A1111" t="s">
        <v>249</v>
      </c>
      <c r="B1111" s="3">
        <v>46174</v>
      </c>
      <c r="C1111">
        <v>0</v>
      </c>
    </row>
    <row r="1112" spans="1:3" ht="15" customHeight="1" x14ac:dyDescent="0.3">
      <c r="A1112" t="s">
        <v>249</v>
      </c>
      <c r="B1112" s="3">
        <v>46204</v>
      </c>
      <c r="C1112">
        <v>0</v>
      </c>
    </row>
    <row r="1113" spans="1:3" ht="15" customHeight="1" x14ac:dyDescent="0.3">
      <c r="A1113" t="s">
        <v>249</v>
      </c>
      <c r="B1113" s="3">
        <v>46235</v>
      </c>
      <c r="C1113">
        <v>0</v>
      </c>
    </row>
    <row r="1114" spans="1:3" ht="15" customHeight="1" x14ac:dyDescent="0.3">
      <c r="A1114" t="s">
        <v>249</v>
      </c>
      <c r="B1114" s="3">
        <v>46266</v>
      </c>
      <c r="C1114">
        <v>0</v>
      </c>
    </row>
    <row r="1115" spans="1:3" ht="15" customHeight="1" x14ac:dyDescent="0.3">
      <c r="A1115" t="s">
        <v>249</v>
      </c>
      <c r="B1115" s="3">
        <v>46296</v>
      </c>
      <c r="C1115">
        <v>0</v>
      </c>
    </row>
    <row r="1116" spans="1:3" ht="15" customHeight="1" x14ac:dyDescent="0.3">
      <c r="A1116" t="s">
        <v>249</v>
      </c>
      <c r="B1116" s="3">
        <v>46327</v>
      </c>
      <c r="C1116">
        <v>0</v>
      </c>
    </row>
    <row r="1117" spans="1:3" ht="15" customHeight="1" x14ac:dyDescent="0.3">
      <c r="A1117" t="s">
        <v>249</v>
      </c>
      <c r="B1117" s="3">
        <v>46357</v>
      </c>
      <c r="C1117">
        <v>0</v>
      </c>
    </row>
    <row r="1118" spans="1:3" ht="15" customHeight="1" x14ac:dyDescent="0.3">
      <c r="A1118" t="s">
        <v>130</v>
      </c>
      <c r="B1118" s="3">
        <v>45292</v>
      </c>
      <c r="C1118">
        <v>22241.7</v>
      </c>
    </row>
    <row r="1119" spans="1:3" ht="15" customHeight="1" x14ac:dyDescent="0.3">
      <c r="A1119" t="s">
        <v>130</v>
      </c>
      <c r="B1119" s="3">
        <v>45323</v>
      </c>
      <c r="C1119">
        <v>19450.8</v>
      </c>
    </row>
    <row r="1120" spans="1:3" ht="15" customHeight="1" x14ac:dyDescent="0.3">
      <c r="A1120" t="s">
        <v>130</v>
      </c>
      <c r="B1120" s="3">
        <v>45352</v>
      </c>
      <c r="C1120">
        <v>19575</v>
      </c>
    </row>
    <row r="1121" spans="1:3" ht="15" customHeight="1" x14ac:dyDescent="0.3">
      <c r="A1121" t="s">
        <v>130</v>
      </c>
      <c r="B1121" s="3">
        <v>45383</v>
      </c>
      <c r="C1121">
        <v>15792.3</v>
      </c>
    </row>
    <row r="1122" spans="1:3" ht="15" customHeight="1" x14ac:dyDescent="0.3">
      <c r="A1122" t="s">
        <v>130</v>
      </c>
      <c r="B1122" s="3">
        <v>45413</v>
      </c>
      <c r="C1122">
        <v>13477.5</v>
      </c>
    </row>
    <row r="1123" spans="1:3" ht="15" customHeight="1" x14ac:dyDescent="0.3">
      <c r="A1123" t="s">
        <v>130</v>
      </c>
      <c r="B1123" s="3">
        <v>45444</v>
      </c>
      <c r="C1123">
        <v>12124.8</v>
      </c>
    </row>
    <row r="1124" spans="1:3" ht="15" customHeight="1" x14ac:dyDescent="0.3">
      <c r="A1124" t="s">
        <v>130</v>
      </c>
      <c r="B1124" s="3">
        <v>45474</v>
      </c>
      <c r="C1124">
        <v>13099.5</v>
      </c>
    </row>
    <row r="1125" spans="1:3" ht="15" customHeight="1" x14ac:dyDescent="0.3">
      <c r="A1125" t="s">
        <v>130</v>
      </c>
      <c r="B1125" s="3">
        <v>45505</v>
      </c>
      <c r="C1125">
        <v>15450.3</v>
      </c>
    </row>
    <row r="1126" spans="1:3" ht="15" customHeight="1" x14ac:dyDescent="0.3">
      <c r="A1126" t="s">
        <v>130</v>
      </c>
      <c r="B1126" s="3">
        <v>45536</v>
      </c>
      <c r="C1126">
        <v>16583.400000000001</v>
      </c>
    </row>
    <row r="1127" spans="1:3" ht="15" customHeight="1" x14ac:dyDescent="0.3">
      <c r="A1127" t="s">
        <v>130</v>
      </c>
      <c r="B1127" s="3">
        <v>45566</v>
      </c>
      <c r="C1127">
        <v>19432.8</v>
      </c>
    </row>
    <row r="1128" spans="1:3" ht="15" customHeight="1" x14ac:dyDescent="0.3">
      <c r="A1128" t="s">
        <v>130</v>
      </c>
      <c r="B1128" s="3">
        <v>45597</v>
      </c>
      <c r="C1128">
        <v>20010.599999999999</v>
      </c>
    </row>
    <row r="1129" spans="1:3" ht="15" customHeight="1" x14ac:dyDescent="0.3">
      <c r="A1129" t="s">
        <v>130</v>
      </c>
      <c r="B1129" s="3">
        <v>45627</v>
      </c>
      <c r="C1129">
        <v>22485.599999999999</v>
      </c>
    </row>
    <row r="1130" spans="1:3" ht="15" customHeight="1" x14ac:dyDescent="0.3">
      <c r="A1130" t="s">
        <v>130</v>
      </c>
      <c r="B1130" s="3">
        <v>45658</v>
      </c>
      <c r="C1130">
        <v>22241.7</v>
      </c>
    </row>
    <row r="1131" spans="1:3" ht="15" customHeight="1" x14ac:dyDescent="0.3">
      <c r="A1131" t="s">
        <v>130</v>
      </c>
      <c r="B1131" s="3">
        <v>45689</v>
      </c>
      <c r="C1131">
        <v>19450.8</v>
      </c>
    </row>
    <row r="1132" spans="1:3" ht="15" customHeight="1" x14ac:dyDescent="0.3">
      <c r="A1132" t="s">
        <v>130</v>
      </c>
      <c r="B1132" s="3">
        <v>45717</v>
      </c>
      <c r="C1132">
        <v>19575</v>
      </c>
    </row>
    <row r="1133" spans="1:3" ht="15" customHeight="1" x14ac:dyDescent="0.3">
      <c r="A1133" t="s">
        <v>130</v>
      </c>
      <c r="B1133" s="3">
        <v>45748</v>
      </c>
      <c r="C1133">
        <v>15792.3</v>
      </c>
    </row>
    <row r="1134" spans="1:3" ht="15" customHeight="1" x14ac:dyDescent="0.3">
      <c r="A1134" t="s">
        <v>130</v>
      </c>
      <c r="B1134" s="3">
        <v>45778</v>
      </c>
      <c r="C1134">
        <v>13477.5</v>
      </c>
    </row>
    <row r="1135" spans="1:3" ht="15" customHeight="1" x14ac:dyDescent="0.3">
      <c r="A1135" t="s">
        <v>130</v>
      </c>
      <c r="B1135" s="3">
        <v>45809</v>
      </c>
      <c r="C1135">
        <v>12124.8</v>
      </c>
    </row>
    <row r="1136" spans="1:3" ht="15" customHeight="1" x14ac:dyDescent="0.3">
      <c r="A1136" t="s">
        <v>130</v>
      </c>
      <c r="B1136" s="3">
        <v>45839</v>
      </c>
      <c r="C1136">
        <v>13099.5</v>
      </c>
    </row>
    <row r="1137" spans="1:3" ht="15" customHeight="1" x14ac:dyDescent="0.3">
      <c r="A1137" t="s">
        <v>130</v>
      </c>
      <c r="B1137" s="3">
        <v>45870</v>
      </c>
      <c r="C1137">
        <v>15450.3</v>
      </c>
    </row>
    <row r="1138" spans="1:3" ht="15" customHeight="1" x14ac:dyDescent="0.3">
      <c r="A1138" t="s">
        <v>130</v>
      </c>
      <c r="B1138" s="3">
        <v>45901</v>
      </c>
      <c r="C1138">
        <v>16583.400000000001</v>
      </c>
    </row>
    <row r="1139" spans="1:3" ht="15" customHeight="1" x14ac:dyDescent="0.3">
      <c r="A1139" t="s">
        <v>130</v>
      </c>
      <c r="B1139" s="3">
        <v>45931</v>
      </c>
      <c r="C1139">
        <v>19432.8</v>
      </c>
    </row>
    <row r="1140" spans="1:3" ht="15" customHeight="1" x14ac:dyDescent="0.3">
      <c r="A1140" t="s">
        <v>130</v>
      </c>
      <c r="B1140" s="3">
        <v>45962</v>
      </c>
      <c r="C1140">
        <v>20010.599999999999</v>
      </c>
    </row>
    <row r="1141" spans="1:3" ht="15" customHeight="1" x14ac:dyDescent="0.3">
      <c r="A1141" t="s">
        <v>130</v>
      </c>
      <c r="B1141" s="3">
        <v>45992</v>
      </c>
      <c r="C1141">
        <v>22485.599999999999</v>
      </c>
    </row>
    <row r="1142" spans="1:3" ht="15" customHeight="1" x14ac:dyDescent="0.3">
      <c r="A1142" t="s">
        <v>130</v>
      </c>
      <c r="B1142" s="3">
        <v>46023</v>
      </c>
      <c r="C1142">
        <v>22241.7</v>
      </c>
    </row>
    <row r="1143" spans="1:3" ht="15" customHeight="1" x14ac:dyDescent="0.3">
      <c r="A1143" t="s">
        <v>130</v>
      </c>
      <c r="B1143" s="3">
        <v>46054</v>
      </c>
      <c r="C1143">
        <v>19450.8</v>
      </c>
    </row>
    <row r="1144" spans="1:3" ht="15" customHeight="1" x14ac:dyDescent="0.3">
      <c r="A1144" t="s">
        <v>130</v>
      </c>
      <c r="B1144" s="3">
        <v>46082</v>
      </c>
      <c r="C1144">
        <v>19575</v>
      </c>
    </row>
    <row r="1145" spans="1:3" ht="15" customHeight="1" x14ac:dyDescent="0.3">
      <c r="A1145" t="s">
        <v>130</v>
      </c>
      <c r="B1145" s="3">
        <v>46113</v>
      </c>
      <c r="C1145">
        <v>15792.3</v>
      </c>
    </row>
    <row r="1146" spans="1:3" ht="15" customHeight="1" x14ac:dyDescent="0.3">
      <c r="A1146" t="s">
        <v>130</v>
      </c>
      <c r="B1146" s="3">
        <v>46143</v>
      </c>
      <c r="C1146">
        <v>13477.5</v>
      </c>
    </row>
    <row r="1147" spans="1:3" ht="15" customHeight="1" x14ac:dyDescent="0.3">
      <c r="A1147" t="s">
        <v>130</v>
      </c>
      <c r="B1147" s="3">
        <v>46174</v>
      </c>
      <c r="C1147">
        <v>12124.8</v>
      </c>
    </row>
    <row r="1148" spans="1:3" ht="15" customHeight="1" x14ac:dyDescent="0.3">
      <c r="A1148" t="s">
        <v>130</v>
      </c>
      <c r="B1148" s="3">
        <v>46204</v>
      </c>
      <c r="C1148">
        <v>13099.5</v>
      </c>
    </row>
    <row r="1149" spans="1:3" ht="15" customHeight="1" x14ac:dyDescent="0.3">
      <c r="A1149" t="s">
        <v>130</v>
      </c>
      <c r="B1149" s="3">
        <v>46235</v>
      </c>
      <c r="C1149">
        <v>15450.3</v>
      </c>
    </row>
    <row r="1150" spans="1:3" ht="15" customHeight="1" x14ac:dyDescent="0.3">
      <c r="A1150" t="s">
        <v>130</v>
      </c>
      <c r="B1150" s="3">
        <v>46266</v>
      </c>
      <c r="C1150">
        <v>16583.400000000001</v>
      </c>
    </row>
    <row r="1151" spans="1:3" ht="15" customHeight="1" x14ac:dyDescent="0.3">
      <c r="A1151" t="s">
        <v>130</v>
      </c>
      <c r="B1151" s="3">
        <v>46296</v>
      </c>
      <c r="C1151">
        <v>19432.8</v>
      </c>
    </row>
    <row r="1152" spans="1:3" ht="15" customHeight="1" x14ac:dyDescent="0.3">
      <c r="A1152" t="s">
        <v>130</v>
      </c>
      <c r="B1152" s="3">
        <v>46327</v>
      </c>
      <c r="C1152">
        <v>20010.599999999999</v>
      </c>
    </row>
    <row r="1153" spans="1:3" ht="15" customHeight="1" x14ac:dyDescent="0.3">
      <c r="A1153" t="s">
        <v>130</v>
      </c>
      <c r="B1153" s="3">
        <v>46357</v>
      </c>
      <c r="C1153">
        <v>22485.599999999999</v>
      </c>
    </row>
    <row r="1154" spans="1:3" ht="15" customHeight="1" x14ac:dyDescent="0.3">
      <c r="A1154" t="s">
        <v>132</v>
      </c>
      <c r="B1154" s="3">
        <v>45292</v>
      </c>
      <c r="C1154">
        <v>61302.85</v>
      </c>
    </row>
    <row r="1155" spans="1:3" ht="15" customHeight="1" x14ac:dyDescent="0.3">
      <c r="A1155" t="s">
        <v>132</v>
      </c>
      <c r="B1155" s="3">
        <v>45323</v>
      </c>
      <c r="C1155">
        <v>55639.3</v>
      </c>
    </row>
    <row r="1156" spans="1:3" ht="15" customHeight="1" x14ac:dyDescent="0.3">
      <c r="A1156" t="s">
        <v>132</v>
      </c>
      <c r="B1156" s="3">
        <v>45352</v>
      </c>
      <c r="C1156">
        <v>58024.4</v>
      </c>
    </row>
    <row r="1157" spans="1:3" ht="15" customHeight="1" x14ac:dyDescent="0.3">
      <c r="A1157" t="s">
        <v>132</v>
      </c>
      <c r="B1157" s="3">
        <v>45383</v>
      </c>
      <c r="C1157">
        <v>48946.400000000001</v>
      </c>
    </row>
    <row r="1158" spans="1:3" ht="15" customHeight="1" x14ac:dyDescent="0.3">
      <c r="A1158" t="s">
        <v>132</v>
      </c>
      <c r="B1158" s="3">
        <v>45413</v>
      </c>
      <c r="C1158">
        <v>44310.5</v>
      </c>
    </row>
    <row r="1159" spans="1:3" ht="15" customHeight="1" x14ac:dyDescent="0.3">
      <c r="A1159" t="s">
        <v>132</v>
      </c>
      <c r="B1159" s="3">
        <v>45444</v>
      </c>
      <c r="C1159">
        <v>40933.449999999997</v>
      </c>
    </row>
    <row r="1160" spans="1:3" ht="15" customHeight="1" x14ac:dyDescent="0.3">
      <c r="A1160" t="s">
        <v>132</v>
      </c>
      <c r="B1160" s="3">
        <v>45474</v>
      </c>
      <c r="C1160">
        <v>43977.3</v>
      </c>
    </row>
    <row r="1161" spans="1:3" ht="15" customHeight="1" x14ac:dyDescent="0.3">
      <c r="A1161" t="s">
        <v>132</v>
      </c>
      <c r="B1161" s="3">
        <v>45505</v>
      </c>
      <c r="C1161">
        <v>48620.85</v>
      </c>
    </row>
    <row r="1162" spans="1:3" ht="15" customHeight="1" x14ac:dyDescent="0.3">
      <c r="A1162" t="s">
        <v>132</v>
      </c>
      <c r="B1162" s="3">
        <v>45536</v>
      </c>
      <c r="C1162">
        <v>50331.05</v>
      </c>
    </row>
    <row r="1163" spans="1:3" ht="15" customHeight="1" x14ac:dyDescent="0.3">
      <c r="A1163" t="s">
        <v>132</v>
      </c>
      <c r="B1163" s="3">
        <v>45566</v>
      </c>
      <c r="C1163">
        <v>55230.45</v>
      </c>
    </row>
    <row r="1164" spans="1:3" ht="15" customHeight="1" x14ac:dyDescent="0.3">
      <c r="A1164" t="s">
        <v>132</v>
      </c>
      <c r="B1164" s="3">
        <v>45597</v>
      </c>
      <c r="C1164">
        <v>56583.65</v>
      </c>
    </row>
    <row r="1165" spans="1:3" ht="15" customHeight="1" x14ac:dyDescent="0.3">
      <c r="A1165" t="s">
        <v>132</v>
      </c>
      <c r="B1165" s="3">
        <v>45627</v>
      </c>
      <c r="C1165">
        <v>61075.9</v>
      </c>
    </row>
    <row r="1166" spans="1:3" ht="15" customHeight="1" x14ac:dyDescent="0.3">
      <c r="A1166" t="s">
        <v>132</v>
      </c>
      <c r="B1166" s="3">
        <v>45658</v>
      </c>
      <c r="C1166">
        <v>61302.85</v>
      </c>
    </row>
    <row r="1167" spans="1:3" ht="15" customHeight="1" x14ac:dyDescent="0.3">
      <c r="A1167" t="s">
        <v>132</v>
      </c>
      <c r="B1167" s="3">
        <v>45689</v>
      </c>
      <c r="C1167">
        <v>55639.3</v>
      </c>
    </row>
    <row r="1168" spans="1:3" ht="15" customHeight="1" x14ac:dyDescent="0.3">
      <c r="A1168" t="s">
        <v>132</v>
      </c>
      <c r="B1168" s="3">
        <v>45717</v>
      </c>
      <c r="C1168">
        <v>58024.4</v>
      </c>
    </row>
    <row r="1169" spans="1:3" ht="15" customHeight="1" x14ac:dyDescent="0.3">
      <c r="A1169" t="s">
        <v>132</v>
      </c>
      <c r="B1169" s="3">
        <v>45748</v>
      </c>
      <c r="C1169">
        <v>48946.400000000001</v>
      </c>
    </row>
    <row r="1170" spans="1:3" ht="15" customHeight="1" x14ac:dyDescent="0.3">
      <c r="A1170" t="s">
        <v>132</v>
      </c>
      <c r="B1170" s="3">
        <v>45778</v>
      </c>
      <c r="C1170">
        <v>44310.5</v>
      </c>
    </row>
    <row r="1171" spans="1:3" ht="15" customHeight="1" x14ac:dyDescent="0.3">
      <c r="A1171" t="s">
        <v>132</v>
      </c>
      <c r="B1171" s="3">
        <v>45809</v>
      </c>
      <c r="C1171">
        <v>40933.449999999997</v>
      </c>
    </row>
    <row r="1172" spans="1:3" ht="15" customHeight="1" x14ac:dyDescent="0.3">
      <c r="A1172" t="s">
        <v>132</v>
      </c>
      <c r="B1172" s="3">
        <v>45839</v>
      </c>
      <c r="C1172">
        <v>43977.3</v>
      </c>
    </row>
    <row r="1173" spans="1:3" ht="15" customHeight="1" x14ac:dyDescent="0.3">
      <c r="A1173" t="s">
        <v>132</v>
      </c>
      <c r="B1173" s="3">
        <v>45870</v>
      </c>
      <c r="C1173">
        <v>48620.85</v>
      </c>
    </row>
    <row r="1174" spans="1:3" ht="15" customHeight="1" x14ac:dyDescent="0.3">
      <c r="A1174" t="s">
        <v>132</v>
      </c>
      <c r="B1174" s="3">
        <v>45901</v>
      </c>
      <c r="C1174">
        <v>50331.05</v>
      </c>
    </row>
    <row r="1175" spans="1:3" ht="15" customHeight="1" x14ac:dyDescent="0.3">
      <c r="A1175" t="s">
        <v>132</v>
      </c>
      <c r="B1175" s="3">
        <v>45931</v>
      </c>
      <c r="C1175">
        <v>55230.45</v>
      </c>
    </row>
    <row r="1176" spans="1:3" ht="15" customHeight="1" x14ac:dyDescent="0.3">
      <c r="A1176" t="s">
        <v>132</v>
      </c>
      <c r="B1176" s="3">
        <v>45962</v>
      </c>
      <c r="C1176">
        <v>56583.65</v>
      </c>
    </row>
    <row r="1177" spans="1:3" ht="15" customHeight="1" x14ac:dyDescent="0.3">
      <c r="A1177" t="s">
        <v>132</v>
      </c>
      <c r="B1177" s="3">
        <v>45992</v>
      </c>
      <c r="C1177">
        <v>61075.9</v>
      </c>
    </row>
    <row r="1178" spans="1:3" ht="15" customHeight="1" x14ac:dyDescent="0.3">
      <c r="A1178" t="s">
        <v>132</v>
      </c>
      <c r="B1178" s="3">
        <v>46023</v>
      </c>
      <c r="C1178">
        <v>61302.85</v>
      </c>
    </row>
    <row r="1179" spans="1:3" ht="15" customHeight="1" x14ac:dyDescent="0.3">
      <c r="A1179" t="s">
        <v>132</v>
      </c>
      <c r="B1179" s="3">
        <v>46054</v>
      </c>
      <c r="C1179">
        <v>55639.3</v>
      </c>
    </row>
    <row r="1180" spans="1:3" ht="15" customHeight="1" x14ac:dyDescent="0.3">
      <c r="A1180" t="s">
        <v>132</v>
      </c>
      <c r="B1180" s="3">
        <v>46082</v>
      </c>
      <c r="C1180">
        <v>58024.4</v>
      </c>
    </row>
    <row r="1181" spans="1:3" ht="15" customHeight="1" x14ac:dyDescent="0.3">
      <c r="A1181" t="s">
        <v>132</v>
      </c>
      <c r="B1181" s="3">
        <v>46113</v>
      </c>
      <c r="C1181">
        <v>48946.400000000001</v>
      </c>
    </row>
    <row r="1182" spans="1:3" ht="15" customHeight="1" x14ac:dyDescent="0.3">
      <c r="A1182" t="s">
        <v>132</v>
      </c>
      <c r="B1182" s="3">
        <v>46143</v>
      </c>
      <c r="C1182">
        <v>44310.5</v>
      </c>
    </row>
    <row r="1183" spans="1:3" ht="15" customHeight="1" x14ac:dyDescent="0.3">
      <c r="A1183" t="s">
        <v>132</v>
      </c>
      <c r="B1183" s="3">
        <v>46174</v>
      </c>
      <c r="C1183">
        <v>40933.449999999997</v>
      </c>
    </row>
    <row r="1184" spans="1:3" ht="15" customHeight="1" x14ac:dyDescent="0.3">
      <c r="A1184" t="s">
        <v>132</v>
      </c>
      <c r="B1184" s="3">
        <v>46204</v>
      </c>
      <c r="C1184">
        <v>43977.3</v>
      </c>
    </row>
    <row r="1185" spans="1:3" ht="15" customHeight="1" x14ac:dyDescent="0.3">
      <c r="A1185" t="s">
        <v>132</v>
      </c>
      <c r="B1185" s="3">
        <v>46235</v>
      </c>
      <c r="C1185">
        <v>48620.85</v>
      </c>
    </row>
    <row r="1186" spans="1:3" ht="15" customHeight="1" x14ac:dyDescent="0.3">
      <c r="A1186" t="s">
        <v>132</v>
      </c>
      <c r="B1186" s="3">
        <v>46266</v>
      </c>
      <c r="C1186">
        <v>50331.05</v>
      </c>
    </row>
    <row r="1187" spans="1:3" ht="15" customHeight="1" x14ac:dyDescent="0.3">
      <c r="A1187" t="s">
        <v>132</v>
      </c>
      <c r="B1187" s="3">
        <v>46296</v>
      </c>
      <c r="C1187">
        <v>55230.45</v>
      </c>
    </row>
    <row r="1188" spans="1:3" ht="15" customHeight="1" x14ac:dyDescent="0.3">
      <c r="A1188" t="s">
        <v>132</v>
      </c>
      <c r="B1188" s="3">
        <v>46327</v>
      </c>
      <c r="C1188">
        <v>56583.65</v>
      </c>
    </row>
    <row r="1189" spans="1:3" ht="15" customHeight="1" x14ac:dyDescent="0.3">
      <c r="A1189" t="s">
        <v>132</v>
      </c>
      <c r="B1189" s="3">
        <v>46357</v>
      </c>
      <c r="C1189">
        <v>61075.9</v>
      </c>
    </row>
    <row r="1190" spans="1:3" ht="15" customHeight="1" x14ac:dyDescent="0.3">
      <c r="A1190" t="s">
        <v>136</v>
      </c>
      <c r="B1190" s="3">
        <v>45292</v>
      </c>
      <c r="C1190">
        <v>15870.6</v>
      </c>
    </row>
    <row r="1191" spans="1:3" ht="15" customHeight="1" x14ac:dyDescent="0.3">
      <c r="A1191" t="s">
        <v>136</v>
      </c>
      <c r="B1191" s="3">
        <v>45323</v>
      </c>
      <c r="C1191">
        <v>14825.7</v>
      </c>
    </row>
    <row r="1192" spans="1:3" ht="15" customHeight="1" x14ac:dyDescent="0.3">
      <c r="A1192" t="s">
        <v>136</v>
      </c>
      <c r="B1192" s="3">
        <v>45352</v>
      </c>
      <c r="C1192">
        <v>17314.2</v>
      </c>
    </row>
    <row r="1193" spans="1:3" ht="15" customHeight="1" x14ac:dyDescent="0.3">
      <c r="A1193" t="s">
        <v>136</v>
      </c>
      <c r="B1193" s="3">
        <v>45383</v>
      </c>
      <c r="C1193">
        <v>15358.5</v>
      </c>
    </row>
    <row r="1194" spans="1:3" ht="15" customHeight="1" x14ac:dyDescent="0.3">
      <c r="A1194" t="s">
        <v>136</v>
      </c>
      <c r="B1194" s="3">
        <v>45413</v>
      </c>
      <c r="C1194">
        <v>15197.4</v>
      </c>
    </row>
    <row r="1195" spans="1:3" ht="15" customHeight="1" x14ac:dyDescent="0.3">
      <c r="A1195" t="s">
        <v>136</v>
      </c>
      <c r="B1195" s="3">
        <v>45444</v>
      </c>
      <c r="C1195">
        <v>14489.1</v>
      </c>
    </row>
    <row r="1196" spans="1:3" ht="15" customHeight="1" x14ac:dyDescent="0.3">
      <c r="A1196" t="s">
        <v>136</v>
      </c>
      <c r="B1196" s="3">
        <v>45474</v>
      </c>
      <c r="C1196">
        <v>15390.9</v>
      </c>
    </row>
    <row r="1197" spans="1:3" ht="15" customHeight="1" x14ac:dyDescent="0.3">
      <c r="A1197" t="s">
        <v>136</v>
      </c>
      <c r="B1197" s="3">
        <v>45505</v>
      </c>
      <c r="C1197">
        <v>15613.2</v>
      </c>
    </row>
    <row r="1198" spans="1:3" ht="15" customHeight="1" x14ac:dyDescent="0.3">
      <c r="A1198" t="s">
        <v>136</v>
      </c>
      <c r="B1198" s="3">
        <v>45536</v>
      </c>
      <c r="C1198">
        <v>15191.1</v>
      </c>
    </row>
    <row r="1199" spans="1:3" ht="15" customHeight="1" x14ac:dyDescent="0.3">
      <c r="A1199" t="s">
        <v>136</v>
      </c>
      <c r="B1199" s="3">
        <v>45566</v>
      </c>
      <c r="C1199">
        <v>14349.6</v>
      </c>
    </row>
    <row r="1200" spans="1:3" ht="15" customHeight="1" x14ac:dyDescent="0.3">
      <c r="A1200" t="s">
        <v>136</v>
      </c>
      <c r="B1200" s="3">
        <v>45597</v>
      </c>
      <c r="C1200">
        <v>13257.9</v>
      </c>
    </row>
    <row r="1201" spans="1:3" ht="15" customHeight="1" x14ac:dyDescent="0.3">
      <c r="A1201" t="s">
        <v>136</v>
      </c>
      <c r="B1201" s="3">
        <v>45627</v>
      </c>
      <c r="C1201">
        <v>13839.3</v>
      </c>
    </row>
    <row r="1202" spans="1:3" ht="15" customHeight="1" x14ac:dyDescent="0.3">
      <c r="A1202" t="s">
        <v>136</v>
      </c>
      <c r="B1202" s="3">
        <v>45658</v>
      </c>
      <c r="C1202">
        <v>15870.6</v>
      </c>
    </row>
    <row r="1203" spans="1:3" ht="15" customHeight="1" x14ac:dyDescent="0.3">
      <c r="A1203" t="s">
        <v>136</v>
      </c>
      <c r="B1203" s="3">
        <v>45689</v>
      </c>
      <c r="C1203">
        <v>14825.7</v>
      </c>
    </row>
    <row r="1204" spans="1:3" ht="15" customHeight="1" x14ac:dyDescent="0.3">
      <c r="A1204" t="s">
        <v>136</v>
      </c>
      <c r="B1204" s="3">
        <v>45717</v>
      </c>
      <c r="C1204">
        <v>17314.2</v>
      </c>
    </row>
    <row r="1205" spans="1:3" ht="15" customHeight="1" x14ac:dyDescent="0.3">
      <c r="A1205" t="s">
        <v>136</v>
      </c>
      <c r="B1205" s="3">
        <v>45748</v>
      </c>
      <c r="C1205">
        <v>15358.5</v>
      </c>
    </row>
    <row r="1206" spans="1:3" ht="15" customHeight="1" x14ac:dyDescent="0.3">
      <c r="A1206" t="s">
        <v>136</v>
      </c>
      <c r="B1206" s="3">
        <v>45778</v>
      </c>
      <c r="C1206">
        <v>15197.4</v>
      </c>
    </row>
    <row r="1207" spans="1:3" ht="15" customHeight="1" x14ac:dyDescent="0.3">
      <c r="A1207" t="s">
        <v>136</v>
      </c>
      <c r="B1207" s="3">
        <v>45809</v>
      </c>
      <c r="C1207">
        <v>14489.1</v>
      </c>
    </row>
    <row r="1208" spans="1:3" ht="15" customHeight="1" x14ac:dyDescent="0.3">
      <c r="A1208" t="s">
        <v>136</v>
      </c>
      <c r="B1208" s="3">
        <v>45839</v>
      </c>
      <c r="C1208">
        <v>15390.9</v>
      </c>
    </row>
    <row r="1209" spans="1:3" ht="15" customHeight="1" x14ac:dyDescent="0.3">
      <c r="A1209" t="s">
        <v>136</v>
      </c>
      <c r="B1209" s="3">
        <v>45870</v>
      </c>
      <c r="C1209">
        <v>15613.2</v>
      </c>
    </row>
    <row r="1210" spans="1:3" ht="15" customHeight="1" x14ac:dyDescent="0.3">
      <c r="A1210" t="s">
        <v>136</v>
      </c>
      <c r="B1210" s="3">
        <v>45901</v>
      </c>
      <c r="C1210">
        <v>15191.1</v>
      </c>
    </row>
    <row r="1211" spans="1:3" ht="15" customHeight="1" x14ac:dyDescent="0.3">
      <c r="A1211" t="s">
        <v>136</v>
      </c>
      <c r="B1211" s="3">
        <v>45931</v>
      </c>
      <c r="C1211">
        <v>14349.6</v>
      </c>
    </row>
    <row r="1212" spans="1:3" ht="15" customHeight="1" x14ac:dyDescent="0.3">
      <c r="A1212" t="s">
        <v>136</v>
      </c>
      <c r="B1212" s="3">
        <v>45962</v>
      </c>
      <c r="C1212">
        <v>13257.9</v>
      </c>
    </row>
    <row r="1213" spans="1:3" ht="15" customHeight="1" x14ac:dyDescent="0.3">
      <c r="A1213" t="s">
        <v>136</v>
      </c>
      <c r="B1213" s="3">
        <v>45992</v>
      </c>
      <c r="C1213">
        <v>13839.3</v>
      </c>
    </row>
    <row r="1214" spans="1:3" ht="15" customHeight="1" x14ac:dyDescent="0.3">
      <c r="A1214" t="s">
        <v>136</v>
      </c>
      <c r="B1214" s="3">
        <v>46023</v>
      </c>
      <c r="C1214">
        <v>15870.6</v>
      </c>
    </row>
    <row r="1215" spans="1:3" ht="15" customHeight="1" x14ac:dyDescent="0.3">
      <c r="A1215" t="s">
        <v>136</v>
      </c>
      <c r="B1215" s="3">
        <v>46054</v>
      </c>
      <c r="C1215">
        <v>14825.7</v>
      </c>
    </row>
    <row r="1216" spans="1:3" ht="15" customHeight="1" x14ac:dyDescent="0.3">
      <c r="A1216" t="s">
        <v>136</v>
      </c>
      <c r="B1216" s="3">
        <v>46082</v>
      </c>
      <c r="C1216">
        <v>17314.2</v>
      </c>
    </row>
    <row r="1217" spans="1:3" ht="15" customHeight="1" x14ac:dyDescent="0.3">
      <c r="A1217" t="s">
        <v>136</v>
      </c>
      <c r="B1217" s="3">
        <v>46113</v>
      </c>
      <c r="C1217">
        <v>15358.5</v>
      </c>
    </row>
    <row r="1218" spans="1:3" ht="15" customHeight="1" x14ac:dyDescent="0.3">
      <c r="A1218" t="s">
        <v>136</v>
      </c>
      <c r="B1218" s="3">
        <v>46143</v>
      </c>
      <c r="C1218">
        <v>15197.4</v>
      </c>
    </row>
    <row r="1219" spans="1:3" ht="15" customHeight="1" x14ac:dyDescent="0.3">
      <c r="A1219" t="s">
        <v>136</v>
      </c>
      <c r="B1219" s="3">
        <v>46174</v>
      </c>
      <c r="C1219">
        <v>14489.1</v>
      </c>
    </row>
    <row r="1220" spans="1:3" ht="15" customHeight="1" x14ac:dyDescent="0.3">
      <c r="A1220" t="s">
        <v>136</v>
      </c>
      <c r="B1220" s="3">
        <v>46204</v>
      </c>
      <c r="C1220">
        <v>15390.9</v>
      </c>
    </row>
    <row r="1221" spans="1:3" ht="15" customHeight="1" x14ac:dyDescent="0.3">
      <c r="A1221" t="s">
        <v>136</v>
      </c>
      <c r="B1221" s="3">
        <v>46235</v>
      </c>
      <c r="C1221">
        <v>15613.2</v>
      </c>
    </row>
    <row r="1222" spans="1:3" ht="15" customHeight="1" x14ac:dyDescent="0.3">
      <c r="A1222" t="s">
        <v>136</v>
      </c>
      <c r="B1222" s="3">
        <v>46266</v>
      </c>
      <c r="C1222">
        <v>15191.1</v>
      </c>
    </row>
    <row r="1223" spans="1:3" ht="15" customHeight="1" x14ac:dyDescent="0.3">
      <c r="A1223" t="s">
        <v>136</v>
      </c>
      <c r="B1223" s="3">
        <v>46296</v>
      </c>
      <c r="C1223">
        <v>14349.6</v>
      </c>
    </row>
    <row r="1224" spans="1:3" ht="15" customHeight="1" x14ac:dyDescent="0.3">
      <c r="A1224" t="s">
        <v>136</v>
      </c>
      <c r="B1224" s="3">
        <v>46327</v>
      </c>
      <c r="C1224">
        <v>13257.9</v>
      </c>
    </row>
    <row r="1225" spans="1:3" ht="15" customHeight="1" x14ac:dyDescent="0.3">
      <c r="A1225" t="s">
        <v>136</v>
      </c>
      <c r="B1225" s="3">
        <v>46357</v>
      </c>
      <c r="C1225">
        <v>13839.3</v>
      </c>
    </row>
    <row r="1226" spans="1:3" ht="15" customHeight="1" x14ac:dyDescent="0.3">
      <c r="A1226" t="s">
        <v>247</v>
      </c>
      <c r="B1226" s="3">
        <v>45292</v>
      </c>
      <c r="C1226">
        <v>53361.9</v>
      </c>
    </row>
    <row r="1227" spans="1:3" ht="15" customHeight="1" x14ac:dyDescent="0.3">
      <c r="A1227" t="s">
        <v>247</v>
      </c>
      <c r="B1227" s="3">
        <v>45323</v>
      </c>
      <c r="C1227">
        <v>43750.8</v>
      </c>
    </row>
    <row r="1228" spans="1:3" ht="15" customHeight="1" x14ac:dyDescent="0.3">
      <c r="A1228" t="s">
        <v>247</v>
      </c>
      <c r="B1228" s="3">
        <v>45352</v>
      </c>
      <c r="C1228">
        <v>40931.1</v>
      </c>
    </row>
    <row r="1229" spans="1:3" ht="15" customHeight="1" x14ac:dyDescent="0.3">
      <c r="A1229" t="s">
        <v>247</v>
      </c>
      <c r="B1229" s="3">
        <v>45383</v>
      </c>
      <c r="C1229">
        <v>29080.799999999999</v>
      </c>
    </row>
    <row r="1230" spans="1:3" ht="15" customHeight="1" x14ac:dyDescent="0.3">
      <c r="A1230" t="s">
        <v>247</v>
      </c>
      <c r="B1230" s="3">
        <v>45413</v>
      </c>
      <c r="C1230">
        <v>21434.400000000001</v>
      </c>
    </row>
    <row r="1231" spans="1:3" ht="15" customHeight="1" x14ac:dyDescent="0.3">
      <c r="A1231" t="s">
        <v>247</v>
      </c>
      <c r="B1231" s="3">
        <v>45444</v>
      </c>
      <c r="C1231">
        <v>17483.400000000001</v>
      </c>
    </row>
    <row r="1232" spans="1:3" ht="15" customHeight="1" x14ac:dyDescent="0.3">
      <c r="A1232" t="s">
        <v>247</v>
      </c>
      <c r="B1232" s="3">
        <v>45474</v>
      </c>
      <c r="C1232">
        <v>19783.8</v>
      </c>
    </row>
    <row r="1233" spans="1:3" ht="15" customHeight="1" x14ac:dyDescent="0.3">
      <c r="A1233" t="s">
        <v>247</v>
      </c>
      <c r="B1233" s="3">
        <v>45505</v>
      </c>
      <c r="C1233">
        <v>25524</v>
      </c>
    </row>
    <row r="1234" spans="1:3" ht="15" customHeight="1" x14ac:dyDescent="0.3">
      <c r="A1234" t="s">
        <v>247</v>
      </c>
      <c r="B1234" s="3">
        <v>45536</v>
      </c>
      <c r="C1234">
        <v>33381.9</v>
      </c>
    </row>
    <row r="1235" spans="1:3" ht="15" customHeight="1" x14ac:dyDescent="0.3">
      <c r="A1235" t="s">
        <v>247</v>
      </c>
      <c r="B1235" s="3">
        <v>45566</v>
      </c>
      <c r="C1235">
        <v>43038</v>
      </c>
    </row>
    <row r="1236" spans="1:3" ht="15" customHeight="1" x14ac:dyDescent="0.3">
      <c r="A1236" t="s">
        <v>247</v>
      </c>
      <c r="B1236" s="3">
        <v>45597</v>
      </c>
      <c r="C1236">
        <v>49565.7</v>
      </c>
    </row>
    <row r="1237" spans="1:3" ht="15" customHeight="1" x14ac:dyDescent="0.3">
      <c r="A1237" t="s">
        <v>247</v>
      </c>
      <c r="B1237" s="3">
        <v>45627</v>
      </c>
      <c r="C1237">
        <v>54135.9</v>
      </c>
    </row>
    <row r="1238" spans="1:3" ht="15" customHeight="1" x14ac:dyDescent="0.3">
      <c r="A1238" t="s">
        <v>247</v>
      </c>
      <c r="B1238" s="3">
        <v>45658</v>
      </c>
      <c r="C1238">
        <v>53361.9</v>
      </c>
    </row>
    <row r="1239" spans="1:3" ht="15" customHeight="1" x14ac:dyDescent="0.3">
      <c r="A1239" t="s">
        <v>247</v>
      </c>
      <c r="B1239" s="3">
        <v>45689</v>
      </c>
      <c r="C1239">
        <v>43750.8</v>
      </c>
    </row>
    <row r="1240" spans="1:3" ht="15" customHeight="1" x14ac:dyDescent="0.3">
      <c r="A1240" t="s">
        <v>247</v>
      </c>
      <c r="B1240" s="3">
        <v>45717</v>
      </c>
      <c r="C1240">
        <v>40931.1</v>
      </c>
    </row>
    <row r="1241" spans="1:3" ht="15" customHeight="1" x14ac:dyDescent="0.3">
      <c r="A1241" t="s">
        <v>247</v>
      </c>
      <c r="B1241" s="3">
        <v>45748</v>
      </c>
      <c r="C1241">
        <v>29080.799999999999</v>
      </c>
    </row>
    <row r="1242" spans="1:3" ht="15" customHeight="1" x14ac:dyDescent="0.3">
      <c r="A1242" t="s">
        <v>247</v>
      </c>
      <c r="B1242" s="3">
        <v>45778</v>
      </c>
      <c r="C1242">
        <v>21434.400000000001</v>
      </c>
    </row>
    <row r="1243" spans="1:3" ht="15" customHeight="1" x14ac:dyDescent="0.3">
      <c r="A1243" t="s">
        <v>247</v>
      </c>
      <c r="B1243" s="3">
        <v>45809</v>
      </c>
      <c r="C1243">
        <v>17483.400000000001</v>
      </c>
    </row>
    <row r="1244" spans="1:3" ht="15" customHeight="1" x14ac:dyDescent="0.3">
      <c r="A1244" t="s">
        <v>247</v>
      </c>
      <c r="B1244" s="3">
        <v>45839</v>
      </c>
      <c r="C1244">
        <v>19783.8</v>
      </c>
    </row>
    <row r="1245" spans="1:3" ht="15" customHeight="1" x14ac:dyDescent="0.3">
      <c r="A1245" t="s">
        <v>247</v>
      </c>
      <c r="B1245" s="3">
        <v>45870</v>
      </c>
      <c r="C1245">
        <v>25524</v>
      </c>
    </row>
    <row r="1246" spans="1:3" ht="15" customHeight="1" x14ac:dyDescent="0.3">
      <c r="A1246" t="s">
        <v>247</v>
      </c>
      <c r="B1246" s="3">
        <v>45901</v>
      </c>
      <c r="C1246">
        <v>33381.9</v>
      </c>
    </row>
    <row r="1247" spans="1:3" ht="15" customHeight="1" x14ac:dyDescent="0.3">
      <c r="A1247" t="s">
        <v>247</v>
      </c>
      <c r="B1247" s="3">
        <v>45931</v>
      </c>
      <c r="C1247">
        <v>43038</v>
      </c>
    </row>
    <row r="1248" spans="1:3" ht="15" customHeight="1" x14ac:dyDescent="0.3">
      <c r="A1248" t="s">
        <v>247</v>
      </c>
      <c r="B1248" s="3">
        <v>45962</v>
      </c>
      <c r="C1248">
        <v>49565.7</v>
      </c>
    </row>
    <row r="1249" spans="1:3" ht="15" customHeight="1" x14ac:dyDescent="0.3">
      <c r="A1249" t="s">
        <v>247</v>
      </c>
      <c r="B1249" s="3">
        <v>45992</v>
      </c>
      <c r="C1249">
        <v>54135.9</v>
      </c>
    </row>
    <row r="1250" spans="1:3" ht="15" customHeight="1" x14ac:dyDescent="0.3">
      <c r="A1250" t="s">
        <v>247</v>
      </c>
      <c r="B1250" s="3">
        <v>46023</v>
      </c>
      <c r="C1250">
        <v>53361.9</v>
      </c>
    </row>
    <row r="1251" spans="1:3" ht="15" customHeight="1" x14ac:dyDescent="0.3">
      <c r="A1251" t="s">
        <v>247</v>
      </c>
      <c r="B1251" s="3">
        <v>46054</v>
      </c>
      <c r="C1251">
        <v>43750.8</v>
      </c>
    </row>
    <row r="1252" spans="1:3" ht="15" customHeight="1" x14ac:dyDescent="0.3">
      <c r="A1252" t="s">
        <v>247</v>
      </c>
      <c r="B1252" s="3">
        <v>46082</v>
      </c>
      <c r="C1252">
        <v>40931.1</v>
      </c>
    </row>
    <row r="1253" spans="1:3" ht="15" customHeight="1" x14ac:dyDescent="0.3">
      <c r="A1253" t="s">
        <v>247</v>
      </c>
      <c r="B1253" s="3">
        <v>46113</v>
      </c>
      <c r="C1253">
        <v>29080.799999999999</v>
      </c>
    </row>
    <row r="1254" spans="1:3" ht="15" customHeight="1" x14ac:dyDescent="0.3">
      <c r="A1254" t="s">
        <v>247</v>
      </c>
      <c r="B1254" s="3">
        <v>46143</v>
      </c>
      <c r="C1254">
        <v>21434.400000000001</v>
      </c>
    </row>
    <row r="1255" spans="1:3" ht="15" customHeight="1" x14ac:dyDescent="0.3">
      <c r="A1255" t="s">
        <v>247</v>
      </c>
      <c r="B1255" s="3">
        <v>46174</v>
      </c>
      <c r="C1255">
        <v>17483.400000000001</v>
      </c>
    </row>
    <row r="1256" spans="1:3" ht="15" customHeight="1" x14ac:dyDescent="0.3">
      <c r="A1256" t="s">
        <v>247</v>
      </c>
      <c r="B1256" s="3">
        <v>46204</v>
      </c>
      <c r="C1256">
        <v>19783.8</v>
      </c>
    </row>
    <row r="1257" spans="1:3" ht="15" customHeight="1" x14ac:dyDescent="0.3">
      <c r="A1257" t="s">
        <v>247</v>
      </c>
      <c r="B1257" s="3">
        <v>46235</v>
      </c>
      <c r="C1257">
        <v>25524</v>
      </c>
    </row>
    <row r="1258" spans="1:3" ht="15" customHeight="1" x14ac:dyDescent="0.3">
      <c r="A1258" t="s">
        <v>247</v>
      </c>
      <c r="B1258" s="3">
        <v>46266</v>
      </c>
      <c r="C1258">
        <v>33381.9</v>
      </c>
    </row>
    <row r="1259" spans="1:3" ht="15" customHeight="1" x14ac:dyDescent="0.3">
      <c r="A1259" t="s">
        <v>247</v>
      </c>
      <c r="B1259" s="3">
        <v>46296</v>
      </c>
      <c r="C1259">
        <v>43038</v>
      </c>
    </row>
    <row r="1260" spans="1:3" ht="15" customHeight="1" x14ac:dyDescent="0.3">
      <c r="A1260" t="s">
        <v>247</v>
      </c>
      <c r="B1260" s="3">
        <v>46327</v>
      </c>
      <c r="C1260">
        <v>49565.7</v>
      </c>
    </row>
    <row r="1261" spans="1:3" ht="15" customHeight="1" x14ac:dyDescent="0.3">
      <c r="A1261" t="s">
        <v>247</v>
      </c>
      <c r="B1261" s="3">
        <v>46357</v>
      </c>
      <c r="C1261">
        <v>54135.9</v>
      </c>
    </row>
    <row r="1262" spans="1:3" ht="15" customHeight="1" x14ac:dyDescent="0.3">
      <c r="A1262" t="s">
        <v>140</v>
      </c>
      <c r="B1262" s="3">
        <v>45292</v>
      </c>
      <c r="C1262">
        <v>5063.45</v>
      </c>
    </row>
    <row r="1263" spans="1:3" ht="15" customHeight="1" x14ac:dyDescent="0.3">
      <c r="A1263" t="s">
        <v>140</v>
      </c>
      <c r="B1263" s="3">
        <v>45323</v>
      </c>
      <c r="C1263">
        <v>4598.5</v>
      </c>
    </row>
    <row r="1264" spans="1:3" ht="15" customHeight="1" x14ac:dyDescent="0.3">
      <c r="A1264" t="s">
        <v>140</v>
      </c>
      <c r="B1264" s="3">
        <v>45352</v>
      </c>
      <c r="C1264">
        <v>5071.95</v>
      </c>
    </row>
    <row r="1265" spans="1:3" ht="15" customHeight="1" x14ac:dyDescent="0.3">
      <c r="A1265" t="s">
        <v>140</v>
      </c>
      <c r="B1265" s="3">
        <v>45383</v>
      </c>
      <c r="C1265">
        <v>4864.55</v>
      </c>
    </row>
    <row r="1266" spans="1:3" ht="15" customHeight="1" x14ac:dyDescent="0.3">
      <c r="A1266" t="s">
        <v>140</v>
      </c>
      <c r="B1266" s="3">
        <v>45413</v>
      </c>
      <c r="C1266">
        <v>5173.1000000000004</v>
      </c>
    </row>
    <row r="1267" spans="1:3" ht="15" customHeight="1" x14ac:dyDescent="0.3">
      <c r="A1267" t="s">
        <v>140</v>
      </c>
      <c r="B1267" s="3">
        <v>45444</v>
      </c>
      <c r="C1267">
        <v>5002.25</v>
      </c>
    </row>
    <row r="1268" spans="1:3" ht="15" customHeight="1" x14ac:dyDescent="0.3">
      <c r="A1268" t="s">
        <v>140</v>
      </c>
      <c r="B1268" s="3">
        <v>45474</v>
      </c>
      <c r="C1268">
        <v>5383.9</v>
      </c>
    </row>
    <row r="1269" spans="1:3" ht="15" customHeight="1" x14ac:dyDescent="0.3">
      <c r="A1269" t="s">
        <v>140</v>
      </c>
      <c r="B1269" s="3">
        <v>45505</v>
      </c>
      <c r="C1269">
        <v>5638.05</v>
      </c>
    </row>
    <row r="1270" spans="1:3" ht="15" customHeight="1" x14ac:dyDescent="0.3">
      <c r="A1270" t="s">
        <v>140</v>
      </c>
      <c r="B1270" s="3">
        <v>45536</v>
      </c>
      <c r="C1270">
        <v>5587.05</v>
      </c>
    </row>
    <row r="1271" spans="1:3" ht="15" customHeight="1" x14ac:dyDescent="0.3">
      <c r="A1271" t="s">
        <v>140</v>
      </c>
      <c r="B1271" s="3">
        <v>45566</v>
      </c>
      <c r="C1271">
        <v>5491.85</v>
      </c>
    </row>
    <row r="1272" spans="1:3" ht="15" customHeight="1" x14ac:dyDescent="0.3">
      <c r="A1272" t="s">
        <v>140</v>
      </c>
      <c r="B1272" s="3">
        <v>45597</v>
      </c>
      <c r="C1272">
        <v>5110.2</v>
      </c>
    </row>
    <row r="1273" spans="1:3" ht="15" customHeight="1" x14ac:dyDescent="0.3">
      <c r="A1273" t="s">
        <v>140</v>
      </c>
      <c r="B1273" s="3">
        <v>45627</v>
      </c>
      <c r="C1273">
        <v>5223.25</v>
      </c>
    </row>
    <row r="1274" spans="1:3" ht="15" customHeight="1" x14ac:dyDescent="0.3">
      <c r="A1274" t="s">
        <v>140</v>
      </c>
      <c r="B1274" s="3">
        <v>45658</v>
      </c>
      <c r="C1274">
        <v>5063.45</v>
      </c>
    </row>
    <row r="1275" spans="1:3" ht="15" customHeight="1" x14ac:dyDescent="0.3">
      <c r="A1275" t="s">
        <v>140</v>
      </c>
      <c r="B1275" s="3">
        <v>45689</v>
      </c>
      <c r="C1275">
        <v>4598.5</v>
      </c>
    </row>
    <row r="1276" spans="1:3" ht="15" customHeight="1" x14ac:dyDescent="0.3">
      <c r="A1276" t="s">
        <v>140</v>
      </c>
      <c r="B1276" s="3">
        <v>45717</v>
      </c>
      <c r="C1276">
        <v>5071.95</v>
      </c>
    </row>
    <row r="1277" spans="1:3" ht="15" customHeight="1" x14ac:dyDescent="0.3">
      <c r="A1277" t="s">
        <v>140</v>
      </c>
      <c r="B1277" s="3">
        <v>45748</v>
      </c>
      <c r="C1277">
        <v>4864.55</v>
      </c>
    </row>
    <row r="1278" spans="1:3" ht="15" customHeight="1" x14ac:dyDescent="0.3">
      <c r="A1278" t="s">
        <v>140</v>
      </c>
      <c r="B1278" s="3">
        <v>45778</v>
      </c>
      <c r="C1278">
        <v>5173.1000000000004</v>
      </c>
    </row>
    <row r="1279" spans="1:3" ht="15" customHeight="1" x14ac:dyDescent="0.3">
      <c r="A1279" t="s">
        <v>140</v>
      </c>
      <c r="B1279" s="3">
        <v>45809</v>
      </c>
      <c r="C1279">
        <v>5002.25</v>
      </c>
    </row>
    <row r="1280" spans="1:3" ht="15" customHeight="1" x14ac:dyDescent="0.3">
      <c r="A1280" t="s">
        <v>140</v>
      </c>
      <c r="B1280" s="3">
        <v>45839</v>
      </c>
      <c r="C1280">
        <v>5383.9</v>
      </c>
    </row>
    <row r="1281" spans="1:3" ht="15" customHeight="1" x14ac:dyDescent="0.3">
      <c r="A1281" t="s">
        <v>140</v>
      </c>
      <c r="B1281" s="3">
        <v>45870</v>
      </c>
      <c r="C1281">
        <v>5638.05</v>
      </c>
    </row>
    <row r="1282" spans="1:3" ht="15" customHeight="1" x14ac:dyDescent="0.3">
      <c r="A1282" t="s">
        <v>140</v>
      </c>
      <c r="B1282" s="3">
        <v>45901</v>
      </c>
      <c r="C1282">
        <v>5587.05</v>
      </c>
    </row>
    <row r="1283" spans="1:3" ht="15" customHeight="1" x14ac:dyDescent="0.3">
      <c r="A1283" t="s">
        <v>140</v>
      </c>
      <c r="B1283" s="3">
        <v>45931</v>
      </c>
      <c r="C1283">
        <v>5491.85</v>
      </c>
    </row>
    <row r="1284" spans="1:3" ht="15" customHeight="1" x14ac:dyDescent="0.3">
      <c r="A1284" t="s">
        <v>140</v>
      </c>
      <c r="B1284" s="3">
        <v>45962</v>
      </c>
      <c r="C1284">
        <v>5110.2</v>
      </c>
    </row>
    <row r="1285" spans="1:3" ht="15" customHeight="1" x14ac:dyDescent="0.3">
      <c r="A1285" t="s">
        <v>140</v>
      </c>
      <c r="B1285" s="3">
        <v>45992</v>
      </c>
      <c r="C1285">
        <v>5223.25</v>
      </c>
    </row>
    <row r="1286" spans="1:3" ht="15" customHeight="1" x14ac:dyDescent="0.3">
      <c r="A1286" t="s">
        <v>140</v>
      </c>
      <c r="B1286" s="3">
        <v>46023</v>
      </c>
      <c r="C1286">
        <v>5063.45</v>
      </c>
    </row>
    <row r="1287" spans="1:3" ht="15" customHeight="1" x14ac:dyDescent="0.3">
      <c r="A1287" t="s">
        <v>140</v>
      </c>
      <c r="B1287" s="3">
        <v>46054</v>
      </c>
      <c r="C1287">
        <v>4598.5</v>
      </c>
    </row>
    <row r="1288" spans="1:3" ht="15" customHeight="1" x14ac:dyDescent="0.3">
      <c r="A1288" t="s">
        <v>140</v>
      </c>
      <c r="B1288" s="3">
        <v>46082</v>
      </c>
      <c r="C1288">
        <v>5071.95</v>
      </c>
    </row>
    <row r="1289" spans="1:3" ht="15" customHeight="1" x14ac:dyDescent="0.3">
      <c r="A1289" t="s">
        <v>140</v>
      </c>
      <c r="B1289" s="3">
        <v>46113</v>
      </c>
      <c r="C1289">
        <v>4864.55</v>
      </c>
    </row>
    <row r="1290" spans="1:3" ht="15" customHeight="1" x14ac:dyDescent="0.3">
      <c r="A1290" t="s">
        <v>140</v>
      </c>
      <c r="B1290" s="3">
        <v>46143</v>
      </c>
      <c r="C1290">
        <v>5173.1000000000004</v>
      </c>
    </row>
    <row r="1291" spans="1:3" ht="15" customHeight="1" x14ac:dyDescent="0.3">
      <c r="A1291" t="s">
        <v>140</v>
      </c>
      <c r="B1291" s="3">
        <v>46174</v>
      </c>
      <c r="C1291">
        <v>5002.25</v>
      </c>
    </row>
    <row r="1292" spans="1:3" ht="15" customHeight="1" x14ac:dyDescent="0.3">
      <c r="A1292" t="s">
        <v>140</v>
      </c>
      <c r="B1292" s="3">
        <v>46204</v>
      </c>
      <c r="C1292">
        <v>5383.9</v>
      </c>
    </row>
    <row r="1293" spans="1:3" ht="15" customHeight="1" x14ac:dyDescent="0.3">
      <c r="A1293" t="s">
        <v>140</v>
      </c>
      <c r="B1293" s="3">
        <v>46235</v>
      </c>
      <c r="C1293">
        <v>5638.05</v>
      </c>
    </row>
    <row r="1294" spans="1:3" ht="15" customHeight="1" x14ac:dyDescent="0.3">
      <c r="A1294" t="s">
        <v>140</v>
      </c>
      <c r="B1294" s="3">
        <v>46266</v>
      </c>
      <c r="C1294">
        <v>5587.05</v>
      </c>
    </row>
    <row r="1295" spans="1:3" ht="15" customHeight="1" x14ac:dyDescent="0.3">
      <c r="A1295" t="s">
        <v>140</v>
      </c>
      <c r="B1295" s="3">
        <v>46296</v>
      </c>
      <c r="C1295">
        <v>5491.85</v>
      </c>
    </row>
    <row r="1296" spans="1:3" ht="15" customHeight="1" x14ac:dyDescent="0.3">
      <c r="A1296" t="s">
        <v>140</v>
      </c>
      <c r="B1296" s="3">
        <v>46327</v>
      </c>
      <c r="C1296">
        <v>5110.2</v>
      </c>
    </row>
    <row r="1297" spans="1:3" ht="15" customHeight="1" x14ac:dyDescent="0.3">
      <c r="A1297" t="s">
        <v>140</v>
      </c>
      <c r="B1297" s="3">
        <v>46357</v>
      </c>
      <c r="C1297">
        <v>5223.25</v>
      </c>
    </row>
    <row r="1298" spans="1:3" ht="15" customHeight="1" x14ac:dyDescent="0.3">
      <c r="A1298" t="s">
        <v>143</v>
      </c>
      <c r="B1298" s="3">
        <v>45292</v>
      </c>
      <c r="C1298">
        <v>40416.300000000003</v>
      </c>
    </row>
    <row r="1299" spans="1:3" ht="15" customHeight="1" x14ac:dyDescent="0.3">
      <c r="A1299" t="s">
        <v>143</v>
      </c>
      <c r="B1299" s="3">
        <v>45323</v>
      </c>
      <c r="C1299">
        <v>33988.5</v>
      </c>
    </row>
    <row r="1300" spans="1:3" ht="15" customHeight="1" x14ac:dyDescent="0.3">
      <c r="A1300" t="s">
        <v>143</v>
      </c>
      <c r="B1300" s="3">
        <v>45352</v>
      </c>
      <c r="C1300">
        <v>35132.400000000001</v>
      </c>
    </row>
    <row r="1301" spans="1:3" ht="15" customHeight="1" x14ac:dyDescent="0.3">
      <c r="A1301" t="s">
        <v>143</v>
      </c>
      <c r="B1301" s="3">
        <v>45383</v>
      </c>
      <c r="C1301">
        <v>29903.4</v>
      </c>
    </row>
    <row r="1302" spans="1:3" ht="15" customHeight="1" x14ac:dyDescent="0.3">
      <c r="A1302" t="s">
        <v>143</v>
      </c>
      <c r="B1302" s="3">
        <v>45413</v>
      </c>
      <c r="C1302">
        <v>28383.3</v>
      </c>
    </row>
    <row r="1303" spans="1:3" ht="15" customHeight="1" x14ac:dyDescent="0.3">
      <c r="A1303" t="s">
        <v>143</v>
      </c>
      <c r="B1303" s="3">
        <v>45444</v>
      </c>
      <c r="C1303">
        <v>25641.9</v>
      </c>
    </row>
    <row r="1304" spans="1:3" ht="15" customHeight="1" x14ac:dyDescent="0.3">
      <c r="A1304" t="s">
        <v>143</v>
      </c>
      <c r="B1304" s="3">
        <v>45474</v>
      </c>
      <c r="C1304">
        <v>28361.7</v>
      </c>
    </row>
    <row r="1305" spans="1:3" ht="15" customHeight="1" x14ac:dyDescent="0.3">
      <c r="A1305" t="s">
        <v>143</v>
      </c>
      <c r="B1305" s="3">
        <v>45505</v>
      </c>
      <c r="C1305">
        <v>33006.6</v>
      </c>
    </row>
    <row r="1306" spans="1:3" ht="15" customHeight="1" x14ac:dyDescent="0.3">
      <c r="A1306" t="s">
        <v>143</v>
      </c>
      <c r="B1306" s="3">
        <v>45536</v>
      </c>
      <c r="C1306">
        <v>36521.1</v>
      </c>
    </row>
    <row r="1307" spans="1:3" ht="15" customHeight="1" x14ac:dyDescent="0.3">
      <c r="A1307" t="s">
        <v>143</v>
      </c>
      <c r="B1307" s="3">
        <v>45566</v>
      </c>
      <c r="C1307">
        <v>39682.800000000003</v>
      </c>
    </row>
    <row r="1308" spans="1:3" ht="15" customHeight="1" x14ac:dyDescent="0.3">
      <c r="A1308" t="s">
        <v>143</v>
      </c>
      <c r="B1308" s="3">
        <v>45597</v>
      </c>
      <c r="C1308">
        <v>39748.5</v>
      </c>
    </row>
    <row r="1309" spans="1:3" ht="15" customHeight="1" x14ac:dyDescent="0.3">
      <c r="A1309" t="s">
        <v>143</v>
      </c>
      <c r="B1309" s="3">
        <v>45627</v>
      </c>
      <c r="C1309">
        <v>42519.6</v>
      </c>
    </row>
    <row r="1310" spans="1:3" ht="15" customHeight="1" x14ac:dyDescent="0.3">
      <c r="A1310" t="s">
        <v>143</v>
      </c>
      <c r="B1310" s="3">
        <v>45658</v>
      </c>
      <c r="C1310">
        <v>40416.300000000003</v>
      </c>
    </row>
    <row r="1311" spans="1:3" ht="15" customHeight="1" x14ac:dyDescent="0.3">
      <c r="A1311" t="s">
        <v>143</v>
      </c>
      <c r="B1311" s="3">
        <v>45689</v>
      </c>
      <c r="C1311">
        <v>33988.5</v>
      </c>
    </row>
    <row r="1312" spans="1:3" ht="15" customHeight="1" x14ac:dyDescent="0.3">
      <c r="A1312" t="s">
        <v>143</v>
      </c>
      <c r="B1312" s="3">
        <v>45717</v>
      </c>
      <c r="C1312">
        <v>35132.400000000001</v>
      </c>
    </row>
    <row r="1313" spans="1:3" ht="15" customHeight="1" x14ac:dyDescent="0.3">
      <c r="A1313" t="s">
        <v>143</v>
      </c>
      <c r="B1313" s="3">
        <v>45748</v>
      </c>
      <c r="C1313">
        <v>29903.4</v>
      </c>
    </row>
    <row r="1314" spans="1:3" ht="15" customHeight="1" x14ac:dyDescent="0.3">
      <c r="A1314" t="s">
        <v>143</v>
      </c>
      <c r="B1314" s="3">
        <v>45778</v>
      </c>
      <c r="C1314">
        <v>28383.3</v>
      </c>
    </row>
    <row r="1315" spans="1:3" ht="15" customHeight="1" x14ac:dyDescent="0.3">
      <c r="A1315" t="s">
        <v>143</v>
      </c>
      <c r="B1315" s="3">
        <v>45809</v>
      </c>
      <c r="C1315">
        <v>25641.9</v>
      </c>
    </row>
    <row r="1316" spans="1:3" ht="15" customHeight="1" x14ac:dyDescent="0.3">
      <c r="A1316" t="s">
        <v>143</v>
      </c>
      <c r="B1316" s="3">
        <v>45839</v>
      </c>
      <c r="C1316">
        <v>28361.7</v>
      </c>
    </row>
    <row r="1317" spans="1:3" ht="15" customHeight="1" x14ac:dyDescent="0.3">
      <c r="A1317" t="s">
        <v>143</v>
      </c>
      <c r="B1317" s="3">
        <v>45870</v>
      </c>
      <c r="C1317">
        <v>33006.6</v>
      </c>
    </row>
    <row r="1318" spans="1:3" ht="15" customHeight="1" x14ac:dyDescent="0.3">
      <c r="A1318" t="s">
        <v>143</v>
      </c>
      <c r="B1318" s="3">
        <v>45901</v>
      </c>
      <c r="C1318">
        <v>36521.1</v>
      </c>
    </row>
    <row r="1319" spans="1:3" ht="15" customHeight="1" x14ac:dyDescent="0.3">
      <c r="A1319" t="s">
        <v>143</v>
      </c>
      <c r="B1319" s="3">
        <v>45931</v>
      </c>
      <c r="C1319">
        <v>39682.800000000003</v>
      </c>
    </row>
    <row r="1320" spans="1:3" ht="15" customHeight="1" x14ac:dyDescent="0.3">
      <c r="A1320" t="s">
        <v>143</v>
      </c>
      <c r="B1320" s="3">
        <v>45962</v>
      </c>
      <c r="C1320">
        <v>39748.5</v>
      </c>
    </row>
    <row r="1321" spans="1:3" ht="15" customHeight="1" x14ac:dyDescent="0.3">
      <c r="A1321" t="s">
        <v>143</v>
      </c>
      <c r="B1321" s="3">
        <v>45992</v>
      </c>
      <c r="C1321">
        <v>42519.6</v>
      </c>
    </row>
    <row r="1322" spans="1:3" ht="15" customHeight="1" x14ac:dyDescent="0.3">
      <c r="A1322" t="s">
        <v>143</v>
      </c>
      <c r="B1322" s="3">
        <v>46023</v>
      </c>
      <c r="C1322">
        <v>40416.300000000003</v>
      </c>
    </row>
    <row r="1323" spans="1:3" ht="15" customHeight="1" x14ac:dyDescent="0.3">
      <c r="A1323" t="s">
        <v>143</v>
      </c>
      <c r="B1323" s="3">
        <v>46054</v>
      </c>
      <c r="C1323">
        <v>33988.5</v>
      </c>
    </row>
    <row r="1324" spans="1:3" ht="15" customHeight="1" x14ac:dyDescent="0.3">
      <c r="A1324" t="s">
        <v>143</v>
      </c>
      <c r="B1324" s="3">
        <v>46082</v>
      </c>
      <c r="C1324">
        <v>35132.400000000001</v>
      </c>
    </row>
    <row r="1325" spans="1:3" ht="15" customHeight="1" x14ac:dyDescent="0.3">
      <c r="A1325" t="s">
        <v>143</v>
      </c>
      <c r="B1325" s="3">
        <v>46113</v>
      </c>
      <c r="C1325">
        <v>29903.4</v>
      </c>
    </row>
    <row r="1326" spans="1:3" ht="15" customHeight="1" x14ac:dyDescent="0.3">
      <c r="A1326" t="s">
        <v>143</v>
      </c>
      <c r="B1326" s="3">
        <v>46143</v>
      </c>
      <c r="C1326">
        <v>28383.3</v>
      </c>
    </row>
    <row r="1327" spans="1:3" ht="15" customHeight="1" x14ac:dyDescent="0.3">
      <c r="A1327" t="s">
        <v>143</v>
      </c>
      <c r="B1327" s="3">
        <v>46174</v>
      </c>
      <c r="C1327">
        <v>25641.9</v>
      </c>
    </row>
    <row r="1328" spans="1:3" ht="15" customHeight="1" x14ac:dyDescent="0.3">
      <c r="A1328" t="s">
        <v>143</v>
      </c>
      <c r="B1328" s="3">
        <v>46204</v>
      </c>
      <c r="C1328">
        <v>28361.7</v>
      </c>
    </row>
    <row r="1329" spans="1:3" ht="15" customHeight="1" x14ac:dyDescent="0.3">
      <c r="A1329" t="s">
        <v>143</v>
      </c>
      <c r="B1329" s="3">
        <v>46235</v>
      </c>
      <c r="C1329">
        <v>33006.6</v>
      </c>
    </row>
    <row r="1330" spans="1:3" ht="15" customHeight="1" x14ac:dyDescent="0.3">
      <c r="A1330" t="s">
        <v>143</v>
      </c>
      <c r="B1330" s="3">
        <v>46266</v>
      </c>
      <c r="C1330">
        <v>36521.1</v>
      </c>
    </row>
    <row r="1331" spans="1:3" ht="15" customHeight="1" x14ac:dyDescent="0.3">
      <c r="A1331" t="s">
        <v>143</v>
      </c>
      <c r="B1331" s="3">
        <v>46296</v>
      </c>
      <c r="C1331">
        <v>39682.800000000003</v>
      </c>
    </row>
    <row r="1332" spans="1:3" ht="15" customHeight="1" x14ac:dyDescent="0.3">
      <c r="A1332" t="s">
        <v>143</v>
      </c>
      <c r="B1332" s="3">
        <v>46327</v>
      </c>
      <c r="C1332">
        <v>39748.5</v>
      </c>
    </row>
    <row r="1333" spans="1:3" ht="15" customHeight="1" x14ac:dyDescent="0.3">
      <c r="A1333" t="s">
        <v>143</v>
      </c>
      <c r="B1333" s="3">
        <v>46357</v>
      </c>
      <c r="C1333">
        <v>42519.6</v>
      </c>
    </row>
    <row r="1334" spans="1:3" ht="15" customHeight="1" x14ac:dyDescent="0.3">
      <c r="A1334" t="s">
        <v>147</v>
      </c>
      <c r="B1334" s="3">
        <v>45292</v>
      </c>
      <c r="C1334">
        <v>23544</v>
      </c>
    </row>
    <row r="1335" spans="1:3" ht="15" customHeight="1" x14ac:dyDescent="0.3">
      <c r="A1335" t="s">
        <v>147</v>
      </c>
      <c r="B1335" s="3">
        <v>45323</v>
      </c>
      <c r="C1335">
        <v>21677</v>
      </c>
    </row>
    <row r="1336" spans="1:3" ht="15" customHeight="1" x14ac:dyDescent="0.3">
      <c r="A1336" t="s">
        <v>147</v>
      </c>
      <c r="B1336" s="3">
        <v>45352</v>
      </c>
      <c r="C1336">
        <v>24212</v>
      </c>
    </row>
    <row r="1337" spans="1:3" ht="15" customHeight="1" x14ac:dyDescent="0.3">
      <c r="A1337" t="s">
        <v>147</v>
      </c>
      <c r="B1337" s="3">
        <v>45383</v>
      </c>
      <c r="C1337">
        <v>20861</v>
      </c>
    </row>
    <row r="1338" spans="1:3" ht="15" customHeight="1" x14ac:dyDescent="0.3">
      <c r="A1338" t="s">
        <v>147</v>
      </c>
      <c r="B1338" s="3">
        <v>45413</v>
      </c>
      <c r="C1338">
        <v>20012</v>
      </c>
    </row>
    <row r="1339" spans="1:3" ht="15" customHeight="1" x14ac:dyDescent="0.3">
      <c r="A1339" t="s">
        <v>147</v>
      </c>
      <c r="B1339" s="3">
        <v>45444</v>
      </c>
      <c r="C1339">
        <v>18485</v>
      </c>
    </row>
    <row r="1340" spans="1:3" ht="15" customHeight="1" x14ac:dyDescent="0.3">
      <c r="A1340" t="s">
        <v>147</v>
      </c>
      <c r="B1340" s="3">
        <v>45474</v>
      </c>
      <c r="C1340">
        <v>20016</v>
      </c>
    </row>
    <row r="1341" spans="1:3" ht="15" customHeight="1" x14ac:dyDescent="0.3">
      <c r="A1341" t="s">
        <v>147</v>
      </c>
      <c r="B1341" s="3">
        <v>45505</v>
      </c>
      <c r="C1341">
        <v>21052</v>
      </c>
    </row>
    <row r="1342" spans="1:3" ht="15" customHeight="1" x14ac:dyDescent="0.3">
      <c r="A1342" t="s">
        <v>147</v>
      </c>
      <c r="B1342" s="3">
        <v>45536</v>
      </c>
      <c r="C1342">
        <v>21403</v>
      </c>
    </row>
    <row r="1343" spans="1:3" ht="15" customHeight="1" x14ac:dyDescent="0.3">
      <c r="A1343" t="s">
        <v>147</v>
      </c>
      <c r="B1343" s="3">
        <v>45566</v>
      </c>
      <c r="C1343">
        <v>20962</v>
      </c>
    </row>
    <row r="1344" spans="1:3" ht="15" customHeight="1" x14ac:dyDescent="0.3">
      <c r="A1344" t="s">
        <v>147</v>
      </c>
      <c r="B1344" s="3">
        <v>45597</v>
      </c>
      <c r="C1344">
        <v>19856</v>
      </c>
    </row>
    <row r="1345" spans="1:3" ht="15" customHeight="1" x14ac:dyDescent="0.3">
      <c r="A1345" t="s">
        <v>147</v>
      </c>
      <c r="B1345" s="3">
        <v>45627</v>
      </c>
      <c r="C1345">
        <v>21184</v>
      </c>
    </row>
    <row r="1346" spans="1:3" ht="15" customHeight="1" x14ac:dyDescent="0.3">
      <c r="A1346" t="s">
        <v>147</v>
      </c>
      <c r="B1346" s="3">
        <v>45658</v>
      </c>
      <c r="C1346">
        <v>23544</v>
      </c>
    </row>
    <row r="1347" spans="1:3" ht="15" customHeight="1" x14ac:dyDescent="0.3">
      <c r="A1347" t="s">
        <v>147</v>
      </c>
      <c r="B1347" s="3">
        <v>45689</v>
      </c>
      <c r="C1347">
        <v>21677</v>
      </c>
    </row>
    <row r="1348" spans="1:3" ht="15" customHeight="1" x14ac:dyDescent="0.3">
      <c r="A1348" t="s">
        <v>147</v>
      </c>
      <c r="B1348" s="3">
        <v>45717</v>
      </c>
      <c r="C1348">
        <v>24212</v>
      </c>
    </row>
    <row r="1349" spans="1:3" ht="15" customHeight="1" x14ac:dyDescent="0.3">
      <c r="A1349" t="s">
        <v>147</v>
      </c>
      <c r="B1349" s="3">
        <v>45748</v>
      </c>
      <c r="C1349">
        <v>20861</v>
      </c>
    </row>
    <row r="1350" spans="1:3" ht="15" customHeight="1" x14ac:dyDescent="0.3">
      <c r="A1350" t="s">
        <v>147</v>
      </c>
      <c r="B1350" s="3">
        <v>45778</v>
      </c>
      <c r="C1350">
        <v>20012</v>
      </c>
    </row>
    <row r="1351" spans="1:3" ht="15" customHeight="1" x14ac:dyDescent="0.3">
      <c r="A1351" t="s">
        <v>147</v>
      </c>
      <c r="B1351" s="3">
        <v>45809</v>
      </c>
      <c r="C1351">
        <v>18485</v>
      </c>
    </row>
    <row r="1352" spans="1:3" ht="15" customHeight="1" x14ac:dyDescent="0.3">
      <c r="A1352" t="s">
        <v>147</v>
      </c>
      <c r="B1352" s="3">
        <v>45839</v>
      </c>
      <c r="C1352">
        <v>20016</v>
      </c>
    </row>
    <row r="1353" spans="1:3" ht="15" customHeight="1" x14ac:dyDescent="0.3">
      <c r="A1353" t="s">
        <v>147</v>
      </c>
      <c r="B1353" s="3">
        <v>45870</v>
      </c>
      <c r="C1353">
        <v>21052</v>
      </c>
    </row>
    <row r="1354" spans="1:3" ht="15" customHeight="1" x14ac:dyDescent="0.3">
      <c r="A1354" t="s">
        <v>147</v>
      </c>
      <c r="B1354" s="3">
        <v>45901</v>
      </c>
      <c r="C1354">
        <v>21403</v>
      </c>
    </row>
    <row r="1355" spans="1:3" ht="15" customHeight="1" x14ac:dyDescent="0.3">
      <c r="A1355" t="s">
        <v>147</v>
      </c>
      <c r="B1355" s="3">
        <v>45931</v>
      </c>
      <c r="C1355">
        <v>20962</v>
      </c>
    </row>
    <row r="1356" spans="1:3" ht="15" customHeight="1" x14ac:dyDescent="0.3">
      <c r="A1356" t="s">
        <v>147</v>
      </c>
      <c r="B1356" s="3">
        <v>45962</v>
      </c>
      <c r="C1356">
        <v>19856</v>
      </c>
    </row>
    <row r="1357" spans="1:3" ht="15" customHeight="1" x14ac:dyDescent="0.3">
      <c r="A1357" t="s">
        <v>147</v>
      </c>
      <c r="B1357" s="3">
        <v>45992</v>
      </c>
      <c r="C1357">
        <v>21184</v>
      </c>
    </row>
    <row r="1358" spans="1:3" ht="15" customHeight="1" x14ac:dyDescent="0.3">
      <c r="A1358" t="s">
        <v>147</v>
      </c>
      <c r="B1358" s="3">
        <v>46023</v>
      </c>
      <c r="C1358">
        <v>23544</v>
      </c>
    </row>
    <row r="1359" spans="1:3" ht="15" customHeight="1" x14ac:dyDescent="0.3">
      <c r="A1359" t="s">
        <v>147</v>
      </c>
      <c r="B1359" s="3">
        <v>46054</v>
      </c>
      <c r="C1359">
        <v>21677</v>
      </c>
    </row>
    <row r="1360" spans="1:3" ht="15" customHeight="1" x14ac:dyDescent="0.3">
      <c r="A1360" t="s">
        <v>147</v>
      </c>
      <c r="B1360" s="3">
        <v>46082</v>
      </c>
      <c r="C1360">
        <v>24212</v>
      </c>
    </row>
    <row r="1361" spans="1:3" ht="15" customHeight="1" x14ac:dyDescent="0.3">
      <c r="A1361" t="s">
        <v>147</v>
      </c>
      <c r="B1361" s="3">
        <v>46113</v>
      </c>
      <c r="C1361">
        <v>20861</v>
      </c>
    </row>
    <row r="1362" spans="1:3" ht="15" customHeight="1" x14ac:dyDescent="0.3">
      <c r="A1362" t="s">
        <v>147</v>
      </c>
      <c r="B1362" s="3">
        <v>46143</v>
      </c>
      <c r="C1362">
        <v>20012</v>
      </c>
    </row>
    <row r="1363" spans="1:3" ht="15" customHeight="1" x14ac:dyDescent="0.3">
      <c r="A1363" t="s">
        <v>147</v>
      </c>
      <c r="B1363" s="3">
        <v>46174</v>
      </c>
      <c r="C1363">
        <v>18485</v>
      </c>
    </row>
    <row r="1364" spans="1:3" ht="15" customHeight="1" x14ac:dyDescent="0.3">
      <c r="A1364" t="s">
        <v>147</v>
      </c>
      <c r="B1364" s="3">
        <v>46204</v>
      </c>
      <c r="C1364">
        <v>20016</v>
      </c>
    </row>
    <row r="1365" spans="1:3" ht="15" customHeight="1" x14ac:dyDescent="0.3">
      <c r="A1365" t="s">
        <v>147</v>
      </c>
      <c r="B1365" s="3">
        <v>46235</v>
      </c>
      <c r="C1365">
        <v>21052</v>
      </c>
    </row>
    <row r="1366" spans="1:3" ht="15" customHeight="1" x14ac:dyDescent="0.3">
      <c r="A1366" t="s">
        <v>147</v>
      </c>
      <c r="B1366" s="3">
        <v>46266</v>
      </c>
      <c r="C1366">
        <v>21403</v>
      </c>
    </row>
    <row r="1367" spans="1:3" ht="15" customHeight="1" x14ac:dyDescent="0.3">
      <c r="A1367" t="s">
        <v>147</v>
      </c>
      <c r="B1367" s="3">
        <v>46296</v>
      </c>
      <c r="C1367">
        <v>20962</v>
      </c>
    </row>
    <row r="1368" spans="1:3" ht="15" customHeight="1" x14ac:dyDescent="0.3">
      <c r="A1368" t="s">
        <v>147</v>
      </c>
      <c r="B1368" s="3">
        <v>46327</v>
      </c>
      <c r="C1368">
        <v>19856</v>
      </c>
    </row>
    <row r="1369" spans="1:3" ht="15" customHeight="1" x14ac:dyDescent="0.3">
      <c r="A1369" t="s">
        <v>147</v>
      </c>
      <c r="B1369" s="3">
        <v>46357</v>
      </c>
      <c r="C1369">
        <v>21184</v>
      </c>
    </row>
    <row r="1370" spans="1:3" ht="15" customHeight="1" x14ac:dyDescent="0.3">
      <c r="A1370" t="s">
        <v>233</v>
      </c>
      <c r="B1370" s="3">
        <v>45292</v>
      </c>
      <c r="C1370">
        <v>46872</v>
      </c>
    </row>
    <row r="1371" spans="1:3" ht="15" customHeight="1" x14ac:dyDescent="0.3">
      <c r="A1371" t="s">
        <v>233</v>
      </c>
      <c r="B1371" s="3">
        <v>45323</v>
      </c>
      <c r="C1371">
        <v>40989.599999999999</v>
      </c>
    </row>
    <row r="1372" spans="1:3" ht="15" customHeight="1" x14ac:dyDescent="0.3">
      <c r="A1372" t="s">
        <v>233</v>
      </c>
      <c r="B1372" s="3">
        <v>45352</v>
      </c>
      <c r="C1372">
        <v>39989.699999999997</v>
      </c>
    </row>
    <row r="1373" spans="1:3" ht="15" customHeight="1" x14ac:dyDescent="0.3">
      <c r="A1373" t="s">
        <v>233</v>
      </c>
      <c r="B1373" s="3">
        <v>45383</v>
      </c>
      <c r="C1373">
        <v>34783.199999999997</v>
      </c>
    </row>
    <row r="1374" spans="1:3" ht="15" customHeight="1" x14ac:dyDescent="0.3">
      <c r="A1374" t="s">
        <v>233</v>
      </c>
      <c r="B1374" s="3">
        <v>45413</v>
      </c>
      <c r="C1374">
        <v>32139</v>
      </c>
    </row>
    <row r="1375" spans="1:3" ht="15" customHeight="1" x14ac:dyDescent="0.3">
      <c r="A1375" t="s">
        <v>233</v>
      </c>
      <c r="B1375" s="3">
        <v>45444</v>
      </c>
      <c r="C1375">
        <v>28357.200000000001</v>
      </c>
    </row>
    <row r="1376" spans="1:3" ht="15" customHeight="1" x14ac:dyDescent="0.3">
      <c r="A1376" t="s">
        <v>233</v>
      </c>
      <c r="B1376" s="3">
        <v>45474</v>
      </c>
      <c r="C1376">
        <v>31229.1</v>
      </c>
    </row>
    <row r="1377" spans="1:3" ht="15" customHeight="1" x14ac:dyDescent="0.3">
      <c r="A1377" t="s">
        <v>233</v>
      </c>
      <c r="B1377" s="3">
        <v>45505</v>
      </c>
      <c r="C1377">
        <v>36815.4</v>
      </c>
    </row>
    <row r="1378" spans="1:3" ht="15" customHeight="1" x14ac:dyDescent="0.3">
      <c r="A1378" t="s">
        <v>233</v>
      </c>
      <c r="B1378" s="3">
        <v>45536</v>
      </c>
      <c r="C1378">
        <v>40778.1</v>
      </c>
    </row>
    <row r="1379" spans="1:3" ht="15" customHeight="1" x14ac:dyDescent="0.3">
      <c r="A1379" t="s">
        <v>233</v>
      </c>
      <c r="B1379" s="3">
        <v>45566</v>
      </c>
      <c r="C1379">
        <v>46212.3</v>
      </c>
    </row>
    <row r="1380" spans="1:3" ht="15" customHeight="1" x14ac:dyDescent="0.3">
      <c r="A1380" t="s">
        <v>233</v>
      </c>
      <c r="B1380" s="3">
        <v>45597</v>
      </c>
      <c r="C1380">
        <v>46653.3</v>
      </c>
    </row>
    <row r="1381" spans="1:3" ht="15" customHeight="1" x14ac:dyDescent="0.3">
      <c r="A1381" t="s">
        <v>233</v>
      </c>
      <c r="B1381" s="3">
        <v>45627</v>
      </c>
      <c r="C1381">
        <v>47656.800000000003</v>
      </c>
    </row>
    <row r="1382" spans="1:3" ht="15" customHeight="1" x14ac:dyDescent="0.3">
      <c r="A1382" t="s">
        <v>233</v>
      </c>
      <c r="B1382" s="3">
        <v>45658</v>
      </c>
      <c r="C1382">
        <v>46872</v>
      </c>
    </row>
    <row r="1383" spans="1:3" ht="15" customHeight="1" x14ac:dyDescent="0.3">
      <c r="A1383" t="s">
        <v>233</v>
      </c>
      <c r="B1383" s="3">
        <v>45689</v>
      </c>
      <c r="C1383">
        <v>40989.599999999999</v>
      </c>
    </row>
    <row r="1384" spans="1:3" ht="15" customHeight="1" x14ac:dyDescent="0.3">
      <c r="A1384" t="s">
        <v>233</v>
      </c>
      <c r="B1384" s="3">
        <v>45717</v>
      </c>
      <c r="C1384">
        <v>39989.699999999997</v>
      </c>
    </row>
    <row r="1385" spans="1:3" ht="15" customHeight="1" x14ac:dyDescent="0.3">
      <c r="A1385" t="s">
        <v>233</v>
      </c>
      <c r="B1385" s="3">
        <v>45748</v>
      </c>
      <c r="C1385">
        <v>34783.199999999997</v>
      </c>
    </row>
    <row r="1386" spans="1:3" ht="15" customHeight="1" x14ac:dyDescent="0.3">
      <c r="A1386" t="s">
        <v>233</v>
      </c>
      <c r="B1386" s="3">
        <v>45778</v>
      </c>
      <c r="C1386">
        <v>32139</v>
      </c>
    </row>
    <row r="1387" spans="1:3" ht="15" customHeight="1" x14ac:dyDescent="0.3">
      <c r="A1387" t="s">
        <v>233</v>
      </c>
      <c r="B1387" s="3">
        <v>45809</v>
      </c>
      <c r="C1387">
        <v>28357.200000000001</v>
      </c>
    </row>
    <row r="1388" spans="1:3" ht="15" customHeight="1" x14ac:dyDescent="0.3">
      <c r="A1388" t="s">
        <v>233</v>
      </c>
      <c r="B1388" s="3">
        <v>45839</v>
      </c>
      <c r="C1388">
        <v>31229.1</v>
      </c>
    </row>
    <row r="1389" spans="1:3" ht="15" customHeight="1" x14ac:dyDescent="0.3">
      <c r="A1389" t="s">
        <v>233</v>
      </c>
      <c r="B1389" s="3">
        <v>45870</v>
      </c>
      <c r="C1389">
        <v>36815.4</v>
      </c>
    </row>
    <row r="1390" spans="1:3" ht="15" customHeight="1" x14ac:dyDescent="0.3">
      <c r="A1390" t="s">
        <v>233</v>
      </c>
      <c r="B1390" s="3">
        <v>45901</v>
      </c>
      <c r="C1390">
        <v>40778.1</v>
      </c>
    </row>
    <row r="1391" spans="1:3" ht="15" customHeight="1" x14ac:dyDescent="0.3">
      <c r="A1391" t="s">
        <v>233</v>
      </c>
      <c r="B1391" s="3">
        <v>45931</v>
      </c>
      <c r="C1391">
        <v>46212.3</v>
      </c>
    </row>
    <row r="1392" spans="1:3" ht="15" customHeight="1" x14ac:dyDescent="0.3">
      <c r="A1392" t="s">
        <v>233</v>
      </c>
      <c r="B1392" s="3">
        <v>45962</v>
      </c>
      <c r="C1392">
        <v>46653.3</v>
      </c>
    </row>
    <row r="1393" spans="1:3" ht="15" customHeight="1" x14ac:dyDescent="0.3">
      <c r="A1393" t="s">
        <v>233</v>
      </c>
      <c r="B1393" s="3">
        <v>45992</v>
      </c>
      <c r="C1393">
        <v>47656.800000000003</v>
      </c>
    </row>
    <row r="1394" spans="1:3" ht="15" customHeight="1" x14ac:dyDescent="0.3">
      <c r="A1394" t="s">
        <v>233</v>
      </c>
      <c r="B1394" s="3">
        <v>46023</v>
      </c>
      <c r="C1394">
        <v>46872</v>
      </c>
    </row>
    <row r="1395" spans="1:3" ht="15" customHeight="1" x14ac:dyDescent="0.3">
      <c r="A1395" t="s">
        <v>233</v>
      </c>
      <c r="B1395" s="3">
        <v>46054</v>
      </c>
      <c r="C1395">
        <v>40989.599999999999</v>
      </c>
    </row>
    <row r="1396" spans="1:3" ht="15" customHeight="1" x14ac:dyDescent="0.3">
      <c r="A1396" t="s">
        <v>233</v>
      </c>
      <c r="B1396" s="3">
        <v>46082</v>
      </c>
      <c r="C1396">
        <v>39989.699999999997</v>
      </c>
    </row>
    <row r="1397" spans="1:3" ht="15" customHeight="1" x14ac:dyDescent="0.3">
      <c r="A1397" t="s">
        <v>233</v>
      </c>
      <c r="B1397" s="3">
        <v>46113</v>
      </c>
      <c r="C1397">
        <v>34783.199999999997</v>
      </c>
    </row>
    <row r="1398" spans="1:3" ht="15" customHeight="1" x14ac:dyDescent="0.3">
      <c r="A1398" t="s">
        <v>233</v>
      </c>
      <c r="B1398" s="3">
        <v>46143</v>
      </c>
      <c r="C1398">
        <v>32139</v>
      </c>
    </row>
    <row r="1399" spans="1:3" ht="15" customHeight="1" x14ac:dyDescent="0.3">
      <c r="A1399" t="s">
        <v>233</v>
      </c>
      <c r="B1399" s="3">
        <v>46174</v>
      </c>
      <c r="C1399">
        <v>28357.200000000001</v>
      </c>
    </row>
    <row r="1400" spans="1:3" ht="15" customHeight="1" x14ac:dyDescent="0.3">
      <c r="A1400" t="s">
        <v>233</v>
      </c>
      <c r="B1400" s="3">
        <v>46204</v>
      </c>
      <c r="C1400">
        <v>31229.1</v>
      </c>
    </row>
    <row r="1401" spans="1:3" ht="15" customHeight="1" x14ac:dyDescent="0.3">
      <c r="A1401" t="s">
        <v>233</v>
      </c>
      <c r="B1401" s="3">
        <v>46235</v>
      </c>
      <c r="C1401">
        <v>36815.4</v>
      </c>
    </row>
    <row r="1402" spans="1:3" ht="15" customHeight="1" x14ac:dyDescent="0.3">
      <c r="A1402" t="s">
        <v>233</v>
      </c>
      <c r="B1402" s="3">
        <v>46266</v>
      </c>
      <c r="C1402">
        <v>40778.1</v>
      </c>
    </row>
    <row r="1403" spans="1:3" ht="15" customHeight="1" x14ac:dyDescent="0.3">
      <c r="A1403" t="s">
        <v>233</v>
      </c>
      <c r="B1403" s="3">
        <v>46296</v>
      </c>
      <c r="C1403">
        <v>46212.3</v>
      </c>
    </row>
    <row r="1404" spans="1:3" ht="15" customHeight="1" x14ac:dyDescent="0.3">
      <c r="A1404" t="s">
        <v>233</v>
      </c>
      <c r="B1404" s="3">
        <v>46327</v>
      </c>
      <c r="C1404">
        <v>46653.3</v>
      </c>
    </row>
    <row r="1405" spans="1:3" ht="15" customHeight="1" x14ac:dyDescent="0.3">
      <c r="A1405" t="s">
        <v>233</v>
      </c>
      <c r="B1405" s="3">
        <v>46357</v>
      </c>
      <c r="C1405">
        <v>47656.800000000003</v>
      </c>
    </row>
    <row r="1406" spans="1:3" ht="15" customHeight="1" x14ac:dyDescent="0.3">
      <c r="A1406" t="s">
        <v>235</v>
      </c>
      <c r="B1406" s="3">
        <v>45292</v>
      </c>
      <c r="C1406">
        <v>12369.6</v>
      </c>
    </row>
    <row r="1407" spans="1:3" ht="15" customHeight="1" x14ac:dyDescent="0.3">
      <c r="A1407" t="s">
        <v>235</v>
      </c>
      <c r="B1407" s="3">
        <v>45323</v>
      </c>
      <c r="C1407">
        <v>10801.8</v>
      </c>
    </row>
    <row r="1408" spans="1:3" ht="15" customHeight="1" x14ac:dyDescent="0.3">
      <c r="A1408" t="s">
        <v>235</v>
      </c>
      <c r="B1408" s="3">
        <v>45352</v>
      </c>
      <c r="C1408">
        <v>10537.2</v>
      </c>
    </row>
    <row r="1409" spans="1:3" ht="15" customHeight="1" x14ac:dyDescent="0.3">
      <c r="A1409" t="s">
        <v>235</v>
      </c>
      <c r="B1409" s="3">
        <v>45383</v>
      </c>
      <c r="C1409">
        <v>9173.7000000000007</v>
      </c>
    </row>
    <row r="1410" spans="1:3" ht="15" customHeight="1" x14ac:dyDescent="0.3">
      <c r="A1410" t="s">
        <v>235</v>
      </c>
      <c r="B1410" s="3">
        <v>45413</v>
      </c>
      <c r="C1410">
        <v>8503.2000000000007</v>
      </c>
    </row>
    <row r="1411" spans="1:3" ht="15" customHeight="1" x14ac:dyDescent="0.3">
      <c r="A1411" t="s">
        <v>235</v>
      </c>
      <c r="B1411" s="3">
        <v>45444</v>
      </c>
      <c r="C1411">
        <v>7545.6</v>
      </c>
    </row>
    <row r="1412" spans="1:3" ht="15" customHeight="1" x14ac:dyDescent="0.3">
      <c r="A1412" t="s">
        <v>235</v>
      </c>
      <c r="B1412" s="3">
        <v>45474</v>
      </c>
      <c r="C1412">
        <v>8307</v>
      </c>
    </row>
    <row r="1413" spans="1:3" ht="15" customHeight="1" x14ac:dyDescent="0.3">
      <c r="A1413" t="s">
        <v>235</v>
      </c>
      <c r="B1413" s="3">
        <v>45505</v>
      </c>
      <c r="C1413">
        <v>9720.9</v>
      </c>
    </row>
    <row r="1414" spans="1:3" ht="15" customHeight="1" x14ac:dyDescent="0.3">
      <c r="A1414" t="s">
        <v>235</v>
      </c>
      <c r="B1414" s="3">
        <v>45536</v>
      </c>
      <c r="C1414">
        <v>10755.9</v>
      </c>
    </row>
    <row r="1415" spans="1:3" ht="15" customHeight="1" x14ac:dyDescent="0.3">
      <c r="A1415" t="s">
        <v>235</v>
      </c>
      <c r="B1415" s="3">
        <v>45566</v>
      </c>
      <c r="C1415">
        <v>12190.5</v>
      </c>
    </row>
    <row r="1416" spans="1:3" ht="15" customHeight="1" x14ac:dyDescent="0.3">
      <c r="A1416" t="s">
        <v>235</v>
      </c>
      <c r="B1416" s="3">
        <v>45597</v>
      </c>
      <c r="C1416">
        <v>12263.4</v>
      </c>
    </row>
    <row r="1417" spans="1:3" ht="15" customHeight="1" x14ac:dyDescent="0.3">
      <c r="A1417" t="s">
        <v>235</v>
      </c>
      <c r="B1417" s="3">
        <v>45627</v>
      </c>
      <c r="C1417">
        <v>12539.7</v>
      </c>
    </row>
    <row r="1418" spans="1:3" ht="15" customHeight="1" x14ac:dyDescent="0.3">
      <c r="A1418" t="s">
        <v>235</v>
      </c>
      <c r="B1418" s="3">
        <v>45658</v>
      </c>
      <c r="C1418">
        <v>12369.6</v>
      </c>
    </row>
    <row r="1419" spans="1:3" ht="15" customHeight="1" x14ac:dyDescent="0.3">
      <c r="A1419" t="s">
        <v>235</v>
      </c>
      <c r="B1419" s="3">
        <v>45689</v>
      </c>
      <c r="C1419">
        <v>10801.8</v>
      </c>
    </row>
    <row r="1420" spans="1:3" ht="15" customHeight="1" x14ac:dyDescent="0.3">
      <c r="A1420" t="s">
        <v>235</v>
      </c>
      <c r="B1420" s="3">
        <v>45717</v>
      </c>
      <c r="C1420">
        <v>10537.2</v>
      </c>
    </row>
    <row r="1421" spans="1:3" ht="15" customHeight="1" x14ac:dyDescent="0.3">
      <c r="A1421" t="s">
        <v>235</v>
      </c>
      <c r="B1421" s="3">
        <v>45748</v>
      </c>
      <c r="C1421">
        <v>9173.7000000000007</v>
      </c>
    </row>
    <row r="1422" spans="1:3" ht="15" customHeight="1" x14ac:dyDescent="0.3">
      <c r="A1422" t="s">
        <v>235</v>
      </c>
      <c r="B1422" s="3">
        <v>45778</v>
      </c>
      <c r="C1422">
        <v>8503.2000000000007</v>
      </c>
    </row>
    <row r="1423" spans="1:3" ht="15" customHeight="1" x14ac:dyDescent="0.3">
      <c r="A1423" t="s">
        <v>235</v>
      </c>
      <c r="B1423" s="3">
        <v>45809</v>
      </c>
      <c r="C1423">
        <v>7545.6</v>
      </c>
    </row>
    <row r="1424" spans="1:3" ht="15" customHeight="1" x14ac:dyDescent="0.3">
      <c r="A1424" t="s">
        <v>235</v>
      </c>
      <c r="B1424" s="3">
        <v>45839</v>
      </c>
      <c r="C1424">
        <v>8307</v>
      </c>
    </row>
    <row r="1425" spans="1:3" ht="15" customHeight="1" x14ac:dyDescent="0.3">
      <c r="A1425" t="s">
        <v>235</v>
      </c>
      <c r="B1425" s="3">
        <v>45870</v>
      </c>
      <c r="C1425">
        <v>9720.9</v>
      </c>
    </row>
    <row r="1426" spans="1:3" ht="15" customHeight="1" x14ac:dyDescent="0.3">
      <c r="A1426" t="s">
        <v>235</v>
      </c>
      <c r="B1426" s="3">
        <v>45901</v>
      </c>
      <c r="C1426">
        <v>10755.9</v>
      </c>
    </row>
    <row r="1427" spans="1:3" ht="15" customHeight="1" x14ac:dyDescent="0.3">
      <c r="A1427" t="s">
        <v>235</v>
      </c>
      <c r="B1427" s="3">
        <v>45931</v>
      </c>
      <c r="C1427">
        <v>12190.5</v>
      </c>
    </row>
    <row r="1428" spans="1:3" ht="15" customHeight="1" x14ac:dyDescent="0.3">
      <c r="A1428" t="s">
        <v>235</v>
      </c>
      <c r="B1428" s="3">
        <v>45962</v>
      </c>
      <c r="C1428">
        <v>12263.4</v>
      </c>
    </row>
    <row r="1429" spans="1:3" ht="15" customHeight="1" x14ac:dyDescent="0.3">
      <c r="A1429" t="s">
        <v>235</v>
      </c>
      <c r="B1429" s="3">
        <v>45992</v>
      </c>
      <c r="C1429">
        <v>12539.7</v>
      </c>
    </row>
    <row r="1430" spans="1:3" ht="15" customHeight="1" x14ac:dyDescent="0.3">
      <c r="A1430" t="s">
        <v>235</v>
      </c>
      <c r="B1430" s="3">
        <v>46023</v>
      </c>
      <c r="C1430">
        <v>12369.6</v>
      </c>
    </row>
    <row r="1431" spans="1:3" ht="15" customHeight="1" x14ac:dyDescent="0.3">
      <c r="A1431" t="s">
        <v>235</v>
      </c>
      <c r="B1431" s="3">
        <v>46054</v>
      </c>
      <c r="C1431">
        <v>10801.8</v>
      </c>
    </row>
    <row r="1432" spans="1:3" ht="15" customHeight="1" x14ac:dyDescent="0.3">
      <c r="A1432" t="s">
        <v>235</v>
      </c>
      <c r="B1432" s="3">
        <v>46082</v>
      </c>
      <c r="C1432">
        <v>10537.2</v>
      </c>
    </row>
    <row r="1433" spans="1:3" ht="15" customHeight="1" x14ac:dyDescent="0.3">
      <c r="A1433" t="s">
        <v>235</v>
      </c>
      <c r="B1433" s="3">
        <v>46113</v>
      </c>
      <c r="C1433">
        <v>9173.7000000000007</v>
      </c>
    </row>
    <row r="1434" spans="1:3" ht="15" customHeight="1" x14ac:dyDescent="0.3">
      <c r="A1434" t="s">
        <v>235</v>
      </c>
      <c r="B1434" s="3">
        <v>46143</v>
      </c>
      <c r="C1434">
        <v>8503.2000000000007</v>
      </c>
    </row>
    <row r="1435" spans="1:3" ht="15" customHeight="1" x14ac:dyDescent="0.3">
      <c r="A1435" t="s">
        <v>235</v>
      </c>
      <c r="B1435" s="3">
        <v>46174</v>
      </c>
      <c r="C1435">
        <v>7545.6</v>
      </c>
    </row>
    <row r="1436" spans="1:3" ht="15" customHeight="1" x14ac:dyDescent="0.3">
      <c r="A1436" t="s">
        <v>235</v>
      </c>
      <c r="B1436" s="3">
        <v>46204</v>
      </c>
      <c r="C1436">
        <v>8307</v>
      </c>
    </row>
    <row r="1437" spans="1:3" ht="15" customHeight="1" x14ac:dyDescent="0.3">
      <c r="A1437" t="s">
        <v>235</v>
      </c>
      <c r="B1437" s="3">
        <v>46235</v>
      </c>
      <c r="C1437">
        <v>9720.9</v>
      </c>
    </row>
    <row r="1438" spans="1:3" ht="15" customHeight="1" x14ac:dyDescent="0.3">
      <c r="A1438" t="s">
        <v>235</v>
      </c>
      <c r="B1438" s="3">
        <v>46266</v>
      </c>
      <c r="C1438">
        <v>10755.9</v>
      </c>
    </row>
    <row r="1439" spans="1:3" ht="15" customHeight="1" x14ac:dyDescent="0.3">
      <c r="A1439" t="s">
        <v>235</v>
      </c>
      <c r="B1439" s="3">
        <v>46296</v>
      </c>
      <c r="C1439">
        <v>12190.5</v>
      </c>
    </row>
    <row r="1440" spans="1:3" ht="15" customHeight="1" x14ac:dyDescent="0.3">
      <c r="A1440" t="s">
        <v>235</v>
      </c>
      <c r="B1440" s="3">
        <v>46327</v>
      </c>
      <c r="C1440">
        <v>12263.4</v>
      </c>
    </row>
    <row r="1441" spans="1:3" ht="15" customHeight="1" x14ac:dyDescent="0.3">
      <c r="A1441" t="s">
        <v>235</v>
      </c>
      <c r="B1441" s="3">
        <v>46357</v>
      </c>
      <c r="C1441">
        <v>12539.7</v>
      </c>
    </row>
    <row r="1442" spans="1:3" ht="15" customHeight="1" x14ac:dyDescent="0.3">
      <c r="A1442" t="s">
        <v>151</v>
      </c>
      <c r="B1442" s="3">
        <v>45292</v>
      </c>
      <c r="C1442">
        <v>5685.3</v>
      </c>
    </row>
    <row r="1443" spans="1:3" ht="15" customHeight="1" x14ac:dyDescent="0.3">
      <c r="A1443" t="s">
        <v>151</v>
      </c>
      <c r="B1443" s="3">
        <v>45323</v>
      </c>
      <c r="C1443">
        <v>4780.8</v>
      </c>
    </row>
    <row r="1444" spans="1:3" ht="15" customHeight="1" x14ac:dyDescent="0.3">
      <c r="A1444" t="s">
        <v>151</v>
      </c>
      <c r="B1444" s="3">
        <v>45352</v>
      </c>
      <c r="C1444">
        <v>4935.6000000000004</v>
      </c>
    </row>
    <row r="1445" spans="1:3" ht="15" customHeight="1" x14ac:dyDescent="0.3">
      <c r="A1445" t="s">
        <v>151</v>
      </c>
      <c r="B1445" s="3">
        <v>45383</v>
      </c>
      <c r="C1445">
        <v>4359.6000000000004</v>
      </c>
    </row>
    <row r="1446" spans="1:3" ht="15" customHeight="1" x14ac:dyDescent="0.3">
      <c r="A1446" t="s">
        <v>151</v>
      </c>
      <c r="B1446" s="3">
        <v>45413</v>
      </c>
      <c r="C1446">
        <v>4194</v>
      </c>
    </row>
    <row r="1447" spans="1:3" ht="15" customHeight="1" x14ac:dyDescent="0.3">
      <c r="A1447" t="s">
        <v>151</v>
      </c>
      <c r="B1447" s="3">
        <v>45444</v>
      </c>
      <c r="C1447">
        <v>3818.7</v>
      </c>
    </row>
    <row r="1448" spans="1:3" ht="15" customHeight="1" x14ac:dyDescent="0.3">
      <c r="A1448" t="s">
        <v>151</v>
      </c>
      <c r="B1448" s="3">
        <v>45474</v>
      </c>
      <c r="C1448">
        <v>4217.3999999999996</v>
      </c>
    </row>
    <row r="1449" spans="1:3" ht="15" customHeight="1" x14ac:dyDescent="0.3">
      <c r="A1449" t="s">
        <v>151</v>
      </c>
      <c r="B1449" s="3">
        <v>45505</v>
      </c>
      <c r="C1449">
        <v>4844.7</v>
      </c>
    </row>
    <row r="1450" spans="1:3" ht="15" customHeight="1" x14ac:dyDescent="0.3">
      <c r="A1450" t="s">
        <v>151</v>
      </c>
      <c r="B1450" s="3">
        <v>45536</v>
      </c>
      <c r="C1450">
        <v>5300.1</v>
      </c>
    </row>
    <row r="1451" spans="1:3" ht="15" customHeight="1" x14ac:dyDescent="0.3">
      <c r="A1451" t="s">
        <v>151</v>
      </c>
      <c r="B1451" s="3">
        <v>45566</v>
      </c>
      <c r="C1451">
        <v>5667.3</v>
      </c>
    </row>
    <row r="1452" spans="1:3" ht="15" customHeight="1" x14ac:dyDescent="0.3">
      <c r="A1452" t="s">
        <v>151</v>
      </c>
      <c r="B1452" s="3">
        <v>45597</v>
      </c>
      <c r="C1452">
        <v>5624.1</v>
      </c>
    </row>
    <row r="1453" spans="1:3" ht="15" customHeight="1" x14ac:dyDescent="0.3">
      <c r="A1453" t="s">
        <v>151</v>
      </c>
      <c r="B1453" s="3">
        <v>45627</v>
      </c>
      <c r="C1453">
        <v>5995.8</v>
      </c>
    </row>
    <row r="1454" spans="1:3" ht="15" customHeight="1" x14ac:dyDescent="0.3">
      <c r="A1454" t="s">
        <v>151</v>
      </c>
      <c r="B1454" s="3">
        <v>45658</v>
      </c>
      <c r="C1454">
        <v>5685.3</v>
      </c>
    </row>
    <row r="1455" spans="1:3" ht="15" customHeight="1" x14ac:dyDescent="0.3">
      <c r="A1455" t="s">
        <v>151</v>
      </c>
      <c r="B1455" s="3">
        <v>45689</v>
      </c>
      <c r="C1455">
        <v>4780.8</v>
      </c>
    </row>
    <row r="1456" spans="1:3" ht="15" customHeight="1" x14ac:dyDescent="0.3">
      <c r="A1456" t="s">
        <v>151</v>
      </c>
      <c r="B1456" s="3">
        <v>45717</v>
      </c>
      <c r="C1456">
        <v>4935.6000000000004</v>
      </c>
    </row>
    <row r="1457" spans="1:3" ht="15" customHeight="1" x14ac:dyDescent="0.3">
      <c r="A1457" t="s">
        <v>151</v>
      </c>
      <c r="B1457" s="3">
        <v>45748</v>
      </c>
      <c r="C1457">
        <v>4359.6000000000004</v>
      </c>
    </row>
    <row r="1458" spans="1:3" ht="15" customHeight="1" x14ac:dyDescent="0.3">
      <c r="A1458" t="s">
        <v>151</v>
      </c>
      <c r="B1458" s="3">
        <v>45778</v>
      </c>
      <c r="C1458">
        <v>4194</v>
      </c>
    </row>
    <row r="1459" spans="1:3" ht="15" customHeight="1" x14ac:dyDescent="0.3">
      <c r="A1459" t="s">
        <v>151</v>
      </c>
      <c r="B1459" s="3">
        <v>45809</v>
      </c>
      <c r="C1459">
        <v>3818.7</v>
      </c>
    </row>
    <row r="1460" spans="1:3" ht="15" customHeight="1" x14ac:dyDescent="0.3">
      <c r="A1460" t="s">
        <v>151</v>
      </c>
      <c r="B1460" s="3">
        <v>45839</v>
      </c>
      <c r="C1460">
        <v>4217.3999999999996</v>
      </c>
    </row>
    <row r="1461" spans="1:3" ht="15" customHeight="1" x14ac:dyDescent="0.3">
      <c r="A1461" t="s">
        <v>151</v>
      </c>
      <c r="B1461" s="3">
        <v>45870</v>
      </c>
      <c r="C1461">
        <v>4844.7</v>
      </c>
    </row>
    <row r="1462" spans="1:3" ht="15" customHeight="1" x14ac:dyDescent="0.3">
      <c r="A1462" t="s">
        <v>151</v>
      </c>
      <c r="B1462" s="3">
        <v>45901</v>
      </c>
      <c r="C1462">
        <v>5300.1</v>
      </c>
    </row>
    <row r="1463" spans="1:3" ht="15" customHeight="1" x14ac:dyDescent="0.3">
      <c r="A1463" t="s">
        <v>151</v>
      </c>
      <c r="B1463" s="3">
        <v>45931</v>
      </c>
      <c r="C1463">
        <v>5667.3</v>
      </c>
    </row>
    <row r="1464" spans="1:3" ht="15" customHeight="1" x14ac:dyDescent="0.3">
      <c r="A1464" t="s">
        <v>151</v>
      </c>
      <c r="B1464" s="3">
        <v>45962</v>
      </c>
      <c r="C1464">
        <v>5624.1</v>
      </c>
    </row>
    <row r="1465" spans="1:3" ht="15" customHeight="1" x14ac:dyDescent="0.3">
      <c r="A1465" t="s">
        <v>151</v>
      </c>
      <c r="B1465" s="3">
        <v>45992</v>
      </c>
      <c r="C1465">
        <v>5995.8</v>
      </c>
    </row>
    <row r="1466" spans="1:3" ht="15" customHeight="1" x14ac:dyDescent="0.3">
      <c r="A1466" t="s">
        <v>151</v>
      </c>
      <c r="B1466" s="3">
        <v>46023</v>
      </c>
      <c r="C1466">
        <v>5685.3</v>
      </c>
    </row>
    <row r="1467" spans="1:3" ht="15" customHeight="1" x14ac:dyDescent="0.3">
      <c r="A1467" t="s">
        <v>151</v>
      </c>
      <c r="B1467" s="3">
        <v>46054</v>
      </c>
      <c r="C1467">
        <v>4780.8</v>
      </c>
    </row>
    <row r="1468" spans="1:3" ht="15" customHeight="1" x14ac:dyDescent="0.3">
      <c r="A1468" t="s">
        <v>151</v>
      </c>
      <c r="B1468" s="3">
        <v>46082</v>
      </c>
      <c r="C1468">
        <v>4935.6000000000004</v>
      </c>
    </row>
    <row r="1469" spans="1:3" ht="15" customHeight="1" x14ac:dyDescent="0.3">
      <c r="A1469" t="s">
        <v>151</v>
      </c>
      <c r="B1469" s="3">
        <v>46113</v>
      </c>
      <c r="C1469">
        <v>4359.6000000000004</v>
      </c>
    </row>
    <row r="1470" spans="1:3" ht="15" customHeight="1" x14ac:dyDescent="0.3">
      <c r="A1470" t="s">
        <v>151</v>
      </c>
      <c r="B1470" s="3">
        <v>46143</v>
      </c>
      <c r="C1470">
        <v>4194</v>
      </c>
    </row>
    <row r="1471" spans="1:3" ht="15" customHeight="1" x14ac:dyDescent="0.3">
      <c r="A1471" t="s">
        <v>151</v>
      </c>
      <c r="B1471" s="3">
        <v>46174</v>
      </c>
      <c r="C1471">
        <v>3818.7</v>
      </c>
    </row>
    <row r="1472" spans="1:3" ht="15" customHeight="1" x14ac:dyDescent="0.3">
      <c r="A1472" t="s">
        <v>151</v>
      </c>
      <c r="B1472" s="3">
        <v>46204</v>
      </c>
      <c r="C1472">
        <v>4217.3999999999996</v>
      </c>
    </row>
    <row r="1473" spans="1:3" ht="15" customHeight="1" x14ac:dyDescent="0.3">
      <c r="A1473" t="s">
        <v>151</v>
      </c>
      <c r="B1473" s="3">
        <v>46235</v>
      </c>
      <c r="C1473">
        <v>4844.7</v>
      </c>
    </row>
    <row r="1474" spans="1:3" ht="15" customHeight="1" x14ac:dyDescent="0.3">
      <c r="A1474" t="s">
        <v>151</v>
      </c>
      <c r="B1474" s="3">
        <v>46266</v>
      </c>
      <c r="C1474">
        <v>5300.1</v>
      </c>
    </row>
    <row r="1475" spans="1:3" ht="15" customHeight="1" x14ac:dyDescent="0.3">
      <c r="A1475" t="s">
        <v>151</v>
      </c>
      <c r="B1475" s="3">
        <v>46296</v>
      </c>
      <c r="C1475">
        <v>5667.3</v>
      </c>
    </row>
    <row r="1476" spans="1:3" ht="15" customHeight="1" x14ac:dyDescent="0.3">
      <c r="A1476" t="s">
        <v>151</v>
      </c>
      <c r="B1476" s="3">
        <v>46327</v>
      </c>
      <c r="C1476">
        <v>5624.1</v>
      </c>
    </row>
    <row r="1477" spans="1:3" ht="15" customHeight="1" x14ac:dyDescent="0.3">
      <c r="A1477" t="s">
        <v>151</v>
      </c>
      <c r="B1477" s="3">
        <v>46357</v>
      </c>
      <c r="C1477">
        <v>5995.8</v>
      </c>
    </row>
    <row r="1478" spans="1:3" ht="15" customHeight="1" x14ac:dyDescent="0.3">
      <c r="A1478" t="s">
        <v>155</v>
      </c>
      <c r="B1478" s="3">
        <v>45292</v>
      </c>
      <c r="C1478">
        <v>41208.480000000003</v>
      </c>
    </row>
    <row r="1479" spans="1:3" ht="15" customHeight="1" x14ac:dyDescent="0.3">
      <c r="A1479" t="s">
        <v>155</v>
      </c>
      <c r="B1479" s="3">
        <v>45323</v>
      </c>
      <c r="C1479">
        <v>35976.15</v>
      </c>
    </row>
    <row r="1480" spans="1:3" ht="15" customHeight="1" x14ac:dyDescent="0.3">
      <c r="A1480" t="s">
        <v>155</v>
      </c>
      <c r="B1480" s="3">
        <v>45352</v>
      </c>
      <c r="C1480">
        <v>36559.980000000003</v>
      </c>
    </row>
    <row r="1481" spans="1:3" ht="15" customHeight="1" x14ac:dyDescent="0.3">
      <c r="A1481" t="s">
        <v>155</v>
      </c>
      <c r="B1481" s="3">
        <v>45383</v>
      </c>
      <c r="C1481">
        <v>33604.11</v>
      </c>
    </row>
    <row r="1482" spans="1:3" ht="15" customHeight="1" x14ac:dyDescent="0.3">
      <c r="A1482" t="s">
        <v>155</v>
      </c>
      <c r="B1482" s="3">
        <v>45413</v>
      </c>
      <c r="C1482">
        <v>32958.629999999997</v>
      </c>
    </row>
    <row r="1483" spans="1:3" ht="15" customHeight="1" x14ac:dyDescent="0.3">
      <c r="A1483" t="s">
        <v>155</v>
      </c>
      <c r="B1483" s="3">
        <v>45444</v>
      </c>
      <c r="C1483">
        <v>30018.22119</v>
      </c>
    </row>
    <row r="1484" spans="1:3" ht="15" customHeight="1" x14ac:dyDescent="0.3">
      <c r="A1484" t="s">
        <v>155</v>
      </c>
      <c r="B1484" s="3">
        <v>45474</v>
      </c>
      <c r="C1484">
        <v>32459.809590000001</v>
      </c>
    </row>
    <row r="1485" spans="1:3" ht="15" customHeight="1" x14ac:dyDescent="0.3">
      <c r="A1485" t="s">
        <v>155</v>
      </c>
      <c r="B1485" s="3">
        <v>45505</v>
      </c>
      <c r="C1485">
        <v>36506.12571</v>
      </c>
    </row>
    <row r="1486" spans="1:3" ht="15" customHeight="1" x14ac:dyDescent="0.3">
      <c r="A1486" t="s">
        <v>155</v>
      </c>
      <c r="B1486" s="3">
        <v>45536</v>
      </c>
      <c r="C1486">
        <v>37370.869830000003</v>
      </c>
    </row>
    <row r="1487" spans="1:3" ht="15" customHeight="1" x14ac:dyDescent="0.3">
      <c r="A1487" t="s">
        <v>155</v>
      </c>
      <c r="B1487" s="3">
        <v>45566</v>
      </c>
      <c r="C1487">
        <v>40182.986250000002</v>
      </c>
    </row>
    <row r="1488" spans="1:3" ht="15" customHeight="1" x14ac:dyDescent="0.3">
      <c r="A1488" t="s">
        <v>155</v>
      </c>
      <c r="B1488" s="3">
        <v>45597</v>
      </c>
      <c r="C1488">
        <v>40330.536119999997</v>
      </c>
    </row>
    <row r="1489" spans="1:3" ht="15" customHeight="1" x14ac:dyDescent="0.3">
      <c r="A1489" t="s">
        <v>155</v>
      </c>
      <c r="B1489" s="3">
        <v>45627</v>
      </c>
      <c r="C1489">
        <v>42601.427819999997</v>
      </c>
    </row>
    <row r="1490" spans="1:3" ht="15" customHeight="1" x14ac:dyDescent="0.3">
      <c r="A1490" t="s">
        <v>155</v>
      </c>
      <c r="B1490" s="3">
        <v>45658</v>
      </c>
      <c r="C1490">
        <v>41208.480000000003</v>
      </c>
    </row>
    <row r="1491" spans="1:3" ht="15" customHeight="1" x14ac:dyDescent="0.3">
      <c r="A1491" t="s">
        <v>155</v>
      </c>
      <c r="B1491" s="3">
        <v>45689</v>
      </c>
      <c r="C1491">
        <v>35976.15</v>
      </c>
    </row>
    <row r="1492" spans="1:3" ht="15" customHeight="1" x14ac:dyDescent="0.3">
      <c r="A1492" t="s">
        <v>155</v>
      </c>
      <c r="B1492" s="3">
        <v>45717</v>
      </c>
      <c r="C1492">
        <v>36559.980000000003</v>
      </c>
    </row>
    <row r="1493" spans="1:3" ht="15" customHeight="1" x14ac:dyDescent="0.3">
      <c r="A1493" t="s">
        <v>155</v>
      </c>
      <c r="B1493" s="3">
        <v>45748</v>
      </c>
      <c r="C1493">
        <v>33604.11</v>
      </c>
    </row>
    <row r="1494" spans="1:3" ht="15" customHeight="1" x14ac:dyDescent="0.3">
      <c r="A1494" t="s">
        <v>155</v>
      </c>
      <c r="B1494" s="3">
        <v>45778</v>
      </c>
      <c r="C1494">
        <v>32958.629999999997</v>
      </c>
    </row>
    <row r="1495" spans="1:3" ht="15" customHeight="1" x14ac:dyDescent="0.3">
      <c r="A1495" t="s">
        <v>155</v>
      </c>
      <c r="B1495" s="3">
        <v>45809</v>
      </c>
      <c r="C1495">
        <v>30018.22119</v>
      </c>
    </row>
    <row r="1496" spans="1:3" ht="15" customHeight="1" x14ac:dyDescent="0.3">
      <c r="A1496" t="s">
        <v>155</v>
      </c>
      <c r="B1496" s="3">
        <v>45839</v>
      </c>
      <c r="C1496">
        <v>32459.809590000001</v>
      </c>
    </row>
    <row r="1497" spans="1:3" ht="15" customHeight="1" x14ac:dyDescent="0.3">
      <c r="A1497" t="s">
        <v>155</v>
      </c>
      <c r="B1497" s="3">
        <v>45870</v>
      </c>
      <c r="C1497">
        <v>36506.12571</v>
      </c>
    </row>
    <row r="1498" spans="1:3" ht="15" customHeight="1" x14ac:dyDescent="0.3">
      <c r="A1498" t="s">
        <v>155</v>
      </c>
      <c r="B1498" s="3">
        <v>45901</v>
      </c>
      <c r="C1498">
        <v>37370.869830000003</v>
      </c>
    </row>
    <row r="1499" spans="1:3" ht="15" customHeight="1" x14ac:dyDescent="0.3">
      <c r="A1499" t="s">
        <v>155</v>
      </c>
      <c r="B1499" s="3">
        <v>45931</v>
      </c>
      <c r="C1499">
        <v>40182.986250000002</v>
      </c>
    </row>
    <row r="1500" spans="1:3" ht="15" customHeight="1" x14ac:dyDescent="0.3">
      <c r="A1500" t="s">
        <v>155</v>
      </c>
      <c r="B1500" s="3">
        <v>45962</v>
      </c>
      <c r="C1500">
        <v>40330.536119999997</v>
      </c>
    </row>
    <row r="1501" spans="1:3" ht="15" customHeight="1" x14ac:dyDescent="0.3">
      <c r="A1501" t="s">
        <v>155</v>
      </c>
      <c r="B1501" s="3">
        <v>45992</v>
      </c>
      <c r="C1501">
        <v>42601.427819999997</v>
      </c>
    </row>
    <row r="1502" spans="1:3" ht="15" customHeight="1" x14ac:dyDescent="0.3">
      <c r="A1502" t="s">
        <v>155</v>
      </c>
      <c r="B1502" s="3">
        <v>46023</v>
      </c>
      <c r="C1502">
        <v>41208.480000000003</v>
      </c>
    </row>
    <row r="1503" spans="1:3" ht="15" customHeight="1" x14ac:dyDescent="0.3">
      <c r="A1503" t="s">
        <v>155</v>
      </c>
      <c r="B1503" s="3">
        <v>46054</v>
      </c>
      <c r="C1503">
        <v>35976.15</v>
      </c>
    </row>
    <row r="1504" spans="1:3" ht="15" customHeight="1" x14ac:dyDescent="0.3">
      <c r="A1504" t="s">
        <v>155</v>
      </c>
      <c r="B1504" s="3">
        <v>46082</v>
      </c>
      <c r="C1504">
        <v>36559.980000000003</v>
      </c>
    </row>
    <row r="1505" spans="1:3" ht="15" customHeight="1" x14ac:dyDescent="0.3">
      <c r="A1505" t="s">
        <v>155</v>
      </c>
      <c r="B1505" s="3">
        <v>46113</v>
      </c>
      <c r="C1505">
        <v>33604.11</v>
      </c>
    </row>
    <row r="1506" spans="1:3" ht="15" customHeight="1" x14ac:dyDescent="0.3">
      <c r="A1506" t="s">
        <v>155</v>
      </c>
      <c r="B1506" s="3">
        <v>46143</v>
      </c>
      <c r="C1506">
        <v>32958.629999999997</v>
      </c>
    </row>
    <row r="1507" spans="1:3" ht="15" customHeight="1" x14ac:dyDescent="0.3">
      <c r="A1507" t="s">
        <v>155</v>
      </c>
      <c r="B1507" s="3">
        <v>46174</v>
      </c>
      <c r="C1507">
        <v>30018.22119</v>
      </c>
    </row>
    <row r="1508" spans="1:3" ht="15" customHeight="1" x14ac:dyDescent="0.3">
      <c r="A1508" t="s">
        <v>155</v>
      </c>
      <c r="B1508" s="3">
        <v>46204</v>
      </c>
      <c r="C1508">
        <v>32459.809590000001</v>
      </c>
    </row>
    <row r="1509" spans="1:3" ht="15" customHeight="1" x14ac:dyDescent="0.3">
      <c r="A1509" t="s">
        <v>155</v>
      </c>
      <c r="B1509" s="3">
        <v>46235</v>
      </c>
      <c r="C1509">
        <v>36506.12571</v>
      </c>
    </row>
    <row r="1510" spans="1:3" ht="15" customHeight="1" x14ac:dyDescent="0.3">
      <c r="A1510" t="s">
        <v>155</v>
      </c>
      <c r="B1510" s="3">
        <v>46266</v>
      </c>
      <c r="C1510">
        <v>37370.869830000003</v>
      </c>
    </row>
    <row r="1511" spans="1:3" ht="15" customHeight="1" x14ac:dyDescent="0.3">
      <c r="A1511" t="s">
        <v>155</v>
      </c>
      <c r="B1511" s="3">
        <v>46296</v>
      </c>
      <c r="C1511">
        <v>40182.986250000002</v>
      </c>
    </row>
    <row r="1512" spans="1:3" ht="15" customHeight="1" x14ac:dyDescent="0.3">
      <c r="A1512" t="s">
        <v>155</v>
      </c>
      <c r="B1512" s="3">
        <v>46327</v>
      </c>
      <c r="C1512">
        <v>40330.536119999997</v>
      </c>
    </row>
    <row r="1513" spans="1:3" ht="15" customHeight="1" x14ac:dyDescent="0.3">
      <c r="A1513" t="s">
        <v>155</v>
      </c>
      <c r="B1513" s="3">
        <v>46357</v>
      </c>
      <c r="C1513">
        <v>42601.427819999997</v>
      </c>
    </row>
    <row r="1514" spans="1:3" ht="15" customHeight="1" x14ac:dyDescent="0.3">
      <c r="A1514" t="s">
        <v>163</v>
      </c>
      <c r="B1514" s="3">
        <v>45292</v>
      </c>
      <c r="C1514">
        <v>11540.96</v>
      </c>
    </row>
    <row r="1515" spans="1:3" ht="15" customHeight="1" x14ac:dyDescent="0.3">
      <c r="A1515" t="s">
        <v>163</v>
      </c>
      <c r="B1515" s="3">
        <v>45323</v>
      </c>
      <c r="C1515">
        <v>9862.32</v>
      </c>
    </row>
    <row r="1516" spans="1:3" ht="15" customHeight="1" x14ac:dyDescent="0.3">
      <c r="A1516" t="s">
        <v>163</v>
      </c>
      <c r="B1516" s="3">
        <v>45352</v>
      </c>
      <c r="C1516">
        <v>10345.44</v>
      </c>
    </row>
    <row r="1517" spans="1:3" ht="15" customHeight="1" x14ac:dyDescent="0.3">
      <c r="A1517" t="s">
        <v>163</v>
      </c>
      <c r="B1517" s="3">
        <v>45383</v>
      </c>
      <c r="C1517">
        <v>8819.52</v>
      </c>
    </row>
    <row r="1518" spans="1:3" ht="15" customHeight="1" x14ac:dyDescent="0.3">
      <c r="A1518" t="s">
        <v>163</v>
      </c>
      <c r="B1518" s="3">
        <v>45413</v>
      </c>
      <c r="C1518">
        <v>8538.08</v>
      </c>
    </row>
    <row r="1519" spans="1:3" ht="15" customHeight="1" x14ac:dyDescent="0.3">
      <c r="A1519" t="s">
        <v>163</v>
      </c>
      <c r="B1519" s="3">
        <v>45444</v>
      </c>
      <c r="C1519">
        <v>7700</v>
      </c>
    </row>
    <row r="1520" spans="1:3" ht="15" customHeight="1" x14ac:dyDescent="0.3">
      <c r="A1520" t="s">
        <v>163</v>
      </c>
      <c r="B1520" s="3">
        <v>45474</v>
      </c>
      <c r="C1520">
        <v>8487.2000000000007</v>
      </c>
    </row>
    <row r="1521" spans="1:3" ht="15" customHeight="1" x14ac:dyDescent="0.3">
      <c r="A1521" t="s">
        <v>163</v>
      </c>
      <c r="B1521" s="3">
        <v>45505</v>
      </c>
      <c r="C1521">
        <v>9810.48</v>
      </c>
    </row>
    <row r="1522" spans="1:3" ht="15" customHeight="1" x14ac:dyDescent="0.3">
      <c r="A1522" t="s">
        <v>163</v>
      </c>
      <c r="B1522" s="3">
        <v>45536</v>
      </c>
      <c r="C1522">
        <v>10706.48</v>
      </c>
    </row>
    <row r="1523" spans="1:3" ht="15" customHeight="1" x14ac:dyDescent="0.3">
      <c r="A1523" t="s">
        <v>163</v>
      </c>
      <c r="B1523" s="3">
        <v>45566</v>
      </c>
      <c r="C1523">
        <v>11410.4</v>
      </c>
    </row>
    <row r="1524" spans="1:3" ht="15" customHeight="1" x14ac:dyDescent="0.3">
      <c r="A1524" t="s">
        <v>163</v>
      </c>
      <c r="B1524" s="3">
        <v>45597</v>
      </c>
      <c r="C1524">
        <v>11340.4</v>
      </c>
    </row>
    <row r="1525" spans="1:3" ht="15" customHeight="1" x14ac:dyDescent="0.3">
      <c r="A1525" t="s">
        <v>163</v>
      </c>
      <c r="B1525" s="3">
        <v>45627</v>
      </c>
      <c r="C1525">
        <v>12102.56</v>
      </c>
    </row>
    <row r="1526" spans="1:3" ht="15" customHeight="1" x14ac:dyDescent="0.3">
      <c r="A1526" t="s">
        <v>163</v>
      </c>
      <c r="B1526" s="3">
        <v>45658</v>
      </c>
      <c r="C1526">
        <v>11540.96</v>
      </c>
    </row>
    <row r="1527" spans="1:3" ht="15" customHeight="1" x14ac:dyDescent="0.3">
      <c r="A1527" t="s">
        <v>163</v>
      </c>
      <c r="B1527" s="3">
        <v>45689</v>
      </c>
      <c r="C1527">
        <v>9862.32</v>
      </c>
    </row>
    <row r="1528" spans="1:3" ht="15" customHeight="1" x14ac:dyDescent="0.3">
      <c r="A1528" t="s">
        <v>163</v>
      </c>
      <c r="B1528" s="3">
        <v>45717</v>
      </c>
      <c r="C1528">
        <v>10345.44</v>
      </c>
    </row>
    <row r="1529" spans="1:3" ht="15" customHeight="1" x14ac:dyDescent="0.3">
      <c r="A1529" t="s">
        <v>163</v>
      </c>
      <c r="B1529" s="3">
        <v>45748</v>
      </c>
      <c r="C1529">
        <v>8819.52</v>
      </c>
    </row>
    <row r="1530" spans="1:3" ht="15" customHeight="1" x14ac:dyDescent="0.3">
      <c r="A1530" t="s">
        <v>163</v>
      </c>
      <c r="B1530" s="3">
        <v>45778</v>
      </c>
      <c r="C1530">
        <v>8538.08</v>
      </c>
    </row>
    <row r="1531" spans="1:3" ht="15" customHeight="1" x14ac:dyDescent="0.3">
      <c r="A1531" t="s">
        <v>163</v>
      </c>
      <c r="B1531" s="3">
        <v>45809</v>
      </c>
      <c r="C1531">
        <v>7700</v>
      </c>
    </row>
    <row r="1532" spans="1:3" ht="15" customHeight="1" x14ac:dyDescent="0.3">
      <c r="A1532" t="s">
        <v>163</v>
      </c>
      <c r="B1532" s="3">
        <v>45839</v>
      </c>
      <c r="C1532">
        <v>8487.2000000000007</v>
      </c>
    </row>
    <row r="1533" spans="1:3" ht="15" customHeight="1" x14ac:dyDescent="0.3">
      <c r="A1533" t="s">
        <v>163</v>
      </c>
      <c r="B1533" s="3">
        <v>45870</v>
      </c>
      <c r="C1533">
        <v>9810.48</v>
      </c>
    </row>
    <row r="1534" spans="1:3" ht="15" customHeight="1" x14ac:dyDescent="0.3">
      <c r="A1534" t="s">
        <v>163</v>
      </c>
      <c r="B1534" s="3">
        <v>45901</v>
      </c>
      <c r="C1534">
        <v>10706.48</v>
      </c>
    </row>
    <row r="1535" spans="1:3" ht="15" customHeight="1" x14ac:dyDescent="0.3">
      <c r="A1535" t="s">
        <v>163</v>
      </c>
      <c r="B1535" s="3">
        <v>45931</v>
      </c>
      <c r="C1535">
        <v>11410.4</v>
      </c>
    </row>
    <row r="1536" spans="1:3" ht="15" customHeight="1" x14ac:dyDescent="0.3">
      <c r="A1536" t="s">
        <v>163</v>
      </c>
      <c r="B1536" s="3">
        <v>45962</v>
      </c>
      <c r="C1536">
        <v>11340.4</v>
      </c>
    </row>
    <row r="1537" spans="1:3" ht="15" customHeight="1" x14ac:dyDescent="0.3">
      <c r="A1537" t="s">
        <v>163</v>
      </c>
      <c r="B1537" s="3">
        <v>45992</v>
      </c>
      <c r="C1537">
        <v>12102.56</v>
      </c>
    </row>
    <row r="1538" spans="1:3" ht="15" customHeight="1" x14ac:dyDescent="0.3">
      <c r="A1538" t="s">
        <v>163</v>
      </c>
      <c r="B1538" s="3">
        <v>46023</v>
      </c>
      <c r="C1538">
        <v>11540.96</v>
      </c>
    </row>
    <row r="1539" spans="1:3" ht="15" customHeight="1" x14ac:dyDescent="0.3">
      <c r="A1539" t="s">
        <v>163</v>
      </c>
      <c r="B1539" s="3">
        <v>46054</v>
      </c>
      <c r="C1539">
        <v>9862.32</v>
      </c>
    </row>
    <row r="1540" spans="1:3" ht="15" customHeight="1" x14ac:dyDescent="0.3">
      <c r="A1540" t="s">
        <v>163</v>
      </c>
      <c r="B1540" s="3">
        <v>46082</v>
      </c>
      <c r="C1540">
        <v>10345.44</v>
      </c>
    </row>
    <row r="1541" spans="1:3" ht="15" customHeight="1" x14ac:dyDescent="0.3">
      <c r="A1541" t="s">
        <v>163</v>
      </c>
      <c r="B1541" s="3">
        <v>46113</v>
      </c>
      <c r="C1541">
        <v>8819.52</v>
      </c>
    </row>
    <row r="1542" spans="1:3" ht="15" customHeight="1" x14ac:dyDescent="0.3">
      <c r="A1542" t="s">
        <v>163</v>
      </c>
      <c r="B1542" s="3">
        <v>46143</v>
      </c>
      <c r="C1542">
        <v>8538.08</v>
      </c>
    </row>
    <row r="1543" spans="1:3" ht="15" customHeight="1" x14ac:dyDescent="0.3">
      <c r="A1543" t="s">
        <v>163</v>
      </c>
      <c r="B1543" s="3">
        <v>46174</v>
      </c>
      <c r="C1543">
        <v>7700</v>
      </c>
    </row>
    <row r="1544" spans="1:3" ht="15" customHeight="1" x14ac:dyDescent="0.3">
      <c r="A1544" t="s">
        <v>163</v>
      </c>
      <c r="B1544" s="3">
        <v>46204</v>
      </c>
      <c r="C1544">
        <v>8487.2000000000007</v>
      </c>
    </row>
    <row r="1545" spans="1:3" ht="15" customHeight="1" x14ac:dyDescent="0.3">
      <c r="A1545" t="s">
        <v>163</v>
      </c>
      <c r="B1545" s="3">
        <v>46235</v>
      </c>
      <c r="C1545">
        <v>9810.48</v>
      </c>
    </row>
    <row r="1546" spans="1:3" ht="15" customHeight="1" x14ac:dyDescent="0.3">
      <c r="A1546" t="s">
        <v>163</v>
      </c>
      <c r="B1546" s="3">
        <v>46266</v>
      </c>
      <c r="C1546">
        <v>10706.48</v>
      </c>
    </row>
    <row r="1547" spans="1:3" ht="15" customHeight="1" x14ac:dyDescent="0.3">
      <c r="A1547" t="s">
        <v>163</v>
      </c>
      <c r="B1547" s="3">
        <v>46296</v>
      </c>
      <c r="C1547">
        <v>11410.4</v>
      </c>
    </row>
    <row r="1548" spans="1:3" ht="15" customHeight="1" x14ac:dyDescent="0.3">
      <c r="A1548" t="s">
        <v>163</v>
      </c>
      <c r="B1548" s="3">
        <v>46327</v>
      </c>
      <c r="C1548">
        <v>11340.4</v>
      </c>
    </row>
    <row r="1549" spans="1:3" ht="15" customHeight="1" x14ac:dyDescent="0.3">
      <c r="A1549" t="s">
        <v>163</v>
      </c>
      <c r="B1549" s="3">
        <v>46357</v>
      </c>
      <c r="C1549">
        <v>12102.56</v>
      </c>
    </row>
    <row r="1550" spans="1:3" ht="15" customHeight="1" x14ac:dyDescent="0.3">
      <c r="A1550" t="s">
        <v>159</v>
      </c>
      <c r="B1550" s="3">
        <v>45292</v>
      </c>
      <c r="C1550">
        <v>8591.0249999999996</v>
      </c>
    </row>
    <row r="1551" spans="1:3" ht="15" customHeight="1" x14ac:dyDescent="0.3">
      <c r="A1551" t="s">
        <v>159</v>
      </c>
      <c r="B1551" s="3">
        <v>45323</v>
      </c>
      <c r="C1551">
        <v>7466.4750000000004</v>
      </c>
    </row>
    <row r="1552" spans="1:3" ht="15" customHeight="1" x14ac:dyDescent="0.3">
      <c r="A1552" t="s">
        <v>159</v>
      </c>
      <c r="B1552" s="3">
        <v>45352</v>
      </c>
      <c r="C1552">
        <v>7931.85</v>
      </c>
    </row>
    <row r="1553" spans="1:3" ht="15" customHeight="1" x14ac:dyDescent="0.3">
      <c r="A1553" t="s">
        <v>159</v>
      </c>
      <c r="B1553" s="3">
        <v>45383</v>
      </c>
      <c r="C1553">
        <v>6987.15</v>
      </c>
    </row>
    <row r="1554" spans="1:3" ht="15" customHeight="1" x14ac:dyDescent="0.3">
      <c r="A1554" t="s">
        <v>159</v>
      </c>
      <c r="B1554" s="3">
        <v>45413</v>
      </c>
      <c r="C1554">
        <v>6858.5249999999996</v>
      </c>
    </row>
    <row r="1555" spans="1:3" ht="15" customHeight="1" x14ac:dyDescent="0.3">
      <c r="A1555" t="s">
        <v>159</v>
      </c>
      <c r="B1555" s="3">
        <v>45444</v>
      </c>
      <c r="C1555">
        <v>6375.45</v>
      </c>
    </row>
    <row r="1556" spans="1:3" ht="15" customHeight="1" x14ac:dyDescent="0.3">
      <c r="A1556" t="s">
        <v>159</v>
      </c>
      <c r="B1556" s="3">
        <v>45474</v>
      </c>
      <c r="C1556">
        <v>6946.7250000000004</v>
      </c>
    </row>
    <row r="1557" spans="1:3" ht="15" customHeight="1" x14ac:dyDescent="0.3">
      <c r="A1557" t="s">
        <v>159</v>
      </c>
      <c r="B1557" s="3">
        <v>45505</v>
      </c>
      <c r="C1557">
        <v>7852.65</v>
      </c>
    </row>
    <row r="1558" spans="1:3" ht="15" customHeight="1" x14ac:dyDescent="0.3">
      <c r="A1558" t="s">
        <v>159</v>
      </c>
      <c r="B1558" s="3">
        <v>45536</v>
      </c>
      <c r="C1558">
        <v>8347.0499999999993</v>
      </c>
    </row>
    <row r="1559" spans="1:3" ht="15" customHeight="1" x14ac:dyDescent="0.3">
      <c r="A1559" t="s">
        <v>159</v>
      </c>
      <c r="B1559" s="3">
        <v>45566</v>
      </c>
      <c r="C1559">
        <v>8786.625</v>
      </c>
    </row>
    <row r="1560" spans="1:3" ht="15" customHeight="1" x14ac:dyDescent="0.3">
      <c r="A1560" t="s">
        <v>159</v>
      </c>
      <c r="B1560" s="3">
        <v>45597</v>
      </c>
      <c r="C1560">
        <v>8551.7999999999993</v>
      </c>
    </row>
    <row r="1561" spans="1:3" ht="15" customHeight="1" x14ac:dyDescent="0.3">
      <c r="A1561" t="s">
        <v>159</v>
      </c>
      <c r="B1561" s="3">
        <v>45627</v>
      </c>
      <c r="C1561">
        <v>9109.0499999999993</v>
      </c>
    </row>
    <row r="1562" spans="1:3" ht="15" customHeight="1" x14ac:dyDescent="0.3">
      <c r="A1562" t="s">
        <v>159</v>
      </c>
      <c r="B1562" s="3">
        <v>45658</v>
      </c>
      <c r="C1562">
        <v>8591.0249999999996</v>
      </c>
    </row>
    <row r="1563" spans="1:3" ht="15" customHeight="1" x14ac:dyDescent="0.3">
      <c r="A1563" t="s">
        <v>159</v>
      </c>
      <c r="B1563" s="3">
        <v>45689</v>
      </c>
      <c r="C1563">
        <v>7466.4750000000004</v>
      </c>
    </row>
    <row r="1564" spans="1:3" ht="15" customHeight="1" x14ac:dyDescent="0.3">
      <c r="A1564" t="s">
        <v>159</v>
      </c>
      <c r="B1564" s="3">
        <v>45717</v>
      </c>
      <c r="C1564">
        <v>7931.85</v>
      </c>
    </row>
    <row r="1565" spans="1:3" ht="15" customHeight="1" x14ac:dyDescent="0.3">
      <c r="A1565" t="s">
        <v>159</v>
      </c>
      <c r="B1565" s="3">
        <v>45748</v>
      </c>
      <c r="C1565">
        <v>6987.15</v>
      </c>
    </row>
    <row r="1566" spans="1:3" ht="15" customHeight="1" x14ac:dyDescent="0.3">
      <c r="A1566" t="s">
        <v>159</v>
      </c>
      <c r="B1566" s="3">
        <v>45778</v>
      </c>
      <c r="C1566">
        <v>6858.5249999999996</v>
      </c>
    </row>
    <row r="1567" spans="1:3" ht="15" customHeight="1" x14ac:dyDescent="0.3">
      <c r="A1567" t="s">
        <v>159</v>
      </c>
      <c r="B1567" s="3">
        <v>45809</v>
      </c>
      <c r="C1567">
        <v>6375.45</v>
      </c>
    </row>
    <row r="1568" spans="1:3" ht="15" customHeight="1" x14ac:dyDescent="0.3">
      <c r="A1568" t="s">
        <v>159</v>
      </c>
      <c r="B1568" s="3">
        <v>45839</v>
      </c>
      <c r="C1568">
        <v>6946.7250000000004</v>
      </c>
    </row>
    <row r="1569" spans="1:3" ht="15" customHeight="1" x14ac:dyDescent="0.3">
      <c r="A1569" t="s">
        <v>159</v>
      </c>
      <c r="B1569" s="3">
        <v>45870</v>
      </c>
      <c r="C1569">
        <v>7852.65</v>
      </c>
    </row>
    <row r="1570" spans="1:3" ht="15" customHeight="1" x14ac:dyDescent="0.3">
      <c r="A1570" t="s">
        <v>159</v>
      </c>
      <c r="B1570" s="3">
        <v>45901</v>
      </c>
      <c r="C1570">
        <v>8347.0499999999993</v>
      </c>
    </row>
    <row r="1571" spans="1:3" ht="15" customHeight="1" x14ac:dyDescent="0.3">
      <c r="A1571" t="s">
        <v>159</v>
      </c>
      <c r="B1571" s="3">
        <v>45931</v>
      </c>
      <c r="C1571">
        <v>8786.625</v>
      </c>
    </row>
    <row r="1572" spans="1:3" ht="15" customHeight="1" x14ac:dyDescent="0.3">
      <c r="A1572" t="s">
        <v>159</v>
      </c>
      <c r="B1572" s="3">
        <v>45962</v>
      </c>
      <c r="C1572">
        <v>8551.7999999999993</v>
      </c>
    </row>
    <row r="1573" spans="1:3" ht="15" customHeight="1" x14ac:dyDescent="0.3">
      <c r="A1573" t="s">
        <v>159</v>
      </c>
      <c r="B1573" s="3">
        <v>45992</v>
      </c>
      <c r="C1573">
        <v>9109.0499999999993</v>
      </c>
    </row>
    <row r="1574" spans="1:3" ht="15" customHeight="1" x14ac:dyDescent="0.3">
      <c r="A1574" t="s">
        <v>159</v>
      </c>
      <c r="B1574" s="3">
        <v>46023</v>
      </c>
      <c r="C1574">
        <v>8591.0249999999996</v>
      </c>
    </row>
    <row r="1575" spans="1:3" ht="15" customHeight="1" x14ac:dyDescent="0.3">
      <c r="A1575" t="s">
        <v>159</v>
      </c>
      <c r="B1575" s="3">
        <v>46054</v>
      </c>
      <c r="C1575">
        <v>7466.4750000000004</v>
      </c>
    </row>
    <row r="1576" spans="1:3" ht="15" customHeight="1" x14ac:dyDescent="0.3">
      <c r="A1576" t="s">
        <v>159</v>
      </c>
      <c r="B1576" s="3">
        <v>46082</v>
      </c>
      <c r="C1576">
        <v>7931.85</v>
      </c>
    </row>
    <row r="1577" spans="1:3" ht="15" customHeight="1" x14ac:dyDescent="0.3">
      <c r="A1577" t="s">
        <v>159</v>
      </c>
      <c r="B1577" s="3">
        <v>46113</v>
      </c>
      <c r="C1577">
        <v>6987.15</v>
      </c>
    </row>
    <row r="1578" spans="1:3" ht="15" customHeight="1" x14ac:dyDescent="0.3">
      <c r="A1578" t="s">
        <v>159</v>
      </c>
      <c r="B1578" s="3">
        <v>46143</v>
      </c>
      <c r="C1578">
        <v>6858.5249999999996</v>
      </c>
    </row>
    <row r="1579" spans="1:3" ht="15" customHeight="1" x14ac:dyDescent="0.3">
      <c r="A1579" t="s">
        <v>159</v>
      </c>
      <c r="B1579" s="3">
        <v>46174</v>
      </c>
      <c r="C1579">
        <v>6375.45</v>
      </c>
    </row>
    <row r="1580" spans="1:3" ht="15" customHeight="1" x14ac:dyDescent="0.3">
      <c r="A1580" t="s">
        <v>159</v>
      </c>
      <c r="B1580" s="3">
        <v>46204</v>
      </c>
      <c r="C1580">
        <v>6946.7250000000004</v>
      </c>
    </row>
    <row r="1581" spans="1:3" ht="15" customHeight="1" x14ac:dyDescent="0.3">
      <c r="A1581" t="s">
        <v>159</v>
      </c>
      <c r="B1581" s="3">
        <v>46235</v>
      </c>
      <c r="C1581">
        <v>7852.65</v>
      </c>
    </row>
    <row r="1582" spans="1:3" ht="15" customHeight="1" x14ac:dyDescent="0.3">
      <c r="A1582" t="s">
        <v>159</v>
      </c>
      <c r="B1582" s="3">
        <v>46266</v>
      </c>
      <c r="C1582">
        <v>8347.0499999999993</v>
      </c>
    </row>
    <row r="1583" spans="1:3" ht="15" customHeight="1" x14ac:dyDescent="0.3">
      <c r="A1583" t="s">
        <v>159</v>
      </c>
      <c r="B1583" s="3">
        <v>46296</v>
      </c>
      <c r="C1583">
        <v>8786.625</v>
      </c>
    </row>
    <row r="1584" spans="1:3" ht="15" customHeight="1" x14ac:dyDescent="0.3">
      <c r="A1584" t="s">
        <v>159</v>
      </c>
      <c r="B1584" s="3">
        <v>46327</v>
      </c>
      <c r="C1584">
        <v>8551.7999999999993</v>
      </c>
    </row>
    <row r="1585" spans="1:3" ht="15" customHeight="1" x14ac:dyDescent="0.3">
      <c r="A1585" t="s">
        <v>159</v>
      </c>
      <c r="B1585" s="3">
        <v>46357</v>
      </c>
      <c r="C1585">
        <v>9109.0499999999993</v>
      </c>
    </row>
    <row r="1586" spans="1:3" ht="15" customHeight="1" x14ac:dyDescent="0.3">
      <c r="A1586" t="s">
        <v>166</v>
      </c>
      <c r="B1586" s="3">
        <v>45292</v>
      </c>
      <c r="C1586">
        <v>4894.29</v>
      </c>
    </row>
    <row r="1587" spans="1:3" ht="15" customHeight="1" x14ac:dyDescent="0.3">
      <c r="A1587" t="s">
        <v>166</v>
      </c>
      <c r="B1587" s="3">
        <v>45323</v>
      </c>
      <c r="C1587">
        <v>4527.45</v>
      </c>
    </row>
    <row r="1588" spans="1:3" ht="15" customHeight="1" x14ac:dyDescent="0.3">
      <c r="A1588" t="s">
        <v>166</v>
      </c>
      <c r="B1588" s="3">
        <v>45352</v>
      </c>
      <c r="C1588">
        <v>4754.25</v>
      </c>
    </row>
    <row r="1589" spans="1:3" ht="15" customHeight="1" x14ac:dyDescent="0.3">
      <c r="A1589" t="s">
        <v>166</v>
      </c>
      <c r="B1589" s="3">
        <v>45383</v>
      </c>
      <c r="C1589">
        <v>4171.59</v>
      </c>
    </row>
    <row r="1590" spans="1:3" ht="15" customHeight="1" x14ac:dyDescent="0.3">
      <c r="A1590" t="s">
        <v>166</v>
      </c>
      <c r="B1590" s="3">
        <v>45413</v>
      </c>
      <c r="C1590">
        <v>4117.5</v>
      </c>
    </row>
    <row r="1591" spans="1:3" ht="15" customHeight="1" x14ac:dyDescent="0.3">
      <c r="A1591" t="s">
        <v>166</v>
      </c>
      <c r="B1591" s="3">
        <v>45444</v>
      </c>
      <c r="C1591">
        <v>3729.06</v>
      </c>
    </row>
    <row r="1592" spans="1:3" ht="15" customHeight="1" x14ac:dyDescent="0.3">
      <c r="A1592" t="s">
        <v>166</v>
      </c>
      <c r="B1592" s="3">
        <v>45474</v>
      </c>
      <c r="C1592">
        <v>4105.53</v>
      </c>
    </row>
    <row r="1593" spans="1:3" ht="15" customHeight="1" x14ac:dyDescent="0.3">
      <c r="A1593" t="s">
        <v>166</v>
      </c>
      <c r="B1593" s="3">
        <v>45505</v>
      </c>
      <c r="C1593">
        <v>4624.83</v>
      </c>
    </row>
    <row r="1594" spans="1:3" ht="15" customHeight="1" x14ac:dyDescent="0.3">
      <c r="A1594" t="s">
        <v>166</v>
      </c>
      <c r="B1594" s="3">
        <v>45536</v>
      </c>
      <c r="C1594">
        <v>4797</v>
      </c>
    </row>
    <row r="1595" spans="1:3" ht="15" customHeight="1" x14ac:dyDescent="0.3">
      <c r="A1595" t="s">
        <v>166</v>
      </c>
      <c r="B1595" s="3">
        <v>45566</v>
      </c>
      <c r="C1595">
        <v>5068.9799999999996</v>
      </c>
    </row>
    <row r="1596" spans="1:3" ht="15" customHeight="1" x14ac:dyDescent="0.3">
      <c r="A1596" t="s">
        <v>166</v>
      </c>
      <c r="B1596" s="3">
        <v>45597</v>
      </c>
      <c r="C1596">
        <v>4862.88</v>
      </c>
    </row>
    <row r="1597" spans="1:3" ht="15" customHeight="1" x14ac:dyDescent="0.3">
      <c r="A1597" t="s">
        <v>166</v>
      </c>
      <c r="B1597" s="3">
        <v>45627</v>
      </c>
      <c r="C1597">
        <v>5082.3900000000003</v>
      </c>
    </row>
    <row r="1598" spans="1:3" ht="15" customHeight="1" x14ac:dyDescent="0.3">
      <c r="A1598" t="s">
        <v>166</v>
      </c>
      <c r="B1598" s="3">
        <v>45658</v>
      </c>
      <c r="C1598">
        <v>4894.29</v>
      </c>
    </row>
    <row r="1599" spans="1:3" ht="15" customHeight="1" x14ac:dyDescent="0.3">
      <c r="A1599" t="s">
        <v>166</v>
      </c>
      <c r="B1599" s="3">
        <v>45689</v>
      </c>
      <c r="C1599">
        <v>4527.45</v>
      </c>
    </row>
    <row r="1600" spans="1:3" ht="15" customHeight="1" x14ac:dyDescent="0.3">
      <c r="A1600" t="s">
        <v>166</v>
      </c>
      <c r="B1600" s="3">
        <v>45717</v>
      </c>
      <c r="C1600">
        <v>4754.25</v>
      </c>
    </row>
    <row r="1601" spans="1:3" ht="15" customHeight="1" x14ac:dyDescent="0.3">
      <c r="A1601" t="s">
        <v>166</v>
      </c>
      <c r="B1601" s="3">
        <v>45748</v>
      </c>
      <c r="C1601">
        <v>4171.59</v>
      </c>
    </row>
    <row r="1602" spans="1:3" ht="15" customHeight="1" x14ac:dyDescent="0.3">
      <c r="A1602" t="s">
        <v>166</v>
      </c>
      <c r="B1602" s="3">
        <v>45778</v>
      </c>
      <c r="C1602">
        <v>4117.5</v>
      </c>
    </row>
    <row r="1603" spans="1:3" ht="15" customHeight="1" x14ac:dyDescent="0.3">
      <c r="A1603" t="s">
        <v>166</v>
      </c>
      <c r="B1603" s="3">
        <v>45809</v>
      </c>
      <c r="C1603">
        <v>3729.06</v>
      </c>
    </row>
    <row r="1604" spans="1:3" ht="15" customHeight="1" x14ac:dyDescent="0.3">
      <c r="A1604" t="s">
        <v>166</v>
      </c>
      <c r="B1604" s="3">
        <v>45839</v>
      </c>
      <c r="C1604">
        <v>4105.53</v>
      </c>
    </row>
    <row r="1605" spans="1:3" ht="15" customHeight="1" x14ac:dyDescent="0.3">
      <c r="A1605" t="s">
        <v>166</v>
      </c>
      <c r="B1605" s="3">
        <v>45870</v>
      </c>
      <c r="C1605">
        <v>4624.83</v>
      </c>
    </row>
    <row r="1606" spans="1:3" ht="15" customHeight="1" x14ac:dyDescent="0.3">
      <c r="A1606" t="s">
        <v>166</v>
      </c>
      <c r="B1606" s="3">
        <v>45901</v>
      </c>
      <c r="C1606">
        <v>4797</v>
      </c>
    </row>
    <row r="1607" spans="1:3" ht="15" customHeight="1" x14ac:dyDescent="0.3">
      <c r="A1607" t="s">
        <v>166</v>
      </c>
      <c r="B1607" s="3">
        <v>45931</v>
      </c>
      <c r="C1607">
        <v>5068.9799999999996</v>
      </c>
    </row>
    <row r="1608" spans="1:3" ht="15" customHeight="1" x14ac:dyDescent="0.3">
      <c r="A1608" t="s">
        <v>166</v>
      </c>
      <c r="B1608" s="3">
        <v>45962</v>
      </c>
      <c r="C1608">
        <v>4862.88</v>
      </c>
    </row>
    <row r="1609" spans="1:3" ht="15" customHeight="1" x14ac:dyDescent="0.3">
      <c r="A1609" t="s">
        <v>166</v>
      </c>
      <c r="B1609" s="3">
        <v>45992</v>
      </c>
      <c r="C1609">
        <v>5082.3900000000003</v>
      </c>
    </row>
    <row r="1610" spans="1:3" ht="15" customHeight="1" x14ac:dyDescent="0.3">
      <c r="A1610" t="s">
        <v>166</v>
      </c>
      <c r="B1610" s="3">
        <v>46023</v>
      </c>
      <c r="C1610">
        <v>4894.29</v>
      </c>
    </row>
    <row r="1611" spans="1:3" ht="15" customHeight="1" x14ac:dyDescent="0.3">
      <c r="A1611" t="s">
        <v>166</v>
      </c>
      <c r="B1611" s="3">
        <v>46054</v>
      </c>
      <c r="C1611">
        <v>4527.45</v>
      </c>
    </row>
    <row r="1612" spans="1:3" ht="15" customHeight="1" x14ac:dyDescent="0.3">
      <c r="A1612" t="s">
        <v>166</v>
      </c>
      <c r="B1612" s="3">
        <v>46082</v>
      </c>
      <c r="C1612">
        <v>4754.25</v>
      </c>
    </row>
    <row r="1613" spans="1:3" ht="15" customHeight="1" x14ac:dyDescent="0.3">
      <c r="A1613" t="s">
        <v>166</v>
      </c>
      <c r="B1613" s="3">
        <v>46113</v>
      </c>
      <c r="C1613">
        <v>4171.59</v>
      </c>
    </row>
    <row r="1614" spans="1:3" ht="15" customHeight="1" x14ac:dyDescent="0.3">
      <c r="A1614" t="s">
        <v>166</v>
      </c>
      <c r="B1614" s="3">
        <v>46143</v>
      </c>
      <c r="C1614">
        <v>4117.5</v>
      </c>
    </row>
    <row r="1615" spans="1:3" ht="15" customHeight="1" x14ac:dyDescent="0.3">
      <c r="A1615" t="s">
        <v>166</v>
      </c>
      <c r="B1615" s="3">
        <v>46174</v>
      </c>
      <c r="C1615">
        <v>3729.06</v>
      </c>
    </row>
    <row r="1616" spans="1:3" ht="15" customHeight="1" x14ac:dyDescent="0.3">
      <c r="A1616" t="s">
        <v>166</v>
      </c>
      <c r="B1616" s="3">
        <v>46204</v>
      </c>
      <c r="C1616">
        <v>4105.53</v>
      </c>
    </row>
    <row r="1617" spans="1:3" ht="15" customHeight="1" x14ac:dyDescent="0.3">
      <c r="A1617" t="s">
        <v>166</v>
      </c>
      <c r="B1617" s="3">
        <v>46235</v>
      </c>
      <c r="C1617">
        <v>4624.83</v>
      </c>
    </row>
    <row r="1618" spans="1:3" ht="15" customHeight="1" x14ac:dyDescent="0.3">
      <c r="A1618" t="s">
        <v>166</v>
      </c>
      <c r="B1618" s="3">
        <v>46266</v>
      </c>
      <c r="C1618">
        <v>4797</v>
      </c>
    </row>
    <row r="1619" spans="1:3" ht="15" customHeight="1" x14ac:dyDescent="0.3">
      <c r="A1619" t="s">
        <v>166</v>
      </c>
      <c r="B1619" s="3">
        <v>46296</v>
      </c>
      <c r="C1619">
        <v>5068.9799999999996</v>
      </c>
    </row>
    <row r="1620" spans="1:3" ht="15" customHeight="1" x14ac:dyDescent="0.3">
      <c r="A1620" t="s">
        <v>166</v>
      </c>
      <c r="B1620" s="3">
        <v>46327</v>
      </c>
      <c r="C1620">
        <v>4862.88</v>
      </c>
    </row>
    <row r="1621" spans="1:3" ht="15" customHeight="1" x14ac:dyDescent="0.3">
      <c r="A1621" t="s">
        <v>166</v>
      </c>
      <c r="B1621" s="3">
        <v>46357</v>
      </c>
      <c r="C1621">
        <v>5082.3900000000003</v>
      </c>
    </row>
    <row r="1622" spans="1:3" ht="15" customHeight="1" x14ac:dyDescent="0.3">
      <c r="A1622" t="s">
        <v>168</v>
      </c>
      <c r="B1622" s="3">
        <v>45292</v>
      </c>
      <c r="C1622">
        <v>5902.47</v>
      </c>
    </row>
    <row r="1623" spans="1:3" ht="15" customHeight="1" x14ac:dyDescent="0.3">
      <c r="A1623" t="s">
        <v>168</v>
      </c>
      <c r="B1623" s="3">
        <v>45323</v>
      </c>
      <c r="C1623">
        <v>5299.2</v>
      </c>
    </row>
    <row r="1624" spans="1:3" ht="15" customHeight="1" x14ac:dyDescent="0.3">
      <c r="A1624" t="s">
        <v>168</v>
      </c>
      <c r="B1624" s="3">
        <v>45352</v>
      </c>
      <c r="C1624">
        <v>5701.86</v>
      </c>
    </row>
    <row r="1625" spans="1:3" ht="15" customHeight="1" x14ac:dyDescent="0.3">
      <c r="A1625" t="s">
        <v>168</v>
      </c>
      <c r="B1625" s="3">
        <v>45383</v>
      </c>
      <c r="C1625">
        <v>5085.8999999999996</v>
      </c>
    </row>
    <row r="1626" spans="1:3" ht="15" customHeight="1" x14ac:dyDescent="0.3">
      <c r="A1626" t="s">
        <v>168</v>
      </c>
      <c r="B1626" s="3">
        <v>45413</v>
      </c>
      <c r="C1626">
        <v>5204.6099999999997</v>
      </c>
    </row>
    <row r="1627" spans="1:3" ht="15" customHeight="1" x14ac:dyDescent="0.3">
      <c r="A1627" t="s">
        <v>168</v>
      </c>
      <c r="B1627" s="3">
        <v>45444</v>
      </c>
      <c r="C1627">
        <v>4824.3599999999997</v>
      </c>
    </row>
    <row r="1628" spans="1:3" ht="15" customHeight="1" x14ac:dyDescent="0.3">
      <c r="A1628" t="s">
        <v>168</v>
      </c>
      <c r="B1628" s="3">
        <v>45474</v>
      </c>
      <c r="C1628">
        <v>5303.16</v>
      </c>
    </row>
    <row r="1629" spans="1:3" ht="15" customHeight="1" x14ac:dyDescent="0.3">
      <c r="A1629" t="s">
        <v>168</v>
      </c>
      <c r="B1629" s="3">
        <v>45505</v>
      </c>
      <c r="C1629">
        <v>5833.08</v>
      </c>
    </row>
    <row r="1630" spans="1:3" ht="15" customHeight="1" x14ac:dyDescent="0.3">
      <c r="A1630" t="s">
        <v>168</v>
      </c>
      <c r="B1630" s="3">
        <v>45536</v>
      </c>
      <c r="C1630">
        <v>6021.81</v>
      </c>
    </row>
    <row r="1631" spans="1:3" ht="15" customHeight="1" x14ac:dyDescent="0.3">
      <c r="A1631" t="s">
        <v>168</v>
      </c>
      <c r="B1631" s="3">
        <v>45566</v>
      </c>
      <c r="C1631">
        <v>6128.91</v>
      </c>
    </row>
    <row r="1632" spans="1:3" ht="15" customHeight="1" x14ac:dyDescent="0.3">
      <c r="A1632" t="s">
        <v>168</v>
      </c>
      <c r="B1632" s="3">
        <v>45597</v>
      </c>
      <c r="C1632">
        <v>5928.57</v>
      </c>
    </row>
    <row r="1633" spans="1:3" ht="15" customHeight="1" x14ac:dyDescent="0.3">
      <c r="A1633" t="s">
        <v>168</v>
      </c>
      <c r="B1633" s="3">
        <v>45627</v>
      </c>
      <c r="C1633">
        <v>6186.69</v>
      </c>
    </row>
    <row r="1634" spans="1:3" ht="15" customHeight="1" x14ac:dyDescent="0.3">
      <c r="A1634" t="s">
        <v>168</v>
      </c>
      <c r="B1634" s="3">
        <v>45658</v>
      </c>
      <c r="C1634">
        <v>5902.47</v>
      </c>
    </row>
    <row r="1635" spans="1:3" ht="15" customHeight="1" x14ac:dyDescent="0.3">
      <c r="A1635" t="s">
        <v>168</v>
      </c>
      <c r="B1635" s="3">
        <v>45689</v>
      </c>
      <c r="C1635">
        <v>5299.2</v>
      </c>
    </row>
    <row r="1636" spans="1:3" ht="15" customHeight="1" x14ac:dyDescent="0.3">
      <c r="A1636" t="s">
        <v>168</v>
      </c>
      <c r="B1636" s="3">
        <v>45717</v>
      </c>
      <c r="C1636">
        <v>5701.86</v>
      </c>
    </row>
    <row r="1637" spans="1:3" ht="15" customHeight="1" x14ac:dyDescent="0.3">
      <c r="A1637" t="s">
        <v>168</v>
      </c>
      <c r="B1637" s="3">
        <v>45748</v>
      </c>
      <c r="C1637">
        <v>5085.8999999999996</v>
      </c>
    </row>
    <row r="1638" spans="1:3" ht="15" customHeight="1" x14ac:dyDescent="0.3">
      <c r="A1638" t="s">
        <v>168</v>
      </c>
      <c r="B1638" s="3">
        <v>45778</v>
      </c>
      <c r="C1638">
        <v>5204.6099999999997</v>
      </c>
    </row>
    <row r="1639" spans="1:3" ht="15" customHeight="1" x14ac:dyDescent="0.3">
      <c r="A1639" t="s">
        <v>168</v>
      </c>
      <c r="B1639" s="3">
        <v>45809</v>
      </c>
      <c r="C1639">
        <v>4824.3599999999997</v>
      </c>
    </row>
    <row r="1640" spans="1:3" ht="15" customHeight="1" x14ac:dyDescent="0.3">
      <c r="A1640" t="s">
        <v>168</v>
      </c>
      <c r="B1640" s="3">
        <v>45839</v>
      </c>
      <c r="C1640">
        <v>5303.16</v>
      </c>
    </row>
    <row r="1641" spans="1:3" ht="15" customHeight="1" x14ac:dyDescent="0.3">
      <c r="A1641" t="s">
        <v>168</v>
      </c>
      <c r="B1641" s="3">
        <v>45870</v>
      </c>
      <c r="C1641">
        <v>5833.08</v>
      </c>
    </row>
    <row r="1642" spans="1:3" ht="15" customHeight="1" x14ac:dyDescent="0.3">
      <c r="A1642" t="s">
        <v>168</v>
      </c>
      <c r="B1642" s="3">
        <v>45901</v>
      </c>
      <c r="C1642">
        <v>6021.81</v>
      </c>
    </row>
    <row r="1643" spans="1:3" ht="15" customHeight="1" x14ac:dyDescent="0.3">
      <c r="A1643" t="s">
        <v>168</v>
      </c>
      <c r="B1643" s="3">
        <v>45931</v>
      </c>
      <c r="C1643">
        <v>6128.91</v>
      </c>
    </row>
    <row r="1644" spans="1:3" ht="15" customHeight="1" x14ac:dyDescent="0.3">
      <c r="A1644" t="s">
        <v>168</v>
      </c>
      <c r="B1644" s="3">
        <v>45962</v>
      </c>
      <c r="C1644">
        <v>5928.57</v>
      </c>
    </row>
    <row r="1645" spans="1:3" ht="15" customHeight="1" x14ac:dyDescent="0.3">
      <c r="A1645" t="s">
        <v>168</v>
      </c>
      <c r="B1645" s="3">
        <v>45992</v>
      </c>
      <c r="C1645">
        <v>6186.69</v>
      </c>
    </row>
    <row r="1646" spans="1:3" ht="15" customHeight="1" x14ac:dyDescent="0.3">
      <c r="A1646" t="s">
        <v>168</v>
      </c>
      <c r="B1646" s="3">
        <v>46023</v>
      </c>
      <c r="C1646">
        <v>5902.47</v>
      </c>
    </row>
    <row r="1647" spans="1:3" ht="15" customHeight="1" x14ac:dyDescent="0.3">
      <c r="A1647" t="s">
        <v>168</v>
      </c>
      <c r="B1647" s="3">
        <v>46054</v>
      </c>
      <c r="C1647">
        <v>5299.2</v>
      </c>
    </row>
    <row r="1648" spans="1:3" ht="15" customHeight="1" x14ac:dyDescent="0.3">
      <c r="A1648" t="s">
        <v>168</v>
      </c>
      <c r="B1648" s="3">
        <v>46082</v>
      </c>
      <c r="C1648">
        <v>5701.86</v>
      </c>
    </row>
    <row r="1649" spans="1:3" ht="15" customHeight="1" x14ac:dyDescent="0.3">
      <c r="A1649" t="s">
        <v>168</v>
      </c>
      <c r="B1649" s="3">
        <v>46113</v>
      </c>
      <c r="C1649">
        <v>5085.8999999999996</v>
      </c>
    </row>
    <row r="1650" spans="1:3" ht="15" customHeight="1" x14ac:dyDescent="0.3">
      <c r="A1650" t="s">
        <v>168</v>
      </c>
      <c r="B1650" s="3">
        <v>46143</v>
      </c>
      <c r="C1650">
        <v>5204.6099999999997</v>
      </c>
    </row>
    <row r="1651" spans="1:3" ht="15" customHeight="1" x14ac:dyDescent="0.3">
      <c r="A1651" t="s">
        <v>168</v>
      </c>
      <c r="B1651" s="3">
        <v>46174</v>
      </c>
      <c r="C1651">
        <v>4824.3599999999997</v>
      </c>
    </row>
    <row r="1652" spans="1:3" ht="15" customHeight="1" x14ac:dyDescent="0.3">
      <c r="A1652" t="s">
        <v>168</v>
      </c>
      <c r="B1652" s="3">
        <v>46204</v>
      </c>
      <c r="C1652">
        <v>5303.16</v>
      </c>
    </row>
    <row r="1653" spans="1:3" ht="15" customHeight="1" x14ac:dyDescent="0.3">
      <c r="A1653" t="s">
        <v>168</v>
      </c>
      <c r="B1653" s="3">
        <v>46235</v>
      </c>
      <c r="C1653">
        <v>5833.08</v>
      </c>
    </row>
    <row r="1654" spans="1:3" ht="15" customHeight="1" x14ac:dyDescent="0.3">
      <c r="A1654" t="s">
        <v>168</v>
      </c>
      <c r="B1654" s="3">
        <v>46266</v>
      </c>
      <c r="C1654">
        <v>6021.81</v>
      </c>
    </row>
    <row r="1655" spans="1:3" ht="15" customHeight="1" x14ac:dyDescent="0.3">
      <c r="A1655" t="s">
        <v>168</v>
      </c>
      <c r="B1655" s="3">
        <v>46296</v>
      </c>
      <c r="C1655">
        <v>6128.91</v>
      </c>
    </row>
    <row r="1656" spans="1:3" ht="15" customHeight="1" x14ac:dyDescent="0.3">
      <c r="A1656" t="s">
        <v>168</v>
      </c>
      <c r="B1656" s="3">
        <v>46327</v>
      </c>
      <c r="C1656">
        <v>5928.57</v>
      </c>
    </row>
    <row r="1657" spans="1:3" ht="15" customHeight="1" x14ac:dyDescent="0.3">
      <c r="A1657" t="s">
        <v>168</v>
      </c>
      <c r="B1657" s="3">
        <v>46357</v>
      </c>
      <c r="C1657">
        <v>6186.69</v>
      </c>
    </row>
    <row r="1658" spans="1:3" ht="15" customHeight="1" x14ac:dyDescent="0.3">
      <c r="A1658" t="s">
        <v>171</v>
      </c>
      <c r="B1658" s="3">
        <v>45292</v>
      </c>
      <c r="C1658">
        <v>17099.45</v>
      </c>
    </row>
    <row r="1659" spans="1:3" ht="15" customHeight="1" x14ac:dyDescent="0.3">
      <c r="A1659" t="s">
        <v>171</v>
      </c>
      <c r="B1659" s="3">
        <v>45323</v>
      </c>
      <c r="C1659">
        <v>15031.4</v>
      </c>
    </row>
    <row r="1660" spans="1:3" ht="15" customHeight="1" x14ac:dyDescent="0.3">
      <c r="A1660" t="s">
        <v>171</v>
      </c>
      <c r="B1660" s="3">
        <v>45352</v>
      </c>
      <c r="C1660">
        <v>16289.4</v>
      </c>
    </row>
    <row r="1661" spans="1:3" ht="15" customHeight="1" x14ac:dyDescent="0.3">
      <c r="A1661" t="s">
        <v>171</v>
      </c>
      <c r="B1661" s="3">
        <v>45383</v>
      </c>
      <c r="C1661">
        <v>14250.25</v>
      </c>
    </row>
    <row r="1662" spans="1:3" ht="15" customHeight="1" x14ac:dyDescent="0.3">
      <c r="A1662" t="s">
        <v>171</v>
      </c>
      <c r="B1662" s="3">
        <v>45413</v>
      </c>
      <c r="C1662">
        <v>14783.2</v>
      </c>
    </row>
    <row r="1663" spans="1:3" ht="15" customHeight="1" x14ac:dyDescent="0.3">
      <c r="A1663" t="s">
        <v>171</v>
      </c>
      <c r="B1663" s="3">
        <v>45444</v>
      </c>
      <c r="C1663">
        <v>13871.15</v>
      </c>
    </row>
    <row r="1664" spans="1:3" ht="15" customHeight="1" x14ac:dyDescent="0.3">
      <c r="A1664" t="s">
        <v>171</v>
      </c>
      <c r="B1664" s="3">
        <v>45474</v>
      </c>
      <c r="C1664">
        <v>15110.45</v>
      </c>
    </row>
    <row r="1665" spans="1:3" ht="15" customHeight="1" x14ac:dyDescent="0.3">
      <c r="A1665" t="s">
        <v>171</v>
      </c>
      <c r="B1665" s="3">
        <v>45505</v>
      </c>
      <c r="C1665">
        <v>16763.7</v>
      </c>
    </row>
    <row r="1666" spans="1:3" ht="15" customHeight="1" x14ac:dyDescent="0.3">
      <c r="A1666" t="s">
        <v>171</v>
      </c>
      <c r="B1666" s="3">
        <v>45536</v>
      </c>
      <c r="C1666">
        <v>16935.400000000001</v>
      </c>
    </row>
    <row r="1667" spans="1:3" ht="15" customHeight="1" x14ac:dyDescent="0.3">
      <c r="A1667" t="s">
        <v>171</v>
      </c>
      <c r="B1667" s="3">
        <v>45566</v>
      </c>
      <c r="C1667">
        <v>17583.95</v>
      </c>
    </row>
    <row r="1668" spans="1:3" ht="15" customHeight="1" x14ac:dyDescent="0.3">
      <c r="A1668" t="s">
        <v>171</v>
      </c>
      <c r="B1668" s="3">
        <v>45597</v>
      </c>
      <c r="C1668">
        <v>16597.099999999999</v>
      </c>
    </row>
    <row r="1669" spans="1:3" ht="15" customHeight="1" x14ac:dyDescent="0.3">
      <c r="A1669" t="s">
        <v>171</v>
      </c>
      <c r="B1669" s="3">
        <v>45627</v>
      </c>
      <c r="C1669">
        <v>17731</v>
      </c>
    </row>
    <row r="1670" spans="1:3" ht="15" customHeight="1" x14ac:dyDescent="0.3">
      <c r="A1670" t="s">
        <v>171</v>
      </c>
      <c r="B1670" s="3">
        <v>45658</v>
      </c>
      <c r="C1670">
        <v>17099.45</v>
      </c>
    </row>
    <row r="1671" spans="1:3" ht="15" customHeight="1" x14ac:dyDescent="0.3">
      <c r="A1671" t="s">
        <v>171</v>
      </c>
      <c r="B1671" s="3">
        <v>45689</v>
      </c>
      <c r="C1671">
        <v>15031.4</v>
      </c>
    </row>
    <row r="1672" spans="1:3" ht="15" customHeight="1" x14ac:dyDescent="0.3">
      <c r="A1672" t="s">
        <v>171</v>
      </c>
      <c r="B1672" s="3">
        <v>45717</v>
      </c>
      <c r="C1672">
        <v>16289.4</v>
      </c>
    </row>
    <row r="1673" spans="1:3" ht="15" customHeight="1" x14ac:dyDescent="0.3">
      <c r="A1673" t="s">
        <v>171</v>
      </c>
      <c r="B1673" s="3">
        <v>45748</v>
      </c>
      <c r="C1673">
        <v>14250.25</v>
      </c>
    </row>
    <row r="1674" spans="1:3" ht="15" customHeight="1" x14ac:dyDescent="0.3">
      <c r="A1674" t="s">
        <v>171</v>
      </c>
      <c r="B1674" s="3">
        <v>45778</v>
      </c>
      <c r="C1674">
        <v>14783.2</v>
      </c>
    </row>
    <row r="1675" spans="1:3" ht="15" customHeight="1" x14ac:dyDescent="0.3">
      <c r="A1675" t="s">
        <v>171</v>
      </c>
      <c r="B1675" s="3">
        <v>45809</v>
      </c>
      <c r="C1675">
        <v>13871.15</v>
      </c>
    </row>
    <row r="1676" spans="1:3" ht="15" customHeight="1" x14ac:dyDescent="0.3">
      <c r="A1676" t="s">
        <v>171</v>
      </c>
      <c r="B1676" s="3">
        <v>45839</v>
      </c>
      <c r="C1676">
        <v>15110.45</v>
      </c>
    </row>
    <row r="1677" spans="1:3" ht="15" customHeight="1" x14ac:dyDescent="0.3">
      <c r="A1677" t="s">
        <v>171</v>
      </c>
      <c r="B1677" s="3">
        <v>45870</v>
      </c>
      <c r="C1677">
        <v>16763.7</v>
      </c>
    </row>
    <row r="1678" spans="1:3" ht="15" customHeight="1" x14ac:dyDescent="0.3">
      <c r="A1678" t="s">
        <v>171</v>
      </c>
      <c r="B1678" s="3">
        <v>45901</v>
      </c>
      <c r="C1678">
        <v>16935.400000000001</v>
      </c>
    </row>
    <row r="1679" spans="1:3" ht="15" customHeight="1" x14ac:dyDescent="0.3">
      <c r="A1679" t="s">
        <v>171</v>
      </c>
      <c r="B1679" s="3">
        <v>45931</v>
      </c>
      <c r="C1679">
        <v>17583.95</v>
      </c>
    </row>
    <row r="1680" spans="1:3" ht="15" customHeight="1" x14ac:dyDescent="0.3">
      <c r="A1680" t="s">
        <v>171</v>
      </c>
      <c r="B1680" s="3">
        <v>45962</v>
      </c>
      <c r="C1680">
        <v>16597.099999999999</v>
      </c>
    </row>
    <row r="1681" spans="1:3" ht="15" customHeight="1" x14ac:dyDescent="0.3">
      <c r="A1681" t="s">
        <v>171</v>
      </c>
      <c r="B1681" s="3">
        <v>45992</v>
      </c>
      <c r="C1681">
        <v>17731</v>
      </c>
    </row>
    <row r="1682" spans="1:3" ht="15" customHeight="1" x14ac:dyDescent="0.3">
      <c r="A1682" t="s">
        <v>171</v>
      </c>
      <c r="B1682" s="3">
        <v>46023</v>
      </c>
      <c r="C1682">
        <v>17099.45</v>
      </c>
    </row>
    <row r="1683" spans="1:3" ht="15" customHeight="1" x14ac:dyDescent="0.3">
      <c r="A1683" t="s">
        <v>171</v>
      </c>
      <c r="B1683" s="3">
        <v>46054</v>
      </c>
      <c r="C1683">
        <v>15031.4</v>
      </c>
    </row>
    <row r="1684" spans="1:3" ht="15" customHeight="1" x14ac:dyDescent="0.3">
      <c r="A1684" t="s">
        <v>171</v>
      </c>
      <c r="B1684" s="3">
        <v>46082</v>
      </c>
      <c r="C1684">
        <v>16289.4</v>
      </c>
    </row>
    <row r="1685" spans="1:3" ht="15" customHeight="1" x14ac:dyDescent="0.3">
      <c r="A1685" t="s">
        <v>171</v>
      </c>
      <c r="B1685" s="3">
        <v>46113</v>
      </c>
      <c r="C1685">
        <v>14250.25</v>
      </c>
    </row>
    <row r="1686" spans="1:3" ht="15" customHeight="1" x14ac:dyDescent="0.3">
      <c r="A1686" t="s">
        <v>171</v>
      </c>
      <c r="B1686" s="3">
        <v>46143</v>
      </c>
      <c r="C1686">
        <v>14783.2</v>
      </c>
    </row>
    <row r="1687" spans="1:3" ht="15" customHeight="1" x14ac:dyDescent="0.3">
      <c r="A1687" t="s">
        <v>171</v>
      </c>
      <c r="B1687" s="3">
        <v>46174</v>
      </c>
      <c r="C1687">
        <v>13871.15</v>
      </c>
    </row>
    <row r="1688" spans="1:3" ht="15" customHeight="1" x14ac:dyDescent="0.3">
      <c r="A1688" t="s">
        <v>171</v>
      </c>
      <c r="B1688" s="3">
        <v>46204</v>
      </c>
      <c r="C1688">
        <v>15110.45</v>
      </c>
    </row>
    <row r="1689" spans="1:3" ht="15" customHeight="1" x14ac:dyDescent="0.3">
      <c r="A1689" t="s">
        <v>171</v>
      </c>
      <c r="B1689" s="3">
        <v>46235</v>
      </c>
      <c r="C1689">
        <v>16763.7</v>
      </c>
    </row>
    <row r="1690" spans="1:3" ht="15" customHeight="1" x14ac:dyDescent="0.3">
      <c r="A1690" t="s">
        <v>171</v>
      </c>
      <c r="B1690" s="3">
        <v>46266</v>
      </c>
      <c r="C1690">
        <v>16935.400000000001</v>
      </c>
    </row>
    <row r="1691" spans="1:3" ht="15" customHeight="1" x14ac:dyDescent="0.3">
      <c r="A1691" t="s">
        <v>171</v>
      </c>
      <c r="B1691" s="3">
        <v>46296</v>
      </c>
      <c r="C1691">
        <v>17583.95</v>
      </c>
    </row>
    <row r="1692" spans="1:3" ht="15" customHeight="1" x14ac:dyDescent="0.3">
      <c r="A1692" t="s">
        <v>171</v>
      </c>
      <c r="B1692" s="3">
        <v>46327</v>
      </c>
      <c r="C1692">
        <v>16597.099999999999</v>
      </c>
    </row>
    <row r="1693" spans="1:3" ht="15" customHeight="1" x14ac:dyDescent="0.3">
      <c r="A1693" t="s">
        <v>171</v>
      </c>
      <c r="B1693" s="3">
        <v>46357</v>
      </c>
      <c r="C1693">
        <v>17731</v>
      </c>
    </row>
    <row r="1694" spans="1:3" ht="15" customHeight="1" x14ac:dyDescent="0.3">
      <c r="A1694" t="s">
        <v>257</v>
      </c>
      <c r="B1694" s="3">
        <v>45292</v>
      </c>
      <c r="C1694">
        <v>20178</v>
      </c>
    </row>
    <row r="1695" spans="1:3" ht="15" customHeight="1" x14ac:dyDescent="0.3">
      <c r="A1695" t="s">
        <v>257</v>
      </c>
      <c r="B1695" s="3">
        <v>45323</v>
      </c>
      <c r="C1695">
        <v>17954</v>
      </c>
    </row>
    <row r="1696" spans="1:3" ht="15" customHeight="1" x14ac:dyDescent="0.3">
      <c r="A1696" t="s">
        <v>257</v>
      </c>
      <c r="B1696" s="3">
        <v>45352</v>
      </c>
      <c r="C1696">
        <v>19150</v>
      </c>
    </row>
    <row r="1697" spans="1:3" ht="15" customHeight="1" x14ac:dyDescent="0.3">
      <c r="A1697" t="s">
        <v>257</v>
      </c>
      <c r="B1697" s="3">
        <v>45383</v>
      </c>
      <c r="C1697">
        <v>18060</v>
      </c>
    </row>
    <row r="1698" spans="1:3" ht="15" customHeight="1" x14ac:dyDescent="0.3">
      <c r="A1698" t="s">
        <v>257</v>
      </c>
      <c r="B1698" s="3">
        <v>45413</v>
      </c>
      <c r="C1698">
        <v>18124</v>
      </c>
    </row>
    <row r="1699" spans="1:3" ht="15" customHeight="1" x14ac:dyDescent="0.3">
      <c r="A1699" t="s">
        <v>257</v>
      </c>
      <c r="B1699" s="3">
        <v>45444</v>
      </c>
      <c r="C1699">
        <v>15908</v>
      </c>
    </row>
    <row r="1700" spans="1:3" ht="15" customHeight="1" x14ac:dyDescent="0.3">
      <c r="A1700" t="s">
        <v>257</v>
      </c>
      <c r="B1700" s="3">
        <v>45474</v>
      </c>
      <c r="C1700">
        <v>16827</v>
      </c>
    </row>
    <row r="1701" spans="1:3" ht="15" customHeight="1" x14ac:dyDescent="0.3">
      <c r="A1701" t="s">
        <v>257</v>
      </c>
      <c r="B1701" s="3">
        <v>45505</v>
      </c>
      <c r="C1701">
        <v>19405</v>
      </c>
    </row>
    <row r="1702" spans="1:3" ht="15" customHeight="1" x14ac:dyDescent="0.3">
      <c r="A1702" t="s">
        <v>257</v>
      </c>
      <c r="B1702" s="3">
        <v>45536</v>
      </c>
      <c r="C1702">
        <v>19981</v>
      </c>
    </row>
    <row r="1703" spans="1:3" ht="15" customHeight="1" x14ac:dyDescent="0.3">
      <c r="A1703" t="s">
        <v>257</v>
      </c>
      <c r="B1703" s="3">
        <v>45566</v>
      </c>
      <c r="C1703">
        <v>22401</v>
      </c>
    </row>
    <row r="1704" spans="1:3" ht="15" customHeight="1" x14ac:dyDescent="0.3">
      <c r="A1704" t="s">
        <v>257</v>
      </c>
      <c r="B1704" s="3">
        <v>45597</v>
      </c>
      <c r="C1704">
        <v>20125</v>
      </c>
    </row>
    <row r="1705" spans="1:3" ht="15" customHeight="1" x14ac:dyDescent="0.3">
      <c r="A1705" t="s">
        <v>257</v>
      </c>
      <c r="B1705" s="3">
        <v>45627</v>
      </c>
      <c r="C1705">
        <v>20771</v>
      </c>
    </row>
    <row r="1706" spans="1:3" ht="15" customHeight="1" x14ac:dyDescent="0.3">
      <c r="A1706" t="s">
        <v>257</v>
      </c>
      <c r="B1706" s="3">
        <v>45658</v>
      </c>
      <c r="C1706">
        <v>20178</v>
      </c>
    </row>
    <row r="1707" spans="1:3" ht="15" customHeight="1" x14ac:dyDescent="0.3">
      <c r="A1707" t="s">
        <v>257</v>
      </c>
      <c r="B1707" s="3">
        <v>45689</v>
      </c>
      <c r="C1707">
        <v>17954</v>
      </c>
    </row>
    <row r="1708" spans="1:3" ht="15" customHeight="1" x14ac:dyDescent="0.3">
      <c r="A1708" t="s">
        <v>257</v>
      </c>
      <c r="B1708" s="3">
        <v>45717</v>
      </c>
      <c r="C1708">
        <v>19150</v>
      </c>
    </row>
    <row r="1709" spans="1:3" ht="15" customHeight="1" x14ac:dyDescent="0.3">
      <c r="A1709" t="s">
        <v>257</v>
      </c>
      <c r="B1709" s="3">
        <v>45748</v>
      </c>
      <c r="C1709">
        <v>18060</v>
      </c>
    </row>
    <row r="1710" spans="1:3" ht="15" customHeight="1" x14ac:dyDescent="0.3">
      <c r="A1710" t="s">
        <v>257</v>
      </c>
      <c r="B1710" s="3">
        <v>45778</v>
      </c>
      <c r="C1710">
        <v>18124</v>
      </c>
    </row>
    <row r="1711" spans="1:3" ht="15" customHeight="1" x14ac:dyDescent="0.3">
      <c r="A1711" t="s">
        <v>257</v>
      </c>
      <c r="B1711" s="3">
        <v>45809</v>
      </c>
      <c r="C1711">
        <v>15908</v>
      </c>
    </row>
    <row r="1712" spans="1:3" ht="15" customHeight="1" x14ac:dyDescent="0.3">
      <c r="A1712" t="s">
        <v>257</v>
      </c>
      <c r="B1712" s="3">
        <v>45839</v>
      </c>
      <c r="C1712">
        <v>16827</v>
      </c>
    </row>
    <row r="1713" spans="1:3" ht="15" customHeight="1" x14ac:dyDescent="0.3">
      <c r="A1713" t="s">
        <v>257</v>
      </c>
      <c r="B1713" s="3">
        <v>45870</v>
      </c>
      <c r="C1713">
        <v>19405</v>
      </c>
    </row>
    <row r="1714" spans="1:3" ht="15" customHeight="1" x14ac:dyDescent="0.3">
      <c r="A1714" t="s">
        <v>257</v>
      </c>
      <c r="B1714" s="3">
        <v>45901</v>
      </c>
      <c r="C1714">
        <v>19981</v>
      </c>
    </row>
    <row r="1715" spans="1:3" ht="15" customHeight="1" x14ac:dyDescent="0.3">
      <c r="A1715" t="s">
        <v>257</v>
      </c>
      <c r="B1715" s="3">
        <v>45931</v>
      </c>
      <c r="C1715">
        <v>22401</v>
      </c>
    </row>
    <row r="1716" spans="1:3" ht="15" customHeight="1" x14ac:dyDescent="0.3">
      <c r="A1716" t="s">
        <v>257</v>
      </c>
      <c r="B1716" s="3">
        <v>45962</v>
      </c>
      <c r="C1716">
        <v>20125</v>
      </c>
    </row>
    <row r="1717" spans="1:3" ht="15" customHeight="1" x14ac:dyDescent="0.3">
      <c r="A1717" t="s">
        <v>257</v>
      </c>
      <c r="B1717" s="3">
        <v>45992</v>
      </c>
      <c r="C1717">
        <v>20771</v>
      </c>
    </row>
    <row r="1718" spans="1:3" ht="15" customHeight="1" x14ac:dyDescent="0.3">
      <c r="A1718" t="s">
        <v>257</v>
      </c>
      <c r="B1718" s="3">
        <v>46023</v>
      </c>
      <c r="C1718">
        <v>20178</v>
      </c>
    </row>
    <row r="1719" spans="1:3" ht="15" customHeight="1" x14ac:dyDescent="0.3">
      <c r="A1719" t="s">
        <v>257</v>
      </c>
      <c r="B1719" s="3">
        <v>46054</v>
      </c>
      <c r="C1719">
        <v>17954</v>
      </c>
    </row>
    <row r="1720" spans="1:3" ht="15" customHeight="1" x14ac:dyDescent="0.3">
      <c r="A1720" t="s">
        <v>257</v>
      </c>
      <c r="B1720" s="3">
        <v>46082</v>
      </c>
      <c r="C1720">
        <v>19150</v>
      </c>
    </row>
    <row r="1721" spans="1:3" ht="15" customHeight="1" x14ac:dyDescent="0.3">
      <c r="A1721" t="s">
        <v>257</v>
      </c>
      <c r="B1721" s="3">
        <v>46113</v>
      </c>
      <c r="C1721">
        <v>18060</v>
      </c>
    </row>
    <row r="1722" spans="1:3" ht="15" customHeight="1" x14ac:dyDescent="0.3">
      <c r="A1722" t="s">
        <v>257</v>
      </c>
      <c r="B1722" s="3">
        <v>46143</v>
      </c>
      <c r="C1722">
        <v>18124</v>
      </c>
    </row>
    <row r="1723" spans="1:3" ht="15" customHeight="1" x14ac:dyDescent="0.3">
      <c r="A1723" t="s">
        <v>257</v>
      </c>
      <c r="B1723" s="3">
        <v>46174</v>
      </c>
      <c r="C1723">
        <v>15908</v>
      </c>
    </row>
    <row r="1724" spans="1:3" ht="15" customHeight="1" x14ac:dyDescent="0.3">
      <c r="A1724" t="s">
        <v>257</v>
      </c>
      <c r="B1724" s="3">
        <v>46204</v>
      </c>
      <c r="C1724">
        <v>16827</v>
      </c>
    </row>
    <row r="1725" spans="1:3" ht="15" customHeight="1" x14ac:dyDescent="0.3">
      <c r="A1725" t="s">
        <v>257</v>
      </c>
      <c r="B1725" s="3">
        <v>46235</v>
      </c>
      <c r="C1725">
        <v>19405</v>
      </c>
    </row>
    <row r="1726" spans="1:3" ht="15" customHeight="1" x14ac:dyDescent="0.3">
      <c r="A1726" t="s">
        <v>257</v>
      </c>
      <c r="B1726" s="3">
        <v>46266</v>
      </c>
      <c r="C1726">
        <v>19981</v>
      </c>
    </row>
    <row r="1727" spans="1:3" ht="15" customHeight="1" x14ac:dyDescent="0.3">
      <c r="A1727" t="s">
        <v>257</v>
      </c>
      <c r="B1727" s="3">
        <v>46296</v>
      </c>
      <c r="C1727">
        <v>22401</v>
      </c>
    </row>
    <row r="1728" spans="1:3" ht="15" customHeight="1" x14ac:dyDescent="0.3">
      <c r="A1728" t="s">
        <v>257</v>
      </c>
      <c r="B1728" s="3">
        <v>46327</v>
      </c>
      <c r="C1728">
        <v>20125</v>
      </c>
    </row>
    <row r="1729" spans="1:3" ht="15" customHeight="1" x14ac:dyDescent="0.3">
      <c r="A1729" t="s">
        <v>257</v>
      </c>
      <c r="B1729" s="3">
        <v>46357</v>
      </c>
      <c r="C1729">
        <v>20771</v>
      </c>
    </row>
    <row r="1730" spans="1:3" ht="15" customHeight="1" x14ac:dyDescent="0.3">
      <c r="A1730" t="s">
        <v>226</v>
      </c>
      <c r="B1730" s="3">
        <v>45292</v>
      </c>
      <c r="C1730">
        <v>9307.7999999999993</v>
      </c>
    </row>
    <row r="1731" spans="1:3" ht="15" customHeight="1" x14ac:dyDescent="0.3">
      <c r="A1731" t="s">
        <v>226</v>
      </c>
      <c r="B1731" s="3">
        <v>45323</v>
      </c>
      <c r="C1731">
        <v>8001.9</v>
      </c>
    </row>
    <row r="1732" spans="1:3" ht="15" customHeight="1" x14ac:dyDescent="0.3">
      <c r="A1732" t="s">
        <v>226</v>
      </c>
      <c r="B1732" s="3">
        <v>45352</v>
      </c>
      <c r="C1732">
        <v>7803.9</v>
      </c>
    </row>
    <row r="1733" spans="1:3" ht="15" customHeight="1" x14ac:dyDescent="0.3">
      <c r="A1733" t="s">
        <v>226</v>
      </c>
      <c r="B1733" s="3">
        <v>45383</v>
      </c>
      <c r="C1733">
        <v>6785.1</v>
      </c>
    </row>
    <row r="1734" spans="1:3" ht="15" customHeight="1" x14ac:dyDescent="0.3">
      <c r="A1734" t="s">
        <v>226</v>
      </c>
      <c r="B1734" s="3">
        <v>45413</v>
      </c>
      <c r="C1734">
        <v>6244.2</v>
      </c>
    </row>
    <row r="1735" spans="1:3" ht="15" customHeight="1" x14ac:dyDescent="0.3">
      <c r="A1735" t="s">
        <v>226</v>
      </c>
      <c r="B1735" s="3">
        <v>45444</v>
      </c>
      <c r="C1735">
        <v>5524.2</v>
      </c>
    </row>
    <row r="1736" spans="1:3" ht="15" customHeight="1" x14ac:dyDescent="0.3">
      <c r="A1736" t="s">
        <v>226</v>
      </c>
      <c r="B1736" s="3">
        <v>45474</v>
      </c>
      <c r="C1736">
        <v>6086.7</v>
      </c>
    </row>
    <row r="1737" spans="1:3" ht="15" customHeight="1" x14ac:dyDescent="0.3">
      <c r="A1737" t="s">
        <v>226</v>
      </c>
      <c r="B1737" s="3">
        <v>45505</v>
      </c>
      <c r="C1737">
        <v>2298.1935483870998</v>
      </c>
    </row>
    <row r="1738" spans="1:3" ht="15" customHeight="1" x14ac:dyDescent="0.3">
      <c r="A1738" t="s">
        <v>226</v>
      </c>
      <c r="B1738" s="3">
        <v>45536</v>
      </c>
      <c r="C1738">
        <v>7864.2</v>
      </c>
    </row>
    <row r="1739" spans="1:3" ht="15" customHeight="1" x14ac:dyDescent="0.3">
      <c r="A1739" t="s">
        <v>226</v>
      </c>
      <c r="B1739" s="3">
        <v>45566</v>
      </c>
      <c r="C1739">
        <v>9007.2000000000007</v>
      </c>
    </row>
    <row r="1740" spans="1:3" ht="15" customHeight="1" x14ac:dyDescent="0.3">
      <c r="A1740" t="s">
        <v>226</v>
      </c>
      <c r="B1740" s="3">
        <v>45597</v>
      </c>
      <c r="C1740">
        <v>8999.1</v>
      </c>
    </row>
    <row r="1741" spans="1:3" ht="15" customHeight="1" x14ac:dyDescent="0.3">
      <c r="A1741" t="s">
        <v>226</v>
      </c>
      <c r="B1741" s="3">
        <v>45627</v>
      </c>
      <c r="C1741">
        <v>9241.2000000000007</v>
      </c>
    </row>
    <row r="1742" spans="1:3" ht="15" customHeight="1" x14ac:dyDescent="0.3">
      <c r="A1742" t="s">
        <v>226</v>
      </c>
      <c r="B1742" s="3">
        <v>45658</v>
      </c>
      <c r="C1742">
        <v>9307.7999999999993</v>
      </c>
    </row>
    <row r="1743" spans="1:3" ht="15" customHeight="1" x14ac:dyDescent="0.3">
      <c r="A1743" t="s">
        <v>226</v>
      </c>
      <c r="B1743" s="3">
        <v>45689</v>
      </c>
      <c r="C1743">
        <v>8001.9</v>
      </c>
    </row>
    <row r="1744" spans="1:3" ht="15" customHeight="1" x14ac:dyDescent="0.3">
      <c r="A1744" t="s">
        <v>226</v>
      </c>
      <c r="B1744" s="3">
        <v>45717</v>
      </c>
      <c r="C1744">
        <v>7803.9</v>
      </c>
    </row>
    <row r="1745" spans="1:3" ht="15" customHeight="1" x14ac:dyDescent="0.3">
      <c r="A1745" t="s">
        <v>226</v>
      </c>
      <c r="B1745" s="3">
        <v>45748</v>
      </c>
      <c r="C1745">
        <v>6785.1</v>
      </c>
    </row>
    <row r="1746" spans="1:3" ht="15" customHeight="1" x14ac:dyDescent="0.3">
      <c r="A1746" t="s">
        <v>226</v>
      </c>
      <c r="B1746" s="3">
        <v>45778</v>
      </c>
      <c r="C1746">
        <v>6244.2</v>
      </c>
    </row>
    <row r="1747" spans="1:3" ht="15" customHeight="1" x14ac:dyDescent="0.3">
      <c r="A1747" t="s">
        <v>226</v>
      </c>
      <c r="B1747" s="3">
        <v>45809</v>
      </c>
      <c r="C1747">
        <v>5524.2</v>
      </c>
    </row>
    <row r="1748" spans="1:3" ht="15" customHeight="1" x14ac:dyDescent="0.3">
      <c r="A1748" t="s">
        <v>226</v>
      </c>
      <c r="B1748" s="3">
        <v>45839</v>
      </c>
      <c r="C1748">
        <v>6086.7</v>
      </c>
    </row>
    <row r="1749" spans="1:3" ht="15" customHeight="1" x14ac:dyDescent="0.3">
      <c r="A1749" t="s">
        <v>226</v>
      </c>
      <c r="B1749" s="3">
        <v>45870</v>
      </c>
      <c r="C1749">
        <v>2298.1935483870998</v>
      </c>
    </row>
    <row r="1750" spans="1:3" ht="15" customHeight="1" x14ac:dyDescent="0.3">
      <c r="A1750" t="s">
        <v>226</v>
      </c>
      <c r="B1750" s="3">
        <v>45901</v>
      </c>
      <c r="C1750">
        <v>7864.2</v>
      </c>
    </row>
    <row r="1751" spans="1:3" ht="15" customHeight="1" x14ac:dyDescent="0.3">
      <c r="A1751" t="s">
        <v>226</v>
      </c>
      <c r="B1751" s="3">
        <v>45931</v>
      </c>
      <c r="C1751">
        <v>9007.2000000000007</v>
      </c>
    </row>
    <row r="1752" spans="1:3" ht="15" customHeight="1" x14ac:dyDescent="0.3">
      <c r="A1752" t="s">
        <v>226</v>
      </c>
      <c r="B1752" s="3">
        <v>45962</v>
      </c>
      <c r="C1752">
        <v>8999.1</v>
      </c>
    </row>
    <row r="1753" spans="1:3" ht="15" customHeight="1" x14ac:dyDescent="0.3">
      <c r="A1753" t="s">
        <v>226</v>
      </c>
      <c r="B1753" s="3">
        <v>45992</v>
      </c>
      <c r="C1753">
        <v>9241.2000000000007</v>
      </c>
    </row>
    <row r="1754" spans="1:3" ht="15" customHeight="1" x14ac:dyDescent="0.3">
      <c r="A1754" t="s">
        <v>226</v>
      </c>
      <c r="B1754" s="3">
        <v>46023</v>
      </c>
      <c r="C1754">
        <v>9307.7999999999993</v>
      </c>
    </row>
    <row r="1755" spans="1:3" ht="15" customHeight="1" x14ac:dyDescent="0.3">
      <c r="A1755" t="s">
        <v>226</v>
      </c>
      <c r="B1755" s="3">
        <v>46054</v>
      </c>
      <c r="C1755">
        <v>8001.9</v>
      </c>
    </row>
    <row r="1756" spans="1:3" ht="15" customHeight="1" x14ac:dyDescent="0.3">
      <c r="A1756" t="s">
        <v>226</v>
      </c>
      <c r="B1756" s="3">
        <v>46082</v>
      </c>
      <c r="C1756">
        <v>7803.9</v>
      </c>
    </row>
    <row r="1757" spans="1:3" ht="15" customHeight="1" x14ac:dyDescent="0.3">
      <c r="A1757" t="s">
        <v>226</v>
      </c>
      <c r="B1757" s="3">
        <v>46113</v>
      </c>
      <c r="C1757">
        <v>6785.1</v>
      </c>
    </row>
    <row r="1758" spans="1:3" ht="15" customHeight="1" x14ac:dyDescent="0.3">
      <c r="A1758" t="s">
        <v>226</v>
      </c>
      <c r="B1758" s="3">
        <v>46143</v>
      </c>
      <c r="C1758">
        <v>6244.2</v>
      </c>
    </row>
    <row r="1759" spans="1:3" ht="15" customHeight="1" x14ac:dyDescent="0.3">
      <c r="A1759" t="s">
        <v>226</v>
      </c>
      <c r="B1759" s="3">
        <v>46174</v>
      </c>
      <c r="C1759">
        <v>5524.2</v>
      </c>
    </row>
    <row r="1760" spans="1:3" ht="15" customHeight="1" x14ac:dyDescent="0.3">
      <c r="A1760" t="s">
        <v>226</v>
      </c>
      <c r="B1760" s="3">
        <v>46204</v>
      </c>
      <c r="C1760">
        <v>6086.7</v>
      </c>
    </row>
    <row r="1761" spans="1:3" ht="15" customHeight="1" x14ac:dyDescent="0.3">
      <c r="A1761" t="s">
        <v>226</v>
      </c>
      <c r="B1761" s="3">
        <v>46235</v>
      </c>
      <c r="C1761">
        <v>2298.1935483870998</v>
      </c>
    </row>
    <row r="1762" spans="1:3" ht="15" customHeight="1" x14ac:dyDescent="0.3">
      <c r="A1762" t="s">
        <v>226</v>
      </c>
      <c r="B1762" s="3">
        <v>46266</v>
      </c>
      <c r="C1762">
        <v>7864.2</v>
      </c>
    </row>
    <row r="1763" spans="1:3" ht="15" customHeight="1" x14ac:dyDescent="0.3">
      <c r="A1763" t="s">
        <v>226</v>
      </c>
      <c r="B1763" s="3">
        <v>46296</v>
      </c>
      <c r="C1763">
        <v>9007.2000000000007</v>
      </c>
    </row>
    <row r="1764" spans="1:3" ht="15" customHeight="1" x14ac:dyDescent="0.3">
      <c r="A1764" t="s">
        <v>226</v>
      </c>
      <c r="B1764" s="3">
        <v>46327</v>
      </c>
      <c r="C1764">
        <v>8999.1</v>
      </c>
    </row>
    <row r="1765" spans="1:3" ht="15" customHeight="1" x14ac:dyDescent="0.3">
      <c r="A1765" t="s">
        <v>226</v>
      </c>
      <c r="B1765" s="3">
        <v>46357</v>
      </c>
      <c r="C1765">
        <v>9241.2000000000007</v>
      </c>
    </row>
    <row r="1766" spans="1:3" ht="15" customHeight="1" x14ac:dyDescent="0.3">
      <c r="A1766" t="s">
        <v>229</v>
      </c>
      <c r="B1766" s="3">
        <v>45292</v>
      </c>
      <c r="C1766">
        <v>28699.56</v>
      </c>
    </row>
    <row r="1767" spans="1:3" ht="15" customHeight="1" x14ac:dyDescent="0.3">
      <c r="A1767" t="s">
        <v>229</v>
      </c>
      <c r="B1767" s="3">
        <v>45323</v>
      </c>
      <c r="C1767">
        <v>24909.3</v>
      </c>
    </row>
    <row r="1768" spans="1:3" ht="15" customHeight="1" x14ac:dyDescent="0.3">
      <c r="A1768" t="s">
        <v>229</v>
      </c>
      <c r="B1768" s="3">
        <v>45352</v>
      </c>
      <c r="C1768">
        <v>24570</v>
      </c>
    </row>
    <row r="1769" spans="1:3" ht="15" customHeight="1" x14ac:dyDescent="0.3">
      <c r="A1769" t="s">
        <v>229</v>
      </c>
      <c r="B1769" s="3">
        <v>45383</v>
      </c>
      <c r="C1769">
        <v>21388.5</v>
      </c>
    </row>
    <row r="1770" spans="1:3" ht="15" customHeight="1" x14ac:dyDescent="0.3">
      <c r="A1770" t="s">
        <v>229</v>
      </c>
      <c r="B1770" s="3">
        <v>45413</v>
      </c>
      <c r="C1770">
        <v>19723.5</v>
      </c>
    </row>
    <row r="1771" spans="1:3" ht="15" customHeight="1" x14ac:dyDescent="0.3">
      <c r="A1771" t="s">
        <v>229</v>
      </c>
      <c r="B1771" s="3">
        <v>45444</v>
      </c>
      <c r="C1771">
        <v>17431.2</v>
      </c>
    </row>
    <row r="1772" spans="1:3" ht="15" customHeight="1" x14ac:dyDescent="0.3">
      <c r="A1772" t="s">
        <v>229</v>
      </c>
      <c r="B1772" s="3">
        <v>45474</v>
      </c>
      <c r="C1772">
        <v>19181.7</v>
      </c>
    </row>
    <row r="1773" spans="1:3" ht="15" customHeight="1" x14ac:dyDescent="0.3">
      <c r="A1773" t="s">
        <v>229</v>
      </c>
      <c r="B1773" s="3">
        <v>45505</v>
      </c>
      <c r="C1773">
        <v>7231.3548387096798</v>
      </c>
    </row>
    <row r="1774" spans="1:3" ht="15" customHeight="1" x14ac:dyDescent="0.3">
      <c r="A1774" t="s">
        <v>229</v>
      </c>
      <c r="B1774" s="3">
        <v>45536</v>
      </c>
      <c r="C1774">
        <v>24780.6</v>
      </c>
    </row>
    <row r="1775" spans="1:3" ht="15" customHeight="1" x14ac:dyDescent="0.3">
      <c r="A1775" t="s">
        <v>229</v>
      </c>
      <c r="B1775" s="3">
        <v>45566</v>
      </c>
      <c r="C1775">
        <v>28127.7</v>
      </c>
    </row>
    <row r="1776" spans="1:3" ht="15" customHeight="1" x14ac:dyDescent="0.3">
      <c r="A1776" t="s">
        <v>229</v>
      </c>
      <c r="B1776" s="3">
        <v>45597</v>
      </c>
      <c r="C1776">
        <v>28061.1</v>
      </c>
    </row>
    <row r="1777" spans="1:3" ht="15" customHeight="1" x14ac:dyDescent="0.3">
      <c r="A1777" t="s">
        <v>229</v>
      </c>
      <c r="B1777" s="3">
        <v>45627</v>
      </c>
      <c r="C1777">
        <v>28703.7</v>
      </c>
    </row>
    <row r="1778" spans="1:3" ht="15" customHeight="1" x14ac:dyDescent="0.3">
      <c r="A1778" t="s">
        <v>229</v>
      </c>
      <c r="B1778" s="3">
        <v>45658</v>
      </c>
      <c r="C1778">
        <v>28699.56</v>
      </c>
    </row>
    <row r="1779" spans="1:3" ht="15" customHeight="1" x14ac:dyDescent="0.3">
      <c r="A1779" t="s">
        <v>229</v>
      </c>
      <c r="B1779" s="3">
        <v>45689</v>
      </c>
      <c r="C1779">
        <v>24909.3</v>
      </c>
    </row>
    <row r="1780" spans="1:3" ht="15" customHeight="1" x14ac:dyDescent="0.3">
      <c r="A1780" t="s">
        <v>229</v>
      </c>
      <c r="B1780" s="3">
        <v>45717</v>
      </c>
      <c r="C1780">
        <v>24570</v>
      </c>
    </row>
    <row r="1781" spans="1:3" ht="15" customHeight="1" x14ac:dyDescent="0.3">
      <c r="A1781" t="s">
        <v>229</v>
      </c>
      <c r="B1781" s="3">
        <v>45748</v>
      </c>
      <c r="C1781">
        <v>21388.5</v>
      </c>
    </row>
    <row r="1782" spans="1:3" ht="15" customHeight="1" x14ac:dyDescent="0.3">
      <c r="A1782" t="s">
        <v>229</v>
      </c>
      <c r="B1782" s="3">
        <v>45778</v>
      </c>
      <c r="C1782">
        <v>19723.5</v>
      </c>
    </row>
    <row r="1783" spans="1:3" ht="15" customHeight="1" x14ac:dyDescent="0.3">
      <c r="A1783" t="s">
        <v>229</v>
      </c>
      <c r="B1783" s="3">
        <v>45809</v>
      </c>
      <c r="C1783">
        <v>17431.2</v>
      </c>
    </row>
    <row r="1784" spans="1:3" ht="15" customHeight="1" x14ac:dyDescent="0.3">
      <c r="A1784" t="s">
        <v>229</v>
      </c>
      <c r="B1784" s="3">
        <v>45839</v>
      </c>
      <c r="C1784">
        <v>19181.7</v>
      </c>
    </row>
    <row r="1785" spans="1:3" ht="15" customHeight="1" x14ac:dyDescent="0.3">
      <c r="A1785" t="s">
        <v>229</v>
      </c>
      <c r="B1785" s="3">
        <v>45870</v>
      </c>
      <c r="C1785">
        <v>7231.3548387096798</v>
      </c>
    </row>
    <row r="1786" spans="1:3" ht="15" customHeight="1" x14ac:dyDescent="0.3">
      <c r="A1786" t="s">
        <v>229</v>
      </c>
      <c r="B1786" s="3">
        <v>45901</v>
      </c>
      <c r="C1786">
        <v>24780.6</v>
      </c>
    </row>
    <row r="1787" spans="1:3" ht="15" customHeight="1" x14ac:dyDescent="0.3">
      <c r="A1787" t="s">
        <v>229</v>
      </c>
      <c r="B1787" s="3">
        <v>45931</v>
      </c>
      <c r="C1787">
        <v>28127.7</v>
      </c>
    </row>
    <row r="1788" spans="1:3" ht="15" customHeight="1" x14ac:dyDescent="0.3">
      <c r="A1788" t="s">
        <v>229</v>
      </c>
      <c r="B1788" s="3">
        <v>45962</v>
      </c>
      <c r="C1788">
        <v>28061.1</v>
      </c>
    </row>
    <row r="1789" spans="1:3" ht="15" customHeight="1" x14ac:dyDescent="0.3">
      <c r="A1789" t="s">
        <v>229</v>
      </c>
      <c r="B1789" s="3">
        <v>45992</v>
      </c>
      <c r="C1789">
        <v>28703.7</v>
      </c>
    </row>
    <row r="1790" spans="1:3" ht="15" customHeight="1" x14ac:dyDescent="0.3">
      <c r="A1790" t="s">
        <v>229</v>
      </c>
      <c r="B1790" s="3">
        <v>46023</v>
      </c>
      <c r="C1790">
        <v>28699.56</v>
      </c>
    </row>
    <row r="1791" spans="1:3" ht="15" customHeight="1" x14ac:dyDescent="0.3">
      <c r="A1791" t="s">
        <v>229</v>
      </c>
      <c r="B1791" s="3">
        <v>46054</v>
      </c>
      <c r="C1791">
        <v>24909.3</v>
      </c>
    </row>
    <row r="1792" spans="1:3" ht="15" customHeight="1" x14ac:dyDescent="0.3">
      <c r="A1792" t="s">
        <v>229</v>
      </c>
      <c r="B1792" s="3">
        <v>46082</v>
      </c>
      <c r="C1792">
        <v>24570</v>
      </c>
    </row>
    <row r="1793" spans="1:3" ht="15" customHeight="1" x14ac:dyDescent="0.3">
      <c r="A1793" t="s">
        <v>229</v>
      </c>
      <c r="B1793" s="3">
        <v>46113</v>
      </c>
      <c r="C1793">
        <v>21388.5</v>
      </c>
    </row>
    <row r="1794" spans="1:3" ht="15" customHeight="1" x14ac:dyDescent="0.3">
      <c r="A1794" t="s">
        <v>229</v>
      </c>
      <c r="B1794" s="3">
        <v>46143</v>
      </c>
      <c r="C1794">
        <v>19723.5</v>
      </c>
    </row>
    <row r="1795" spans="1:3" ht="15" customHeight="1" x14ac:dyDescent="0.3">
      <c r="A1795" t="s">
        <v>229</v>
      </c>
      <c r="B1795" s="3">
        <v>46174</v>
      </c>
      <c r="C1795">
        <v>17431.2</v>
      </c>
    </row>
    <row r="1796" spans="1:3" ht="15" customHeight="1" x14ac:dyDescent="0.3">
      <c r="A1796" t="s">
        <v>229</v>
      </c>
      <c r="B1796" s="3">
        <v>46204</v>
      </c>
      <c r="C1796">
        <v>19181.7</v>
      </c>
    </row>
    <row r="1797" spans="1:3" ht="15" customHeight="1" x14ac:dyDescent="0.3">
      <c r="A1797" t="s">
        <v>229</v>
      </c>
      <c r="B1797" s="3">
        <v>46235</v>
      </c>
      <c r="C1797">
        <v>7231.3548387096798</v>
      </c>
    </row>
    <row r="1798" spans="1:3" ht="15" customHeight="1" x14ac:dyDescent="0.3">
      <c r="A1798" t="s">
        <v>229</v>
      </c>
      <c r="B1798" s="3">
        <v>46266</v>
      </c>
      <c r="C1798">
        <v>24780.6</v>
      </c>
    </row>
    <row r="1799" spans="1:3" ht="15" customHeight="1" x14ac:dyDescent="0.3">
      <c r="A1799" t="s">
        <v>229</v>
      </c>
      <c r="B1799" s="3">
        <v>46296</v>
      </c>
      <c r="C1799">
        <v>28127.7</v>
      </c>
    </row>
    <row r="1800" spans="1:3" ht="15" customHeight="1" x14ac:dyDescent="0.3">
      <c r="A1800" t="s">
        <v>229</v>
      </c>
      <c r="B1800" s="3">
        <v>46327</v>
      </c>
      <c r="C1800">
        <v>28061.1</v>
      </c>
    </row>
    <row r="1801" spans="1:3" ht="15" customHeight="1" x14ac:dyDescent="0.3">
      <c r="A1801" t="s">
        <v>229</v>
      </c>
      <c r="B1801" s="3">
        <v>46357</v>
      </c>
      <c r="C1801">
        <v>28703.7</v>
      </c>
    </row>
    <row r="1802" spans="1:3" ht="15" customHeight="1" x14ac:dyDescent="0.3">
      <c r="A1802" t="s">
        <v>231</v>
      </c>
      <c r="B1802" s="3">
        <v>45292</v>
      </c>
      <c r="C1802">
        <v>9601.92</v>
      </c>
    </row>
    <row r="1803" spans="1:3" ht="15" customHeight="1" x14ac:dyDescent="0.3">
      <c r="A1803" t="s">
        <v>231</v>
      </c>
      <c r="B1803" s="3">
        <v>45323</v>
      </c>
      <c r="C1803">
        <v>8296.74</v>
      </c>
    </row>
    <row r="1804" spans="1:3" ht="15" customHeight="1" x14ac:dyDescent="0.3">
      <c r="A1804" t="s">
        <v>231</v>
      </c>
      <c r="B1804" s="3">
        <v>45352</v>
      </c>
      <c r="C1804">
        <v>8140.5</v>
      </c>
    </row>
    <row r="1805" spans="1:3" ht="15" customHeight="1" x14ac:dyDescent="0.3">
      <c r="A1805" t="s">
        <v>231</v>
      </c>
      <c r="B1805" s="3">
        <v>45383</v>
      </c>
      <c r="C1805">
        <v>7017.3</v>
      </c>
    </row>
    <row r="1806" spans="1:3" ht="15" customHeight="1" x14ac:dyDescent="0.3">
      <c r="A1806" t="s">
        <v>231</v>
      </c>
      <c r="B1806" s="3">
        <v>45413</v>
      </c>
      <c r="C1806">
        <v>6430.32</v>
      </c>
    </row>
    <row r="1807" spans="1:3" ht="15" customHeight="1" x14ac:dyDescent="0.3">
      <c r="A1807" t="s">
        <v>231</v>
      </c>
      <c r="B1807" s="3">
        <v>45444</v>
      </c>
      <c r="C1807">
        <v>5669.28</v>
      </c>
    </row>
    <row r="1808" spans="1:3" ht="15" customHeight="1" x14ac:dyDescent="0.3">
      <c r="A1808" t="s">
        <v>231</v>
      </c>
      <c r="B1808" s="3">
        <v>45474</v>
      </c>
      <c r="C1808">
        <v>6247.44</v>
      </c>
    </row>
    <row r="1809" spans="1:3" ht="15" customHeight="1" x14ac:dyDescent="0.3">
      <c r="A1809" t="s">
        <v>231</v>
      </c>
      <c r="B1809" s="3">
        <v>45505</v>
      </c>
      <c r="C1809">
        <v>2367.7838709677399</v>
      </c>
    </row>
    <row r="1810" spans="1:3" ht="15" customHeight="1" x14ac:dyDescent="0.3">
      <c r="A1810" t="s">
        <v>231</v>
      </c>
      <c r="B1810" s="3">
        <v>45536</v>
      </c>
      <c r="C1810">
        <v>8154</v>
      </c>
    </row>
    <row r="1811" spans="1:3" ht="15" customHeight="1" x14ac:dyDescent="0.3">
      <c r="A1811" t="s">
        <v>231</v>
      </c>
      <c r="B1811" s="3">
        <v>45566</v>
      </c>
      <c r="C1811">
        <v>9352.7999999999993</v>
      </c>
    </row>
    <row r="1812" spans="1:3" ht="15" customHeight="1" x14ac:dyDescent="0.3">
      <c r="A1812" t="s">
        <v>231</v>
      </c>
      <c r="B1812" s="3">
        <v>45597</v>
      </c>
      <c r="C1812">
        <v>9353.7000000000007</v>
      </c>
    </row>
    <row r="1813" spans="1:3" ht="15" customHeight="1" x14ac:dyDescent="0.3">
      <c r="A1813" t="s">
        <v>231</v>
      </c>
      <c r="B1813" s="3">
        <v>45627</v>
      </c>
      <c r="C1813">
        <v>9582.2999999999993</v>
      </c>
    </row>
    <row r="1814" spans="1:3" ht="15" customHeight="1" x14ac:dyDescent="0.3">
      <c r="A1814" t="s">
        <v>231</v>
      </c>
      <c r="B1814" s="3">
        <v>45658</v>
      </c>
      <c r="C1814">
        <v>9601.92</v>
      </c>
    </row>
    <row r="1815" spans="1:3" ht="15" customHeight="1" x14ac:dyDescent="0.3">
      <c r="A1815" t="s">
        <v>231</v>
      </c>
      <c r="B1815" s="3">
        <v>45689</v>
      </c>
      <c r="C1815">
        <v>8296.74</v>
      </c>
    </row>
    <row r="1816" spans="1:3" ht="15" customHeight="1" x14ac:dyDescent="0.3">
      <c r="A1816" t="s">
        <v>231</v>
      </c>
      <c r="B1816" s="3">
        <v>45717</v>
      </c>
      <c r="C1816">
        <v>8140.5</v>
      </c>
    </row>
    <row r="1817" spans="1:3" ht="15" customHeight="1" x14ac:dyDescent="0.3">
      <c r="A1817" t="s">
        <v>231</v>
      </c>
      <c r="B1817" s="3">
        <v>45748</v>
      </c>
      <c r="C1817">
        <v>7017.3</v>
      </c>
    </row>
    <row r="1818" spans="1:3" ht="15" customHeight="1" x14ac:dyDescent="0.3">
      <c r="A1818" t="s">
        <v>231</v>
      </c>
      <c r="B1818" s="3">
        <v>45778</v>
      </c>
      <c r="C1818">
        <v>6430.32</v>
      </c>
    </row>
    <row r="1819" spans="1:3" ht="15" customHeight="1" x14ac:dyDescent="0.3">
      <c r="A1819" t="s">
        <v>231</v>
      </c>
      <c r="B1819" s="3">
        <v>45809</v>
      </c>
      <c r="C1819">
        <v>5669.28</v>
      </c>
    </row>
    <row r="1820" spans="1:3" ht="15" customHeight="1" x14ac:dyDescent="0.3">
      <c r="A1820" t="s">
        <v>231</v>
      </c>
      <c r="B1820" s="3">
        <v>45839</v>
      </c>
      <c r="C1820">
        <v>6247.44</v>
      </c>
    </row>
    <row r="1821" spans="1:3" ht="15" customHeight="1" x14ac:dyDescent="0.3">
      <c r="A1821" t="s">
        <v>231</v>
      </c>
      <c r="B1821" s="3">
        <v>45870</v>
      </c>
      <c r="C1821">
        <v>2367.7838709677399</v>
      </c>
    </row>
    <row r="1822" spans="1:3" ht="15" customHeight="1" x14ac:dyDescent="0.3">
      <c r="A1822" t="s">
        <v>231</v>
      </c>
      <c r="B1822" s="3">
        <v>45901</v>
      </c>
      <c r="C1822">
        <v>8154</v>
      </c>
    </row>
    <row r="1823" spans="1:3" ht="15" customHeight="1" x14ac:dyDescent="0.3">
      <c r="A1823" t="s">
        <v>231</v>
      </c>
      <c r="B1823" s="3">
        <v>45931</v>
      </c>
      <c r="C1823">
        <v>9352.7999999999993</v>
      </c>
    </row>
    <row r="1824" spans="1:3" ht="15" customHeight="1" x14ac:dyDescent="0.3">
      <c r="A1824" t="s">
        <v>231</v>
      </c>
      <c r="B1824" s="3">
        <v>45962</v>
      </c>
      <c r="C1824">
        <v>9353.7000000000007</v>
      </c>
    </row>
    <row r="1825" spans="1:3" ht="15" customHeight="1" x14ac:dyDescent="0.3">
      <c r="A1825" t="s">
        <v>231</v>
      </c>
      <c r="B1825" s="3">
        <v>45992</v>
      </c>
      <c r="C1825">
        <v>9582.2999999999993</v>
      </c>
    </row>
    <row r="1826" spans="1:3" ht="15" customHeight="1" x14ac:dyDescent="0.3">
      <c r="A1826" t="s">
        <v>231</v>
      </c>
      <c r="B1826" s="3">
        <v>46023</v>
      </c>
      <c r="C1826">
        <v>9601.92</v>
      </c>
    </row>
    <row r="1827" spans="1:3" ht="15" customHeight="1" x14ac:dyDescent="0.3">
      <c r="A1827" t="s">
        <v>231</v>
      </c>
      <c r="B1827" s="3">
        <v>46054</v>
      </c>
      <c r="C1827">
        <v>8296.74</v>
      </c>
    </row>
    <row r="1828" spans="1:3" ht="15" customHeight="1" x14ac:dyDescent="0.3">
      <c r="A1828" t="s">
        <v>231</v>
      </c>
      <c r="B1828" s="3">
        <v>46082</v>
      </c>
      <c r="C1828">
        <v>8140.5</v>
      </c>
    </row>
    <row r="1829" spans="1:3" ht="15" customHeight="1" x14ac:dyDescent="0.3">
      <c r="A1829" t="s">
        <v>231</v>
      </c>
      <c r="B1829" s="3">
        <v>46113</v>
      </c>
      <c r="C1829">
        <v>7017.3</v>
      </c>
    </row>
    <row r="1830" spans="1:3" ht="15" customHeight="1" x14ac:dyDescent="0.3">
      <c r="A1830" t="s">
        <v>231</v>
      </c>
      <c r="B1830" s="3">
        <v>46143</v>
      </c>
      <c r="C1830">
        <v>6430.32</v>
      </c>
    </row>
    <row r="1831" spans="1:3" ht="15" customHeight="1" x14ac:dyDescent="0.3">
      <c r="A1831" t="s">
        <v>231</v>
      </c>
      <c r="B1831" s="3">
        <v>46174</v>
      </c>
      <c r="C1831">
        <v>5669.28</v>
      </c>
    </row>
    <row r="1832" spans="1:3" ht="15" customHeight="1" x14ac:dyDescent="0.3">
      <c r="A1832" t="s">
        <v>231</v>
      </c>
      <c r="B1832" s="3">
        <v>46204</v>
      </c>
      <c r="C1832">
        <v>6247.44</v>
      </c>
    </row>
    <row r="1833" spans="1:3" ht="15" customHeight="1" x14ac:dyDescent="0.3">
      <c r="A1833" t="s">
        <v>231</v>
      </c>
      <c r="B1833" s="3">
        <v>46235</v>
      </c>
      <c r="C1833">
        <v>2367.7838709677399</v>
      </c>
    </row>
    <row r="1834" spans="1:3" ht="15" customHeight="1" x14ac:dyDescent="0.3">
      <c r="A1834" t="s">
        <v>231</v>
      </c>
      <c r="B1834" s="3">
        <v>46266</v>
      </c>
      <c r="C1834">
        <v>8154</v>
      </c>
    </row>
    <row r="1835" spans="1:3" ht="15" customHeight="1" x14ac:dyDescent="0.3">
      <c r="A1835" t="s">
        <v>231</v>
      </c>
      <c r="B1835" s="3">
        <v>46296</v>
      </c>
      <c r="C1835">
        <v>9352.7999999999993</v>
      </c>
    </row>
    <row r="1836" spans="1:3" ht="15" customHeight="1" x14ac:dyDescent="0.3">
      <c r="A1836" t="s">
        <v>231</v>
      </c>
      <c r="B1836" s="3">
        <v>46327</v>
      </c>
      <c r="C1836">
        <v>9353.7000000000007</v>
      </c>
    </row>
    <row r="1837" spans="1:3" ht="15" customHeight="1" x14ac:dyDescent="0.3">
      <c r="A1837" t="s">
        <v>231</v>
      </c>
      <c r="B1837" s="3">
        <v>46357</v>
      </c>
      <c r="C1837">
        <v>9582.2999999999993</v>
      </c>
    </row>
    <row r="1838" spans="1:3" ht="15" customHeight="1" x14ac:dyDescent="0.3">
      <c r="A1838" t="s">
        <v>175</v>
      </c>
      <c r="B1838" s="3">
        <v>45292</v>
      </c>
      <c r="C1838">
        <v>5191.4789549999996</v>
      </c>
    </row>
    <row r="1839" spans="1:3" ht="15" customHeight="1" x14ac:dyDescent="0.3">
      <c r="A1839" t="s">
        <v>175</v>
      </c>
      <c r="B1839" s="3">
        <v>45323</v>
      </c>
      <c r="C1839">
        <v>4656.5572949999996</v>
      </c>
    </row>
    <row r="1840" spans="1:3" ht="15" customHeight="1" x14ac:dyDescent="0.3">
      <c r="A1840" t="s">
        <v>175</v>
      </c>
      <c r="B1840" s="3">
        <v>45352</v>
      </c>
      <c r="C1840">
        <v>5018.2718624999998</v>
      </c>
    </row>
    <row r="1841" spans="1:3" ht="15" customHeight="1" x14ac:dyDescent="0.3">
      <c r="A1841" t="s">
        <v>175</v>
      </c>
      <c r="B1841" s="3">
        <v>45383</v>
      </c>
      <c r="C1841">
        <v>4498.5660525000003</v>
      </c>
    </row>
    <row r="1842" spans="1:3" ht="15" customHeight="1" x14ac:dyDescent="0.3">
      <c r="A1842" t="s">
        <v>175</v>
      </c>
      <c r="B1842" s="3">
        <v>45413</v>
      </c>
      <c r="C1842">
        <v>4604.0626124999999</v>
      </c>
    </row>
    <row r="1843" spans="1:3" ht="15" customHeight="1" x14ac:dyDescent="0.3">
      <c r="A1843" t="s">
        <v>175</v>
      </c>
      <c r="B1843" s="3">
        <v>45444</v>
      </c>
      <c r="C1843">
        <v>4265.4254174999996</v>
      </c>
    </row>
    <row r="1844" spans="1:3" ht="15" customHeight="1" x14ac:dyDescent="0.3">
      <c r="A1844" t="s">
        <v>175</v>
      </c>
      <c r="B1844" s="3">
        <v>45474</v>
      </c>
      <c r="C1844">
        <v>4694.8505175</v>
      </c>
    </row>
    <row r="1845" spans="1:3" ht="15" customHeight="1" x14ac:dyDescent="0.3">
      <c r="A1845" t="s">
        <v>175</v>
      </c>
      <c r="B1845" s="3">
        <v>45505</v>
      </c>
      <c r="C1845">
        <v>5144.2252875000004</v>
      </c>
    </row>
    <row r="1846" spans="1:3" ht="15" customHeight="1" x14ac:dyDescent="0.3">
      <c r="A1846" t="s">
        <v>175</v>
      </c>
      <c r="B1846" s="3">
        <v>45536</v>
      </c>
      <c r="C1846">
        <v>5295.0312674999996</v>
      </c>
    </row>
    <row r="1847" spans="1:3" ht="15" customHeight="1" x14ac:dyDescent="0.3">
      <c r="A1847" t="s">
        <v>175</v>
      </c>
      <c r="B1847" s="3">
        <v>45566</v>
      </c>
      <c r="C1847">
        <v>5391.4828500000003</v>
      </c>
    </row>
    <row r="1848" spans="1:3" ht="15" customHeight="1" x14ac:dyDescent="0.3">
      <c r="A1848" t="s">
        <v>175</v>
      </c>
      <c r="B1848" s="3">
        <v>45597</v>
      </c>
      <c r="C1848">
        <v>5210.6678325000003</v>
      </c>
    </row>
    <row r="1849" spans="1:3" ht="15" customHeight="1" x14ac:dyDescent="0.3">
      <c r="A1849" t="s">
        <v>175</v>
      </c>
      <c r="B1849" s="3">
        <v>45627</v>
      </c>
      <c r="C1849">
        <v>5439.6663749999998</v>
      </c>
    </row>
    <row r="1850" spans="1:3" ht="15" customHeight="1" x14ac:dyDescent="0.3">
      <c r="A1850" t="s">
        <v>175</v>
      </c>
      <c r="B1850" s="3">
        <v>45658</v>
      </c>
      <c r="C1850">
        <v>5191.4789549999996</v>
      </c>
    </row>
    <row r="1851" spans="1:3" ht="15" customHeight="1" x14ac:dyDescent="0.3">
      <c r="A1851" t="s">
        <v>175</v>
      </c>
      <c r="B1851" s="3">
        <v>45689</v>
      </c>
      <c r="C1851">
        <v>4656.5572949999996</v>
      </c>
    </row>
    <row r="1852" spans="1:3" ht="15" customHeight="1" x14ac:dyDescent="0.3">
      <c r="A1852" t="s">
        <v>175</v>
      </c>
      <c r="B1852" s="3">
        <v>45717</v>
      </c>
      <c r="C1852">
        <v>5018.2718624999998</v>
      </c>
    </row>
    <row r="1853" spans="1:3" ht="15" customHeight="1" x14ac:dyDescent="0.3">
      <c r="A1853" t="s">
        <v>175</v>
      </c>
      <c r="B1853" s="3">
        <v>45748</v>
      </c>
      <c r="C1853">
        <v>4498.5660525000003</v>
      </c>
    </row>
    <row r="1854" spans="1:3" ht="15" customHeight="1" x14ac:dyDescent="0.3">
      <c r="A1854" t="s">
        <v>175</v>
      </c>
      <c r="B1854" s="3">
        <v>45778</v>
      </c>
      <c r="C1854">
        <v>4604.0626124999999</v>
      </c>
    </row>
    <row r="1855" spans="1:3" ht="15" customHeight="1" x14ac:dyDescent="0.3">
      <c r="A1855" t="s">
        <v>175</v>
      </c>
      <c r="B1855" s="3">
        <v>45809</v>
      </c>
      <c r="C1855">
        <v>4265.4254174999996</v>
      </c>
    </row>
    <row r="1856" spans="1:3" ht="15" customHeight="1" x14ac:dyDescent="0.3">
      <c r="A1856" t="s">
        <v>175</v>
      </c>
      <c r="B1856" s="3">
        <v>45839</v>
      </c>
      <c r="C1856">
        <v>4694.8505175</v>
      </c>
    </row>
    <row r="1857" spans="1:3" ht="15" customHeight="1" x14ac:dyDescent="0.3">
      <c r="A1857" t="s">
        <v>175</v>
      </c>
      <c r="B1857" s="3">
        <v>45870</v>
      </c>
      <c r="C1857">
        <v>5144.2252875000004</v>
      </c>
    </row>
    <row r="1858" spans="1:3" ht="15" customHeight="1" x14ac:dyDescent="0.3">
      <c r="A1858" t="s">
        <v>175</v>
      </c>
      <c r="B1858" s="3">
        <v>45901</v>
      </c>
      <c r="C1858">
        <v>5295.0312674999996</v>
      </c>
    </row>
    <row r="1859" spans="1:3" ht="15" customHeight="1" x14ac:dyDescent="0.3">
      <c r="A1859" t="s">
        <v>175</v>
      </c>
      <c r="B1859" s="3">
        <v>45931</v>
      </c>
      <c r="C1859">
        <v>5391.4828500000003</v>
      </c>
    </row>
    <row r="1860" spans="1:3" ht="15" customHeight="1" x14ac:dyDescent="0.3">
      <c r="A1860" t="s">
        <v>175</v>
      </c>
      <c r="B1860" s="3">
        <v>45962</v>
      </c>
      <c r="C1860">
        <v>5210.6678325000003</v>
      </c>
    </row>
    <row r="1861" spans="1:3" ht="15" customHeight="1" x14ac:dyDescent="0.3">
      <c r="A1861" t="s">
        <v>175</v>
      </c>
      <c r="B1861" s="3">
        <v>45992</v>
      </c>
      <c r="C1861">
        <v>5439.6663749999998</v>
      </c>
    </row>
    <row r="1862" spans="1:3" ht="15" customHeight="1" x14ac:dyDescent="0.3">
      <c r="A1862" t="s">
        <v>175</v>
      </c>
      <c r="B1862" s="3">
        <v>46023</v>
      </c>
      <c r="C1862">
        <v>5191.4789549999996</v>
      </c>
    </row>
    <row r="1863" spans="1:3" ht="15" customHeight="1" x14ac:dyDescent="0.3">
      <c r="A1863" t="s">
        <v>175</v>
      </c>
      <c r="B1863" s="3">
        <v>46054</v>
      </c>
      <c r="C1863">
        <v>4656.5572949999996</v>
      </c>
    </row>
    <row r="1864" spans="1:3" ht="15" customHeight="1" x14ac:dyDescent="0.3">
      <c r="A1864" t="s">
        <v>175</v>
      </c>
      <c r="B1864" s="3">
        <v>46082</v>
      </c>
      <c r="C1864">
        <v>5018.2718624999998</v>
      </c>
    </row>
    <row r="1865" spans="1:3" ht="15" customHeight="1" x14ac:dyDescent="0.3">
      <c r="A1865" t="s">
        <v>175</v>
      </c>
      <c r="B1865" s="3">
        <v>46113</v>
      </c>
      <c r="C1865">
        <v>4498.5660525000003</v>
      </c>
    </row>
    <row r="1866" spans="1:3" ht="15" customHeight="1" x14ac:dyDescent="0.3">
      <c r="A1866" t="s">
        <v>175</v>
      </c>
      <c r="B1866" s="3">
        <v>46143</v>
      </c>
      <c r="C1866">
        <v>4604.0626124999999</v>
      </c>
    </row>
    <row r="1867" spans="1:3" ht="15" customHeight="1" x14ac:dyDescent="0.3">
      <c r="A1867" t="s">
        <v>175</v>
      </c>
      <c r="B1867" s="3">
        <v>46174</v>
      </c>
      <c r="C1867">
        <v>4265.4254174999996</v>
      </c>
    </row>
    <row r="1868" spans="1:3" ht="15" customHeight="1" x14ac:dyDescent="0.3">
      <c r="A1868" t="s">
        <v>175</v>
      </c>
      <c r="B1868" s="3">
        <v>46204</v>
      </c>
      <c r="C1868">
        <v>4694.8505175</v>
      </c>
    </row>
    <row r="1869" spans="1:3" ht="15" customHeight="1" x14ac:dyDescent="0.3">
      <c r="A1869" t="s">
        <v>175</v>
      </c>
      <c r="B1869" s="3">
        <v>46235</v>
      </c>
      <c r="C1869">
        <v>5144.2252875000004</v>
      </c>
    </row>
    <row r="1870" spans="1:3" ht="15" customHeight="1" x14ac:dyDescent="0.3">
      <c r="A1870" t="s">
        <v>175</v>
      </c>
      <c r="B1870" s="3">
        <v>46266</v>
      </c>
      <c r="C1870">
        <v>5295.0312674999996</v>
      </c>
    </row>
    <row r="1871" spans="1:3" ht="15" customHeight="1" x14ac:dyDescent="0.3">
      <c r="A1871" t="s">
        <v>175</v>
      </c>
      <c r="B1871" s="3">
        <v>46296</v>
      </c>
      <c r="C1871">
        <v>5391.4828500000003</v>
      </c>
    </row>
    <row r="1872" spans="1:3" ht="15" customHeight="1" x14ac:dyDescent="0.3">
      <c r="A1872" t="s">
        <v>175</v>
      </c>
      <c r="B1872" s="3">
        <v>46327</v>
      </c>
      <c r="C1872">
        <v>5210.6678325000003</v>
      </c>
    </row>
    <row r="1873" spans="1:3" ht="15" customHeight="1" x14ac:dyDescent="0.3">
      <c r="A1873" t="s">
        <v>175</v>
      </c>
      <c r="B1873" s="3">
        <v>46357</v>
      </c>
      <c r="C1873">
        <v>5439.6663749999998</v>
      </c>
    </row>
    <row r="1874" spans="1:3" ht="15" customHeight="1" x14ac:dyDescent="0.3">
      <c r="A1874" t="s">
        <v>178</v>
      </c>
      <c r="B1874" s="3">
        <v>45292</v>
      </c>
      <c r="C1874">
        <v>23005.8</v>
      </c>
    </row>
    <row r="1875" spans="1:3" ht="15" customHeight="1" x14ac:dyDescent="0.3">
      <c r="A1875" t="s">
        <v>178</v>
      </c>
      <c r="B1875" s="3">
        <v>45323</v>
      </c>
      <c r="C1875">
        <v>19888.2</v>
      </c>
    </row>
    <row r="1876" spans="1:3" ht="15" customHeight="1" x14ac:dyDescent="0.3">
      <c r="A1876" t="s">
        <v>178</v>
      </c>
      <c r="B1876" s="3">
        <v>45352</v>
      </c>
      <c r="C1876">
        <v>21952.799999999999</v>
      </c>
    </row>
    <row r="1877" spans="1:3" ht="15" customHeight="1" x14ac:dyDescent="0.3">
      <c r="A1877" t="s">
        <v>178</v>
      </c>
      <c r="B1877" s="3">
        <v>45383</v>
      </c>
      <c r="C1877">
        <v>21444.3</v>
      </c>
    </row>
    <row r="1878" spans="1:3" ht="15" customHeight="1" x14ac:dyDescent="0.3">
      <c r="A1878" t="s">
        <v>178</v>
      </c>
      <c r="B1878" s="3">
        <v>45413</v>
      </c>
      <c r="C1878">
        <v>20688.3</v>
      </c>
    </row>
    <row r="1879" spans="1:3" ht="15" customHeight="1" x14ac:dyDescent="0.3">
      <c r="A1879" t="s">
        <v>178</v>
      </c>
      <c r="B1879" s="3">
        <v>45444</v>
      </c>
      <c r="C1879">
        <v>18646.2</v>
      </c>
    </row>
    <row r="1880" spans="1:3" ht="15" customHeight="1" x14ac:dyDescent="0.3">
      <c r="A1880" t="s">
        <v>178</v>
      </c>
      <c r="B1880" s="3">
        <v>45474</v>
      </c>
      <c r="C1880">
        <v>19629.900000000001</v>
      </c>
    </row>
    <row r="1881" spans="1:3" ht="15" customHeight="1" x14ac:dyDescent="0.3">
      <c r="A1881" t="s">
        <v>178</v>
      </c>
      <c r="B1881" s="3">
        <v>45505</v>
      </c>
      <c r="C1881">
        <v>22998.6</v>
      </c>
    </row>
    <row r="1882" spans="1:3" ht="15" customHeight="1" x14ac:dyDescent="0.3">
      <c r="A1882" t="s">
        <v>178</v>
      </c>
      <c r="B1882" s="3">
        <v>45536</v>
      </c>
      <c r="C1882">
        <v>22670.1</v>
      </c>
    </row>
    <row r="1883" spans="1:3" ht="15" customHeight="1" x14ac:dyDescent="0.3">
      <c r="A1883" t="s">
        <v>178</v>
      </c>
      <c r="B1883" s="3">
        <v>45566</v>
      </c>
      <c r="C1883">
        <v>22045.5</v>
      </c>
    </row>
    <row r="1884" spans="1:3" ht="15" customHeight="1" x14ac:dyDescent="0.3">
      <c r="A1884" t="s">
        <v>178</v>
      </c>
      <c r="B1884" s="3">
        <v>45597</v>
      </c>
      <c r="C1884">
        <v>22062.6</v>
      </c>
    </row>
    <row r="1885" spans="1:3" ht="15" customHeight="1" x14ac:dyDescent="0.3">
      <c r="A1885" t="s">
        <v>178</v>
      </c>
      <c r="B1885" s="3">
        <v>45627</v>
      </c>
      <c r="C1885">
        <v>23333.4</v>
      </c>
    </row>
    <row r="1886" spans="1:3" ht="15" customHeight="1" x14ac:dyDescent="0.3">
      <c r="A1886" t="s">
        <v>178</v>
      </c>
      <c r="B1886" s="3">
        <v>45658</v>
      </c>
      <c r="C1886">
        <v>23005.8</v>
      </c>
    </row>
    <row r="1887" spans="1:3" ht="15" customHeight="1" x14ac:dyDescent="0.3">
      <c r="A1887" t="s">
        <v>178</v>
      </c>
      <c r="B1887" s="3">
        <v>45689</v>
      </c>
      <c r="C1887">
        <v>19888.2</v>
      </c>
    </row>
    <row r="1888" spans="1:3" ht="15" customHeight="1" x14ac:dyDescent="0.3">
      <c r="A1888" t="s">
        <v>178</v>
      </c>
      <c r="B1888" s="3">
        <v>45717</v>
      </c>
      <c r="C1888">
        <v>21952.799999999999</v>
      </c>
    </row>
    <row r="1889" spans="1:3" ht="15" customHeight="1" x14ac:dyDescent="0.3">
      <c r="A1889" t="s">
        <v>178</v>
      </c>
      <c r="B1889" s="3">
        <v>45748</v>
      </c>
      <c r="C1889">
        <v>21444.3</v>
      </c>
    </row>
    <row r="1890" spans="1:3" ht="15" customHeight="1" x14ac:dyDescent="0.3">
      <c r="A1890" t="s">
        <v>178</v>
      </c>
      <c r="B1890" s="3">
        <v>45778</v>
      </c>
      <c r="C1890">
        <v>20688.3</v>
      </c>
    </row>
    <row r="1891" spans="1:3" ht="15" customHeight="1" x14ac:dyDescent="0.3">
      <c r="A1891" t="s">
        <v>178</v>
      </c>
      <c r="B1891" s="3">
        <v>45809</v>
      </c>
      <c r="C1891">
        <v>18646.2</v>
      </c>
    </row>
    <row r="1892" spans="1:3" ht="15" customHeight="1" x14ac:dyDescent="0.3">
      <c r="A1892" t="s">
        <v>178</v>
      </c>
      <c r="B1892" s="3">
        <v>45839</v>
      </c>
      <c r="C1892">
        <v>19629.900000000001</v>
      </c>
    </row>
    <row r="1893" spans="1:3" ht="15" customHeight="1" x14ac:dyDescent="0.3">
      <c r="A1893" t="s">
        <v>178</v>
      </c>
      <c r="B1893" s="3">
        <v>45870</v>
      </c>
      <c r="C1893">
        <v>22998.6</v>
      </c>
    </row>
    <row r="1894" spans="1:3" ht="15" customHeight="1" x14ac:dyDescent="0.3">
      <c r="A1894" t="s">
        <v>178</v>
      </c>
      <c r="B1894" s="3">
        <v>45901</v>
      </c>
      <c r="C1894">
        <v>22670.1</v>
      </c>
    </row>
    <row r="1895" spans="1:3" ht="15" customHeight="1" x14ac:dyDescent="0.3">
      <c r="A1895" t="s">
        <v>178</v>
      </c>
      <c r="B1895" s="3">
        <v>45931</v>
      </c>
      <c r="C1895">
        <v>22045.5</v>
      </c>
    </row>
    <row r="1896" spans="1:3" ht="15" customHeight="1" x14ac:dyDescent="0.3">
      <c r="A1896" t="s">
        <v>178</v>
      </c>
      <c r="B1896" s="3">
        <v>45962</v>
      </c>
      <c r="C1896">
        <v>22062.6</v>
      </c>
    </row>
    <row r="1897" spans="1:3" ht="15" customHeight="1" x14ac:dyDescent="0.3">
      <c r="A1897" t="s">
        <v>178</v>
      </c>
      <c r="B1897" s="3">
        <v>45992</v>
      </c>
      <c r="C1897">
        <v>23333.4</v>
      </c>
    </row>
    <row r="1898" spans="1:3" ht="15" customHeight="1" x14ac:dyDescent="0.3">
      <c r="A1898" t="s">
        <v>178</v>
      </c>
      <c r="B1898" s="3">
        <v>46023</v>
      </c>
      <c r="C1898">
        <v>23005.8</v>
      </c>
    </row>
    <row r="1899" spans="1:3" ht="15" customHeight="1" x14ac:dyDescent="0.3">
      <c r="A1899" t="s">
        <v>178</v>
      </c>
      <c r="B1899" s="3">
        <v>46054</v>
      </c>
      <c r="C1899">
        <v>19888.2</v>
      </c>
    </row>
    <row r="1900" spans="1:3" ht="15" customHeight="1" x14ac:dyDescent="0.3">
      <c r="A1900" t="s">
        <v>178</v>
      </c>
      <c r="B1900" s="3">
        <v>46082</v>
      </c>
      <c r="C1900">
        <v>21952.799999999999</v>
      </c>
    </row>
    <row r="1901" spans="1:3" ht="15" customHeight="1" x14ac:dyDescent="0.3">
      <c r="A1901" t="s">
        <v>178</v>
      </c>
      <c r="B1901" s="3">
        <v>46113</v>
      </c>
      <c r="C1901">
        <v>21444.3</v>
      </c>
    </row>
    <row r="1902" spans="1:3" ht="15" customHeight="1" x14ac:dyDescent="0.3">
      <c r="A1902" t="s">
        <v>178</v>
      </c>
      <c r="B1902" s="3">
        <v>46143</v>
      </c>
      <c r="C1902">
        <v>20688.3</v>
      </c>
    </row>
    <row r="1903" spans="1:3" ht="15" customHeight="1" x14ac:dyDescent="0.3">
      <c r="A1903" t="s">
        <v>178</v>
      </c>
      <c r="B1903" s="3">
        <v>46174</v>
      </c>
      <c r="C1903">
        <v>18646.2</v>
      </c>
    </row>
    <row r="1904" spans="1:3" ht="15" customHeight="1" x14ac:dyDescent="0.3">
      <c r="A1904" t="s">
        <v>178</v>
      </c>
      <c r="B1904" s="3">
        <v>46204</v>
      </c>
      <c r="C1904">
        <v>19629.900000000001</v>
      </c>
    </row>
    <row r="1905" spans="1:3" ht="15" customHeight="1" x14ac:dyDescent="0.3">
      <c r="A1905" t="s">
        <v>178</v>
      </c>
      <c r="B1905" s="3">
        <v>46235</v>
      </c>
      <c r="C1905">
        <v>22998.6</v>
      </c>
    </row>
    <row r="1906" spans="1:3" ht="15" customHeight="1" x14ac:dyDescent="0.3">
      <c r="A1906" t="s">
        <v>178</v>
      </c>
      <c r="B1906" s="3">
        <v>46266</v>
      </c>
      <c r="C1906">
        <v>22670.1</v>
      </c>
    </row>
    <row r="1907" spans="1:3" ht="15" customHeight="1" x14ac:dyDescent="0.3">
      <c r="A1907" t="s">
        <v>178</v>
      </c>
      <c r="B1907" s="3">
        <v>46296</v>
      </c>
      <c r="C1907">
        <v>22045.5</v>
      </c>
    </row>
    <row r="1908" spans="1:3" ht="15" customHeight="1" x14ac:dyDescent="0.3">
      <c r="A1908" t="s">
        <v>178</v>
      </c>
      <c r="B1908" s="3">
        <v>46327</v>
      </c>
      <c r="C1908">
        <v>22062.6</v>
      </c>
    </row>
    <row r="1909" spans="1:3" ht="15" customHeight="1" x14ac:dyDescent="0.3">
      <c r="A1909" t="s">
        <v>178</v>
      </c>
      <c r="B1909" s="3">
        <v>46357</v>
      </c>
      <c r="C1909">
        <v>23333.4</v>
      </c>
    </row>
    <row r="1910" spans="1:3" ht="15" customHeight="1" x14ac:dyDescent="0.3">
      <c r="A1910" t="s">
        <v>181</v>
      </c>
      <c r="B1910" s="3">
        <v>45292</v>
      </c>
      <c r="C1910">
        <v>3308.4549999999999</v>
      </c>
    </row>
    <row r="1911" spans="1:3" ht="15" customHeight="1" x14ac:dyDescent="0.3">
      <c r="A1911" t="s">
        <v>181</v>
      </c>
      <c r="B1911" s="3">
        <v>45323</v>
      </c>
      <c r="C1911">
        <v>2856.5949999999998</v>
      </c>
    </row>
    <row r="1912" spans="1:3" ht="15" customHeight="1" x14ac:dyDescent="0.3">
      <c r="A1912" t="s">
        <v>181</v>
      </c>
      <c r="B1912" s="3">
        <v>45352</v>
      </c>
      <c r="C1912">
        <v>3155.625</v>
      </c>
    </row>
    <row r="1913" spans="1:3" ht="15" customHeight="1" x14ac:dyDescent="0.3">
      <c r="A1913" t="s">
        <v>181</v>
      </c>
      <c r="B1913" s="3">
        <v>45383</v>
      </c>
      <c r="C1913">
        <v>3081.8449999999998</v>
      </c>
    </row>
    <row r="1914" spans="1:3" ht="15" customHeight="1" x14ac:dyDescent="0.3">
      <c r="A1914" t="s">
        <v>181</v>
      </c>
      <c r="B1914" s="3">
        <v>45413</v>
      </c>
      <c r="C1914">
        <v>2972.875</v>
      </c>
    </row>
    <row r="1915" spans="1:3" ht="15" customHeight="1" x14ac:dyDescent="0.3">
      <c r="A1915" t="s">
        <v>181</v>
      </c>
      <c r="B1915" s="3">
        <v>45444</v>
      </c>
      <c r="C1915">
        <v>2678.69</v>
      </c>
    </row>
    <row r="1916" spans="1:3" ht="15" customHeight="1" x14ac:dyDescent="0.3">
      <c r="A1916" t="s">
        <v>181</v>
      </c>
      <c r="B1916" s="3">
        <v>45474</v>
      </c>
      <c r="C1916">
        <v>2819.0250000000001</v>
      </c>
    </row>
    <row r="1917" spans="1:3" ht="15" customHeight="1" x14ac:dyDescent="0.3">
      <c r="A1917" t="s">
        <v>181</v>
      </c>
      <c r="B1917" s="3">
        <v>45505</v>
      </c>
      <c r="C1917">
        <v>3304.375</v>
      </c>
    </row>
    <row r="1918" spans="1:3" ht="15" customHeight="1" x14ac:dyDescent="0.3">
      <c r="A1918" t="s">
        <v>181</v>
      </c>
      <c r="B1918" s="3">
        <v>45536</v>
      </c>
      <c r="C1918">
        <v>3255.7550000000001</v>
      </c>
    </row>
    <row r="1919" spans="1:3" ht="15" customHeight="1" x14ac:dyDescent="0.3">
      <c r="A1919" t="s">
        <v>181</v>
      </c>
      <c r="B1919" s="3">
        <v>45566</v>
      </c>
      <c r="C1919">
        <v>3170.2449999999999</v>
      </c>
    </row>
    <row r="1920" spans="1:3" ht="15" customHeight="1" x14ac:dyDescent="0.3">
      <c r="A1920" t="s">
        <v>181</v>
      </c>
      <c r="B1920" s="3">
        <v>45597</v>
      </c>
      <c r="C1920">
        <v>3173.1350000000002</v>
      </c>
    </row>
    <row r="1921" spans="1:3" ht="15" customHeight="1" x14ac:dyDescent="0.3">
      <c r="A1921" t="s">
        <v>181</v>
      </c>
      <c r="B1921" s="3">
        <v>45627</v>
      </c>
      <c r="C1921">
        <v>3354.1849999999999</v>
      </c>
    </row>
    <row r="1922" spans="1:3" ht="15" customHeight="1" x14ac:dyDescent="0.3">
      <c r="A1922" t="s">
        <v>181</v>
      </c>
      <c r="B1922" s="3">
        <v>45658</v>
      </c>
      <c r="C1922">
        <v>3308.4549999999999</v>
      </c>
    </row>
    <row r="1923" spans="1:3" ht="15" customHeight="1" x14ac:dyDescent="0.3">
      <c r="A1923" t="s">
        <v>181</v>
      </c>
      <c r="B1923" s="3">
        <v>45689</v>
      </c>
      <c r="C1923">
        <v>2856.5949999999998</v>
      </c>
    </row>
    <row r="1924" spans="1:3" ht="15" customHeight="1" x14ac:dyDescent="0.3">
      <c r="A1924" t="s">
        <v>181</v>
      </c>
      <c r="B1924" s="3">
        <v>45717</v>
      </c>
      <c r="C1924">
        <v>3155.625</v>
      </c>
    </row>
    <row r="1925" spans="1:3" ht="15" customHeight="1" x14ac:dyDescent="0.3">
      <c r="A1925" t="s">
        <v>181</v>
      </c>
      <c r="B1925" s="3">
        <v>45748</v>
      </c>
      <c r="C1925">
        <v>3081.8449999999998</v>
      </c>
    </row>
    <row r="1926" spans="1:3" ht="15" customHeight="1" x14ac:dyDescent="0.3">
      <c r="A1926" t="s">
        <v>181</v>
      </c>
      <c r="B1926" s="3">
        <v>45778</v>
      </c>
      <c r="C1926">
        <v>2972.875</v>
      </c>
    </row>
    <row r="1927" spans="1:3" ht="15" customHeight="1" x14ac:dyDescent="0.3">
      <c r="A1927" t="s">
        <v>181</v>
      </c>
      <c r="B1927" s="3">
        <v>45809</v>
      </c>
      <c r="C1927">
        <v>2678.69</v>
      </c>
    </row>
    <row r="1928" spans="1:3" ht="15" customHeight="1" x14ac:dyDescent="0.3">
      <c r="A1928" t="s">
        <v>181</v>
      </c>
      <c r="B1928" s="3">
        <v>45839</v>
      </c>
      <c r="C1928">
        <v>2819.0250000000001</v>
      </c>
    </row>
    <row r="1929" spans="1:3" ht="15" customHeight="1" x14ac:dyDescent="0.3">
      <c r="A1929" t="s">
        <v>181</v>
      </c>
      <c r="B1929" s="3">
        <v>45870</v>
      </c>
      <c r="C1929">
        <v>3304.375</v>
      </c>
    </row>
    <row r="1930" spans="1:3" ht="15" customHeight="1" x14ac:dyDescent="0.3">
      <c r="A1930" t="s">
        <v>181</v>
      </c>
      <c r="B1930" s="3">
        <v>45901</v>
      </c>
      <c r="C1930">
        <v>3255.7550000000001</v>
      </c>
    </row>
    <row r="1931" spans="1:3" ht="15" customHeight="1" x14ac:dyDescent="0.3">
      <c r="A1931" t="s">
        <v>181</v>
      </c>
      <c r="B1931" s="3">
        <v>45931</v>
      </c>
      <c r="C1931">
        <v>3170.2449999999999</v>
      </c>
    </row>
    <row r="1932" spans="1:3" ht="15" customHeight="1" x14ac:dyDescent="0.3">
      <c r="A1932" t="s">
        <v>181</v>
      </c>
      <c r="B1932" s="3">
        <v>45962</v>
      </c>
      <c r="C1932">
        <v>3173.1350000000002</v>
      </c>
    </row>
    <row r="1933" spans="1:3" ht="15" customHeight="1" x14ac:dyDescent="0.3">
      <c r="A1933" t="s">
        <v>181</v>
      </c>
      <c r="B1933" s="3">
        <v>45992</v>
      </c>
      <c r="C1933">
        <v>3354.1849999999999</v>
      </c>
    </row>
    <row r="1934" spans="1:3" ht="15" customHeight="1" x14ac:dyDescent="0.3">
      <c r="A1934" t="s">
        <v>181</v>
      </c>
      <c r="B1934" s="3">
        <v>46023</v>
      </c>
      <c r="C1934">
        <v>3308.4549999999999</v>
      </c>
    </row>
    <row r="1935" spans="1:3" ht="15" customHeight="1" x14ac:dyDescent="0.3">
      <c r="A1935" t="s">
        <v>181</v>
      </c>
      <c r="B1935" s="3">
        <v>46054</v>
      </c>
      <c r="C1935">
        <v>2856.5949999999998</v>
      </c>
    </row>
    <row r="1936" spans="1:3" ht="15" customHeight="1" x14ac:dyDescent="0.3">
      <c r="A1936" t="s">
        <v>181</v>
      </c>
      <c r="B1936" s="3">
        <v>46082</v>
      </c>
      <c r="C1936">
        <v>3155.625</v>
      </c>
    </row>
    <row r="1937" spans="1:3" ht="15" customHeight="1" x14ac:dyDescent="0.3">
      <c r="A1937" t="s">
        <v>181</v>
      </c>
      <c r="B1937" s="3">
        <v>46113</v>
      </c>
      <c r="C1937">
        <v>3081.8449999999998</v>
      </c>
    </row>
    <row r="1938" spans="1:3" ht="15" customHeight="1" x14ac:dyDescent="0.3">
      <c r="A1938" t="s">
        <v>181</v>
      </c>
      <c r="B1938" s="3">
        <v>46143</v>
      </c>
      <c r="C1938">
        <v>2972.875</v>
      </c>
    </row>
    <row r="1939" spans="1:3" ht="15" customHeight="1" x14ac:dyDescent="0.3">
      <c r="A1939" t="s">
        <v>181</v>
      </c>
      <c r="B1939" s="3">
        <v>46174</v>
      </c>
      <c r="C1939">
        <v>2678.69</v>
      </c>
    </row>
    <row r="1940" spans="1:3" ht="15" customHeight="1" x14ac:dyDescent="0.3">
      <c r="A1940" t="s">
        <v>181</v>
      </c>
      <c r="B1940" s="3">
        <v>46204</v>
      </c>
      <c r="C1940">
        <v>2819.0250000000001</v>
      </c>
    </row>
    <row r="1941" spans="1:3" ht="15" customHeight="1" x14ac:dyDescent="0.3">
      <c r="A1941" t="s">
        <v>181</v>
      </c>
      <c r="B1941" s="3">
        <v>46235</v>
      </c>
      <c r="C1941">
        <v>3304.375</v>
      </c>
    </row>
    <row r="1942" spans="1:3" ht="15" customHeight="1" x14ac:dyDescent="0.3">
      <c r="A1942" t="s">
        <v>181</v>
      </c>
      <c r="B1942" s="3">
        <v>46266</v>
      </c>
      <c r="C1942">
        <v>3255.7550000000001</v>
      </c>
    </row>
    <row r="1943" spans="1:3" ht="15" customHeight="1" x14ac:dyDescent="0.3">
      <c r="A1943" t="s">
        <v>181</v>
      </c>
      <c r="B1943" s="3">
        <v>46296</v>
      </c>
      <c r="C1943">
        <v>3170.2449999999999</v>
      </c>
    </row>
    <row r="1944" spans="1:3" ht="15" customHeight="1" x14ac:dyDescent="0.3">
      <c r="A1944" t="s">
        <v>181</v>
      </c>
      <c r="B1944" s="3">
        <v>46327</v>
      </c>
      <c r="C1944">
        <v>3173.1350000000002</v>
      </c>
    </row>
    <row r="1945" spans="1:3" ht="15" customHeight="1" x14ac:dyDescent="0.3">
      <c r="A1945" t="s">
        <v>181</v>
      </c>
      <c r="B1945" s="3">
        <v>46357</v>
      </c>
      <c r="C1945">
        <v>3354.1849999999999</v>
      </c>
    </row>
    <row r="1946" spans="1:3" ht="15" customHeight="1" x14ac:dyDescent="0.3">
      <c r="A1946" t="s">
        <v>183</v>
      </c>
      <c r="B1946" s="3">
        <v>45292</v>
      </c>
      <c r="C1946">
        <v>12489.555</v>
      </c>
    </row>
    <row r="1947" spans="1:3" ht="15" customHeight="1" x14ac:dyDescent="0.3">
      <c r="A1947" t="s">
        <v>183</v>
      </c>
      <c r="B1947" s="3">
        <v>45323</v>
      </c>
      <c r="C1947">
        <v>10877.69</v>
      </c>
    </row>
    <row r="1948" spans="1:3" ht="15" customHeight="1" x14ac:dyDescent="0.3">
      <c r="A1948" t="s">
        <v>183</v>
      </c>
      <c r="B1948" s="3">
        <v>45352</v>
      </c>
      <c r="C1948">
        <v>10897.355</v>
      </c>
    </row>
    <row r="1949" spans="1:3" ht="15" customHeight="1" x14ac:dyDescent="0.3">
      <c r="A1949" t="s">
        <v>183</v>
      </c>
      <c r="B1949" s="3">
        <v>45383</v>
      </c>
      <c r="C1949">
        <v>8757.9549999999999</v>
      </c>
    </row>
    <row r="1950" spans="1:3" ht="15" customHeight="1" x14ac:dyDescent="0.3">
      <c r="A1950" t="s">
        <v>183</v>
      </c>
      <c r="B1950" s="3">
        <v>45413</v>
      </c>
      <c r="C1950">
        <v>7449.4250000000002</v>
      </c>
    </row>
    <row r="1951" spans="1:3" ht="15" customHeight="1" x14ac:dyDescent="0.3">
      <c r="A1951" t="s">
        <v>183</v>
      </c>
      <c r="B1951" s="3">
        <v>45444</v>
      </c>
      <c r="C1951">
        <v>6752.6949999999997</v>
      </c>
    </row>
    <row r="1952" spans="1:3" ht="15" customHeight="1" x14ac:dyDescent="0.3">
      <c r="A1952" t="s">
        <v>183</v>
      </c>
      <c r="B1952" s="3">
        <v>45474</v>
      </c>
      <c r="C1952">
        <v>7274.2449999999999</v>
      </c>
    </row>
    <row r="1953" spans="1:3" ht="15" customHeight="1" x14ac:dyDescent="0.3">
      <c r="A1953" t="s">
        <v>183</v>
      </c>
      <c r="B1953" s="3">
        <v>45505</v>
      </c>
      <c r="C1953">
        <v>8568.7150000000001</v>
      </c>
    </row>
    <row r="1954" spans="1:3" ht="15" customHeight="1" x14ac:dyDescent="0.3">
      <c r="A1954" t="s">
        <v>183</v>
      </c>
      <c r="B1954" s="3">
        <v>45536</v>
      </c>
      <c r="C1954">
        <v>9196</v>
      </c>
    </row>
    <row r="1955" spans="1:3" ht="15" customHeight="1" x14ac:dyDescent="0.3">
      <c r="A1955" t="s">
        <v>183</v>
      </c>
      <c r="B1955" s="3">
        <v>45566</v>
      </c>
      <c r="C1955">
        <v>10753.525</v>
      </c>
    </row>
    <row r="1956" spans="1:3" ht="15" customHeight="1" x14ac:dyDescent="0.3">
      <c r="A1956" t="s">
        <v>183</v>
      </c>
      <c r="B1956" s="3">
        <v>45597</v>
      </c>
      <c r="C1956">
        <v>11159.27</v>
      </c>
    </row>
    <row r="1957" spans="1:3" ht="15" customHeight="1" x14ac:dyDescent="0.3">
      <c r="A1957" t="s">
        <v>183</v>
      </c>
      <c r="B1957" s="3">
        <v>45627</v>
      </c>
      <c r="C1957">
        <v>12687.82</v>
      </c>
    </row>
    <row r="1958" spans="1:3" ht="15" customHeight="1" x14ac:dyDescent="0.3">
      <c r="A1958" t="s">
        <v>183</v>
      </c>
      <c r="B1958" s="3">
        <v>45658</v>
      </c>
      <c r="C1958">
        <v>12489.555</v>
      </c>
    </row>
    <row r="1959" spans="1:3" ht="15" customHeight="1" x14ac:dyDescent="0.3">
      <c r="A1959" t="s">
        <v>183</v>
      </c>
      <c r="B1959" s="3">
        <v>45689</v>
      </c>
      <c r="C1959">
        <v>10877.69</v>
      </c>
    </row>
    <row r="1960" spans="1:3" ht="15" customHeight="1" x14ac:dyDescent="0.3">
      <c r="A1960" t="s">
        <v>183</v>
      </c>
      <c r="B1960" s="3">
        <v>45717</v>
      </c>
      <c r="C1960">
        <v>10897.355</v>
      </c>
    </row>
    <row r="1961" spans="1:3" ht="15" customHeight="1" x14ac:dyDescent="0.3">
      <c r="A1961" t="s">
        <v>183</v>
      </c>
      <c r="B1961" s="3">
        <v>45748</v>
      </c>
      <c r="C1961">
        <v>8757.9549999999999</v>
      </c>
    </row>
    <row r="1962" spans="1:3" ht="15" customHeight="1" x14ac:dyDescent="0.3">
      <c r="A1962" t="s">
        <v>183</v>
      </c>
      <c r="B1962" s="3">
        <v>45778</v>
      </c>
      <c r="C1962">
        <v>7449.4250000000002</v>
      </c>
    </row>
    <row r="1963" spans="1:3" ht="15" customHeight="1" x14ac:dyDescent="0.3">
      <c r="A1963" t="s">
        <v>183</v>
      </c>
      <c r="B1963" s="3">
        <v>45809</v>
      </c>
      <c r="C1963">
        <v>6752.6949999999997</v>
      </c>
    </row>
    <row r="1964" spans="1:3" ht="15" customHeight="1" x14ac:dyDescent="0.3">
      <c r="A1964" t="s">
        <v>183</v>
      </c>
      <c r="B1964" s="3">
        <v>45839</v>
      </c>
      <c r="C1964">
        <v>7274.2449999999999</v>
      </c>
    </row>
    <row r="1965" spans="1:3" ht="15" customHeight="1" x14ac:dyDescent="0.3">
      <c r="A1965" t="s">
        <v>183</v>
      </c>
      <c r="B1965" s="3">
        <v>45870</v>
      </c>
      <c r="C1965">
        <v>8568.7150000000001</v>
      </c>
    </row>
    <row r="1966" spans="1:3" ht="15" customHeight="1" x14ac:dyDescent="0.3">
      <c r="A1966" t="s">
        <v>183</v>
      </c>
      <c r="B1966" s="3">
        <v>45901</v>
      </c>
      <c r="C1966">
        <v>9196</v>
      </c>
    </row>
    <row r="1967" spans="1:3" ht="15" customHeight="1" x14ac:dyDescent="0.3">
      <c r="A1967" t="s">
        <v>183</v>
      </c>
      <c r="B1967" s="3">
        <v>45931</v>
      </c>
      <c r="C1967">
        <v>10753.525</v>
      </c>
    </row>
    <row r="1968" spans="1:3" ht="15" customHeight="1" x14ac:dyDescent="0.3">
      <c r="A1968" t="s">
        <v>183</v>
      </c>
      <c r="B1968" s="3">
        <v>45962</v>
      </c>
      <c r="C1968">
        <v>11159.27</v>
      </c>
    </row>
    <row r="1969" spans="1:3" ht="15" customHeight="1" x14ac:dyDescent="0.3">
      <c r="A1969" t="s">
        <v>183</v>
      </c>
      <c r="B1969" s="3">
        <v>45992</v>
      </c>
      <c r="C1969">
        <v>12687.82</v>
      </c>
    </row>
    <row r="1970" spans="1:3" ht="15" customHeight="1" x14ac:dyDescent="0.3">
      <c r="A1970" t="s">
        <v>183</v>
      </c>
      <c r="B1970" s="3">
        <v>46023</v>
      </c>
      <c r="C1970">
        <v>12489.555</v>
      </c>
    </row>
    <row r="1971" spans="1:3" ht="15" customHeight="1" x14ac:dyDescent="0.3">
      <c r="A1971" t="s">
        <v>183</v>
      </c>
      <c r="B1971" s="3">
        <v>46054</v>
      </c>
      <c r="C1971">
        <v>10877.69</v>
      </c>
    </row>
    <row r="1972" spans="1:3" ht="15" customHeight="1" x14ac:dyDescent="0.3">
      <c r="A1972" t="s">
        <v>183</v>
      </c>
      <c r="B1972" s="3">
        <v>46082</v>
      </c>
      <c r="C1972">
        <v>10897.355</v>
      </c>
    </row>
    <row r="1973" spans="1:3" ht="15" customHeight="1" x14ac:dyDescent="0.3">
      <c r="A1973" t="s">
        <v>183</v>
      </c>
      <c r="B1973" s="3">
        <v>46113</v>
      </c>
      <c r="C1973">
        <v>8757.9549999999999</v>
      </c>
    </row>
    <row r="1974" spans="1:3" ht="15" customHeight="1" x14ac:dyDescent="0.3">
      <c r="A1974" t="s">
        <v>183</v>
      </c>
      <c r="B1974" s="3">
        <v>46143</v>
      </c>
      <c r="C1974">
        <v>7449.4250000000002</v>
      </c>
    </row>
    <row r="1975" spans="1:3" ht="15" customHeight="1" x14ac:dyDescent="0.3">
      <c r="A1975" t="s">
        <v>183</v>
      </c>
      <c r="B1975" s="3">
        <v>46174</v>
      </c>
      <c r="C1975">
        <v>6752.6949999999997</v>
      </c>
    </row>
    <row r="1976" spans="1:3" ht="15" customHeight="1" x14ac:dyDescent="0.3">
      <c r="A1976" t="s">
        <v>183</v>
      </c>
      <c r="B1976" s="3">
        <v>46204</v>
      </c>
      <c r="C1976">
        <v>7274.2449999999999</v>
      </c>
    </row>
    <row r="1977" spans="1:3" ht="15" customHeight="1" x14ac:dyDescent="0.3">
      <c r="A1977" t="s">
        <v>183</v>
      </c>
      <c r="B1977" s="3">
        <v>46235</v>
      </c>
      <c r="C1977">
        <v>8568.7150000000001</v>
      </c>
    </row>
    <row r="1978" spans="1:3" ht="15" customHeight="1" x14ac:dyDescent="0.3">
      <c r="A1978" t="s">
        <v>183</v>
      </c>
      <c r="B1978" s="3">
        <v>46266</v>
      </c>
      <c r="C1978">
        <v>9196</v>
      </c>
    </row>
    <row r="1979" spans="1:3" ht="15" customHeight="1" x14ac:dyDescent="0.3">
      <c r="A1979" t="s">
        <v>183</v>
      </c>
      <c r="B1979" s="3">
        <v>46296</v>
      </c>
      <c r="C1979">
        <v>10753.525</v>
      </c>
    </row>
    <row r="1980" spans="1:3" ht="15" customHeight="1" x14ac:dyDescent="0.3">
      <c r="A1980" t="s">
        <v>183</v>
      </c>
      <c r="B1980" s="3">
        <v>46327</v>
      </c>
      <c r="C1980">
        <v>11159.27</v>
      </c>
    </row>
    <row r="1981" spans="1:3" ht="15" customHeight="1" x14ac:dyDescent="0.3">
      <c r="A1981" t="s">
        <v>183</v>
      </c>
      <c r="B1981" s="3">
        <v>46357</v>
      </c>
      <c r="C1981">
        <v>12687.82</v>
      </c>
    </row>
    <row r="1982" spans="1:3" ht="15" customHeight="1" x14ac:dyDescent="0.3">
      <c r="A1982" t="s">
        <v>184</v>
      </c>
      <c r="B1982" s="3">
        <v>45292</v>
      </c>
      <c r="C1982">
        <v>13218.014999999999</v>
      </c>
    </row>
    <row r="1983" spans="1:3" ht="15" customHeight="1" x14ac:dyDescent="0.3">
      <c r="A1983" t="s">
        <v>184</v>
      </c>
      <c r="B1983" s="3">
        <v>45323</v>
      </c>
      <c r="C1983">
        <v>10966.135</v>
      </c>
    </row>
    <row r="1984" spans="1:3" ht="15" customHeight="1" x14ac:dyDescent="0.3">
      <c r="A1984" t="s">
        <v>184</v>
      </c>
      <c r="B1984" s="3">
        <v>45352</v>
      </c>
      <c r="C1984">
        <v>11441.135</v>
      </c>
    </row>
    <row r="1985" spans="1:3" ht="15" customHeight="1" x14ac:dyDescent="0.3">
      <c r="A1985" t="s">
        <v>184</v>
      </c>
      <c r="B1985" s="3">
        <v>45383</v>
      </c>
      <c r="C1985">
        <v>10004.07</v>
      </c>
    </row>
    <row r="1986" spans="1:3" ht="15" customHeight="1" x14ac:dyDescent="0.3">
      <c r="A1986" t="s">
        <v>184</v>
      </c>
      <c r="B1986" s="3">
        <v>45413</v>
      </c>
      <c r="C1986">
        <v>8979.59</v>
      </c>
    </row>
    <row r="1987" spans="1:3" ht="15" customHeight="1" x14ac:dyDescent="0.3">
      <c r="A1987" t="s">
        <v>184</v>
      </c>
      <c r="B1987" s="3">
        <v>45444</v>
      </c>
      <c r="C1987">
        <v>7800.26</v>
      </c>
    </row>
    <row r="1988" spans="1:3" ht="15" customHeight="1" x14ac:dyDescent="0.3">
      <c r="A1988" t="s">
        <v>184</v>
      </c>
      <c r="B1988" s="3">
        <v>45474</v>
      </c>
      <c r="C1988">
        <v>8635.69</v>
      </c>
    </row>
    <row r="1989" spans="1:3" ht="15" customHeight="1" x14ac:dyDescent="0.3">
      <c r="A1989" t="s">
        <v>184</v>
      </c>
      <c r="B1989" s="3">
        <v>45505</v>
      </c>
      <c r="C1989">
        <v>9829.9349999999995</v>
      </c>
    </row>
    <row r="1990" spans="1:3" ht="15" customHeight="1" x14ac:dyDescent="0.3">
      <c r="A1990" t="s">
        <v>184</v>
      </c>
      <c r="B1990" s="3">
        <v>45536</v>
      </c>
      <c r="C1990">
        <v>10568.94</v>
      </c>
    </row>
    <row r="1991" spans="1:3" ht="15" customHeight="1" x14ac:dyDescent="0.3">
      <c r="A1991" t="s">
        <v>184</v>
      </c>
      <c r="B1991" s="3">
        <v>45566</v>
      </c>
      <c r="C1991">
        <v>11606.34</v>
      </c>
    </row>
    <row r="1992" spans="1:3" ht="15" customHeight="1" x14ac:dyDescent="0.3">
      <c r="A1992" t="s">
        <v>184</v>
      </c>
      <c r="B1992" s="3">
        <v>45597</v>
      </c>
      <c r="C1992">
        <v>12483.285</v>
      </c>
    </row>
    <row r="1993" spans="1:3" ht="15" customHeight="1" x14ac:dyDescent="0.3">
      <c r="A1993" t="s">
        <v>184</v>
      </c>
      <c r="B1993" s="3">
        <v>45627</v>
      </c>
      <c r="C1993">
        <v>13393.575000000001</v>
      </c>
    </row>
    <row r="1994" spans="1:3" ht="15" customHeight="1" x14ac:dyDescent="0.3">
      <c r="A1994" t="s">
        <v>184</v>
      </c>
      <c r="B1994" s="3">
        <v>45658</v>
      </c>
      <c r="C1994">
        <v>13218.014999999999</v>
      </c>
    </row>
    <row r="1995" spans="1:3" ht="15" customHeight="1" x14ac:dyDescent="0.3">
      <c r="A1995" t="s">
        <v>184</v>
      </c>
      <c r="B1995" s="3">
        <v>45689</v>
      </c>
      <c r="C1995">
        <v>10966.135</v>
      </c>
    </row>
    <row r="1996" spans="1:3" ht="15" customHeight="1" x14ac:dyDescent="0.3">
      <c r="A1996" t="s">
        <v>184</v>
      </c>
      <c r="B1996" s="3">
        <v>45717</v>
      </c>
      <c r="C1996">
        <v>11441.135</v>
      </c>
    </row>
    <row r="1997" spans="1:3" ht="15" customHeight="1" x14ac:dyDescent="0.3">
      <c r="A1997" t="s">
        <v>184</v>
      </c>
      <c r="B1997" s="3">
        <v>45748</v>
      </c>
      <c r="C1997">
        <v>10004.07</v>
      </c>
    </row>
    <row r="1998" spans="1:3" ht="15" customHeight="1" x14ac:dyDescent="0.3">
      <c r="A1998" t="s">
        <v>184</v>
      </c>
      <c r="B1998" s="3">
        <v>45778</v>
      </c>
      <c r="C1998">
        <v>8979.59</v>
      </c>
    </row>
    <row r="1999" spans="1:3" ht="15" customHeight="1" x14ac:dyDescent="0.3">
      <c r="A1999" t="s">
        <v>184</v>
      </c>
      <c r="B1999" s="3">
        <v>45809</v>
      </c>
      <c r="C1999">
        <v>7800.26</v>
      </c>
    </row>
    <row r="2000" spans="1:3" ht="15" customHeight="1" x14ac:dyDescent="0.3">
      <c r="A2000" t="s">
        <v>184</v>
      </c>
      <c r="B2000" s="3">
        <v>45839</v>
      </c>
      <c r="C2000">
        <v>8635.69</v>
      </c>
    </row>
    <row r="2001" spans="1:3" ht="15" customHeight="1" x14ac:dyDescent="0.3">
      <c r="A2001" t="s">
        <v>184</v>
      </c>
      <c r="B2001" s="3">
        <v>45870</v>
      </c>
      <c r="C2001">
        <v>9829.9349999999995</v>
      </c>
    </row>
    <row r="2002" spans="1:3" ht="15" customHeight="1" x14ac:dyDescent="0.3">
      <c r="A2002" t="s">
        <v>184</v>
      </c>
      <c r="B2002" s="3">
        <v>45901</v>
      </c>
      <c r="C2002">
        <v>10568.94</v>
      </c>
    </row>
    <row r="2003" spans="1:3" ht="15" customHeight="1" x14ac:dyDescent="0.3">
      <c r="A2003" t="s">
        <v>184</v>
      </c>
      <c r="B2003" s="3">
        <v>45931</v>
      </c>
      <c r="C2003">
        <v>11606.34</v>
      </c>
    </row>
    <row r="2004" spans="1:3" ht="15" customHeight="1" x14ac:dyDescent="0.3">
      <c r="A2004" t="s">
        <v>184</v>
      </c>
      <c r="B2004" s="3">
        <v>45962</v>
      </c>
      <c r="C2004">
        <v>12483.285</v>
      </c>
    </row>
    <row r="2005" spans="1:3" ht="15" customHeight="1" x14ac:dyDescent="0.3">
      <c r="A2005" t="s">
        <v>184</v>
      </c>
      <c r="B2005" s="3">
        <v>45992</v>
      </c>
      <c r="C2005">
        <v>13393.575000000001</v>
      </c>
    </row>
    <row r="2006" spans="1:3" ht="15" customHeight="1" x14ac:dyDescent="0.3">
      <c r="A2006" t="s">
        <v>184</v>
      </c>
      <c r="B2006" s="3">
        <v>46023</v>
      </c>
      <c r="C2006">
        <v>13218.014999999999</v>
      </c>
    </row>
    <row r="2007" spans="1:3" ht="15" customHeight="1" x14ac:dyDescent="0.3">
      <c r="A2007" t="s">
        <v>184</v>
      </c>
      <c r="B2007" s="3">
        <v>46054</v>
      </c>
      <c r="C2007">
        <v>10966.135</v>
      </c>
    </row>
    <row r="2008" spans="1:3" ht="15" customHeight="1" x14ac:dyDescent="0.3">
      <c r="A2008" t="s">
        <v>184</v>
      </c>
      <c r="B2008" s="3">
        <v>46082</v>
      </c>
      <c r="C2008">
        <v>11441.135</v>
      </c>
    </row>
    <row r="2009" spans="1:3" ht="15" customHeight="1" x14ac:dyDescent="0.3">
      <c r="A2009" t="s">
        <v>184</v>
      </c>
      <c r="B2009" s="3">
        <v>46113</v>
      </c>
      <c r="C2009">
        <v>10004.07</v>
      </c>
    </row>
    <row r="2010" spans="1:3" ht="15" customHeight="1" x14ac:dyDescent="0.3">
      <c r="A2010" t="s">
        <v>184</v>
      </c>
      <c r="B2010" s="3">
        <v>46143</v>
      </c>
      <c r="C2010">
        <v>8979.59</v>
      </c>
    </row>
    <row r="2011" spans="1:3" ht="15" customHeight="1" x14ac:dyDescent="0.3">
      <c r="A2011" t="s">
        <v>184</v>
      </c>
      <c r="B2011" s="3">
        <v>46174</v>
      </c>
      <c r="C2011">
        <v>7800.26</v>
      </c>
    </row>
    <row r="2012" spans="1:3" ht="15" customHeight="1" x14ac:dyDescent="0.3">
      <c r="A2012" t="s">
        <v>184</v>
      </c>
      <c r="B2012" s="3">
        <v>46204</v>
      </c>
      <c r="C2012">
        <v>8635.69</v>
      </c>
    </row>
    <row r="2013" spans="1:3" ht="15" customHeight="1" x14ac:dyDescent="0.3">
      <c r="A2013" t="s">
        <v>184</v>
      </c>
      <c r="B2013" s="3">
        <v>46235</v>
      </c>
      <c r="C2013">
        <v>9829.9349999999995</v>
      </c>
    </row>
    <row r="2014" spans="1:3" ht="15" customHeight="1" x14ac:dyDescent="0.3">
      <c r="A2014" t="s">
        <v>184</v>
      </c>
      <c r="B2014" s="3">
        <v>46266</v>
      </c>
      <c r="C2014">
        <v>10568.94</v>
      </c>
    </row>
    <row r="2015" spans="1:3" ht="15" customHeight="1" x14ac:dyDescent="0.3">
      <c r="A2015" t="s">
        <v>184</v>
      </c>
      <c r="B2015" s="3">
        <v>46296</v>
      </c>
      <c r="C2015">
        <v>11606.34</v>
      </c>
    </row>
    <row r="2016" spans="1:3" ht="15" customHeight="1" x14ac:dyDescent="0.3">
      <c r="A2016" t="s">
        <v>184</v>
      </c>
      <c r="B2016" s="3">
        <v>46327</v>
      </c>
      <c r="C2016">
        <v>12483.285</v>
      </c>
    </row>
    <row r="2017" spans="1:3" ht="15" customHeight="1" x14ac:dyDescent="0.3">
      <c r="A2017" t="s">
        <v>184</v>
      </c>
      <c r="B2017" s="3">
        <v>46357</v>
      </c>
      <c r="C2017">
        <v>13393.575000000001</v>
      </c>
    </row>
    <row r="2018" spans="1:3" ht="15" customHeight="1" x14ac:dyDescent="0.3">
      <c r="A2018" t="s">
        <v>189</v>
      </c>
      <c r="B2018" s="3">
        <v>45292</v>
      </c>
      <c r="C2018">
        <v>4359.6000000000004</v>
      </c>
    </row>
    <row r="2019" spans="1:3" ht="15" customHeight="1" x14ac:dyDescent="0.3">
      <c r="A2019" t="s">
        <v>189</v>
      </c>
      <c r="B2019" s="3">
        <v>45323</v>
      </c>
      <c r="C2019">
        <v>3825.9</v>
      </c>
    </row>
    <row r="2020" spans="1:3" ht="15" customHeight="1" x14ac:dyDescent="0.3">
      <c r="A2020" t="s">
        <v>189</v>
      </c>
      <c r="B2020" s="3">
        <v>45352</v>
      </c>
      <c r="C2020">
        <v>4077</v>
      </c>
    </row>
    <row r="2021" spans="1:3" ht="15" customHeight="1" x14ac:dyDescent="0.3">
      <c r="A2021" t="s">
        <v>189</v>
      </c>
      <c r="B2021" s="3">
        <v>45383</v>
      </c>
      <c r="C2021">
        <v>3573.9</v>
      </c>
    </row>
    <row r="2022" spans="1:3" ht="15" customHeight="1" x14ac:dyDescent="0.3">
      <c r="A2022" t="s">
        <v>189</v>
      </c>
      <c r="B2022" s="3">
        <v>45413</v>
      </c>
      <c r="C2022">
        <v>3623.4</v>
      </c>
    </row>
    <row r="2023" spans="1:3" ht="15" customHeight="1" x14ac:dyDescent="0.3">
      <c r="A2023" t="s">
        <v>189</v>
      </c>
      <c r="B2023" s="3">
        <v>45444</v>
      </c>
      <c r="C2023">
        <v>3360.6</v>
      </c>
    </row>
    <row r="2024" spans="1:3" ht="15" customHeight="1" x14ac:dyDescent="0.3">
      <c r="A2024" t="s">
        <v>189</v>
      </c>
      <c r="B2024" s="3">
        <v>45474</v>
      </c>
      <c r="C2024">
        <v>3665.7</v>
      </c>
    </row>
    <row r="2025" spans="1:3" ht="15" customHeight="1" x14ac:dyDescent="0.3">
      <c r="A2025" t="s">
        <v>189</v>
      </c>
      <c r="B2025" s="3">
        <v>45505</v>
      </c>
      <c r="C2025">
        <v>4104</v>
      </c>
    </row>
    <row r="2026" spans="1:3" ht="15" customHeight="1" x14ac:dyDescent="0.3">
      <c r="A2026" t="s">
        <v>189</v>
      </c>
      <c r="B2026" s="3">
        <v>45536</v>
      </c>
      <c r="C2026">
        <v>4274.1000000000004</v>
      </c>
    </row>
    <row r="2027" spans="1:3" ht="15" customHeight="1" x14ac:dyDescent="0.3">
      <c r="A2027" t="s">
        <v>189</v>
      </c>
      <c r="B2027" s="3">
        <v>45566</v>
      </c>
      <c r="C2027">
        <v>4289.3999999999996</v>
      </c>
    </row>
    <row r="2028" spans="1:3" ht="15" customHeight="1" x14ac:dyDescent="0.3">
      <c r="A2028" t="s">
        <v>189</v>
      </c>
      <c r="B2028" s="3">
        <v>45597</v>
      </c>
      <c r="C2028">
        <v>4249.8</v>
      </c>
    </row>
    <row r="2029" spans="1:3" ht="15" customHeight="1" x14ac:dyDescent="0.3">
      <c r="A2029" t="s">
        <v>189</v>
      </c>
      <c r="B2029" s="3">
        <v>45627</v>
      </c>
      <c r="C2029">
        <v>4446</v>
      </c>
    </row>
    <row r="2030" spans="1:3" ht="15" customHeight="1" x14ac:dyDescent="0.3">
      <c r="A2030" t="s">
        <v>189</v>
      </c>
      <c r="B2030" s="3">
        <v>45658</v>
      </c>
      <c r="C2030">
        <v>4359.6000000000004</v>
      </c>
    </row>
    <row r="2031" spans="1:3" ht="15" customHeight="1" x14ac:dyDescent="0.3">
      <c r="A2031" t="s">
        <v>189</v>
      </c>
      <c r="B2031" s="3">
        <v>45689</v>
      </c>
      <c r="C2031">
        <v>3825.9</v>
      </c>
    </row>
    <row r="2032" spans="1:3" ht="15" customHeight="1" x14ac:dyDescent="0.3">
      <c r="A2032" t="s">
        <v>189</v>
      </c>
      <c r="B2032" s="3">
        <v>45717</v>
      </c>
      <c r="C2032">
        <v>4077</v>
      </c>
    </row>
    <row r="2033" spans="1:3" ht="15" customHeight="1" x14ac:dyDescent="0.3">
      <c r="A2033" t="s">
        <v>189</v>
      </c>
      <c r="B2033" s="3">
        <v>45748</v>
      </c>
      <c r="C2033">
        <v>3573.9</v>
      </c>
    </row>
    <row r="2034" spans="1:3" ht="15" customHeight="1" x14ac:dyDescent="0.3">
      <c r="A2034" t="s">
        <v>189</v>
      </c>
      <c r="B2034" s="3">
        <v>45778</v>
      </c>
      <c r="C2034">
        <v>3623.4</v>
      </c>
    </row>
    <row r="2035" spans="1:3" ht="15" customHeight="1" x14ac:dyDescent="0.3">
      <c r="A2035" t="s">
        <v>189</v>
      </c>
      <c r="B2035" s="3">
        <v>45809</v>
      </c>
      <c r="C2035">
        <v>3360.6</v>
      </c>
    </row>
    <row r="2036" spans="1:3" ht="15" customHeight="1" x14ac:dyDescent="0.3">
      <c r="A2036" t="s">
        <v>189</v>
      </c>
      <c r="B2036" s="3">
        <v>45839</v>
      </c>
      <c r="C2036">
        <v>3665.7</v>
      </c>
    </row>
    <row r="2037" spans="1:3" ht="15" customHeight="1" x14ac:dyDescent="0.3">
      <c r="A2037" t="s">
        <v>189</v>
      </c>
      <c r="B2037" s="3">
        <v>45870</v>
      </c>
      <c r="C2037">
        <v>4104</v>
      </c>
    </row>
    <row r="2038" spans="1:3" ht="15" customHeight="1" x14ac:dyDescent="0.3">
      <c r="A2038" t="s">
        <v>189</v>
      </c>
      <c r="B2038" s="3">
        <v>45901</v>
      </c>
      <c r="C2038">
        <v>4274.1000000000004</v>
      </c>
    </row>
    <row r="2039" spans="1:3" ht="15" customHeight="1" x14ac:dyDescent="0.3">
      <c r="A2039" t="s">
        <v>189</v>
      </c>
      <c r="B2039" s="3">
        <v>45931</v>
      </c>
      <c r="C2039">
        <v>4289.3999999999996</v>
      </c>
    </row>
    <row r="2040" spans="1:3" ht="15" customHeight="1" x14ac:dyDescent="0.3">
      <c r="A2040" t="s">
        <v>189</v>
      </c>
      <c r="B2040" s="3">
        <v>45962</v>
      </c>
      <c r="C2040">
        <v>4249.8</v>
      </c>
    </row>
    <row r="2041" spans="1:3" ht="15" customHeight="1" x14ac:dyDescent="0.3">
      <c r="A2041" t="s">
        <v>189</v>
      </c>
      <c r="B2041" s="3">
        <v>45992</v>
      </c>
      <c r="C2041">
        <v>4446</v>
      </c>
    </row>
    <row r="2042" spans="1:3" ht="15" customHeight="1" x14ac:dyDescent="0.3">
      <c r="A2042" t="s">
        <v>189</v>
      </c>
      <c r="B2042" s="3">
        <v>46023</v>
      </c>
      <c r="C2042">
        <v>4359.6000000000004</v>
      </c>
    </row>
    <row r="2043" spans="1:3" ht="15" customHeight="1" x14ac:dyDescent="0.3">
      <c r="A2043" t="s">
        <v>189</v>
      </c>
      <c r="B2043" s="3">
        <v>46054</v>
      </c>
      <c r="C2043">
        <v>3825.9</v>
      </c>
    </row>
    <row r="2044" spans="1:3" ht="15" customHeight="1" x14ac:dyDescent="0.3">
      <c r="A2044" t="s">
        <v>189</v>
      </c>
      <c r="B2044" s="3">
        <v>46082</v>
      </c>
      <c r="C2044">
        <v>4077</v>
      </c>
    </row>
    <row r="2045" spans="1:3" ht="15" customHeight="1" x14ac:dyDescent="0.3">
      <c r="A2045" t="s">
        <v>189</v>
      </c>
      <c r="B2045" s="3">
        <v>46113</v>
      </c>
      <c r="C2045">
        <v>3573.9</v>
      </c>
    </row>
    <row r="2046" spans="1:3" ht="15" customHeight="1" x14ac:dyDescent="0.3">
      <c r="A2046" t="s">
        <v>189</v>
      </c>
      <c r="B2046" s="3">
        <v>46143</v>
      </c>
      <c r="C2046">
        <v>3623.4</v>
      </c>
    </row>
    <row r="2047" spans="1:3" ht="15" customHeight="1" x14ac:dyDescent="0.3">
      <c r="A2047" t="s">
        <v>189</v>
      </c>
      <c r="B2047" s="3">
        <v>46174</v>
      </c>
      <c r="C2047">
        <v>3360.6</v>
      </c>
    </row>
    <row r="2048" spans="1:3" ht="15" customHeight="1" x14ac:dyDescent="0.3">
      <c r="A2048" t="s">
        <v>189</v>
      </c>
      <c r="B2048" s="3">
        <v>46204</v>
      </c>
      <c r="C2048">
        <v>3665.7</v>
      </c>
    </row>
    <row r="2049" spans="1:3" ht="15" customHeight="1" x14ac:dyDescent="0.3">
      <c r="A2049" t="s">
        <v>189</v>
      </c>
      <c r="B2049" s="3">
        <v>46235</v>
      </c>
      <c r="C2049">
        <v>4104</v>
      </c>
    </row>
    <row r="2050" spans="1:3" ht="15" customHeight="1" x14ac:dyDescent="0.3">
      <c r="A2050" t="s">
        <v>189</v>
      </c>
      <c r="B2050" s="3">
        <v>46266</v>
      </c>
      <c r="C2050">
        <v>4274.1000000000004</v>
      </c>
    </row>
    <row r="2051" spans="1:3" ht="15" customHeight="1" x14ac:dyDescent="0.3">
      <c r="A2051" t="s">
        <v>189</v>
      </c>
      <c r="B2051" s="3">
        <v>46296</v>
      </c>
      <c r="C2051">
        <v>4289.3999999999996</v>
      </c>
    </row>
    <row r="2052" spans="1:3" ht="15" customHeight="1" x14ac:dyDescent="0.3">
      <c r="A2052" t="s">
        <v>189</v>
      </c>
      <c r="B2052" s="3">
        <v>46327</v>
      </c>
      <c r="C2052">
        <v>4249.8</v>
      </c>
    </row>
    <row r="2053" spans="1:3" ht="15" customHeight="1" x14ac:dyDescent="0.3">
      <c r="A2053" t="s">
        <v>189</v>
      </c>
      <c r="B2053" s="3">
        <v>46357</v>
      </c>
      <c r="C2053">
        <v>4446</v>
      </c>
    </row>
    <row r="2054" spans="1:3" ht="15" customHeight="1" x14ac:dyDescent="0.3">
      <c r="A2054" t="s">
        <v>279</v>
      </c>
      <c r="B2054" s="3">
        <v>45292</v>
      </c>
      <c r="C2054">
        <v>23065.02</v>
      </c>
    </row>
    <row r="2055" spans="1:3" ht="15" customHeight="1" x14ac:dyDescent="0.3">
      <c r="A2055" t="s">
        <v>279</v>
      </c>
      <c r="B2055" s="3">
        <v>45323</v>
      </c>
      <c r="C2055">
        <v>20354.849999999999</v>
      </c>
    </row>
    <row r="2056" spans="1:3" ht="15" customHeight="1" x14ac:dyDescent="0.3">
      <c r="A2056" t="s">
        <v>279</v>
      </c>
      <c r="B2056" s="3">
        <v>45352</v>
      </c>
      <c r="C2056">
        <v>21716.37</v>
      </c>
    </row>
    <row r="2057" spans="1:3" ht="15" customHeight="1" x14ac:dyDescent="0.3">
      <c r="A2057" t="s">
        <v>279</v>
      </c>
      <c r="B2057" s="3">
        <v>45383</v>
      </c>
      <c r="C2057">
        <v>18847.89</v>
      </c>
    </row>
    <row r="2058" spans="1:3" ht="15" customHeight="1" x14ac:dyDescent="0.3">
      <c r="A2058" t="s">
        <v>279</v>
      </c>
      <c r="B2058" s="3">
        <v>45413</v>
      </c>
      <c r="C2058">
        <v>18700.919999999998</v>
      </c>
    </row>
    <row r="2059" spans="1:3" ht="15" customHeight="1" x14ac:dyDescent="0.3">
      <c r="A2059" t="s">
        <v>279</v>
      </c>
      <c r="B2059" s="3">
        <v>45444</v>
      </c>
      <c r="C2059">
        <v>17164.439999999999</v>
      </c>
    </row>
    <row r="2060" spans="1:3" ht="15" customHeight="1" x14ac:dyDescent="0.3">
      <c r="A2060" t="s">
        <v>279</v>
      </c>
      <c r="B2060" s="3">
        <v>45474</v>
      </c>
      <c r="C2060">
        <v>18821.97</v>
      </c>
    </row>
    <row r="2061" spans="1:3" ht="15" customHeight="1" x14ac:dyDescent="0.3">
      <c r="A2061" t="s">
        <v>279</v>
      </c>
      <c r="B2061" s="3">
        <v>45505</v>
      </c>
      <c r="C2061">
        <v>21497.67</v>
      </c>
    </row>
    <row r="2062" spans="1:3" ht="15" customHeight="1" x14ac:dyDescent="0.3">
      <c r="A2062" t="s">
        <v>279</v>
      </c>
      <c r="B2062" s="3">
        <v>45536</v>
      </c>
      <c r="C2062">
        <v>22688.37</v>
      </c>
    </row>
    <row r="2063" spans="1:3" ht="15" customHeight="1" x14ac:dyDescent="0.3">
      <c r="A2063" t="s">
        <v>279</v>
      </c>
      <c r="B2063" s="3">
        <v>45566</v>
      </c>
      <c r="C2063">
        <v>22841.55</v>
      </c>
    </row>
    <row r="2064" spans="1:3" ht="15" customHeight="1" x14ac:dyDescent="0.3">
      <c r="A2064" t="s">
        <v>279</v>
      </c>
      <c r="B2064" s="3">
        <v>45597</v>
      </c>
      <c r="C2064">
        <v>22507.919999999998</v>
      </c>
    </row>
    <row r="2065" spans="1:3" ht="15" customHeight="1" x14ac:dyDescent="0.3">
      <c r="A2065" t="s">
        <v>279</v>
      </c>
      <c r="B2065" s="3">
        <v>45627</v>
      </c>
      <c r="C2065">
        <v>23494.59</v>
      </c>
    </row>
    <row r="2066" spans="1:3" ht="15" customHeight="1" x14ac:dyDescent="0.3">
      <c r="A2066" t="s">
        <v>279</v>
      </c>
      <c r="B2066" s="3">
        <v>45658</v>
      </c>
      <c r="C2066">
        <v>23065.02</v>
      </c>
    </row>
    <row r="2067" spans="1:3" ht="15" customHeight="1" x14ac:dyDescent="0.3">
      <c r="A2067" t="s">
        <v>279</v>
      </c>
      <c r="B2067" s="3">
        <v>45689</v>
      </c>
      <c r="C2067">
        <v>20354.849999999999</v>
      </c>
    </row>
    <row r="2068" spans="1:3" ht="15" customHeight="1" x14ac:dyDescent="0.3">
      <c r="A2068" t="s">
        <v>279</v>
      </c>
      <c r="B2068" s="3">
        <v>45717</v>
      </c>
      <c r="C2068">
        <v>21716.37</v>
      </c>
    </row>
    <row r="2069" spans="1:3" ht="15" customHeight="1" x14ac:dyDescent="0.3">
      <c r="A2069" t="s">
        <v>279</v>
      </c>
      <c r="B2069" s="3">
        <v>45748</v>
      </c>
      <c r="C2069">
        <v>18847.89</v>
      </c>
    </row>
    <row r="2070" spans="1:3" ht="15" customHeight="1" x14ac:dyDescent="0.3">
      <c r="A2070" t="s">
        <v>279</v>
      </c>
      <c r="B2070" s="3">
        <v>45778</v>
      </c>
      <c r="C2070">
        <v>18700.919999999998</v>
      </c>
    </row>
    <row r="2071" spans="1:3" ht="15" customHeight="1" x14ac:dyDescent="0.3">
      <c r="A2071" t="s">
        <v>279</v>
      </c>
      <c r="B2071" s="3">
        <v>45809</v>
      </c>
      <c r="C2071">
        <v>17164.439999999999</v>
      </c>
    </row>
    <row r="2072" spans="1:3" ht="15" customHeight="1" x14ac:dyDescent="0.3">
      <c r="A2072" t="s">
        <v>279</v>
      </c>
      <c r="B2072" s="3">
        <v>45839</v>
      </c>
      <c r="C2072">
        <v>18821.97</v>
      </c>
    </row>
    <row r="2073" spans="1:3" ht="15" customHeight="1" x14ac:dyDescent="0.3">
      <c r="A2073" t="s">
        <v>279</v>
      </c>
      <c r="B2073" s="3">
        <v>45870</v>
      </c>
      <c r="C2073">
        <v>21497.67</v>
      </c>
    </row>
    <row r="2074" spans="1:3" ht="15" customHeight="1" x14ac:dyDescent="0.3">
      <c r="A2074" t="s">
        <v>279</v>
      </c>
      <c r="B2074" s="3">
        <v>45901</v>
      </c>
      <c r="C2074">
        <v>22688.37</v>
      </c>
    </row>
    <row r="2075" spans="1:3" ht="15" customHeight="1" x14ac:dyDescent="0.3">
      <c r="A2075" t="s">
        <v>279</v>
      </c>
      <c r="B2075" s="3">
        <v>45931</v>
      </c>
      <c r="C2075">
        <v>22841.55</v>
      </c>
    </row>
    <row r="2076" spans="1:3" ht="15" customHeight="1" x14ac:dyDescent="0.3">
      <c r="A2076" t="s">
        <v>279</v>
      </c>
      <c r="B2076" s="3">
        <v>45962</v>
      </c>
      <c r="C2076">
        <v>22507.919999999998</v>
      </c>
    </row>
    <row r="2077" spans="1:3" ht="15" customHeight="1" x14ac:dyDescent="0.3">
      <c r="A2077" t="s">
        <v>279</v>
      </c>
      <c r="B2077" s="3">
        <v>45992</v>
      </c>
      <c r="C2077">
        <v>23494.59</v>
      </c>
    </row>
    <row r="2078" spans="1:3" ht="15" customHeight="1" x14ac:dyDescent="0.3">
      <c r="A2078" t="s">
        <v>279</v>
      </c>
      <c r="B2078" s="3">
        <v>46023</v>
      </c>
      <c r="C2078">
        <v>23065.02</v>
      </c>
    </row>
    <row r="2079" spans="1:3" ht="15" customHeight="1" x14ac:dyDescent="0.3">
      <c r="A2079" t="s">
        <v>279</v>
      </c>
      <c r="B2079" s="3">
        <v>46054</v>
      </c>
      <c r="C2079">
        <v>20354.849999999999</v>
      </c>
    </row>
    <row r="2080" spans="1:3" ht="15" customHeight="1" x14ac:dyDescent="0.3">
      <c r="A2080" t="s">
        <v>279</v>
      </c>
      <c r="B2080" s="3">
        <v>46082</v>
      </c>
      <c r="C2080">
        <v>21716.37</v>
      </c>
    </row>
    <row r="2081" spans="1:3" ht="15" customHeight="1" x14ac:dyDescent="0.3">
      <c r="A2081" t="s">
        <v>279</v>
      </c>
      <c r="B2081" s="3">
        <v>46113</v>
      </c>
      <c r="C2081">
        <v>18847.89</v>
      </c>
    </row>
    <row r="2082" spans="1:3" ht="15" customHeight="1" x14ac:dyDescent="0.3">
      <c r="A2082" t="s">
        <v>279</v>
      </c>
      <c r="B2082" s="3">
        <v>46143</v>
      </c>
      <c r="C2082">
        <v>18700.919999999998</v>
      </c>
    </row>
    <row r="2083" spans="1:3" ht="15" customHeight="1" x14ac:dyDescent="0.3">
      <c r="A2083" t="s">
        <v>279</v>
      </c>
      <c r="B2083" s="3">
        <v>46174</v>
      </c>
      <c r="C2083">
        <v>17164.439999999999</v>
      </c>
    </row>
    <row r="2084" spans="1:3" ht="15" customHeight="1" x14ac:dyDescent="0.3">
      <c r="A2084" t="s">
        <v>279</v>
      </c>
      <c r="B2084" s="3">
        <v>46204</v>
      </c>
      <c r="C2084">
        <v>18821.97</v>
      </c>
    </row>
    <row r="2085" spans="1:3" ht="15" customHeight="1" x14ac:dyDescent="0.3">
      <c r="A2085" t="s">
        <v>279</v>
      </c>
      <c r="B2085" s="3">
        <v>46235</v>
      </c>
      <c r="C2085">
        <v>21497.67</v>
      </c>
    </row>
    <row r="2086" spans="1:3" ht="15" customHeight="1" x14ac:dyDescent="0.3">
      <c r="A2086" t="s">
        <v>279</v>
      </c>
      <c r="B2086" s="3">
        <v>46266</v>
      </c>
      <c r="C2086">
        <v>22688.37</v>
      </c>
    </row>
    <row r="2087" spans="1:3" ht="15" customHeight="1" x14ac:dyDescent="0.3">
      <c r="A2087" t="s">
        <v>279</v>
      </c>
      <c r="B2087" s="3">
        <v>46296</v>
      </c>
      <c r="C2087">
        <v>22841.55</v>
      </c>
    </row>
    <row r="2088" spans="1:3" ht="15" customHeight="1" x14ac:dyDescent="0.3">
      <c r="A2088" t="s">
        <v>279</v>
      </c>
      <c r="B2088" s="3">
        <v>46327</v>
      </c>
      <c r="C2088">
        <v>22507.919999999998</v>
      </c>
    </row>
    <row r="2089" spans="1:3" ht="15" customHeight="1" x14ac:dyDescent="0.3">
      <c r="A2089" t="s">
        <v>279</v>
      </c>
      <c r="B2089" s="3">
        <v>46357</v>
      </c>
      <c r="C2089">
        <v>23494.59</v>
      </c>
    </row>
    <row r="2090" spans="1:3" ht="15" customHeight="1" x14ac:dyDescent="0.3">
      <c r="A2090" t="s">
        <v>192</v>
      </c>
      <c r="B2090" s="3">
        <v>45292</v>
      </c>
      <c r="C2090">
        <v>23724</v>
      </c>
    </row>
    <row r="2091" spans="1:3" ht="15" customHeight="1" x14ac:dyDescent="0.3">
      <c r="A2091" t="s">
        <v>192</v>
      </c>
      <c r="B2091" s="3">
        <v>45323</v>
      </c>
      <c r="C2091">
        <v>20448</v>
      </c>
    </row>
    <row r="2092" spans="1:3" ht="15" customHeight="1" x14ac:dyDescent="0.3">
      <c r="A2092" t="s">
        <v>192</v>
      </c>
      <c r="B2092" s="3">
        <v>45352</v>
      </c>
      <c r="C2092">
        <v>19986.3</v>
      </c>
    </row>
    <row r="2093" spans="1:3" ht="15" customHeight="1" x14ac:dyDescent="0.3">
      <c r="A2093" t="s">
        <v>192</v>
      </c>
      <c r="B2093" s="3">
        <v>45383</v>
      </c>
      <c r="C2093">
        <v>17181.900000000001</v>
      </c>
    </row>
    <row r="2094" spans="1:3" ht="15" customHeight="1" x14ac:dyDescent="0.3">
      <c r="A2094" t="s">
        <v>192</v>
      </c>
      <c r="B2094" s="3">
        <v>45413</v>
      </c>
      <c r="C2094">
        <v>15369.3</v>
      </c>
    </row>
    <row r="2095" spans="1:3" ht="15" customHeight="1" x14ac:dyDescent="0.3">
      <c r="A2095" t="s">
        <v>192</v>
      </c>
      <c r="B2095" s="3">
        <v>45444</v>
      </c>
      <c r="C2095">
        <v>13381.2</v>
      </c>
    </row>
    <row r="2096" spans="1:3" ht="15" customHeight="1" x14ac:dyDescent="0.3">
      <c r="A2096" t="s">
        <v>192</v>
      </c>
      <c r="B2096" s="3">
        <v>45474</v>
      </c>
      <c r="C2096">
        <v>15023.7</v>
      </c>
    </row>
    <row r="2097" spans="1:3" ht="15" customHeight="1" x14ac:dyDescent="0.3">
      <c r="A2097" t="s">
        <v>192</v>
      </c>
      <c r="B2097" s="3">
        <v>45505</v>
      </c>
      <c r="C2097">
        <v>18071.099999999999</v>
      </c>
    </row>
    <row r="2098" spans="1:3" ht="15" customHeight="1" x14ac:dyDescent="0.3">
      <c r="A2098" t="s">
        <v>192</v>
      </c>
      <c r="B2098" s="3">
        <v>45536</v>
      </c>
      <c r="C2098">
        <v>20545.2</v>
      </c>
    </row>
    <row r="2099" spans="1:3" ht="15" customHeight="1" x14ac:dyDescent="0.3">
      <c r="A2099" t="s">
        <v>192</v>
      </c>
      <c r="B2099" s="3">
        <v>45566</v>
      </c>
      <c r="C2099">
        <v>23411.7</v>
      </c>
    </row>
    <row r="2100" spans="1:3" ht="15" customHeight="1" x14ac:dyDescent="0.3">
      <c r="A2100" t="s">
        <v>192</v>
      </c>
      <c r="B2100" s="3">
        <v>45597</v>
      </c>
      <c r="C2100">
        <v>23583.599999999999</v>
      </c>
    </row>
    <row r="2101" spans="1:3" ht="15" customHeight="1" x14ac:dyDescent="0.3">
      <c r="A2101" t="s">
        <v>192</v>
      </c>
      <c r="B2101" s="3">
        <v>45627</v>
      </c>
      <c r="C2101">
        <v>24027.3</v>
      </c>
    </row>
    <row r="2102" spans="1:3" ht="15" customHeight="1" x14ac:dyDescent="0.3">
      <c r="A2102" t="s">
        <v>192</v>
      </c>
      <c r="B2102" s="3">
        <v>45658</v>
      </c>
      <c r="C2102">
        <v>23724</v>
      </c>
    </row>
    <row r="2103" spans="1:3" ht="15" customHeight="1" x14ac:dyDescent="0.3">
      <c r="A2103" t="s">
        <v>192</v>
      </c>
      <c r="B2103" s="3">
        <v>45689</v>
      </c>
      <c r="C2103">
        <v>20448</v>
      </c>
    </row>
    <row r="2104" spans="1:3" ht="15" customHeight="1" x14ac:dyDescent="0.3">
      <c r="A2104" t="s">
        <v>192</v>
      </c>
      <c r="B2104" s="3">
        <v>45717</v>
      </c>
      <c r="C2104">
        <v>19986.3</v>
      </c>
    </row>
    <row r="2105" spans="1:3" ht="15" customHeight="1" x14ac:dyDescent="0.3">
      <c r="A2105" t="s">
        <v>192</v>
      </c>
      <c r="B2105" s="3">
        <v>45748</v>
      </c>
      <c r="C2105">
        <v>17181.900000000001</v>
      </c>
    </row>
    <row r="2106" spans="1:3" ht="15" customHeight="1" x14ac:dyDescent="0.3">
      <c r="A2106" t="s">
        <v>192</v>
      </c>
      <c r="B2106" s="3">
        <v>45778</v>
      </c>
      <c r="C2106">
        <v>15369.3</v>
      </c>
    </row>
    <row r="2107" spans="1:3" ht="15" customHeight="1" x14ac:dyDescent="0.3">
      <c r="A2107" t="s">
        <v>192</v>
      </c>
      <c r="B2107" s="3">
        <v>45809</v>
      </c>
      <c r="C2107">
        <v>13381.2</v>
      </c>
    </row>
    <row r="2108" spans="1:3" ht="15" customHeight="1" x14ac:dyDescent="0.3">
      <c r="A2108" t="s">
        <v>192</v>
      </c>
      <c r="B2108" s="3">
        <v>45839</v>
      </c>
      <c r="C2108">
        <v>15023.7</v>
      </c>
    </row>
    <row r="2109" spans="1:3" ht="15" customHeight="1" x14ac:dyDescent="0.3">
      <c r="A2109" t="s">
        <v>192</v>
      </c>
      <c r="B2109" s="3">
        <v>45870</v>
      </c>
      <c r="C2109">
        <v>18071.099999999999</v>
      </c>
    </row>
    <row r="2110" spans="1:3" ht="15" customHeight="1" x14ac:dyDescent="0.3">
      <c r="A2110" t="s">
        <v>192</v>
      </c>
      <c r="B2110" s="3">
        <v>45901</v>
      </c>
      <c r="C2110">
        <v>20545.2</v>
      </c>
    </row>
    <row r="2111" spans="1:3" ht="15" customHeight="1" x14ac:dyDescent="0.3">
      <c r="A2111" t="s">
        <v>192</v>
      </c>
      <c r="B2111" s="3">
        <v>45931</v>
      </c>
      <c r="C2111">
        <v>23411.7</v>
      </c>
    </row>
    <row r="2112" spans="1:3" ht="15" customHeight="1" x14ac:dyDescent="0.3">
      <c r="A2112" t="s">
        <v>192</v>
      </c>
      <c r="B2112" s="3">
        <v>45962</v>
      </c>
      <c r="C2112">
        <v>23583.599999999999</v>
      </c>
    </row>
    <row r="2113" spans="1:3" ht="15" customHeight="1" x14ac:dyDescent="0.3">
      <c r="A2113" t="s">
        <v>192</v>
      </c>
      <c r="B2113" s="3">
        <v>45992</v>
      </c>
      <c r="C2113">
        <v>24027.3</v>
      </c>
    </row>
    <row r="2114" spans="1:3" ht="15" customHeight="1" x14ac:dyDescent="0.3">
      <c r="A2114" t="s">
        <v>192</v>
      </c>
      <c r="B2114" s="3">
        <v>46023</v>
      </c>
      <c r="C2114">
        <v>23724</v>
      </c>
    </row>
    <row r="2115" spans="1:3" ht="15" customHeight="1" x14ac:dyDescent="0.3">
      <c r="A2115" t="s">
        <v>192</v>
      </c>
      <c r="B2115" s="3">
        <v>46054</v>
      </c>
      <c r="C2115">
        <v>20448</v>
      </c>
    </row>
    <row r="2116" spans="1:3" ht="15" customHeight="1" x14ac:dyDescent="0.3">
      <c r="A2116" t="s">
        <v>192</v>
      </c>
      <c r="B2116" s="3">
        <v>46082</v>
      </c>
      <c r="C2116">
        <v>19986.3</v>
      </c>
    </row>
    <row r="2117" spans="1:3" ht="15" customHeight="1" x14ac:dyDescent="0.3">
      <c r="A2117" t="s">
        <v>192</v>
      </c>
      <c r="B2117" s="3">
        <v>46113</v>
      </c>
      <c r="C2117">
        <v>17181.900000000001</v>
      </c>
    </row>
    <row r="2118" spans="1:3" ht="15" customHeight="1" x14ac:dyDescent="0.3">
      <c r="A2118" t="s">
        <v>192</v>
      </c>
      <c r="B2118" s="3">
        <v>46143</v>
      </c>
      <c r="C2118">
        <v>15369.3</v>
      </c>
    </row>
    <row r="2119" spans="1:3" ht="15" customHeight="1" x14ac:dyDescent="0.3">
      <c r="A2119" t="s">
        <v>192</v>
      </c>
      <c r="B2119" s="3">
        <v>46174</v>
      </c>
      <c r="C2119">
        <v>13381.2</v>
      </c>
    </row>
    <row r="2120" spans="1:3" ht="15" customHeight="1" x14ac:dyDescent="0.3">
      <c r="A2120" t="s">
        <v>192</v>
      </c>
      <c r="B2120" s="3">
        <v>46204</v>
      </c>
      <c r="C2120">
        <v>15023.7</v>
      </c>
    </row>
    <row r="2121" spans="1:3" ht="15" customHeight="1" x14ac:dyDescent="0.3">
      <c r="A2121" t="s">
        <v>192</v>
      </c>
      <c r="B2121" s="3">
        <v>46235</v>
      </c>
      <c r="C2121">
        <v>18071.099999999999</v>
      </c>
    </row>
    <row r="2122" spans="1:3" ht="15" customHeight="1" x14ac:dyDescent="0.3">
      <c r="A2122" t="s">
        <v>192</v>
      </c>
      <c r="B2122" s="3">
        <v>46266</v>
      </c>
      <c r="C2122">
        <v>20545.2</v>
      </c>
    </row>
    <row r="2123" spans="1:3" ht="15" customHeight="1" x14ac:dyDescent="0.3">
      <c r="A2123" t="s">
        <v>192</v>
      </c>
      <c r="B2123" s="3">
        <v>46296</v>
      </c>
      <c r="C2123">
        <v>23411.7</v>
      </c>
    </row>
    <row r="2124" spans="1:3" ht="15" customHeight="1" x14ac:dyDescent="0.3">
      <c r="A2124" t="s">
        <v>192</v>
      </c>
      <c r="B2124" s="3">
        <v>46327</v>
      </c>
      <c r="C2124">
        <v>23583.599999999999</v>
      </c>
    </row>
    <row r="2125" spans="1:3" ht="15" customHeight="1" x14ac:dyDescent="0.3">
      <c r="A2125" t="s">
        <v>192</v>
      </c>
      <c r="B2125" s="3">
        <v>46357</v>
      </c>
      <c r="C2125">
        <v>24027.3</v>
      </c>
    </row>
    <row r="2126" spans="1:3" ht="15" customHeight="1" x14ac:dyDescent="0.3">
      <c r="A2126" t="s">
        <v>254</v>
      </c>
      <c r="B2126" s="3">
        <v>45292</v>
      </c>
      <c r="C2126">
        <v>28380.6</v>
      </c>
    </row>
    <row r="2127" spans="1:3" ht="15" customHeight="1" x14ac:dyDescent="0.3">
      <c r="A2127" t="s">
        <v>254</v>
      </c>
      <c r="B2127" s="3">
        <v>45323</v>
      </c>
      <c r="C2127">
        <v>24379.200000000001</v>
      </c>
    </row>
    <row r="2128" spans="1:3" ht="15" customHeight="1" x14ac:dyDescent="0.3">
      <c r="A2128" t="s">
        <v>254</v>
      </c>
      <c r="B2128" s="3">
        <v>45352</v>
      </c>
      <c r="C2128">
        <v>23351.4</v>
      </c>
    </row>
    <row r="2129" spans="1:3" ht="15" customHeight="1" x14ac:dyDescent="0.3">
      <c r="A2129" t="s">
        <v>254</v>
      </c>
      <c r="B2129" s="3">
        <v>45383</v>
      </c>
      <c r="C2129">
        <v>19887.3</v>
      </c>
    </row>
    <row r="2130" spans="1:3" ht="15" customHeight="1" x14ac:dyDescent="0.3">
      <c r="A2130" t="s">
        <v>254</v>
      </c>
      <c r="B2130" s="3">
        <v>45413</v>
      </c>
      <c r="C2130">
        <v>17745.3</v>
      </c>
    </row>
    <row r="2131" spans="1:3" ht="15" customHeight="1" x14ac:dyDescent="0.3">
      <c r="A2131" t="s">
        <v>254</v>
      </c>
      <c r="B2131" s="3">
        <v>45444</v>
      </c>
      <c r="C2131">
        <v>15502.5</v>
      </c>
    </row>
    <row r="2132" spans="1:3" ht="15" customHeight="1" x14ac:dyDescent="0.3">
      <c r="A2132" t="s">
        <v>254</v>
      </c>
      <c r="B2132" s="3">
        <v>45474</v>
      </c>
      <c r="C2132">
        <v>17358.3</v>
      </c>
    </row>
    <row r="2133" spans="1:3" ht="15" customHeight="1" x14ac:dyDescent="0.3">
      <c r="A2133" t="s">
        <v>254</v>
      </c>
      <c r="B2133" s="3">
        <v>45505</v>
      </c>
      <c r="C2133">
        <v>20842.2</v>
      </c>
    </row>
    <row r="2134" spans="1:3" ht="15" customHeight="1" x14ac:dyDescent="0.3">
      <c r="A2134" t="s">
        <v>254</v>
      </c>
      <c r="B2134" s="3">
        <v>45536</v>
      </c>
      <c r="C2134">
        <v>23841</v>
      </c>
    </row>
    <row r="2135" spans="1:3" ht="15" customHeight="1" x14ac:dyDescent="0.3">
      <c r="A2135" t="s">
        <v>254</v>
      </c>
      <c r="B2135" s="3">
        <v>45566</v>
      </c>
      <c r="C2135">
        <v>27285.3</v>
      </c>
    </row>
    <row r="2136" spans="1:3" ht="15" customHeight="1" x14ac:dyDescent="0.3">
      <c r="A2136" t="s">
        <v>254</v>
      </c>
      <c r="B2136" s="3">
        <v>45597</v>
      </c>
      <c r="C2136">
        <v>27841.5</v>
      </c>
    </row>
    <row r="2137" spans="1:3" ht="15" customHeight="1" x14ac:dyDescent="0.3">
      <c r="A2137" t="s">
        <v>254</v>
      </c>
      <c r="B2137" s="3">
        <v>45627</v>
      </c>
      <c r="C2137">
        <v>28779.3</v>
      </c>
    </row>
    <row r="2138" spans="1:3" ht="15" customHeight="1" x14ac:dyDescent="0.3">
      <c r="A2138" t="s">
        <v>254</v>
      </c>
      <c r="B2138" s="3">
        <v>45658</v>
      </c>
      <c r="C2138">
        <v>28380.6</v>
      </c>
    </row>
    <row r="2139" spans="1:3" ht="15" customHeight="1" x14ac:dyDescent="0.3">
      <c r="A2139" t="s">
        <v>254</v>
      </c>
      <c r="B2139" s="3">
        <v>45689</v>
      </c>
      <c r="C2139">
        <v>24379.200000000001</v>
      </c>
    </row>
    <row r="2140" spans="1:3" ht="15" customHeight="1" x14ac:dyDescent="0.3">
      <c r="A2140" t="s">
        <v>254</v>
      </c>
      <c r="B2140" s="3">
        <v>45717</v>
      </c>
      <c r="C2140">
        <v>23351.4</v>
      </c>
    </row>
    <row r="2141" spans="1:3" ht="15" customHeight="1" x14ac:dyDescent="0.3">
      <c r="A2141" t="s">
        <v>254</v>
      </c>
      <c r="B2141" s="3">
        <v>45748</v>
      </c>
      <c r="C2141">
        <v>19887.3</v>
      </c>
    </row>
    <row r="2142" spans="1:3" ht="15" customHeight="1" x14ac:dyDescent="0.3">
      <c r="A2142" t="s">
        <v>254</v>
      </c>
      <c r="B2142" s="3">
        <v>45778</v>
      </c>
      <c r="C2142">
        <v>17745.3</v>
      </c>
    </row>
    <row r="2143" spans="1:3" ht="15" customHeight="1" x14ac:dyDescent="0.3">
      <c r="A2143" t="s">
        <v>254</v>
      </c>
      <c r="B2143" s="3">
        <v>45809</v>
      </c>
      <c r="C2143">
        <v>15502.5</v>
      </c>
    </row>
    <row r="2144" spans="1:3" ht="15" customHeight="1" x14ac:dyDescent="0.3">
      <c r="A2144" t="s">
        <v>254</v>
      </c>
      <c r="B2144" s="3">
        <v>45839</v>
      </c>
      <c r="C2144">
        <v>17358.3</v>
      </c>
    </row>
    <row r="2145" spans="1:3" ht="15" customHeight="1" x14ac:dyDescent="0.3">
      <c r="A2145" t="s">
        <v>254</v>
      </c>
      <c r="B2145" s="3">
        <v>45870</v>
      </c>
      <c r="C2145">
        <v>20842.2</v>
      </c>
    </row>
    <row r="2146" spans="1:3" ht="15" customHeight="1" x14ac:dyDescent="0.3">
      <c r="A2146" t="s">
        <v>254</v>
      </c>
      <c r="B2146" s="3">
        <v>45901</v>
      </c>
      <c r="C2146">
        <v>23841</v>
      </c>
    </row>
    <row r="2147" spans="1:3" ht="15" customHeight="1" x14ac:dyDescent="0.3">
      <c r="A2147" t="s">
        <v>254</v>
      </c>
      <c r="B2147" s="3">
        <v>45931</v>
      </c>
      <c r="C2147">
        <v>27285.3</v>
      </c>
    </row>
    <row r="2148" spans="1:3" ht="15" customHeight="1" x14ac:dyDescent="0.3">
      <c r="A2148" t="s">
        <v>254</v>
      </c>
      <c r="B2148" s="3">
        <v>45962</v>
      </c>
      <c r="C2148">
        <v>27841.5</v>
      </c>
    </row>
    <row r="2149" spans="1:3" ht="15" customHeight="1" x14ac:dyDescent="0.3">
      <c r="A2149" t="s">
        <v>254</v>
      </c>
      <c r="B2149" s="3">
        <v>45992</v>
      </c>
      <c r="C2149">
        <v>28779.3</v>
      </c>
    </row>
    <row r="2150" spans="1:3" ht="15" customHeight="1" x14ac:dyDescent="0.3">
      <c r="A2150" t="s">
        <v>254</v>
      </c>
      <c r="B2150" s="3">
        <v>46023</v>
      </c>
      <c r="C2150">
        <v>28380.6</v>
      </c>
    </row>
    <row r="2151" spans="1:3" ht="15" customHeight="1" x14ac:dyDescent="0.3">
      <c r="A2151" t="s">
        <v>254</v>
      </c>
      <c r="B2151" s="3">
        <v>46054</v>
      </c>
      <c r="C2151">
        <v>24379.200000000001</v>
      </c>
    </row>
    <row r="2152" spans="1:3" ht="15" customHeight="1" x14ac:dyDescent="0.3">
      <c r="A2152" t="s">
        <v>254</v>
      </c>
      <c r="B2152" s="3">
        <v>46082</v>
      </c>
      <c r="C2152">
        <v>23351.4</v>
      </c>
    </row>
    <row r="2153" spans="1:3" ht="15" customHeight="1" x14ac:dyDescent="0.3">
      <c r="A2153" t="s">
        <v>254</v>
      </c>
      <c r="B2153" s="3">
        <v>46113</v>
      </c>
      <c r="C2153">
        <v>19887.3</v>
      </c>
    </row>
    <row r="2154" spans="1:3" ht="15" customHeight="1" x14ac:dyDescent="0.3">
      <c r="A2154" t="s">
        <v>254</v>
      </c>
      <c r="B2154" s="3">
        <v>46143</v>
      </c>
      <c r="C2154">
        <v>17745.3</v>
      </c>
    </row>
    <row r="2155" spans="1:3" ht="15" customHeight="1" x14ac:dyDescent="0.3">
      <c r="A2155" t="s">
        <v>254</v>
      </c>
      <c r="B2155" s="3">
        <v>46174</v>
      </c>
      <c r="C2155">
        <v>15502.5</v>
      </c>
    </row>
    <row r="2156" spans="1:3" ht="15" customHeight="1" x14ac:dyDescent="0.3">
      <c r="A2156" t="s">
        <v>254</v>
      </c>
      <c r="B2156" s="3">
        <v>46204</v>
      </c>
      <c r="C2156">
        <v>17358.3</v>
      </c>
    </row>
    <row r="2157" spans="1:3" ht="15" customHeight="1" x14ac:dyDescent="0.3">
      <c r="A2157" t="s">
        <v>254</v>
      </c>
      <c r="B2157" s="3">
        <v>46235</v>
      </c>
      <c r="C2157">
        <v>20842.2</v>
      </c>
    </row>
    <row r="2158" spans="1:3" ht="15" customHeight="1" x14ac:dyDescent="0.3">
      <c r="A2158" t="s">
        <v>254</v>
      </c>
      <c r="B2158" s="3">
        <v>46266</v>
      </c>
      <c r="C2158">
        <v>23841</v>
      </c>
    </row>
    <row r="2159" spans="1:3" ht="15" customHeight="1" x14ac:dyDescent="0.3">
      <c r="A2159" t="s">
        <v>254</v>
      </c>
      <c r="B2159" s="3">
        <v>46296</v>
      </c>
      <c r="C2159">
        <v>27285.3</v>
      </c>
    </row>
    <row r="2160" spans="1:3" ht="15" customHeight="1" x14ac:dyDescent="0.3">
      <c r="A2160" t="s">
        <v>254</v>
      </c>
      <c r="B2160" s="3">
        <v>46327</v>
      </c>
      <c r="C2160">
        <v>27841.5</v>
      </c>
    </row>
    <row r="2161" spans="1:3" ht="15" customHeight="1" x14ac:dyDescent="0.3">
      <c r="A2161" t="s">
        <v>254</v>
      </c>
      <c r="B2161" s="3">
        <v>46357</v>
      </c>
      <c r="C2161">
        <v>28779.3</v>
      </c>
    </row>
    <row r="2162" spans="1:3" ht="15" customHeight="1" x14ac:dyDescent="0.3">
      <c r="A2162" t="s">
        <v>194</v>
      </c>
      <c r="B2162" s="3">
        <v>45292</v>
      </c>
      <c r="C2162">
        <v>20564.650000000001</v>
      </c>
    </row>
    <row r="2163" spans="1:3" ht="15" customHeight="1" x14ac:dyDescent="0.3">
      <c r="A2163" t="s">
        <v>194</v>
      </c>
      <c r="B2163" s="3">
        <v>45323</v>
      </c>
      <c r="C2163">
        <v>17491.400000000001</v>
      </c>
    </row>
    <row r="2164" spans="1:3" ht="15" customHeight="1" x14ac:dyDescent="0.3">
      <c r="A2164" t="s">
        <v>194</v>
      </c>
      <c r="B2164" s="3">
        <v>45352</v>
      </c>
      <c r="C2164">
        <v>18246.650000000001</v>
      </c>
    </row>
    <row r="2165" spans="1:3" ht="15" customHeight="1" x14ac:dyDescent="0.3">
      <c r="A2165" t="s">
        <v>194</v>
      </c>
      <c r="B2165" s="3">
        <v>45383</v>
      </c>
      <c r="C2165">
        <v>15297.85</v>
      </c>
    </row>
    <row r="2166" spans="1:3" ht="15" customHeight="1" x14ac:dyDescent="0.3">
      <c r="A2166" t="s">
        <v>194</v>
      </c>
      <c r="B2166" s="3">
        <v>45413</v>
      </c>
      <c r="C2166">
        <v>14953</v>
      </c>
    </row>
    <row r="2167" spans="1:3" ht="15" customHeight="1" x14ac:dyDescent="0.3">
      <c r="A2167" t="s">
        <v>194</v>
      </c>
      <c r="B2167" s="3">
        <v>45444</v>
      </c>
      <c r="C2167">
        <v>13275.3</v>
      </c>
    </row>
    <row r="2168" spans="1:3" ht="15" customHeight="1" x14ac:dyDescent="0.3">
      <c r="A2168" t="s">
        <v>194</v>
      </c>
      <c r="B2168" s="3">
        <v>45474</v>
      </c>
      <c r="C2168">
        <v>14678.45</v>
      </c>
    </row>
    <row r="2169" spans="1:3" ht="15" customHeight="1" x14ac:dyDescent="0.3">
      <c r="A2169" t="s">
        <v>194</v>
      </c>
      <c r="B2169" s="3">
        <v>45505</v>
      </c>
      <c r="C2169">
        <v>17062.95</v>
      </c>
    </row>
    <row r="2170" spans="1:3" ht="15" customHeight="1" x14ac:dyDescent="0.3">
      <c r="A2170" t="s">
        <v>194</v>
      </c>
      <c r="B2170" s="3">
        <v>45536</v>
      </c>
      <c r="C2170">
        <v>18937.3</v>
      </c>
    </row>
    <row r="2171" spans="1:3" ht="15" customHeight="1" x14ac:dyDescent="0.3">
      <c r="A2171" t="s">
        <v>194</v>
      </c>
      <c r="B2171" s="3">
        <v>45566</v>
      </c>
      <c r="C2171">
        <v>20481.05</v>
      </c>
    </row>
    <row r="2172" spans="1:3" ht="15" customHeight="1" x14ac:dyDescent="0.3">
      <c r="A2172" t="s">
        <v>194</v>
      </c>
      <c r="B2172" s="3">
        <v>45597</v>
      </c>
      <c r="C2172">
        <v>20366.099999999999</v>
      </c>
    </row>
    <row r="2173" spans="1:3" ht="15" customHeight="1" x14ac:dyDescent="0.3">
      <c r="A2173" t="s">
        <v>194</v>
      </c>
      <c r="B2173" s="3">
        <v>45627</v>
      </c>
      <c r="C2173">
        <v>21890.85</v>
      </c>
    </row>
    <row r="2174" spans="1:3" ht="15" customHeight="1" x14ac:dyDescent="0.3">
      <c r="A2174" t="s">
        <v>194</v>
      </c>
      <c r="B2174" s="3">
        <v>45658</v>
      </c>
      <c r="C2174">
        <v>20564.650000000001</v>
      </c>
    </row>
    <row r="2175" spans="1:3" ht="15" customHeight="1" x14ac:dyDescent="0.3">
      <c r="A2175" t="s">
        <v>194</v>
      </c>
      <c r="B2175" s="3">
        <v>45689</v>
      </c>
      <c r="C2175">
        <v>17491.400000000001</v>
      </c>
    </row>
    <row r="2176" spans="1:3" ht="15" customHeight="1" x14ac:dyDescent="0.3">
      <c r="A2176" t="s">
        <v>194</v>
      </c>
      <c r="B2176" s="3">
        <v>45717</v>
      </c>
      <c r="C2176">
        <v>18246.650000000001</v>
      </c>
    </row>
    <row r="2177" spans="1:3" ht="15" customHeight="1" x14ac:dyDescent="0.3">
      <c r="A2177" t="s">
        <v>194</v>
      </c>
      <c r="B2177" s="3">
        <v>45748</v>
      </c>
      <c r="C2177">
        <v>15297.85</v>
      </c>
    </row>
    <row r="2178" spans="1:3" ht="15" customHeight="1" x14ac:dyDescent="0.3">
      <c r="A2178" t="s">
        <v>194</v>
      </c>
      <c r="B2178" s="3">
        <v>45778</v>
      </c>
      <c r="C2178">
        <v>14953</v>
      </c>
    </row>
    <row r="2179" spans="1:3" ht="15" customHeight="1" x14ac:dyDescent="0.3">
      <c r="A2179" t="s">
        <v>194</v>
      </c>
      <c r="B2179" s="3">
        <v>45809</v>
      </c>
      <c r="C2179">
        <v>13275.3</v>
      </c>
    </row>
    <row r="2180" spans="1:3" ht="15" customHeight="1" x14ac:dyDescent="0.3">
      <c r="A2180" t="s">
        <v>194</v>
      </c>
      <c r="B2180" s="3">
        <v>45839</v>
      </c>
      <c r="C2180">
        <v>14678.45</v>
      </c>
    </row>
    <row r="2181" spans="1:3" ht="15" customHeight="1" x14ac:dyDescent="0.3">
      <c r="A2181" t="s">
        <v>194</v>
      </c>
      <c r="B2181" s="3">
        <v>45870</v>
      </c>
      <c r="C2181">
        <v>17062.95</v>
      </c>
    </row>
    <row r="2182" spans="1:3" ht="15" customHeight="1" x14ac:dyDescent="0.3">
      <c r="A2182" t="s">
        <v>194</v>
      </c>
      <c r="B2182" s="3">
        <v>45901</v>
      </c>
      <c r="C2182">
        <v>18937.3</v>
      </c>
    </row>
    <row r="2183" spans="1:3" ht="15" customHeight="1" x14ac:dyDescent="0.3">
      <c r="A2183" t="s">
        <v>194</v>
      </c>
      <c r="B2183" s="3">
        <v>45931</v>
      </c>
      <c r="C2183">
        <v>20481.05</v>
      </c>
    </row>
    <row r="2184" spans="1:3" ht="15" customHeight="1" x14ac:dyDescent="0.3">
      <c r="A2184" t="s">
        <v>194</v>
      </c>
      <c r="B2184" s="3">
        <v>45962</v>
      </c>
      <c r="C2184">
        <v>20366.099999999999</v>
      </c>
    </row>
    <row r="2185" spans="1:3" ht="15" customHeight="1" x14ac:dyDescent="0.3">
      <c r="A2185" t="s">
        <v>194</v>
      </c>
      <c r="B2185" s="3">
        <v>45992</v>
      </c>
      <c r="C2185">
        <v>21890.85</v>
      </c>
    </row>
    <row r="2186" spans="1:3" ht="15" customHeight="1" x14ac:dyDescent="0.3">
      <c r="A2186" t="s">
        <v>194</v>
      </c>
      <c r="B2186" s="3">
        <v>46023</v>
      </c>
      <c r="C2186">
        <v>20564.650000000001</v>
      </c>
    </row>
    <row r="2187" spans="1:3" ht="15" customHeight="1" x14ac:dyDescent="0.3">
      <c r="A2187" t="s">
        <v>194</v>
      </c>
      <c r="B2187" s="3">
        <v>46054</v>
      </c>
      <c r="C2187">
        <v>17491.400000000001</v>
      </c>
    </row>
    <row r="2188" spans="1:3" ht="15" customHeight="1" x14ac:dyDescent="0.3">
      <c r="A2188" t="s">
        <v>194</v>
      </c>
      <c r="B2188" s="3">
        <v>46082</v>
      </c>
      <c r="C2188">
        <v>18246.650000000001</v>
      </c>
    </row>
    <row r="2189" spans="1:3" ht="15" customHeight="1" x14ac:dyDescent="0.3">
      <c r="A2189" t="s">
        <v>194</v>
      </c>
      <c r="B2189" s="3">
        <v>46113</v>
      </c>
      <c r="C2189">
        <v>15297.85</v>
      </c>
    </row>
    <row r="2190" spans="1:3" ht="15" customHeight="1" x14ac:dyDescent="0.3">
      <c r="A2190" t="s">
        <v>194</v>
      </c>
      <c r="B2190" s="3">
        <v>46143</v>
      </c>
      <c r="C2190">
        <v>14953</v>
      </c>
    </row>
    <row r="2191" spans="1:3" ht="15" customHeight="1" x14ac:dyDescent="0.3">
      <c r="A2191" t="s">
        <v>194</v>
      </c>
      <c r="B2191" s="3">
        <v>46174</v>
      </c>
      <c r="C2191">
        <v>13275.3</v>
      </c>
    </row>
    <row r="2192" spans="1:3" ht="15" customHeight="1" x14ac:dyDescent="0.3">
      <c r="A2192" t="s">
        <v>194</v>
      </c>
      <c r="B2192" s="3">
        <v>46204</v>
      </c>
      <c r="C2192">
        <v>14678.45</v>
      </c>
    </row>
    <row r="2193" spans="1:3" ht="15" customHeight="1" x14ac:dyDescent="0.3">
      <c r="A2193" t="s">
        <v>194</v>
      </c>
      <c r="B2193" s="3">
        <v>46235</v>
      </c>
      <c r="C2193">
        <v>17062.95</v>
      </c>
    </row>
    <row r="2194" spans="1:3" ht="15" customHeight="1" x14ac:dyDescent="0.3">
      <c r="A2194" t="s">
        <v>194</v>
      </c>
      <c r="B2194" s="3">
        <v>46266</v>
      </c>
      <c r="C2194">
        <v>18937.3</v>
      </c>
    </row>
    <row r="2195" spans="1:3" ht="15" customHeight="1" x14ac:dyDescent="0.3">
      <c r="A2195" t="s">
        <v>194</v>
      </c>
      <c r="B2195" s="3">
        <v>46296</v>
      </c>
      <c r="C2195">
        <v>20481.05</v>
      </c>
    </row>
    <row r="2196" spans="1:3" ht="15" customHeight="1" x14ac:dyDescent="0.3">
      <c r="A2196" t="s">
        <v>194</v>
      </c>
      <c r="B2196" s="3">
        <v>46327</v>
      </c>
      <c r="C2196">
        <v>20366.099999999999</v>
      </c>
    </row>
    <row r="2197" spans="1:3" ht="15" customHeight="1" x14ac:dyDescent="0.3">
      <c r="A2197" t="s">
        <v>194</v>
      </c>
      <c r="B2197" s="3">
        <v>46357</v>
      </c>
      <c r="C2197">
        <v>21890.85</v>
      </c>
    </row>
    <row r="2198" spans="1:3" ht="15" customHeight="1" x14ac:dyDescent="0.3">
      <c r="A2198" t="s">
        <v>196</v>
      </c>
      <c r="B2198" s="3">
        <v>45292</v>
      </c>
      <c r="C2198">
        <v>37513.599999999999</v>
      </c>
    </row>
    <row r="2199" spans="1:3" ht="15" customHeight="1" x14ac:dyDescent="0.3">
      <c r="A2199" t="s">
        <v>196</v>
      </c>
      <c r="B2199" s="3">
        <v>45323</v>
      </c>
      <c r="C2199">
        <v>31212.25</v>
      </c>
    </row>
    <row r="2200" spans="1:3" ht="15" customHeight="1" x14ac:dyDescent="0.3">
      <c r="A2200" t="s">
        <v>196</v>
      </c>
      <c r="B2200" s="3">
        <v>45352</v>
      </c>
      <c r="C2200">
        <v>29700.134999999998</v>
      </c>
    </row>
    <row r="2201" spans="1:3" ht="15" customHeight="1" x14ac:dyDescent="0.3">
      <c r="A2201" t="s">
        <v>196</v>
      </c>
      <c r="B2201" s="3">
        <v>45383</v>
      </c>
      <c r="C2201">
        <v>24898.55</v>
      </c>
    </row>
    <row r="2202" spans="1:3" ht="15" customHeight="1" x14ac:dyDescent="0.3">
      <c r="A2202" t="s">
        <v>196</v>
      </c>
      <c r="B2202" s="3">
        <v>45413</v>
      </c>
      <c r="C2202">
        <v>21981.1</v>
      </c>
    </row>
    <row r="2203" spans="1:3" ht="15" customHeight="1" x14ac:dyDescent="0.3">
      <c r="A2203" t="s">
        <v>196</v>
      </c>
      <c r="B2203" s="3">
        <v>45444</v>
      </c>
      <c r="C2203">
        <v>18982.900000000001</v>
      </c>
    </row>
    <row r="2204" spans="1:3" ht="15" customHeight="1" x14ac:dyDescent="0.3">
      <c r="A2204" t="s">
        <v>196</v>
      </c>
      <c r="B2204" s="3">
        <v>45474</v>
      </c>
      <c r="C2204">
        <v>21551.7</v>
      </c>
    </row>
    <row r="2205" spans="1:3" ht="15" customHeight="1" x14ac:dyDescent="0.3">
      <c r="A2205" t="s">
        <v>196</v>
      </c>
      <c r="B2205" s="3">
        <v>45505</v>
      </c>
      <c r="C2205">
        <v>26041.4</v>
      </c>
    </row>
    <row r="2206" spans="1:3" ht="15" customHeight="1" x14ac:dyDescent="0.3">
      <c r="A2206" t="s">
        <v>196</v>
      </c>
      <c r="B2206" s="3">
        <v>45536</v>
      </c>
      <c r="C2206">
        <v>29888.9</v>
      </c>
    </row>
    <row r="2207" spans="1:3" ht="15" customHeight="1" x14ac:dyDescent="0.3">
      <c r="A2207" t="s">
        <v>196</v>
      </c>
      <c r="B2207" s="3">
        <v>45566</v>
      </c>
      <c r="C2207">
        <v>34705.4</v>
      </c>
    </row>
    <row r="2208" spans="1:3" ht="15" customHeight="1" x14ac:dyDescent="0.3">
      <c r="A2208" t="s">
        <v>196</v>
      </c>
      <c r="B2208" s="3">
        <v>45597</v>
      </c>
      <c r="C2208">
        <v>36881.85</v>
      </c>
    </row>
    <row r="2209" spans="1:3" ht="15" customHeight="1" x14ac:dyDescent="0.3">
      <c r="A2209" t="s">
        <v>196</v>
      </c>
      <c r="B2209" s="3">
        <v>45627</v>
      </c>
      <c r="C2209">
        <v>40110.9</v>
      </c>
    </row>
    <row r="2210" spans="1:3" ht="15" customHeight="1" x14ac:dyDescent="0.3">
      <c r="A2210" t="s">
        <v>196</v>
      </c>
      <c r="B2210" s="3">
        <v>45658</v>
      </c>
      <c r="C2210">
        <v>37513.599999999999</v>
      </c>
    </row>
    <row r="2211" spans="1:3" ht="15" customHeight="1" x14ac:dyDescent="0.3">
      <c r="A2211" t="s">
        <v>196</v>
      </c>
      <c r="B2211" s="3">
        <v>45689</v>
      </c>
      <c r="C2211">
        <v>31212.25</v>
      </c>
    </row>
    <row r="2212" spans="1:3" ht="15" customHeight="1" x14ac:dyDescent="0.3">
      <c r="A2212" t="s">
        <v>196</v>
      </c>
      <c r="B2212" s="3">
        <v>45717</v>
      </c>
      <c r="C2212">
        <v>29700.134999999998</v>
      </c>
    </row>
    <row r="2213" spans="1:3" ht="15" customHeight="1" x14ac:dyDescent="0.3">
      <c r="A2213" t="s">
        <v>196</v>
      </c>
      <c r="B2213" s="3">
        <v>45748</v>
      </c>
      <c r="C2213">
        <v>24898.55</v>
      </c>
    </row>
    <row r="2214" spans="1:3" ht="15" customHeight="1" x14ac:dyDescent="0.3">
      <c r="A2214" t="s">
        <v>196</v>
      </c>
      <c r="B2214" s="3">
        <v>45778</v>
      </c>
      <c r="C2214">
        <v>21981.1</v>
      </c>
    </row>
    <row r="2215" spans="1:3" ht="15" customHeight="1" x14ac:dyDescent="0.3">
      <c r="A2215" t="s">
        <v>196</v>
      </c>
      <c r="B2215" s="3">
        <v>45809</v>
      </c>
      <c r="C2215">
        <v>18982.900000000001</v>
      </c>
    </row>
    <row r="2216" spans="1:3" ht="15" customHeight="1" x14ac:dyDescent="0.3">
      <c r="A2216" t="s">
        <v>196</v>
      </c>
      <c r="B2216" s="3">
        <v>45839</v>
      </c>
      <c r="C2216">
        <v>21551.7</v>
      </c>
    </row>
    <row r="2217" spans="1:3" ht="15" customHeight="1" x14ac:dyDescent="0.3">
      <c r="A2217" t="s">
        <v>196</v>
      </c>
      <c r="B2217" s="3">
        <v>45870</v>
      </c>
      <c r="C2217">
        <v>26041.4</v>
      </c>
    </row>
    <row r="2218" spans="1:3" ht="15" customHeight="1" x14ac:dyDescent="0.3">
      <c r="A2218" t="s">
        <v>196</v>
      </c>
      <c r="B2218" s="3">
        <v>45901</v>
      </c>
      <c r="C2218">
        <v>29888.9</v>
      </c>
    </row>
    <row r="2219" spans="1:3" ht="15" customHeight="1" x14ac:dyDescent="0.3">
      <c r="A2219" t="s">
        <v>196</v>
      </c>
      <c r="B2219" s="3">
        <v>45931</v>
      </c>
      <c r="C2219">
        <v>34705.4</v>
      </c>
    </row>
    <row r="2220" spans="1:3" ht="15" customHeight="1" x14ac:dyDescent="0.3">
      <c r="A2220" t="s">
        <v>196</v>
      </c>
      <c r="B2220" s="3">
        <v>45962</v>
      </c>
      <c r="C2220">
        <v>36881.85</v>
      </c>
    </row>
    <row r="2221" spans="1:3" ht="15" customHeight="1" x14ac:dyDescent="0.3">
      <c r="A2221" t="s">
        <v>196</v>
      </c>
      <c r="B2221" s="3">
        <v>45992</v>
      </c>
      <c r="C2221">
        <v>40110.9</v>
      </c>
    </row>
    <row r="2222" spans="1:3" ht="15" customHeight="1" x14ac:dyDescent="0.3">
      <c r="A2222" t="s">
        <v>196</v>
      </c>
      <c r="B2222" s="3">
        <v>46023</v>
      </c>
      <c r="C2222">
        <v>37513.599999999999</v>
      </c>
    </row>
    <row r="2223" spans="1:3" ht="15" customHeight="1" x14ac:dyDescent="0.3">
      <c r="A2223" t="s">
        <v>196</v>
      </c>
      <c r="B2223" s="3">
        <v>46054</v>
      </c>
      <c r="C2223">
        <v>31212.25</v>
      </c>
    </row>
    <row r="2224" spans="1:3" ht="15" customHeight="1" x14ac:dyDescent="0.3">
      <c r="A2224" t="s">
        <v>196</v>
      </c>
      <c r="B2224" s="3">
        <v>46082</v>
      </c>
      <c r="C2224">
        <v>29700.134999999998</v>
      </c>
    </row>
    <row r="2225" spans="1:3" ht="15" customHeight="1" x14ac:dyDescent="0.3">
      <c r="A2225" t="s">
        <v>196</v>
      </c>
      <c r="B2225" s="3">
        <v>46113</v>
      </c>
      <c r="C2225">
        <v>24898.55</v>
      </c>
    </row>
    <row r="2226" spans="1:3" ht="15" customHeight="1" x14ac:dyDescent="0.3">
      <c r="A2226" t="s">
        <v>196</v>
      </c>
      <c r="B2226" s="3">
        <v>46143</v>
      </c>
      <c r="C2226">
        <v>21981.1</v>
      </c>
    </row>
    <row r="2227" spans="1:3" ht="15" customHeight="1" x14ac:dyDescent="0.3">
      <c r="A2227" t="s">
        <v>196</v>
      </c>
      <c r="B2227" s="3">
        <v>46174</v>
      </c>
      <c r="C2227">
        <v>18982.900000000001</v>
      </c>
    </row>
    <row r="2228" spans="1:3" ht="15" customHeight="1" x14ac:dyDescent="0.3">
      <c r="A2228" t="s">
        <v>196</v>
      </c>
      <c r="B2228" s="3">
        <v>46204</v>
      </c>
      <c r="C2228">
        <v>21551.7</v>
      </c>
    </row>
    <row r="2229" spans="1:3" ht="15" customHeight="1" x14ac:dyDescent="0.3">
      <c r="A2229" t="s">
        <v>196</v>
      </c>
      <c r="B2229" s="3">
        <v>46235</v>
      </c>
      <c r="C2229">
        <v>26041.4</v>
      </c>
    </row>
    <row r="2230" spans="1:3" ht="15" customHeight="1" x14ac:dyDescent="0.3">
      <c r="A2230" t="s">
        <v>196</v>
      </c>
      <c r="B2230" s="3">
        <v>46266</v>
      </c>
      <c r="C2230">
        <v>29888.9</v>
      </c>
    </row>
    <row r="2231" spans="1:3" ht="15" customHeight="1" x14ac:dyDescent="0.3">
      <c r="A2231" t="s">
        <v>196</v>
      </c>
      <c r="B2231" s="3">
        <v>46296</v>
      </c>
      <c r="C2231">
        <v>34705.4</v>
      </c>
    </row>
    <row r="2232" spans="1:3" ht="15" customHeight="1" x14ac:dyDescent="0.3">
      <c r="A2232" t="s">
        <v>196</v>
      </c>
      <c r="B2232" s="3">
        <v>46327</v>
      </c>
      <c r="C2232">
        <v>36881.85</v>
      </c>
    </row>
    <row r="2233" spans="1:3" ht="15" customHeight="1" x14ac:dyDescent="0.3">
      <c r="A2233" t="s">
        <v>196</v>
      </c>
      <c r="B2233" s="3">
        <v>46357</v>
      </c>
      <c r="C2233">
        <v>40110.9</v>
      </c>
    </row>
    <row r="2234" spans="1:3" ht="15" customHeight="1" x14ac:dyDescent="0.3">
      <c r="A2234" t="s">
        <v>198</v>
      </c>
      <c r="B2234" s="3">
        <v>45292</v>
      </c>
      <c r="C2234">
        <v>34074.9</v>
      </c>
    </row>
    <row r="2235" spans="1:3" ht="15" customHeight="1" x14ac:dyDescent="0.3">
      <c r="A2235" t="s">
        <v>198</v>
      </c>
      <c r="B2235" s="3">
        <v>45323</v>
      </c>
      <c r="C2235">
        <v>28396.799999999999</v>
      </c>
    </row>
    <row r="2236" spans="1:3" ht="15" customHeight="1" x14ac:dyDescent="0.3">
      <c r="A2236" t="s">
        <v>198</v>
      </c>
      <c r="B2236" s="3">
        <v>45352</v>
      </c>
      <c r="C2236">
        <v>28665.9</v>
      </c>
    </row>
    <row r="2237" spans="1:3" ht="15" customHeight="1" x14ac:dyDescent="0.3">
      <c r="A2237" t="s">
        <v>198</v>
      </c>
      <c r="B2237" s="3">
        <v>45383</v>
      </c>
      <c r="C2237">
        <v>24411.599999999999</v>
      </c>
    </row>
    <row r="2238" spans="1:3" ht="15" customHeight="1" x14ac:dyDescent="0.3">
      <c r="A2238" t="s">
        <v>198</v>
      </c>
      <c r="B2238" s="3">
        <v>45413</v>
      </c>
      <c r="C2238">
        <v>22266.9</v>
      </c>
    </row>
    <row r="2239" spans="1:3" ht="15" customHeight="1" x14ac:dyDescent="0.3">
      <c r="A2239" t="s">
        <v>198</v>
      </c>
      <c r="B2239" s="3">
        <v>45444</v>
      </c>
      <c r="C2239">
        <v>19791.900000000001</v>
      </c>
    </row>
    <row r="2240" spans="1:3" ht="15" customHeight="1" x14ac:dyDescent="0.3">
      <c r="A2240" t="s">
        <v>198</v>
      </c>
      <c r="B2240" s="3">
        <v>45474</v>
      </c>
      <c r="C2240">
        <v>21774.6</v>
      </c>
    </row>
    <row r="2241" spans="1:3" ht="15" customHeight="1" x14ac:dyDescent="0.3">
      <c r="A2241" t="s">
        <v>198</v>
      </c>
      <c r="B2241" s="3">
        <v>45505</v>
      </c>
      <c r="C2241">
        <v>25973.1</v>
      </c>
    </row>
    <row r="2242" spans="1:3" ht="15" customHeight="1" x14ac:dyDescent="0.3">
      <c r="A2242" t="s">
        <v>198</v>
      </c>
      <c r="B2242" s="3">
        <v>45536</v>
      </c>
      <c r="C2242">
        <v>28984.5</v>
      </c>
    </row>
    <row r="2243" spans="1:3" ht="15" customHeight="1" x14ac:dyDescent="0.3">
      <c r="A2243" t="s">
        <v>198</v>
      </c>
      <c r="B2243" s="3">
        <v>45566</v>
      </c>
      <c r="C2243">
        <v>33058.800000000003</v>
      </c>
    </row>
    <row r="2244" spans="1:3" ht="15" customHeight="1" x14ac:dyDescent="0.3">
      <c r="A2244" t="s">
        <v>198</v>
      </c>
      <c r="B2244" s="3">
        <v>45597</v>
      </c>
      <c r="C2244">
        <v>34366.5</v>
      </c>
    </row>
    <row r="2245" spans="1:3" ht="15" customHeight="1" x14ac:dyDescent="0.3">
      <c r="A2245" t="s">
        <v>198</v>
      </c>
      <c r="B2245" s="3">
        <v>45627</v>
      </c>
      <c r="C2245">
        <v>36320.400000000001</v>
      </c>
    </row>
    <row r="2246" spans="1:3" ht="15" customHeight="1" x14ac:dyDescent="0.3">
      <c r="A2246" t="s">
        <v>198</v>
      </c>
      <c r="B2246" s="3">
        <v>45658</v>
      </c>
      <c r="C2246">
        <v>34074.9</v>
      </c>
    </row>
    <row r="2247" spans="1:3" ht="15" customHeight="1" x14ac:dyDescent="0.3">
      <c r="A2247" t="s">
        <v>198</v>
      </c>
      <c r="B2247" s="3">
        <v>45689</v>
      </c>
      <c r="C2247">
        <v>28396.799999999999</v>
      </c>
    </row>
    <row r="2248" spans="1:3" ht="15" customHeight="1" x14ac:dyDescent="0.3">
      <c r="A2248" t="s">
        <v>198</v>
      </c>
      <c r="B2248" s="3">
        <v>45717</v>
      </c>
      <c r="C2248">
        <v>28665.9</v>
      </c>
    </row>
    <row r="2249" spans="1:3" ht="15" customHeight="1" x14ac:dyDescent="0.3">
      <c r="A2249" t="s">
        <v>198</v>
      </c>
      <c r="B2249" s="3">
        <v>45748</v>
      </c>
      <c r="C2249">
        <v>24411.599999999999</v>
      </c>
    </row>
    <row r="2250" spans="1:3" ht="15" customHeight="1" x14ac:dyDescent="0.3">
      <c r="A2250" t="s">
        <v>198</v>
      </c>
      <c r="B2250" s="3">
        <v>45778</v>
      </c>
      <c r="C2250">
        <v>22266.9</v>
      </c>
    </row>
    <row r="2251" spans="1:3" ht="15" customHeight="1" x14ac:dyDescent="0.3">
      <c r="A2251" t="s">
        <v>198</v>
      </c>
      <c r="B2251" s="3">
        <v>45809</v>
      </c>
      <c r="C2251">
        <v>19791.900000000001</v>
      </c>
    </row>
    <row r="2252" spans="1:3" ht="15" customHeight="1" x14ac:dyDescent="0.3">
      <c r="A2252" t="s">
        <v>198</v>
      </c>
      <c r="B2252" s="3">
        <v>45839</v>
      </c>
      <c r="C2252">
        <v>21774.6</v>
      </c>
    </row>
    <row r="2253" spans="1:3" ht="15" customHeight="1" x14ac:dyDescent="0.3">
      <c r="A2253" t="s">
        <v>198</v>
      </c>
      <c r="B2253" s="3">
        <v>45870</v>
      </c>
      <c r="C2253">
        <v>25973.1</v>
      </c>
    </row>
    <row r="2254" spans="1:3" ht="15" customHeight="1" x14ac:dyDescent="0.3">
      <c r="A2254" t="s">
        <v>198</v>
      </c>
      <c r="B2254" s="3">
        <v>45901</v>
      </c>
      <c r="C2254">
        <v>28984.5</v>
      </c>
    </row>
    <row r="2255" spans="1:3" ht="15" customHeight="1" x14ac:dyDescent="0.3">
      <c r="A2255" t="s">
        <v>198</v>
      </c>
      <c r="B2255" s="3">
        <v>45931</v>
      </c>
      <c r="C2255">
        <v>33058.800000000003</v>
      </c>
    </row>
    <row r="2256" spans="1:3" ht="15" customHeight="1" x14ac:dyDescent="0.3">
      <c r="A2256" t="s">
        <v>198</v>
      </c>
      <c r="B2256" s="3">
        <v>45962</v>
      </c>
      <c r="C2256">
        <v>34366.5</v>
      </c>
    </row>
    <row r="2257" spans="1:3" ht="15" customHeight="1" x14ac:dyDescent="0.3">
      <c r="A2257" t="s">
        <v>198</v>
      </c>
      <c r="B2257" s="3">
        <v>45992</v>
      </c>
      <c r="C2257">
        <v>36320.400000000001</v>
      </c>
    </row>
    <row r="2258" spans="1:3" ht="15" customHeight="1" x14ac:dyDescent="0.3">
      <c r="A2258" t="s">
        <v>198</v>
      </c>
      <c r="B2258" s="3">
        <v>46023</v>
      </c>
      <c r="C2258">
        <v>34074.9</v>
      </c>
    </row>
    <row r="2259" spans="1:3" ht="15" customHeight="1" x14ac:dyDescent="0.3">
      <c r="A2259" t="s">
        <v>198</v>
      </c>
      <c r="B2259" s="3">
        <v>46054</v>
      </c>
      <c r="C2259">
        <v>28396.799999999999</v>
      </c>
    </row>
    <row r="2260" spans="1:3" ht="15" customHeight="1" x14ac:dyDescent="0.3">
      <c r="A2260" t="s">
        <v>198</v>
      </c>
      <c r="B2260" s="3">
        <v>46082</v>
      </c>
      <c r="C2260">
        <v>28665.9</v>
      </c>
    </row>
    <row r="2261" spans="1:3" ht="15" customHeight="1" x14ac:dyDescent="0.3">
      <c r="A2261" t="s">
        <v>198</v>
      </c>
      <c r="B2261" s="3">
        <v>46113</v>
      </c>
      <c r="C2261">
        <v>24411.599999999999</v>
      </c>
    </row>
    <row r="2262" spans="1:3" ht="15" customHeight="1" x14ac:dyDescent="0.3">
      <c r="A2262" t="s">
        <v>198</v>
      </c>
      <c r="B2262" s="3">
        <v>46143</v>
      </c>
      <c r="C2262">
        <v>22266.9</v>
      </c>
    </row>
    <row r="2263" spans="1:3" ht="15" customHeight="1" x14ac:dyDescent="0.3">
      <c r="A2263" t="s">
        <v>198</v>
      </c>
      <c r="B2263" s="3">
        <v>46174</v>
      </c>
      <c r="C2263">
        <v>19791.900000000001</v>
      </c>
    </row>
    <row r="2264" spans="1:3" ht="15" customHeight="1" x14ac:dyDescent="0.3">
      <c r="A2264" t="s">
        <v>198</v>
      </c>
      <c r="B2264" s="3">
        <v>46204</v>
      </c>
      <c r="C2264">
        <v>21774.6</v>
      </c>
    </row>
    <row r="2265" spans="1:3" ht="15" customHeight="1" x14ac:dyDescent="0.3">
      <c r="A2265" t="s">
        <v>198</v>
      </c>
      <c r="B2265" s="3">
        <v>46235</v>
      </c>
      <c r="C2265">
        <v>25973.1</v>
      </c>
    </row>
    <row r="2266" spans="1:3" ht="15" customHeight="1" x14ac:dyDescent="0.3">
      <c r="A2266" t="s">
        <v>198</v>
      </c>
      <c r="B2266" s="3">
        <v>46266</v>
      </c>
      <c r="C2266">
        <v>28984.5</v>
      </c>
    </row>
    <row r="2267" spans="1:3" ht="15" customHeight="1" x14ac:dyDescent="0.3">
      <c r="A2267" t="s">
        <v>198</v>
      </c>
      <c r="B2267" s="3">
        <v>46296</v>
      </c>
      <c r="C2267">
        <v>33058.800000000003</v>
      </c>
    </row>
    <row r="2268" spans="1:3" ht="15" customHeight="1" x14ac:dyDescent="0.3">
      <c r="A2268" t="s">
        <v>198</v>
      </c>
      <c r="B2268" s="3">
        <v>46327</v>
      </c>
      <c r="C2268">
        <v>34366.5</v>
      </c>
    </row>
    <row r="2269" spans="1:3" ht="15" customHeight="1" x14ac:dyDescent="0.3">
      <c r="A2269" t="s">
        <v>198</v>
      </c>
      <c r="B2269" s="3">
        <v>46357</v>
      </c>
      <c r="C2269">
        <v>36320.400000000001</v>
      </c>
    </row>
    <row r="2270" spans="1:3" ht="15" customHeight="1" x14ac:dyDescent="0.3">
      <c r="A2270" t="s">
        <v>200</v>
      </c>
      <c r="B2270" s="3">
        <v>45292</v>
      </c>
      <c r="C2270">
        <v>20588.400000000001</v>
      </c>
    </row>
    <row r="2271" spans="1:3" ht="15" customHeight="1" x14ac:dyDescent="0.3">
      <c r="A2271" t="s">
        <v>200</v>
      </c>
      <c r="B2271" s="3">
        <v>45323</v>
      </c>
      <c r="C2271">
        <v>17538.3</v>
      </c>
    </row>
    <row r="2272" spans="1:3" ht="15" customHeight="1" x14ac:dyDescent="0.3">
      <c r="A2272" t="s">
        <v>200</v>
      </c>
      <c r="B2272" s="3">
        <v>45352</v>
      </c>
      <c r="C2272">
        <v>17897.400000000001</v>
      </c>
    </row>
    <row r="2273" spans="1:3" ht="15" customHeight="1" x14ac:dyDescent="0.3">
      <c r="A2273" t="s">
        <v>200</v>
      </c>
      <c r="B2273" s="3">
        <v>45383</v>
      </c>
      <c r="C2273">
        <v>14674.5</v>
      </c>
    </row>
    <row r="2274" spans="1:3" ht="15" customHeight="1" x14ac:dyDescent="0.3">
      <c r="A2274" t="s">
        <v>200</v>
      </c>
      <c r="B2274" s="3">
        <v>45413</v>
      </c>
      <c r="C2274">
        <v>13272.3</v>
      </c>
    </row>
    <row r="2275" spans="1:3" ht="15" customHeight="1" x14ac:dyDescent="0.3">
      <c r="A2275" t="s">
        <v>200</v>
      </c>
      <c r="B2275" s="3">
        <v>45444</v>
      </c>
      <c r="C2275">
        <v>11571.3</v>
      </c>
    </row>
    <row r="2276" spans="1:3" ht="15" customHeight="1" x14ac:dyDescent="0.3">
      <c r="A2276" t="s">
        <v>200</v>
      </c>
      <c r="B2276" s="3">
        <v>45474</v>
      </c>
      <c r="C2276">
        <v>12990.6</v>
      </c>
    </row>
    <row r="2277" spans="1:3" ht="15" customHeight="1" x14ac:dyDescent="0.3">
      <c r="A2277" t="s">
        <v>200</v>
      </c>
      <c r="B2277" s="3">
        <v>45505</v>
      </c>
      <c r="C2277">
        <v>15871.5</v>
      </c>
    </row>
    <row r="2278" spans="1:3" ht="15" customHeight="1" x14ac:dyDescent="0.3">
      <c r="A2278" t="s">
        <v>200</v>
      </c>
      <c r="B2278" s="3">
        <v>45536</v>
      </c>
      <c r="C2278">
        <v>18317.7</v>
      </c>
    </row>
    <row r="2279" spans="1:3" ht="15" customHeight="1" x14ac:dyDescent="0.3">
      <c r="A2279" t="s">
        <v>200</v>
      </c>
      <c r="B2279" s="3">
        <v>45566</v>
      </c>
      <c r="C2279">
        <v>20121.3</v>
      </c>
    </row>
    <row r="2280" spans="1:3" ht="15" customHeight="1" x14ac:dyDescent="0.3">
      <c r="A2280" t="s">
        <v>200</v>
      </c>
      <c r="B2280" s="3">
        <v>45597</v>
      </c>
      <c r="C2280">
        <v>20573.099999999999</v>
      </c>
    </row>
    <row r="2281" spans="1:3" ht="15" customHeight="1" x14ac:dyDescent="0.3">
      <c r="A2281" t="s">
        <v>200</v>
      </c>
      <c r="B2281" s="3">
        <v>45627</v>
      </c>
      <c r="C2281">
        <v>21930.3</v>
      </c>
    </row>
    <row r="2282" spans="1:3" ht="15" customHeight="1" x14ac:dyDescent="0.3">
      <c r="A2282" t="s">
        <v>200</v>
      </c>
      <c r="B2282" s="3">
        <v>45658</v>
      </c>
      <c r="C2282">
        <v>20588.400000000001</v>
      </c>
    </row>
    <row r="2283" spans="1:3" ht="15" customHeight="1" x14ac:dyDescent="0.3">
      <c r="A2283" t="s">
        <v>200</v>
      </c>
      <c r="B2283" s="3">
        <v>45689</v>
      </c>
      <c r="C2283">
        <v>17538.3</v>
      </c>
    </row>
    <row r="2284" spans="1:3" ht="15" customHeight="1" x14ac:dyDescent="0.3">
      <c r="A2284" t="s">
        <v>200</v>
      </c>
      <c r="B2284" s="3">
        <v>45717</v>
      </c>
      <c r="C2284">
        <v>17897.400000000001</v>
      </c>
    </row>
    <row r="2285" spans="1:3" ht="15" customHeight="1" x14ac:dyDescent="0.3">
      <c r="A2285" t="s">
        <v>200</v>
      </c>
      <c r="B2285" s="3">
        <v>45748</v>
      </c>
      <c r="C2285">
        <v>14674.5</v>
      </c>
    </row>
    <row r="2286" spans="1:3" ht="15" customHeight="1" x14ac:dyDescent="0.3">
      <c r="A2286" t="s">
        <v>200</v>
      </c>
      <c r="B2286" s="3">
        <v>45778</v>
      </c>
      <c r="C2286">
        <v>13272.3</v>
      </c>
    </row>
    <row r="2287" spans="1:3" ht="15" customHeight="1" x14ac:dyDescent="0.3">
      <c r="A2287" t="s">
        <v>200</v>
      </c>
      <c r="B2287" s="3">
        <v>45809</v>
      </c>
      <c r="C2287">
        <v>11571.3</v>
      </c>
    </row>
    <row r="2288" spans="1:3" ht="15" customHeight="1" x14ac:dyDescent="0.3">
      <c r="A2288" t="s">
        <v>200</v>
      </c>
      <c r="B2288" s="3">
        <v>45839</v>
      </c>
      <c r="C2288">
        <v>12990.6</v>
      </c>
    </row>
    <row r="2289" spans="1:3" ht="15" customHeight="1" x14ac:dyDescent="0.3">
      <c r="A2289" t="s">
        <v>200</v>
      </c>
      <c r="B2289" s="3">
        <v>45870</v>
      </c>
      <c r="C2289">
        <v>15871.5</v>
      </c>
    </row>
    <row r="2290" spans="1:3" ht="15" customHeight="1" x14ac:dyDescent="0.3">
      <c r="A2290" t="s">
        <v>200</v>
      </c>
      <c r="B2290" s="3">
        <v>45901</v>
      </c>
      <c r="C2290">
        <v>18317.7</v>
      </c>
    </row>
    <row r="2291" spans="1:3" ht="15" customHeight="1" x14ac:dyDescent="0.3">
      <c r="A2291" t="s">
        <v>200</v>
      </c>
      <c r="B2291" s="3">
        <v>45931</v>
      </c>
      <c r="C2291">
        <v>20121.3</v>
      </c>
    </row>
    <row r="2292" spans="1:3" ht="15" customHeight="1" x14ac:dyDescent="0.3">
      <c r="A2292" t="s">
        <v>200</v>
      </c>
      <c r="B2292" s="3">
        <v>45962</v>
      </c>
      <c r="C2292">
        <v>20573.099999999999</v>
      </c>
    </row>
    <row r="2293" spans="1:3" ht="15" customHeight="1" x14ac:dyDescent="0.3">
      <c r="A2293" t="s">
        <v>200</v>
      </c>
      <c r="B2293" s="3">
        <v>45992</v>
      </c>
      <c r="C2293">
        <v>21930.3</v>
      </c>
    </row>
    <row r="2294" spans="1:3" ht="15" customHeight="1" x14ac:dyDescent="0.3">
      <c r="A2294" t="s">
        <v>200</v>
      </c>
      <c r="B2294" s="3">
        <v>46023</v>
      </c>
      <c r="C2294">
        <v>20588.400000000001</v>
      </c>
    </row>
    <row r="2295" spans="1:3" ht="15" customHeight="1" x14ac:dyDescent="0.3">
      <c r="A2295" t="s">
        <v>200</v>
      </c>
      <c r="B2295" s="3">
        <v>46054</v>
      </c>
      <c r="C2295">
        <v>17538.3</v>
      </c>
    </row>
    <row r="2296" spans="1:3" ht="15" customHeight="1" x14ac:dyDescent="0.3">
      <c r="A2296" t="s">
        <v>200</v>
      </c>
      <c r="B2296" s="3">
        <v>46082</v>
      </c>
      <c r="C2296">
        <v>17897.400000000001</v>
      </c>
    </row>
    <row r="2297" spans="1:3" ht="15" customHeight="1" x14ac:dyDescent="0.3">
      <c r="A2297" t="s">
        <v>200</v>
      </c>
      <c r="B2297" s="3">
        <v>46113</v>
      </c>
      <c r="C2297">
        <v>14674.5</v>
      </c>
    </row>
    <row r="2298" spans="1:3" ht="15" customHeight="1" x14ac:dyDescent="0.3">
      <c r="A2298" t="s">
        <v>200</v>
      </c>
      <c r="B2298" s="3">
        <v>46143</v>
      </c>
      <c r="C2298">
        <v>13272.3</v>
      </c>
    </row>
    <row r="2299" spans="1:3" ht="15" customHeight="1" x14ac:dyDescent="0.3">
      <c r="A2299" t="s">
        <v>200</v>
      </c>
      <c r="B2299" s="3">
        <v>46174</v>
      </c>
      <c r="C2299">
        <v>11571.3</v>
      </c>
    </row>
    <row r="2300" spans="1:3" ht="15" customHeight="1" x14ac:dyDescent="0.3">
      <c r="A2300" t="s">
        <v>200</v>
      </c>
      <c r="B2300" s="3">
        <v>46204</v>
      </c>
      <c r="C2300">
        <v>12990.6</v>
      </c>
    </row>
    <row r="2301" spans="1:3" ht="15" customHeight="1" x14ac:dyDescent="0.3">
      <c r="A2301" t="s">
        <v>200</v>
      </c>
      <c r="B2301" s="3">
        <v>46235</v>
      </c>
      <c r="C2301">
        <v>15871.5</v>
      </c>
    </row>
    <row r="2302" spans="1:3" ht="15" customHeight="1" x14ac:dyDescent="0.3">
      <c r="A2302" t="s">
        <v>200</v>
      </c>
      <c r="B2302" s="3">
        <v>46266</v>
      </c>
      <c r="C2302">
        <v>18317.7</v>
      </c>
    </row>
    <row r="2303" spans="1:3" ht="15" customHeight="1" x14ac:dyDescent="0.3">
      <c r="A2303" t="s">
        <v>200</v>
      </c>
      <c r="B2303" s="3">
        <v>46296</v>
      </c>
      <c r="C2303">
        <v>20121.3</v>
      </c>
    </row>
    <row r="2304" spans="1:3" ht="15" customHeight="1" x14ac:dyDescent="0.3">
      <c r="A2304" t="s">
        <v>200</v>
      </c>
      <c r="B2304" s="3">
        <v>46327</v>
      </c>
      <c r="C2304">
        <v>20573.099999999999</v>
      </c>
    </row>
    <row r="2305" spans="1:3" ht="15" customHeight="1" x14ac:dyDescent="0.3">
      <c r="A2305" t="s">
        <v>200</v>
      </c>
      <c r="B2305" s="3">
        <v>46357</v>
      </c>
      <c r="C2305">
        <v>21930.3</v>
      </c>
    </row>
    <row r="2306" spans="1:3" ht="15" customHeight="1" x14ac:dyDescent="0.3">
      <c r="A2306" t="s">
        <v>239</v>
      </c>
      <c r="B2306" s="3">
        <v>45292</v>
      </c>
      <c r="C2306">
        <v>30721.5</v>
      </c>
    </row>
    <row r="2307" spans="1:3" ht="15" customHeight="1" x14ac:dyDescent="0.3">
      <c r="A2307" t="s">
        <v>239</v>
      </c>
      <c r="B2307" s="3">
        <v>45323</v>
      </c>
      <c r="C2307">
        <v>24282.9</v>
      </c>
    </row>
    <row r="2308" spans="1:3" ht="15" customHeight="1" x14ac:dyDescent="0.3">
      <c r="A2308" t="s">
        <v>239</v>
      </c>
      <c r="B2308" s="3">
        <v>45352</v>
      </c>
      <c r="C2308">
        <v>24146.1</v>
      </c>
    </row>
    <row r="2309" spans="1:3" ht="15" customHeight="1" x14ac:dyDescent="0.3">
      <c r="A2309" t="s">
        <v>239</v>
      </c>
      <c r="B2309" s="3">
        <v>45383</v>
      </c>
      <c r="C2309">
        <v>18389.7</v>
      </c>
    </row>
    <row r="2310" spans="1:3" ht="15" customHeight="1" x14ac:dyDescent="0.3">
      <c r="A2310" t="s">
        <v>239</v>
      </c>
      <c r="B2310" s="3">
        <v>45413</v>
      </c>
      <c r="C2310">
        <v>18961.2</v>
      </c>
    </row>
    <row r="2311" spans="1:3" ht="15" customHeight="1" x14ac:dyDescent="0.3">
      <c r="A2311" t="s">
        <v>239</v>
      </c>
      <c r="B2311" s="3">
        <v>45444</v>
      </c>
      <c r="C2311">
        <v>15280.2</v>
      </c>
    </row>
    <row r="2312" spans="1:3" ht="15" customHeight="1" x14ac:dyDescent="0.3">
      <c r="A2312" t="s">
        <v>239</v>
      </c>
      <c r="B2312" s="3">
        <v>45474</v>
      </c>
      <c r="C2312">
        <v>17361.900000000001</v>
      </c>
    </row>
    <row r="2313" spans="1:3" ht="15" customHeight="1" x14ac:dyDescent="0.3">
      <c r="A2313" t="s">
        <v>239</v>
      </c>
      <c r="B2313" s="3">
        <v>45505</v>
      </c>
      <c r="C2313">
        <v>19303.2</v>
      </c>
    </row>
    <row r="2314" spans="1:3" ht="15" customHeight="1" x14ac:dyDescent="0.3">
      <c r="A2314" t="s">
        <v>239</v>
      </c>
      <c r="B2314" s="3">
        <v>45536</v>
      </c>
      <c r="C2314">
        <v>18141.3</v>
      </c>
    </row>
    <row r="2315" spans="1:3" ht="15" customHeight="1" x14ac:dyDescent="0.3">
      <c r="A2315" t="s">
        <v>239</v>
      </c>
      <c r="B2315" s="3">
        <v>45566</v>
      </c>
      <c r="C2315">
        <v>22548.6</v>
      </c>
    </row>
    <row r="2316" spans="1:3" ht="15" customHeight="1" x14ac:dyDescent="0.3">
      <c r="A2316" t="s">
        <v>239</v>
      </c>
      <c r="B2316" s="3">
        <v>45597</v>
      </c>
      <c r="C2316">
        <v>22923.9</v>
      </c>
    </row>
    <row r="2317" spans="1:3" ht="15" customHeight="1" x14ac:dyDescent="0.3">
      <c r="A2317" t="s">
        <v>239</v>
      </c>
      <c r="B2317" s="3">
        <v>45627</v>
      </c>
      <c r="C2317">
        <v>28392.3</v>
      </c>
    </row>
    <row r="2318" spans="1:3" ht="15" customHeight="1" x14ac:dyDescent="0.3">
      <c r="A2318" t="s">
        <v>239</v>
      </c>
      <c r="B2318" s="3">
        <v>45658</v>
      </c>
      <c r="C2318">
        <v>30721.5</v>
      </c>
    </row>
    <row r="2319" spans="1:3" ht="15" customHeight="1" x14ac:dyDescent="0.3">
      <c r="A2319" t="s">
        <v>239</v>
      </c>
      <c r="B2319" s="3">
        <v>45689</v>
      </c>
      <c r="C2319">
        <v>24282.9</v>
      </c>
    </row>
    <row r="2320" spans="1:3" ht="15" customHeight="1" x14ac:dyDescent="0.3">
      <c r="A2320" t="s">
        <v>239</v>
      </c>
      <c r="B2320" s="3">
        <v>45717</v>
      </c>
      <c r="C2320">
        <v>24146.1</v>
      </c>
    </row>
    <row r="2321" spans="1:3" ht="15" customHeight="1" x14ac:dyDescent="0.3">
      <c r="A2321" t="s">
        <v>239</v>
      </c>
      <c r="B2321" s="3">
        <v>45748</v>
      </c>
      <c r="C2321">
        <v>18389.7</v>
      </c>
    </row>
    <row r="2322" spans="1:3" ht="15" customHeight="1" x14ac:dyDescent="0.3">
      <c r="A2322" t="s">
        <v>239</v>
      </c>
      <c r="B2322" s="3">
        <v>45778</v>
      </c>
      <c r="C2322">
        <v>18961.2</v>
      </c>
    </row>
    <row r="2323" spans="1:3" ht="15" customHeight="1" x14ac:dyDescent="0.3">
      <c r="A2323" t="s">
        <v>239</v>
      </c>
      <c r="B2323" s="3">
        <v>45809</v>
      </c>
      <c r="C2323">
        <v>15280.2</v>
      </c>
    </row>
    <row r="2324" spans="1:3" ht="15" customHeight="1" x14ac:dyDescent="0.3">
      <c r="A2324" t="s">
        <v>239</v>
      </c>
      <c r="B2324" s="3">
        <v>45839</v>
      </c>
      <c r="C2324">
        <v>17361.900000000001</v>
      </c>
    </row>
    <row r="2325" spans="1:3" ht="15" customHeight="1" x14ac:dyDescent="0.3">
      <c r="A2325" t="s">
        <v>239</v>
      </c>
      <c r="B2325" s="3">
        <v>45870</v>
      </c>
      <c r="C2325">
        <v>19303.2</v>
      </c>
    </row>
    <row r="2326" spans="1:3" ht="15" customHeight="1" x14ac:dyDescent="0.3">
      <c r="A2326" t="s">
        <v>239</v>
      </c>
      <c r="B2326" s="3">
        <v>45901</v>
      </c>
      <c r="C2326">
        <v>18141.3</v>
      </c>
    </row>
    <row r="2327" spans="1:3" ht="15" customHeight="1" x14ac:dyDescent="0.3">
      <c r="A2327" t="s">
        <v>239</v>
      </c>
      <c r="B2327" s="3">
        <v>45931</v>
      </c>
      <c r="C2327">
        <v>22548.6</v>
      </c>
    </row>
    <row r="2328" spans="1:3" ht="15" customHeight="1" x14ac:dyDescent="0.3">
      <c r="A2328" t="s">
        <v>239</v>
      </c>
      <c r="B2328" s="3">
        <v>45962</v>
      </c>
      <c r="C2328">
        <v>22923.9</v>
      </c>
    </row>
    <row r="2329" spans="1:3" ht="15" customHeight="1" x14ac:dyDescent="0.3">
      <c r="A2329" t="s">
        <v>239</v>
      </c>
      <c r="B2329" s="3">
        <v>45992</v>
      </c>
      <c r="C2329">
        <v>28392.3</v>
      </c>
    </row>
    <row r="2330" spans="1:3" ht="15" customHeight="1" x14ac:dyDescent="0.3">
      <c r="A2330" t="s">
        <v>239</v>
      </c>
      <c r="B2330" s="3">
        <v>46023</v>
      </c>
      <c r="C2330">
        <v>30721.5</v>
      </c>
    </row>
    <row r="2331" spans="1:3" ht="15" customHeight="1" x14ac:dyDescent="0.3">
      <c r="A2331" t="s">
        <v>239</v>
      </c>
      <c r="B2331" s="3">
        <v>46054</v>
      </c>
      <c r="C2331">
        <v>24282.9</v>
      </c>
    </row>
    <row r="2332" spans="1:3" ht="15" customHeight="1" x14ac:dyDescent="0.3">
      <c r="A2332" t="s">
        <v>239</v>
      </c>
      <c r="B2332" s="3">
        <v>46082</v>
      </c>
      <c r="C2332">
        <v>24146.1</v>
      </c>
    </row>
    <row r="2333" spans="1:3" ht="15" customHeight="1" x14ac:dyDescent="0.3">
      <c r="A2333" t="s">
        <v>239</v>
      </c>
      <c r="B2333" s="3">
        <v>46113</v>
      </c>
      <c r="C2333">
        <v>18389.7</v>
      </c>
    </row>
    <row r="2334" spans="1:3" ht="15" customHeight="1" x14ac:dyDescent="0.3">
      <c r="A2334" t="s">
        <v>239</v>
      </c>
      <c r="B2334" s="3">
        <v>46143</v>
      </c>
      <c r="C2334">
        <v>18961.2</v>
      </c>
    </row>
    <row r="2335" spans="1:3" ht="15" customHeight="1" x14ac:dyDescent="0.3">
      <c r="A2335" t="s">
        <v>239</v>
      </c>
      <c r="B2335" s="3">
        <v>46174</v>
      </c>
      <c r="C2335">
        <v>15280.2</v>
      </c>
    </row>
    <row r="2336" spans="1:3" ht="15" customHeight="1" x14ac:dyDescent="0.3">
      <c r="A2336" t="s">
        <v>239</v>
      </c>
      <c r="B2336" s="3">
        <v>46204</v>
      </c>
      <c r="C2336">
        <v>17361.900000000001</v>
      </c>
    </row>
    <row r="2337" spans="1:3" ht="15" customHeight="1" x14ac:dyDescent="0.3">
      <c r="A2337" t="s">
        <v>239</v>
      </c>
      <c r="B2337" s="3">
        <v>46235</v>
      </c>
      <c r="C2337">
        <v>19303.2</v>
      </c>
    </row>
    <row r="2338" spans="1:3" ht="15" customHeight="1" x14ac:dyDescent="0.3">
      <c r="A2338" t="s">
        <v>239</v>
      </c>
      <c r="B2338" s="3">
        <v>46266</v>
      </c>
      <c r="C2338">
        <v>18141.3</v>
      </c>
    </row>
    <row r="2339" spans="1:3" ht="15" customHeight="1" x14ac:dyDescent="0.3">
      <c r="A2339" t="s">
        <v>239</v>
      </c>
      <c r="B2339" s="3">
        <v>46296</v>
      </c>
      <c r="C2339">
        <v>22548.6</v>
      </c>
    </row>
    <row r="2340" spans="1:3" ht="15" customHeight="1" x14ac:dyDescent="0.3">
      <c r="A2340" t="s">
        <v>239</v>
      </c>
      <c r="B2340" s="3">
        <v>46327</v>
      </c>
      <c r="C2340">
        <v>22923.9</v>
      </c>
    </row>
    <row r="2341" spans="1:3" ht="15" customHeight="1" x14ac:dyDescent="0.3">
      <c r="A2341" t="s">
        <v>239</v>
      </c>
      <c r="B2341" s="3">
        <v>46357</v>
      </c>
      <c r="C2341">
        <v>28392.3</v>
      </c>
    </row>
    <row r="2342" spans="1:3" ht="15" customHeight="1" x14ac:dyDescent="0.3">
      <c r="A2342" t="s">
        <v>220</v>
      </c>
      <c r="B2342" s="3">
        <v>45292</v>
      </c>
      <c r="C2342">
        <v>18584.099999999999</v>
      </c>
    </row>
    <row r="2343" spans="1:3" ht="15" customHeight="1" x14ac:dyDescent="0.3">
      <c r="A2343" t="s">
        <v>220</v>
      </c>
      <c r="B2343" s="3">
        <v>45323</v>
      </c>
      <c r="C2343">
        <v>16101.9</v>
      </c>
    </row>
    <row r="2344" spans="1:3" ht="15" customHeight="1" x14ac:dyDescent="0.3">
      <c r="A2344" t="s">
        <v>220</v>
      </c>
      <c r="B2344" s="3">
        <v>45352</v>
      </c>
      <c r="C2344">
        <v>15901.2</v>
      </c>
    </row>
    <row r="2345" spans="1:3" ht="15" customHeight="1" x14ac:dyDescent="0.3">
      <c r="A2345" t="s">
        <v>220</v>
      </c>
      <c r="B2345" s="3">
        <v>45383</v>
      </c>
      <c r="C2345">
        <v>13660.2</v>
      </c>
    </row>
    <row r="2346" spans="1:3" ht="15" customHeight="1" x14ac:dyDescent="0.3">
      <c r="A2346" t="s">
        <v>220</v>
      </c>
      <c r="B2346" s="3">
        <v>45413</v>
      </c>
      <c r="C2346">
        <v>12620.7</v>
      </c>
    </row>
    <row r="2347" spans="1:3" ht="15" customHeight="1" x14ac:dyDescent="0.3">
      <c r="A2347" t="s">
        <v>220</v>
      </c>
      <c r="B2347" s="3">
        <v>45444</v>
      </c>
      <c r="C2347">
        <v>11094.3</v>
      </c>
    </row>
    <row r="2348" spans="1:3" ht="15" customHeight="1" x14ac:dyDescent="0.3">
      <c r="A2348" t="s">
        <v>220</v>
      </c>
      <c r="B2348" s="3">
        <v>45474</v>
      </c>
      <c r="C2348">
        <v>12367.8</v>
      </c>
    </row>
    <row r="2349" spans="1:3" ht="15" customHeight="1" x14ac:dyDescent="0.3">
      <c r="A2349" t="s">
        <v>220</v>
      </c>
      <c r="B2349" s="3">
        <v>45505</v>
      </c>
      <c r="C2349">
        <v>14484.6</v>
      </c>
    </row>
    <row r="2350" spans="1:3" ht="15" customHeight="1" x14ac:dyDescent="0.3">
      <c r="A2350" t="s">
        <v>220</v>
      </c>
      <c r="B2350" s="3">
        <v>45536</v>
      </c>
      <c r="C2350">
        <v>16189.2</v>
      </c>
    </row>
    <row r="2351" spans="1:3" ht="15" customHeight="1" x14ac:dyDescent="0.3">
      <c r="A2351" t="s">
        <v>220</v>
      </c>
      <c r="B2351" s="3">
        <v>45566</v>
      </c>
      <c r="C2351">
        <v>18663.3</v>
      </c>
    </row>
    <row r="2352" spans="1:3" ht="15" customHeight="1" x14ac:dyDescent="0.3">
      <c r="A2352" t="s">
        <v>220</v>
      </c>
      <c r="B2352" s="3">
        <v>45597</v>
      </c>
      <c r="C2352">
        <v>18589.5</v>
      </c>
    </row>
    <row r="2353" spans="1:3" ht="15" customHeight="1" x14ac:dyDescent="0.3">
      <c r="A2353" t="s">
        <v>220</v>
      </c>
      <c r="B2353" s="3">
        <v>45627</v>
      </c>
      <c r="C2353">
        <v>19022.400000000001</v>
      </c>
    </row>
    <row r="2354" spans="1:3" ht="15" customHeight="1" x14ac:dyDescent="0.3">
      <c r="A2354" t="s">
        <v>220</v>
      </c>
      <c r="B2354" s="3">
        <v>45658</v>
      </c>
      <c r="C2354">
        <v>18584.099999999999</v>
      </c>
    </row>
    <row r="2355" spans="1:3" ht="15" customHeight="1" x14ac:dyDescent="0.3">
      <c r="A2355" t="s">
        <v>220</v>
      </c>
      <c r="B2355" s="3">
        <v>45689</v>
      </c>
      <c r="C2355">
        <v>16101.9</v>
      </c>
    </row>
    <row r="2356" spans="1:3" ht="15" customHeight="1" x14ac:dyDescent="0.3">
      <c r="A2356" t="s">
        <v>220</v>
      </c>
      <c r="B2356" s="3">
        <v>45717</v>
      </c>
      <c r="C2356">
        <v>15901.2</v>
      </c>
    </row>
    <row r="2357" spans="1:3" ht="15" customHeight="1" x14ac:dyDescent="0.3">
      <c r="A2357" t="s">
        <v>220</v>
      </c>
      <c r="B2357" s="3">
        <v>45748</v>
      </c>
      <c r="C2357">
        <v>13660.2</v>
      </c>
    </row>
    <row r="2358" spans="1:3" ht="15" customHeight="1" x14ac:dyDescent="0.3">
      <c r="A2358" t="s">
        <v>220</v>
      </c>
      <c r="B2358" s="3">
        <v>45778</v>
      </c>
      <c r="C2358">
        <v>12620.7</v>
      </c>
    </row>
    <row r="2359" spans="1:3" ht="15" customHeight="1" x14ac:dyDescent="0.3">
      <c r="A2359" t="s">
        <v>220</v>
      </c>
      <c r="B2359" s="3">
        <v>45809</v>
      </c>
      <c r="C2359">
        <v>11094.3</v>
      </c>
    </row>
    <row r="2360" spans="1:3" ht="15" customHeight="1" x14ac:dyDescent="0.3">
      <c r="A2360" t="s">
        <v>220</v>
      </c>
      <c r="B2360" s="3">
        <v>45839</v>
      </c>
      <c r="C2360">
        <v>12367.8</v>
      </c>
    </row>
    <row r="2361" spans="1:3" ht="15" customHeight="1" x14ac:dyDescent="0.3">
      <c r="A2361" t="s">
        <v>220</v>
      </c>
      <c r="B2361" s="3">
        <v>45870</v>
      </c>
      <c r="C2361">
        <v>14484.6</v>
      </c>
    </row>
    <row r="2362" spans="1:3" ht="15" customHeight="1" x14ac:dyDescent="0.3">
      <c r="A2362" t="s">
        <v>220</v>
      </c>
      <c r="B2362" s="3">
        <v>45901</v>
      </c>
      <c r="C2362">
        <v>16189.2</v>
      </c>
    </row>
    <row r="2363" spans="1:3" ht="15" customHeight="1" x14ac:dyDescent="0.3">
      <c r="A2363" t="s">
        <v>220</v>
      </c>
      <c r="B2363" s="3">
        <v>45931</v>
      </c>
      <c r="C2363">
        <v>18663.3</v>
      </c>
    </row>
    <row r="2364" spans="1:3" ht="15" customHeight="1" x14ac:dyDescent="0.3">
      <c r="A2364" t="s">
        <v>220</v>
      </c>
      <c r="B2364" s="3">
        <v>45962</v>
      </c>
      <c r="C2364">
        <v>18589.5</v>
      </c>
    </row>
    <row r="2365" spans="1:3" ht="15" customHeight="1" x14ac:dyDescent="0.3">
      <c r="A2365" t="s">
        <v>220</v>
      </c>
      <c r="B2365" s="3">
        <v>45992</v>
      </c>
      <c r="C2365">
        <v>19022.400000000001</v>
      </c>
    </row>
    <row r="2366" spans="1:3" ht="15" customHeight="1" x14ac:dyDescent="0.3">
      <c r="A2366" t="s">
        <v>220</v>
      </c>
      <c r="B2366" s="3">
        <v>46023</v>
      </c>
      <c r="C2366">
        <v>18584.099999999999</v>
      </c>
    </row>
    <row r="2367" spans="1:3" ht="15" customHeight="1" x14ac:dyDescent="0.3">
      <c r="A2367" t="s">
        <v>220</v>
      </c>
      <c r="B2367" s="3">
        <v>46054</v>
      </c>
      <c r="C2367">
        <v>16101.9</v>
      </c>
    </row>
    <row r="2368" spans="1:3" ht="15" customHeight="1" x14ac:dyDescent="0.3">
      <c r="A2368" t="s">
        <v>220</v>
      </c>
      <c r="B2368" s="3">
        <v>46082</v>
      </c>
      <c r="C2368">
        <v>15901.2</v>
      </c>
    </row>
    <row r="2369" spans="1:3" ht="15" customHeight="1" x14ac:dyDescent="0.3">
      <c r="A2369" t="s">
        <v>220</v>
      </c>
      <c r="B2369" s="3">
        <v>46113</v>
      </c>
      <c r="C2369">
        <v>13660.2</v>
      </c>
    </row>
    <row r="2370" spans="1:3" ht="15" customHeight="1" x14ac:dyDescent="0.3">
      <c r="A2370" t="s">
        <v>220</v>
      </c>
      <c r="B2370" s="3">
        <v>46143</v>
      </c>
      <c r="C2370">
        <v>12620.7</v>
      </c>
    </row>
    <row r="2371" spans="1:3" ht="15" customHeight="1" x14ac:dyDescent="0.3">
      <c r="A2371" t="s">
        <v>220</v>
      </c>
      <c r="B2371" s="3">
        <v>46174</v>
      </c>
      <c r="C2371">
        <v>11094.3</v>
      </c>
    </row>
    <row r="2372" spans="1:3" ht="15" customHeight="1" x14ac:dyDescent="0.3">
      <c r="A2372" t="s">
        <v>220</v>
      </c>
      <c r="B2372" s="3">
        <v>46204</v>
      </c>
      <c r="C2372">
        <v>12367.8</v>
      </c>
    </row>
    <row r="2373" spans="1:3" ht="15" customHeight="1" x14ac:dyDescent="0.3">
      <c r="A2373" t="s">
        <v>220</v>
      </c>
      <c r="B2373" s="3">
        <v>46235</v>
      </c>
      <c r="C2373">
        <v>14484.6</v>
      </c>
    </row>
    <row r="2374" spans="1:3" ht="15" customHeight="1" x14ac:dyDescent="0.3">
      <c r="A2374" t="s">
        <v>220</v>
      </c>
      <c r="B2374" s="3">
        <v>46266</v>
      </c>
      <c r="C2374">
        <v>16189.2</v>
      </c>
    </row>
    <row r="2375" spans="1:3" ht="15" customHeight="1" x14ac:dyDescent="0.3">
      <c r="A2375" t="s">
        <v>220</v>
      </c>
      <c r="B2375" s="3">
        <v>46296</v>
      </c>
      <c r="C2375">
        <v>18663.3</v>
      </c>
    </row>
    <row r="2376" spans="1:3" ht="15" customHeight="1" x14ac:dyDescent="0.3">
      <c r="A2376" t="s">
        <v>220</v>
      </c>
      <c r="B2376" s="3">
        <v>46327</v>
      </c>
      <c r="C2376">
        <v>18589.5</v>
      </c>
    </row>
    <row r="2377" spans="1:3" ht="15" customHeight="1" x14ac:dyDescent="0.3">
      <c r="A2377" t="s">
        <v>220</v>
      </c>
      <c r="B2377" s="3">
        <v>46357</v>
      </c>
      <c r="C2377">
        <v>19022.400000000001</v>
      </c>
    </row>
    <row r="2378" spans="1:3" ht="15" customHeight="1" x14ac:dyDescent="0.3">
      <c r="A2378" t="s">
        <v>202</v>
      </c>
      <c r="B2378" s="3">
        <v>45292</v>
      </c>
      <c r="C2378">
        <v>16638.665000000001</v>
      </c>
    </row>
    <row r="2379" spans="1:3" ht="15" customHeight="1" x14ac:dyDescent="0.3">
      <c r="A2379" t="s">
        <v>202</v>
      </c>
      <c r="B2379" s="3">
        <v>45323</v>
      </c>
      <c r="C2379">
        <v>14215.06</v>
      </c>
    </row>
    <row r="2380" spans="1:3" ht="15" customHeight="1" x14ac:dyDescent="0.3">
      <c r="A2380" t="s">
        <v>202</v>
      </c>
      <c r="B2380" s="3">
        <v>45352</v>
      </c>
      <c r="C2380">
        <v>15137.31</v>
      </c>
    </row>
    <row r="2381" spans="1:3" ht="15" customHeight="1" x14ac:dyDescent="0.3">
      <c r="A2381" t="s">
        <v>202</v>
      </c>
      <c r="B2381" s="3">
        <v>45383</v>
      </c>
      <c r="C2381">
        <v>13176.87</v>
      </c>
    </row>
    <row r="2382" spans="1:3" ht="15" customHeight="1" x14ac:dyDescent="0.3">
      <c r="A2382" t="s">
        <v>202</v>
      </c>
      <c r="B2382" s="3">
        <v>45413</v>
      </c>
      <c r="C2382">
        <v>12813.75</v>
      </c>
    </row>
    <row r="2383" spans="1:3" ht="15" customHeight="1" x14ac:dyDescent="0.3">
      <c r="A2383" t="s">
        <v>202</v>
      </c>
      <c r="B2383" s="3">
        <v>45444</v>
      </c>
      <c r="C2383">
        <v>11578.87</v>
      </c>
    </row>
    <row r="2384" spans="1:3" ht="15" customHeight="1" x14ac:dyDescent="0.3">
      <c r="A2384" t="s">
        <v>202</v>
      </c>
      <c r="B2384" s="3">
        <v>45474</v>
      </c>
      <c r="C2384">
        <v>12892.545</v>
      </c>
    </row>
    <row r="2385" spans="1:3" ht="15" customHeight="1" x14ac:dyDescent="0.3">
      <c r="A2385" t="s">
        <v>202</v>
      </c>
      <c r="B2385" s="3">
        <v>45505</v>
      </c>
      <c r="C2385">
        <v>14836.92</v>
      </c>
    </row>
    <row r="2386" spans="1:3" ht="15" customHeight="1" x14ac:dyDescent="0.3">
      <c r="A2386" t="s">
        <v>202</v>
      </c>
      <c r="B2386" s="3">
        <v>45536</v>
      </c>
      <c r="C2386">
        <v>15996.15</v>
      </c>
    </row>
    <row r="2387" spans="1:3" ht="15" customHeight="1" x14ac:dyDescent="0.3">
      <c r="A2387" t="s">
        <v>202</v>
      </c>
      <c r="B2387" s="3">
        <v>45566</v>
      </c>
      <c r="C2387">
        <v>16796.169999999998</v>
      </c>
    </row>
    <row r="2388" spans="1:3" ht="15" customHeight="1" x14ac:dyDescent="0.3">
      <c r="A2388" t="s">
        <v>202</v>
      </c>
      <c r="B2388" s="3">
        <v>45597</v>
      </c>
      <c r="C2388">
        <v>16463.224999999999</v>
      </c>
    </row>
    <row r="2389" spans="1:3" ht="15" customHeight="1" x14ac:dyDescent="0.3">
      <c r="A2389" t="s">
        <v>202</v>
      </c>
      <c r="B2389" s="3">
        <v>45627</v>
      </c>
      <c r="C2389">
        <v>17398.904999999999</v>
      </c>
    </row>
    <row r="2390" spans="1:3" ht="15" customHeight="1" x14ac:dyDescent="0.3">
      <c r="A2390" t="s">
        <v>202</v>
      </c>
      <c r="B2390" s="3">
        <v>45658</v>
      </c>
      <c r="C2390">
        <v>16638.665000000001</v>
      </c>
    </row>
    <row r="2391" spans="1:3" ht="15" customHeight="1" x14ac:dyDescent="0.3">
      <c r="A2391" t="s">
        <v>202</v>
      </c>
      <c r="B2391" s="3">
        <v>45689</v>
      </c>
      <c r="C2391">
        <v>14215.06</v>
      </c>
    </row>
    <row r="2392" spans="1:3" ht="15" customHeight="1" x14ac:dyDescent="0.3">
      <c r="A2392" t="s">
        <v>202</v>
      </c>
      <c r="B2392" s="3">
        <v>45717</v>
      </c>
      <c r="C2392">
        <v>15137.31</v>
      </c>
    </row>
    <row r="2393" spans="1:3" ht="15" customHeight="1" x14ac:dyDescent="0.3">
      <c r="A2393" t="s">
        <v>202</v>
      </c>
      <c r="B2393" s="3">
        <v>45748</v>
      </c>
      <c r="C2393">
        <v>13176.87</v>
      </c>
    </row>
    <row r="2394" spans="1:3" ht="15" customHeight="1" x14ac:dyDescent="0.3">
      <c r="A2394" t="s">
        <v>202</v>
      </c>
      <c r="B2394" s="3">
        <v>45778</v>
      </c>
      <c r="C2394">
        <v>12813.75</v>
      </c>
    </row>
    <row r="2395" spans="1:3" ht="15" customHeight="1" x14ac:dyDescent="0.3">
      <c r="A2395" t="s">
        <v>202</v>
      </c>
      <c r="B2395" s="3">
        <v>45809</v>
      </c>
      <c r="C2395">
        <v>11578.87</v>
      </c>
    </row>
    <row r="2396" spans="1:3" ht="15" customHeight="1" x14ac:dyDescent="0.3">
      <c r="A2396" t="s">
        <v>202</v>
      </c>
      <c r="B2396" s="3">
        <v>45839</v>
      </c>
      <c r="C2396">
        <v>12892.545</v>
      </c>
    </row>
    <row r="2397" spans="1:3" ht="15" customHeight="1" x14ac:dyDescent="0.3">
      <c r="A2397" t="s">
        <v>202</v>
      </c>
      <c r="B2397" s="3">
        <v>45870</v>
      </c>
      <c r="C2397">
        <v>14836.92</v>
      </c>
    </row>
    <row r="2398" spans="1:3" ht="15" customHeight="1" x14ac:dyDescent="0.3">
      <c r="A2398" t="s">
        <v>202</v>
      </c>
      <c r="B2398" s="3">
        <v>45901</v>
      </c>
      <c r="C2398">
        <v>15996.15</v>
      </c>
    </row>
    <row r="2399" spans="1:3" ht="15" customHeight="1" x14ac:dyDescent="0.3">
      <c r="A2399" t="s">
        <v>202</v>
      </c>
      <c r="B2399" s="3">
        <v>45931</v>
      </c>
      <c r="C2399">
        <v>16796.169999999998</v>
      </c>
    </row>
    <row r="2400" spans="1:3" ht="15" customHeight="1" x14ac:dyDescent="0.3">
      <c r="A2400" t="s">
        <v>202</v>
      </c>
      <c r="B2400" s="3">
        <v>45962</v>
      </c>
      <c r="C2400">
        <v>16463.224999999999</v>
      </c>
    </row>
    <row r="2401" spans="1:3" ht="15" customHeight="1" x14ac:dyDescent="0.3">
      <c r="A2401" t="s">
        <v>202</v>
      </c>
      <c r="B2401" s="3">
        <v>45992</v>
      </c>
      <c r="C2401">
        <v>17398.904999999999</v>
      </c>
    </row>
    <row r="2402" spans="1:3" ht="15" customHeight="1" x14ac:dyDescent="0.3">
      <c r="A2402" t="s">
        <v>202</v>
      </c>
      <c r="B2402" s="3">
        <v>46023</v>
      </c>
      <c r="C2402">
        <v>16638.665000000001</v>
      </c>
    </row>
    <row r="2403" spans="1:3" ht="15" customHeight="1" x14ac:dyDescent="0.3">
      <c r="A2403" t="s">
        <v>202</v>
      </c>
      <c r="B2403" s="3">
        <v>46054</v>
      </c>
      <c r="C2403">
        <v>14215.06</v>
      </c>
    </row>
    <row r="2404" spans="1:3" ht="15" customHeight="1" x14ac:dyDescent="0.3">
      <c r="A2404" t="s">
        <v>202</v>
      </c>
      <c r="B2404" s="3">
        <v>46082</v>
      </c>
      <c r="C2404">
        <v>15137.31</v>
      </c>
    </row>
    <row r="2405" spans="1:3" ht="15" customHeight="1" x14ac:dyDescent="0.3">
      <c r="A2405" t="s">
        <v>202</v>
      </c>
      <c r="B2405" s="3">
        <v>46113</v>
      </c>
      <c r="C2405">
        <v>13176.87</v>
      </c>
    </row>
    <row r="2406" spans="1:3" ht="15" customHeight="1" x14ac:dyDescent="0.3">
      <c r="A2406" t="s">
        <v>202</v>
      </c>
      <c r="B2406" s="3">
        <v>46143</v>
      </c>
      <c r="C2406">
        <v>12813.75</v>
      </c>
    </row>
    <row r="2407" spans="1:3" ht="15" customHeight="1" x14ac:dyDescent="0.3">
      <c r="A2407" t="s">
        <v>202</v>
      </c>
      <c r="B2407" s="3">
        <v>46174</v>
      </c>
      <c r="C2407">
        <v>11578.87</v>
      </c>
    </row>
    <row r="2408" spans="1:3" ht="15" customHeight="1" x14ac:dyDescent="0.3">
      <c r="A2408" t="s">
        <v>202</v>
      </c>
      <c r="B2408" s="3">
        <v>46204</v>
      </c>
      <c r="C2408">
        <v>12892.545</v>
      </c>
    </row>
    <row r="2409" spans="1:3" ht="15" customHeight="1" x14ac:dyDescent="0.3">
      <c r="A2409" t="s">
        <v>202</v>
      </c>
      <c r="B2409" s="3">
        <v>46235</v>
      </c>
      <c r="C2409">
        <v>14836.92</v>
      </c>
    </row>
    <row r="2410" spans="1:3" ht="15" customHeight="1" x14ac:dyDescent="0.3">
      <c r="A2410" t="s">
        <v>202</v>
      </c>
      <c r="B2410" s="3">
        <v>46266</v>
      </c>
      <c r="C2410">
        <v>15996.15</v>
      </c>
    </row>
    <row r="2411" spans="1:3" ht="15" customHeight="1" x14ac:dyDescent="0.3">
      <c r="A2411" t="s">
        <v>202</v>
      </c>
      <c r="B2411" s="3">
        <v>46296</v>
      </c>
      <c r="C2411">
        <v>16796.169999999998</v>
      </c>
    </row>
    <row r="2412" spans="1:3" ht="15" customHeight="1" x14ac:dyDescent="0.3">
      <c r="A2412" t="s">
        <v>202</v>
      </c>
      <c r="B2412" s="3">
        <v>46327</v>
      </c>
      <c r="C2412">
        <v>16463.224999999999</v>
      </c>
    </row>
    <row r="2413" spans="1:3" ht="15" customHeight="1" x14ac:dyDescent="0.3">
      <c r="A2413" t="s">
        <v>202</v>
      </c>
      <c r="B2413" s="3">
        <v>46357</v>
      </c>
      <c r="C2413">
        <v>17398.904999999999</v>
      </c>
    </row>
    <row r="2414" spans="1:3" ht="15" customHeight="1" x14ac:dyDescent="0.3">
      <c r="A2414" t="s">
        <v>211</v>
      </c>
      <c r="B2414" s="3">
        <v>45292</v>
      </c>
      <c r="C2414">
        <v>3784.4250000000002</v>
      </c>
    </row>
    <row r="2415" spans="1:3" ht="15" customHeight="1" x14ac:dyDescent="0.3">
      <c r="A2415" t="s">
        <v>211</v>
      </c>
      <c r="B2415" s="3">
        <v>45323</v>
      </c>
      <c r="C2415">
        <v>3270.15</v>
      </c>
    </row>
    <row r="2416" spans="1:3" ht="15" customHeight="1" x14ac:dyDescent="0.3">
      <c r="A2416" t="s">
        <v>211</v>
      </c>
      <c r="B2416" s="3">
        <v>45352</v>
      </c>
      <c r="C2416">
        <v>3533.3249999999998</v>
      </c>
    </row>
    <row r="2417" spans="1:3" ht="15" customHeight="1" x14ac:dyDescent="0.3">
      <c r="A2417" t="s">
        <v>211</v>
      </c>
      <c r="B2417" s="3">
        <v>45383</v>
      </c>
      <c r="C2417">
        <v>3063.0749999999998</v>
      </c>
    </row>
    <row r="2418" spans="1:3" ht="15" customHeight="1" x14ac:dyDescent="0.3">
      <c r="A2418" t="s">
        <v>211</v>
      </c>
      <c r="B2418" s="3">
        <v>45413</v>
      </c>
      <c r="C2418">
        <v>3093.8249999999998</v>
      </c>
    </row>
    <row r="2419" spans="1:3" ht="15" customHeight="1" x14ac:dyDescent="0.3">
      <c r="A2419" t="s">
        <v>211</v>
      </c>
      <c r="B2419" s="3">
        <v>45444</v>
      </c>
      <c r="C2419">
        <v>2834.0250000000001</v>
      </c>
    </row>
    <row r="2420" spans="1:3" ht="15" customHeight="1" x14ac:dyDescent="0.3">
      <c r="A2420" t="s">
        <v>211</v>
      </c>
      <c r="B2420" s="3">
        <v>45474</v>
      </c>
      <c r="C2420">
        <v>3103.35</v>
      </c>
    </row>
    <row r="2421" spans="1:3" ht="15" customHeight="1" x14ac:dyDescent="0.3">
      <c r="A2421" t="s">
        <v>211</v>
      </c>
      <c r="B2421" s="3">
        <v>45505</v>
      </c>
      <c r="C2421">
        <v>3491.55</v>
      </c>
    </row>
    <row r="2422" spans="1:3" ht="15" customHeight="1" x14ac:dyDescent="0.3">
      <c r="A2422" t="s">
        <v>211</v>
      </c>
      <c r="B2422" s="3">
        <v>45536</v>
      </c>
      <c r="C2422">
        <v>3723.45</v>
      </c>
    </row>
    <row r="2423" spans="1:3" ht="15" customHeight="1" x14ac:dyDescent="0.3">
      <c r="A2423" t="s">
        <v>211</v>
      </c>
      <c r="B2423" s="3">
        <v>45566</v>
      </c>
      <c r="C2423">
        <v>3899.4</v>
      </c>
    </row>
    <row r="2424" spans="1:3" ht="15" customHeight="1" x14ac:dyDescent="0.3">
      <c r="A2424" t="s">
        <v>211</v>
      </c>
      <c r="B2424" s="3">
        <v>45597</v>
      </c>
      <c r="C2424">
        <v>3732.75</v>
      </c>
    </row>
    <row r="2425" spans="1:3" ht="15" customHeight="1" x14ac:dyDescent="0.3">
      <c r="A2425" t="s">
        <v>211</v>
      </c>
      <c r="B2425" s="3">
        <v>45627</v>
      </c>
      <c r="C2425">
        <v>4016.1750000000002</v>
      </c>
    </row>
    <row r="2426" spans="1:3" ht="15" customHeight="1" x14ac:dyDescent="0.3">
      <c r="A2426" t="s">
        <v>211</v>
      </c>
      <c r="B2426" s="3">
        <v>45658</v>
      </c>
      <c r="C2426">
        <v>3784.4250000000002</v>
      </c>
    </row>
    <row r="2427" spans="1:3" ht="15" customHeight="1" x14ac:dyDescent="0.3">
      <c r="A2427" t="s">
        <v>211</v>
      </c>
      <c r="B2427" s="3">
        <v>45689</v>
      </c>
      <c r="C2427">
        <v>3270.15</v>
      </c>
    </row>
    <row r="2428" spans="1:3" ht="15" customHeight="1" x14ac:dyDescent="0.3">
      <c r="A2428" t="s">
        <v>211</v>
      </c>
      <c r="B2428" s="3">
        <v>45717</v>
      </c>
      <c r="C2428">
        <v>3533.3249999999998</v>
      </c>
    </row>
    <row r="2429" spans="1:3" ht="15" customHeight="1" x14ac:dyDescent="0.3">
      <c r="A2429" t="s">
        <v>211</v>
      </c>
      <c r="B2429" s="3">
        <v>45748</v>
      </c>
      <c r="C2429">
        <v>3063.0749999999998</v>
      </c>
    </row>
    <row r="2430" spans="1:3" ht="15" customHeight="1" x14ac:dyDescent="0.3">
      <c r="A2430" t="s">
        <v>211</v>
      </c>
      <c r="B2430" s="3">
        <v>45778</v>
      </c>
      <c r="C2430">
        <v>3093.8249999999998</v>
      </c>
    </row>
    <row r="2431" spans="1:3" ht="15" customHeight="1" x14ac:dyDescent="0.3">
      <c r="A2431" t="s">
        <v>211</v>
      </c>
      <c r="B2431" s="3">
        <v>45809</v>
      </c>
      <c r="C2431">
        <v>2834.0250000000001</v>
      </c>
    </row>
    <row r="2432" spans="1:3" ht="15" customHeight="1" x14ac:dyDescent="0.3">
      <c r="A2432" t="s">
        <v>211</v>
      </c>
      <c r="B2432" s="3">
        <v>45839</v>
      </c>
      <c r="C2432">
        <v>3103.35</v>
      </c>
    </row>
    <row r="2433" spans="1:3" ht="15" customHeight="1" x14ac:dyDescent="0.3">
      <c r="A2433" t="s">
        <v>211</v>
      </c>
      <c r="B2433" s="3">
        <v>45870</v>
      </c>
      <c r="C2433">
        <v>3491.55</v>
      </c>
    </row>
    <row r="2434" spans="1:3" ht="15" customHeight="1" x14ac:dyDescent="0.3">
      <c r="A2434" t="s">
        <v>211</v>
      </c>
      <c r="B2434" s="3">
        <v>45901</v>
      </c>
      <c r="C2434">
        <v>3723.45</v>
      </c>
    </row>
    <row r="2435" spans="1:3" ht="15" customHeight="1" x14ac:dyDescent="0.3">
      <c r="A2435" t="s">
        <v>211</v>
      </c>
      <c r="B2435" s="3">
        <v>45931</v>
      </c>
      <c r="C2435">
        <v>3899.4</v>
      </c>
    </row>
    <row r="2436" spans="1:3" ht="15" customHeight="1" x14ac:dyDescent="0.3">
      <c r="A2436" t="s">
        <v>211</v>
      </c>
      <c r="B2436" s="3">
        <v>45962</v>
      </c>
      <c r="C2436">
        <v>3732.75</v>
      </c>
    </row>
    <row r="2437" spans="1:3" ht="15" customHeight="1" x14ac:dyDescent="0.3">
      <c r="A2437" t="s">
        <v>211</v>
      </c>
      <c r="B2437" s="3">
        <v>45992</v>
      </c>
      <c r="C2437">
        <v>4016.1750000000002</v>
      </c>
    </row>
    <row r="2438" spans="1:3" ht="15" customHeight="1" x14ac:dyDescent="0.3">
      <c r="A2438" t="s">
        <v>211</v>
      </c>
      <c r="B2438" s="3">
        <v>46023</v>
      </c>
      <c r="C2438">
        <v>3784.4250000000002</v>
      </c>
    </row>
    <row r="2439" spans="1:3" ht="15" customHeight="1" x14ac:dyDescent="0.3">
      <c r="A2439" t="s">
        <v>211</v>
      </c>
      <c r="B2439" s="3">
        <v>46054</v>
      </c>
      <c r="C2439">
        <v>3270.15</v>
      </c>
    </row>
    <row r="2440" spans="1:3" ht="15" customHeight="1" x14ac:dyDescent="0.3">
      <c r="A2440" t="s">
        <v>211</v>
      </c>
      <c r="B2440" s="3">
        <v>46082</v>
      </c>
      <c r="C2440">
        <v>3533.3249999999998</v>
      </c>
    </row>
    <row r="2441" spans="1:3" ht="15" customHeight="1" x14ac:dyDescent="0.3">
      <c r="A2441" t="s">
        <v>211</v>
      </c>
      <c r="B2441" s="3">
        <v>46113</v>
      </c>
      <c r="C2441">
        <v>3063.0749999999998</v>
      </c>
    </row>
    <row r="2442" spans="1:3" ht="15" customHeight="1" x14ac:dyDescent="0.3">
      <c r="A2442" t="s">
        <v>211</v>
      </c>
      <c r="B2442" s="3">
        <v>46143</v>
      </c>
      <c r="C2442">
        <v>3093.8249999999998</v>
      </c>
    </row>
    <row r="2443" spans="1:3" ht="15" customHeight="1" x14ac:dyDescent="0.3">
      <c r="A2443" t="s">
        <v>211</v>
      </c>
      <c r="B2443" s="3">
        <v>46174</v>
      </c>
      <c r="C2443">
        <v>2834.0250000000001</v>
      </c>
    </row>
    <row r="2444" spans="1:3" ht="15" customHeight="1" x14ac:dyDescent="0.3">
      <c r="A2444" t="s">
        <v>211</v>
      </c>
      <c r="B2444" s="3">
        <v>46204</v>
      </c>
      <c r="C2444">
        <v>3103.35</v>
      </c>
    </row>
    <row r="2445" spans="1:3" ht="15" customHeight="1" x14ac:dyDescent="0.3">
      <c r="A2445" t="s">
        <v>211</v>
      </c>
      <c r="B2445" s="3">
        <v>46235</v>
      </c>
      <c r="C2445">
        <v>3491.55</v>
      </c>
    </row>
    <row r="2446" spans="1:3" ht="15" customHeight="1" x14ac:dyDescent="0.3">
      <c r="A2446" t="s">
        <v>211</v>
      </c>
      <c r="B2446" s="3">
        <v>46266</v>
      </c>
      <c r="C2446">
        <v>3723.45</v>
      </c>
    </row>
    <row r="2447" spans="1:3" ht="15" customHeight="1" x14ac:dyDescent="0.3">
      <c r="A2447" t="s">
        <v>211</v>
      </c>
      <c r="B2447" s="3">
        <v>46296</v>
      </c>
      <c r="C2447">
        <v>3899.4</v>
      </c>
    </row>
    <row r="2448" spans="1:3" ht="15" customHeight="1" x14ac:dyDescent="0.3">
      <c r="A2448" t="s">
        <v>211</v>
      </c>
      <c r="B2448" s="3">
        <v>46327</v>
      </c>
      <c r="C2448">
        <v>3732.75</v>
      </c>
    </row>
    <row r="2449" spans="1:3" ht="15" customHeight="1" x14ac:dyDescent="0.3">
      <c r="A2449" t="s">
        <v>211</v>
      </c>
      <c r="B2449" s="3">
        <v>46357</v>
      </c>
      <c r="C2449">
        <v>4016.1750000000002</v>
      </c>
    </row>
    <row r="2450" spans="1:3" ht="15" customHeight="1" x14ac:dyDescent="0.3">
      <c r="A2450" t="s">
        <v>204</v>
      </c>
      <c r="B2450" s="3">
        <v>45292</v>
      </c>
      <c r="C2450">
        <v>0</v>
      </c>
    </row>
    <row r="2451" spans="1:3" ht="15" customHeight="1" x14ac:dyDescent="0.3">
      <c r="A2451" t="s">
        <v>204</v>
      </c>
      <c r="B2451" s="3">
        <v>45323</v>
      </c>
      <c r="C2451">
        <v>0</v>
      </c>
    </row>
    <row r="2452" spans="1:3" ht="15" customHeight="1" x14ac:dyDescent="0.3">
      <c r="A2452" t="s">
        <v>204</v>
      </c>
      <c r="B2452" s="3">
        <v>45352</v>
      </c>
      <c r="C2452">
        <v>0</v>
      </c>
    </row>
    <row r="2453" spans="1:3" ht="15" customHeight="1" x14ac:dyDescent="0.3">
      <c r="A2453" t="s">
        <v>204</v>
      </c>
      <c r="B2453" s="3">
        <v>45383</v>
      </c>
      <c r="C2453">
        <v>0</v>
      </c>
    </row>
    <row r="2454" spans="1:3" ht="15" customHeight="1" x14ac:dyDescent="0.3">
      <c r="A2454" t="s">
        <v>204</v>
      </c>
      <c r="B2454" s="3">
        <v>45413</v>
      </c>
      <c r="C2454">
        <v>0</v>
      </c>
    </row>
    <row r="2455" spans="1:3" ht="15" customHeight="1" x14ac:dyDescent="0.3">
      <c r="A2455" t="s">
        <v>204</v>
      </c>
      <c r="B2455" s="3">
        <v>45444</v>
      </c>
      <c r="C2455">
        <v>0</v>
      </c>
    </row>
    <row r="2456" spans="1:3" ht="15" customHeight="1" x14ac:dyDescent="0.3">
      <c r="A2456" t="s">
        <v>204</v>
      </c>
      <c r="B2456" s="3">
        <v>45474</v>
      </c>
      <c r="C2456">
        <v>0</v>
      </c>
    </row>
    <row r="2457" spans="1:3" ht="15" customHeight="1" x14ac:dyDescent="0.3">
      <c r="A2457" t="s">
        <v>204</v>
      </c>
      <c r="B2457" s="3">
        <v>45505</v>
      </c>
      <c r="C2457">
        <v>0</v>
      </c>
    </row>
    <row r="2458" spans="1:3" ht="15" customHeight="1" x14ac:dyDescent="0.3">
      <c r="A2458" t="s">
        <v>204</v>
      </c>
      <c r="B2458" s="3">
        <v>45536</v>
      </c>
      <c r="C2458">
        <v>0</v>
      </c>
    </row>
    <row r="2459" spans="1:3" ht="15" customHeight="1" x14ac:dyDescent="0.3">
      <c r="A2459" t="s">
        <v>204</v>
      </c>
      <c r="B2459" s="3">
        <v>45566</v>
      </c>
      <c r="C2459">
        <v>0</v>
      </c>
    </row>
    <row r="2460" spans="1:3" ht="15" customHeight="1" x14ac:dyDescent="0.3">
      <c r="A2460" t="s">
        <v>204</v>
      </c>
      <c r="B2460" s="3">
        <v>45597</v>
      </c>
      <c r="C2460">
        <v>0</v>
      </c>
    </row>
    <row r="2461" spans="1:3" ht="15" customHeight="1" x14ac:dyDescent="0.3">
      <c r="A2461" t="s">
        <v>204</v>
      </c>
      <c r="B2461" s="3">
        <v>45627</v>
      </c>
      <c r="C2461">
        <v>0</v>
      </c>
    </row>
    <row r="2462" spans="1:3" ht="15" customHeight="1" x14ac:dyDescent="0.3">
      <c r="A2462" t="s">
        <v>204</v>
      </c>
      <c r="B2462" s="3">
        <v>45658</v>
      </c>
      <c r="C2462">
        <v>0</v>
      </c>
    </row>
    <row r="2463" spans="1:3" ht="15" customHeight="1" x14ac:dyDescent="0.3">
      <c r="A2463" t="s">
        <v>204</v>
      </c>
      <c r="B2463" s="3">
        <v>45689</v>
      </c>
      <c r="C2463">
        <v>0</v>
      </c>
    </row>
    <row r="2464" spans="1:3" ht="15" customHeight="1" x14ac:dyDescent="0.3">
      <c r="A2464" t="s">
        <v>204</v>
      </c>
      <c r="B2464" s="3">
        <v>45717</v>
      </c>
      <c r="C2464">
        <v>0</v>
      </c>
    </row>
    <row r="2465" spans="1:3" ht="15" customHeight="1" x14ac:dyDescent="0.3">
      <c r="A2465" t="s">
        <v>204</v>
      </c>
      <c r="B2465" s="3">
        <v>45748</v>
      </c>
      <c r="C2465">
        <v>0</v>
      </c>
    </row>
    <row r="2466" spans="1:3" ht="15" customHeight="1" x14ac:dyDescent="0.3">
      <c r="A2466" t="s">
        <v>204</v>
      </c>
      <c r="B2466" s="3">
        <v>45778</v>
      </c>
      <c r="C2466">
        <v>0</v>
      </c>
    </row>
    <row r="2467" spans="1:3" ht="15" customHeight="1" x14ac:dyDescent="0.3">
      <c r="A2467" t="s">
        <v>204</v>
      </c>
      <c r="B2467" s="3">
        <v>45809</v>
      </c>
      <c r="C2467">
        <v>0</v>
      </c>
    </row>
    <row r="2468" spans="1:3" ht="15" customHeight="1" x14ac:dyDescent="0.3">
      <c r="A2468" t="s">
        <v>204</v>
      </c>
      <c r="B2468" s="3">
        <v>45839</v>
      </c>
      <c r="C2468">
        <v>0</v>
      </c>
    </row>
    <row r="2469" spans="1:3" ht="15" customHeight="1" x14ac:dyDescent="0.3">
      <c r="A2469" t="s">
        <v>204</v>
      </c>
      <c r="B2469" s="3">
        <v>45870</v>
      </c>
      <c r="C2469">
        <v>0</v>
      </c>
    </row>
    <row r="2470" spans="1:3" ht="15" customHeight="1" x14ac:dyDescent="0.3">
      <c r="A2470" t="s">
        <v>204</v>
      </c>
      <c r="B2470" s="3">
        <v>45901</v>
      </c>
      <c r="C2470">
        <v>0</v>
      </c>
    </row>
    <row r="2471" spans="1:3" ht="15" customHeight="1" x14ac:dyDescent="0.3">
      <c r="A2471" t="s">
        <v>204</v>
      </c>
      <c r="B2471" s="3">
        <v>45931</v>
      </c>
      <c r="C2471">
        <v>0</v>
      </c>
    </row>
    <row r="2472" spans="1:3" ht="15" customHeight="1" x14ac:dyDescent="0.3">
      <c r="A2472" t="s">
        <v>204</v>
      </c>
      <c r="B2472" s="3">
        <v>45962</v>
      </c>
      <c r="C2472">
        <v>0</v>
      </c>
    </row>
    <row r="2473" spans="1:3" ht="15" customHeight="1" x14ac:dyDescent="0.3">
      <c r="A2473" t="s">
        <v>204</v>
      </c>
      <c r="B2473" s="3">
        <v>45992</v>
      </c>
      <c r="C2473">
        <v>0</v>
      </c>
    </row>
    <row r="2474" spans="1:3" ht="15" customHeight="1" x14ac:dyDescent="0.3">
      <c r="A2474" t="s">
        <v>204</v>
      </c>
      <c r="B2474" s="3">
        <v>46023</v>
      </c>
      <c r="C2474">
        <v>0</v>
      </c>
    </row>
    <row r="2475" spans="1:3" ht="15" customHeight="1" x14ac:dyDescent="0.3">
      <c r="A2475" t="s">
        <v>204</v>
      </c>
      <c r="B2475" s="3">
        <v>46054</v>
      </c>
      <c r="C2475">
        <v>0</v>
      </c>
    </row>
    <row r="2476" spans="1:3" ht="15" customHeight="1" x14ac:dyDescent="0.3">
      <c r="A2476" t="s">
        <v>204</v>
      </c>
      <c r="B2476" s="3">
        <v>46082</v>
      </c>
      <c r="C2476">
        <v>0</v>
      </c>
    </row>
    <row r="2477" spans="1:3" ht="15" customHeight="1" x14ac:dyDescent="0.3">
      <c r="A2477" t="s">
        <v>204</v>
      </c>
      <c r="B2477" s="3">
        <v>46113</v>
      </c>
      <c r="C2477">
        <v>0</v>
      </c>
    </row>
    <row r="2478" spans="1:3" ht="15" customHeight="1" x14ac:dyDescent="0.3">
      <c r="A2478" t="s">
        <v>204</v>
      </c>
      <c r="B2478" s="3">
        <v>46143</v>
      </c>
      <c r="C2478">
        <v>0</v>
      </c>
    </row>
    <row r="2479" spans="1:3" ht="15" customHeight="1" x14ac:dyDescent="0.3">
      <c r="A2479" t="s">
        <v>204</v>
      </c>
      <c r="B2479" s="3">
        <v>46174</v>
      </c>
      <c r="C2479">
        <v>0</v>
      </c>
    </row>
    <row r="2480" spans="1:3" ht="15" customHeight="1" x14ac:dyDescent="0.3">
      <c r="A2480" t="s">
        <v>204</v>
      </c>
      <c r="B2480" s="3">
        <v>46204</v>
      </c>
      <c r="C2480">
        <v>0</v>
      </c>
    </row>
    <row r="2481" spans="1:3" ht="15" customHeight="1" x14ac:dyDescent="0.3">
      <c r="A2481" t="s">
        <v>204</v>
      </c>
      <c r="B2481" s="3">
        <v>46235</v>
      </c>
      <c r="C2481">
        <v>0</v>
      </c>
    </row>
    <row r="2482" spans="1:3" ht="15" customHeight="1" x14ac:dyDescent="0.3">
      <c r="A2482" t="s">
        <v>204</v>
      </c>
      <c r="B2482" s="3">
        <v>46266</v>
      </c>
      <c r="C2482">
        <v>0</v>
      </c>
    </row>
    <row r="2483" spans="1:3" ht="15" customHeight="1" x14ac:dyDescent="0.3">
      <c r="A2483" t="s">
        <v>204</v>
      </c>
      <c r="B2483" s="3">
        <v>46296</v>
      </c>
      <c r="C2483">
        <v>0</v>
      </c>
    </row>
    <row r="2484" spans="1:3" ht="15" customHeight="1" x14ac:dyDescent="0.3">
      <c r="A2484" t="s">
        <v>204</v>
      </c>
      <c r="B2484" s="3">
        <v>46327</v>
      </c>
      <c r="C2484">
        <v>0</v>
      </c>
    </row>
    <row r="2485" spans="1:3" ht="15" customHeight="1" x14ac:dyDescent="0.3">
      <c r="A2485" t="s">
        <v>204</v>
      </c>
      <c r="B2485" s="3">
        <v>46357</v>
      </c>
      <c r="C2485">
        <v>0</v>
      </c>
    </row>
    <row r="2486" spans="1:3" ht="15" customHeight="1" x14ac:dyDescent="0.3">
      <c r="A2486" t="s">
        <v>206</v>
      </c>
      <c r="B2486" s="3">
        <v>45292</v>
      </c>
      <c r="C2486">
        <v>7399.8</v>
      </c>
    </row>
    <row r="2487" spans="1:3" ht="15" customHeight="1" x14ac:dyDescent="0.3">
      <c r="A2487" t="s">
        <v>206</v>
      </c>
      <c r="B2487" s="3">
        <v>45323</v>
      </c>
      <c r="C2487">
        <v>6298.2</v>
      </c>
    </row>
    <row r="2488" spans="1:3" ht="15" customHeight="1" x14ac:dyDescent="0.3">
      <c r="A2488" t="s">
        <v>206</v>
      </c>
      <c r="B2488" s="3">
        <v>45352</v>
      </c>
      <c r="C2488">
        <v>6353.1</v>
      </c>
    </row>
    <row r="2489" spans="1:3" ht="15" customHeight="1" x14ac:dyDescent="0.3">
      <c r="A2489" t="s">
        <v>206</v>
      </c>
      <c r="B2489" s="3">
        <v>45383</v>
      </c>
      <c r="C2489">
        <v>5016.6000000000004</v>
      </c>
    </row>
    <row r="2490" spans="1:3" ht="15" customHeight="1" x14ac:dyDescent="0.3">
      <c r="A2490" t="s">
        <v>206</v>
      </c>
      <c r="B2490" s="3">
        <v>45413</v>
      </c>
      <c r="C2490">
        <v>4753.8</v>
      </c>
    </row>
    <row r="2491" spans="1:3" ht="15" customHeight="1" x14ac:dyDescent="0.3">
      <c r="A2491" t="s">
        <v>206</v>
      </c>
      <c r="B2491" s="3">
        <v>45444</v>
      </c>
      <c r="C2491">
        <v>4257</v>
      </c>
    </row>
    <row r="2492" spans="1:3" ht="15" customHeight="1" x14ac:dyDescent="0.3">
      <c r="A2492" t="s">
        <v>206</v>
      </c>
      <c r="B2492" s="3">
        <v>45474</v>
      </c>
      <c r="C2492">
        <v>4730.3999999999996</v>
      </c>
    </row>
    <row r="2493" spans="1:3" ht="15" customHeight="1" x14ac:dyDescent="0.3">
      <c r="A2493" t="s">
        <v>206</v>
      </c>
      <c r="B2493" s="3">
        <v>45505</v>
      </c>
      <c r="C2493">
        <v>5440.5</v>
      </c>
    </row>
    <row r="2494" spans="1:3" ht="15" customHeight="1" x14ac:dyDescent="0.3">
      <c r="A2494" t="s">
        <v>206</v>
      </c>
      <c r="B2494" s="3">
        <v>45536</v>
      </c>
      <c r="C2494">
        <v>6345.9</v>
      </c>
    </row>
    <row r="2495" spans="1:3" ht="15" customHeight="1" x14ac:dyDescent="0.3">
      <c r="A2495" t="s">
        <v>206</v>
      </c>
      <c r="B2495" s="3">
        <v>45566</v>
      </c>
      <c r="C2495">
        <v>7250.4</v>
      </c>
    </row>
    <row r="2496" spans="1:3" ht="15" customHeight="1" x14ac:dyDescent="0.3">
      <c r="A2496" t="s">
        <v>206</v>
      </c>
      <c r="B2496" s="3">
        <v>45597</v>
      </c>
      <c r="C2496">
        <v>7330.5</v>
      </c>
    </row>
    <row r="2497" spans="1:3" ht="15" customHeight="1" x14ac:dyDescent="0.3">
      <c r="A2497" t="s">
        <v>206</v>
      </c>
      <c r="B2497" s="3">
        <v>45627</v>
      </c>
      <c r="C2497">
        <v>7866</v>
      </c>
    </row>
    <row r="2498" spans="1:3" ht="15" customHeight="1" x14ac:dyDescent="0.3">
      <c r="A2498" t="s">
        <v>206</v>
      </c>
      <c r="B2498" s="3">
        <v>45658</v>
      </c>
      <c r="C2498">
        <v>7399.8</v>
      </c>
    </row>
    <row r="2499" spans="1:3" ht="15" customHeight="1" x14ac:dyDescent="0.3">
      <c r="A2499" t="s">
        <v>206</v>
      </c>
      <c r="B2499" s="3">
        <v>45689</v>
      </c>
      <c r="C2499">
        <v>6298.2</v>
      </c>
    </row>
    <row r="2500" spans="1:3" ht="15" customHeight="1" x14ac:dyDescent="0.3">
      <c r="A2500" t="s">
        <v>206</v>
      </c>
      <c r="B2500" s="3">
        <v>45717</v>
      </c>
      <c r="C2500">
        <v>6353.1</v>
      </c>
    </row>
    <row r="2501" spans="1:3" ht="15" customHeight="1" x14ac:dyDescent="0.3">
      <c r="A2501" t="s">
        <v>206</v>
      </c>
      <c r="B2501" s="3">
        <v>45748</v>
      </c>
      <c r="C2501">
        <v>5016.6000000000004</v>
      </c>
    </row>
    <row r="2502" spans="1:3" ht="15" customHeight="1" x14ac:dyDescent="0.3">
      <c r="A2502" t="s">
        <v>206</v>
      </c>
      <c r="B2502" s="3">
        <v>45778</v>
      </c>
      <c r="C2502">
        <v>4753.8</v>
      </c>
    </row>
    <row r="2503" spans="1:3" ht="15" customHeight="1" x14ac:dyDescent="0.3">
      <c r="A2503" t="s">
        <v>206</v>
      </c>
      <c r="B2503" s="3">
        <v>45809</v>
      </c>
      <c r="C2503">
        <v>4257</v>
      </c>
    </row>
    <row r="2504" spans="1:3" ht="15" customHeight="1" x14ac:dyDescent="0.3">
      <c r="A2504" t="s">
        <v>206</v>
      </c>
      <c r="B2504" s="3">
        <v>45839</v>
      </c>
      <c r="C2504">
        <v>4730.3999999999996</v>
      </c>
    </row>
    <row r="2505" spans="1:3" ht="15" customHeight="1" x14ac:dyDescent="0.3">
      <c r="A2505" t="s">
        <v>206</v>
      </c>
      <c r="B2505" s="3">
        <v>45870</v>
      </c>
      <c r="C2505">
        <v>5440.5</v>
      </c>
    </row>
    <row r="2506" spans="1:3" ht="15" customHeight="1" x14ac:dyDescent="0.3">
      <c r="A2506" t="s">
        <v>206</v>
      </c>
      <c r="B2506" s="3">
        <v>45901</v>
      </c>
      <c r="C2506">
        <v>6345.9</v>
      </c>
    </row>
    <row r="2507" spans="1:3" ht="15" customHeight="1" x14ac:dyDescent="0.3">
      <c r="A2507" t="s">
        <v>206</v>
      </c>
      <c r="B2507" s="3">
        <v>45931</v>
      </c>
      <c r="C2507">
        <v>7250.4</v>
      </c>
    </row>
    <row r="2508" spans="1:3" ht="15" customHeight="1" x14ac:dyDescent="0.3">
      <c r="A2508" t="s">
        <v>206</v>
      </c>
      <c r="B2508" s="3">
        <v>45962</v>
      </c>
      <c r="C2508">
        <v>7330.5</v>
      </c>
    </row>
    <row r="2509" spans="1:3" ht="15" customHeight="1" x14ac:dyDescent="0.3">
      <c r="A2509" t="s">
        <v>206</v>
      </c>
      <c r="B2509" s="3">
        <v>45992</v>
      </c>
      <c r="C2509">
        <v>7866</v>
      </c>
    </row>
    <row r="2510" spans="1:3" ht="15" customHeight="1" x14ac:dyDescent="0.3">
      <c r="A2510" t="s">
        <v>206</v>
      </c>
      <c r="B2510" s="3">
        <v>46023</v>
      </c>
      <c r="C2510">
        <v>7399.8</v>
      </c>
    </row>
    <row r="2511" spans="1:3" ht="15" customHeight="1" x14ac:dyDescent="0.3">
      <c r="A2511" t="s">
        <v>206</v>
      </c>
      <c r="B2511" s="3">
        <v>46054</v>
      </c>
      <c r="C2511">
        <v>6298.2</v>
      </c>
    </row>
    <row r="2512" spans="1:3" ht="15" customHeight="1" x14ac:dyDescent="0.3">
      <c r="A2512" t="s">
        <v>206</v>
      </c>
      <c r="B2512" s="3">
        <v>46082</v>
      </c>
      <c r="C2512">
        <v>6353.1</v>
      </c>
    </row>
    <row r="2513" spans="1:3" ht="15" customHeight="1" x14ac:dyDescent="0.3">
      <c r="A2513" t="s">
        <v>206</v>
      </c>
      <c r="B2513" s="3">
        <v>46113</v>
      </c>
      <c r="C2513">
        <v>5016.6000000000004</v>
      </c>
    </row>
    <row r="2514" spans="1:3" ht="15" customHeight="1" x14ac:dyDescent="0.3">
      <c r="A2514" t="s">
        <v>206</v>
      </c>
      <c r="B2514" s="3">
        <v>46143</v>
      </c>
      <c r="C2514">
        <v>4753.8</v>
      </c>
    </row>
    <row r="2515" spans="1:3" ht="15" customHeight="1" x14ac:dyDescent="0.3">
      <c r="A2515" t="s">
        <v>206</v>
      </c>
      <c r="B2515" s="3">
        <v>46174</v>
      </c>
      <c r="C2515">
        <v>4257</v>
      </c>
    </row>
    <row r="2516" spans="1:3" ht="15" customHeight="1" x14ac:dyDescent="0.3">
      <c r="A2516" t="s">
        <v>206</v>
      </c>
      <c r="B2516" s="3">
        <v>46204</v>
      </c>
      <c r="C2516">
        <v>4730.3999999999996</v>
      </c>
    </row>
    <row r="2517" spans="1:3" ht="15" customHeight="1" x14ac:dyDescent="0.3">
      <c r="A2517" t="s">
        <v>206</v>
      </c>
      <c r="B2517" s="3">
        <v>46235</v>
      </c>
      <c r="C2517">
        <v>5440.5</v>
      </c>
    </row>
    <row r="2518" spans="1:3" ht="15" customHeight="1" x14ac:dyDescent="0.3">
      <c r="A2518" t="s">
        <v>206</v>
      </c>
      <c r="B2518" s="3">
        <v>46266</v>
      </c>
      <c r="C2518">
        <v>6345.9</v>
      </c>
    </row>
    <row r="2519" spans="1:3" ht="15" customHeight="1" x14ac:dyDescent="0.3">
      <c r="A2519" t="s">
        <v>206</v>
      </c>
      <c r="B2519" s="3">
        <v>46296</v>
      </c>
      <c r="C2519">
        <v>7250.4</v>
      </c>
    </row>
    <row r="2520" spans="1:3" ht="15" customHeight="1" x14ac:dyDescent="0.3">
      <c r="A2520" t="s">
        <v>206</v>
      </c>
      <c r="B2520" s="3">
        <v>46327</v>
      </c>
      <c r="C2520">
        <v>7330.5</v>
      </c>
    </row>
    <row r="2521" spans="1:3" ht="15" customHeight="1" x14ac:dyDescent="0.3">
      <c r="A2521" t="s">
        <v>206</v>
      </c>
      <c r="B2521" s="3">
        <v>46357</v>
      </c>
      <c r="C2521">
        <v>7866</v>
      </c>
    </row>
    <row r="2522" spans="1:3" ht="15" customHeight="1" x14ac:dyDescent="0.3">
      <c r="A2522" t="s">
        <v>208</v>
      </c>
      <c r="B2522" s="3">
        <v>45292</v>
      </c>
      <c r="C2522">
        <v>4274.1000000000004</v>
      </c>
    </row>
    <row r="2523" spans="1:3" ht="15" customHeight="1" x14ac:dyDescent="0.3">
      <c r="A2523" t="s">
        <v>208</v>
      </c>
      <c r="B2523" s="3">
        <v>45323</v>
      </c>
      <c r="C2523">
        <v>3810.6</v>
      </c>
    </row>
    <row r="2524" spans="1:3" ht="15" customHeight="1" x14ac:dyDescent="0.3">
      <c r="A2524" t="s">
        <v>208</v>
      </c>
      <c r="B2524" s="3">
        <v>45352</v>
      </c>
      <c r="C2524">
        <v>3907.2750000000001</v>
      </c>
    </row>
    <row r="2525" spans="1:3" ht="15" customHeight="1" x14ac:dyDescent="0.3">
      <c r="A2525" t="s">
        <v>208</v>
      </c>
      <c r="B2525" s="3">
        <v>45383</v>
      </c>
      <c r="C2525">
        <v>3268.125</v>
      </c>
    </row>
    <row r="2526" spans="1:3" ht="15" customHeight="1" x14ac:dyDescent="0.3">
      <c r="A2526" t="s">
        <v>208</v>
      </c>
      <c r="B2526" s="3">
        <v>45413</v>
      </c>
      <c r="C2526">
        <v>2929.95</v>
      </c>
    </row>
    <row r="2527" spans="1:3" ht="15" customHeight="1" x14ac:dyDescent="0.3">
      <c r="A2527" t="s">
        <v>208</v>
      </c>
      <c r="B2527" s="3">
        <v>45444</v>
      </c>
      <c r="C2527">
        <v>2664.75</v>
      </c>
    </row>
    <row r="2528" spans="1:3" ht="15" customHeight="1" x14ac:dyDescent="0.3">
      <c r="A2528" t="s">
        <v>208</v>
      </c>
      <c r="B2528" s="3">
        <v>45474</v>
      </c>
      <c r="C2528">
        <v>2851.125</v>
      </c>
    </row>
    <row r="2529" spans="1:3" ht="15" customHeight="1" x14ac:dyDescent="0.3">
      <c r="A2529" t="s">
        <v>208</v>
      </c>
      <c r="B2529" s="3">
        <v>45505</v>
      </c>
      <c r="C2529">
        <v>3237</v>
      </c>
    </row>
    <row r="2530" spans="1:3" ht="15" customHeight="1" x14ac:dyDescent="0.3">
      <c r="A2530" t="s">
        <v>208</v>
      </c>
      <c r="B2530" s="3">
        <v>45536</v>
      </c>
      <c r="C2530">
        <v>3327.75</v>
      </c>
    </row>
    <row r="2531" spans="1:3" ht="15" customHeight="1" x14ac:dyDescent="0.3">
      <c r="A2531" t="s">
        <v>208</v>
      </c>
      <c r="B2531" s="3">
        <v>45566</v>
      </c>
      <c r="C2531">
        <v>3775.7249999999999</v>
      </c>
    </row>
    <row r="2532" spans="1:3" ht="15" customHeight="1" x14ac:dyDescent="0.3">
      <c r="A2532" t="s">
        <v>208</v>
      </c>
      <c r="B2532" s="3">
        <v>45597</v>
      </c>
      <c r="C2532">
        <v>3829.5749999999998</v>
      </c>
    </row>
    <row r="2533" spans="1:3" ht="15" customHeight="1" x14ac:dyDescent="0.3">
      <c r="A2533" t="s">
        <v>208</v>
      </c>
      <c r="B2533" s="3">
        <v>45627</v>
      </c>
      <c r="C2533">
        <v>4315.6499999999996</v>
      </c>
    </row>
    <row r="2534" spans="1:3" ht="15" customHeight="1" x14ac:dyDescent="0.3">
      <c r="A2534" t="s">
        <v>208</v>
      </c>
      <c r="B2534" s="3">
        <v>45658</v>
      </c>
      <c r="C2534">
        <v>4274.1000000000004</v>
      </c>
    </row>
    <row r="2535" spans="1:3" ht="15" customHeight="1" x14ac:dyDescent="0.3">
      <c r="A2535" t="s">
        <v>208</v>
      </c>
      <c r="B2535" s="3">
        <v>45689</v>
      </c>
      <c r="C2535">
        <v>3810.6</v>
      </c>
    </row>
    <row r="2536" spans="1:3" ht="15" customHeight="1" x14ac:dyDescent="0.3">
      <c r="A2536" t="s">
        <v>208</v>
      </c>
      <c r="B2536" s="3">
        <v>45717</v>
      </c>
      <c r="C2536">
        <v>3907.2750000000001</v>
      </c>
    </row>
    <row r="2537" spans="1:3" ht="15" customHeight="1" x14ac:dyDescent="0.3">
      <c r="A2537" t="s">
        <v>208</v>
      </c>
      <c r="B2537" s="3">
        <v>45748</v>
      </c>
      <c r="C2537">
        <v>3268.125</v>
      </c>
    </row>
    <row r="2538" spans="1:3" ht="15" customHeight="1" x14ac:dyDescent="0.3">
      <c r="A2538" t="s">
        <v>208</v>
      </c>
      <c r="B2538" s="3">
        <v>45778</v>
      </c>
      <c r="C2538">
        <v>2929.95</v>
      </c>
    </row>
    <row r="2539" spans="1:3" ht="15" customHeight="1" x14ac:dyDescent="0.3">
      <c r="A2539" t="s">
        <v>208</v>
      </c>
      <c r="B2539" s="3">
        <v>45809</v>
      </c>
      <c r="C2539">
        <v>2664.75</v>
      </c>
    </row>
    <row r="2540" spans="1:3" ht="15" customHeight="1" x14ac:dyDescent="0.3">
      <c r="A2540" t="s">
        <v>208</v>
      </c>
      <c r="B2540" s="3">
        <v>45839</v>
      </c>
      <c r="C2540">
        <v>2851.125</v>
      </c>
    </row>
    <row r="2541" spans="1:3" ht="15" customHeight="1" x14ac:dyDescent="0.3">
      <c r="A2541" t="s">
        <v>208</v>
      </c>
      <c r="B2541" s="3">
        <v>45870</v>
      </c>
      <c r="C2541">
        <v>3237</v>
      </c>
    </row>
    <row r="2542" spans="1:3" ht="15" customHeight="1" x14ac:dyDescent="0.3">
      <c r="A2542" t="s">
        <v>208</v>
      </c>
      <c r="B2542" s="3">
        <v>45901</v>
      </c>
      <c r="C2542">
        <v>3327.75</v>
      </c>
    </row>
    <row r="2543" spans="1:3" ht="15" customHeight="1" x14ac:dyDescent="0.3">
      <c r="A2543" t="s">
        <v>208</v>
      </c>
      <c r="B2543" s="3">
        <v>45931</v>
      </c>
      <c r="C2543">
        <v>3775.7249999999999</v>
      </c>
    </row>
    <row r="2544" spans="1:3" ht="15" customHeight="1" x14ac:dyDescent="0.3">
      <c r="A2544" t="s">
        <v>208</v>
      </c>
      <c r="B2544" s="3">
        <v>45962</v>
      </c>
      <c r="C2544">
        <v>3829.5749999999998</v>
      </c>
    </row>
    <row r="2545" spans="1:3" ht="15" customHeight="1" x14ac:dyDescent="0.3">
      <c r="A2545" t="s">
        <v>208</v>
      </c>
      <c r="B2545" s="3">
        <v>45992</v>
      </c>
      <c r="C2545">
        <v>4315.6499999999996</v>
      </c>
    </row>
    <row r="2546" spans="1:3" ht="15" customHeight="1" x14ac:dyDescent="0.3">
      <c r="A2546" t="s">
        <v>208</v>
      </c>
      <c r="B2546" s="3">
        <v>46023</v>
      </c>
      <c r="C2546">
        <v>4274.1000000000004</v>
      </c>
    </row>
    <row r="2547" spans="1:3" ht="15" customHeight="1" x14ac:dyDescent="0.3">
      <c r="A2547" t="s">
        <v>208</v>
      </c>
      <c r="B2547" s="3">
        <v>46054</v>
      </c>
      <c r="C2547">
        <v>3810.6</v>
      </c>
    </row>
    <row r="2548" spans="1:3" ht="15" customHeight="1" x14ac:dyDescent="0.3">
      <c r="A2548" t="s">
        <v>208</v>
      </c>
      <c r="B2548" s="3">
        <v>46082</v>
      </c>
      <c r="C2548">
        <v>3907.2750000000001</v>
      </c>
    </row>
    <row r="2549" spans="1:3" ht="15" customHeight="1" x14ac:dyDescent="0.3">
      <c r="A2549" t="s">
        <v>208</v>
      </c>
      <c r="B2549" s="3">
        <v>46113</v>
      </c>
      <c r="C2549">
        <v>3268.125</v>
      </c>
    </row>
    <row r="2550" spans="1:3" ht="15" customHeight="1" x14ac:dyDescent="0.3">
      <c r="A2550" t="s">
        <v>208</v>
      </c>
      <c r="B2550" s="3">
        <v>46143</v>
      </c>
      <c r="C2550">
        <v>2929.95</v>
      </c>
    </row>
    <row r="2551" spans="1:3" ht="15" customHeight="1" x14ac:dyDescent="0.3">
      <c r="A2551" t="s">
        <v>208</v>
      </c>
      <c r="B2551" s="3">
        <v>46174</v>
      </c>
      <c r="C2551">
        <v>2664.75</v>
      </c>
    </row>
    <row r="2552" spans="1:3" ht="15" customHeight="1" x14ac:dyDescent="0.3">
      <c r="A2552" t="s">
        <v>208</v>
      </c>
      <c r="B2552" s="3">
        <v>46204</v>
      </c>
      <c r="C2552">
        <v>2851.125</v>
      </c>
    </row>
    <row r="2553" spans="1:3" ht="15" customHeight="1" x14ac:dyDescent="0.3">
      <c r="A2553" t="s">
        <v>208</v>
      </c>
      <c r="B2553" s="3">
        <v>46235</v>
      </c>
      <c r="C2553">
        <v>3237</v>
      </c>
    </row>
    <row r="2554" spans="1:3" ht="15" customHeight="1" x14ac:dyDescent="0.3">
      <c r="A2554" t="s">
        <v>208</v>
      </c>
      <c r="B2554" s="3">
        <v>46266</v>
      </c>
      <c r="C2554">
        <v>3327.75</v>
      </c>
    </row>
    <row r="2555" spans="1:3" ht="15" customHeight="1" x14ac:dyDescent="0.3">
      <c r="A2555" t="s">
        <v>208</v>
      </c>
      <c r="B2555" s="3">
        <v>46296</v>
      </c>
      <c r="C2555">
        <v>3775.7249999999999</v>
      </c>
    </row>
    <row r="2556" spans="1:3" ht="15" customHeight="1" x14ac:dyDescent="0.3">
      <c r="A2556" t="s">
        <v>208</v>
      </c>
      <c r="B2556" s="3">
        <v>46327</v>
      </c>
      <c r="C2556">
        <v>3829.5749999999998</v>
      </c>
    </row>
    <row r="2557" spans="1:3" ht="15" customHeight="1" x14ac:dyDescent="0.3">
      <c r="A2557" t="s">
        <v>208</v>
      </c>
      <c r="B2557" s="3">
        <v>46357</v>
      </c>
      <c r="C2557">
        <v>4315.6499999999996</v>
      </c>
    </row>
    <row r="2558" spans="1:3" ht="15" customHeight="1" x14ac:dyDescent="0.3">
      <c r="A2558" t="s">
        <v>213</v>
      </c>
      <c r="B2558" s="3">
        <v>45292</v>
      </c>
      <c r="C2558">
        <v>13441.985000000001</v>
      </c>
    </row>
    <row r="2559" spans="1:3" ht="15" customHeight="1" x14ac:dyDescent="0.3">
      <c r="A2559" t="s">
        <v>213</v>
      </c>
      <c r="B2559" s="3">
        <v>45323</v>
      </c>
      <c r="C2559">
        <v>12055.125</v>
      </c>
    </row>
    <row r="2560" spans="1:3" ht="15" customHeight="1" x14ac:dyDescent="0.3">
      <c r="A2560" t="s">
        <v>213</v>
      </c>
      <c r="B2560" s="3">
        <v>45352</v>
      </c>
      <c r="C2560">
        <v>12858.46</v>
      </c>
    </row>
    <row r="2561" spans="1:3" ht="15" customHeight="1" x14ac:dyDescent="0.3">
      <c r="A2561" t="s">
        <v>213</v>
      </c>
      <c r="B2561" s="3">
        <v>45383</v>
      </c>
      <c r="C2561">
        <v>11531.27</v>
      </c>
    </row>
    <row r="2562" spans="1:3" ht="15" customHeight="1" x14ac:dyDescent="0.3">
      <c r="A2562" t="s">
        <v>213</v>
      </c>
      <c r="B2562" s="3">
        <v>45413</v>
      </c>
      <c r="C2562">
        <v>11785.93</v>
      </c>
    </row>
    <row r="2563" spans="1:3" ht="15" customHeight="1" x14ac:dyDescent="0.3">
      <c r="A2563" t="s">
        <v>213</v>
      </c>
      <c r="B2563" s="3">
        <v>45444</v>
      </c>
      <c r="C2563">
        <v>11018.635</v>
      </c>
    </row>
    <row r="2564" spans="1:3" ht="15" customHeight="1" x14ac:dyDescent="0.3">
      <c r="A2564" t="s">
        <v>213</v>
      </c>
      <c r="B2564" s="3">
        <v>45474</v>
      </c>
      <c r="C2564">
        <v>12024.27</v>
      </c>
    </row>
    <row r="2565" spans="1:3" ht="15" customHeight="1" x14ac:dyDescent="0.3">
      <c r="A2565" t="s">
        <v>213</v>
      </c>
      <c r="B2565" s="3">
        <v>45505</v>
      </c>
      <c r="C2565">
        <v>13262.635</v>
      </c>
    </row>
    <row r="2566" spans="1:3" ht="15" customHeight="1" x14ac:dyDescent="0.3">
      <c r="A2566" t="s">
        <v>213</v>
      </c>
      <c r="B2566" s="3">
        <v>45536</v>
      </c>
      <c r="C2566">
        <v>13540.33</v>
      </c>
    </row>
    <row r="2567" spans="1:3" ht="15" customHeight="1" x14ac:dyDescent="0.3">
      <c r="A2567" t="s">
        <v>213</v>
      </c>
      <c r="B2567" s="3">
        <v>45566</v>
      </c>
      <c r="C2567">
        <v>13925.295</v>
      </c>
    </row>
    <row r="2568" spans="1:3" ht="15" customHeight="1" x14ac:dyDescent="0.3">
      <c r="A2568" t="s">
        <v>213</v>
      </c>
      <c r="B2568" s="3">
        <v>45597</v>
      </c>
      <c r="C2568">
        <v>13508.37</v>
      </c>
    </row>
    <row r="2569" spans="1:3" ht="15" customHeight="1" x14ac:dyDescent="0.3">
      <c r="A2569" t="s">
        <v>213</v>
      </c>
      <c r="B2569" s="3">
        <v>45627</v>
      </c>
      <c r="C2569">
        <v>14234.525</v>
      </c>
    </row>
    <row r="2570" spans="1:3" ht="15" customHeight="1" x14ac:dyDescent="0.3">
      <c r="A2570" t="s">
        <v>213</v>
      </c>
      <c r="B2570" s="3">
        <v>45658</v>
      </c>
      <c r="C2570">
        <v>13441.985000000001</v>
      </c>
    </row>
    <row r="2571" spans="1:3" ht="15" customHeight="1" x14ac:dyDescent="0.3">
      <c r="A2571" t="s">
        <v>213</v>
      </c>
      <c r="B2571" s="3">
        <v>45689</v>
      </c>
      <c r="C2571">
        <v>12055.125</v>
      </c>
    </row>
    <row r="2572" spans="1:3" ht="15" customHeight="1" x14ac:dyDescent="0.3">
      <c r="A2572" t="s">
        <v>213</v>
      </c>
      <c r="B2572" s="3">
        <v>45717</v>
      </c>
      <c r="C2572">
        <v>12858.46</v>
      </c>
    </row>
    <row r="2573" spans="1:3" ht="15" customHeight="1" x14ac:dyDescent="0.3">
      <c r="A2573" t="s">
        <v>213</v>
      </c>
      <c r="B2573" s="3">
        <v>45748</v>
      </c>
      <c r="C2573">
        <v>11531.27</v>
      </c>
    </row>
    <row r="2574" spans="1:3" ht="15" customHeight="1" x14ac:dyDescent="0.3">
      <c r="A2574" t="s">
        <v>213</v>
      </c>
      <c r="B2574" s="3">
        <v>45778</v>
      </c>
      <c r="C2574">
        <v>11785.93</v>
      </c>
    </row>
    <row r="2575" spans="1:3" ht="15" customHeight="1" x14ac:dyDescent="0.3">
      <c r="A2575" t="s">
        <v>213</v>
      </c>
      <c r="B2575" s="3">
        <v>45809</v>
      </c>
      <c r="C2575">
        <v>11018.635</v>
      </c>
    </row>
    <row r="2576" spans="1:3" ht="15" customHeight="1" x14ac:dyDescent="0.3">
      <c r="A2576" t="s">
        <v>213</v>
      </c>
      <c r="B2576" s="3">
        <v>45839</v>
      </c>
      <c r="C2576">
        <v>12024.27</v>
      </c>
    </row>
    <row r="2577" spans="1:3" ht="15" customHeight="1" x14ac:dyDescent="0.3">
      <c r="A2577" t="s">
        <v>213</v>
      </c>
      <c r="B2577" s="3">
        <v>45870</v>
      </c>
      <c r="C2577">
        <v>13262.635</v>
      </c>
    </row>
    <row r="2578" spans="1:3" ht="15" customHeight="1" x14ac:dyDescent="0.3">
      <c r="A2578" t="s">
        <v>213</v>
      </c>
      <c r="B2578" s="3">
        <v>45901</v>
      </c>
      <c r="C2578">
        <v>13540.33</v>
      </c>
    </row>
    <row r="2579" spans="1:3" ht="15" customHeight="1" x14ac:dyDescent="0.3">
      <c r="A2579" t="s">
        <v>213</v>
      </c>
      <c r="B2579" s="3">
        <v>45931</v>
      </c>
      <c r="C2579">
        <v>13925.295</v>
      </c>
    </row>
    <row r="2580" spans="1:3" ht="15" customHeight="1" x14ac:dyDescent="0.3">
      <c r="A2580" t="s">
        <v>213</v>
      </c>
      <c r="B2580" s="3">
        <v>45962</v>
      </c>
      <c r="C2580">
        <v>13508.37</v>
      </c>
    </row>
    <row r="2581" spans="1:3" ht="15" customHeight="1" x14ac:dyDescent="0.3">
      <c r="A2581" t="s">
        <v>213</v>
      </c>
      <c r="B2581" s="3">
        <v>45992</v>
      </c>
      <c r="C2581">
        <v>14234.525</v>
      </c>
    </row>
    <row r="2582" spans="1:3" ht="15" customHeight="1" x14ac:dyDescent="0.3">
      <c r="A2582" t="s">
        <v>213</v>
      </c>
      <c r="B2582" s="3">
        <v>46023</v>
      </c>
      <c r="C2582">
        <v>13441.985000000001</v>
      </c>
    </row>
    <row r="2583" spans="1:3" ht="15" customHeight="1" x14ac:dyDescent="0.3">
      <c r="A2583" t="s">
        <v>213</v>
      </c>
      <c r="B2583" s="3">
        <v>46054</v>
      </c>
      <c r="C2583">
        <v>12055.125</v>
      </c>
    </row>
    <row r="2584" spans="1:3" ht="15" customHeight="1" x14ac:dyDescent="0.3">
      <c r="A2584" t="s">
        <v>213</v>
      </c>
      <c r="B2584" s="3">
        <v>46082</v>
      </c>
      <c r="C2584">
        <v>12858.46</v>
      </c>
    </row>
    <row r="2585" spans="1:3" ht="15" customHeight="1" x14ac:dyDescent="0.3">
      <c r="A2585" t="s">
        <v>213</v>
      </c>
      <c r="B2585" s="3">
        <v>46113</v>
      </c>
      <c r="C2585">
        <v>11531.27</v>
      </c>
    </row>
    <row r="2586" spans="1:3" ht="15" customHeight="1" x14ac:dyDescent="0.3">
      <c r="A2586" t="s">
        <v>213</v>
      </c>
      <c r="B2586" s="3">
        <v>46143</v>
      </c>
      <c r="C2586">
        <v>11785.93</v>
      </c>
    </row>
    <row r="2587" spans="1:3" ht="15" customHeight="1" x14ac:dyDescent="0.3">
      <c r="A2587" t="s">
        <v>213</v>
      </c>
      <c r="B2587" s="3">
        <v>46174</v>
      </c>
      <c r="C2587">
        <v>11018.635</v>
      </c>
    </row>
    <row r="2588" spans="1:3" ht="15" customHeight="1" x14ac:dyDescent="0.3">
      <c r="A2588" t="s">
        <v>213</v>
      </c>
      <c r="B2588" s="3">
        <v>46204</v>
      </c>
      <c r="C2588">
        <v>12024.27</v>
      </c>
    </row>
    <row r="2589" spans="1:3" ht="15" customHeight="1" x14ac:dyDescent="0.3">
      <c r="A2589" t="s">
        <v>213</v>
      </c>
      <c r="B2589" s="3">
        <v>46235</v>
      </c>
      <c r="C2589">
        <v>13262.635</v>
      </c>
    </row>
    <row r="2590" spans="1:3" ht="15" customHeight="1" x14ac:dyDescent="0.3">
      <c r="A2590" t="s">
        <v>213</v>
      </c>
      <c r="B2590" s="3">
        <v>46266</v>
      </c>
      <c r="C2590">
        <v>13540.33</v>
      </c>
    </row>
    <row r="2591" spans="1:3" ht="15" customHeight="1" x14ac:dyDescent="0.3">
      <c r="A2591" t="s">
        <v>213</v>
      </c>
      <c r="B2591" s="3">
        <v>46296</v>
      </c>
      <c r="C2591">
        <v>13925.295</v>
      </c>
    </row>
    <row r="2592" spans="1:3" ht="15" customHeight="1" x14ac:dyDescent="0.3">
      <c r="A2592" t="s">
        <v>213</v>
      </c>
      <c r="B2592" s="3">
        <v>46327</v>
      </c>
      <c r="C2592">
        <v>13508.37</v>
      </c>
    </row>
    <row r="2593" spans="1:3" ht="15" customHeight="1" x14ac:dyDescent="0.3">
      <c r="A2593" t="s">
        <v>213</v>
      </c>
      <c r="B2593" s="3">
        <v>46357</v>
      </c>
      <c r="C2593">
        <v>14234.525</v>
      </c>
    </row>
    <row r="2594" spans="1:3" ht="15" customHeight="1" x14ac:dyDescent="0.3">
      <c r="A2594" t="s">
        <v>224</v>
      </c>
      <c r="B2594" s="3">
        <v>45292</v>
      </c>
      <c r="C2594">
        <v>7299.9</v>
      </c>
    </row>
    <row r="2595" spans="1:3" ht="15" customHeight="1" x14ac:dyDescent="0.3">
      <c r="A2595" t="s">
        <v>224</v>
      </c>
      <c r="B2595" s="3">
        <v>45323</v>
      </c>
      <c r="C2595">
        <v>6223.5</v>
      </c>
    </row>
    <row r="2596" spans="1:3" ht="15" customHeight="1" x14ac:dyDescent="0.3">
      <c r="A2596" t="s">
        <v>224</v>
      </c>
      <c r="B2596" s="3">
        <v>45352</v>
      </c>
      <c r="C2596">
        <v>6048.9</v>
      </c>
    </row>
    <row r="2597" spans="1:3" ht="15" customHeight="1" x14ac:dyDescent="0.3">
      <c r="A2597" t="s">
        <v>224</v>
      </c>
      <c r="B2597" s="3">
        <v>45383</v>
      </c>
      <c r="C2597">
        <v>5130.8999999999996</v>
      </c>
    </row>
    <row r="2598" spans="1:3" ht="15" customHeight="1" x14ac:dyDescent="0.3">
      <c r="A2598" t="s">
        <v>224</v>
      </c>
      <c r="B2598" s="3">
        <v>45413</v>
      </c>
      <c r="C2598">
        <v>4621.5</v>
      </c>
    </row>
    <row r="2599" spans="1:3" ht="15" customHeight="1" x14ac:dyDescent="0.3">
      <c r="A2599" t="s">
        <v>224</v>
      </c>
      <c r="B2599" s="3">
        <v>45444</v>
      </c>
      <c r="C2599">
        <v>3931.2</v>
      </c>
    </row>
    <row r="2600" spans="1:3" ht="15" customHeight="1" x14ac:dyDescent="0.3">
      <c r="A2600" t="s">
        <v>224</v>
      </c>
      <c r="B2600" s="3">
        <v>45474</v>
      </c>
      <c r="C2600">
        <v>4065.3</v>
      </c>
    </row>
    <row r="2601" spans="1:3" ht="15" customHeight="1" x14ac:dyDescent="0.3">
      <c r="A2601" t="s">
        <v>224</v>
      </c>
      <c r="B2601" s="3">
        <v>45505</v>
      </c>
      <c r="C2601">
        <v>4723.2</v>
      </c>
    </row>
    <row r="2602" spans="1:3" ht="15" customHeight="1" x14ac:dyDescent="0.3">
      <c r="A2602" t="s">
        <v>224</v>
      </c>
      <c r="B2602" s="3">
        <v>45536</v>
      </c>
      <c r="C2602">
        <v>5251.5</v>
      </c>
    </row>
    <row r="2603" spans="1:3" ht="15" customHeight="1" x14ac:dyDescent="0.3">
      <c r="A2603" t="s">
        <v>224</v>
      </c>
      <c r="B2603" s="3">
        <v>45566</v>
      </c>
      <c r="C2603">
        <v>6489.9</v>
      </c>
    </row>
    <row r="2604" spans="1:3" ht="15" customHeight="1" x14ac:dyDescent="0.3">
      <c r="A2604" t="s">
        <v>224</v>
      </c>
      <c r="B2604" s="3">
        <v>45597</v>
      </c>
      <c r="C2604">
        <v>6813.9</v>
      </c>
    </row>
    <row r="2605" spans="1:3" ht="15" customHeight="1" x14ac:dyDescent="0.3">
      <c r="A2605" t="s">
        <v>224</v>
      </c>
      <c r="B2605" s="3">
        <v>45627</v>
      </c>
      <c r="C2605">
        <v>7296.3</v>
      </c>
    </row>
    <row r="2606" spans="1:3" ht="15" customHeight="1" x14ac:dyDescent="0.3">
      <c r="A2606" t="s">
        <v>224</v>
      </c>
      <c r="B2606" s="3">
        <v>45658</v>
      </c>
      <c r="C2606">
        <v>7299.9</v>
      </c>
    </row>
    <row r="2607" spans="1:3" ht="15" customHeight="1" x14ac:dyDescent="0.3">
      <c r="A2607" t="s">
        <v>224</v>
      </c>
      <c r="B2607" s="3">
        <v>45689</v>
      </c>
      <c r="C2607">
        <v>6223.5</v>
      </c>
    </row>
    <row r="2608" spans="1:3" ht="15" customHeight="1" x14ac:dyDescent="0.3">
      <c r="A2608" t="s">
        <v>224</v>
      </c>
      <c r="B2608" s="3">
        <v>45717</v>
      </c>
      <c r="C2608">
        <v>6048.9</v>
      </c>
    </row>
    <row r="2609" spans="1:3" ht="15" customHeight="1" x14ac:dyDescent="0.3">
      <c r="A2609" t="s">
        <v>224</v>
      </c>
      <c r="B2609" s="3">
        <v>45748</v>
      </c>
      <c r="C2609">
        <v>5130.8999999999996</v>
      </c>
    </row>
    <row r="2610" spans="1:3" ht="15" customHeight="1" x14ac:dyDescent="0.3">
      <c r="A2610" t="s">
        <v>224</v>
      </c>
      <c r="B2610" s="3">
        <v>45778</v>
      </c>
      <c r="C2610">
        <v>4621.5</v>
      </c>
    </row>
    <row r="2611" spans="1:3" ht="15" customHeight="1" x14ac:dyDescent="0.3">
      <c r="A2611" t="s">
        <v>224</v>
      </c>
      <c r="B2611" s="3">
        <v>45809</v>
      </c>
      <c r="C2611">
        <v>3931.2</v>
      </c>
    </row>
    <row r="2612" spans="1:3" ht="15" customHeight="1" x14ac:dyDescent="0.3">
      <c r="A2612" t="s">
        <v>224</v>
      </c>
      <c r="B2612" s="3">
        <v>45839</v>
      </c>
      <c r="C2612">
        <v>4065.3</v>
      </c>
    </row>
    <row r="2613" spans="1:3" ht="15" customHeight="1" x14ac:dyDescent="0.3">
      <c r="A2613" t="s">
        <v>224</v>
      </c>
      <c r="B2613" s="3">
        <v>45870</v>
      </c>
      <c r="C2613">
        <v>4723.2</v>
      </c>
    </row>
    <row r="2614" spans="1:3" ht="15" customHeight="1" x14ac:dyDescent="0.3">
      <c r="A2614" t="s">
        <v>224</v>
      </c>
      <c r="B2614" s="3">
        <v>45901</v>
      </c>
      <c r="C2614">
        <v>5251.5</v>
      </c>
    </row>
    <row r="2615" spans="1:3" ht="15" customHeight="1" x14ac:dyDescent="0.3">
      <c r="A2615" t="s">
        <v>224</v>
      </c>
      <c r="B2615" s="3">
        <v>45931</v>
      </c>
      <c r="C2615">
        <v>6489.9</v>
      </c>
    </row>
    <row r="2616" spans="1:3" ht="15" customHeight="1" x14ac:dyDescent="0.3">
      <c r="A2616" t="s">
        <v>224</v>
      </c>
      <c r="B2616" s="3">
        <v>45962</v>
      </c>
      <c r="C2616">
        <v>6813.9</v>
      </c>
    </row>
    <row r="2617" spans="1:3" ht="15" customHeight="1" x14ac:dyDescent="0.3">
      <c r="A2617" t="s">
        <v>224</v>
      </c>
      <c r="B2617" s="3">
        <v>45992</v>
      </c>
      <c r="C2617">
        <v>7296.3</v>
      </c>
    </row>
    <row r="2618" spans="1:3" ht="15" customHeight="1" x14ac:dyDescent="0.3">
      <c r="A2618" t="s">
        <v>224</v>
      </c>
      <c r="B2618" s="3">
        <v>46023</v>
      </c>
      <c r="C2618">
        <v>7299.9</v>
      </c>
    </row>
    <row r="2619" spans="1:3" ht="15" customHeight="1" x14ac:dyDescent="0.3">
      <c r="A2619" t="s">
        <v>224</v>
      </c>
      <c r="B2619" s="3">
        <v>46054</v>
      </c>
      <c r="C2619">
        <v>6223.5</v>
      </c>
    </row>
    <row r="2620" spans="1:3" ht="15" customHeight="1" x14ac:dyDescent="0.3">
      <c r="A2620" t="s">
        <v>224</v>
      </c>
      <c r="B2620" s="3">
        <v>46082</v>
      </c>
      <c r="C2620">
        <v>6048.9</v>
      </c>
    </row>
    <row r="2621" spans="1:3" ht="15" customHeight="1" x14ac:dyDescent="0.3">
      <c r="A2621" t="s">
        <v>224</v>
      </c>
      <c r="B2621" s="3">
        <v>46113</v>
      </c>
      <c r="C2621">
        <v>5130.8999999999996</v>
      </c>
    </row>
    <row r="2622" spans="1:3" ht="15" customHeight="1" x14ac:dyDescent="0.3">
      <c r="A2622" t="s">
        <v>224</v>
      </c>
      <c r="B2622" s="3">
        <v>46143</v>
      </c>
      <c r="C2622">
        <v>4621.5</v>
      </c>
    </row>
    <row r="2623" spans="1:3" ht="15" customHeight="1" x14ac:dyDescent="0.3">
      <c r="A2623" t="s">
        <v>224</v>
      </c>
      <c r="B2623" s="3">
        <v>46174</v>
      </c>
      <c r="C2623">
        <v>3931.2</v>
      </c>
    </row>
    <row r="2624" spans="1:3" ht="15" customHeight="1" x14ac:dyDescent="0.3">
      <c r="A2624" t="s">
        <v>224</v>
      </c>
      <c r="B2624" s="3">
        <v>46204</v>
      </c>
      <c r="C2624">
        <v>4065.3</v>
      </c>
    </row>
    <row r="2625" spans="1:3" ht="15" customHeight="1" x14ac:dyDescent="0.3">
      <c r="A2625" t="s">
        <v>224</v>
      </c>
      <c r="B2625" s="3">
        <v>46235</v>
      </c>
      <c r="C2625">
        <v>4723.2</v>
      </c>
    </row>
    <row r="2626" spans="1:3" ht="15" customHeight="1" x14ac:dyDescent="0.3">
      <c r="A2626" t="s">
        <v>224</v>
      </c>
      <c r="B2626" s="3">
        <v>46266</v>
      </c>
      <c r="C2626">
        <v>5251.5</v>
      </c>
    </row>
    <row r="2627" spans="1:3" ht="15" customHeight="1" x14ac:dyDescent="0.3">
      <c r="A2627" t="s">
        <v>224</v>
      </c>
      <c r="B2627" s="3">
        <v>46296</v>
      </c>
      <c r="C2627">
        <v>6489.9</v>
      </c>
    </row>
    <row r="2628" spans="1:3" ht="15" customHeight="1" x14ac:dyDescent="0.3">
      <c r="A2628" t="s">
        <v>224</v>
      </c>
      <c r="B2628" s="3">
        <v>46327</v>
      </c>
      <c r="C2628">
        <v>6813.9</v>
      </c>
    </row>
    <row r="2629" spans="1:3" ht="15" customHeight="1" x14ac:dyDescent="0.3">
      <c r="A2629" t="s">
        <v>224</v>
      </c>
      <c r="B2629" s="3">
        <v>46357</v>
      </c>
      <c r="C2629">
        <v>7296.3</v>
      </c>
    </row>
    <row r="2630" spans="1:3" ht="15" customHeight="1" x14ac:dyDescent="0.3">
      <c r="A2630" t="s">
        <v>214</v>
      </c>
      <c r="B2630" s="3">
        <v>45292</v>
      </c>
      <c r="C2630">
        <v>28027.8</v>
      </c>
    </row>
    <row r="2631" spans="1:3" ht="15" customHeight="1" x14ac:dyDescent="0.3">
      <c r="A2631" t="s">
        <v>214</v>
      </c>
      <c r="B2631" s="3">
        <v>45323</v>
      </c>
      <c r="C2631">
        <v>23853.599999999999</v>
      </c>
    </row>
    <row r="2632" spans="1:3" ht="15" customHeight="1" x14ac:dyDescent="0.3">
      <c r="A2632" t="s">
        <v>214</v>
      </c>
      <c r="B2632" s="3">
        <v>45352</v>
      </c>
      <c r="C2632">
        <v>24144.3</v>
      </c>
    </row>
    <row r="2633" spans="1:3" ht="15" customHeight="1" x14ac:dyDescent="0.3">
      <c r="A2633" t="s">
        <v>214</v>
      </c>
      <c r="B2633" s="3">
        <v>45383</v>
      </c>
      <c r="C2633">
        <v>20043</v>
      </c>
    </row>
    <row r="2634" spans="1:3" ht="15" customHeight="1" x14ac:dyDescent="0.3">
      <c r="A2634" t="s">
        <v>214</v>
      </c>
      <c r="B2634" s="3">
        <v>45413</v>
      </c>
      <c r="C2634">
        <v>19021.5</v>
      </c>
    </row>
    <row r="2635" spans="1:3" ht="15" customHeight="1" x14ac:dyDescent="0.3">
      <c r="A2635" t="s">
        <v>214</v>
      </c>
      <c r="B2635" s="3">
        <v>45444</v>
      </c>
      <c r="C2635">
        <v>17054.099999999999</v>
      </c>
    </row>
    <row r="2636" spans="1:3" ht="15" customHeight="1" x14ac:dyDescent="0.3">
      <c r="A2636" t="s">
        <v>214</v>
      </c>
      <c r="B2636" s="3">
        <v>45474</v>
      </c>
      <c r="C2636">
        <v>18900</v>
      </c>
    </row>
    <row r="2637" spans="1:3" ht="15" customHeight="1" x14ac:dyDescent="0.3">
      <c r="A2637" t="s">
        <v>214</v>
      </c>
      <c r="B2637" s="3">
        <v>45505</v>
      </c>
      <c r="C2637">
        <v>22066.2</v>
      </c>
    </row>
    <row r="2638" spans="1:3" ht="15" customHeight="1" x14ac:dyDescent="0.3">
      <c r="A2638" t="s">
        <v>214</v>
      </c>
      <c r="B2638" s="3">
        <v>45536</v>
      </c>
      <c r="C2638">
        <v>24526.799999999999</v>
      </c>
    </row>
    <row r="2639" spans="1:3" ht="15" customHeight="1" x14ac:dyDescent="0.3">
      <c r="A2639" t="s">
        <v>214</v>
      </c>
      <c r="B2639" s="3">
        <v>45566</v>
      </c>
      <c r="C2639">
        <v>27256.5</v>
      </c>
    </row>
    <row r="2640" spans="1:3" ht="15" customHeight="1" x14ac:dyDescent="0.3">
      <c r="A2640" t="s">
        <v>214</v>
      </c>
      <c r="B2640" s="3">
        <v>45597</v>
      </c>
      <c r="C2640">
        <v>26973.9</v>
      </c>
    </row>
    <row r="2641" spans="1:3" ht="15" customHeight="1" x14ac:dyDescent="0.3">
      <c r="A2641" t="s">
        <v>214</v>
      </c>
      <c r="B2641" s="3">
        <v>45627</v>
      </c>
      <c r="C2641">
        <v>29028.6</v>
      </c>
    </row>
    <row r="2642" spans="1:3" ht="15" customHeight="1" x14ac:dyDescent="0.3">
      <c r="A2642" t="s">
        <v>214</v>
      </c>
      <c r="B2642" s="3">
        <v>45658</v>
      </c>
      <c r="C2642">
        <v>28027.8</v>
      </c>
    </row>
    <row r="2643" spans="1:3" ht="15" customHeight="1" x14ac:dyDescent="0.3">
      <c r="A2643" t="s">
        <v>214</v>
      </c>
      <c r="B2643" s="3">
        <v>45689</v>
      </c>
      <c r="C2643">
        <v>23853.599999999999</v>
      </c>
    </row>
    <row r="2644" spans="1:3" ht="15" customHeight="1" x14ac:dyDescent="0.3">
      <c r="A2644" t="s">
        <v>214</v>
      </c>
      <c r="B2644" s="3">
        <v>45717</v>
      </c>
      <c r="C2644">
        <v>24144.3</v>
      </c>
    </row>
    <row r="2645" spans="1:3" ht="15" customHeight="1" x14ac:dyDescent="0.3">
      <c r="A2645" t="s">
        <v>214</v>
      </c>
      <c r="B2645" s="3">
        <v>45748</v>
      </c>
      <c r="C2645">
        <v>20043</v>
      </c>
    </row>
    <row r="2646" spans="1:3" ht="15" customHeight="1" x14ac:dyDescent="0.3">
      <c r="A2646" t="s">
        <v>214</v>
      </c>
      <c r="B2646" s="3">
        <v>45778</v>
      </c>
      <c r="C2646">
        <v>19021.5</v>
      </c>
    </row>
    <row r="2647" spans="1:3" ht="15" customHeight="1" x14ac:dyDescent="0.3">
      <c r="A2647" t="s">
        <v>214</v>
      </c>
      <c r="B2647" s="3">
        <v>45809</v>
      </c>
      <c r="C2647">
        <v>17054.099999999999</v>
      </c>
    </row>
    <row r="2648" spans="1:3" ht="15" customHeight="1" x14ac:dyDescent="0.3">
      <c r="A2648" t="s">
        <v>214</v>
      </c>
      <c r="B2648" s="3">
        <v>45839</v>
      </c>
      <c r="C2648">
        <v>18900</v>
      </c>
    </row>
    <row r="2649" spans="1:3" ht="15" customHeight="1" x14ac:dyDescent="0.3">
      <c r="A2649" t="s">
        <v>214</v>
      </c>
      <c r="B2649" s="3">
        <v>45870</v>
      </c>
      <c r="C2649">
        <v>22066.2</v>
      </c>
    </row>
    <row r="2650" spans="1:3" ht="15" customHeight="1" x14ac:dyDescent="0.3">
      <c r="A2650" t="s">
        <v>214</v>
      </c>
      <c r="B2650" s="3">
        <v>45901</v>
      </c>
      <c r="C2650">
        <v>24526.799999999999</v>
      </c>
    </row>
    <row r="2651" spans="1:3" ht="15" customHeight="1" x14ac:dyDescent="0.3">
      <c r="A2651" t="s">
        <v>214</v>
      </c>
      <c r="B2651" s="3">
        <v>45931</v>
      </c>
      <c r="C2651">
        <v>27256.5</v>
      </c>
    </row>
    <row r="2652" spans="1:3" ht="15" customHeight="1" x14ac:dyDescent="0.3">
      <c r="A2652" t="s">
        <v>214</v>
      </c>
      <c r="B2652" s="3">
        <v>45962</v>
      </c>
      <c r="C2652">
        <v>26973.9</v>
      </c>
    </row>
    <row r="2653" spans="1:3" ht="15" customHeight="1" x14ac:dyDescent="0.3">
      <c r="A2653" t="s">
        <v>214</v>
      </c>
      <c r="B2653" s="3">
        <v>45992</v>
      </c>
      <c r="C2653">
        <v>29028.6</v>
      </c>
    </row>
    <row r="2654" spans="1:3" ht="15" customHeight="1" x14ac:dyDescent="0.3">
      <c r="A2654" t="s">
        <v>214</v>
      </c>
      <c r="B2654" s="3">
        <v>46023</v>
      </c>
      <c r="C2654">
        <v>28027.8</v>
      </c>
    </row>
    <row r="2655" spans="1:3" ht="15" customHeight="1" x14ac:dyDescent="0.3">
      <c r="A2655" t="s">
        <v>214</v>
      </c>
      <c r="B2655" s="3">
        <v>46054</v>
      </c>
      <c r="C2655">
        <v>23853.599999999999</v>
      </c>
    </row>
    <row r="2656" spans="1:3" ht="15" customHeight="1" x14ac:dyDescent="0.3">
      <c r="A2656" t="s">
        <v>214</v>
      </c>
      <c r="B2656" s="3">
        <v>46082</v>
      </c>
      <c r="C2656">
        <v>24144.3</v>
      </c>
    </row>
    <row r="2657" spans="1:3" ht="15" customHeight="1" x14ac:dyDescent="0.3">
      <c r="A2657" t="s">
        <v>214</v>
      </c>
      <c r="B2657" s="3">
        <v>46113</v>
      </c>
      <c r="C2657">
        <v>20043</v>
      </c>
    </row>
    <row r="2658" spans="1:3" ht="15" customHeight="1" x14ac:dyDescent="0.3">
      <c r="A2658" t="s">
        <v>214</v>
      </c>
      <c r="B2658" s="3">
        <v>46143</v>
      </c>
      <c r="C2658">
        <v>19021.5</v>
      </c>
    </row>
    <row r="2659" spans="1:3" ht="15" customHeight="1" x14ac:dyDescent="0.3">
      <c r="A2659" t="s">
        <v>214</v>
      </c>
      <c r="B2659" s="3">
        <v>46174</v>
      </c>
      <c r="C2659">
        <v>17054.099999999999</v>
      </c>
    </row>
    <row r="2660" spans="1:3" ht="15" customHeight="1" x14ac:dyDescent="0.3">
      <c r="A2660" t="s">
        <v>214</v>
      </c>
      <c r="B2660" s="3">
        <v>46204</v>
      </c>
      <c r="C2660">
        <v>18900</v>
      </c>
    </row>
    <row r="2661" spans="1:3" ht="15" customHeight="1" x14ac:dyDescent="0.3">
      <c r="A2661" t="s">
        <v>214</v>
      </c>
      <c r="B2661" s="3">
        <v>46235</v>
      </c>
      <c r="C2661">
        <v>22066.2</v>
      </c>
    </row>
    <row r="2662" spans="1:3" ht="15" customHeight="1" x14ac:dyDescent="0.3">
      <c r="A2662" t="s">
        <v>214</v>
      </c>
      <c r="B2662" s="3">
        <v>46266</v>
      </c>
      <c r="C2662">
        <v>24526.799999999999</v>
      </c>
    </row>
    <row r="2663" spans="1:3" ht="15" customHeight="1" x14ac:dyDescent="0.3">
      <c r="A2663" t="s">
        <v>214</v>
      </c>
      <c r="B2663" s="3">
        <v>46296</v>
      </c>
      <c r="C2663">
        <v>27256.5</v>
      </c>
    </row>
    <row r="2664" spans="1:3" ht="15" customHeight="1" x14ac:dyDescent="0.3">
      <c r="A2664" t="s">
        <v>214</v>
      </c>
      <c r="B2664" s="3">
        <v>46327</v>
      </c>
      <c r="C2664">
        <v>26973.9</v>
      </c>
    </row>
    <row r="2665" spans="1:3" ht="15" customHeight="1" x14ac:dyDescent="0.3">
      <c r="A2665" t="s">
        <v>214</v>
      </c>
      <c r="B2665" s="3">
        <v>46357</v>
      </c>
      <c r="C2665">
        <v>29028.6</v>
      </c>
    </row>
    <row r="2666" spans="1:3" ht="15" customHeight="1" x14ac:dyDescent="0.3">
      <c r="A2666" t="s">
        <v>218</v>
      </c>
      <c r="B2666" s="3">
        <v>45292</v>
      </c>
    </row>
    <row r="2667" spans="1:3" ht="15" customHeight="1" x14ac:dyDescent="0.3">
      <c r="A2667" t="s">
        <v>218</v>
      </c>
      <c r="B2667" s="3">
        <v>45323</v>
      </c>
    </row>
    <row r="2668" spans="1:3" ht="15" customHeight="1" x14ac:dyDescent="0.3">
      <c r="A2668" t="s">
        <v>218</v>
      </c>
      <c r="B2668" s="3">
        <v>45352</v>
      </c>
    </row>
    <row r="2669" spans="1:3" ht="15" customHeight="1" x14ac:dyDescent="0.3">
      <c r="A2669" t="s">
        <v>218</v>
      </c>
      <c r="B2669" s="3">
        <v>45383</v>
      </c>
    </row>
    <row r="2670" spans="1:3" ht="15" customHeight="1" x14ac:dyDescent="0.3">
      <c r="A2670" t="s">
        <v>218</v>
      </c>
      <c r="B2670" s="3">
        <v>45413</v>
      </c>
    </row>
    <row r="2671" spans="1:3" ht="15" customHeight="1" x14ac:dyDescent="0.3">
      <c r="A2671" t="s">
        <v>218</v>
      </c>
      <c r="B2671" s="3">
        <v>45444</v>
      </c>
    </row>
    <row r="2672" spans="1:3" ht="15" customHeight="1" x14ac:dyDescent="0.3">
      <c r="A2672" t="s">
        <v>218</v>
      </c>
      <c r="B2672" s="3">
        <v>45474</v>
      </c>
    </row>
    <row r="2673" spans="1:2" ht="15" customHeight="1" x14ac:dyDescent="0.3">
      <c r="A2673" t="s">
        <v>218</v>
      </c>
      <c r="B2673" s="3">
        <v>45505</v>
      </c>
    </row>
    <row r="2674" spans="1:2" ht="15" customHeight="1" x14ac:dyDescent="0.3">
      <c r="A2674" t="s">
        <v>218</v>
      </c>
      <c r="B2674" s="3">
        <v>45536</v>
      </c>
    </row>
    <row r="2675" spans="1:2" ht="15" customHeight="1" x14ac:dyDescent="0.3">
      <c r="A2675" t="s">
        <v>218</v>
      </c>
      <c r="B2675" s="3">
        <v>45566</v>
      </c>
    </row>
    <row r="2676" spans="1:2" ht="15" customHeight="1" x14ac:dyDescent="0.3">
      <c r="A2676" t="s">
        <v>218</v>
      </c>
      <c r="B2676" s="3">
        <v>45597</v>
      </c>
    </row>
    <row r="2677" spans="1:2" ht="15" customHeight="1" x14ac:dyDescent="0.3">
      <c r="A2677" t="s">
        <v>218</v>
      </c>
      <c r="B2677" s="3">
        <v>45627</v>
      </c>
    </row>
    <row r="2678" spans="1:2" ht="15" customHeight="1" x14ac:dyDescent="0.3">
      <c r="A2678" t="s">
        <v>218</v>
      </c>
      <c r="B2678" s="3">
        <v>45658</v>
      </c>
    </row>
    <row r="2679" spans="1:2" ht="15" customHeight="1" x14ac:dyDescent="0.3">
      <c r="A2679" t="s">
        <v>218</v>
      </c>
      <c r="B2679" s="3">
        <v>45689</v>
      </c>
    </row>
    <row r="2680" spans="1:2" ht="15" customHeight="1" x14ac:dyDescent="0.3">
      <c r="A2680" t="s">
        <v>218</v>
      </c>
      <c r="B2680" s="3">
        <v>45717</v>
      </c>
    </row>
    <row r="2681" spans="1:2" ht="15" customHeight="1" x14ac:dyDescent="0.3">
      <c r="A2681" t="s">
        <v>218</v>
      </c>
      <c r="B2681" s="3">
        <v>45748</v>
      </c>
    </row>
    <row r="2682" spans="1:2" ht="15" customHeight="1" x14ac:dyDescent="0.3">
      <c r="A2682" t="s">
        <v>218</v>
      </c>
      <c r="B2682" s="3">
        <v>45778</v>
      </c>
    </row>
    <row r="2683" spans="1:2" ht="15" customHeight="1" x14ac:dyDescent="0.3">
      <c r="A2683" t="s">
        <v>218</v>
      </c>
      <c r="B2683" s="3">
        <v>45809</v>
      </c>
    </row>
    <row r="2684" spans="1:2" ht="15" customHeight="1" x14ac:dyDescent="0.3">
      <c r="A2684" t="s">
        <v>218</v>
      </c>
      <c r="B2684" s="3">
        <v>45839</v>
      </c>
    </row>
    <row r="2685" spans="1:2" ht="15" customHeight="1" x14ac:dyDescent="0.3">
      <c r="A2685" t="s">
        <v>218</v>
      </c>
      <c r="B2685" s="3">
        <v>45870</v>
      </c>
    </row>
    <row r="2686" spans="1:2" ht="15" customHeight="1" x14ac:dyDescent="0.3">
      <c r="A2686" t="s">
        <v>218</v>
      </c>
      <c r="B2686" s="3">
        <v>45901</v>
      </c>
    </row>
    <row r="2687" spans="1:2" ht="15" customHeight="1" x14ac:dyDescent="0.3">
      <c r="A2687" t="s">
        <v>218</v>
      </c>
      <c r="B2687" s="3">
        <v>45931</v>
      </c>
    </row>
    <row r="2688" spans="1:2" ht="15" customHeight="1" x14ac:dyDescent="0.3">
      <c r="A2688" t="s">
        <v>218</v>
      </c>
      <c r="B2688" s="3">
        <v>45962</v>
      </c>
    </row>
    <row r="2689" spans="1:3" ht="15" customHeight="1" x14ac:dyDescent="0.3">
      <c r="A2689" t="s">
        <v>218</v>
      </c>
      <c r="B2689" s="3">
        <v>45992</v>
      </c>
    </row>
    <row r="2690" spans="1:3" ht="15" customHeight="1" x14ac:dyDescent="0.3">
      <c r="A2690" t="s">
        <v>218</v>
      </c>
      <c r="B2690" s="3">
        <v>46023</v>
      </c>
    </row>
    <row r="2691" spans="1:3" ht="15" customHeight="1" x14ac:dyDescent="0.3">
      <c r="A2691" t="s">
        <v>218</v>
      </c>
      <c r="B2691" s="3">
        <v>46054</v>
      </c>
    </row>
    <row r="2692" spans="1:3" ht="15" customHeight="1" x14ac:dyDescent="0.3">
      <c r="A2692" t="s">
        <v>218</v>
      </c>
      <c r="B2692" s="3">
        <v>46082</v>
      </c>
    </row>
    <row r="2693" spans="1:3" ht="15" customHeight="1" x14ac:dyDescent="0.3">
      <c r="A2693" t="s">
        <v>218</v>
      </c>
      <c r="B2693" s="3">
        <v>46113</v>
      </c>
    </row>
    <row r="2694" spans="1:3" ht="15" customHeight="1" x14ac:dyDescent="0.3">
      <c r="A2694" t="s">
        <v>218</v>
      </c>
      <c r="B2694" s="3">
        <v>46143</v>
      </c>
    </row>
    <row r="2695" spans="1:3" ht="15" customHeight="1" x14ac:dyDescent="0.3">
      <c r="A2695" t="s">
        <v>218</v>
      </c>
      <c r="B2695" s="3">
        <v>46174</v>
      </c>
    </row>
    <row r="2696" spans="1:3" ht="15" customHeight="1" x14ac:dyDescent="0.3">
      <c r="A2696" t="s">
        <v>218</v>
      </c>
      <c r="B2696" s="3">
        <v>46204</v>
      </c>
    </row>
    <row r="2697" spans="1:3" ht="15" customHeight="1" x14ac:dyDescent="0.3">
      <c r="A2697" t="s">
        <v>218</v>
      </c>
      <c r="B2697" s="3">
        <v>46235</v>
      </c>
    </row>
    <row r="2698" spans="1:3" ht="15" customHeight="1" x14ac:dyDescent="0.3">
      <c r="A2698" t="s">
        <v>218</v>
      </c>
      <c r="B2698" s="3">
        <v>46266</v>
      </c>
    </row>
    <row r="2699" spans="1:3" ht="15" customHeight="1" x14ac:dyDescent="0.3">
      <c r="A2699" t="s">
        <v>218</v>
      </c>
      <c r="B2699" s="3">
        <v>46296</v>
      </c>
    </row>
    <row r="2700" spans="1:3" ht="15" customHeight="1" x14ac:dyDescent="0.3">
      <c r="A2700" t="s">
        <v>218</v>
      </c>
      <c r="B2700" s="3">
        <v>46327</v>
      </c>
    </row>
    <row r="2701" spans="1:3" ht="15" customHeight="1" x14ac:dyDescent="0.3">
      <c r="A2701" t="s">
        <v>218</v>
      </c>
      <c r="B2701" s="3">
        <v>46357</v>
      </c>
    </row>
    <row r="2702" spans="1:3" x14ac:dyDescent="0.3">
      <c r="A2702" t="s">
        <v>262</v>
      </c>
      <c r="B2702" s="3">
        <v>45292</v>
      </c>
      <c r="C2702" cm="1">
        <f t="array" ref="C2702">IFERROR(INDEX('Expected Production'!$C$2:$N$200,MATCH(A2702,'Expected Production'!$A$2:$A$200,0),MONTH(B2702)),"")</f>
        <v>17370.900000000001</v>
      </c>
    </row>
    <row r="2703" spans="1:3" x14ac:dyDescent="0.3">
      <c r="A2703" t="s">
        <v>262</v>
      </c>
      <c r="B2703" s="3">
        <v>45323</v>
      </c>
      <c r="C2703" cm="1">
        <f t="array" ref="C2703">IFERROR(INDEX('Expected Production'!$C$2:$N$200,MATCH(A2703,'Expected Production'!$A$2:$A$200,0),MONTH(B2703)),"")</f>
        <v>15077.7</v>
      </c>
    </row>
    <row r="2704" spans="1:3" x14ac:dyDescent="0.3">
      <c r="A2704" t="s">
        <v>262</v>
      </c>
      <c r="B2704" s="3">
        <v>45352</v>
      </c>
      <c r="C2704" cm="1">
        <f t="array" ref="C2704">IFERROR(INDEX('Expected Production'!$C$2:$N$200,MATCH(A2704,'Expected Production'!$A$2:$A$200,0),MONTH(B2704)),"")</f>
        <v>14634</v>
      </c>
    </row>
    <row r="2705" spans="1:3" x14ac:dyDescent="0.3">
      <c r="A2705" t="s">
        <v>262</v>
      </c>
      <c r="B2705" s="3">
        <v>45383</v>
      </c>
      <c r="C2705" cm="1">
        <f t="array" ref="C2705">IFERROR(INDEX('Expected Production'!$C$2:$N$200,MATCH(A2705,'Expected Production'!$A$2:$A$200,0),MONTH(B2705)),"")</f>
        <v>12420</v>
      </c>
    </row>
    <row r="2706" spans="1:3" x14ac:dyDescent="0.3">
      <c r="A2706" t="s">
        <v>262</v>
      </c>
      <c r="B2706" s="3">
        <v>45413</v>
      </c>
      <c r="C2706" cm="1">
        <f t="array" ref="C2706">IFERROR(INDEX('Expected Production'!$C$2:$N$200,MATCH(A2706,'Expected Production'!$A$2:$A$200,0),MONTH(B2706)),"")</f>
        <v>11402.1</v>
      </c>
    </row>
    <row r="2707" spans="1:3" x14ac:dyDescent="0.3">
      <c r="A2707" t="s">
        <v>262</v>
      </c>
      <c r="B2707" s="3">
        <v>45444</v>
      </c>
      <c r="C2707" cm="1">
        <f t="array" ref="C2707">IFERROR(INDEX('Expected Production'!$C$2:$N$200,MATCH(A2707,'Expected Production'!$A$2:$A$200,0),MONTH(B2707)),"")</f>
        <v>9989.1</v>
      </c>
    </row>
    <row r="2708" spans="1:3" x14ac:dyDescent="0.3">
      <c r="A2708" t="s">
        <v>262</v>
      </c>
      <c r="B2708" s="3">
        <v>45474</v>
      </c>
      <c r="C2708" cm="1">
        <f t="array" ref="C2708">IFERROR(INDEX('Expected Production'!$C$2:$N$200,MATCH(A2708,'Expected Production'!$A$2:$A$200,0),MONTH(B2708)),"")</f>
        <v>10986.300000000001</v>
      </c>
    </row>
    <row r="2709" spans="1:3" x14ac:dyDescent="0.3">
      <c r="A2709" t="s">
        <v>262</v>
      </c>
      <c r="B2709" s="3">
        <v>45505</v>
      </c>
      <c r="C2709" cm="1">
        <f t="array" ref="C2709">IFERROR(INDEX('Expected Production'!$C$2:$N$200,MATCH(A2709,'Expected Production'!$A$2:$A$200,0),MONTH(B2709)),"")</f>
        <v>13108.77</v>
      </c>
    </row>
    <row r="2710" spans="1:3" x14ac:dyDescent="0.3">
      <c r="A2710" t="s">
        <v>262</v>
      </c>
      <c r="B2710" s="3">
        <v>45536</v>
      </c>
      <c r="C2710" cm="1">
        <f t="array" ref="C2710">IFERROR(INDEX('Expected Production'!$C$2:$N$200,MATCH(A2710,'Expected Production'!$A$2:$A$200,0),MONTH(B2710)),"")</f>
        <v>14833.17</v>
      </c>
    </row>
    <row r="2711" spans="1:3" x14ac:dyDescent="0.3">
      <c r="A2711" t="s">
        <v>262</v>
      </c>
      <c r="B2711" s="3">
        <v>45566</v>
      </c>
      <c r="C2711" cm="1">
        <f t="array" ref="C2711">IFERROR(INDEX('Expected Production'!$C$2:$N$200,MATCH(A2711,'Expected Production'!$A$2:$A$200,0),MONTH(B2711)),"")</f>
        <v>17053.2</v>
      </c>
    </row>
    <row r="2712" spans="1:3" x14ac:dyDescent="0.3">
      <c r="A2712" t="s">
        <v>262</v>
      </c>
      <c r="B2712" s="3">
        <v>45597</v>
      </c>
      <c r="C2712" cm="1">
        <f t="array" ref="C2712">IFERROR(INDEX('Expected Production'!$C$2:$N$200,MATCH(A2712,'Expected Production'!$A$2:$A$200,0),MONTH(B2712)),"")</f>
        <v>17239.5</v>
      </c>
    </row>
    <row r="2713" spans="1:3" x14ac:dyDescent="0.3">
      <c r="A2713" t="s">
        <v>262</v>
      </c>
      <c r="B2713" s="3">
        <v>45627</v>
      </c>
      <c r="C2713" cm="1">
        <f t="array" ref="C2713">IFERROR(INDEX('Expected Production'!$C$2:$N$200,MATCH(A2713,'Expected Production'!$A$2:$A$200,0),MONTH(B2713)),"")</f>
        <v>17465.400000000001</v>
      </c>
    </row>
    <row r="2714" spans="1:3" x14ac:dyDescent="0.3">
      <c r="A2714" t="s">
        <v>262</v>
      </c>
      <c r="B2714" s="3">
        <v>45658</v>
      </c>
      <c r="C2714" cm="1">
        <f t="array" ref="C2714">IFERROR(INDEX('Expected Production'!$C$2:$N$200,MATCH(A2714,'Expected Production'!$A$2:$A$200,0),MONTH(B2714)),"")</f>
        <v>17370.900000000001</v>
      </c>
    </row>
    <row r="2715" spans="1:3" x14ac:dyDescent="0.3">
      <c r="A2715" t="s">
        <v>262</v>
      </c>
      <c r="B2715" s="3">
        <v>45689</v>
      </c>
      <c r="C2715" cm="1">
        <f t="array" ref="C2715">IFERROR(INDEX('Expected Production'!$C$2:$N$200,MATCH(A2715,'Expected Production'!$A$2:$A$200,0),MONTH(B2715)),"")</f>
        <v>15077.7</v>
      </c>
    </row>
    <row r="2716" spans="1:3" x14ac:dyDescent="0.3">
      <c r="A2716" t="s">
        <v>262</v>
      </c>
      <c r="B2716" s="3">
        <v>45717</v>
      </c>
      <c r="C2716" cm="1">
        <f t="array" ref="C2716">IFERROR(INDEX('Expected Production'!$C$2:$N$200,MATCH(A2716,'Expected Production'!$A$2:$A$200,0),MONTH(B2716)),"")</f>
        <v>14634</v>
      </c>
    </row>
    <row r="2717" spans="1:3" x14ac:dyDescent="0.3">
      <c r="A2717" t="s">
        <v>262</v>
      </c>
      <c r="B2717" s="3">
        <v>45748</v>
      </c>
      <c r="C2717" cm="1">
        <f t="array" ref="C2717">IFERROR(INDEX('Expected Production'!$C$2:$N$200,MATCH(A2717,'Expected Production'!$A$2:$A$200,0),MONTH(B2717)),"")</f>
        <v>12420</v>
      </c>
    </row>
    <row r="2718" spans="1:3" x14ac:dyDescent="0.3">
      <c r="A2718" t="s">
        <v>262</v>
      </c>
      <c r="B2718" s="3">
        <v>45778</v>
      </c>
      <c r="C2718" cm="1">
        <f t="array" ref="C2718">IFERROR(INDEX('Expected Production'!$C$2:$N$200,MATCH(A2718,'Expected Production'!$A$2:$A$200,0),MONTH(B2718)),"")</f>
        <v>11402.1</v>
      </c>
    </row>
    <row r="2719" spans="1:3" x14ac:dyDescent="0.3">
      <c r="A2719" t="s">
        <v>262</v>
      </c>
      <c r="B2719" s="3">
        <v>45809</v>
      </c>
      <c r="C2719" cm="1">
        <f t="array" ref="C2719">IFERROR(INDEX('Expected Production'!$C$2:$N$200,MATCH(A2719,'Expected Production'!$A$2:$A$200,0),MONTH(B2719)),"")</f>
        <v>9989.1</v>
      </c>
    </row>
    <row r="2720" spans="1:3" x14ac:dyDescent="0.3">
      <c r="A2720" t="s">
        <v>262</v>
      </c>
      <c r="B2720" s="3">
        <v>45839</v>
      </c>
      <c r="C2720" cm="1">
        <f t="array" ref="C2720">IFERROR(INDEX('Expected Production'!$C$2:$N$200,MATCH(A2720,'Expected Production'!$A$2:$A$200,0),MONTH(B2720)),"")</f>
        <v>10986.300000000001</v>
      </c>
    </row>
    <row r="2721" spans="1:3" x14ac:dyDescent="0.3">
      <c r="A2721" t="s">
        <v>262</v>
      </c>
      <c r="B2721" s="3">
        <v>45870</v>
      </c>
      <c r="C2721" cm="1">
        <f t="array" ref="C2721">IFERROR(INDEX('Expected Production'!$C$2:$N$200,MATCH(A2721,'Expected Production'!$A$2:$A$200,0),MONTH(B2721)),"")</f>
        <v>13108.77</v>
      </c>
    </row>
    <row r="2722" spans="1:3" x14ac:dyDescent="0.3">
      <c r="A2722" t="s">
        <v>262</v>
      </c>
      <c r="B2722" s="3">
        <v>45901</v>
      </c>
      <c r="C2722" cm="1">
        <f t="array" ref="C2722">IFERROR(INDEX('Expected Production'!$C$2:$N$200,MATCH(A2722,'Expected Production'!$A$2:$A$200,0),MONTH(B2722)),"")</f>
        <v>14833.17</v>
      </c>
    </row>
    <row r="2723" spans="1:3" x14ac:dyDescent="0.3">
      <c r="A2723" t="s">
        <v>262</v>
      </c>
      <c r="B2723" s="3">
        <v>45931</v>
      </c>
      <c r="C2723" cm="1">
        <f t="array" ref="C2723">IFERROR(INDEX('Expected Production'!$C$2:$N$200,MATCH(A2723,'Expected Production'!$A$2:$A$200,0),MONTH(B2723)),"")</f>
        <v>17053.2</v>
      </c>
    </row>
    <row r="2724" spans="1:3" x14ac:dyDescent="0.3">
      <c r="A2724" t="s">
        <v>262</v>
      </c>
      <c r="B2724" s="3">
        <v>45962</v>
      </c>
      <c r="C2724" cm="1">
        <f t="array" ref="C2724">IFERROR(INDEX('Expected Production'!$C$2:$N$200,MATCH(A2724,'Expected Production'!$A$2:$A$200,0),MONTH(B2724)),"")</f>
        <v>17239.5</v>
      </c>
    </row>
    <row r="2725" spans="1:3" x14ac:dyDescent="0.3">
      <c r="A2725" t="s">
        <v>262</v>
      </c>
      <c r="B2725" s="3">
        <v>45992</v>
      </c>
      <c r="C2725" cm="1">
        <f t="array" ref="C2725">IFERROR(INDEX('Expected Production'!$C$2:$N$200,MATCH(A2725,'Expected Production'!$A$2:$A$200,0),MONTH(B2725)),"")</f>
        <v>17465.400000000001</v>
      </c>
    </row>
    <row r="2726" spans="1:3" x14ac:dyDescent="0.3">
      <c r="A2726" t="s">
        <v>262</v>
      </c>
      <c r="B2726" s="3">
        <v>46023</v>
      </c>
      <c r="C2726" cm="1">
        <f t="array" ref="C2726">IFERROR(INDEX('Expected Production'!$C$2:$N$200,MATCH(A2726,'Expected Production'!$A$2:$A$200,0),MONTH(B2726)),"")</f>
        <v>17370.900000000001</v>
      </c>
    </row>
    <row r="2727" spans="1:3" x14ac:dyDescent="0.3">
      <c r="A2727" t="s">
        <v>262</v>
      </c>
      <c r="B2727" s="3">
        <v>46054</v>
      </c>
      <c r="C2727" cm="1">
        <f t="array" ref="C2727">IFERROR(INDEX('Expected Production'!$C$2:$N$200,MATCH(A2727,'Expected Production'!$A$2:$A$200,0),MONTH(B2727)),"")</f>
        <v>15077.7</v>
      </c>
    </row>
    <row r="2728" spans="1:3" x14ac:dyDescent="0.3">
      <c r="A2728" t="s">
        <v>262</v>
      </c>
      <c r="B2728" s="3">
        <v>46082</v>
      </c>
      <c r="C2728" cm="1">
        <f t="array" ref="C2728">IFERROR(INDEX('Expected Production'!$C$2:$N$200,MATCH(A2728,'Expected Production'!$A$2:$A$200,0),MONTH(B2728)),"")</f>
        <v>14634</v>
      </c>
    </row>
    <row r="2729" spans="1:3" x14ac:dyDescent="0.3">
      <c r="A2729" t="s">
        <v>262</v>
      </c>
      <c r="B2729" s="3">
        <v>46113</v>
      </c>
      <c r="C2729" cm="1">
        <f t="array" ref="C2729">IFERROR(INDEX('Expected Production'!$C$2:$N$200,MATCH(A2729,'Expected Production'!$A$2:$A$200,0),MONTH(B2729)),"")</f>
        <v>12420</v>
      </c>
    </row>
    <row r="2730" spans="1:3" x14ac:dyDescent="0.3">
      <c r="A2730" t="s">
        <v>262</v>
      </c>
      <c r="B2730" s="3">
        <v>46143</v>
      </c>
      <c r="C2730" cm="1">
        <f t="array" ref="C2730">IFERROR(INDEX('Expected Production'!$C$2:$N$200,MATCH(A2730,'Expected Production'!$A$2:$A$200,0),MONTH(B2730)),"")</f>
        <v>11402.1</v>
      </c>
    </row>
    <row r="2731" spans="1:3" x14ac:dyDescent="0.3">
      <c r="A2731" t="s">
        <v>262</v>
      </c>
      <c r="B2731" s="3">
        <v>46174</v>
      </c>
      <c r="C2731" cm="1">
        <f t="array" ref="C2731">IFERROR(INDEX('Expected Production'!$C$2:$N$200,MATCH(A2731,'Expected Production'!$A$2:$A$200,0),MONTH(B2731)),"")</f>
        <v>9989.1</v>
      </c>
    </row>
    <row r="2732" spans="1:3" x14ac:dyDescent="0.3">
      <c r="A2732" t="s">
        <v>262</v>
      </c>
      <c r="B2732" s="3">
        <v>46204</v>
      </c>
      <c r="C2732" cm="1">
        <f t="array" ref="C2732">IFERROR(INDEX('Expected Production'!$C$2:$N$200,MATCH(A2732,'Expected Production'!$A$2:$A$200,0),MONTH(B2732)),"")</f>
        <v>10986.300000000001</v>
      </c>
    </row>
    <row r="2733" spans="1:3" x14ac:dyDescent="0.3">
      <c r="A2733" t="s">
        <v>262</v>
      </c>
      <c r="B2733" s="3">
        <v>46235</v>
      </c>
      <c r="C2733" cm="1">
        <f t="array" ref="C2733">IFERROR(INDEX('Expected Production'!$C$2:$N$200,MATCH(A2733,'Expected Production'!$A$2:$A$200,0),MONTH(B2733)),"")</f>
        <v>13108.77</v>
      </c>
    </row>
    <row r="2734" spans="1:3" x14ac:dyDescent="0.3">
      <c r="A2734" t="s">
        <v>262</v>
      </c>
      <c r="B2734" s="3">
        <v>46266</v>
      </c>
      <c r="C2734" cm="1">
        <f t="array" ref="C2734">IFERROR(INDEX('Expected Production'!$C$2:$N$200,MATCH(A2734,'Expected Production'!$A$2:$A$200,0),MONTH(B2734)),"")</f>
        <v>14833.17</v>
      </c>
    </row>
    <row r="2735" spans="1:3" x14ac:dyDescent="0.3">
      <c r="A2735" t="s">
        <v>262</v>
      </c>
      <c r="B2735" s="3">
        <v>46296</v>
      </c>
      <c r="C2735" cm="1">
        <f t="array" ref="C2735">IFERROR(INDEX('Expected Production'!$C$2:$N$200,MATCH(A2735,'Expected Production'!$A$2:$A$200,0),MONTH(B2735)),"")</f>
        <v>17053.2</v>
      </c>
    </row>
    <row r="2736" spans="1:3" x14ac:dyDescent="0.3">
      <c r="A2736" t="s">
        <v>262</v>
      </c>
      <c r="B2736" s="3">
        <v>46327</v>
      </c>
      <c r="C2736" cm="1">
        <f t="array" ref="C2736">IFERROR(INDEX('Expected Production'!$C$2:$N$200,MATCH(A2736,'Expected Production'!$A$2:$A$200,0),MONTH(B2736)),"")</f>
        <v>17239.5</v>
      </c>
    </row>
    <row r="2737" spans="1:3" x14ac:dyDescent="0.3">
      <c r="A2737" t="s">
        <v>262</v>
      </c>
      <c r="B2737" s="3">
        <v>46357</v>
      </c>
      <c r="C2737" cm="1">
        <f t="array" ref="C2737">IFERROR(INDEX('Expected Production'!$C$2:$N$200,MATCH(A2737,'Expected Production'!$A$2:$A$200,0),MONTH(B2737)),"")</f>
        <v>17465.400000000001</v>
      </c>
    </row>
    <row r="2738" spans="1:3" x14ac:dyDescent="0.3">
      <c r="A2738" t="s">
        <v>265</v>
      </c>
      <c r="B2738" s="3">
        <v>45292</v>
      </c>
      <c r="C2738" cm="1">
        <f t="array" ref="C2738">IFERROR(INDEX('Expected Production'!$C$2:$N$200,MATCH(A2738,'Expected Production'!$A$2:$A$200,0),MONTH(B2738)),"")</f>
        <v>26451</v>
      </c>
    </row>
    <row r="2739" spans="1:3" x14ac:dyDescent="0.3">
      <c r="A2739" t="s">
        <v>265</v>
      </c>
      <c r="B2739" s="3">
        <v>45323</v>
      </c>
      <c r="C2739" cm="1">
        <f t="array" ref="C2739">IFERROR(INDEX('Expected Production'!$C$2:$N$200,MATCH(A2739,'Expected Production'!$A$2:$A$200,0),MONTH(B2739)),"")</f>
        <v>23215.5</v>
      </c>
    </row>
    <row r="2740" spans="1:3" x14ac:dyDescent="0.3">
      <c r="A2740" t="s">
        <v>265</v>
      </c>
      <c r="B2740" s="3">
        <v>45352</v>
      </c>
      <c r="C2740" cm="1">
        <f t="array" ref="C2740">IFERROR(INDEX('Expected Production'!$C$2:$N$200,MATCH(A2740,'Expected Production'!$A$2:$A$200,0),MONTH(B2740)),"")</f>
        <v>23034.600000000002</v>
      </c>
    </row>
    <row r="2741" spans="1:3" x14ac:dyDescent="0.3">
      <c r="A2741" t="s">
        <v>265</v>
      </c>
      <c r="B2741" s="3">
        <v>45383</v>
      </c>
      <c r="C2741" cm="1">
        <f t="array" ref="C2741">IFERROR(INDEX('Expected Production'!$C$2:$N$200,MATCH(A2741,'Expected Production'!$A$2:$A$200,0),MONTH(B2741)),"")</f>
        <v>19930.5</v>
      </c>
    </row>
    <row r="2742" spans="1:3" x14ac:dyDescent="0.3">
      <c r="A2742" t="s">
        <v>265</v>
      </c>
      <c r="B2742" s="3">
        <v>45413</v>
      </c>
      <c r="C2742" cm="1">
        <f t="array" ref="C2742">IFERROR(INDEX('Expected Production'!$C$2:$N$200,MATCH(A2742,'Expected Production'!$A$2:$A$200,0),MONTH(B2742)),"")</f>
        <v>18754.2</v>
      </c>
    </row>
    <row r="2743" spans="1:3" x14ac:dyDescent="0.3">
      <c r="A2743" t="s">
        <v>265</v>
      </c>
      <c r="B2743" s="3">
        <v>45444</v>
      </c>
      <c r="C2743" cm="1">
        <f t="array" ref="C2743">IFERROR(INDEX('Expected Production'!$C$2:$N$200,MATCH(A2743,'Expected Production'!$A$2:$A$200,0),MONTH(B2743)),"")</f>
        <v>16767.900000000001</v>
      </c>
    </row>
    <row r="2744" spans="1:3" x14ac:dyDescent="0.3">
      <c r="A2744" t="s">
        <v>265</v>
      </c>
      <c r="B2744" s="3">
        <v>45474</v>
      </c>
      <c r="C2744" cm="1">
        <f t="array" ref="C2744">IFERROR(INDEX('Expected Production'!$C$2:$N$200,MATCH(A2744,'Expected Production'!$A$2:$A$200,0),MONTH(B2744)),"")</f>
        <v>18261</v>
      </c>
    </row>
    <row r="2745" spans="1:3" x14ac:dyDescent="0.3">
      <c r="A2745" t="s">
        <v>265</v>
      </c>
      <c r="B2745" s="3">
        <v>45505</v>
      </c>
      <c r="C2745" cm="1">
        <f t="array" ref="C2745">IFERROR(INDEX('Expected Production'!$C$2:$N$200,MATCH(A2745,'Expected Production'!$A$2:$A$200,0),MONTH(B2745)),"")</f>
        <v>21311.100000000002</v>
      </c>
    </row>
    <row r="2746" spans="1:3" x14ac:dyDescent="0.3">
      <c r="A2746" t="s">
        <v>265</v>
      </c>
      <c r="B2746" s="3">
        <v>45536</v>
      </c>
      <c r="C2746" cm="1">
        <f t="array" ref="C2746">IFERROR(INDEX('Expected Production'!$C$2:$N$200,MATCH(A2746,'Expected Production'!$A$2:$A$200,0),MONTH(B2746)),"")</f>
        <v>23659.200000000001</v>
      </c>
    </row>
    <row r="2747" spans="1:3" x14ac:dyDescent="0.3">
      <c r="A2747" t="s">
        <v>265</v>
      </c>
      <c r="B2747" s="3">
        <v>45566</v>
      </c>
      <c r="C2747" cm="1">
        <f t="array" ref="C2747">IFERROR(INDEX('Expected Production'!$C$2:$N$200,MATCH(A2747,'Expected Production'!$A$2:$A$200,0),MONTH(B2747)),"")</f>
        <v>26865.9</v>
      </c>
    </row>
    <row r="2748" spans="1:3" x14ac:dyDescent="0.3">
      <c r="A2748" t="s">
        <v>265</v>
      </c>
      <c r="B2748" s="3">
        <v>45597</v>
      </c>
      <c r="C2748" cm="1">
        <f t="array" ref="C2748">IFERROR(INDEX('Expected Production'!$C$2:$N$200,MATCH(A2748,'Expected Production'!$A$2:$A$200,0),MONTH(B2748)),"")</f>
        <v>27153.9</v>
      </c>
    </row>
    <row r="2749" spans="1:3" x14ac:dyDescent="0.3">
      <c r="A2749" t="s">
        <v>265</v>
      </c>
      <c r="B2749" s="3">
        <v>45627</v>
      </c>
      <c r="C2749" cm="1">
        <f t="array" ref="C2749">IFERROR(INDEX('Expected Production'!$C$2:$N$200,MATCH(A2749,'Expected Production'!$A$2:$A$200,0),MONTH(B2749)),"")</f>
        <v>27402.3</v>
      </c>
    </row>
    <row r="2750" spans="1:3" x14ac:dyDescent="0.3">
      <c r="A2750" t="s">
        <v>265</v>
      </c>
      <c r="B2750" s="3">
        <v>45658</v>
      </c>
      <c r="C2750" cm="1">
        <f t="array" ref="C2750">IFERROR(INDEX('Expected Production'!$C$2:$N$200,MATCH(A2750,'Expected Production'!$A$2:$A$200,0),MONTH(B2750)),"")</f>
        <v>26451</v>
      </c>
    </row>
    <row r="2751" spans="1:3" x14ac:dyDescent="0.3">
      <c r="A2751" t="s">
        <v>265</v>
      </c>
      <c r="B2751" s="3">
        <v>45689</v>
      </c>
      <c r="C2751" cm="1">
        <f t="array" ref="C2751">IFERROR(INDEX('Expected Production'!$C$2:$N$200,MATCH(A2751,'Expected Production'!$A$2:$A$200,0),MONTH(B2751)),"")</f>
        <v>23215.5</v>
      </c>
    </row>
    <row r="2752" spans="1:3" x14ac:dyDescent="0.3">
      <c r="A2752" t="s">
        <v>265</v>
      </c>
      <c r="B2752" s="3">
        <v>45717</v>
      </c>
      <c r="C2752" cm="1">
        <f t="array" ref="C2752">IFERROR(INDEX('Expected Production'!$C$2:$N$200,MATCH(A2752,'Expected Production'!$A$2:$A$200,0),MONTH(B2752)),"")</f>
        <v>23034.600000000002</v>
      </c>
    </row>
    <row r="2753" spans="1:3" x14ac:dyDescent="0.3">
      <c r="A2753" t="s">
        <v>265</v>
      </c>
      <c r="B2753" s="3">
        <v>45748</v>
      </c>
      <c r="C2753" cm="1">
        <f t="array" ref="C2753">IFERROR(INDEX('Expected Production'!$C$2:$N$200,MATCH(A2753,'Expected Production'!$A$2:$A$200,0),MONTH(B2753)),"")</f>
        <v>19930.5</v>
      </c>
    </row>
    <row r="2754" spans="1:3" x14ac:dyDescent="0.3">
      <c r="A2754" t="s">
        <v>265</v>
      </c>
      <c r="B2754" s="3">
        <v>45778</v>
      </c>
      <c r="C2754" cm="1">
        <f t="array" ref="C2754">IFERROR(INDEX('Expected Production'!$C$2:$N$200,MATCH(A2754,'Expected Production'!$A$2:$A$200,0),MONTH(B2754)),"")</f>
        <v>18754.2</v>
      </c>
    </row>
    <row r="2755" spans="1:3" x14ac:dyDescent="0.3">
      <c r="A2755" t="s">
        <v>265</v>
      </c>
      <c r="B2755" s="3">
        <v>45809</v>
      </c>
      <c r="C2755" cm="1">
        <f t="array" ref="C2755">IFERROR(INDEX('Expected Production'!$C$2:$N$200,MATCH(A2755,'Expected Production'!$A$2:$A$200,0),MONTH(B2755)),"")</f>
        <v>16767.900000000001</v>
      </c>
    </row>
    <row r="2756" spans="1:3" x14ac:dyDescent="0.3">
      <c r="A2756" t="s">
        <v>265</v>
      </c>
      <c r="B2756" s="3">
        <v>45839</v>
      </c>
      <c r="C2756" cm="1">
        <f t="array" ref="C2756">IFERROR(INDEX('Expected Production'!$C$2:$N$200,MATCH(A2756,'Expected Production'!$A$2:$A$200,0),MONTH(B2756)),"")</f>
        <v>18261</v>
      </c>
    </row>
    <row r="2757" spans="1:3" x14ac:dyDescent="0.3">
      <c r="A2757" t="s">
        <v>265</v>
      </c>
      <c r="B2757" s="3">
        <v>45870</v>
      </c>
      <c r="C2757" cm="1">
        <f t="array" ref="C2757">IFERROR(INDEX('Expected Production'!$C$2:$N$200,MATCH(A2757,'Expected Production'!$A$2:$A$200,0),MONTH(B2757)),"")</f>
        <v>21311.100000000002</v>
      </c>
    </row>
    <row r="2758" spans="1:3" x14ac:dyDescent="0.3">
      <c r="A2758" t="s">
        <v>265</v>
      </c>
      <c r="B2758" s="3">
        <v>45901</v>
      </c>
      <c r="C2758" cm="1">
        <f t="array" ref="C2758">IFERROR(INDEX('Expected Production'!$C$2:$N$200,MATCH(A2758,'Expected Production'!$A$2:$A$200,0),MONTH(B2758)),"")</f>
        <v>23659.200000000001</v>
      </c>
    </row>
    <row r="2759" spans="1:3" x14ac:dyDescent="0.3">
      <c r="A2759" t="s">
        <v>265</v>
      </c>
      <c r="B2759" s="3">
        <v>45931</v>
      </c>
      <c r="C2759" cm="1">
        <f t="array" ref="C2759">IFERROR(INDEX('Expected Production'!$C$2:$N$200,MATCH(A2759,'Expected Production'!$A$2:$A$200,0),MONTH(B2759)),"")</f>
        <v>26865.9</v>
      </c>
    </row>
    <row r="2760" spans="1:3" x14ac:dyDescent="0.3">
      <c r="A2760" t="s">
        <v>265</v>
      </c>
      <c r="B2760" s="3">
        <v>45962</v>
      </c>
      <c r="C2760" cm="1">
        <f t="array" ref="C2760">IFERROR(INDEX('Expected Production'!$C$2:$N$200,MATCH(A2760,'Expected Production'!$A$2:$A$200,0),MONTH(B2760)),"")</f>
        <v>27153.9</v>
      </c>
    </row>
    <row r="2761" spans="1:3" x14ac:dyDescent="0.3">
      <c r="A2761" t="s">
        <v>265</v>
      </c>
      <c r="B2761" s="3">
        <v>45992</v>
      </c>
      <c r="C2761" cm="1">
        <f t="array" ref="C2761">IFERROR(INDEX('Expected Production'!$C$2:$N$200,MATCH(A2761,'Expected Production'!$A$2:$A$200,0),MONTH(B2761)),"")</f>
        <v>27402.3</v>
      </c>
    </row>
    <row r="2762" spans="1:3" x14ac:dyDescent="0.3">
      <c r="A2762" t="s">
        <v>265</v>
      </c>
      <c r="B2762" s="3">
        <v>46023</v>
      </c>
      <c r="C2762" cm="1">
        <f t="array" ref="C2762">IFERROR(INDEX('Expected Production'!$C$2:$N$200,MATCH(A2762,'Expected Production'!$A$2:$A$200,0),MONTH(B2762)),"")</f>
        <v>26451</v>
      </c>
    </row>
    <row r="2763" spans="1:3" x14ac:dyDescent="0.3">
      <c r="A2763" t="s">
        <v>265</v>
      </c>
      <c r="B2763" s="3">
        <v>46054</v>
      </c>
      <c r="C2763" cm="1">
        <f t="array" ref="C2763">IFERROR(INDEX('Expected Production'!$C$2:$N$200,MATCH(A2763,'Expected Production'!$A$2:$A$200,0),MONTH(B2763)),"")</f>
        <v>23215.5</v>
      </c>
    </row>
    <row r="2764" spans="1:3" x14ac:dyDescent="0.3">
      <c r="A2764" t="s">
        <v>265</v>
      </c>
      <c r="B2764" s="3">
        <v>46082</v>
      </c>
      <c r="C2764" cm="1">
        <f t="array" ref="C2764">IFERROR(INDEX('Expected Production'!$C$2:$N$200,MATCH(A2764,'Expected Production'!$A$2:$A$200,0),MONTH(B2764)),"")</f>
        <v>23034.600000000002</v>
      </c>
    </row>
    <row r="2765" spans="1:3" x14ac:dyDescent="0.3">
      <c r="A2765" t="s">
        <v>265</v>
      </c>
      <c r="B2765" s="3">
        <v>46113</v>
      </c>
      <c r="C2765" cm="1">
        <f t="array" ref="C2765">IFERROR(INDEX('Expected Production'!$C$2:$N$200,MATCH(A2765,'Expected Production'!$A$2:$A$200,0),MONTH(B2765)),"")</f>
        <v>19930.5</v>
      </c>
    </row>
    <row r="2766" spans="1:3" x14ac:dyDescent="0.3">
      <c r="A2766" t="s">
        <v>265</v>
      </c>
      <c r="B2766" s="3">
        <v>46143</v>
      </c>
      <c r="C2766" cm="1">
        <f t="array" ref="C2766">IFERROR(INDEX('Expected Production'!$C$2:$N$200,MATCH(A2766,'Expected Production'!$A$2:$A$200,0),MONTH(B2766)),"")</f>
        <v>18754.2</v>
      </c>
    </row>
    <row r="2767" spans="1:3" x14ac:dyDescent="0.3">
      <c r="A2767" t="s">
        <v>265</v>
      </c>
      <c r="B2767" s="3">
        <v>46174</v>
      </c>
      <c r="C2767" cm="1">
        <f t="array" ref="C2767">IFERROR(INDEX('Expected Production'!$C$2:$N$200,MATCH(A2767,'Expected Production'!$A$2:$A$200,0),MONTH(B2767)),"")</f>
        <v>16767.900000000001</v>
      </c>
    </row>
    <row r="2768" spans="1:3" x14ac:dyDescent="0.3">
      <c r="A2768" t="s">
        <v>265</v>
      </c>
      <c r="B2768" s="3">
        <v>46204</v>
      </c>
      <c r="C2768" cm="1">
        <f t="array" ref="C2768">IFERROR(INDEX('Expected Production'!$C$2:$N$200,MATCH(A2768,'Expected Production'!$A$2:$A$200,0),MONTH(B2768)),"")</f>
        <v>18261</v>
      </c>
    </row>
    <row r="2769" spans="1:3" x14ac:dyDescent="0.3">
      <c r="A2769" t="s">
        <v>265</v>
      </c>
      <c r="B2769" s="3">
        <v>46235</v>
      </c>
      <c r="C2769" cm="1">
        <f t="array" ref="C2769">IFERROR(INDEX('Expected Production'!$C$2:$N$200,MATCH(A2769,'Expected Production'!$A$2:$A$200,0),MONTH(B2769)),"")</f>
        <v>21311.100000000002</v>
      </c>
    </row>
    <row r="2770" spans="1:3" x14ac:dyDescent="0.3">
      <c r="A2770" t="s">
        <v>265</v>
      </c>
      <c r="B2770" s="3">
        <v>46266</v>
      </c>
      <c r="C2770" cm="1">
        <f t="array" ref="C2770">IFERROR(INDEX('Expected Production'!$C$2:$N$200,MATCH(A2770,'Expected Production'!$A$2:$A$200,0),MONTH(B2770)),"")</f>
        <v>23659.200000000001</v>
      </c>
    </row>
    <row r="2771" spans="1:3" x14ac:dyDescent="0.3">
      <c r="A2771" t="s">
        <v>265</v>
      </c>
      <c r="B2771" s="3">
        <v>46296</v>
      </c>
      <c r="C2771" cm="1">
        <f t="array" ref="C2771">IFERROR(INDEX('Expected Production'!$C$2:$N$200,MATCH(A2771,'Expected Production'!$A$2:$A$200,0),MONTH(B2771)),"")</f>
        <v>26865.9</v>
      </c>
    </row>
    <row r="2772" spans="1:3" x14ac:dyDescent="0.3">
      <c r="A2772" t="s">
        <v>265</v>
      </c>
      <c r="B2772" s="3">
        <v>46327</v>
      </c>
      <c r="C2772" cm="1">
        <f t="array" ref="C2772">IFERROR(INDEX('Expected Production'!$C$2:$N$200,MATCH(A2772,'Expected Production'!$A$2:$A$200,0),MONTH(B2772)),"")</f>
        <v>27153.9</v>
      </c>
    </row>
    <row r="2773" spans="1:3" x14ac:dyDescent="0.3">
      <c r="A2773" t="s">
        <v>265</v>
      </c>
      <c r="B2773" s="3">
        <v>46357</v>
      </c>
      <c r="C2773" cm="1">
        <f t="array" ref="C2773">IFERROR(INDEX('Expected Production'!$C$2:$N$200,MATCH(A2773,'Expected Production'!$A$2:$A$200,0),MONTH(B2773)),"")</f>
        <v>27402.3</v>
      </c>
    </row>
    <row r="2774" spans="1:3" x14ac:dyDescent="0.3">
      <c r="A2774" t="s">
        <v>264</v>
      </c>
      <c r="B2774" s="3">
        <v>45292</v>
      </c>
      <c r="C2774" cm="1">
        <f t="array" ref="C2774">IFERROR(INDEX('Expected Production'!$C$2:$N$200,MATCH(A2774,'Expected Production'!$A$2:$A$200,0),MONTH(B2774)),"")</f>
        <v>28877.4</v>
      </c>
    </row>
    <row r="2775" spans="1:3" x14ac:dyDescent="0.3">
      <c r="A2775" t="s">
        <v>264</v>
      </c>
      <c r="B2775" s="3">
        <v>45323</v>
      </c>
      <c r="C2775" cm="1">
        <f t="array" ref="C2775">IFERROR(INDEX('Expected Production'!$C$2:$N$200,MATCH(A2775,'Expected Production'!$A$2:$A$200,0),MONTH(B2775)),"")</f>
        <v>25884.9</v>
      </c>
    </row>
    <row r="2776" spans="1:3" x14ac:dyDescent="0.3">
      <c r="A2776" t="s">
        <v>264</v>
      </c>
      <c r="B2776" s="3">
        <v>45352</v>
      </c>
      <c r="C2776" cm="1">
        <f t="array" ref="C2776">IFERROR(INDEX('Expected Production'!$C$2:$N$200,MATCH(A2776,'Expected Production'!$A$2:$A$200,0),MONTH(B2776)),"")</f>
        <v>27341.100000000002</v>
      </c>
    </row>
    <row r="2777" spans="1:3" x14ac:dyDescent="0.3">
      <c r="A2777" t="s">
        <v>264</v>
      </c>
      <c r="B2777" s="3">
        <v>45383</v>
      </c>
      <c r="C2777" cm="1">
        <f t="array" ref="C2777">IFERROR(INDEX('Expected Production'!$C$2:$N$200,MATCH(A2777,'Expected Production'!$A$2:$A$200,0),MONTH(B2777)),"")</f>
        <v>27823.5</v>
      </c>
    </row>
    <row r="2778" spans="1:3" x14ac:dyDescent="0.3">
      <c r="A2778" t="s">
        <v>264</v>
      </c>
      <c r="B2778" s="3">
        <v>45413</v>
      </c>
      <c r="C2778" cm="1">
        <f t="array" ref="C2778">IFERROR(INDEX('Expected Production'!$C$2:$N$200,MATCH(A2778,'Expected Production'!$A$2:$A$200,0),MONTH(B2778)),"")</f>
        <v>29920.5</v>
      </c>
    </row>
    <row r="2779" spans="1:3" x14ac:dyDescent="0.3">
      <c r="A2779" t="s">
        <v>264</v>
      </c>
      <c r="B2779" s="3">
        <v>45444</v>
      </c>
      <c r="C2779" cm="1">
        <f t="array" ref="C2779">IFERROR(INDEX('Expected Production'!$C$2:$N$200,MATCH(A2779,'Expected Production'!$A$2:$A$200,0),MONTH(B2779)),"")</f>
        <v>28644.3</v>
      </c>
    </row>
    <row r="2780" spans="1:3" x14ac:dyDescent="0.3">
      <c r="A2780" t="s">
        <v>264</v>
      </c>
      <c r="B2780" s="3">
        <v>45474</v>
      </c>
      <c r="C2780" cm="1">
        <f t="array" ref="C2780">IFERROR(INDEX('Expected Production'!$C$2:$N$200,MATCH(A2780,'Expected Production'!$A$2:$A$200,0),MONTH(B2780)),"")</f>
        <v>28051.200000000001</v>
      </c>
    </row>
    <row r="2781" spans="1:3" x14ac:dyDescent="0.3">
      <c r="A2781" t="s">
        <v>264</v>
      </c>
      <c r="B2781" s="3">
        <v>45505</v>
      </c>
      <c r="C2781" cm="1">
        <f t="array" ref="C2781">IFERROR(INDEX('Expected Production'!$C$2:$N$200,MATCH(A2781,'Expected Production'!$A$2:$A$200,0),MONTH(B2781)),"")</f>
        <v>31649.4</v>
      </c>
    </row>
    <row r="2782" spans="1:3" x14ac:dyDescent="0.3">
      <c r="A2782" t="s">
        <v>264</v>
      </c>
      <c r="B2782" s="3">
        <v>45536</v>
      </c>
      <c r="C2782" cm="1">
        <f t="array" ref="C2782">IFERROR(INDEX('Expected Production'!$C$2:$N$200,MATCH(A2782,'Expected Production'!$A$2:$A$200,0),MONTH(B2782)),"")</f>
        <v>28250.100000000002</v>
      </c>
    </row>
    <row r="2783" spans="1:3" x14ac:dyDescent="0.3">
      <c r="A2783" t="s">
        <v>264</v>
      </c>
      <c r="B2783" s="3">
        <v>45566</v>
      </c>
      <c r="C2783" cm="1">
        <f t="array" ref="C2783">IFERROR(INDEX('Expected Production'!$C$2:$N$200,MATCH(A2783,'Expected Production'!$A$2:$A$200,0),MONTH(B2783)),"")</f>
        <v>28466.100000000002</v>
      </c>
    </row>
    <row r="2784" spans="1:3" x14ac:dyDescent="0.3">
      <c r="A2784" t="s">
        <v>264</v>
      </c>
      <c r="B2784" s="3">
        <v>45597</v>
      </c>
      <c r="C2784" cm="1">
        <f t="array" ref="C2784">IFERROR(INDEX('Expected Production'!$C$2:$N$200,MATCH(A2784,'Expected Production'!$A$2:$A$200,0),MONTH(B2784)),"")</f>
        <v>28991.7</v>
      </c>
    </row>
    <row r="2785" spans="1:3" x14ac:dyDescent="0.3">
      <c r="A2785" t="s">
        <v>264</v>
      </c>
      <c r="B2785" s="3">
        <v>45627</v>
      </c>
      <c r="C2785" cm="1">
        <f t="array" ref="C2785">IFERROR(INDEX('Expected Production'!$C$2:$N$200,MATCH(A2785,'Expected Production'!$A$2:$A$200,0),MONTH(B2785)),"")</f>
        <v>28903.5</v>
      </c>
    </row>
    <row r="2786" spans="1:3" x14ac:dyDescent="0.3">
      <c r="A2786" t="s">
        <v>264</v>
      </c>
      <c r="B2786" s="3">
        <v>45658</v>
      </c>
      <c r="C2786" cm="1">
        <f t="array" ref="C2786">IFERROR(INDEX('Expected Production'!$C$2:$N$200,MATCH(A2786,'Expected Production'!$A$2:$A$200,0),MONTH(B2786)),"")</f>
        <v>28877.4</v>
      </c>
    </row>
    <row r="2787" spans="1:3" x14ac:dyDescent="0.3">
      <c r="A2787" t="s">
        <v>264</v>
      </c>
      <c r="B2787" s="3">
        <v>45689</v>
      </c>
      <c r="C2787" cm="1">
        <f t="array" ref="C2787">IFERROR(INDEX('Expected Production'!$C$2:$N$200,MATCH(A2787,'Expected Production'!$A$2:$A$200,0),MONTH(B2787)),"")</f>
        <v>25884.9</v>
      </c>
    </row>
    <row r="2788" spans="1:3" x14ac:dyDescent="0.3">
      <c r="A2788" t="s">
        <v>264</v>
      </c>
      <c r="B2788" s="3">
        <v>45717</v>
      </c>
      <c r="C2788" cm="1">
        <f t="array" ref="C2788">IFERROR(INDEX('Expected Production'!$C$2:$N$200,MATCH(A2788,'Expected Production'!$A$2:$A$200,0),MONTH(B2788)),"")</f>
        <v>27341.100000000002</v>
      </c>
    </row>
    <row r="2789" spans="1:3" x14ac:dyDescent="0.3">
      <c r="A2789" t="s">
        <v>264</v>
      </c>
      <c r="B2789" s="3">
        <v>45748</v>
      </c>
      <c r="C2789" cm="1">
        <f t="array" ref="C2789">IFERROR(INDEX('Expected Production'!$C$2:$N$200,MATCH(A2789,'Expected Production'!$A$2:$A$200,0),MONTH(B2789)),"")</f>
        <v>27823.5</v>
      </c>
    </row>
    <row r="2790" spans="1:3" x14ac:dyDescent="0.3">
      <c r="A2790" t="s">
        <v>264</v>
      </c>
      <c r="B2790" s="3">
        <v>45778</v>
      </c>
      <c r="C2790" cm="1">
        <f t="array" ref="C2790">IFERROR(INDEX('Expected Production'!$C$2:$N$200,MATCH(A2790,'Expected Production'!$A$2:$A$200,0),MONTH(B2790)),"")</f>
        <v>29920.5</v>
      </c>
    </row>
    <row r="2791" spans="1:3" x14ac:dyDescent="0.3">
      <c r="A2791" t="s">
        <v>264</v>
      </c>
      <c r="B2791" s="3">
        <v>45809</v>
      </c>
      <c r="C2791" cm="1">
        <f t="array" ref="C2791">IFERROR(INDEX('Expected Production'!$C$2:$N$200,MATCH(A2791,'Expected Production'!$A$2:$A$200,0),MONTH(B2791)),"")</f>
        <v>28644.3</v>
      </c>
    </row>
    <row r="2792" spans="1:3" x14ac:dyDescent="0.3">
      <c r="A2792" t="s">
        <v>264</v>
      </c>
      <c r="B2792" s="3">
        <v>45839</v>
      </c>
      <c r="C2792" cm="1">
        <f t="array" ref="C2792">IFERROR(INDEX('Expected Production'!$C$2:$N$200,MATCH(A2792,'Expected Production'!$A$2:$A$200,0),MONTH(B2792)),"")</f>
        <v>28051.200000000001</v>
      </c>
    </row>
    <row r="2793" spans="1:3" x14ac:dyDescent="0.3">
      <c r="A2793" t="s">
        <v>264</v>
      </c>
      <c r="B2793" s="3">
        <v>45870</v>
      </c>
      <c r="C2793" cm="1">
        <f t="array" ref="C2793">IFERROR(INDEX('Expected Production'!$C$2:$N$200,MATCH(A2793,'Expected Production'!$A$2:$A$200,0),MONTH(B2793)),"")</f>
        <v>31649.4</v>
      </c>
    </row>
    <row r="2794" spans="1:3" x14ac:dyDescent="0.3">
      <c r="A2794" t="s">
        <v>264</v>
      </c>
      <c r="B2794" s="3">
        <v>45901</v>
      </c>
      <c r="C2794" cm="1">
        <f t="array" ref="C2794">IFERROR(INDEX('Expected Production'!$C$2:$N$200,MATCH(A2794,'Expected Production'!$A$2:$A$200,0),MONTH(B2794)),"")</f>
        <v>28250.100000000002</v>
      </c>
    </row>
    <row r="2795" spans="1:3" x14ac:dyDescent="0.3">
      <c r="A2795" t="s">
        <v>264</v>
      </c>
      <c r="B2795" s="3">
        <v>45931</v>
      </c>
      <c r="C2795" cm="1">
        <f t="array" ref="C2795">IFERROR(INDEX('Expected Production'!$C$2:$N$200,MATCH(A2795,'Expected Production'!$A$2:$A$200,0),MONTH(B2795)),"")</f>
        <v>28466.100000000002</v>
      </c>
    </row>
    <row r="2796" spans="1:3" x14ac:dyDescent="0.3">
      <c r="A2796" t="s">
        <v>264</v>
      </c>
      <c r="B2796" s="3">
        <v>45962</v>
      </c>
      <c r="C2796" cm="1">
        <f t="array" ref="C2796">IFERROR(INDEX('Expected Production'!$C$2:$N$200,MATCH(A2796,'Expected Production'!$A$2:$A$200,0),MONTH(B2796)),"")</f>
        <v>28991.7</v>
      </c>
    </row>
    <row r="2797" spans="1:3" x14ac:dyDescent="0.3">
      <c r="A2797" t="s">
        <v>264</v>
      </c>
      <c r="B2797" s="3">
        <v>45992</v>
      </c>
      <c r="C2797" cm="1">
        <f t="array" ref="C2797">IFERROR(INDEX('Expected Production'!$C$2:$N$200,MATCH(A2797,'Expected Production'!$A$2:$A$200,0),MONTH(B2797)),"")</f>
        <v>28903.5</v>
      </c>
    </row>
    <row r="2798" spans="1:3" x14ac:dyDescent="0.3">
      <c r="A2798" t="s">
        <v>264</v>
      </c>
      <c r="B2798" s="3">
        <v>46023</v>
      </c>
      <c r="C2798" cm="1">
        <f t="array" ref="C2798">IFERROR(INDEX('Expected Production'!$C$2:$N$200,MATCH(A2798,'Expected Production'!$A$2:$A$200,0),MONTH(B2798)),"")</f>
        <v>28877.4</v>
      </c>
    </row>
    <row r="2799" spans="1:3" x14ac:dyDescent="0.3">
      <c r="A2799" t="s">
        <v>264</v>
      </c>
      <c r="B2799" s="3">
        <v>46054</v>
      </c>
      <c r="C2799" cm="1">
        <f t="array" ref="C2799">IFERROR(INDEX('Expected Production'!$C$2:$N$200,MATCH(A2799,'Expected Production'!$A$2:$A$200,0),MONTH(B2799)),"")</f>
        <v>25884.9</v>
      </c>
    </row>
    <row r="2800" spans="1:3" x14ac:dyDescent="0.3">
      <c r="A2800" t="s">
        <v>264</v>
      </c>
      <c r="B2800" s="3">
        <v>46082</v>
      </c>
      <c r="C2800" cm="1">
        <f t="array" ref="C2800">IFERROR(INDEX('Expected Production'!$C$2:$N$200,MATCH(A2800,'Expected Production'!$A$2:$A$200,0),MONTH(B2800)),"")</f>
        <v>27341.100000000002</v>
      </c>
    </row>
    <row r="2801" spans="1:3" x14ac:dyDescent="0.3">
      <c r="A2801" t="s">
        <v>264</v>
      </c>
      <c r="B2801" s="3">
        <v>46113</v>
      </c>
      <c r="C2801" cm="1">
        <f t="array" ref="C2801">IFERROR(INDEX('Expected Production'!$C$2:$N$200,MATCH(A2801,'Expected Production'!$A$2:$A$200,0),MONTH(B2801)),"")</f>
        <v>27823.5</v>
      </c>
    </row>
    <row r="2802" spans="1:3" x14ac:dyDescent="0.3">
      <c r="A2802" t="s">
        <v>264</v>
      </c>
      <c r="B2802" s="3">
        <v>46143</v>
      </c>
      <c r="C2802" cm="1">
        <f t="array" ref="C2802">IFERROR(INDEX('Expected Production'!$C$2:$N$200,MATCH(A2802,'Expected Production'!$A$2:$A$200,0),MONTH(B2802)),"")</f>
        <v>29920.5</v>
      </c>
    </row>
    <row r="2803" spans="1:3" x14ac:dyDescent="0.3">
      <c r="A2803" t="s">
        <v>264</v>
      </c>
      <c r="B2803" s="3">
        <v>46174</v>
      </c>
      <c r="C2803" cm="1">
        <f t="array" ref="C2803">IFERROR(INDEX('Expected Production'!$C$2:$N$200,MATCH(A2803,'Expected Production'!$A$2:$A$200,0),MONTH(B2803)),"")</f>
        <v>28644.3</v>
      </c>
    </row>
    <row r="2804" spans="1:3" x14ac:dyDescent="0.3">
      <c r="A2804" t="s">
        <v>264</v>
      </c>
      <c r="B2804" s="3">
        <v>46204</v>
      </c>
      <c r="C2804" cm="1">
        <f t="array" ref="C2804">IFERROR(INDEX('Expected Production'!$C$2:$N$200,MATCH(A2804,'Expected Production'!$A$2:$A$200,0),MONTH(B2804)),"")</f>
        <v>28051.200000000001</v>
      </c>
    </row>
    <row r="2805" spans="1:3" x14ac:dyDescent="0.3">
      <c r="A2805" t="s">
        <v>264</v>
      </c>
      <c r="B2805" s="3">
        <v>46235</v>
      </c>
      <c r="C2805" cm="1">
        <f t="array" ref="C2805">IFERROR(INDEX('Expected Production'!$C$2:$N$200,MATCH(A2805,'Expected Production'!$A$2:$A$200,0),MONTH(B2805)),"")</f>
        <v>31649.4</v>
      </c>
    </row>
    <row r="2806" spans="1:3" x14ac:dyDescent="0.3">
      <c r="A2806" t="s">
        <v>264</v>
      </c>
      <c r="B2806" s="3">
        <v>46266</v>
      </c>
      <c r="C2806" cm="1">
        <f t="array" ref="C2806">IFERROR(INDEX('Expected Production'!$C$2:$N$200,MATCH(A2806,'Expected Production'!$A$2:$A$200,0),MONTH(B2806)),"")</f>
        <v>28250.100000000002</v>
      </c>
    </row>
    <row r="2807" spans="1:3" x14ac:dyDescent="0.3">
      <c r="A2807" t="s">
        <v>264</v>
      </c>
      <c r="B2807" s="3">
        <v>46296</v>
      </c>
      <c r="C2807" cm="1">
        <f t="array" ref="C2807">IFERROR(INDEX('Expected Production'!$C$2:$N$200,MATCH(A2807,'Expected Production'!$A$2:$A$200,0),MONTH(B2807)),"")</f>
        <v>28466.100000000002</v>
      </c>
    </row>
    <row r="2808" spans="1:3" x14ac:dyDescent="0.3">
      <c r="A2808" t="s">
        <v>264</v>
      </c>
      <c r="B2808" s="3">
        <v>46327</v>
      </c>
      <c r="C2808" cm="1">
        <f t="array" ref="C2808">IFERROR(INDEX('Expected Production'!$C$2:$N$200,MATCH(A2808,'Expected Production'!$A$2:$A$200,0),MONTH(B2808)),"")</f>
        <v>28991.7</v>
      </c>
    </row>
    <row r="2809" spans="1:3" x14ac:dyDescent="0.3">
      <c r="A2809" t="s">
        <v>264</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2572" zoomScaleNormal="100" workbookViewId="0">
      <selection activeCell="C2586" sqref="C258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282</v>
      </c>
      <c r="B1" t="s">
        <v>280</v>
      </c>
      <c r="C1" t="s">
        <v>284</v>
      </c>
    </row>
    <row r="2" spans="1:3" ht="15" customHeight="1" x14ac:dyDescent="0.3">
      <c r="A2" t="s">
        <v>32</v>
      </c>
      <c r="B2" s="3">
        <v>45292</v>
      </c>
      <c r="C2">
        <v>1815</v>
      </c>
    </row>
    <row r="3" spans="1:3" ht="15" customHeight="1" x14ac:dyDescent="0.3">
      <c r="A3" t="s">
        <v>32</v>
      </c>
      <c r="B3" s="3">
        <v>45323</v>
      </c>
      <c r="C3">
        <v>2295</v>
      </c>
    </row>
    <row r="4" spans="1:3" ht="15" customHeight="1" x14ac:dyDescent="0.3">
      <c r="A4" t="s">
        <v>32</v>
      </c>
      <c r="B4" s="3">
        <v>45352</v>
      </c>
      <c r="C4">
        <v>2474</v>
      </c>
    </row>
    <row r="5" spans="1:3" ht="15" customHeight="1" x14ac:dyDescent="0.3">
      <c r="A5" t="s">
        <v>32</v>
      </c>
      <c r="B5" s="3">
        <v>45383</v>
      </c>
      <c r="C5">
        <v>2136</v>
      </c>
    </row>
    <row r="6" spans="1:3" ht="15" customHeight="1" x14ac:dyDescent="0.3">
      <c r="A6" t="s">
        <v>32</v>
      </c>
      <c r="B6" s="3">
        <v>45413</v>
      </c>
      <c r="C6">
        <v>2212</v>
      </c>
    </row>
    <row r="7" spans="1:3" ht="15" customHeight="1" x14ac:dyDescent="0.3">
      <c r="A7" t="s">
        <v>32</v>
      </c>
      <c r="B7" s="3">
        <v>45444</v>
      </c>
      <c r="C7">
        <v>1863</v>
      </c>
    </row>
    <row r="8" spans="1:3" ht="15" customHeight="1" x14ac:dyDescent="0.3">
      <c r="A8" t="s">
        <v>32</v>
      </c>
      <c r="B8" s="3">
        <v>45474</v>
      </c>
      <c r="C8">
        <v>1943</v>
      </c>
    </row>
    <row r="9" spans="1:3" ht="15" customHeight="1" x14ac:dyDescent="0.3">
      <c r="A9" t="s">
        <v>32</v>
      </c>
      <c r="B9" s="3">
        <v>45505</v>
      </c>
      <c r="C9">
        <v>1710</v>
      </c>
    </row>
    <row r="10" spans="1:3" ht="15" customHeight="1" x14ac:dyDescent="0.3">
      <c r="A10" t="s">
        <v>32</v>
      </c>
      <c r="B10" s="3">
        <v>45536</v>
      </c>
      <c r="C10">
        <v>1579</v>
      </c>
    </row>
    <row r="11" spans="1:3" ht="15" customHeight="1" x14ac:dyDescent="0.3">
      <c r="A11" t="s">
        <v>32</v>
      </c>
      <c r="B11" s="3">
        <v>45566</v>
      </c>
      <c r="C11">
        <v>1593</v>
      </c>
    </row>
    <row r="12" spans="1:3" ht="15" customHeight="1" x14ac:dyDescent="0.3">
      <c r="A12" t="s">
        <v>32</v>
      </c>
      <c r="B12" s="3">
        <v>45597</v>
      </c>
      <c r="C12">
        <v>1794</v>
      </c>
    </row>
    <row r="13" spans="1:3" ht="15" customHeight="1" x14ac:dyDescent="0.3">
      <c r="A13" t="s">
        <v>32</v>
      </c>
      <c r="B13" s="3">
        <v>45627</v>
      </c>
      <c r="C13">
        <v>1794</v>
      </c>
    </row>
    <row r="14" spans="1:3" ht="15" customHeight="1" x14ac:dyDescent="0.3">
      <c r="A14" t="s">
        <v>32</v>
      </c>
      <c r="B14" s="3">
        <v>45658</v>
      </c>
      <c r="C14">
        <v>1992</v>
      </c>
    </row>
    <row r="15" spans="1:3" ht="15" customHeight="1" x14ac:dyDescent="0.3">
      <c r="A15" t="s">
        <v>32</v>
      </c>
      <c r="B15" s="3">
        <v>45689</v>
      </c>
      <c r="C15">
        <v>1458</v>
      </c>
    </row>
    <row r="16" spans="1:3" ht="15" customHeight="1" x14ac:dyDescent="0.3">
      <c r="A16" t="s">
        <v>32</v>
      </c>
      <c r="B16" s="3">
        <v>45717</v>
      </c>
      <c r="C16">
        <v>1382</v>
      </c>
    </row>
    <row r="17" spans="1:3" ht="15" customHeight="1" x14ac:dyDescent="0.3">
      <c r="A17" t="s">
        <v>32</v>
      </c>
      <c r="B17" s="3">
        <v>45748</v>
      </c>
      <c r="C17">
        <v>1183</v>
      </c>
    </row>
    <row r="18" spans="1:3" ht="15" customHeight="1" x14ac:dyDescent="0.3">
      <c r="A18" t="s">
        <v>32</v>
      </c>
      <c r="B18" s="3">
        <v>45778</v>
      </c>
      <c r="C18">
        <v>1860</v>
      </c>
    </row>
    <row r="19" spans="1:3" ht="15" customHeight="1" x14ac:dyDescent="0.3">
      <c r="A19" t="s">
        <v>32</v>
      </c>
      <c r="B19" s="3">
        <v>45809</v>
      </c>
      <c r="C19">
        <v>1756.6</v>
      </c>
    </row>
    <row r="20" spans="1:3" ht="15" customHeight="1" x14ac:dyDescent="0.3">
      <c r="A20" t="s">
        <v>32</v>
      </c>
      <c r="B20" s="3">
        <v>45839</v>
      </c>
      <c r="C20">
        <v>1742</v>
      </c>
    </row>
    <row r="21" spans="1:3" ht="15" customHeight="1" x14ac:dyDescent="0.3">
      <c r="A21" t="s">
        <v>32</v>
      </c>
      <c r="B21" s="3">
        <v>45870</v>
      </c>
      <c r="C21">
        <v>1613</v>
      </c>
    </row>
    <row r="22" spans="1:3" ht="15" customHeight="1" x14ac:dyDescent="0.3">
      <c r="A22" t="s">
        <v>32</v>
      </c>
      <c r="B22" s="3">
        <v>45901</v>
      </c>
      <c r="C22">
        <v>1358.7</v>
      </c>
    </row>
    <row r="23" spans="1:3" ht="15" customHeight="1" x14ac:dyDescent="0.3">
      <c r="A23" t="s">
        <v>32</v>
      </c>
      <c r="B23" s="3">
        <v>45931</v>
      </c>
      <c r="C23">
        <v>1601</v>
      </c>
    </row>
    <row r="24" spans="1:3" ht="15" customHeight="1" x14ac:dyDescent="0.3">
      <c r="A24" t="s">
        <v>32</v>
      </c>
      <c r="B24" s="3">
        <v>45962</v>
      </c>
      <c r="C24">
        <v>1444</v>
      </c>
    </row>
    <row r="25" spans="1:3" ht="15" customHeight="1" x14ac:dyDescent="0.3">
      <c r="A25" t="s">
        <v>32</v>
      </c>
      <c r="B25" s="3">
        <v>45992</v>
      </c>
      <c r="C25">
        <v>1375</v>
      </c>
    </row>
    <row r="26" spans="1:3" ht="15" customHeight="1" x14ac:dyDescent="0.3">
      <c r="A26" t="s">
        <v>32</v>
      </c>
      <c r="B26" s="3">
        <v>46023</v>
      </c>
      <c r="C26">
        <v>1549</v>
      </c>
    </row>
    <row r="27" spans="1:3" ht="15" customHeight="1" x14ac:dyDescent="0.3">
      <c r="A27" t="s">
        <v>32</v>
      </c>
      <c r="B27" s="3">
        <v>46054</v>
      </c>
      <c r="C27">
        <v>1362</v>
      </c>
    </row>
    <row r="28" spans="1:3" ht="15" customHeight="1" x14ac:dyDescent="0.3">
      <c r="A28" t="s">
        <v>32</v>
      </c>
      <c r="B28" s="3">
        <v>46082</v>
      </c>
      <c r="C28">
        <v>1237</v>
      </c>
    </row>
    <row r="29" spans="1:3" ht="15" customHeight="1" x14ac:dyDescent="0.3">
      <c r="A29" t="s">
        <v>32</v>
      </c>
      <c r="B29" s="3">
        <v>46113</v>
      </c>
      <c r="C29">
        <v>830</v>
      </c>
    </row>
    <row r="30" spans="1:3" ht="15" customHeight="1" x14ac:dyDescent="0.3">
      <c r="A30" t="s">
        <v>32</v>
      </c>
      <c r="B30" s="3">
        <v>46143</v>
      </c>
      <c r="C30" s="13">
        <v>1169.9000000000001</v>
      </c>
    </row>
    <row r="31" spans="1:3" ht="15" customHeight="1" x14ac:dyDescent="0.3">
      <c r="A31" t="s">
        <v>32</v>
      </c>
      <c r="B31" s="3">
        <v>46174</v>
      </c>
    </row>
    <row r="32" spans="1:3" ht="15" customHeight="1" x14ac:dyDescent="0.3">
      <c r="A32" t="s">
        <v>32</v>
      </c>
      <c r="B32" s="3">
        <v>46204</v>
      </c>
    </row>
    <row r="33" spans="1:3" ht="15" customHeight="1" x14ac:dyDescent="0.3">
      <c r="A33" t="s">
        <v>32</v>
      </c>
      <c r="B33" s="3">
        <v>46235</v>
      </c>
    </row>
    <row r="34" spans="1:3" ht="15" customHeight="1" x14ac:dyDescent="0.3">
      <c r="A34" t="s">
        <v>32</v>
      </c>
      <c r="B34" s="3">
        <v>46266</v>
      </c>
    </row>
    <row r="35" spans="1:3" ht="15" customHeight="1" x14ac:dyDescent="0.3">
      <c r="A35" t="s">
        <v>32</v>
      </c>
      <c r="B35" s="3">
        <v>46296</v>
      </c>
    </row>
    <row r="36" spans="1:3" ht="15" customHeight="1" x14ac:dyDescent="0.3">
      <c r="A36" t="s">
        <v>32</v>
      </c>
      <c r="B36" s="3">
        <v>46327</v>
      </c>
    </row>
    <row r="37" spans="1:3" ht="15" customHeight="1" x14ac:dyDescent="0.3">
      <c r="A37" t="s">
        <v>32</v>
      </c>
      <c r="B37" s="3">
        <v>46357</v>
      </c>
    </row>
    <row r="38" spans="1:3" ht="15" customHeight="1" x14ac:dyDescent="0.3">
      <c r="A38" t="s">
        <v>45</v>
      </c>
      <c r="B38" s="3">
        <v>45292</v>
      </c>
      <c r="C38">
        <v>23024</v>
      </c>
    </row>
    <row r="39" spans="1:3" ht="15" customHeight="1" x14ac:dyDescent="0.3">
      <c r="A39" t="s">
        <v>45</v>
      </c>
      <c r="B39" s="3">
        <v>45323</v>
      </c>
      <c r="C39">
        <v>23235</v>
      </c>
    </row>
    <row r="40" spans="1:3" ht="15" customHeight="1" x14ac:dyDescent="0.3">
      <c r="A40" t="s">
        <v>45</v>
      </c>
      <c r="B40" s="3">
        <v>45352</v>
      </c>
      <c r="C40">
        <v>23235</v>
      </c>
    </row>
    <row r="41" spans="1:3" ht="15" customHeight="1" x14ac:dyDescent="0.3">
      <c r="A41" t="s">
        <v>45</v>
      </c>
      <c r="B41" s="3">
        <v>45383</v>
      </c>
      <c r="C41">
        <v>19307</v>
      </c>
    </row>
    <row r="42" spans="1:3" ht="15" customHeight="1" x14ac:dyDescent="0.3">
      <c r="A42" t="s">
        <v>45</v>
      </c>
      <c r="B42" s="3">
        <v>45413</v>
      </c>
      <c r="C42">
        <v>18418</v>
      </c>
    </row>
    <row r="43" spans="1:3" ht="15" customHeight="1" x14ac:dyDescent="0.3">
      <c r="A43" t="s">
        <v>45</v>
      </c>
      <c r="B43" s="3">
        <v>45444</v>
      </c>
      <c r="C43">
        <v>15949</v>
      </c>
    </row>
    <row r="44" spans="1:3" ht="15" customHeight="1" x14ac:dyDescent="0.3">
      <c r="A44" t="s">
        <v>45</v>
      </c>
      <c r="B44" s="3">
        <v>45474</v>
      </c>
      <c r="C44">
        <v>17174</v>
      </c>
    </row>
    <row r="45" spans="1:3" ht="15" customHeight="1" x14ac:dyDescent="0.3">
      <c r="A45" t="s">
        <v>45</v>
      </c>
      <c r="B45" s="3">
        <v>45505</v>
      </c>
      <c r="C45">
        <v>13588</v>
      </c>
    </row>
    <row r="46" spans="1:3" ht="15" customHeight="1" x14ac:dyDescent="0.3">
      <c r="A46" t="s">
        <v>45</v>
      </c>
      <c r="B46" s="3">
        <v>45536</v>
      </c>
      <c r="C46">
        <v>20254</v>
      </c>
    </row>
    <row r="47" spans="1:3" ht="15" customHeight="1" x14ac:dyDescent="0.3">
      <c r="A47" t="s">
        <v>45</v>
      </c>
      <c r="B47" s="3">
        <v>45566</v>
      </c>
      <c r="C47">
        <v>27693</v>
      </c>
    </row>
    <row r="48" spans="1:3" ht="15" customHeight="1" x14ac:dyDescent="0.3">
      <c r="A48" t="s">
        <v>45</v>
      </c>
      <c r="B48" s="3">
        <v>45597</v>
      </c>
      <c r="C48">
        <v>24041</v>
      </c>
    </row>
    <row r="49" spans="1:3" ht="15" customHeight="1" x14ac:dyDescent="0.3">
      <c r="A49" t="s">
        <v>45</v>
      </c>
      <c r="B49" s="3">
        <v>45627</v>
      </c>
      <c r="C49">
        <v>25076</v>
      </c>
    </row>
    <row r="50" spans="1:3" ht="15" customHeight="1" x14ac:dyDescent="0.3">
      <c r="A50" t="s">
        <v>45</v>
      </c>
      <c r="B50" s="3">
        <v>45658</v>
      </c>
      <c r="C50">
        <v>22439</v>
      </c>
    </row>
    <row r="51" spans="1:3" ht="15" customHeight="1" x14ac:dyDescent="0.3">
      <c r="A51" t="s">
        <v>45</v>
      </c>
      <c r="B51" s="3">
        <v>45689</v>
      </c>
      <c r="C51">
        <v>14790</v>
      </c>
    </row>
    <row r="52" spans="1:3" ht="15" customHeight="1" x14ac:dyDescent="0.3">
      <c r="A52" t="s">
        <v>45</v>
      </c>
      <c r="B52" s="3">
        <v>45717</v>
      </c>
      <c r="C52">
        <v>15371</v>
      </c>
    </row>
    <row r="53" spans="1:3" ht="15" customHeight="1" x14ac:dyDescent="0.3">
      <c r="A53" t="s">
        <v>45</v>
      </c>
      <c r="B53" s="3">
        <v>45748</v>
      </c>
      <c r="C53">
        <v>13930</v>
      </c>
    </row>
    <row r="54" spans="1:3" ht="15" customHeight="1" x14ac:dyDescent="0.3">
      <c r="A54" t="s">
        <v>45</v>
      </c>
      <c r="B54" s="3">
        <v>45778</v>
      </c>
      <c r="C54">
        <v>15263</v>
      </c>
    </row>
    <row r="55" spans="1:3" ht="15" customHeight="1" x14ac:dyDescent="0.3">
      <c r="A55" t="s">
        <v>45</v>
      </c>
      <c r="B55" s="3">
        <v>45809</v>
      </c>
      <c r="C55">
        <v>11722.16</v>
      </c>
    </row>
    <row r="56" spans="1:3" ht="15" customHeight="1" x14ac:dyDescent="0.3">
      <c r="A56" t="s">
        <v>45</v>
      </c>
      <c r="B56" s="3">
        <v>45839</v>
      </c>
      <c r="C56">
        <v>3209</v>
      </c>
    </row>
    <row r="57" spans="1:3" ht="15" customHeight="1" x14ac:dyDescent="0.3">
      <c r="A57" t="s">
        <v>45</v>
      </c>
      <c r="B57" s="3">
        <v>45870</v>
      </c>
      <c r="C57">
        <v>11143</v>
      </c>
    </row>
    <row r="58" spans="1:3" ht="15" customHeight="1" x14ac:dyDescent="0.3">
      <c r="A58" t="s">
        <v>45</v>
      </c>
      <c r="B58" s="3">
        <v>45901</v>
      </c>
      <c r="C58">
        <v>11503</v>
      </c>
    </row>
    <row r="59" spans="1:3" ht="15" customHeight="1" x14ac:dyDescent="0.3">
      <c r="A59" t="s">
        <v>45</v>
      </c>
      <c r="B59" s="3">
        <v>45931</v>
      </c>
      <c r="C59">
        <v>12856</v>
      </c>
    </row>
    <row r="60" spans="1:3" ht="15" customHeight="1" x14ac:dyDescent="0.3">
      <c r="A60" t="s">
        <v>45</v>
      </c>
      <c r="B60" s="3">
        <v>45962</v>
      </c>
      <c r="C60">
        <v>11518</v>
      </c>
    </row>
    <row r="61" spans="1:3" ht="15" customHeight="1" x14ac:dyDescent="0.3">
      <c r="A61" t="s">
        <v>45</v>
      </c>
      <c r="B61" s="3">
        <v>45992</v>
      </c>
      <c r="C61">
        <v>12208</v>
      </c>
    </row>
    <row r="62" spans="1:3" ht="15" customHeight="1" x14ac:dyDescent="0.3">
      <c r="A62" t="s">
        <v>45</v>
      </c>
      <c r="B62" s="3">
        <v>46023</v>
      </c>
      <c r="C62">
        <v>14027</v>
      </c>
    </row>
    <row r="63" spans="1:3" ht="15" customHeight="1" x14ac:dyDescent="0.3">
      <c r="A63" t="s">
        <v>45</v>
      </c>
      <c r="B63" s="3">
        <v>46054</v>
      </c>
      <c r="C63">
        <v>12261</v>
      </c>
    </row>
    <row r="64" spans="1:3" ht="15" customHeight="1" x14ac:dyDescent="0.3">
      <c r="A64" t="s">
        <v>45</v>
      </c>
      <c r="B64" s="3">
        <v>46082</v>
      </c>
      <c r="C64">
        <v>10788</v>
      </c>
    </row>
    <row r="65" spans="1:3" ht="15" customHeight="1" x14ac:dyDescent="0.3">
      <c r="A65" t="s">
        <v>45</v>
      </c>
      <c r="B65" s="3">
        <v>46113</v>
      </c>
      <c r="C65">
        <v>9392.09</v>
      </c>
    </row>
    <row r="66" spans="1:3" ht="15" customHeight="1" x14ac:dyDescent="0.3">
      <c r="A66" t="s">
        <v>45</v>
      </c>
      <c r="B66" s="3">
        <v>46143</v>
      </c>
      <c r="C66" s="13">
        <v>11425.9</v>
      </c>
    </row>
    <row r="67" spans="1:3" ht="15" customHeight="1" x14ac:dyDescent="0.3">
      <c r="A67" t="s">
        <v>45</v>
      </c>
      <c r="B67" s="3">
        <v>46174</v>
      </c>
    </row>
    <row r="68" spans="1:3" ht="15" customHeight="1" x14ac:dyDescent="0.3">
      <c r="A68" t="s">
        <v>45</v>
      </c>
      <c r="B68" s="3">
        <v>46204</v>
      </c>
    </row>
    <row r="69" spans="1:3" ht="15" customHeight="1" x14ac:dyDescent="0.3">
      <c r="A69" t="s">
        <v>45</v>
      </c>
      <c r="B69" s="3">
        <v>46235</v>
      </c>
    </row>
    <row r="70" spans="1:3" ht="15" customHeight="1" x14ac:dyDescent="0.3">
      <c r="A70" t="s">
        <v>45</v>
      </c>
      <c r="B70" s="3">
        <v>46266</v>
      </c>
    </row>
    <row r="71" spans="1:3" ht="15" customHeight="1" x14ac:dyDescent="0.3">
      <c r="A71" t="s">
        <v>45</v>
      </c>
      <c r="B71" s="3">
        <v>46296</v>
      </c>
    </row>
    <row r="72" spans="1:3" ht="15" customHeight="1" x14ac:dyDescent="0.3">
      <c r="A72" t="s">
        <v>45</v>
      </c>
      <c r="B72" s="3">
        <v>46327</v>
      </c>
    </row>
    <row r="73" spans="1:3" ht="15" customHeight="1" x14ac:dyDescent="0.3">
      <c r="A73" t="s">
        <v>45</v>
      </c>
      <c r="B73" s="3">
        <v>46357</v>
      </c>
    </row>
    <row r="74" spans="1:3" ht="15" customHeight="1" x14ac:dyDescent="0.3">
      <c r="A74" t="s">
        <v>51</v>
      </c>
      <c r="B74" s="3">
        <v>45292</v>
      </c>
    </row>
    <row r="75" spans="1:3" ht="15" customHeight="1" x14ac:dyDescent="0.3">
      <c r="A75" t="s">
        <v>51</v>
      </c>
      <c r="B75" s="3">
        <v>45323</v>
      </c>
    </row>
    <row r="76" spans="1:3" ht="15" customHeight="1" x14ac:dyDescent="0.3">
      <c r="A76" t="s">
        <v>51</v>
      </c>
      <c r="B76" s="3">
        <v>45352</v>
      </c>
    </row>
    <row r="77" spans="1:3" ht="15" customHeight="1" x14ac:dyDescent="0.3">
      <c r="A77" t="s">
        <v>51</v>
      </c>
      <c r="B77" s="3">
        <v>45383</v>
      </c>
    </row>
    <row r="78" spans="1:3" ht="15" customHeight="1" x14ac:dyDescent="0.3">
      <c r="A78" t="s">
        <v>51</v>
      </c>
      <c r="B78" s="3">
        <v>45413</v>
      </c>
    </row>
    <row r="79" spans="1:3" ht="15" customHeight="1" x14ac:dyDescent="0.3">
      <c r="A79" t="s">
        <v>51</v>
      </c>
      <c r="B79" s="3">
        <v>45444</v>
      </c>
    </row>
    <row r="80" spans="1:3" ht="15" customHeight="1" x14ac:dyDescent="0.3">
      <c r="A80" t="s">
        <v>51</v>
      </c>
      <c r="B80" s="3">
        <v>45474</v>
      </c>
    </row>
    <row r="81" spans="1:3" ht="15" customHeight="1" x14ac:dyDescent="0.3">
      <c r="A81" t="s">
        <v>51</v>
      </c>
      <c r="B81" s="3">
        <v>45505</v>
      </c>
    </row>
    <row r="82" spans="1:3" ht="15" customHeight="1" x14ac:dyDescent="0.3">
      <c r="A82" t="s">
        <v>51</v>
      </c>
      <c r="B82" s="3">
        <v>45536</v>
      </c>
    </row>
    <row r="83" spans="1:3" ht="15" customHeight="1" x14ac:dyDescent="0.3">
      <c r="A83" t="s">
        <v>51</v>
      </c>
      <c r="B83" s="3">
        <v>45566</v>
      </c>
    </row>
    <row r="84" spans="1:3" ht="15" customHeight="1" x14ac:dyDescent="0.3">
      <c r="A84" t="s">
        <v>51</v>
      </c>
      <c r="B84" s="3">
        <v>45597</v>
      </c>
    </row>
    <row r="85" spans="1:3" ht="15" customHeight="1" x14ac:dyDescent="0.3">
      <c r="A85" t="s">
        <v>51</v>
      </c>
      <c r="B85" s="3">
        <v>45627</v>
      </c>
    </row>
    <row r="86" spans="1:3" ht="15" customHeight="1" x14ac:dyDescent="0.3">
      <c r="A86" t="s">
        <v>51</v>
      </c>
      <c r="B86" s="3">
        <v>45658</v>
      </c>
      <c r="C86">
        <v>2400</v>
      </c>
    </row>
    <row r="87" spans="1:3" ht="15" customHeight="1" x14ac:dyDescent="0.3">
      <c r="A87" t="s">
        <v>51</v>
      </c>
      <c r="B87" s="3">
        <v>45689</v>
      </c>
      <c r="C87">
        <v>3000</v>
      </c>
    </row>
    <row r="88" spans="1:3" ht="15" customHeight="1" x14ac:dyDescent="0.3">
      <c r="A88" t="s">
        <v>51</v>
      </c>
      <c r="B88" s="3">
        <v>45717</v>
      </c>
      <c r="C88">
        <v>3144</v>
      </c>
    </row>
    <row r="89" spans="1:3" ht="15" customHeight="1" x14ac:dyDescent="0.3">
      <c r="A89" t="s">
        <v>51</v>
      </c>
      <c r="B89" s="3">
        <v>45748</v>
      </c>
      <c r="C89">
        <v>2310</v>
      </c>
    </row>
    <row r="90" spans="1:3" ht="15" customHeight="1" x14ac:dyDescent="0.3">
      <c r="A90" t="s">
        <v>51</v>
      </c>
      <c r="B90" s="3">
        <v>45778</v>
      </c>
      <c r="C90">
        <v>3866</v>
      </c>
    </row>
    <row r="91" spans="1:3" ht="15" customHeight="1" x14ac:dyDescent="0.3">
      <c r="A91" t="s">
        <v>51</v>
      </c>
      <c r="B91" s="3">
        <v>45809</v>
      </c>
      <c r="C91">
        <v>3102</v>
      </c>
    </row>
    <row r="92" spans="1:3" ht="15" customHeight="1" x14ac:dyDescent="0.3">
      <c r="A92" t="s">
        <v>51</v>
      </c>
      <c r="B92" s="3">
        <v>45839</v>
      </c>
    </row>
    <row r="93" spans="1:3" ht="15" customHeight="1" x14ac:dyDescent="0.3">
      <c r="A93" t="s">
        <v>51</v>
      </c>
      <c r="B93" s="3">
        <v>45870</v>
      </c>
      <c r="C93">
        <v>4721</v>
      </c>
    </row>
    <row r="94" spans="1:3" ht="15" customHeight="1" x14ac:dyDescent="0.3">
      <c r="A94" t="s">
        <v>51</v>
      </c>
      <c r="B94" s="3">
        <v>45901</v>
      </c>
      <c r="C94">
        <v>4200</v>
      </c>
    </row>
    <row r="95" spans="1:3" ht="15" customHeight="1" x14ac:dyDescent="0.3">
      <c r="A95" t="s">
        <v>51</v>
      </c>
      <c r="B95" s="3">
        <v>45931</v>
      </c>
      <c r="C95">
        <v>3499</v>
      </c>
    </row>
    <row r="96" spans="1:3" ht="15" customHeight="1" x14ac:dyDescent="0.3">
      <c r="A96" t="s">
        <v>51</v>
      </c>
      <c r="B96" s="3">
        <v>45962</v>
      </c>
      <c r="C96">
        <v>4058</v>
      </c>
    </row>
    <row r="97" spans="1:3" ht="15" customHeight="1" x14ac:dyDescent="0.3">
      <c r="A97" t="s">
        <v>51</v>
      </c>
      <c r="B97" s="3">
        <v>45992</v>
      </c>
      <c r="C97">
        <v>3579</v>
      </c>
    </row>
    <row r="98" spans="1:3" ht="15" customHeight="1" x14ac:dyDescent="0.3">
      <c r="A98" t="s">
        <v>51</v>
      </c>
      <c r="B98" s="3">
        <v>46023</v>
      </c>
      <c r="C98">
        <v>3080</v>
      </c>
    </row>
    <row r="99" spans="1:3" ht="15" customHeight="1" x14ac:dyDescent="0.3">
      <c r="A99" t="s">
        <v>51</v>
      </c>
      <c r="B99" s="3">
        <v>46054</v>
      </c>
      <c r="C99">
        <v>3013</v>
      </c>
    </row>
    <row r="100" spans="1:3" ht="15" customHeight="1" x14ac:dyDescent="0.3">
      <c r="A100" t="s">
        <v>51</v>
      </c>
      <c r="B100" s="3">
        <v>46082</v>
      </c>
      <c r="C100">
        <v>2081</v>
      </c>
    </row>
    <row r="101" spans="1:3" ht="15" customHeight="1" x14ac:dyDescent="0.3">
      <c r="A101" t="s">
        <v>51</v>
      </c>
      <c r="B101" s="3">
        <v>46113</v>
      </c>
      <c r="C101">
        <v>4317</v>
      </c>
    </row>
    <row r="102" spans="1:3" ht="15" customHeight="1" x14ac:dyDescent="0.3">
      <c r="A102" t="s">
        <v>51</v>
      </c>
      <c r="B102" s="3">
        <v>46143</v>
      </c>
      <c r="C102" s="13">
        <v>1467</v>
      </c>
    </row>
    <row r="103" spans="1:3" ht="15" customHeight="1" x14ac:dyDescent="0.3">
      <c r="A103" t="s">
        <v>51</v>
      </c>
      <c r="B103" s="3">
        <v>46174</v>
      </c>
    </row>
    <row r="104" spans="1:3" ht="15" customHeight="1" x14ac:dyDescent="0.3">
      <c r="A104" t="s">
        <v>51</v>
      </c>
      <c r="B104" s="3">
        <v>46204</v>
      </c>
    </row>
    <row r="105" spans="1:3" ht="15" customHeight="1" x14ac:dyDescent="0.3">
      <c r="A105" t="s">
        <v>51</v>
      </c>
      <c r="B105" s="3">
        <v>46235</v>
      </c>
    </row>
    <row r="106" spans="1:3" ht="15" customHeight="1" x14ac:dyDescent="0.3">
      <c r="A106" t="s">
        <v>51</v>
      </c>
      <c r="B106" s="3">
        <v>46266</v>
      </c>
    </row>
    <row r="107" spans="1:3" ht="15" customHeight="1" x14ac:dyDescent="0.3">
      <c r="A107" t="s">
        <v>51</v>
      </c>
      <c r="B107" s="3">
        <v>46296</v>
      </c>
    </row>
    <row r="108" spans="1:3" ht="15" customHeight="1" x14ac:dyDescent="0.3">
      <c r="A108" t="s">
        <v>51</v>
      </c>
      <c r="B108" s="3">
        <v>46327</v>
      </c>
    </row>
    <row r="109" spans="1:3" ht="15" customHeight="1" x14ac:dyDescent="0.3">
      <c r="A109" t="s">
        <v>51</v>
      </c>
      <c r="B109" s="3">
        <v>46357</v>
      </c>
    </row>
    <row r="110" spans="1:3" ht="15" customHeight="1" x14ac:dyDescent="0.3">
      <c r="A110" t="s">
        <v>66</v>
      </c>
      <c r="B110" s="3">
        <v>45292</v>
      </c>
    </row>
    <row r="111" spans="1:3" ht="15" customHeight="1" x14ac:dyDescent="0.3">
      <c r="A111" t="s">
        <v>66</v>
      </c>
      <c r="B111" s="3">
        <v>45323</v>
      </c>
    </row>
    <row r="112" spans="1:3" ht="15" customHeight="1" x14ac:dyDescent="0.3">
      <c r="A112" t="s">
        <v>66</v>
      </c>
      <c r="B112" s="3">
        <v>45352</v>
      </c>
    </row>
    <row r="113" spans="1:3" ht="15" customHeight="1" x14ac:dyDescent="0.3">
      <c r="A113" t="s">
        <v>66</v>
      </c>
      <c r="B113" s="3">
        <v>45383</v>
      </c>
    </row>
    <row r="114" spans="1:3" ht="15" customHeight="1" x14ac:dyDescent="0.3">
      <c r="A114" t="s">
        <v>66</v>
      </c>
      <c r="B114" s="3">
        <v>45413</v>
      </c>
    </row>
    <row r="115" spans="1:3" ht="15" customHeight="1" x14ac:dyDescent="0.3">
      <c r="A115" t="s">
        <v>66</v>
      </c>
      <c r="B115" s="3">
        <v>45444</v>
      </c>
    </row>
    <row r="116" spans="1:3" ht="15" customHeight="1" x14ac:dyDescent="0.3">
      <c r="A116" t="s">
        <v>66</v>
      </c>
      <c r="B116" s="3">
        <v>45474</v>
      </c>
    </row>
    <row r="117" spans="1:3" ht="15" customHeight="1" x14ac:dyDescent="0.3">
      <c r="A117" t="s">
        <v>66</v>
      </c>
      <c r="B117" s="3">
        <v>45505</v>
      </c>
    </row>
    <row r="118" spans="1:3" ht="15" customHeight="1" x14ac:dyDescent="0.3">
      <c r="A118" t="s">
        <v>66</v>
      </c>
      <c r="B118" s="3">
        <v>45536</v>
      </c>
    </row>
    <row r="119" spans="1:3" ht="15" customHeight="1" x14ac:dyDescent="0.3">
      <c r="A119" t="s">
        <v>66</v>
      </c>
      <c r="B119" s="3">
        <v>45566</v>
      </c>
    </row>
    <row r="120" spans="1:3" ht="15" customHeight="1" x14ac:dyDescent="0.3">
      <c r="A120" t="s">
        <v>66</v>
      </c>
      <c r="B120" s="3">
        <v>45597</v>
      </c>
    </row>
    <row r="121" spans="1:3" ht="15" customHeight="1" x14ac:dyDescent="0.3">
      <c r="A121" t="s">
        <v>66</v>
      </c>
      <c r="B121" s="3">
        <v>45627</v>
      </c>
    </row>
    <row r="122" spans="1:3" ht="15" customHeight="1" x14ac:dyDescent="0.3">
      <c r="A122" t="s">
        <v>66</v>
      </c>
      <c r="B122" s="3">
        <v>45658</v>
      </c>
      <c r="C122">
        <v>5900</v>
      </c>
    </row>
    <row r="123" spans="1:3" ht="15" customHeight="1" x14ac:dyDescent="0.3">
      <c r="A123" t="s">
        <v>66</v>
      </c>
      <c r="B123" s="3">
        <v>45689</v>
      </c>
      <c r="C123">
        <v>4277</v>
      </c>
    </row>
    <row r="124" spans="1:3" ht="15" customHeight="1" x14ac:dyDescent="0.3">
      <c r="A124" t="s">
        <v>66</v>
      </c>
      <c r="B124" s="3">
        <v>45717</v>
      </c>
      <c r="C124">
        <v>4770</v>
      </c>
    </row>
    <row r="125" spans="1:3" ht="15" customHeight="1" x14ac:dyDescent="0.3">
      <c r="A125" t="s">
        <v>66</v>
      </c>
      <c r="B125" s="3">
        <v>45748</v>
      </c>
      <c r="C125">
        <v>3375</v>
      </c>
    </row>
    <row r="126" spans="1:3" ht="15" customHeight="1" x14ac:dyDescent="0.3">
      <c r="A126" t="s">
        <v>66</v>
      </c>
      <c r="B126" s="3">
        <v>45778</v>
      </c>
      <c r="C126">
        <v>3507</v>
      </c>
    </row>
    <row r="127" spans="1:3" ht="15" customHeight="1" x14ac:dyDescent="0.3">
      <c r="A127" t="s">
        <v>66</v>
      </c>
      <c r="B127" s="3">
        <v>45809</v>
      </c>
      <c r="C127">
        <v>2400</v>
      </c>
    </row>
    <row r="128" spans="1:3" ht="15" customHeight="1" x14ac:dyDescent="0.3">
      <c r="A128" t="s">
        <v>66</v>
      </c>
      <c r="B128" s="3">
        <v>45839</v>
      </c>
      <c r="C128">
        <v>2169</v>
      </c>
    </row>
    <row r="129" spans="1:3" ht="15" customHeight="1" x14ac:dyDescent="0.3">
      <c r="A129" t="s">
        <v>66</v>
      </c>
      <c r="B129" s="3">
        <v>45870</v>
      </c>
      <c r="C129">
        <v>968.6</v>
      </c>
    </row>
    <row r="130" spans="1:3" ht="15" customHeight="1" x14ac:dyDescent="0.3">
      <c r="A130" t="s">
        <v>66</v>
      </c>
      <c r="B130" s="3">
        <v>45901</v>
      </c>
      <c r="C130">
        <v>2001.5</v>
      </c>
    </row>
    <row r="131" spans="1:3" ht="15" customHeight="1" x14ac:dyDescent="0.3">
      <c r="A131" t="s">
        <v>66</v>
      </c>
      <c r="B131" s="3">
        <v>45931</v>
      </c>
      <c r="C131">
        <v>3111</v>
      </c>
    </row>
    <row r="132" spans="1:3" ht="15" customHeight="1" x14ac:dyDescent="0.3">
      <c r="A132" t="s">
        <v>66</v>
      </c>
      <c r="B132" s="3">
        <v>45962</v>
      </c>
      <c r="C132">
        <v>1605</v>
      </c>
    </row>
    <row r="133" spans="1:3" ht="15" customHeight="1" x14ac:dyDescent="0.3">
      <c r="A133" t="s">
        <v>66</v>
      </c>
      <c r="B133" s="3">
        <v>45992</v>
      </c>
    </row>
    <row r="134" spans="1:3" ht="15" customHeight="1" x14ac:dyDescent="0.3">
      <c r="A134" t="s">
        <v>66</v>
      </c>
      <c r="B134" s="3">
        <v>46023</v>
      </c>
    </row>
    <row r="135" spans="1:3" ht="15" customHeight="1" x14ac:dyDescent="0.3">
      <c r="A135" t="s">
        <v>66</v>
      </c>
      <c r="B135" s="3">
        <v>46054</v>
      </c>
      <c r="C135">
        <v>6068</v>
      </c>
    </row>
    <row r="136" spans="1:3" ht="15" customHeight="1" x14ac:dyDescent="0.3">
      <c r="A136" t="s">
        <v>66</v>
      </c>
      <c r="B136" s="3">
        <v>46082</v>
      </c>
      <c r="C136">
        <v>4800</v>
      </c>
    </row>
    <row r="137" spans="1:3" ht="15" customHeight="1" x14ac:dyDescent="0.3">
      <c r="A137" t="s">
        <v>66</v>
      </c>
      <c r="B137" s="3">
        <v>46113</v>
      </c>
      <c r="C137">
        <v>4318</v>
      </c>
    </row>
    <row r="138" spans="1:3" ht="15" customHeight="1" x14ac:dyDescent="0.3">
      <c r="A138" t="s">
        <v>66</v>
      </c>
      <c r="B138" s="3">
        <v>46143</v>
      </c>
      <c r="C138" s="13">
        <v>3727.7</v>
      </c>
    </row>
    <row r="139" spans="1:3" ht="15" customHeight="1" x14ac:dyDescent="0.3">
      <c r="A139" t="s">
        <v>66</v>
      </c>
      <c r="B139" s="3">
        <v>46174</v>
      </c>
    </row>
    <row r="140" spans="1:3" ht="15" customHeight="1" x14ac:dyDescent="0.3">
      <c r="A140" t="s">
        <v>66</v>
      </c>
      <c r="B140" s="3">
        <v>46204</v>
      </c>
    </row>
    <row r="141" spans="1:3" ht="15" customHeight="1" x14ac:dyDescent="0.3">
      <c r="A141" t="s">
        <v>66</v>
      </c>
      <c r="B141" s="3">
        <v>46235</v>
      </c>
    </row>
    <row r="142" spans="1:3" ht="15" customHeight="1" x14ac:dyDescent="0.3">
      <c r="A142" t="s">
        <v>66</v>
      </c>
      <c r="B142" s="3">
        <v>46266</v>
      </c>
    </row>
    <row r="143" spans="1:3" ht="15" customHeight="1" x14ac:dyDescent="0.3">
      <c r="A143" t="s">
        <v>66</v>
      </c>
      <c r="B143" s="3">
        <v>46296</v>
      </c>
    </row>
    <row r="144" spans="1:3" ht="15" customHeight="1" x14ac:dyDescent="0.3">
      <c r="A144" t="s">
        <v>66</v>
      </c>
      <c r="B144" s="3">
        <v>46327</v>
      </c>
    </row>
    <row r="145" spans="1:3" ht="15" customHeight="1" x14ac:dyDescent="0.3">
      <c r="A145" t="s">
        <v>66</v>
      </c>
      <c r="B145" s="3">
        <v>46357</v>
      </c>
    </row>
    <row r="146" spans="1:3" ht="15" customHeight="1" x14ac:dyDescent="0.3">
      <c r="A146" t="s">
        <v>57</v>
      </c>
      <c r="B146" s="3">
        <v>45292</v>
      </c>
      <c r="C146">
        <v>7453</v>
      </c>
    </row>
    <row r="147" spans="1:3" ht="15" customHeight="1" x14ac:dyDescent="0.3">
      <c r="A147" t="s">
        <v>57</v>
      </c>
      <c r="B147" s="3">
        <v>45323</v>
      </c>
      <c r="C147">
        <v>10174</v>
      </c>
    </row>
    <row r="148" spans="1:3" ht="15" customHeight="1" x14ac:dyDescent="0.3">
      <c r="A148" t="s">
        <v>57</v>
      </c>
      <c r="B148" s="3">
        <v>45352</v>
      </c>
      <c r="C148">
        <v>12197</v>
      </c>
    </row>
    <row r="149" spans="1:3" ht="15" customHeight="1" x14ac:dyDescent="0.3">
      <c r="A149" t="s">
        <v>57</v>
      </c>
      <c r="B149" s="3">
        <v>45383</v>
      </c>
      <c r="C149">
        <v>9850</v>
      </c>
    </row>
    <row r="150" spans="1:3" ht="15" customHeight="1" x14ac:dyDescent="0.3">
      <c r="A150" t="s">
        <v>57</v>
      </c>
      <c r="B150" s="3">
        <v>45413</v>
      </c>
      <c r="C150">
        <v>10329</v>
      </c>
    </row>
    <row r="151" spans="1:3" ht="15" customHeight="1" x14ac:dyDescent="0.3">
      <c r="A151" t="s">
        <v>57</v>
      </c>
      <c r="B151" s="3">
        <v>45444</v>
      </c>
      <c r="C151">
        <v>9684</v>
      </c>
    </row>
    <row r="152" spans="1:3" ht="15" customHeight="1" x14ac:dyDescent="0.3">
      <c r="A152" t="s">
        <v>57</v>
      </c>
      <c r="B152" s="3">
        <v>45474</v>
      </c>
      <c r="C152">
        <v>10193</v>
      </c>
    </row>
    <row r="153" spans="1:3" ht="15" customHeight="1" x14ac:dyDescent="0.3">
      <c r="A153" t="s">
        <v>57</v>
      </c>
      <c r="B153" s="3">
        <v>45505</v>
      </c>
      <c r="C153">
        <v>9840</v>
      </c>
    </row>
    <row r="154" spans="1:3" ht="15" customHeight="1" x14ac:dyDescent="0.3">
      <c r="A154" t="s">
        <v>57</v>
      </c>
      <c r="B154" s="3">
        <v>45536</v>
      </c>
      <c r="C154">
        <v>3277</v>
      </c>
    </row>
    <row r="155" spans="1:3" ht="15" customHeight="1" x14ac:dyDescent="0.3">
      <c r="A155" t="s">
        <v>57</v>
      </c>
      <c r="B155" s="3">
        <v>45566</v>
      </c>
      <c r="C155">
        <v>12496</v>
      </c>
    </row>
    <row r="156" spans="1:3" ht="15" customHeight="1" x14ac:dyDescent="0.3">
      <c r="A156" t="s">
        <v>57</v>
      </c>
      <c r="B156" s="3">
        <v>45597</v>
      </c>
      <c r="C156">
        <v>12909</v>
      </c>
    </row>
    <row r="157" spans="1:3" ht="15" customHeight="1" x14ac:dyDescent="0.3">
      <c r="A157" t="s">
        <v>57</v>
      </c>
      <c r="B157" s="3">
        <v>45627</v>
      </c>
      <c r="C157">
        <v>12587</v>
      </c>
    </row>
    <row r="158" spans="1:3" ht="15" customHeight="1" x14ac:dyDescent="0.3">
      <c r="A158" t="s">
        <v>57</v>
      </c>
      <c r="B158" s="3">
        <v>45658</v>
      </c>
      <c r="C158">
        <v>13816</v>
      </c>
    </row>
    <row r="159" spans="1:3" ht="15" customHeight="1" x14ac:dyDescent="0.3">
      <c r="A159" t="s">
        <v>57</v>
      </c>
      <c r="B159" s="3">
        <v>45689</v>
      </c>
      <c r="C159">
        <v>11397</v>
      </c>
    </row>
    <row r="160" spans="1:3" ht="15" customHeight="1" x14ac:dyDescent="0.3">
      <c r="A160" t="s">
        <v>57</v>
      </c>
      <c r="B160" s="3">
        <v>45717</v>
      </c>
      <c r="C160">
        <v>12740</v>
      </c>
    </row>
    <row r="161" spans="1:3" ht="15" customHeight="1" x14ac:dyDescent="0.3">
      <c r="A161" t="s">
        <v>57</v>
      </c>
      <c r="B161" s="3">
        <v>45748</v>
      </c>
      <c r="C161">
        <v>9167</v>
      </c>
    </row>
    <row r="162" spans="1:3" ht="15" customHeight="1" x14ac:dyDescent="0.3">
      <c r="A162" t="s">
        <v>57</v>
      </c>
      <c r="B162" s="3">
        <v>45778</v>
      </c>
      <c r="C162">
        <v>9630</v>
      </c>
    </row>
    <row r="163" spans="1:3" ht="15" customHeight="1" x14ac:dyDescent="0.3">
      <c r="A163" t="s">
        <v>57</v>
      </c>
      <c r="B163" s="3">
        <v>45809</v>
      </c>
      <c r="C163">
        <v>9081.44</v>
      </c>
    </row>
    <row r="164" spans="1:3" ht="15" customHeight="1" x14ac:dyDescent="0.3">
      <c r="A164" t="s">
        <v>57</v>
      </c>
      <c r="B164" s="3">
        <v>45839</v>
      </c>
      <c r="C164">
        <v>9450</v>
      </c>
    </row>
    <row r="165" spans="1:3" ht="15" customHeight="1" x14ac:dyDescent="0.3">
      <c r="A165" t="s">
        <v>57</v>
      </c>
      <c r="B165" s="3">
        <v>45870</v>
      </c>
      <c r="C165">
        <v>10695</v>
      </c>
    </row>
    <row r="166" spans="1:3" ht="15" customHeight="1" x14ac:dyDescent="0.3">
      <c r="A166" t="s">
        <v>57</v>
      </c>
      <c r="B166" s="3">
        <v>45901</v>
      </c>
      <c r="C166">
        <v>8585</v>
      </c>
    </row>
    <row r="167" spans="1:3" ht="15" customHeight="1" x14ac:dyDescent="0.3">
      <c r="A167" t="s">
        <v>57</v>
      </c>
      <c r="B167" s="3">
        <v>45931</v>
      </c>
      <c r="C167">
        <v>9077.9</v>
      </c>
    </row>
    <row r="168" spans="1:3" ht="15" customHeight="1" x14ac:dyDescent="0.3">
      <c r="A168" t="s">
        <v>57</v>
      </c>
      <c r="B168" s="3">
        <v>45962</v>
      </c>
      <c r="C168">
        <v>10382</v>
      </c>
    </row>
    <row r="169" spans="1:3" ht="15" customHeight="1" x14ac:dyDescent="0.3">
      <c r="A169" t="s">
        <v>57</v>
      </c>
      <c r="B169" s="3">
        <v>45992</v>
      </c>
      <c r="C169">
        <v>13631</v>
      </c>
    </row>
    <row r="170" spans="1:3" ht="15" customHeight="1" x14ac:dyDescent="0.3">
      <c r="A170" t="s">
        <v>57</v>
      </c>
      <c r="B170" s="3">
        <v>46023</v>
      </c>
      <c r="C170">
        <v>11296</v>
      </c>
    </row>
    <row r="171" spans="1:3" ht="15" customHeight="1" x14ac:dyDescent="0.3">
      <c r="A171" t="s">
        <v>57</v>
      </c>
      <c r="B171" s="3">
        <v>46054</v>
      </c>
      <c r="C171">
        <v>11241.78046</v>
      </c>
    </row>
    <row r="172" spans="1:3" ht="15" customHeight="1" x14ac:dyDescent="0.3">
      <c r="A172" t="s">
        <v>57</v>
      </c>
      <c r="B172" s="3">
        <v>46082</v>
      </c>
      <c r="C172">
        <v>10628</v>
      </c>
    </row>
    <row r="173" spans="1:3" ht="15" customHeight="1" x14ac:dyDescent="0.3">
      <c r="A173" t="s">
        <v>57</v>
      </c>
      <c r="B173" s="3">
        <v>46113</v>
      </c>
      <c r="C173">
        <v>8541.19</v>
      </c>
    </row>
    <row r="174" spans="1:3" ht="15" customHeight="1" x14ac:dyDescent="0.3">
      <c r="A174" t="s">
        <v>57</v>
      </c>
      <c r="B174" s="3">
        <v>46143</v>
      </c>
      <c r="C174" s="13">
        <v>9563.61</v>
      </c>
    </row>
    <row r="175" spans="1:3" ht="15" customHeight="1" x14ac:dyDescent="0.3">
      <c r="A175" t="s">
        <v>57</v>
      </c>
      <c r="B175" s="3">
        <v>46174</v>
      </c>
    </row>
    <row r="176" spans="1:3" ht="15" customHeight="1" x14ac:dyDescent="0.3">
      <c r="A176" t="s">
        <v>57</v>
      </c>
      <c r="B176" s="3">
        <v>46204</v>
      </c>
    </row>
    <row r="177" spans="1:3" ht="15" customHeight="1" x14ac:dyDescent="0.3">
      <c r="A177" t="s">
        <v>57</v>
      </c>
      <c r="B177" s="3">
        <v>46235</v>
      </c>
    </row>
    <row r="178" spans="1:3" ht="15" customHeight="1" x14ac:dyDescent="0.3">
      <c r="A178" t="s">
        <v>57</v>
      </c>
      <c r="B178" s="3">
        <v>46266</v>
      </c>
    </row>
    <row r="179" spans="1:3" ht="15" customHeight="1" x14ac:dyDescent="0.3">
      <c r="A179" t="s">
        <v>57</v>
      </c>
      <c r="B179" s="3">
        <v>46296</v>
      </c>
    </row>
    <row r="180" spans="1:3" ht="15" customHeight="1" x14ac:dyDescent="0.3">
      <c r="A180" t="s">
        <v>57</v>
      </c>
      <c r="B180" s="3">
        <v>46327</v>
      </c>
    </row>
    <row r="181" spans="1:3" ht="15" customHeight="1" x14ac:dyDescent="0.3">
      <c r="A181" t="s">
        <v>57</v>
      </c>
      <c r="B181" s="3">
        <v>46357</v>
      </c>
    </row>
    <row r="182" spans="1:3" ht="15" customHeight="1" x14ac:dyDescent="0.3">
      <c r="A182" t="s">
        <v>62</v>
      </c>
      <c r="B182" s="3">
        <v>45292</v>
      </c>
      <c r="C182">
        <v>55000</v>
      </c>
    </row>
    <row r="183" spans="1:3" ht="15" customHeight="1" x14ac:dyDescent="0.3">
      <c r="A183" t="s">
        <v>62</v>
      </c>
      <c r="B183" s="3">
        <v>45323</v>
      </c>
      <c r="C183">
        <v>46799</v>
      </c>
    </row>
    <row r="184" spans="1:3" ht="15" customHeight="1" x14ac:dyDescent="0.3">
      <c r="A184" t="s">
        <v>62</v>
      </c>
      <c r="B184" s="3">
        <v>45352</v>
      </c>
      <c r="C184">
        <v>40582</v>
      </c>
    </row>
    <row r="185" spans="1:3" ht="15" customHeight="1" x14ac:dyDescent="0.3">
      <c r="A185" t="s">
        <v>62</v>
      </c>
      <c r="B185" s="3">
        <v>45383</v>
      </c>
      <c r="C185">
        <v>39615</v>
      </c>
    </row>
    <row r="186" spans="1:3" ht="15" customHeight="1" x14ac:dyDescent="0.3">
      <c r="A186" t="s">
        <v>62</v>
      </c>
      <c r="B186" s="3">
        <v>45413</v>
      </c>
      <c r="C186">
        <v>39494</v>
      </c>
    </row>
    <row r="187" spans="1:3" ht="15" customHeight="1" x14ac:dyDescent="0.3">
      <c r="A187" t="s">
        <v>62</v>
      </c>
      <c r="B187" s="3">
        <v>45444</v>
      </c>
      <c r="C187">
        <v>35378</v>
      </c>
    </row>
    <row r="188" spans="1:3" ht="15" customHeight="1" x14ac:dyDescent="0.3">
      <c r="A188" t="s">
        <v>62</v>
      </c>
      <c r="B188" s="3">
        <v>45474</v>
      </c>
      <c r="C188">
        <v>38293</v>
      </c>
    </row>
    <row r="189" spans="1:3" ht="15" customHeight="1" x14ac:dyDescent="0.3">
      <c r="A189" t="s">
        <v>62</v>
      </c>
      <c r="B189" s="3">
        <v>45505</v>
      </c>
      <c r="C189">
        <v>38554</v>
      </c>
    </row>
    <row r="190" spans="1:3" ht="15" customHeight="1" x14ac:dyDescent="0.3">
      <c r="A190" t="s">
        <v>62</v>
      </c>
      <c r="B190" s="3">
        <v>45536</v>
      </c>
      <c r="C190">
        <v>37782</v>
      </c>
    </row>
    <row r="191" spans="1:3" ht="15" customHeight="1" x14ac:dyDescent="0.3">
      <c r="A191" t="s">
        <v>62</v>
      </c>
      <c r="B191" s="3">
        <v>45566</v>
      </c>
      <c r="C191">
        <v>47662</v>
      </c>
    </row>
    <row r="192" spans="1:3" ht="15" customHeight="1" x14ac:dyDescent="0.3">
      <c r="A192" t="s">
        <v>62</v>
      </c>
      <c r="B192" s="3">
        <v>45597</v>
      </c>
      <c r="C192">
        <v>48184</v>
      </c>
    </row>
    <row r="193" spans="1:3" ht="15" customHeight="1" x14ac:dyDescent="0.3">
      <c r="A193" t="s">
        <v>62</v>
      </c>
      <c r="B193" s="3">
        <v>45627</v>
      </c>
      <c r="C193">
        <v>44138</v>
      </c>
    </row>
    <row r="194" spans="1:3" ht="15" customHeight="1" x14ac:dyDescent="0.3">
      <c r="A194" t="s">
        <v>62</v>
      </c>
      <c r="B194" s="3">
        <v>45658</v>
      </c>
      <c r="C194">
        <v>52262</v>
      </c>
    </row>
    <row r="195" spans="1:3" ht="15" customHeight="1" x14ac:dyDescent="0.3">
      <c r="A195" t="s">
        <v>62</v>
      </c>
      <c r="B195" s="3">
        <v>45689</v>
      </c>
      <c r="C195">
        <v>40904</v>
      </c>
    </row>
    <row r="196" spans="1:3" ht="15" customHeight="1" x14ac:dyDescent="0.3">
      <c r="A196" t="s">
        <v>62</v>
      </c>
      <c r="B196" s="3">
        <v>45717</v>
      </c>
      <c r="C196">
        <v>45751</v>
      </c>
    </row>
    <row r="197" spans="1:3" ht="15" customHeight="1" x14ac:dyDescent="0.3">
      <c r="A197" t="s">
        <v>62</v>
      </c>
      <c r="B197" s="3">
        <v>45748</v>
      </c>
      <c r="C197">
        <v>30758</v>
      </c>
    </row>
    <row r="198" spans="1:3" ht="15" customHeight="1" x14ac:dyDescent="0.3">
      <c r="A198" t="s">
        <v>62</v>
      </c>
      <c r="B198" s="3">
        <v>45778</v>
      </c>
      <c r="C198">
        <v>34925</v>
      </c>
    </row>
    <row r="199" spans="1:3" ht="15" customHeight="1" x14ac:dyDescent="0.3">
      <c r="A199" t="s">
        <v>62</v>
      </c>
      <c r="B199" s="3">
        <v>45809</v>
      </c>
      <c r="C199">
        <v>29716.71</v>
      </c>
    </row>
    <row r="200" spans="1:3" ht="15" customHeight="1" x14ac:dyDescent="0.3">
      <c r="A200" t="s">
        <v>62</v>
      </c>
      <c r="B200" s="3">
        <v>45839</v>
      </c>
      <c r="C200">
        <v>27958</v>
      </c>
    </row>
    <row r="201" spans="1:3" ht="15" customHeight="1" x14ac:dyDescent="0.3">
      <c r="A201" t="s">
        <v>62</v>
      </c>
      <c r="B201" s="3">
        <v>45870</v>
      </c>
      <c r="C201">
        <v>30682</v>
      </c>
    </row>
    <row r="202" spans="1:3" ht="15" customHeight="1" x14ac:dyDescent="0.3">
      <c r="A202" t="s">
        <v>62</v>
      </c>
      <c r="B202" s="3">
        <v>45901</v>
      </c>
      <c r="C202">
        <v>44171</v>
      </c>
    </row>
    <row r="203" spans="1:3" ht="15" customHeight="1" x14ac:dyDescent="0.3">
      <c r="A203" t="s">
        <v>62</v>
      </c>
      <c r="B203" s="3">
        <v>45931</v>
      </c>
      <c r="C203">
        <v>53279</v>
      </c>
    </row>
    <row r="204" spans="1:3" ht="15" customHeight="1" x14ac:dyDescent="0.3">
      <c r="A204" t="s">
        <v>62</v>
      </c>
      <c r="B204" s="3">
        <v>45962</v>
      </c>
      <c r="C204">
        <v>44434</v>
      </c>
    </row>
    <row r="205" spans="1:3" ht="15" customHeight="1" x14ac:dyDescent="0.3">
      <c r="A205" t="s">
        <v>62</v>
      </c>
      <c r="B205" s="3">
        <v>45992</v>
      </c>
      <c r="C205">
        <v>54661</v>
      </c>
    </row>
    <row r="206" spans="1:3" ht="15" customHeight="1" x14ac:dyDescent="0.3">
      <c r="A206" t="s">
        <v>62</v>
      </c>
      <c r="B206" s="3">
        <v>46023</v>
      </c>
      <c r="C206">
        <v>47457</v>
      </c>
    </row>
    <row r="207" spans="1:3" ht="15" customHeight="1" x14ac:dyDescent="0.3">
      <c r="A207" t="s">
        <v>62</v>
      </c>
      <c r="B207" s="3">
        <v>46054</v>
      </c>
      <c r="C207">
        <v>49608.853320000002</v>
      </c>
    </row>
    <row r="208" spans="1:3" ht="15" customHeight="1" x14ac:dyDescent="0.3">
      <c r="A208" t="s">
        <v>62</v>
      </c>
      <c r="B208" s="3">
        <v>46082</v>
      </c>
      <c r="C208">
        <v>41208</v>
      </c>
    </row>
    <row r="209" spans="1:3" ht="15" customHeight="1" x14ac:dyDescent="0.3">
      <c r="A209" t="s">
        <v>62</v>
      </c>
      <c r="B209" s="3">
        <v>46113</v>
      </c>
      <c r="C209">
        <v>36936.35</v>
      </c>
    </row>
    <row r="210" spans="1:3" ht="15" customHeight="1" x14ac:dyDescent="0.3">
      <c r="A210" t="s">
        <v>62</v>
      </c>
      <c r="B210" s="3">
        <v>46143</v>
      </c>
      <c r="C210" s="13">
        <v>38743.019999999997</v>
      </c>
    </row>
    <row r="211" spans="1:3" ht="15" customHeight="1" x14ac:dyDescent="0.3">
      <c r="A211" t="s">
        <v>62</v>
      </c>
      <c r="B211" s="3">
        <v>46174</v>
      </c>
    </row>
    <row r="212" spans="1:3" ht="15" customHeight="1" x14ac:dyDescent="0.3">
      <c r="A212" t="s">
        <v>62</v>
      </c>
      <c r="B212" s="3">
        <v>46204</v>
      </c>
    </row>
    <row r="213" spans="1:3" ht="15" customHeight="1" x14ac:dyDescent="0.3">
      <c r="A213" t="s">
        <v>62</v>
      </c>
      <c r="B213" s="3">
        <v>46235</v>
      </c>
    </row>
    <row r="214" spans="1:3" ht="15" customHeight="1" x14ac:dyDescent="0.3">
      <c r="A214" t="s">
        <v>62</v>
      </c>
      <c r="B214" s="3">
        <v>46266</v>
      </c>
    </row>
    <row r="215" spans="1:3" ht="15" customHeight="1" x14ac:dyDescent="0.3">
      <c r="A215" t="s">
        <v>62</v>
      </c>
      <c r="B215" s="3">
        <v>46296</v>
      </c>
    </row>
    <row r="216" spans="1:3" ht="15" customHeight="1" x14ac:dyDescent="0.3">
      <c r="A216" t="s">
        <v>62</v>
      </c>
      <c r="B216" s="3">
        <v>46327</v>
      </c>
    </row>
    <row r="217" spans="1:3" ht="15" customHeight="1" x14ac:dyDescent="0.3">
      <c r="A217" t="s">
        <v>62</v>
      </c>
      <c r="B217" s="3">
        <v>46357</v>
      </c>
    </row>
    <row r="218" spans="1:3" ht="15" customHeight="1" x14ac:dyDescent="0.3">
      <c r="A218" t="s">
        <v>63</v>
      </c>
      <c r="B218" s="3">
        <v>45292</v>
      </c>
      <c r="C218">
        <v>8244</v>
      </c>
    </row>
    <row r="219" spans="1:3" ht="15" customHeight="1" x14ac:dyDescent="0.3">
      <c r="A219" t="s">
        <v>63</v>
      </c>
      <c r="B219" s="3">
        <v>45323</v>
      </c>
      <c r="C219">
        <v>7277</v>
      </c>
    </row>
    <row r="220" spans="1:3" ht="15" customHeight="1" x14ac:dyDescent="0.3">
      <c r="A220" t="s">
        <v>63</v>
      </c>
      <c r="B220" s="3">
        <v>45352</v>
      </c>
      <c r="C220">
        <v>6614</v>
      </c>
    </row>
    <row r="221" spans="1:3" ht="15" customHeight="1" x14ac:dyDescent="0.3">
      <c r="A221" t="s">
        <v>63</v>
      </c>
      <c r="B221" s="3">
        <v>45383</v>
      </c>
      <c r="C221">
        <v>4053</v>
      </c>
    </row>
    <row r="222" spans="1:3" ht="15" customHeight="1" x14ac:dyDescent="0.3">
      <c r="A222" t="s">
        <v>63</v>
      </c>
      <c r="B222" s="3">
        <v>45413</v>
      </c>
      <c r="C222">
        <v>3743</v>
      </c>
    </row>
    <row r="223" spans="1:3" ht="15" customHeight="1" x14ac:dyDescent="0.3">
      <c r="A223" t="s">
        <v>63</v>
      </c>
      <c r="B223" s="3">
        <v>45444</v>
      </c>
      <c r="C223">
        <v>3473</v>
      </c>
    </row>
    <row r="224" spans="1:3" ht="15" customHeight="1" x14ac:dyDescent="0.3">
      <c r="A224" t="s">
        <v>63</v>
      </c>
      <c r="B224" s="3">
        <v>45474</v>
      </c>
      <c r="C224">
        <v>4260</v>
      </c>
    </row>
    <row r="225" spans="1:3" ht="15" customHeight="1" x14ac:dyDescent="0.3">
      <c r="A225" t="s">
        <v>63</v>
      </c>
      <c r="B225" s="3">
        <v>45505</v>
      </c>
      <c r="C225">
        <v>5497</v>
      </c>
    </row>
    <row r="226" spans="1:3" ht="15" customHeight="1" x14ac:dyDescent="0.3">
      <c r="A226" t="s">
        <v>63</v>
      </c>
      <c r="B226" s="3">
        <v>45536</v>
      </c>
      <c r="C226">
        <v>2600</v>
      </c>
    </row>
    <row r="227" spans="1:3" ht="15" customHeight="1" x14ac:dyDescent="0.3">
      <c r="A227" t="s">
        <v>63</v>
      </c>
      <c r="B227" s="3">
        <v>45566</v>
      </c>
      <c r="C227">
        <v>8200</v>
      </c>
    </row>
    <row r="228" spans="1:3" ht="15" customHeight="1" x14ac:dyDescent="0.3">
      <c r="A228" t="s">
        <v>63</v>
      </c>
      <c r="B228" s="3">
        <v>45597</v>
      </c>
      <c r="C228">
        <v>6700</v>
      </c>
    </row>
    <row r="229" spans="1:3" ht="15" customHeight="1" x14ac:dyDescent="0.3">
      <c r="A229" t="s">
        <v>63</v>
      </c>
      <c r="B229" s="3">
        <v>45627</v>
      </c>
      <c r="C229">
        <v>8100</v>
      </c>
    </row>
    <row r="230" spans="1:3" ht="15" customHeight="1" x14ac:dyDescent="0.3">
      <c r="A230" t="s">
        <v>63</v>
      </c>
      <c r="B230" s="3">
        <v>45658</v>
      </c>
      <c r="C230">
        <v>9900</v>
      </c>
    </row>
    <row r="231" spans="1:3" ht="15" customHeight="1" x14ac:dyDescent="0.3">
      <c r="A231" t="s">
        <v>63</v>
      </c>
      <c r="B231" s="3">
        <v>45689</v>
      </c>
      <c r="C231">
        <v>9200</v>
      </c>
    </row>
    <row r="232" spans="1:3" ht="15" customHeight="1" x14ac:dyDescent="0.3">
      <c r="A232" t="s">
        <v>63</v>
      </c>
      <c r="B232" s="3">
        <v>45717</v>
      </c>
      <c r="C232">
        <v>4480</v>
      </c>
    </row>
    <row r="233" spans="1:3" ht="15" customHeight="1" x14ac:dyDescent="0.3">
      <c r="A233" t="s">
        <v>63</v>
      </c>
      <c r="B233" s="3">
        <v>45748</v>
      </c>
      <c r="C233">
        <v>4096</v>
      </c>
    </row>
    <row r="234" spans="1:3" ht="15" customHeight="1" x14ac:dyDescent="0.3">
      <c r="A234" t="s">
        <v>63</v>
      </c>
      <c r="B234" s="3">
        <v>45778</v>
      </c>
      <c r="C234">
        <v>3388</v>
      </c>
    </row>
    <row r="235" spans="1:3" ht="15" customHeight="1" x14ac:dyDescent="0.3">
      <c r="A235" t="s">
        <v>63</v>
      </c>
      <c r="B235" s="3">
        <v>45809</v>
      </c>
      <c r="C235">
        <v>2306.13</v>
      </c>
    </row>
    <row r="236" spans="1:3" ht="15" customHeight="1" x14ac:dyDescent="0.3">
      <c r="A236" t="s">
        <v>63</v>
      </c>
      <c r="B236" s="3">
        <v>45839</v>
      </c>
      <c r="C236">
        <v>2919</v>
      </c>
    </row>
    <row r="237" spans="1:3" ht="15" customHeight="1" x14ac:dyDescent="0.3">
      <c r="A237" t="s">
        <v>63</v>
      </c>
      <c r="B237" s="3">
        <v>45870</v>
      </c>
      <c r="C237">
        <v>5355</v>
      </c>
    </row>
    <row r="238" spans="1:3" ht="15" customHeight="1" x14ac:dyDescent="0.3">
      <c r="A238" t="s">
        <v>63</v>
      </c>
      <c r="B238" s="3">
        <v>45901</v>
      </c>
      <c r="C238">
        <v>8600</v>
      </c>
    </row>
    <row r="239" spans="1:3" ht="15" customHeight="1" x14ac:dyDescent="0.3">
      <c r="A239" t="s">
        <v>63</v>
      </c>
      <c r="B239" s="3">
        <v>45931</v>
      </c>
      <c r="C239">
        <v>10599</v>
      </c>
    </row>
    <row r="240" spans="1:3" ht="15" customHeight="1" x14ac:dyDescent="0.3">
      <c r="A240" t="s">
        <v>63</v>
      </c>
      <c r="B240" s="3">
        <v>45962</v>
      </c>
      <c r="C240">
        <v>12569</v>
      </c>
    </row>
    <row r="241" spans="1:3" ht="15" customHeight="1" x14ac:dyDescent="0.3">
      <c r="A241" t="s">
        <v>63</v>
      </c>
      <c r="B241" s="3">
        <v>45992</v>
      </c>
      <c r="C241">
        <v>13572</v>
      </c>
    </row>
    <row r="242" spans="1:3" ht="15" customHeight="1" x14ac:dyDescent="0.3">
      <c r="A242" t="s">
        <v>63</v>
      </c>
      <c r="B242" s="3">
        <v>46023</v>
      </c>
      <c r="C242">
        <v>13416</v>
      </c>
    </row>
    <row r="243" spans="1:3" ht="15" customHeight="1" x14ac:dyDescent="0.3">
      <c r="A243" t="s">
        <v>63</v>
      </c>
      <c r="B243" s="3">
        <v>46054</v>
      </c>
      <c r="C243">
        <v>10034.177</v>
      </c>
    </row>
    <row r="244" spans="1:3" ht="15" customHeight="1" x14ac:dyDescent="0.3">
      <c r="A244" t="s">
        <v>63</v>
      </c>
      <c r="B244" s="3">
        <v>46082</v>
      </c>
      <c r="C244">
        <v>10400</v>
      </c>
    </row>
    <row r="245" spans="1:3" ht="15" customHeight="1" x14ac:dyDescent="0.3">
      <c r="A245" t="s">
        <v>63</v>
      </c>
      <c r="B245" s="3">
        <v>46113</v>
      </c>
      <c r="C245">
        <v>7344.6</v>
      </c>
    </row>
    <row r="246" spans="1:3" ht="15" customHeight="1" x14ac:dyDescent="0.3">
      <c r="A246" t="s">
        <v>63</v>
      </c>
      <c r="B246" s="3">
        <v>46143</v>
      </c>
      <c r="C246" s="13">
        <v>5508.9</v>
      </c>
    </row>
    <row r="247" spans="1:3" ht="15" customHeight="1" x14ac:dyDescent="0.3">
      <c r="A247" t="s">
        <v>63</v>
      </c>
      <c r="B247" s="3">
        <v>46174</v>
      </c>
    </row>
    <row r="248" spans="1:3" ht="15" customHeight="1" x14ac:dyDescent="0.3">
      <c r="A248" t="s">
        <v>63</v>
      </c>
      <c r="B248" s="3">
        <v>46204</v>
      </c>
    </row>
    <row r="249" spans="1:3" ht="15" customHeight="1" x14ac:dyDescent="0.3">
      <c r="A249" t="s">
        <v>63</v>
      </c>
      <c r="B249" s="3">
        <v>46235</v>
      </c>
    </row>
    <row r="250" spans="1:3" ht="15" customHeight="1" x14ac:dyDescent="0.3">
      <c r="A250" t="s">
        <v>63</v>
      </c>
      <c r="B250" s="3">
        <v>46266</v>
      </c>
    </row>
    <row r="251" spans="1:3" ht="15" customHeight="1" x14ac:dyDescent="0.3">
      <c r="A251" t="s">
        <v>63</v>
      </c>
      <c r="B251" s="3">
        <v>46296</v>
      </c>
    </row>
    <row r="252" spans="1:3" ht="15" customHeight="1" x14ac:dyDescent="0.3">
      <c r="A252" t="s">
        <v>63</v>
      </c>
      <c r="B252" s="3">
        <v>46327</v>
      </c>
    </row>
    <row r="253" spans="1:3" ht="15" customHeight="1" x14ac:dyDescent="0.3">
      <c r="A253" t="s">
        <v>63</v>
      </c>
      <c r="B253" s="3">
        <v>46357</v>
      </c>
    </row>
    <row r="254" spans="1:3" ht="15" customHeight="1" x14ac:dyDescent="0.3">
      <c r="A254" t="s">
        <v>68</v>
      </c>
      <c r="B254" s="3">
        <v>45292</v>
      </c>
    </row>
    <row r="255" spans="1:3" ht="15" customHeight="1" x14ac:dyDescent="0.3">
      <c r="A255" t="s">
        <v>68</v>
      </c>
      <c r="B255" s="3">
        <v>45323</v>
      </c>
    </row>
    <row r="256" spans="1:3" ht="15" customHeight="1" x14ac:dyDescent="0.3">
      <c r="A256" t="s">
        <v>68</v>
      </c>
      <c r="B256" s="3">
        <v>45352</v>
      </c>
    </row>
    <row r="257" spans="1:2" ht="15" customHeight="1" x14ac:dyDescent="0.3">
      <c r="A257" t="s">
        <v>68</v>
      </c>
      <c r="B257" s="3">
        <v>45383</v>
      </c>
    </row>
    <row r="258" spans="1:2" ht="15" customHeight="1" x14ac:dyDescent="0.3">
      <c r="A258" t="s">
        <v>68</v>
      </c>
      <c r="B258" s="3">
        <v>45413</v>
      </c>
    </row>
    <row r="259" spans="1:2" ht="15" customHeight="1" x14ac:dyDescent="0.3">
      <c r="A259" t="s">
        <v>68</v>
      </c>
      <c r="B259" s="3">
        <v>45444</v>
      </c>
    </row>
    <row r="260" spans="1:2" ht="15" customHeight="1" x14ac:dyDescent="0.3">
      <c r="A260" t="s">
        <v>68</v>
      </c>
      <c r="B260" s="3">
        <v>45474</v>
      </c>
    </row>
    <row r="261" spans="1:2" ht="15" customHeight="1" x14ac:dyDescent="0.3">
      <c r="A261" t="s">
        <v>68</v>
      </c>
      <c r="B261" s="3">
        <v>45505</v>
      </c>
    </row>
    <row r="262" spans="1:2" ht="15" customHeight="1" x14ac:dyDescent="0.3">
      <c r="A262" t="s">
        <v>68</v>
      </c>
      <c r="B262" s="3">
        <v>45536</v>
      </c>
    </row>
    <row r="263" spans="1:2" ht="15" customHeight="1" x14ac:dyDescent="0.3">
      <c r="A263" t="s">
        <v>68</v>
      </c>
      <c r="B263" s="3">
        <v>45566</v>
      </c>
    </row>
    <row r="264" spans="1:2" ht="15" customHeight="1" x14ac:dyDescent="0.3">
      <c r="A264" t="s">
        <v>68</v>
      </c>
      <c r="B264" s="3">
        <v>45597</v>
      </c>
    </row>
    <row r="265" spans="1:2" ht="15" customHeight="1" x14ac:dyDescent="0.3">
      <c r="A265" t="s">
        <v>68</v>
      </c>
      <c r="B265" s="3">
        <v>45627</v>
      </c>
    </row>
    <row r="266" spans="1:2" ht="15" customHeight="1" x14ac:dyDescent="0.3">
      <c r="A266" t="s">
        <v>68</v>
      </c>
      <c r="B266" s="3">
        <v>45658</v>
      </c>
    </row>
    <row r="267" spans="1:2" ht="15" customHeight="1" x14ac:dyDescent="0.3">
      <c r="A267" t="s">
        <v>68</v>
      </c>
      <c r="B267" s="3">
        <v>45689</v>
      </c>
    </row>
    <row r="268" spans="1:2" ht="15" customHeight="1" x14ac:dyDescent="0.3">
      <c r="A268" t="s">
        <v>68</v>
      </c>
      <c r="B268" s="3">
        <v>45717</v>
      </c>
    </row>
    <row r="269" spans="1:2" ht="15" customHeight="1" x14ac:dyDescent="0.3">
      <c r="A269" t="s">
        <v>68</v>
      </c>
      <c r="B269" s="3">
        <v>45748</v>
      </c>
    </row>
    <row r="270" spans="1:2" ht="15" customHeight="1" x14ac:dyDescent="0.3">
      <c r="A270" t="s">
        <v>68</v>
      </c>
      <c r="B270" s="3">
        <v>45778</v>
      </c>
    </row>
    <row r="271" spans="1:2" ht="15" customHeight="1" x14ac:dyDescent="0.3">
      <c r="A271" t="s">
        <v>68</v>
      </c>
      <c r="B271" s="3">
        <v>45809</v>
      </c>
    </row>
    <row r="272" spans="1:2" ht="15" customHeight="1" x14ac:dyDescent="0.3">
      <c r="A272" t="s">
        <v>68</v>
      </c>
      <c r="B272" s="3">
        <v>45839</v>
      </c>
    </row>
    <row r="273" spans="1:3" ht="15" customHeight="1" x14ac:dyDescent="0.3">
      <c r="A273" t="s">
        <v>68</v>
      </c>
      <c r="B273" s="3">
        <v>45870</v>
      </c>
    </row>
    <row r="274" spans="1:3" ht="15" customHeight="1" x14ac:dyDescent="0.3">
      <c r="A274" t="s">
        <v>68</v>
      </c>
      <c r="B274" s="3">
        <v>45901</v>
      </c>
    </row>
    <row r="275" spans="1:3" ht="15" customHeight="1" x14ac:dyDescent="0.3">
      <c r="A275" t="s">
        <v>68</v>
      </c>
      <c r="B275" s="3">
        <v>45931</v>
      </c>
      <c r="C275">
        <v>1109</v>
      </c>
    </row>
    <row r="276" spans="1:3" ht="15" customHeight="1" x14ac:dyDescent="0.3">
      <c r="A276" t="s">
        <v>68</v>
      </c>
      <c r="B276" s="3">
        <v>45962</v>
      </c>
    </row>
    <row r="277" spans="1:3" ht="15" customHeight="1" x14ac:dyDescent="0.3">
      <c r="A277" t="s">
        <v>68</v>
      </c>
      <c r="B277" s="3">
        <v>45992</v>
      </c>
    </row>
    <row r="278" spans="1:3" ht="15" customHeight="1" x14ac:dyDescent="0.3">
      <c r="A278" t="s">
        <v>68</v>
      </c>
      <c r="B278" s="3">
        <v>46023</v>
      </c>
    </row>
    <row r="279" spans="1:3" ht="15" customHeight="1" x14ac:dyDescent="0.3">
      <c r="A279" t="s">
        <v>68</v>
      </c>
      <c r="B279" s="3">
        <v>46054</v>
      </c>
    </row>
    <row r="280" spans="1:3" ht="15" customHeight="1" x14ac:dyDescent="0.3">
      <c r="A280" t="s">
        <v>68</v>
      </c>
      <c r="B280" s="3">
        <v>46082</v>
      </c>
    </row>
    <row r="281" spans="1:3" ht="15" customHeight="1" x14ac:dyDescent="0.3">
      <c r="A281" t="s">
        <v>68</v>
      </c>
      <c r="B281" s="3">
        <v>46113</v>
      </c>
    </row>
    <row r="282" spans="1:3" ht="15" customHeight="1" x14ac:dyDescent="0.3">
      <c r="A282" t="s">
        <v>68</v>
      </c>
      <c r="B282" s="3">
        <v>46143</v>
      </c>
      <c r="C282" s="13"/>
    </row>
    <row r="283" spans="1:3" ht="15" customHeight="1" x14ac:dyDescent="0.3">
      <c r="A283" t="s">
        <v>68</v>
      </c>
      <c r="B283" s="3">
        <v>46174</v>
      </c>
    </row>
    <row r="284" spans="1:3" ht="15" customHeight="1" x14ac:dyDescent="0.3">
      <c r="A284" t="s">
        <v>68</v>
      </c>
      <c r="B284" s="3">
        <v>46204</v>
      </c>
    </row>
    <row r="285" spans="1:3" ht="15" customHeight="1" x14ac:dyDescent="0.3">
      <c r="A285" t="s">
        <v>68</v>
      </c>
      <c r="B285" s="3">
        <v>46235</v>
      </c>
    </row>
    <row r="286" spans="1:3" ht="15" customHeight="1" x14ac:dyDescent="0.3">
      <c r="A286" t="s">
        <v>68</v>
      </c>
      <c r="B286" s="3">
        <v>46266</v>
      </c>
    </row>
    <row r="287" spans="1:3" ht="15" customHeight="1" x14ac:dyDescent="0.3">
      <c r="A287" t="s">
        <v>68</v>
      </c>
      <c r="B287" s="3">
        <v>46296</v>
      </c>
    </row>
    <row r="288" spans="1:3" ht="15" customHeight="1" x14ac:dyDescent="0.3">
      <c r="A288" t="s">
        <v>68</v>
      </c>
      <c r="B288" s="3">
        <v>46327</v>
      </c>
    </row>
    <row r="289" spans="1:3" ht="15" customHeight="1" x14ac:dyDescent="0.3">
      <c r="A289" t="s">
        <v>68</v>
      </c>
      <c r="B289" s="3">
        <v>46357</v>
      </c>
    </row>
    <row r="290" spans="1:3" ht="15" customHeight="1" x14ac:dyDescent="0.3">
      <c r="A290" t="s">
        <v>74</v>
      </c>
      <c r="B290" s="3">
        <v>45292</v>
      </c>
    </row>
    <row r="291" spans="1:3" ht="15" customHeight="1" x14ac:dyDescent="0.3">
      <c r="A291" t="s">
        <v>74</v>
      </c>
      <c r="B291" s="3">
        <v>45323</v>
      </c>
    </row>
    <row r="292" spans="1:3" ht="15" customHeight="1" x14ac:dyDescent="0.3">
      <c r="A292" t="s">
        <v>74</v>
      </c>
      <c r="B292" s="3">
        <v>45352</v>
      </c>
    </row>
    <row r="293" spans="1:3" ht="15" customHeight="1" x14ac:dyDescent="0.3">
      <c r="A293" t="s">
        <v>74</v>
      </c>
      <c r="B293" s="3">
        <v>45383</v>
      </c>
    </row>
    <row r="294" spans="1:3" ht="15" customHeight="1" x14ac:dyDescent="0.3">
      <c r="A294" t="s">
        <v>74</v>
      </c>
      <c r="B294" s="3">
        <v>45413</v>
      </c>
    </row>
    <row r="295" spans="1:3" ht="15" customHeight="1" x14ac:dyDescent="0.3">
      <c r="A295" t="s">
        <v>74</v>
      </c>
      <c r="B295" s="3">
        <v>45444</v>
      </c>
    </row>
    <row r="296" spans="1:3" ht="15" customHeight="1" x14ac:dyDescent="0.3">
      <c r="A296" t="s">
        <v>74</v>
      </c>
      <c r="B296" s="3">
        <v>45474</v>
      </c>
    </row>
    <row r="297" spans="1:3" ht="15" customHeight="1" x14ac:dyDescent="0.3">
      <c r="A297" t="s">
        <v>74</v>
      </c>
      <c r="B297" s="3">
        <v>45505</v>
      </c>
    </row>
    <row r="298" spans="1:3" ht="15" customHeight="1" x14ac:dyDescent="0.3">
      <c r="A298" t="s">
        <v>74</v>
      </c>
      <c r="B298" s="3">
        <v>45536</v>
      </c>
    </row>
    <row r="299" spans="1:3" ht="15" customHeight="1" x14ac:dyDescent="0.3">
      <c r="A299" t="s">
        <v>74</v>
      </c>
      <c r="B299" s="3">
        <v>45566</v>
      </c>
    </row>
    <row r="300" spans="1:3" ht="15" customHeight="1" x14ac:dyDescent="0.3">
      <c r="A300" t="s">
        <v>74</v>
      </c>
      <c r="B300" s="3">
        <v>45597</v>
      </c>
    </row>
    <row r="301" spans="1:3" ht="15" customHeight="1" x14ac:dyDescent="0.3">
      <c r="A301" t="s">
        <v>74</v>
      </c>
      <c r="B301" s="3">
        <v>45627</v>
      </c>
    </row>
    <row r="302" spans="1:3" ht="15" customHeight="1" x14ac:dyDescent="0.3">
      <c r="A302" t="s">
        <v>74</v>
      </c>
      <c r="B302" s="3">
        <v>45658</v>
      </c>
      <c r="C302">
        <v>31100</v>
      </c>
    </row>
    <row r="303" spans="1:3" ht="15" customHeight="1" x14ac:dyDescent="0.3">
      <c r="A303" t="s">
        <v>74</v>
      </c>
      <c r="B303" s="3">
        <v>45689</v>
      </c>
      <c r="C303">
        <v>23180</v>
      </c>
    </row>
    <row r="304" spans="1:3" ht="15" customHeight="1" x14ac:dyDescent="0.3">
      <c r="A304" t="s">
        <v>74</v>
      </c>
      <c r="B304" s="3">
        <v>45717</v>
      </c>
      <c r="C304">
        <v>20838</v>
      </c>
    </row>
    <row r="305" spans="1:3" ht="15" customHeight="1" x14ac:dyDescent="0.3">
      <c r="A305" t="s">
        <v>74</v>
      </c>
      <c r="B305" s="3">
        <v>45748</v>
      </c>
      <c r="C305">
        <v>16626</v>
      </c>
    </row>
    <row r="306" spans="1:3" ht="15" customHeight="1" x14ac:dyDescent="0.3">
      <c r="A306" t="s">
        <v>74</v>
      </c>
      <c r="B306" s="3">
        <v>45778</v>
      </c>
      <c r="C306">
        <v>15218</v>
      </c>
    </row>
    <row r="307" spans="1:3" ht="15" customHeight="1" x14ac:dyDescent="0.3">
      <c r="A307" t="s">
        <v>74</v>
      </c>
      <c r="B307" s="3">
        <v>45809</v>
      </c>
      <c r="C307">
        <v>12425.8</v>
      </c>
    </row>
    <row r="308" spans="1:3" ht="15" customHeight="1" x14ac:dyDescent="0.3">
      <c r="A308" t="s">
        <v>74</v>
      </c>
      <c r="B308" s="3">
        <v>45839</v>
      </c>
      <c r="C308">
        <v>13246</v>
      </c>
    </row>
    <row r="309" spans="1:3" ht="15" customHeight="1" x14ac:dyDescent="0.3">
      <c r="A309" t="s">
        <v>74</v>
      </c>
      <c r="B309" s="3">
        <v>45870</v>
      </c>
      <c r="C309">
        <v>16953</v>
      </c>
    </row>
    <row r="310" spans="1:3" ht="15" customHeight="1" x14ac:dyDescent="0.3">
      <c r="A310" t="s">
        <v>74</v>
      </c>
      <c r="B310" s="3">
        <v>45901</v>
      </c>
      <c r="C310">
        <v>19367</v>
      </c>
    </row>
    <row r="311" spans="1:3" ht="15" customHeight="1" x14ac:dyDescent="0.3">
      <c r="A311" t="s">
        <v>74</v>
      </c>
      <c r="B311" s="3">
        <v>45931</v>
      </c>
      <c r="C311">
        <v>25648.18</v>
      </c>
    </row>
    <row r="312" spans="1:3" ht="15" customHeight="1" x14ac:dyDescent="0.3">
      <c r="A312" t="s">
        <v>74</v>
      </c>
      <c r="B312" s="3">
        <v>45962</v>
      </c>
      <c r="C312">
        <v>26677</v>
      </c>
    </row>
    <row r="313" spans="1:3" ht="15" customHeight="1" x14ac:dyDescent="0.3">
      <c r="A313" t="s">
        <v>74</v>
      </c>
      <c r="B313" s="3">
        <v>45992</v>
      </c>
      <c r="C313">
        <v>30286</v>
      </c>
    </row>
    <row r="314" spans="1:3" ht="15" customHeight="1" x14ac:dyDescent="0.3">
      <c r="A314" t="s">
        <v>74</v>
      </c>
      <c r="B314" s="3">
        <v>46023</v>
      </c>
      <c r="C314">
        <v>30117</v>
      </c>
    </row>
    <row r="315" spans="1:3" ht="15" customHeight="1" x14ac:dyDescent="0.3">
      <c r="A315" t="s">
        <v>74</v>
      </c>
      <c r="B315" s="3">
        <v>46054</v>
      </c>
      <c r="C315">
        <v>22084</v>
      </c>
    </row>
    <row r="316" spans="1:3" ht="15" customHeight="1" x14ac:dyDescent="0.3">
      <c r="A316" t="s">
        <v>74</v>
      </c>
      <c r="B316" s="3">
        <v>46082</v>
      </c>
      <c r="C316">
        <v>22201</v>
      </c>
    </row>
    <row r="317" spans="1:3" ht="15" customHeight="1" x14ac:dyDescent="0.3">
      <c r="A317" t="s">
        <v>74</v>
      </c>
      <c r="B317" s="3">
        <v>46113</v>
      </c>
      <c r="C317">
        <v>16660.7</v>
      </c>
    </row>
    <row r="318" spans="1:3" ht="15" customHeight="1" x14ac:dyDescent="0.3">
      <c r="A318" t="s">
        <v>74</v>
      </c>
      <c r="B318" s="3">
        <v>46143</v>
      </c>
      <c r="C318" s="13">
        <v>13372.29</v>
      </c>
    </row>
    <row r="319" spans="1:3" ht="15" customHeight="1" x14ac:dyDescent="0.3">
      <c r="A319" t="s">
        <v>74</v>
      </c>
      <c r="B319" s="3">
        <v>46174</v>
      </c>
    </row>
    <row r="320" spans="1:3" ht="15" customHeight="1" x14ac:dyDescent="0.3">
      <c r="A320" t="s">
        <v>74</v>
      </c>
      <c r="B320" s="3">
        <v>46204</v>
      </c>
    </row>
    <row r="321" spans="1:2" ht="15" customHeight="1" x14ac:dyDescent="0.3">
      <c r="A321" t="s">
        <v>74</v>
      </c>
      <c r="B321" s="3">
        <v>46235</v>
      </c>
    </row>
    <row r="322" spans="1:2" ht="15" customHeight="1" x14ac:dyDescent="0.3">
      <c r="A322" t="s">
        <v>74</v>
      </c>
      <c r="B322" s="3">
        <v>46266</v>
      </c>
    </row>
    <row r="323" spans="1:2" ht="15" customHeight="1" x14ac:dyDescent="0.3">
      <c r="A323" t="s">
        <v>74</v>
      </c>
      <c r="B323" s="3">
        <v>46296</v>
      </c>
    </row>
    <row r="324" spans="1:2" ht="15" customHeight="1" x14ac:dyDescent="0.3">
      <c r="A324" t="s">
        <v>74</v>
      </c>
      <c r="B324" s="3">
        <v>46327</v>
      </c>
    </row>
    <row r="325" spans="1:2" ht="15" customHeight="1" x14ac:dyDescent="0.3">
      <c r="A325" t="s">
        <v>74</v>
      </c>
      <c r="B325" s="3">
        <v>46357</v>
      </c>
    </row>
    <row r="326" spans="1:2" ht="15" customHeight="1" x14ac:dyDescent="0.3">
      <c r="A326" t="s">
        <v>80</v>
      </c>
      <c r="B326" s="3">
        <v>45292</v>
      </c>
    </row>
    <row r="327" spans="1:2" ht="15" customHeight="1" x14ac:dyDescent="0.3">
      <c r="A327" t="s">
        <v>80</v>
      </c>
      <c r="B327" s="3">
        <v>45323</v>
      </c>
    </row>
    <row r="328" spans="1:2" ht="15" customHeight="1" x14ac:dyDescent="0.3">
      <c r="A328" t="s">
        <v>80</v>
      </c>
      <c r="B328" s="3">
        <v>45352</v>
      </c>
    </row>
    <row r="329" spans="1:2" ht="15" customHeight="1" x14ac:dyDescent="0.3">
      <c r="A329" t="s">
        <v>80</v>
      </c>
      <c r="B329" s="3">
        <v>45383</v>
      </c>
    </row>
    <row r="330" spans="1:2" ht="15" customHeight="1" x14ac:dyDescent="0.3">
      <c r="A330" t="s">
        <v>80</v>
      </c>
      <c r="B330" s="3">
        <v>45413</v>
      </c>
    </row>
    <row r="331" spans="1:2" ht="15" customHeight="1" x14ac:dyDescent="0.3">
      <c r="A331" t="s">
        <v>80</v>
      </c>
      <c r="B331" s="3">
        <v>45444</v>
      </c>
    </row>
    <row r="332" spans="1:2" ht="15" customHeight="1" x14ac:dyDescent="0.3">
      <c r="A332" t="s">
        <v>80</v>
      </c>
      <c r="B332" s="3">
        <v>45474</v>
      </c>
    </row>
    <row r="333" spans="1:2" ht="15" customHeight="1" x14ac:dyDescent="0.3">
      <c r="A333" t="s">
        <v>80</v>
      </c>
      <c r="B333" s="3">
        <v>45505</v>
      </c>
    </row>
    <row r="334" spans="1:2" ht="15" customHeight="1" x14ac:dyDescent="0.3">
      <c r="A334" t="s">
        <v>80</v>
      </c>
      <c r="B334" s="3">
        <v>45536</v>
      </c>
    </row>
    <row r="335" spans="1:2" ht="15" customHeight="1" x14ac:dyDescent="0.3">
      <c r="A335" t="s">
        <v>80</v>
      </c>
      <c r="B335" s="3">
        <v>45566</v>
      </c>
    </row>
    <row r="336" spans="1:2" ht="15" customHeight="1" x14ac:dyDescent="0.3">
      <c r="A336" t="s">
        <v>80</v>
      </c>
      <c r="B336" s="3">
        <v>45597</v>
      </c>
    </row>
    <row r="337" spans="1:3" ht="15" customHeight="1" x14ac:dyDescent="0.3">
      <c r="A337" t="s">
        <v>80</v>
      </c>
      <c r="B337" s="3">
        <v>45627</v>
      </c>
    </row>
    <row r="338" spans="1:3" ht="15" customHeight="1" x14ac:dyDescent="0.3">
      <c r="A338" t="s">
        <v>80</v>
      </c>
      <c r="B338" s="3">
        <v>45658</v>
      </c>
    </row>
    <row r="339" spans="1:3" ht="15" customHeight="1" x14ac:dyDescent="0.3">
      <c r="A339" t="s">
        <v>80</v>
      </c>
      <c r="B339" s="3">
        <v>45689</v>
      </c>
    </row>
    <row r="340" spans="1:3" ht="15" customHeight="1" x14ac:dyDescent="0.3">
      <c r="A340" t="s">
        <v>80</v>
      </c>
      <c r="B340" s="3">
        <v>45717</v>
      </c>
      <c r="C340">
        <v>17913</v>
      </c>
    </row>
    <row r="341" spans="1:3" ht="15" customHeight="1" x14ac:dyDescent="0.3">
      <c r="A341" t="s">
        <v>80</v>
      </c>
      <c r="B341" s="3">
        <v>45748</v>
      </c>
      <c r="C341">
        <v>14938</v>
      </c>
    </row>
    <row r="342" spans="1:3" ht="15" customHeight="1" x14ac:dyDescent="0.3">
      <c r="A342" t="s">
        <v>80</v>
      </c>
      <c r="B342" s="3">
        <v>45778</v>
      </c>
      <c r="C342">
        <v>18066</v>
      </c>
    </row>
    <row r="343" spans="1:3" ht="15" customHeight="1" x14ac:dyDescent="0.3">
      <c r="A343" t="s">
        <v>80</v>
      </c>
      <c r="B343" s="3">
        <v>45809</v>
      </c>
      <c r="C343">
        <v>12974.1</v>
      </c>
    </row>
    <row r="344" spans="1:3" ht="15" customHeight="1" x14ac:dyDescent="0.3">
      <c r="A344" t="s">
        <v>80</v>
      </c>
      <c r="B344" s="3">
        <v>45839</v>
      </c>
      <c r="C344">
        <v>13938</v>
      </c>
    </row>
    <row r="345" spans="1:3" ht="15" customHeight="1" x14ac:dyDescent="0.3">
      <c r="A345" t="s">
        <v>80</v>
      </c>
      <c r="B345" s="3">
        <v>45870</v>
      </c>
      <c r="C345">
        <v>18460</v>
      </c>
    </row>
    <row r="346" spans="1:3" ht="15" customHeight="1" x14ac:dyDescent="0.3">
      <c r="A346" t="s">
        <v>80</v>
      </c>
      <c r="B346" s="3">
        <v>45901</v>
      </c>
      <c r="C346">
        <v>17970</v>
      </c>
    </row>
    <row r="347" spans="1:3" ht="15" customHeight="1" x14ac:dyDescent="0.3">
      <c r="A347" t="s">
        <v>80</v>
      </c>
      <c r="B347" s="3">
        <v>45931</v>
      </c>
      <c r="C347">
        <v>22232</v>
      </c>
    </row>
    <row r="348" spans="1:3" ht="15" customHeight="1" x14ac:dyDescent="0.3">
      <c r="A348" t="s">
        <v>80</v>
      </c>
      <c r="B348" s="3">
        <v>45962</v>
      </c>
      <c r="C348">
        <v>17351</v>
      </c>
    </row>
    <row r="349" spans="1:3" ht="15" customHeight="1" x14ac:dyDescent="0.3">
      <c r="A349" t="s">
        <v>80</v>
      </c>
      <c r="B349" s="3">
        <v>45992</v>
      </c>
      <c r="C349">
        <v>21073</v>
      </c>
    </row>
    <row r="350" spans="1:3" ht="15" customHeight="1" x14ac:dyDescent="0.3">
      <c r="A350" t="s">
        <v>80</v>
      </c>
      <c r="B350" s="3">
        <v>46023</v>
      </c>
      <c r="C350">
        <v>22123</v>
      </c>
    </row>
    <row r="351" spans="1:3" ht="15" customHeight="1" x14ac:dyDescent="0.3">
      <c r="A351" t="s">
        <v>80</v>
      </c>
      <c r="B351" s="3">
        <v>46054</v>
      </c>
      <c r="C351">
        <v>16600</v>
      </c>
    </row>
    <row r="352" spans="1:3" ht="15" customHeight="1" x14ac:dyDescent="0.3">
      <c r="A352" t="s">
        <v>80</v>
      </c>
      <c r="B352" s="3">
        <v>46082</v>
      </c>
      <c r="C352">
        <v>17500</v>
      </c>
    </row>
    <row r="353" spans="1:3" ht="15" customHeight="1" x14ac:dyDescent="0.3">
      <c r="A353" t="s">
        <v>80</v>
      </c>
      <c r="B353" s="3">
        <v>46113</v>
      </c>
      <c r="C353">
        <v>15400</v>
      </c>
    </row>
    <row r="354" spans="1:3" ht="15" customHeight="1" x14ac:dyDescent="0.3">
      <c r="A354" t="s">
        <v>80</v>
      </c>
      <c r="B354" s="3">
        <v>46143</v>
      </c>
      <c r="C354">
        <v>15615</v>
      </c>
    </row>
    <row r="355" spans="1:3" ht="15" customHeight="1" x14ac:dyDescent="0.3">
      <c r="A355" t="s">
        <v>80</v>
      </c>
      <c r="B355" s="3">
        <v>46174</v>
      </c>
    </row>
    <row r="356" spans="1:3" ht="15" customHeight="1" x14ac:dyDescent="0.3">
      <c r="A356" t="s">
        <v>80</v>
      </c>
      <c r="B356" s="3">
        <v>46204</v>
      </c>
    </row>
    <row r="357" spans="1:3" ht="15" customHeight="1" x14ac:dyDescent="0.3">
      <c r="A357" t="s">
        <v>80</v>
      </c>
      <c r="B357" s="3">
        <v>46235</v>
      </c>
    </row>
    <row r="358" spans="1:3" ht="15" customHeight="1" x14ac:dyDescent="0.3">
      <c r="A358" t="s">
        <v>80</v>
      </c>
      <c r="B358" s="3">
        <v>46266</v>
      </c>
    </row>
    <row r="359" spans="1:3" ht="15" customHeight="1" x14ac:dyDescent="0.3">
      <c r="A359" t="s">
        <v>80</v>
      </c>
      <c r="B359" s="3">
        <v>46296</v>
      </c>
    </row>
    <row r="360" spans="1:3" ht="15" customHeight="1" x14ac:dyDescent="0.3">
      <c r="A360" t="s">
        <v>80</v>
      </c>
      <c r="B360" s="3">
        <v>46327</v>
      </c>
    </row>
    <row r="361" spans="1:3" ht="15" customHeight="1" x14ac:dyDescent="0.3">
      <c r="A361" t="s">
        <v>80</v>
      </c>
      <c r="B361" s="3">
        <v>46357</v>
      </c>
    </row>
    <row r="362" spans="1:3" ht="15" customHeight="1" x14ac:dyDescent="0.3">
      <c r="A362" t="s">
        <v>84</v>
      </c>
      <c r="B362" s="3">
        <v>45292</v>
      </c>
    </row>
    <row r="363" spans="1:3" ht="15" customHeight="1" x14ac:dyDescent="0.3">
      <c r="A363" t="s">
        <v>84</v>
      </c>
      <c r="B363" s="3">
        <v>45323</v>
      </c>
    </row>
    <row r="364" spans="1:3" ht="15" customHeight="1" x14ac:dyDescent="0.3">
      <c r="A364" t="s">
        <v>84</v>
      </c>
      <c r="B364" s="3">
        <v>45352</v>
      </c>
    </row>
    <row r="365" spans="1:3" ht="15" customHeight="1" x14ac:dyDescent="0.3">
      <c r="A365" t="s">
        <v>84</v>
      </c>
      <c r="B365" s="3">
        <v>45383</v>
      </c>
    </row>
    <row r="366" spans="1:3" ht="15" customHeight="1" x14ac:dyDescent="0.3">
      <c r="A366" t="s">
        <v>84</v>
      </c>
      <c r="B366" s="3">
        <v>45413</v>
      </c>
    </row>
    <row r="367" spans="1:3" ht="15" customHeight="1" x14ac:dyDescent="0.3">
      <c r="A367" t="s">
        <v>84</v>
      </c>
      <c r="B367" s="3">
        <v>45444</v>
      </c>
    </row>
    <row r="368" spans="1:3" ht="15" customHeight="1" x14ac:dyDescent="0.3">
      <c r="A368" t="s">
        <v>84</v>
      </c>
      <c r="B368" s="3">
        <v>45474</v>
      </c>
    </row>
    <row r="369" spans="1:3" ht="15" customHeight="1" x14ac:dyDescent="0.3">
      <c r="A369" t="s">
        <v>84</v>
      </c>
      <c r="B369" s="3">
        <v>45505</v>
      </c>
    </row>
    <row r="370" spans="1:3" ht="15" customHeight="1" x14ac:dyDescent="0.3">
      <c r="A370" t="s">
        <v>84</v>
      </c>
      <c r="B370" s="3">
        <v>45536</v>
      </c>
    </row>
    <row r="371" spans="1:3" ht="15" customHeight="1" x14ac:dyDescent="0.3">
      <c r="A371" t="s">
        <v>84</v>
      </c>
      <c r="B371" s="3">
        <v>45566</v>
      </c>
    </row>
    <row r="372" spans="1:3" ht="15" customHeight="1" x14ac:dyDescent="0.3">
      <c r="A372" t="s">
        <v>84</v>
      </c>
      <c r="B372" s="3">
        <v>45597</v>
      </c>
    </row>
    <row r="373" spans="1:3" ht="15" customHeight="1" x14ac:dyDescent="0.3">
      <c r="A373" t="s">
        <v>84</v>
      </c>
      <c r="B373" s="3">
        <v>45627</v>
      </c>
    </row>
    <row r="374" spans="1:3" ht="15" customHeight="1" x14ac:dyDescent="0.3">
      <c r="A374" t="s">
        <v>84</v>
      </c>
      <c r="B374" s="3">
        <v>45658</v>
      </c>
    </row>
    <row r="375" spans="1:3" ht="15" customHeight="1" x14ac:dyDescent="0.3">
      <c r="A375" t="s">
        <v>84</v>
      </c>
      <c r="B375" s="3">
        <v>45689</v>
      </c>
    </row>
    <row r="376" spans="1:3" ht="15" customHeight="1" x14ac:dyDescent="0.3">
      <c r="A376" t="s">
        <v>84</v>
      </c>
      <c r="B376" s="3">
        <v>45717</v>
      </c>
      <c r="C376">
        <v>16558</v>
      </c>
    </row>
    <row r="377" spans="1:3" ht="15" customHeight="1" x14ac:dyDescent="0.3">
      <c r="A377" t="s">
        <v>84</v>
      </c>
      <c r="B377" s="3">
        <v>45748</v>
      </c>
      <c r="C377">
        <v>13087</v>
      </c>
    </row>
    <row r="378" spans="1:3" ht="15" customHeight="1" x14ac:dyDescent="0.3">
      <c r="A378" t="s">
        <v>84</v>
      </c>
      <c r="B378" s="3">
        <v>45778</v>
      </c>
      <c r="C378">
        <v>15171</v>
      </c>
    </row>
    <row r="379" spans="1:3" ht="15" customHeight="1" x14ac:dyDescent="0.3">
      <c r="A379" t="s">
        <v>84</v>
      </c>
      <c r="B379" s="3">
        <v>45809</v>
      </c>
      <c r="C379">
        <v>9655.7000000000007</v>
      </c>
    </row>
    <row r="380" spans="1:3" ht="15" customHeight="1" x14ac:dyDescent="0.3">
      <c r="A380" t="s">
        <v>84</v>
      </c>
      <c r="B380" s="3">
        <v>45839</v>
      </c>
      <c r="C380">
        <v>10531.6</v>
      </c>
    </row>
    <row r="381" spans="1:3" ht="15" customHeight="1" x14ac:dyDescent="0.3">
      <c r="A381" t="s">
        <v>84</v>
      </c>
      <c r="B381" s="3">
        <v>45870</v>
      </c>
      <c r="C381">
        <v>14730</v>
      </c>
    </row>
    <row r="382" spans="1:3" ht="15" customHeight="1" x14ac:dyDescent="0.3">
      <c r="A382" t="s">
        <v>84</v>
      </c>
      <c r="B382" s="3">
        <v>45901</v>
      </c>
      <c r="C382">
        <v>12165</v>
      </c>
    </row>
    <row r="383" spans="1:3" ht="15" customHeight="1" x14ac:dyDescent="0.3">
      <c r="A383" t="s">
        <v>84</v>
      </c>
      <c r="B383" s="3">
        <v>45931</v>
      </c>
      <c r="C383">
        <v>20277</v>
      </c>
    </row>
    <row r="384" spans="1:3" ht="15" customHeight="1" x14ac:dyDescent="0.3">
      <c r="A384" t="s">
        <v>84</v>
      </c>
      <c r="B384" s="3">
        <v>45962</v>
      </c>
      <c r="C384">
        <v>15371</v>
      </c>
    </row>
    <row r="385" spans="1:3" ht="15" customHeight="1" x14ac:dyDescent="0.3">
      <c r="A385" t="s">
        <v>84</v>
      </c>
      <c r="B385" s="3">
        <v>45992</v>
      </c>
      <c r="C385">
        <v>13568</v>
      </c>
    </row>
    <row r="386" spans="1:3" ht="15" customHeight="1" x14ac:dyDescent="0.3">
      <c r="A386" t="s">
        <v>84</v>
      </c>
      <c r="B386" s="3">
        <v>46023</v>
      </c>
      <c r="C386">
        <v>21287</v>
      </c>
    </row>
    <row r="387" spans="1:3" ht="15" customHeight="1" x14ac:dyDescent="0.3">
      <c r="A387" t="s">
        <v>84</v>
      </c>
      <c r="B387" s="3">
        <v>46054</v>
      </c>
      <c r="C387">
        <v>19200</v>
      </c>
    </row>
    <row r="388" spans="1:3" ht="15" customHeight="1" x14ac:dyDescent="0.3">
      <c r="A388" t="s">
        <v>84</v>
      </c>
      <c r="B388" s="3">
        <v>46082</v>
      </c>
      <c r="C388">
        <v>16030</v>
      </c>
    </row>
    <row r="389" spans="1:3" ht="15" customHeight="1" x14ac:dyDescent="0.3">
      <c r="A389" t="s">
        <v>84</v>
      </c>
      <c r="B389" s="3">
        <v>46113</v>
      </c>
      <c r="C389">
        <v>13700</v>
      </c>
    </row>
    <row r="390" spans="1:3" ht="15" customHeight="1" x14ac:dyDescent="0.3">
      <c r="A390" t="s">
        <v>84</v>
      </c>
      <c r="B390" s="3">
        <v>46143</v>
      </c>
      <c r="C390">
        <v>13287</v>
      </c>
    </row>
    <row r="391" spans="1:3" ht="15" customHeight="1" x14ac:dyDescent="0.3">
      <c r="A391" t="s">
        <v>84</v>
      </c>
      <c r="B391" s="3">
        <v>46174</v>
      </c>
    </row>
    <row r="392" spans="1:3" ht="15" customHeight="1" x14ac:dyDescent="0.3">
      <c r="A392" t="s">
        <v>84</v>
      </c>
      <c r="B392" s="3">
        <v>46204</v>
      </c>
    </row>
    <row r="393" spans="1:3" ht="15" customHeight="1" x14ac:dyDescent="0.3">
      <c r="A393" t="s">
        <v>84</v>
      </c>
      <c r="B393" s="3">
        <v>46235</v>
      </c>
    </row>
    <row r="394" spans="1:3" ht="15" customHeight="1" x14ac:dyDescent="0.3">
      <c r="A394" t="s">
        <v>84</v>
      </c>
      <c r="B394" s="3">
        <v>46266</v>
      </c>
    </row>
    <row r="395" spans="1:3" ht="15" customHeight="1" x14ac:dyDescent="0.3">
      <c r="A395" t="s">
        <v>84</v>
      </c>
      <c r="B395" s="3">
        <v>46296</v>
      </c>
    </row>
    <row r="396" spans="1:3" ht="15" customHeight="1" x14ac:dyDescent="0.3">
      <c r="A396" t="s">
        <v>84</v>
      </c>
      <c r="B396" s="3">
        <v>46327</v>
      </c>
    </row>
    <row r="397" spans="1:3" ht="15" customHeight="1" x14ac:dyDescent="0.3">
      <c r="A397" t="s">
        <v>84</v>
      </c>
      <c r="B397" s="3">
        <v>46357</v>
      </c>
    </row>
    <row r="398" spans="1:3" ht="15" customHeight="1" x14ac:dyDescent="0.3">
      <c r="A398" t="s">
        <v>86</v>
      </c>
      <c r="B398" s="3">
        <v>45292</v>
      </c>
    </row>
    <row r="399" spans="1:3" ht="15" customHeight="1" x14ac:dyDescent="0.3">
      <c r="A399" t="s">
        <v>86</v>
      </c>
      <c r="B399" s="3">
        <v>45323</v>
      </c>
    </row>
    <row r="400" spans="1:3" ht="15" customHeight="1" x14ac:dyDescent="0.3">
      <c r="A400" t="s">
        <v>86</v>
      </c>
      <c r="B400" s="3">
        <v>45352</v>
      </c>
    </row>
    <row r="401" spans="1:3" ht="15" customHeight="1" x14ac:dyDescent="0.3">
      <c r="A401" t="s">
        <v>86</v>
      </c>
      <c r="B401" s="3">
        <v>45383</v>
      </c>
    </row>
    <row r="402" spans="1:3" ht="15" customHeight="1" x14ac:dyDescent="0.3">
      <c r="A402" t="s">
        <v>86</v>
      </c>
      <c r="B402" s="3">
        <v>45413</v>
      </c>
    </row>
    <row r="403" spans="1:3" ht="15" customHeight="1" x14ac:dyDescent="0.3">
      <c r="A403" t="s">
        <v>86</v>
      </c>
      <c r="B403" s="3">
        <v>45444</v>
      </c>
    </row>
    <row r="404" spans="1:3" ht="15" customHeight="1" x14ac:dyDescent="0.3">
      <c r="A404" t="s">
        <v>86</v>
      </c>
      <c r="B404" s="3">
        <v>45474</v>
      </c>
    </row>
    <row r="405" spans="1:3" ht="15" customHeight="1" x14ac:dyDescent="0.3">
      <c r="A405" t="s">
        <v>86</v>
      </c>
      <c r="B405" s="3">
        <v>45505</v>
      </c>
    </row>
    <row r="406" spans="1:3" ht="15" customHeight="1" x14ac:dyDescent="0.3">
      <c r="A406" t="s">
        <v>86</v>
      </c>
      <c r="B406" s="3">
        <v>45536</v>
      </c>
    </row>
    <row r="407" spans="1:3" ht="15" customHeight="1" x14ac:dyDescent="0.3">
      <c r="A407" t="s">
        <v>86</v>
      </c>
      <c r="B407" s="3">
        <v>45566</v>
      </c>
    </row>
    <row r="408" spans="1:3" ht="15" customHeight="1" x14ac:dyDescent="0.3">
      <c r="A408" t="s">
        <v>86</v>
      </c>
      <c r="B408" s="3">
        <v>45597</v>
      </c>
    </row>
    <row r="409" spans="1:3" ht="15" customHeight="1" x14ac:dyDescent="0.3">
      <c r="A409" t="s">
        <v>86</v>
      </c>
      <c r="B409" s="3">
        <v>45627</v>
      </c>
    </row>
    <row r="410" spans="1:3" ht="15" customHeight="1" x14ac:dyDescent="0.3">
      <c r="A410" t="s">
        <v>86</v>
      </c>
      <c r="B410" s="3">
        <v>45658</v>
      </c>
      <c r="C410">
        <v>8900</v>
      </c>
    </row>
    <row r="411" spans="1:3" ht="15" customHeight="1" x14ac:dyDescent="0.3">
      <c r="A411" t="s">
        <v>86</v>
      </c>
      <c r="B411" s="3">
        <v>45689</v>
      </c>
      <c r="C411">
        <v>5390</v>
      </c>
    </row>
    <row r="412" spans="1:3" ht="15" customHeight="1" x14ac:dyDescent="0.3">
      <c r="A412" t="s">
        <v>86</v>
      </c>
      <c r="B412" s="3">
        <v>45717</v>
      </c>
      <c r="C412">
        <v>5378</v>
      </c>
    </row>
    <row r="413" spans="1:3" ht="15" customHeight="1" x14ac:dyDescent="0.3">
      <c r="A413" t="s">
        <v>86</v>
      </c>
      <c r="B413" s="3">
        <v>45748</v>
      </c>
      <c r="C413">
        <v>3410</v>
      </c>
    </row>
    <row r="414" spans="1:3" ht="15" customHeight="1" x14ac:dyDescent="0.3">
      <c r="A414" t="s">
        <v>86</v>
      </c>
      <c r="B414" s="3">
        <v>45778</v>
      </c>
      <c r="C414">
        <v>3628</v>
      </c>
    </row>
    <row r="415" spans="1:3" ht="15" customHeight="1" x14ac:dyDescent="0.3">
      <c r="A415" t="s">
        <v>86</v>
      </c>
      <c r="B415" s="3">
        <v>45809</v>
      </c>
      <c r="C415">
        <v>5836</v>
      </c>
    </row>
    <row r="416" spans="1:3" ht="15" customHeight="1" x14ac:dyDescent="0.3">
      <c r="A416" t="s">
        <v>86</v>
      </c>
      <c r="B416" s="3">
        <v>45839</v>
      </c>
      <c r="C416">
        <v>6830</v>
      </c>
    </row>
    <row r="417" spans="1:3" ht="15" customHeight="1" x14ac:dyDescent="0.3">
      <c r="A417" t="s">
        <v>86</v>
      </c>
      <c r="B417" s="3">
        <v>45870</v>
      </c>
      <c r="C417">
        <v>7659</v>
      </c>
    </row>
    <row r="418" spans="1:3" ht="15" customHeight="1" x14ac:dyDescent="0.3">
      <c r="A418" t="s">
        <v>86</v>
      </c>
      <c r="B418" s="3">
        <v>45901</v>
      </c>
      <c r="C418">
        <v>5799</v>
      </c>
    </row>
    <row r="419" spans="1:3" ht="15" customHeight="1" x14ac:dyDescent="0.3">
      <c r="A419" t="s">
        <v>86</v>
      </c>
      <c r="B419" s="3">
        <v>45931</v>
      </c>
      <c r="C419">
        <v>6484.6</v>
      </c>
    </row>
    <row r="420" spans="1:3" ht="15" customHeight="1" x14ac:dyDescent="0.3">
      <c r="A420" t="s">
        <v>86</v>
      </c>
      <c r="B420" s="3">
        <v>45962</v>
      </c>
      <c r="C420">
        <v>7636</v>
      </c>
    </row>
    <row r="421" spans="1:3" ht="15" customHeight="1" x14ac:dyDescent="0.3">
      <c r="A421" t="s">
        <v>86</v>
      </c>
      <c r="B421" s="3">
        <v>45992</v>
      </c>
      <c r="C421">
        <v>7000</v>
      </c>
    </row>
    <row r="422" spans="1:3" ht="15" customHeight="1" x14ac:dyDescent="0.3">
      <c r="A422" t="s">
        <v>86</v>
      </c>
      <c r="B422" s="3">
        <v>46023</v>
      </c>
      <c r="C422">
        <v>6305</v>
      </c>
    </row>
    <row r="423" spans="1:3" ht="15" customHeight="1" x14ac:dyDescent="0.3">
      <c r="A423" t="s">
        <v>86</v>
      </c>
      <c r="B423" s="3">
        <v>46054</v>
      </c>
      <c r="C423">
        <v>4373.4359000000004</v>
      </c>
    </row>
    <row r="424" spans="1:3" ht="15" customHeight="1" x14ac:dyDescent="0.3">
      <c r="A424" t="s">
        <v>86</v>
      </c>
      <c r="B424" s="3">
        <v>46082</v>
      </c>
      <c r="C424">
        <v>4958</v>
      </c>
    </row>
    <row r="425" spans="1:3" ht="15" customHeight="1" x14ac:dyDescent="0.3">
      <c r="A425" t="s">
        <v>86</v>
      </c>
      <c r="B425" s="3">
        <v>46113</v>
      </c>
      <c r="C425">
        <v>6980.52</v>
      </c>
    </row>
    <row r="426" spans="1:3" ht="15" customHeight="1" x14ac:dyDescent="0.3">
      <c r="A426" t="s">
        <v>86</v>
      </c>
      <c r="B426" s="3">
        <v>46143</v>
      </c>
      <c r="C426" s="13">
        <v>6633.98</v>
      </c>
    </row>
    <row r="427" spans="1:3" ht="15" customHeight="1" x14ac:dyDescent="0.3">
      <c r="A427" t="s">
        <v>86</v>
      </c>
      <c r="B427" s="3">
        <v>46174</v>
      </c>
    </row>
    <row r="428" spans="1:3" ht="15" customHeight="1" x14ac:dyDescent="0.3">
      <c r="A428" t="s">
        <v>86</v>
      </c>
      <c r="B428" s="3">
        <v>46204</v>
      </c>
    </row>
    <row r="429" spans="1:3" ht="15" customHeight="1" x14ac:dyDescent="0.3">
      <c r="A429" t="s">
        <v>86</v>
      </c>
      <c r="B429" s="3">
        <v>46235</v>
      </c>
    </row>
    <row r="430" spans="1:3" ht="15" customHeight="1" x14ac:dyDescent="0.3">
      <c r="A430" t="s">
        <v>86</v>
      </c>
      <c r="B430" s="3">
        <v>46266</v>
      </c>
    </row>
    <row r="431" spans="1:3" ht="15" customHeight="1" x14ac:dyDescent="0.3">
      <c r="A431" t="s">
        <v>86</v>
      </c>
      <c r="B431" s="3">
        <v>46296</v>
      </c>
    </row>
    <row r="432" spans="1:3" ht="15" customHeight="1" x14ac:dyDescent="0.3">
      <c r="A432" t="s">
        <v>86</v>
      </c>
      <c r="B432" s="3">
        <v>46327</v>
      </c>
    </row>
    <row r="433" spans="1:3" ht="15" customHeight="1" x14ac:dyDescent="0.3">
      <c r="A433" t="s">
        <v>86</v>
      </c>
      <c r="B433" s="3">
        <v>46357</v>
      </c>
    </row>
    <row r="434" spans="1:3" ht="15" customHeight="1" x14ac:dyDescent="0.3">
      <c r="A434" t="s">
        <v>90</v>
      </c>
      <c r="B434" s="3">
        <v>45292</v>
      </c>
      <c r="C434">
        <v>3578</v>
      </c>
    </row>
    <row r="435" spans="1:3" ht="15" customHeight="1" x14ac:dyDescent="0.3">
      <c r="A435" t="s">
        <v>90</v>
      </c>
      <c r="B435" s="3">
        <v>45323</v>
      </c>
      <c r="C435">
        <v>3594</v>
      </c>
    </row>
    <row r="436" spans="1:3" ht="15" customHeight="1" x14ac:dyDescent="0.3">
      <c r="A436" t="s">
        <v>90</v>
      </c>
      <c r="B436" s="3">
        <v>45352</v>
      </c>
      <c r="C436">
        <v>3674</v>
      </c>
    </row>
    <row r="437" spans="1:3" ht="15" customHeight="1" x14ac:dyDescent="0.3">
      <c r="A437" t="s">
        <v>90</v>
      </c>
      <c r="B437" s="3">
        <v>45383</v>
      </c>
      <c r="C437">
        <v>3533</v>
      </c>
    </row>
    <row r="438" spans="1:3" ht="15" customHeight="1" x14ac:dyDescent="0.3">
      <c r="A438" t="s">
        <v>90</v>
      </c>
      <c r="B438" s="3">
        <v>45413</v>
      </c>
      <c r="C438">
        <v>3191</v>
      </c>
    </row>
    <row r="439" spans="1:3" ht="15" customHeight="1" x14ac:dyDescent="0.3">
      <c r="A439" t="s">
        <v>90</v>
      </c>
      <c r="B439" s="3">
        <v>45444</v>
      </c>
      <c r="C439">
        <v>2884</v>
      </c>
    </row>
    <row r="440" spans="1:3" ht="15" customHeight="1" x14ac:dyDescent="0.3">
      <c r="A440" t="s">
        <v>90</v>
      </c>
      <c r="B440" s="3">
        <v>45474</v>
      </c>
      <c r="C440">
        <v>3894</v>
      </c>
    </row>
    <row r="441" spans="1:3" ht="15" customHeight="1" x14ac:dyDescent="0.3">
      <c r="A441" t="s">
        <v>90</v>
      </c>
      <c r="B441" s="3">
        <v>45505</v>
      </c>
      <c r="C441">
        <v>4058</v>
      </c>
    </row>
    <row r="442" spans="1:3" ht="15" customHeight="1" x14ac:dyDescent="0.3">
      <c r="A442" t="s">
        <v>90</v>
      </c>
      <c r="B442" s="3">
        <v>45536</v>
      </c>
      <c r="C442">
        <v>3726</v>
      </c>
    </row>
    <row r="443" spans="1:3" ht="15" customHeight="1" x14ac:dyDescent="0.3">
      <c r="A443" t="s">
        <v>90</v>
      </c>
      <c r="B443" s="3">
        <v>45566</v>
      </c>
      <c r="C443">
        <v>4063</v>
      </c>
    </row>
    <row r="444" spans="1:3" ht="15" customHeight="1" x14ac:dyDescent="0.3">
      <c r="A444" t="s">
        <v>90</v>
      </c>
      <c r="B444" s="3">
        <v>45597</v>
      </c>
      <c r="C444">
        <v>3998</v>
      </c>
    </row>
    <row r="445" spans="1:3" ht="15" customHeight="1" x14ac:dyDescent="0.3">
      <c r="A445" t="s">
        <v>90</v>
      </c>
      <c r="B445" s="3">
        <v>45627</v>
      </c>
      <c r="C445">
        <v>3593</v>
      </c>
    </row>
    <row r="446" spans="1:3" ht="15" customHeight="1" x14ac:dyDescent="0.3">
      <c r="A446" t="s">
        <v>90</v>
      </c>
      <c r="B446" s="3">
        <v>45658</v>
      </c>
      <c r="C446">
        <v>3726</v>
      </c>
    </row>
    <row r="447" spans="1:3" ht="15" customHeight="1" x14ac:dyDescent="0.3">
      <c r="A447" t="s">
        <v>90</v>
      </c>
      <c r="B447" s="3">
        <v>45689</v>
      </c>
      <c r="C447">
        <v>3060</v>
      </c>
    </row>
    <row r="448" spans="1:3" ht="15" customHeight="1" x14ac:dyDescent="0.3">
      <c r="A448" t="s">
        <v>90</v>
      </c>
      <c r="B448" s="3">
        <v>45717</v>
      </c>
      <c r="C448">
        <v>3350</v>
      </c>
    </row>
    <row r="449" spans="1:3" ht="15" customHeight="1" x14ac:dyDescent="0.3">
      <c r="A449" t="s">
        <v>90</v>
      </c>
      <c r="B449" s="3">
        <v>45748</v>
      </c>
      <c r="C449">
        <v>2383</v>
      </c>
    </row>
    <row r="450" spans="1:3" ht="15" customHeight="1" x14ac:dyDescent="0.3">
      <c r="A450" t="s">
        <v>90</v>
      </c>
      <c r="B450" s="3">
        <v>45778</v>
      </c>
      <c r="C450">
        <v>3026</v>
      </c>
    </row>
    <row r="451" spans="1:3" ht="15" customHeight="1" x14ac:dyDescent="0.3">
      <c r="A451" t="s">
        <v>90</v>
      </c>
      <c r="B451" s="3">
        <v>45809</v>
      </c>
      <c r="C451">
        <v>2637.9</v>
      </c>
    </row>
    <row r="452" spans="1:3" ht="15" customHeight="1" x14ac:dyDescent="0.3">
      <c r="A452" t="s">
        <v>90</v>
      </c>
      <c r="B452" s="3">
        <v>45839</v>
      </c>
      <c r="C452">
        <v>2506</v>
      </c>
    </row>
    <row r="453" spans="1:3" ht="15" customHeight="1" x14ac:dyDescent="0.3">
      <c r="A453" t="s">
        <v>90</v>
      </c>
      <c r="B453" s="3">
        <v>45870</v>
      </c>
      <c r="C453">
        <v>2144</v>
      </c>
    </row>
    <row r="454" spans="1:3" ht="15" customHeight="1" x14ac:dyDescent="0.3">
      <c r="A454" t="s">
        <v>90</v>
      </c>
      <c r="B454" s="3">
        <v>45901</v>
      </c>
      <c r="C454">
        <v>2520</v>
      </c>
    </row>
    <row r="455" spans="1:3" ht="15" customHeight="1" x14ac:dyDescent="0.3">
      <c r="A455" t="s">
        <v>90</v>
      </c>
      <c r="B455" s="3">
        <v>45931</v>
      </c>
      <c r="C455">
        <v>2989</v>
      </c>
    </row>
    <row r="456" spans="1:3" ht="15" customHeight="1" x14ac:dyDescent="0.3">
      <c r="A456" t="s">
        <v>90</v>
      </c>
      <c r="B456" s="3">
        <v>45962</v>
      </c>
      <c r="C456">
        <v>2384</v>
      </c>
    </row>
    <row r="457" spans="1:3" ht="15" customHeight="1" x14ac:dyDescent="0.3">
      <c r="A457" t="s">
        <v>90</v>
      </c>
      <c r="B457" s="3">
        <v>45992</v>
      </c>
      <c r="C457">
        <v>2166</v>
      </c>
    </row>
    <row r="458" spans="1:3" ht="15" customHeight="1" x14ac:dyDescent="0.3">
      <c r="A458" t="s">
        <v>90</v>
      </c>
      <c r="B458" s="3">
        <v>46023</v>
      </c>
      <c r="C458">
        <v>2756</v>
      </c>
    </row>
    <row r="459" spans="1:3" ht="15" customHeight="1" x14ac:dyDescent="0.3">
      <c r="A459" t="s">
        <v>90</v>
      </c>
      <c r="B459" s="3">
        <v>46054</v>
      </c>
      <c r="C459">
        <v>1526</v>
      </c>
    </row>
    <row r="460" spans="1:3" ht="15" customHeight="1" x14ac:dyDescent="0.3">
      <c r="A460" t="s">
        <v>90</v>
      </c>
      <c r="B460" s="3">
        <v>46082</v>
      </c>
      <c r="C460">
        <v>1909</v>
      </c>
    </row>
    <row r="461" spans="1:3" ht="15" customHeight="1" x14ac:dyDescent="0.3">
      <c r="A461" t="s">
        <v>90</v>
      </c>
      <c r="B461" s="3">
        <v>46113</v>
      </c>
      <c r="C461">
        <v>2190.9</v>
      </c>
    </row>
    <row r="462" spans="1:3" ht="15" customHeight="1" x14ac:dyDescent="0.3">
      <c r="A462" t="s">
        <v>90</v>
      </c>
      <c r="B462" s="3">
        <v>46143</v>
      </c>
      <c r="C462" s="13">
        <v>2313.3000000000002</v>
      </c>
    </row>
    <row r="463" spans="1:3" ht="15" customHeight="1" x14ac:dyDescent="0.3">
      <c r="A463" t="s">
        <v>90</v>
      </c>
      <c r="B463" s="3">
        <v>46174</v>
      </c>
    </row>
    <row r="464" spans="1:3" ht="15" customHeight="1" x14ac:dyDescent="0.3">
      <c r="A464" t="s">
        <v>90</v>
      </c>
      <c r="B464" s="3">
        <v>46204</v>
      </c>
    </row>
    <row r="465" spans="1:3" ht="15" customHeight="1" x14ac:dyDescent="0.3">
      <c r="A465" t="s">
        <v>90</v>
      </c>
      <c r="B465" s="3">
        <v>46235</v>
      </c>
    </row>
    <row r="466" spans="1:3" ht="15" customHeight="1" x14ac:dyDescent="0.3">
      <c r="A466" t="s">
        <v>90</v>
      </c>
      <c r="B466" s="3">
        <v>46266</v>
      </c>
    </row>
    <row r="467" spans="1:3" ht="15" customHeight="1" x14ac:dyDescent="0.3">
      <c r="A467" t="s">
        <v>90</v>
      </c>
      <c r="B467" s="3">
        <v>46296</v>
      </c>
    </row>
    <row r="468" spans="1:3" ht="15" customHeight="1" x14ac:dyDescent="0.3">
      <c r="A468" t="s">
        <v>90</v>
      </c>
      <c r="B468" s="3">
        <v>46327</v>
      </c>
    </row>
    <row r="469" spans="1:3" ht="15" customHeight="1" x14ac:dyDescent="0.3">
      <c r="A469" t="s">
        <v>90</v>
      </c>
      <c r="B469" s="3">
        <v>46357</v>
      </c>
    </row>
    <row r="470" spans="1:3" ht="15" customHeight="1" x14ac:dyDescent="0.3">
      <c r="A470" t="s">
        <v>95</v>
      </c>
      <c r="B470" s="3">
        <v>45292</v>
      </c>
      <c r="C470">
        <v>5665</v>
      </c>
    </row>
    <row r="471" spans="1:3" ht="15" customHeight="1" x14ac:dyDescent="0.3">
      <c r="A471" t="s">
        <v>95</v>
      </c>
      <c r="B471" s="3">
        <v>45323</v>
      </c>
      <c r="C471">
        <v>3554</v>
      </c>
    </row>
    <row r="472" spans="1:3" ht="15" customHeight="1" x14ac:dyDescent="0.3">
      <c r="A472" t="s">
        <v>95</v>
      </c>
      <c r="B472" s="3">
        <v>45352</v>
      </c>
      <c r="C472">
        <v>1</v>
      </c>
    </row>
    <row r="473" spans="1:3" ht="15" customHeight="1" x14ac:dyDescent="0.3">
      <c r="A473" t="s">
        <v>95</v>
      </c>
      <c r="B473" s="3">
        <v>45383</v>
      </c>
      <c r="C473">
        <v>1</v>
      </c>
    </row>
    <row r="474" spans="1:3" ht="15" customHeight="1" x14ac:dyDescent="0.3">
      <c r="A474" t="s">
        <v>95</v>
      </c>
      <c r="B474" s="3">
        <v>45413</v>
      </c>
      <c r="C474">
        <v>1</v>
      </c>
    </row>
    <row r="475" spans="1:3" ht="15" customHeight="1" x14ac:dyDescent="0.3">
      <c r="A475" t="s">
        <v>95</v>
      </c>
      <c r="B475" s="3">
        <v>45444</v>
      </c>
      <c r="C475">
        <v>3309</v>
      </c>
    </row>
    <row r="476" spans="1:3" ht="15" customHeight="1" x14ac:dyDescent="0.3">
      <c r="A476" t="s">
        <v>95</v>
      </c>
      <c r="B476" s="3">
        <v>45474</v>
      </c>
      <c r="C476">
        <v>2293</v>
      </c>
    </row>
    <row r="477" spans="1:3" ht="15" customHeight="1" x14ac:dyDescent="0.3">
      <c r="A477" t="s">
        <v>95</v>
      </c>
      <c r="B477" s="3">
        <v>45505</v>
      </c>
      <c r="C477">
        <v>1967</v>
      </c>
    </row>
    <row r="478" spans="1:3" ht="15" customHeight="1" x14ac:dyDescent="0.3">
      <c r="A478" t="s">
        <v>95</v>
      </c>
      <c r="B478" s="3">
        <v>45536</v>
      </c>
      <c r="C478">
        <v>3009</v>
      </c>
    </row>
    <row r="479" spans="1:3" ht="15" customHeight="1" x14ac:dyDescent="0.3">
      <c r="A479" t="s">
        <v>95</v>
      </c>
      <c r="B479" s="3">
        <v>45566</v>
      </c>
      <c r="C479">
        <v>4500</v>
      </c>
    </row>
    <row r="480" spans="1:3" ht="15" customHeight="1" x14ac:dyDescent="0.3">
      <c r="A480" t="s">
        <v>95</v>
      </c>
      <c r="B480" s="3">
        <v>45597</v>
      </c>
      <c r="C480">
        <v>3918</v>
      </c>
    </row>
    <row r="481" spans="1:3" ht="15" customHeight="1" x14ac:dyDescent="0.3">
      <c r="A481" t="s">
        <v>95</v>
      </c>
      <c r="B481" s="3">
        <v>45627</v>
      </c>
      <c r="C481">
        <v>2583</v>
      </c>
    </row>
    <row r="482" spans="1:3" ht="15" customHeight="1" x14ac:dyDescent="0.3">
      <c r="A482" t="s">
        <v>95</v>
      </c>
      <c r="B482" s="3">
        <v>45658</v>
      </c>
      <c r="C482">
        <v>3426</v>
      </c>
    </row>
    <row r="483" spans="1:3" ht="15" customHeight="1" x14ac:dyDescent="0.3">
      <c r="A483" t="s">
        <v>95</v>
      </c>
      <c r="B483" s="3">
        <v>45689</v>
      </c>
      <c r="C483">
        <v>3380.46</v>
      </c>
    </row>
    <row r="484" spans="1:3" ht="15" customHeight="1" x14ac:dyDescent="0.3">
      <c r="A484" t="s">
        <v>95</v>
      </c>
      <c r="B484" s="3">
        <v>45717</v>
      </c>
      <c r="C484">
        <v>3717</v>
      </c>
    </row>
    <row r="485" spans="1:3" ht="15" customHeight="1" x14ac:dyDescent="0.3">
      <c r="A485" t="s">
        <v>95</v>
      </c>
      <c r="B485" s="3">
        <v>45748</v>
      </c>
      <c r="C485">
        <v>2027</v>
      </c>
    </row>
    <row r="486" spans="1:3" ht="15" customHeight="1" x14ac:dyDescent="0.3">
      <c r="A486" t="s">
        <v>95</v>
      </c>
      <c r="B486" s="3">
        <v>45778</v>
      </c>
      <c r="C486">
        <v>3199</v>
      </c>
    </row>
    <row r="487" spans="1:3" ht="15" customHeight="1" x14ac:dyDescent="0.3">
      <c r="A487" t="s">
        <v>95</v>
      </c>
      <c r="B487" s="3">
        <v>45809</v>
      </c>
      <c r="C487">
        <v>2899.41</v>
      </c>
    </row>
    <row r="488" spans="1:3" ht="15" customHeight="1" x14ac:dyDescent="0.3">
      <c r="A488" t="s">
        <v>95</v>
      </c>
      <c r="B488" s="3">
        <v>45839</v>
      </c>
      <c r="C488">
        <v>3705</v>
      </c>
    </row>
    <row r="489" spans="1:3" ht="15" customHeight="1" x14ac:dyDescent="0.3">
      <c r="A489" t="s">
        <v>95</v>
      </c>
      <c r="B489" s="3">
        <v>45870</v>
      </c>
      <c r="C489">
        <v>4242</v>
      </c>
    </row>
    <row r="490" spans="1:3" ht="15" customHeight="1" x14ac:dyDescent="0.3">
      <c r="A490" t="s">
        <v>95</v>
      </c>
      <c r="B490" s="3">
        <v>45901</v>
      </c>
      <c r="C490">
        <v>3928</v>
      </c>
    </row>
    <row r="491" spans="1:3" ht="15" customHeight="1" x14ac:dyDescent="0.3">
      <c r="A491" t="s">
        <v>95</v>
      </c>
      <c r="B491" s="3">
        <v>45931</v>
      </c>
      <c r="C491">
        <v>4810</v>
      </c>
    </row>
    <row r="492" spans="1:3" ht="15" customHeight="1" x14ac:dyDescent="0.3">
      <c r="A492" t="s">
        <v>95</v>
      </c>
      <c r="B492" s="3">
        <v>45962</v>
      </c>
      <c r="C492">
        <v>5556</v>
      </c>
    </row>
    <row r="493" spans="1:3" ht="15" customHeight="1" x14ac:dyDescent="0.3">
      <c r="A493" t="s">
        <v>95</v>
      </c>
      <c r="B493" s="3">
        <v>45992</v>
      </c>
      <c r="C493">
        <v>5696</v>
      </c>
    </row>
    <row r="494" spans="1:3" ht="15" customHeight="1" x14ac:dyDescent="0.3">
      <c r="A494" t="s">
        <v>95</v>
      </c>
      <c r="B494" s="3">
        <v>46023</v>
      </c>
      <c r="C494">
        <v>5960</v>
      </c>
    </row>
    <row r="495" spans="1:3" ht="15" customHeight="1" x14ac:dyDescent="0.3">
      <c r="A495" t="s">
        <v>95</v>
      </c>
      <c r="B495" s="3">
        <v>46054</v>
      </c>
      <c r="C495">
        <v>5548</v>
      </c>
    </row>
    <row r="496" spans="1:3" ht="15" customHeight="1" x14ac:dyDescent="0.3">
      <c r="A496" t="s">
        <v>95</v>
      </c>
      <c r="B496" s="3">
        <v>46082</v>
      </c>
      <c r="C496">
        <v>5036</v>
      </c>
    </row>
    <row r="497" spans="1:3" ht="15" customHeight="1" x14ac:dyDescent="0.3">
      <c r="A497" t="s">
        <v>95</v>
      </c>
      <c r="B497" s="3">
        <v>46113</v>
      </c>
      <c r="C497">
        <v>4183.2700000000004</v>
      </c>
    </row>
    <row r="498" spans="1:3" ht="15" customHeight="1" x14ac:dyDescent="0.3">
      <c r="A498" t="s">
        <v>95</v>
      </c>
      <c r="B498" s="3">
        <v>46143</v>
      </c>
      <c r="C498" s="13">
        <v>4320</v>
      </c>
    </row>
    <row r="499" spans="1:3" ht="15" customHeight="1" x14ac:dyDescent="0.3">
      <c r="A499" t="s">
        <v>95</v>
      </c>
      <c r="B499" s="3">
        <v>46174</v>
      </c>
    </row>
    <row r="500" spans="1:3" ht="15" customHeight="1" x14ac:dyDescent="0.3">
      <c r="A500" t="s">
        <v>95</v>
      </c>
      <c r="B500" s="3">
        <v>46204</v>
      </c>
    </row>
    <row r="501" spans="1:3" ht="15" customHeight="1" x14ac:dyDescent="0.3">
      <c r="A501" t="s">
        <v>95</v>
      </c>
      <c r="B501" s="3">
        <v>46235</v>
      </c>
    </row>
    <row r="502" spans="1:3" ht="15" customHeight="1" x14ac:dyDescent="0.3">
      <c r="A502" t="s">
        <v>95</v>
      </c>
      <c r="B502" s="3">
        <v>46266</v>
      </c>
    </row>
    <row r="503" spans="1:3" ht="15" customHeight="1" x14ac:dyDescent="0.3">
      <c r="A503" t="s">
        <v>95</v>
      </c>
      <c r="B503" s="3">
        <v>46296</v>
      </c>
    </row>
    <row r="504" spans="1:3" ht="15" customHeight="1" x14ac:dyDescent="0.3">
      <c r="A504" t="s">
        <v>95</v>
      </c>
      <c r="B504" s="3">
        <v>46327</v>
      </c>
    </row>
    <row r="505" spans="1:3" ht="15" customHeight="1" x14ac:dyDescent="0.3">
      <c r="A505" t="s">
        <v>95</v>
      </c>
      <c r="B505" s="3">
        <v>46357</v>
      </c>
    </row>
    <row r="506" spans="1:3" ht="15" customHeight="1" x14ac:dyDescent="0.3">
      <c r="A506" t="s">
        <v>98</v>
      </c>
      <c r="B506" s="3">
        <v>45292</v>
      </c>
    </row>
    <row r="507" spans="1:3" ht="15" customHeight="1" x14ac:dyDescent="0.3">
      <c r="A507" t="s">
        <v>98</v>
      </c>
      <c r="B507" s="3">
        <v>45323</v>
      </c>
    </row>
    <row r="508" spans="1:3" ht="15" customHeight="1" x14ac:dyDescent="0.3">
      <c r="A508" t="s">
        <v>98</v>
      </c>
      <c r="B508" s="3">
        <v>45352</v>
      </c>
    </row>
    <row r="509" spans="1:3" ht="15" customHeight="1" x14ac:dyDescent="0.3">
      <c r="A509" t="s">
        <v>98</v>
      </c>
      <c r="B509" s="3">
        <v>45383</v>
      </c>
    </row>
    <row r="510" spans="1:3" ht="15" customHeight="1" x14ac:dyDescent="0.3">
      <c r="A510" t="s">
        <v>98</v>
      </c>
      <c r="B510" s="3">
        <v>45413</v>
      </c>
    </row>
    <row r="511" spans="1:3" ht="15" customHeight="1" x14ac:dyDescent="0.3">
      <c r="A511" t="s">
        <v>98</v>
      </c>
      <c r="B511" s="3">
        <v>45444</v>
      </c>
    </row>
    <row r="512" spans="1:3" ht="15" customHeight="1" x14ac:dyDescent="0.3">
      <c r="A512" t="s">
        <v>98</v>
      </c>
      <c r="B512" s="3">
        <v>45474</v>
      </c>
    </row>
    <row r="513" spans="1:3" ht="15" customHeight="1" x14ac:dyDescent="0.3">
      <c r="A513" t="s">
        <v>98</v>
      </c>
      <c r="B513" s="3">
        <v>45505</v>
      </c>
    </row>
    <row r="514" spans="1:3" ht="15" customHeight="1" x14ac:dyDescent="0.3">
      <c r="A514" t="s">
        <v>98</v>
      </c>
      <c r="B514" s="3">
        <v>45536</v>
      </c>
    </row>
    <row r="515" spans="1:3" ht="15" customHeight="1" x14ac:dyDescent="0.3">
      <c r="A515" t="s">
        <v>98</v>
      </c>
      <c r="B515" s="3">
        <v>45566</v>
      </c>
    </row>
    <row r="516" spans="1:3" ht="15" customHeight="1" x14ac:dyDescent="0.3">
      <c r="A516" t="s">
        <v>98</v>
      </c>
      <c r="B516" s="3">
        <v>45597</v>
      </c>
    </row>
    <row r="517" spans="1:3" ht="15" customHeight="1" x14ac:dyDescent="0.3">
      <c r="A517" t="s">
        <v>98</v>
      </c>
      <c r="B517" s="3">
        <v>45627</v>
      </c>
    </row>
    <row r="518" spans="1:3" ht="15" customHeight="1" x14ac:dyDescent="0.3">
      <c r="A518" t="s">
        <v>98</v>
      </c>
      <c r="B518" s="3">
        <v>45658</v>
      </c>
    </row>
    <row r="519" spans="1:3" ht="15" customHeight="1" x14ac:dyDescent="0.3">
      <c r="A519" t="s">
        <v>98</v>
      </c>
      <c r="B519" s="3">
        <v>45689</v>
      </c>
    </row>
    <row r="520" spans="1:3" ht="15" customHeight="1" x14ac:dyDescent="0.3">
      <c r="A520" t="s">
        <v>98</v>
      </c>
      <c r="B520" s="3">
        <v>45717</v>
      </c>
    </row>
    <row r="521" spans="1:3" ht="15" customHeight="1" x14ac:dyDescent="0.3">
      <c r="A521" t="s">
        <v>98</v>
      </c>
      <c r="B521" s="3">
        <v>45748</v>
      </c>
    </row>
    <row r="522" spans="1:3" ht="15" customHeight="1" x14ac:dyDescent="0.3">
      <c r="A522" t="s">
        <v>98</v>
      </c>
      <c r="B522" s="3">
        <v>45778</v>
      </c>
    </row>
    <row r="523" spans="1:3" ht="15" customHeight="1" x14ac:dyDescent="0.3">
      <c r="A523" t="s">
        <v>98</v>
      </c>
      <c r="B523" s="3">
        <v>45809</v>
      </c>
    </row>
    <row r="524" spans="1:3" ht="15" customHeight="1" x14ac:dyDescent="0.3">
      <c r="A524" t="s">
        <v>98</v>
      </c>
      <c r="B524" s="3">
        <v>45839</v>
      </c>
    </row>
    <row r="525" spans="1:3" ht="15" customHeight="1" x14ac:dyDescent="0.3">
      <c r="A525" t="s">
        <v>98</v>
      </c>
      <c r="B525" s="3">
        <v>45870</v>
      </c>
    </row>
    <row r="526" spans="1:3" ht="15" customHeight="1" x14ac:dyDescent="0.3">
      <c r="A526" t="s">
        <v>98</v>
      </c>
      <c r="B526" s="3">
        <v>45901</v>
      </c>
      <c r="C526">
        <v>8715</v>
      </c>
    </row>
    <row r="527" spans="1:3" ht="15" customHeight="1" x14ac:dyDescent="0.3">
      <c r="A527" t="s">
        <v>98</v>
      </c>
      <c r="B527" s="3">
        <v>45931</v>
      </c>
      <c r="C527">
        <v>11487.6</v>
      </c>
    </row>
    <row r="528" spans="1:3" ht="15" customHeight="1" x14ac:dyDescent="0.3">
      <c r="A528" t="s">
        <v>98</v>
      </c>
      <c r="B528" s="3">
        <v>45962</v>
      </c>
      <c r="C528">
        <v>11643</v>
      </c>
    </row>
    <row r="529" spans="1:3" ht="15" customHeight="1" x14ac:dyDescent="0.3">
      <c r="A529" t="s">
        <v>98</v>
      </c>
      <c r="B529" s="3">
        <v>45992</v>
      </c>
      <c r="C529">
        <v>11559</v>
      </c>
    </row>
    <row r="530" spans="1:3" ht="15" customHeight="1" x14ac:dyDescent="0.3">
      <c r="A530" t="s">
        <v>98</v>
      </c>
      <c r="B530" s="3">
        <v>46023</v>
      </c>
      <c r="C530">
        <v>12880</v>
      </c>
    </row>
    <row r="531" spans="1:3" ht="15" customHeight="1" x14ac:dyDescent="0.3">
      <c r="A531" t="s">
        <v>98</v>
      </c>
      <c r="B531" s="3">
        <v>46054</v>
      </c>
      <c r="C531">
        <v>9660</v>
      </c>
    </row>
    <row r="532" spans="1:3" ht="15" customHeight="1" x14ac:dyDescent="0.3">
      <c r="A532" t="s">
        <v>98</v>
      </c>
      <c r="B532" s="3">
        <v>46082</v>
      </c>
      <c r="C532">
        <v>9967</v>
      </c>
    </row>
    <row r="533" spans="1:3" ht="15" customHeight="1" x14ac:dyDescent="0.3">
      <c r="A533" t="s">
        <v>98</v>
      </c>
      <c r="B533" s="3">
        <v>46113</v>
      </c>
      <c r="C533">
        <v>4183</v>
      </c>
    </row>
    <row r="534" spans="1:3" ht="15" customHeight="1" x14ac:dyDescent="0.3">
      <c r="A534" t="s">
        <v>98</v>
      </c>
      <c r="B534" s="3">
        <v>46143</v>
      </c>
      <c r="C534" s="13"/>
    </row>
    <row r="535" spans="1:3" ht="15" customHeight="1" x14ac:dyDescent="0.3">
      <c r="A535" t="s">
        <v>98</v>
      </c>
      <c r="B535" s="3">
        <v>46174</v>
      </c>
    </row>
    <row r="536" spans="1:3" ht="15" customHeight="1" x14ac:dyDescent="0.3">
      <c r="A536" t="s">
        <v>98</v>
      </c>
      <c r="B536" s="3">
        <v>46204</v>
      </c>
    </row>
    <row r="537" spans="1:3" ht="15" customHeight="1" x14ac:dyDescent="0.3">
      <c r="A537" t="s">
        <v>98</v>
      </c>
      <c r="B537" s="3">
        <v>46235</v>
      </c>
    </row>
    <row r="538" spans="1:3" ht="15" customHeight="1" x14ac:dyDescent="0.3">
      <c r="A538" t="s">
        <v>98</v>
      </c>
      <c r="B538" s="3">
        <v>46266</v>
      </c>
    </row>
    <row r="539" spans="1:3" ht="15" customHeight="1" x14ac:dyDescent="0.3">
      <c r="A539" t="s">
        <v>98</v>
      </c>
      <c r="B539" s="3">
        <v>46296</v>
      </c>
    </row>
    <row r="540" spans="1:3" ht="15" customHeight="1" x14ac:dyDescent="0.3">
      <c r="A540" t="s">
        <v>98</v>
      </c>
      <c r="B540" s="3">
        <v>46327</v>
      </c>
    </row>
    <row r="541" spans="1:3" ht="15" customHeight="1" x14ac:dyDescent="0.3">
      <c r="A541" t="s">
        <v>98</v>
      </c>
      <c r="B541" s="3">
        <v>46357</v>
      </c>
    </row>
    <row r="542" spans="1:3" ht="15" customHeight="1" x14ac:dyDescent="0.3">
      <c r="A542" t="s">
        <v>100</v>
      </c>
      <c r="B542" s="3">
        <v>45292</v>
      </c>
    </row>
    <row r="543" spans="1:3" ht="15" customHeight="1" x14ac:dyDescent="0.3">
      <c r="A543" t="s">
        <v>100</v>
      </c>
      <c r="B543" s="3">
        <v>45323</v>
      </c>
    </row>
    <row r="544" spans="1:3" ht="15" customHeight="1" x14ac:dyDescent="0.3">
      <c r="A544" t="s">
        <v>100</v>
      </c>
      <c r="B544" s="3">
        <v>45352</v>
      </c>
    </row>
    <row r="545" spans="1:3" ht="15" customHeight="1" x14ac:dyDescent="0.3">
      <c r="A545" t="s">
        <v>100</v>
      </c>
      <c r="B545" s="3">
        <v>45383</v>
      </c>
    </row>
    <row r="546" spans="1:3" ht="15" customHeight="1" x14ac:dyDescent="0.3">
      <c r="A546" t="s">
        <v>100</v>
      </c>
      <c r="B546" s="3">
        <v>45413</v>
      </c>
    </row>
    <row r="547" spans="1:3" ht="15" customHeight="1" x14ac:dyDescent="0.3">
      <c r="A547" t="s">
        <v>100</v>
      </c>
      <c r="B547" s="3">
        <v>45444</v>
      </c>
    </row>
    <row r="548" spans="1:3" ht="15" customHeight="1" x14ac:dyDescent="0.3">
      <c r="A548" t="s">
        <v>100</v>
      </c>
      <c r="B548" s="3">
        <v>45474</v>
      </c>
    </row>
    <row r="549" spans="1:3" ht="15" customHeight="1" x14ac:dyDescent="0.3">
      <c r="A549" t="s">
        <v>100</v>
      </c>
      <c r="B549" s="3">
        <v>45505</v>
      </c>
    </row>
    <row r="550" spans="1:3" ht="15" customHeight="1" x14ac:dyDescent="0.3">
      <c r="A550" t="s">
        <v>100</v>
      </c>
      <c r="B550" s="3">
        <v>45536</v>
      </c>
    </row>
    <row r="551" spans="1:3" ht="15" customHeight="1" x14ac:dyDescent="0.3">
      <c r="A551" t="s">
        <v>100</v>
      </c>
      <c r="B551" s="3">
        <v>45566</v>
      </c>
    </row>
    <row r="552" spans="1:3" ht="15" customHeight="1" x14ac:dyDescent="0.3">
      <c r="A552" t="s">
        <v>100</v>
      </c>
      <c r="B552" s="3">
        <v>45597</v>
      </c>
    </row>
    <row r="553" spans="1:3" ht="15" customHeight="1" x14ac:dyDescent="0.3">
      <c r="A553" t="s">
        <v>100</v>
      </c>
      <c r="B553" s="3">
        <v>45627</v>
      </c>
    </row>
    <row r="554" spans="1:3" ht="15" customHeight="1" x14ac:dyDescent="0.3">
      <c r="A554" t="s">
        <v>100</v>
      </c>
      <c r="B554" s="3">
        <v>45658</v>
      </c>
      <c r="C554">
        <v>17200</v>
      </c>
    </row>
    <row r="555" spans="1:3" ht="15" customHeight="1" x14ac:dyDescent="0.3">
      <c r="A555" t="s">
        <v>100</v>
      </c>
      <c r="B555" s="3">
        <v>45689</v>
      </c>
      <c r="C555">
        <v>15760</v>
      </c>
    </row>
    <row r="556" spans="1:3" ht="15" customHeight="1" x14ac:dyDescent="0.3">
      <c r="A556" t="s">
        <v>100</v>
      </c>
      <c r="B556" s="3">
        <v>45717</v>
      </c>
      <c r="C556">
        <v>15700</v>
      </c>
    </row>
    <row r="557" spans="1:3" ht="15" customHeight="1" x14ac:dyDescent="0.3">
      <c r="A557" t="s">
        <v>100</v>
      </c>
      <c r="B557" s="3">
        <v>45748</v>
      </c>
      <c r="C557">
        <v>10223</v>
      </c>
    </row>
    <row r="558" spans="1:3" ht="15" customHeight="1" x14ac:dyDescent="0.3">
      <c r="A558" t="s">
        <v>100</v>
      </c>
      <c r="B558" s="3">
        <v>45778</v>
      </c>
      <c r="C558">
        <v>14225</v>
      </c>
    </row>
    <row r="559" spans="1:3" ht="15" customHeight="1" x14ac:dyDescent="0.3">
      <c r="A559" t="s">
        <v>100</v>
      </c>
      <c r="B559" s="3">
        <v>45809</v>
      </c>
      <c r="C559">
        <v>14376.5</v>
      </c>
    </row>
    <row r="560" spans="1:3" ht="15" customHeight="1" x14ac:dyDescent="0.3">
      <c r="A560" t="s">
        <v>100</v>
      </c>
      <c r="B560" s="3">
        <v>45839</v>
      </c>
      <c r="C560">
        <v>15177.99</v>
      </c>
    </row>
    <row r="561" spans="1:3" ht="15" customHeight="1" x14ac:dyDescent="0.3">
      <c r="A561" t="s">
        <v>100</v>
      </c>
      <c r="B561" s="3">
        <v>45870</v>
      </c>
      <c r="C561">
        <v>16924</v>
      </c>
    </row>
    <row r="562" spans="1:3" ht="15" customHeight="1" x14ac:dyDescent="0.3">
      <c r="A562" t="s">
        <v>100</v>
      </c>
      <c r="B562" s="3">
        <v>45901</v>
      </c>
      <c r="C562">
        <v>16705</v>
      </c>
    </row>
    <row r="563" spans="1:3" ht="15" customHeight="1" x14ac:dyDescent="0.3">
      <c r="A563" t="s">
        <v>100</v>
      </c>
      <c r="B563" s="3">
        <v>45931</v>
      </c>
      <c r="C563">
        <v>21308.400000000001</v>
      </c>
    </row>
    <row r="564" spans="1:3" ht="15" customHeight="1" x14ac:dyDescent="0.3">
      <c r="A564" t="s">
        <v>100</v>
      </c>
      <c r="B564" s="3">
        <v>45962</v>
      </c>
      <c r="C564">
        <v>12744</v>
      </c>
    </row>
    <row r="565" spans="1:3" ht="15" customHeight="1" x14ac:dyDescent="0.3">
      <c r="A565" t="s">
        <v>100</v>
      </c>
      <c r="B565" s="3">
        <v>45992</v>
      </c>
      <c r="C565">
        <v>7631</v>
      </c>
    </row>
    <row r="566" spans="1:3" ht="15" customHeight="1" x14ac:dyDescent="0.3">
      <c r="A566" t="s">
        <v>100</v>
      </c>
      <c r="B566" s="3">
        <v>46023</v>
      </c>
      <c r="C566">
        <v>7744.97</v>
      </c>
    </row>
    <row r="567" spans="1:3" ht="15" customHeight="1" x14ac:dyDescent="0.3">
      <c r="A567" t="s">
        <v>100</v>
      </c>
      <c r="B567" s="3">
        <v>46054</v>
      </c>
      <c r="C567">
        <v>13221</v>
      </c>
    </row>
    <row r="568" spans="1:3" ht="15" customHeight="1" x14ac:dyDescent="0.3">
      <c r="A568" t="s">
        <v>100</v>
      </c>
      <c r="B568" s="3">
        <v>46082</v>
      </c>
      <c r="C568">
        <v>14695</v>
      </c>
    </row>
    <row r="569" spans="1:3" ht="15" customHeight="1" x14ac:dyDescent="0.3">
      <c r="A569" t="s">
        <v>100</v>
      </c>
      <c r="B569" s="3">
        <v>46113</v>
      </c>
      <c r="C569">
        <v>14798.11</v>
      </c>
    </row>
    <row r="570" spans="1:3" ht="15" customHeight="1" x14ac:dyDescent="0.3">
      <c r="A570" t="s">
        <v>100</v>
      </c>
      <c r="B570" s="3">
        <v>46143</v>
      </c>
      <c r="C570" s="13">
        <v>13154.32</v>
      </c>
    </row>
    <row r="571" spans="1:3" ht="15" customHeight="1" x14ac:dyDescent="0.3">
      <c r="A571" t="s">
        <v>100</v>
      </c>
      <c r="B571" s="3">
        <v>46174</v>
      </c>
    </row>
    <row r="572" spans="1:3" ht="15" customHeight="1" x14ac:dyDescent="0.3">
      <c r="A572" t="s">
        <v>100</v>
      </c>
      <c r="B572" s="3">
        <v>46204</v>
      </c>
    </row>
    <row r="573" spans="1:3" ht="15" customHeight="1" x14ac:dyDescent="0.3">
      <c r="A573" t="s">
        <v>100</v>
      </c>
      <c r="B573" s="3">
        <v>46235</v>
      </c>
    </row>
    <row r="574" spans="1:3" ht="15" customHeight="1" x14ac:dyDescent="0.3">
      <c r="A574" t="s">
        <v>100</v>
      </c>
      <c r="B574" s="3">
        <v>46266</v>
      </c>
    </row>
    <row r="575" spans="1:3" ht="15" customHeight="1" x14ac:dyDescent="0.3">
      <c r="A575" t="s">
        <v>100</v>
      </c>
      <c r="B575" s="3">
        <v>46296</v>
      </c>
    </row>
    <row r="576" spans="1:3" ht="15" customHeight="1" x14ac:dyDescent="0.3">
      <c r="A576" t="s">
        <v>100</v>
      </c>
      <c r="B576" s="3">
        <v>46327</v>
      </c>
    </row>
    <row r="577" spans="1:2" ht="15" customHeight="1" x14ac:dyDescent="0.3">
      <c r="A577" t="s">
        <v>100</v>
      </c>
      <c r="B577" s="3">
        <v>46357</v>
      </c>
    </row>
    <row r="578" spans="1:2" ht="15" customHeight="1" x14ac:dyDescent="0.3">
      <c r="A578" t="s">
        <v>252</v>
      </c>
      <c r="B578" s="3">
        <v>45292</v>
      </c>
    </row>
    <row r="579" spans="1:2" ht="15" customHeight="1" x14ac:dyDescent="0.3">
      <c r="A579" t="s">
        <v>252</v>
      </c>
      <c r="B579" s="3">
        <v>45323</v>
      </c>
    </row>
    <row r="580" spans="1:2" ht="15" customHeight="1" x14ac:dyDescent="0.3">
      <c r="A580" t="s">
        <v>252</v>
      </c>
      <c r="B580" s="3">
        <v>45352</v>
      </c>
    </row>
    <row r="581" spans="1:2" ht="15" customHeight="1" x14ac:dyDescent="0.3">
      <c r="A581" t="s">
        <v>252</v>
      </c>
      <c r="B581" s="3">
        <v>45383</v>
      </c>
    </row>
    <row r="582" spans="1:2" ht="15" customHeight="1" x14ac:dyDescent="0.3">
      <c r="A582" t="s">
        <v>252</v>
      </c>
      <c r="B582" s="3">
        <v>45413</v>
      </c>
    </row>
    <row r="583" spans="1:2" ht="15" customHeight="1" x14ac:dyDescent="0.3">
      <c r="A583" t="s">
        <v>252</v>
      </c>
      <c r="B583" s="3">
        <v>45444</v>
      </c>
    </row>
    <row r="584" spans="1:2" ht="15" customHeight="1" x14ac:dyDescent="0.3">
      <c r="A584" t="s">
        <v>252</v>
      </c>
      <c r="B584" s="3">
        <v>45474</v>
      </c>
    </row>
    <row r="585" spans="1:2" ht="15" customHeight="1" x14ac:dyDescent="0.3">
      <c r="A585" t="s">
        <v>252</v>
      </c>
      <c r="B585" s="3">
        <v>45505</v>
      </c>
    </row>
    <row r="586" spans="1:2" ht="15" customHeight="1" x14ac:dyDescent="0.3">
      <c r="A586" t="s">
        <v>252</v>
      </c>
      <c r="B586" s="3">
        <v>45536</v>
      </c>
    </row>
    <row r="587" spans="1:2" ht="15" customHeight="1" x14ac:dyDescent="0.3">
      <c r="A587" t="s">
        <v>252</v>
      </c>
      <c r="B587" s="3">
        <v>45566</v>
      </c>
    </row>
    <row r="588" spans="1:2" ht="15" customHeight="1" x14ac:dyDescent="0.3">
      <c r="A588" t="s">
        <v>252</v>
      </c>
      <c r="B588" s="3">
        <v>45597</v>
      </c>
    </row>
    <row r="589" spans="1:2" ht="15" customHeight="1" x14ac:dyDescent="0.3">
      <c r="A589" t="s">
        <v>252</v>
      </c>
      <c r="B589" s="3">
        <v>45627</v>
      </c>
    </row>
    <row r="590" spans="1:2" ht="15" customHeight="1" x14ac:dyDescent="0.3">
      <c r="A590" t="s">
        <v>252</v>
      </c>
      <c r="B590" s="3">
        <v>45658</v>
      </c>
    </row>
    <row r="591" spans="1:2" ht="15" customHeight="1" x14ac:dyDescent="0.3">
      <c r="A591" t="s">
        <v>252</v>
      </c>
      <c r="B591" s="3">
        <v>45689</v>
      </c>
    </row>
    <row r="592" spans="1:2" ht="15" customHeight="1" x14ac:dyDescent="0.3">
      <c r="A592" t="s">
        <v>252</v>
      </c>
      <c r="B592" s="3">
        <v>45717</v>
      </c>
    </row>
    <row r="593" spans="1:3" ht="15" customHeight="1" x14ac:dyDescent="0.3">
      <c r="A593" t="s">
        <v>252</v>
      </c>
      <c r="B593" s="3">
        <v>45748</v>
      </c>
    </row>
    <row r="594" spans="1:3" ht="15" customHeight="1" x14ac:dyDescent="0.3">
      <c r="A594" t="s">
        <v>252</v>
      </c>
      <c r="B594" s="3">
        <v>45778</v>
      </c>
    </row>
    <row r="595" spans="1:3" ht="15" customHeight="1" x14ac:dyDescent="0.3">
      <c r="A595" t="s">
        <v>252</v>
      </c>
      <c r="B595" s="3">
        <v>45809</v>
      </c>
    </row>
    <row r="596" spans="1:3" ht="15" customHeight="1" x14ac:dyDescent="0.3">
      <c r="A596" t="s">
        <v>252</v>
      </c>
      <c r="B596" s="3">
        <v>45839</v>
      </c>
    </row>
    <row r="597" spans="1:3" ht="15" customHeight="1" x14ac:dyDescent="0.3">
      <c r="A597" t="s">
        <v>252</v>
      </c>
      <c r="B597" s="3">
        <v>45870</v>
      </c>
    </row>
    <row r="598" spans="1:3" ht="15" customHeight="1" x14ac:dyDescent="0.3">
      <c r="A598" t="s">
        <v>252</v>
      </c>
      <c r="B598" s="3">
        <v>45901</v>
      </c>
    </row>
    <row r="599" spans="1:3" ht="15" customHeight="1" x14ac:dyDescent="0.3">
      <c r="A599" t="s">
        <v>252</v>
      </c>
      <c r="B599" s="3">
        <v>45931</v>
      </c>
    </row>
    <row r="600" spans="1:3" ht="15" customHeight="1" x14ac:dyDescent="0.3">
      <c r="A600" t="s">
        <v>252</v>
      </c>
      <c r="B600" s="3">
        <v>45962</v>
      </c>
    </row>
    <row r="601" spans="1:3" ht="15" customHeight="1" x14ac:dyDescent="0.3">
      <c r="A601" t="s">
        <v>252</v>
      </c>
      <c r="B601" s="3">
        <v>45992</v>
      </c>
    </row>
    <row r="602" spans="1:3" ht="15" customHeight="1" x14ac:dyDescent="0.3">
      <c r="A602" t="s">
        <v>252</v>
      </c>
      <c r="B602" s="3">
        <v>46023</v>
      </c>
      <c r="C602">
        <v>3245</v>
      </c>
    </row>
    <row r="603" spans="1:3" ht="15" customHeight="1" x14ac:dyDescent="0.3">
      <c r="A603" t="s">
        <v>252</v>
      </c>
      <c r="B603" s="3">
        <v>46054</v>
      </c>
      <c r="C603">
        <v>3122</v>
      </c>
    </row>
    <row r="604" spans="1:3" ht="15" customHeight="1" x14ac:dyDescent="0.3">
      <c r="A604" t="s">
        <v>252</v>
      </c>
      <c r="B604" s="3">
        <v>46082</v>
      </c>
      <c r="C604">
        <v>2817</v>
      </c>
    </row>
    <row r="605" spans="1:3" ht="15" customHeight="1" x14ac:dyDescent="0.3">
      <c r="A605" t="s">
        <v>252</v>
      </c>
      <c r="B605" s="3">
        <v>46113</v>
      </c>
      <c r="C605">
        <v>2735.53</v>
      </c>
    </row>
    <row r="606" spans="1:3" ht="15" customHeight="1" x14ac:dyDescent="0.3">
      <c r="A606" t="s">
        <v>252</v>
      </c>
      <c r="B606" s="3">
        <v>46143</v>
      </c>
      <c r="C606" s="13">
        <v>3239.91</v>
      </c>
    </row>
    <row r="607" spans="1:3" ht="15" customHeight="1" x14ac:dyDescent="0.3">
      <c r="A607" t="s">
        <v>252</v>
      </c>
      <c r="B607" s="3">
        <v>46174</v>
      </c>
    </row>
    <row r="608" spans="1:3" ht="15" customHeight="1" x14ac:dyDescent="0.3">
      <c r="A608" t="s">
        <v>252</v>
      </c>
      <c r="B608" s="3">
        <v>46204</v>
      </c>
    </row>
    <row r="609" spans="1:3" ht="15" customHeight="1" x14ac:dyDescent="0.3">
      <c r="A609" t="s">
        <v>252</v>
      </c>
      <c r="B609" s="3">
        <v>46235</v>
      </c>
    </row>
    <row r="610" spans="1:3" ht="15" customHeight="1" x14ac:dyDescent="0.3">
      <c r="A610" t="s">
        <v>252</v>
      </c>
      <c r="B610" s="3">
        <v>46266</v>
      </c>
    </row>
    <row r="611" spans="1:3" ht="15" customHeight="1" x14ac:dyDescent="0.3">
      <c r="A611" t="s">
        <v>252</v>
      </c>
      <c r="B611" s="3">
        <v>46296</v>
      </c>
    </row>
    <row r="612" spans="1:3" ht="15" customHeight="1" x14ac:dyDescent="0.3">
      <c r="A612" t="s">
        <v>252</v>
      </c>
      <c r="B612" s="3">
        <v>46327</v>
      </c>
    </row>
    <row r="613" spans="1:3" ht="15" customHeight="1" x14ac:dyDescent="0.3">
      <c r="A613" t="s">
        <v>252</v>
      </c>
      <c r="B613" s="3">
        <v>46357</v>
      </c>
    </row>
    <row r="614" spans="1:3" ht="15" customHeight="1" x14ac:dyDescent="0.3">
      <c r="A614" t="s">
        <v>103</v>
      </c>
      <c r="B614" s="3">
        <v>45292</v>
      </c>
      <c r="C614">
        <v>9736</v>
      </c>
    </row>
    <row r="615" spans="1:3" ht="15" customHeight="1" x14ac:dyDescent="0.3">
      <c r="A615" t="s">
        <v>103</v>
      </c>
      <c r="B615" s="3">
        <v>45323</v>
      </c>
      <c r="C615">
        <v>8912</v>
      </c>
    </row>
    <row r="616" spans="1:3" ht="15" customHeight="1" x14ac:dyDescent="0.3">
      <c r="A616" t="s">
        <v>103</v>
      </c>
      <c r="B616" s="3">
        <v>45352</v>
      </c>
      <c r="C616">
        <v>9597</v>
      </c>
    </row>
    <row r="617" spans="1:3" ht="15" customHeight="1" x14ac:dyDescent="0.3">
      <c r="A617" t="s">
        <v>103</v>
      </c>
      <c r="B617" s="3">
        <v>45383</v>
      </c>
      <c r="C617">
        <v>7950</v>
      </c>
    </row>
    <row r="618" spans="1:3" ht="15" customHeight="1" x14ac:dyDescent="0.3">
      <c r="A618" t="s">
        <v>103</v>
      </c>
      <c r="B618" s="3">
        <v>45413</v>
      </c>
      <c r="C618">
        <v>7482</v>
      </c>
    </row>
    <row r="619" spans="1:3" ht="15" customHeight="1" x14ac:dyDescent="0.3">
      <c r="A619" t="s">
        <v>103</v>
      </c>
      <c r="B619" s="3">
        <v>45444</v>
      </c>
      <c r="C619">
        <v>6656</v>
      </c>
    </row>
    <row r="620" spans="1:3" ht="15" customHeight="1" x14ac:dyDescent="0.3">
      <c r="A620" t="s">
        <v>103</v>
      </c>
      <c r="B620" s="3">
        <v>45474</v>
      </c>
      <c r="C620">
        <v>11170</v>
      </c>
    </row>
    <row r="621" spans="1:3" ht="15" customHeight="1" x14ac:dyDescent="0.3">
      <c r="A621" t="s">
        <v>103</v>
      </c>
      <c r="B621" s="3">
        <v>45505</v>
      </c>
      <c r="C621">
        <v>11290</v>
      </c>
    </row>
    <row r="622" spans="1:3" ht="15" customHeight="1" x14ac:dyDescent="0.3">
      <c r="A622" t="s">
        <v>103</v>
      </c>
      <c r="B622" s="3">
        <v>45536</v>
      </c>
      <c r="C622">
        <v>8578</v>
      </c>
    </row>
    <row r="623" spans="1:3" ht="15" customHeight="1" x14ac:dyDescent="0.3">
      <c r="A623" t="s">
        <v>103</v>
      </c>
      <c r="B623" s="3">
        <v>45566</v>
      </c>
      <c r="C623">
        <v>12704</v>
      </c>
    </row>
    <row r="624" spans="1:3" ht="15" customHeight="1" x14ac:dyDescent="0.3">
      <c r="A624" t="s">
        <v>103</v>
      </c>
      <c r="B624" s="3">
        <v>45597</v>
      </c>
      <c r="C624">
        <v>5700</v>
      </c>
    </row>
    <row r="625" spans="1:3" ht="15" customHeight="1" x14ac:dyDescent="0.3">
      <c r="A625" t="s">
        <v>103</v>
      </c>
      <c r="B625" s="3">
        <v>45627</v>
      </c>
    </row>
    <row r="626" spans="1:3" ht="15" customHeight="1" x14ac:dyDescent="0.3">
      <c r="A626" t="s">
        <v>103</v>
      </c>
      <c r="B626" s="3">
        <v>45658</v>
      </c>
    </row>
    <row r="627" spans="1:3" ht="15" customHeight="1" x14ac:dyDescent="0.3">
      <c r="A627" t="s">
        <v>103</v>
      </c>
      <c r="B627" s="3">
        <v>45689</v>
      </c>
    </row>
    <row r="628" spans="1:3" ht="15" customHeight="1" x14ac:dyDescent="0.3">
      <c r="A628" t="s">
        <v>103</v>
      </c>
      <c r="B628" s="3">
        <v>45717</v>
      </c>
      <c r="C628">
        <v>6684</v>
      </c>
    </row>
    <row r="629" spans="1:3" ht="15" customHeight="1" x14ac:dyDescent="0.3">
      <c r="A629" t="s">
        <v>103</v>
      </c>
      <c r="B629" s="3">
        <v>45748</v>
      </c>
      <c r="C629">
        <v>3992</v>
      </c>
    </row>
    <row r="630" spans="1:3" ht="15" customHeight="1" x14ac:dyDescent="0.3">
      <c r="A630" t="s">
        <v>103</v>
      </c>
      <c r="B630" s="3">
        <v>45778</v>
      </c>
      <c r="C630">
        <v>6009</v>
      </c>
    </row>
    <row r="631" spans="1:3" ht="15" customHeight="1" x14ac:dyDescent="0.3">
      <c r="A631" t="s">
        <v>103</v>
      </c>
      <c r="B631" s="3">
        <v>45809</v>
      </c>
      <c r="C631">
        <v>5530.9</v>
      </c>
    </row>
    <row r="632" spans="1:3" ht="15" customHeight="1" x14ac:dyDescent="0.3">
      <c r="A632" t="s">
        <v>103</v>
      </c>
      <c r="B632" s="3">
        <v>45839</v>
      </c>
      <c r="C632">
        <v>6694</v>
      </c>
    </row>
    <row r="633" spans="1:3" ht="15" customHeight="1" x14ac:dyDescent="0.3">
      <c r="A633" t="s">
        <v>103</v>
      </c>
      <c r="B633" s="3">
        <v>45870</v>
      </c>
      <c r="C633">
        <v>7750</v>
      </c>
    </row>
    <row r="634" spans="1:3" ht="15" customHeight="1" x14ac:dyDescent="0.3">
      <c r="A634" t="s">
        <v>103</v>
      </c>
      <c r="B634" s="3">
        <v>45901</v>
      </c>
      <c r="C634">
        <v>7031</v>
      </c>
    </row>
    <row r="635" spans="1:3" ht="15" customHeight="1" x14ac:dyDescent="0.3">
      <c r="A635" t="s">
        <v>103</v>
      </c>
      <c r="B635" s="3">
        <v>45931</v>
      </c>
      <c r="C635">
        <v>9805</v>
      </c>
    </row>
    <row r="636" spans="1:3" ht="15" customHeight="1" x14ac:dyDescent="0.3">
      <c r="A636" t="s">
        <v>103</v>
      </c>
      <c r="B636" s="3">
        <v>45962</v>
      </c>
      <c r="C636">
        <v>9365</v>
      </c>
    </row>
    <row r="637" spans="1:3" ht="15" customHeight="1" x14ac:dyDescent="0.3">
      <c r="A637" t="s">
        <v>103</v>
      </c>
      <c r="B637" s="3">
        <v>45992</v>
      </c>
      <c r="C637">
        <v>5379</v>
      </c>
    </row>
    <row r="638" spans="1:3" ht="15" customHeight="1" x14ac:dyDescent="0.3">
      <c r="A638" t="s">
        <v>103</v>
      </c>
      <c r="B638" s="3">
        <v>46023</v>
      </c>
      <c r="C638">
        <v>4979.16</v>
      </c>
    </row>
    <row r="639" spans="1:3" ht="15" customHeight="1" x14ac:dyDescent="0.3">
      <c r="A639" t="s">
        <v>103</v>
      </c>
      <c r="B639" s="3">
        <v>46054</v>
      </c>
      <c r="C639">
        <v>2172.67</v>
      </c>
    </row>
    <row r="640" spans="1:3" ht="15" customHeight="1" x14ac:dyDescent="0.3">
      <c r="A640" t="s">
        <v>103</v>
      </c>
      <c r="B640" s="3">
        <v>46082</v>
      </c>
      <c r="C640">
        <v>350</v>
      </c>
    </row>
    <row r="641" spans="1:3" ht="15" customHeight="1" x14ac:dyDescent="0.3">
      <c r="A641" t="s">
        <v>103</v>
      </c>
      <c r="B641" s="3">
        <v>46113</v>
      </c>
      <c r="C641">
        <v>194.99</v>
      </c>
    </row>
    <row r="642" spans="1:3" ht="15" customHeight="1" x14ac:dyDescent="0.3">
      <c r="A642" t="s">
        <v>103</v>
      </c>
      <c r="B642" s="3">
        <v>46143</v>
      </c>
    </row>
    <row r="643" spans="1:3" ht="15" customHeight="1" x14ac:dyDescent="0.3">
      <c r="A643" t="s">
        <v>103</v>
      </c>
      <c r="B643" s="3">
        <v>46174</v>
      </c>
    </row>
    <row r="644" spans="1:3" ht="15" customHeight="1" x14ac:dyDescent="0.3">
      <c r="A644" t="s">
        <v>103</v>
      </c>
      <c r="B644" s="3">
        <v>46204</v>
      </c>
    </row>
    <row r="645" spans="1:3" ht="15" customHeight="1" x14ac:dyDescent="0.3">
      <c r="A645" t="s">
        <v>103</v>
      </c>
      <c r="B645" s="3">
        <v>46235</v>
      </c>
    </row>
    <row r="646" spans="1:3" ht="15" customHeight="1" x14ac:dyDescent="0.3">
      <c r="A646" t="s">
        <v>103</v>
      </c>
      <c r="B646" s="3">
        <v>46266</v>
      </c>
    </row>
    <row r="647" spans="1:3" ht="15" customHeight="1" x14ac:dyDescent="0.3">
      <c r="A647" t="s">
        <v>103</v>
      </c>
      <c r="B647" s="3">
        <v>46296</v>
      </c>
    </row>
    <row r="648" spans="1:3" ht="15" customHeight="1" x14ac:dyDescent="0.3">
      <c r="A648" t="s">
        <v>103</v>
      </c>
      <c r="B648" s="3">
        <v>46327</v>
      </c>
    </row>
    <row r="649" spans="1:3" ht="15" customHeight="1" x14ac:dyDescent="0.3">
      <c r="A649" t="s">
        <v>103</v>
      </c>
      <c r="B649" s="3">
        <v>46357</v>
      </c>
    </row>
    <row r="650" spans="1:3" ht="15" customHeight="1" x14ac:dyDescent="0.3">
      <c r="A650" t="s">
        <v>107</v>
      </c>
      <c r="B650" s="3">
        <v>45292</v>
      </c>
      <c r="C650">
        <v>4830</v>
      </c>
    </row>
    <row r="651" spans="1:3" ht="15" customHeight="1" x14ac:dyDescent="0.3">
      <c r="A651" t="s">
        <v>107</v>
      </c>
      <c r="B651" s="3">
        <v>45323</v>
      </c>
      <c r="C651">
        <v>7231</v>
      </c>
    </row>
    <row r="652" spans="1:3" ht="15" customHeight="1" x14ac:dyDescent="0.3">
      <c r="A652" t="s">
        <v>107</v>
      </c>
      <c r="B652" s="3">
        <v>45352</v>
      </c>
      <c r="C652">
        <v>5436</v>
      </c>
    </row>
    <row r="653" spans="1:3" ht="15" customHeight="1" x14ac:dyDescent="0.3">
      <c r="A653" t="s">
        <v>107</v>
      </c>
      <c r="B653" s="3">
        <v>45383</v>
      </c>
      <c r="C653">
        <v>5158</v>
      </c>
    </row>
    <row r="654" spans="1:3" ht="15" customHeight="1" x14ac:dyDescent="0.3">
      <c r="A654" t="s">
        <v>107</v>
      </c>
      <c r="B654" s="3">
        <v>45413</v>
      </c>
      <c r="C654">
        <v>3827</v>
      </c>
    </row>
    <row r="655" spans="1:3" ht="15" customHeight="1" x14ac:dyDescent="0.3">
      <c r="A655" t="s">
        <v>107</v>
      </c>
      <c r="B655" s="3">
        <v>45444</v>
      </c>
      <c r="C655">
        <v>3220</v>
      </c>
    </row>
    <row r="656" spans="1:3" ht="15" customHeight="1" x14ac:dyDescent="0.3">
      <c r="A656" t="s">
        <v>107</v>
      </c>
      <c r="B656" s="3">
        <v>45474</v>
      </c>
      <c r="C656">
        <v>5497</v>
      </c>
    </row>
    <row r="657" spans="1:3" ht="15" customHeight="1" x14ac:dyDescent="0.3">
      <c r="A657" t="s">
        <v>107</v>
      </c>
      <c r="B657" s="3">
        <v>45505</v>
      </c>
      <c r="C657">
        <v>4475</v>
      </c>
    </row>
    <row r="658" spans="1:3" ht="15" customHeight="1" x14ac:dyDescent="0.3">
      <c r="A658" t="s">
        <v>107</v>
      </c>
      <c r="B658" s="3">
        <v>45536</v>
      </c>
      <c r="C658">
        <v>1847</v>
      </c>
    </row>
    <row r="659" spans="1:3" ht="15" customHeight="1" x14ac:dyDescent="0.3">
      <c r="A659" t="s">
        <v>107</v>
      </c>
      <c r="B659" s="3">
        <v>45566</v>
      </c>
      <c r="C659">
        <v>1575</v>
      </c>
    </row>
    <row r="660" spans="1:3" ht="15" customHeight="1" x14ac:dyDescent="0.3">
      <c r="A660" t="s">
        <v>107</v>
      </c>
      <c r="B660" s="3">
        <v>45597</v>
      </c>
      <c r="C660">
        <v>5700</v>
      </c>
    </row>
    <row r="661" spans="1:3" ht="15" customHeight="1" x14ac:dyDescent="0.3">
      <c r="A661" t="s">
        <v>107</v>
      </c>
      <c r="B661" s="3">
        <v>45627</v>
      </c>
      <c r="C661">
        <v>1938</v>
      </c>
    </row>
    <row r="662" spans="1:3" ht="15" customHeight="1" x14ac:dyDescent="0.3">
      <c r="A662" t="s">
        <v>107</v>
      </c>
      <c r="B662" s="3">
        <v>45658</v>
      </c>
      <c r="C662">
        <v>5227</v>
      </c>
    </row>
    <row r="663" spans="1:3" ht="15" customHeight="1" x14ac:dyDescent="0.3">
      <c r="A663" t="s">
        <v>107</v>
      </c>
      <c r="B663" s="3">
        <v>45689</v>
      </c>
      <c r="C663">
        <v>5137</v>
      </c>
    </row>
    <row r="664" spans="1:3" ht="15" customHeight="1" x14ac:dyDescent="0.3">
      <c r="A664" t="s">
        <v>107</v>
      </c>
      <c r="B664" s="3">
        <v>45717</v>
      </c>
      <c r="C664">
        <v>5031</v>
      </c>
    </row>
    <row r="665" spans="1:3" ht="15" customHeight="1" x14ac:dyDescent="0.3">
      <c r="A665" t="s">
        <v>107</v>
      </c>
      <c r="B665" s="3">
        <v>45748</v>
      </c>
      <c r="C665">
        <v>3147</v>
      </c>
    </row>
    <row r="666" spans="1:3" ht="15" customHeight="1" x14ac:dyDescent="0.3">
      <c r="A666" t="s">
        <v>107</v>
      </c>
      <c r="B666" s="3">
        <v>45778</v>
      </c>
      <c r="C666">
        <v>4797</v>
      </c>
    </row>
    <row r="667" spans="1:3" ht="15" customHeight="1" x14ac:dyDescent="0.3">
      <c r="A667" t="s">
        <v>107</v>
      </c>
      <c r="B667" s="3">
        <v>45809</v>
      </c>
      <c r="C667">
        <v>3255.49</v>
      </c>
    </row>
    <row r="668" spans="1:3" ht="15" customHeight="1" x14ac:dyDescent="0.3">
      <c r="A668" t="s">
        <v>107</v>
      </c>
      <c r="B668" s="3">
        <v>45839</v>
      </c>
      <c r="C668">
        <v>5212</v>
      </c>
    </row>
    <row r="669" spans="1:3" ht="15" customHeight="1" x14ac:dyDescent="0.3">
      <c r="A669" t="s">
        <v>107</v>
      </c>
      <c r="B669" s="3">
        <v>45870</v>
      </c>
      <c r="C669">
        <v>1743.88</v>
      </c>
    </row>
    <row r="670" spans="1:3" ht="15" customHeight="1" x14ac:dyDescent="0.3">
      <c r="A670" t="s">
        <v>107</v>
      </c>
      <c r="B670" s="3">
        <v>45901</v>
      </c>
      <c r="C670">
        <v>4503</v>
      </c>
    </row>
    <row r="671" spans="1:3" ht="15" customHeight="1" x14ac:dyDescent="0.3">
      <c r="A671" t="s">
        <v>107</v>
      </c>
      <c r="B671" s="3">
        <v>45931</v>
      </c>
      <c r="C671">
        <v>6159</v>
      </c>
    </row>
    <row r="672" spans="1:3" ht="15" customHeight="1" x14ac:dyDescent="0.3">
      <c r="A672" t="s">
        <v>107</v>
      </c>
      <c r="B672" s="3">
        <v>45962</v>
      </c>
      <c r="C672">
        <v>6232</v>
      </c>
    </row>
    <row r="673" spans="1:3" ht="15" customHeight="1" x14ac:dyDescent="0.3">
      <c r="A673" t="s">
        <v>107</v>
      </c>
      <c r="B673" s="3">
        <v>45992</v>
      </c>
      <c r="C673">
        <v>5380</v>
      </c>
    </row>
    <row r="674" spans="1:3" ht="15" customHeight="1" x14ac:dyDescent="0.3">
      <c r="A674" t="s">
        <v>107</v>
      </c>
      <c r="B674" s="3">
        <v>46023</v>
      </c>
      <c r="C674">
        <v>7601.5</v>
      </c>
    </row>
    <row r="675" spans="1:3" ht="15" customHeight="1" x14ac:dyDescent="0.3">
      <c r="A675" t="s">
        <v>107</v>
      </c>
      <c r="B675" s="3">
        <v>46054</v>
      </c>
      <c r="C675">
        <v>6347.07</v>
      </c>
    </row>
    <row r="676" spans="1:3" ht="15" customHeight="1" x14ac:dyDescent="0.3">
      <c r="A676" t="s">
        <v>107</v>
      </c>
      <c r="B676" s="3">
        <v>46082</v>
      </c>
      <c r="C676">
        <v>7063</v>
      </c>
    </row>
    <row r="677" spans="1:3" ht="15" customHeight="1" x14ac:dyDescent="0.3">
      <c r="A677" t="s">
        <v>107</v>
      </c>
      <c r="B677" s="3">
        <v>46113</v>
      </c>
      <c r="C677">
        <v>4736.87</v>
      </c>
    </row>
    <row r="678" spans="1:3" ht="15" customHeight="1" x14ac:dyDescent="0.3">
      <c r="A678" t="s">
        <v>107</v>
      </c>
      <c r="B678" s="3">
        <v>46143</v>
      </c>
      <c r="C678" s="13">
        <v>4375.54</v>
      </c>
    </row>
    <row r="679" spans="1:3" ht="15" customHeight="1" x14ac:dyDescent="0.3">
      <c r="A679" t="s">
        <v>107</v>
      </c>
      <c r="B679" s="3">
        <v>46174</v>
      </c>
    </row>
    <row r="680" spans="1:3" ht="15" customHeight="1" x14ac:dyDescent="0.3">
      <c r="A680" t="s">
        <v>107</v>
      </c>
      <c r="B680" s="3">
        <v>46204</v>
      </c>
    </row>
    <row r="681" spans="1:3" ht="15" customHeight="1" x14ac:dyDescent="0.3">
      <c r="A681" t="s">
        <v>107</v>
      </c>
      <c r="B681" s="3">
        <v>46235</v>
      </c>
    </row>
    <row r="682" spans="1:3" ht="15" customHeight="1" x14ac:dyDescent="0.3">
      <c r="A682" t="s">
        <v>107</v>
      </c>
      <c r="B682" s="3">
        <v>46266</v>
      </c>
    </row>
    <row r="683" spans="1:3" ht="15" customHeight="1" x14ac:dyDescent="0.3">
      <c r="A683" t="s">
        <v>107</v>
      </c>
      <c r="B683" s="3">
        <v>46296</v>
      </c>
    </row>
    <row r="684" spans="1:3" ht="15" customHeight="1" x14ac:dyDescent="0.3">
      <c r="A684" t="s">
        <v>107</v>
      </c>
      <c r="B684" s="3">
        <v>46327</v>
      </c>
    </row>
    <row r="685" spans="1:3" ht="15" customHeight="1" x14ac:dyDescent="0.3">
      <c r="A685" t="s">
        <v>107</v>
      </c>
      <c r="B685" s="3">
        <v>46357</v>
      </c>
    </row>
    <row r="686" spans="1:3" ht="15" customHeight="1" x14ac:dyDescent="0.3">
      <c r="A686" t="s">
        <v>109</v>
      </c>
      <c r="B686" s="3">
        <v>45292</v>
      </c>
      <c r="C686">
        <v>961</v>
      </c>
    </row>
    <row r="687" spans="1:3" ht="15" customHeight="1" x14ac:dyDescent="0.3">
      <c r="A687" t="s">
        <v>109</v>
      </c>
      <c r="B687" s="3">
        <v>45323</v>
      </c>
      <c r="C687">
        <v>798</v>
      </c>
    </row>
    <row r="688" spans="1:3" ht="15" customHeight="1" x14ac:dyDescent="0.3">
      <c r="A688" t="s">
        <v>109</v>
      </c>
      <c r="B688" s="3">
        <v>45352</v>
      </c>
      <c r="C688">
        <v>398</v>
      </c>
    </row>
    <row r="689" spans="1:3" ht="15" customHeight="1" x14ac:dyDescent="0.3">
      <c r="A689" t="s">
        <v>109</v>
      </c>
      <c r="B689" s="3">
        <v>45383</v>
      </c>
      <c r="C689">
        <v>1334</v>
      </c>
    </row>
    <row r="690" spans="1:3" ht="15" customHeight="1" x14ac:dyDescent="0.3">
      <c r="A690" t="s">
        <v>109</v>
      </c>
      <c r="B690" s="3">
        <v>45413</v>
      </c>
      <c r="C690">
        <v>1953</v>
      </c>
    </row>
    <row r="691" spans="1:3" ht="15" customHeight="1" x14ac:dyDescent="0.3">
      <c r="A691" t="s">
        <v>109</v>
      </c>
      <c r="B691" s="3">
        <v>45444</v>
      </c>
      <c r="C691">
        <v>1657</v>
      </c>
    </row>
    <row r="692" spans="1:3" ht="15" customHeight="1" x14ac:dyDescent="0.3">
      <c r="A692" t="s">
        <v>109</v>
      </c>
      <c r="B692" s="3">
        <v>45474</v>
      </c>
      <c r="C692">
        <v>1845</v>
      </c>
    </row>
    <row r="693" spans="1:3" ht="15" customHeight="1" x14ac:dyDescent="0.3">
      <c r="A693" t="s">
        <v>109</v>
      </c>
      <c r="B693" s="3">
        <v>45505</v>
      </c>
      <c r="C693">
        <v>2034</v>
      </c>
    </row>
    <row r="694" spans="1:3" ht="15" customHeight="1" x14ac:dyDescent="0.3">
      <c r="A694" t="s">
        <v>109</v>
      </c>
      <c r="B694" s="3">
        <v>45536</v>
      </c>
      <c r="C694">
        <v>1982</v>
      </c>
    </row>
    <row r="695" spans="1:3" ht="15" customHeight="1" x14ac:dyDescent="0.3">
      <c r="A695" t="s">
        <v>109</v>
      </c>
      <c r="B695" s="3">
        <v>45566</v>
      </c>
      <c r="C695">
        <v>2181</v>
      </c>
    </row>
    <row r="696" spans="1:3" ht="15" customHeight="1" x14ac:dyDescent="0.3">
      <c r="A696" t="s">
        <v>109</v>
      </c>
      <c r="B696" s="3">
        <v>45597</v>
      </c>
      <c r="C696">
        <v>1783</v>
      </c>
    </row>
    <row r="697" spans="1:3" ht="15" customHeight="1" x14ac:dyDescent="0.3">
      <c r="A697" t="s">
        <v>109</v>
      </c>
      <c r="B697" s="3">
        <v>45627</v>
      </c>
      <c r="C697">
        <v>2366</v>
      </c>
    </row>
    <row r="698" spans="1:3" ht="15" customHeight="1" x14ac:dyDescent="0.3">
      <c r="A698" t="s">
        <v>109</v>
      </c>
      <c r="B698" s="3">
        <v>45658</v>
      </c>
      <c r="C698">
        <v>2514</v>
      </c>
    </row>
    <row r="699" spans="1:3" ht="15" customHeight="1" x14ac:dyDescent="0.3">
      <c r="A699" t="s">
        <v>109</v>
      </c>
      <c r="B699" s="3">
        <v>45689</v>
      </c>
      <c r="C699">
        <v>2930</v>
      </c>
    </row>
    <row r="700" spans="1:3" ht="15" customHeight="1" x14ac:dyDescent="0.3">
      <c r="A700" t="s">
        <v>109</v>
      </c>
      <c r="B700" s="3">
        <v>45717</v>
      </c>
      <c r="C700">
        <v>1758</v>
      </c>
    </row>
    <row r="701" spans="1:3" ht="15" customHeight="1" x14ac:dyDescent="0.3">
      <c r="A701" t="s">
        <v>109</v>
      </c>
      <c r="B701" s="3">
        <v>45748</v>
      </c>
      <c r="C701">
        <v>1646</v>
      </c>
    </row>
    <row r="702" spans="1:3" ht="15" customHeight="1" x14ac:dyDescent="0.3">
      <c r="A702" t="s">
        <v>109</v>
      </c>
      <c r="B702" s="3">
        <v>45778</v>
      </c>
      <c r="C702">
        <v>2386</v>
      </c>
    </row>
    <row r="703" spans="1:3" ht="15" customHeight="1" x14ac:dyDescent="0.3">
      <c r="A703" t="s">
        <v>109</v>
      </c>
      <c r="B703" s="3">
        <v>45809</v>
      </c>
      <c r="C703">
        <v>1228</v>
      </c>
    </row>
    <row r="704" spans="1:3" ht="15" customHeight="1" x14ac:dyDescent="0.3">
      <c r="A704" t="s">
        <v>109</v>
      </c>
      <c r="B704" s="3">
        <v>45839</v>
      </c>
      <c r="C704">
        <v>1684</v>
      </c>
    </row>
    <row r="705" spans="1:3" ht="15" customHeight="1" x14ac:dyDescent="0.3">
      <c r="A705" t="s">
        <v>109</v>
      </c>
      <c r="B705" s="3">
        <v>45870</v>
      </c>
      <c r="C705">
        <v>1766.1</v>
      </c>
    </row>
    <row r="706" spans="1:3" ht="15" customHeight="1" x14ac:dyDescent="0.3">
      <c r="A706" t="s">
        <v>109</v>
      </c>
      <c r="B706" s="3">
        <v>45901</v>
      </c>
      <c r="C706">
        <v>1960</v>
      </c>
    </row>
    <row r="707" spans="1:3" ht="15" customHeight="1" x14ac:dyDescent="0.3">
      <c r="A707" t="s">
        <v>109</v>
      </c>
      <c r="B707" s="3">
        <v>45931</v>
      </c>
      <c r="C707">
        <v>2119</v>
      </c>
    </row>
    <row r="708" spans="1:3" ht="15" customHeight="1" x14ac:dyDescent="0.3">
      <c r="A708" t="s">
        <v>109</v>
      </c>
      <c r="B708" s="3">
        <v>45962</v>
      </c>
      <c r="C708">
        <v>1774</v>
      </c>
    </row>
    <row r="709" spans="1:3" ht="15" customHeight="1" x14ac:dyDescent="0.3">
      <c r="A709" t="s">
        <v>109</v>
      </c>
      <c r="B709" s="3">
        <v>45992</v>
      </c>
      <c r="C709">
        <v>2120</v>
      </c>
    </row>
    <row r="710" spans="1:3" ht="15" customHeight="1" x14ac:dyDescent="0.3">
      <c r="A710" t="s">
        <v>109</v>
      </c>
      <c r="B710" s="3">
        <v>46023</v>
      </c>
      <c r="C710">
        <v>647</v>
      </c>
    </row>
    <row r="711" spans="1:3" ht="15" customHeight="1" x14ac:dyDescent="0.3">
      <c r="A711" t="s">
        <v>109</v>
      </c>
      <c r="B711" s="3">
        <v>46054</v>
      </c>
      <c r="C711">
        <v>1429</v>
      </c>
    </row>
    <row r="712" spans="1:3" ht="15" customHeight="1" x14ac:dyDescent="0.3">
      <c r="A712" t="s">
        <v>109</v>
      </c>
      <c r="B712" s="3">
        <v>46082</v>
      </c>
      <c r="C712">
        <v>1816</v>
      </c>
    </row>
    <row r="713" spans="1:3" ht="15" customHeight="1" x14ac:dyDescent="0.3">
      <c r="A713" t="s">
        <v>109</v>
      </c>
      <c r="B713" s="3">
        <v>46113</v>
      </c>
      <c r="C713">
        <v>3513.5</v>
      </c>
    </row>
    <row r="714" spans="1:3" ht="15" customHeight="1" x14ac:dyDescent="0.3">
      <c r="A714" t="s">
        <v>109</v>
      </c>
      <c r="B714" s="3">
        <v>46143</v>
      </c>
    </row>
    <row r="715" spans="1:3" ht="15" customHeight="1" x14ac:dyDescent="0.3">
      <c r="A715" t="s">
        <v>109</v>
      </c>
      <c r="B715" s="3">
        <v>46174</v>
      </c>
    </row>
    <row r="716" spans="1:3" ht="15" customHeight="1" x14ac:dyDescent="0.3">
      <c r="A716" t="s">
        <v>109</v>
      </c>
      <c r="B716" s="3">
        <v>46204</v>
      </c>
    </row>
    <row r="717" spans="1:3" ht="15" customHeight="1" x14ac:dyDescent="0.3">
      <c r="A717" t="s">
        <v>109</v>
      </c>
      <c r="B717" s="3">
        <v>46235</v>
      </c>
    </row>
    <row r="718" spans="1:3" ht="15" customHeight="1" x14ac:dyDescent="0.3">
      <c r="A718" t="s">
        <v>109</v>
      </c>
      <c r="B718" s="3">
        <v>46266</v>
      </c>
    </row>
    <row r="719" spans="1:3" ht="15" customHeight="1" x14ac:dyDescent="0.3">
      <c r="A719" t="s">
        <v>109</v>
      </c>
      <c r="B719" s="3">
        <v>46296</v>
      </c>
    </row>
    <row r="720" spans="1:3" ht="15" customHeight="1" x14ac:dyDescent="0.3">
      <c r="A720" t="s">
        <v>109</v>
      </c>
      <c r="B720" s="3">
        <v>46327</v>
      </c>
    </row>
    <row r="721" spans="1:3" ht="15" customHeight="1" x14ac:dyDescent="0.3">
      <c r="A721" t="s">
        <v>109</v>
      </c>
      <c r="B721" s="3">
        <v>46357</v>
      </c>
    </row>
    <row r="722" spans="1:3" ht="15" customHeight="1" x14ac:dyDescent="0.3">
      <c r="A722" t="s">
        <v>113</v>
      </c>
      <c r="B722" s="3">
        <v>45292</v>
      </c>
      <c r="C722">
        <v>1880</v>
      </c>
    </row>
    <row r="723" spans="1:3" ht="15" customHeight="1" x14ac:dyDescent="0.3">
      <c r="A723" t="s">
        <v>113</v>
      </c>
      <c r="B723" s="3">
        <v>45323</v>
      </c>
      <c r="C723">
        <v>1559</v>
      </c>
    </row>
    <row r="724" spans="1:3" ht="15" customHeight="1" x14ac:dyDescent="0.3">
      <c r="A724" t="s">
        <v>113</v>
      </c>
      <c r="B724" s="3">
        <v>45352</v>
      </c>
      <c r="C724">
        <v>1596</v>
      </c>
    </row>
    <row r="725" spans="1:3" ht="15" customHeight="1" x14ac:dyDescent="0.3">
      <c r="A725" t="s">
        <v>113</v>
      </c>
      <c r="B725" s="3">
        <v>45383</v>
      </c>
      <c r="C725">
        <v>2170</v>
      </c>
    </row>
    <row r="726" spans="1:3" ht="15" customHeight="1" x14ac:dyDescent="0.3">
      <c r="A726" t="s">
        <v>113</v>
      </c>
      <c r="B726" s="3">
        <v>45413</v>
      </c>
      <c r="C726">
        <v>2876</v>
      </c>
    </row>
    <row r="727" spans="1:3" ht="15" customHeight="1" x14ac:dyDescent="0.3">
      <c r="A727" t="s">
        <v>113</v>
      </c>
      <c r="B727" s="3">
        <v>45444</v>
      </c>
      <c r="C727">
        <v>2499</v>
      </c>
    </row>
    <row r="728" spans="1:3" ht="15" customHeight="1" x14ac:dyDescent="0.3">
      <c r="A728" t="s">
        <v>113</v>
      </c>
      <c r="B728" s="3">
        <v>45474</v>
      </c>
      <c r="C728">
        <v>2895</v>
      </c>
    </row>
    <row r="729" spans="1:3" ht="15" customHeight="1" x14ac:dyDescent="0.3">
      <c r="A729" t="s">
        <v>113</v>
      </c>
      <c r="B729" s="3">
        <v>45505</v>
      </c>
      <c r="C729">
        <v>3177</v>
      </c>
    </row>
    <row r="730" spans="1:3" ht="15" customHeight="1" x14ac:dyDescent="0.3">
      <c r="A730" t="s">
        <v>113</v>
      </c>
      <c r="B730" s="3">
        <v>45536</v>
      </c>
      <c r="C730">
        <v>3048</v>
      </c>
    </row>
    <row r="731" spans="1:3" ht="15" customHeight="1" x14ac:dyDescent="0.3">
      <c r="A731" t="s">
        <v>113</v>
      </c>
      <c r="B731" s="3">
        <v>45566</v>
      </c>
      <c r="C731">
        <v>3449</v>
      </c>
    </row>
    <row r="732" spans="1:3" ht="15" customHeight="1" x14ac:dyDescent="0.3">
      <c r="A732" t="s">
        <v>113</v>
      </c>
      <c r="B732" s="3">
        <v>45597</v>
      </c>
      <c r="C732">
        <v>3441</v>
      </c>
    </row>
    <row r="733" spans="1:3" ht="15" customHeight="1" x14ac:dyDescent="0.3">
      <c r="A733" t="s">
        <v>113</v>
      </c>
      <c r="B733" s="3">
        <v>45627</v>
      </c>
      <c r="C733">
        <v>3537</v>
      </c>
    </row>
    <row r="734" spans="1:3" ht="15" customHeight="1" x14ac:dyDescent="0.3">
      <c r="A734" t="s">
        <v>113</v>
      </c>
      <c r="B734" s="3">
        <v>45658</v>
      </c>
      <c r="C734">
        <v>3700</v>
      </c>
    </row>
    <row r="735" spans="1:3" ht="15" customHeight="1" x14ac:dyDescent="0.3">
      <c r="A735" t="s">
        <v>113</v>
      </c>
      <c r="B735" s="3">
        <v>45689</v>
      </c>
      <c r="C735">
        <v>2900</v>
      </c>
    </row>
    <row r="736" spans="1:3" ht="15" customHeight="1" x14ac:dyDescent="0.3">
      <c r="A736" t="s">
        <v>113</v>
      </c>
      <c r="B736" s="3">
        <v>45717</v>
      </c>
      <c r="C736">
        <v>3471</v>
      </c>
    </row>
    <row r="737" spans="1:3" ht="15" customHeight="1" x14ac:dyDescent="0.3">
      <c r="A737" t="s">
        <v>113</v>
      </c>
      <c r="B737" s="3">
        <v>45748</v>
      </c>
      <c r="C737">
        <v>2668</v>
      </c>
    </row>
    <row r="738" spans="1:3" ht="15" customHeight="1" x14ac:dyDescent="0.3">
      <c r="A738" t="s">
        <v>113</v>
      </c>
      <c r="B738" s="3">
        <v>45778</v>
      </c>
      <c r="C738">
        <v>3127</v>
      </c>
    </row>
    <row r="739" spans="1:3" ht="15" customHeight="1" x14ac:dyDescent="0.3">
      <c r="A739" t="s">
        <v>113</v>
      </c>
      <c r="B739" s="3">
        <v>45809</v>
      </c>
      <c r="C739">
        <v>2748.4</v>
      </c>
    </row>
    <row r="740" spans="1:3" ht="15" customHeight="1" x14ac:dyDescent="0.3">
      <c r="A740" t="s">
        <v>113</v>
      </c>
      <c r="B740" s="3">
        <v>45839</v>
      </c>
      <c r="C740">
        <v>2501</v>
      </c>
    </row>
    <row r="741" spans="1:3" ht="15" customHeight="1" x14ac:dyDescent="0.3">
      <c r="A741" t="s">
        <v>113</v>
      </c>
      <c r="B741" s="3">
        <v>45870</v>
      </c>
      <c r="C741">
        <v>299.8</v>
      </c>
    </row>
    <row r="742" spans="1:3" ht="15" customHeight="1" x14ac:dyDescent="0.3">
      <c r="A742" t="s">
        <v>113</v>
      </c>
      <c r="B742" s="3">
        <v>45901</v>
      </c>
      <c r="C742">
        <v>2705</v>
      </c>
    </row>
    <row r="743" spans="1:3" ht="15" customHeight="1" x14ac:dyDescent="0.3">
      <c r="A743" t="s">
        <v>113</v>
      </c>
      <c r="B743" s="3">
        <v>45931</v>
      </c>
      <c r="C743">
        <v>2939</v>
      </c>
    </row>
    <row r="744" spans="1:3" ht="15" customHeight="1" x14ac:dyDescent="0.3">
      <c r="A744" t="s">
        <v>113</v>
      </c>
      <c r="B744" s="3">
        <v>45962</v>
      </c>
      <c r="C744">
        <v>2609</v>
      </c>
    </row>
    <row r="745" spans="1:3" ht="15" customHeight="1" x14ac:dyDescent="0.3">
      <c r="A745" t="s">
        <v>113</v>
      </c>
      <c r="B745" s="3">
        <v>45992</v>
      </c>
      <c r="C745">
        <v>3364</v>
      </c>
    </row>
    <row r="746" spans="1:3" ht="15" customHeight="1" x14ac:dyDescent="0.3">
      <c r="A746" t="s">
        <v>113</v>
      </c>
      <c r="B746" s="3">
        <v>46023</v>
      </c>
      <c r="C746">
        <v>3086</v>
      </c>
    </row>
    <row r="747" spans="1:3" ht="15" customHeight="1" x14ac:dyDescent="0.3">
      <c r="A747" t="s">
        <v>113</v>
      </c>
      <c r="B747" s="3">
        <v>46054</v>
      </c>
      <c r="C747">
        <v>3628</v>
      </c>
    </row>
    <row r="748" spans="1:3" ht="15" customHeight="1" x14ac:dyDescent="0.3">
      <c r="A748" t="s">
        <v>113</v>
      </c>
      <c r="B748" s="3">
        <v>46082</v>
      </c>
      <c r="C748">
        <v>2909</v>
      </c>
    </row>
    <row r="749" spans="1:3" ht="15" customHeight="1" x14ac:dyDescent="0.3">
      <c r="A749" t="s">
        <v>113</v>
      </c>
      <c r="B749" s="3">
        <v>46113</v>
      </c>
      <c r="C749">
        <v>2558.1</v>
      </c>
    </row>
    <row r="750" spans="1:3" ht="15" customHeight="1" x14ac:dyDescent="0.3">
      <c r="A750" t="s">
        <v>113</v>
      </c>
      <c r="B750" s="3">
        <v>46143</v>
      </c>
      <c r="C750" s="13">
        <v>3029.6</v>
      </c>
    </row>
    <row r="751" spans="1:3" ht="15" customHeight="1" x14ac:dyDescent="0.3">
      <c r="A751" t="s">
        <v>113</v>
      </c>
      <c r="B751" s="3">
        <v>46174</v>
      </c>
    </row>
    <row r="752" spans="1:3" ht="15" customHeight="1" x14ac:dyDescent="0.3">
      <c r="A752" t="s">
        <v>113</v>
      </c>
      <c r="B752" s="3">
        <v>46204</v>
      </c>
    </row>
    <row r="753" spans="1:2" ht="15" customHeight="1" x14ac:dyDescent="0.3">
      <c r="A753" t="s">
        <v>113</v>
      </c>
      <c r="B753" s="3">
        <v>46235</v>
      </c>
    </row>
    <row r="754" spans="1:2" ht="15" customHeight="1" x14ac:dyDescent="0.3">
      <c r="A754" t="s">
        <v>113</v>
      </c>
      <c r="B754" s="3">
        <v>46266</v>
      </c>
    </row>
    <row r="755" spans="1:2" ht="15" customHeight="1" x14ac:dyDescent="0.3">
      <c r="A755" t="s">
        <v>113</v>
      </c>
      <c r="B755" s="3">
        <v>46296</v>
      </c>
    </row>
    <row r="756" spans="1:2" ht="15" customHeight="1" x14ac:dyDescent="0.3">
      <c r="A756" t="s">
        <v>113</v>
      </c>
      <c r="B756" s="3">
        <v>46327</v>
      </c>
    </row>
    <row r="757" spans="1:2" ht="15" customHeight="1" x14ac:dyDescent="0.3">
      <c r="A757" t="s">
        <v>113</v>
      </c>
      <c r="B757" s="3">
        <v>46357</v>
      </c>
    </row>
    <row r="758" spans="1:2" ht="15" customHeight="1" x14ac:dyDescent="0.3">
      <c r="A758" t="s">
        <v>241</v>
      </c>
      <c r="B758" s="3">
        <v>45292</v>
      </c>
    </row>
    <row r="759" spans="1:2" ht="15" customHeight="1" x14ac:dyDescent="0.3">
      <c r="A759" t="s">
        <v>241</v>
      </c>
      <c r="B759" s="3">
        <v>45292</v>
      </c>
    </row>
    <row r="760" spans="1:2" ht="15" customHeight="1" x14ac:dyDescent="0.3">
      <c r="A760" t="s">
        <v>241</v>
      </c>
      <c r="B760" s="3">
        <v>45323</v>
      </c>
    </row>
    <row r="761" spans="1:2" ht="15" customHeight="1" x14ac:dyDescent="0.3">
      <c r="A761" t="s">
        <v>241</v>
      </c>
      <c r="B761" s="3">
        <v>45323</v>
      </c>
    </row>
    <row r="762" spans="1:2" ht="15" customHeight="1" x14ac:dyDescent="0.3">
      <c r="A762" t="s">
        <v>241</v>
      </c>
      <c r="B762" s="3">
        <v>45352</v>
      </c>
    </row>
    <row r="763" spans="1:2" ht="15" customHeight="1" x14ac:dyDescent="0.3">
      <c r="A763" t="s">
        <v>241</v>
      </c>
      <c r="B763" s="3">
        <v>45352</v>
      </c>
    </row>
    <row r="764" spans="1:2" ht="15" customHeight="1" x14ac:dyDescent="0.3">
      <c r="A764" t="s">
        <v>241</v>
      </c>
      <c r="B764" s="3">
        <v>45383</v>
      </c>
    </row>
    <row r="765" spans="1:2" ht="15" customHeight="1" x14ac:dyDescent="0.3">
      <c r="A765" t="s">
        <v>241</v>
      </c>
      <c r="B765" s="3">
        <v>45383</v>
      </c>
    </row>
    <row r="766" spans="1:2" ht="15" customHeight="1" x14ac:dyDescent="0.3">
      <c r="A766" t="s">
        <v>241</v>
      </c>
      <c r="B766" s="3">
        <v>45413</v>
      </c>
    </row>
    <row r="767" spans="1:2" ht="15" customHeight="1" x14ac:dyDescent="0.3">
      <c r="A767" t="s">
        <v>241</v>
      </c>
      <c r="B767" s="3">
        <v>45413</v>
      </c>
    </row>
    <row r="768" spans="1:2" ht="15" customHeight="1" x14ac:dyDescent="0.3">
      <c r="A768" t="s">
        <v>241</v>
      </c>
      <c r="B768" s="3">
        <v>45444</v>
      </c>
    </row>
    <row r="769" spans="1:2" ht="15" customHeight="1" x14ac:dyDescent="0.3">
      <c r="A769" t="s">
        <v>241</v>
      </c>
      <c r="B769" s="3">
        <v>45444</v>
      </c>
    </row>
    <row r="770" spans="1:2" ht="15" customHeight="1" x14ac:dyDescent="0.3">
      <c r="A770" t="s">
        <v>241</v>
      </c>
      <c r="B770" s="3">
        <v>45474</v>
      </c>
    </row>
    <row r="771" spans="1:2" ht="15" customHeight="1" x14ac:dyDescent="0.3">
      <c r="A771" t="s">
        <v>241</v>
      </c>
      <c r="B771" s="3">
        <v>45474</v>
      </c>
    </row>
    <row r="772" spans="1:2" ht="15" customHeight="1" x14ac:dyDescent="0.3">
      <c r="A772" t="s">
        <v>241</v>
      </c>
      <c r="B772" s="3">
        <v>45505</v>
      </c>
    </row>
    <row r="773" spans="1:2" ht="15" customHeight="1" x14ac:dyDescent="0.3">
      <c r="A773" t="s">
        <v>241</v>
      </c>
      <c r="B773" s="3">
        <v>45505</v>
      </c>
    </row>
    <row r="774" spans="1:2" ht="15" customHeight="1" x14ac:dyDescent="0.3">
      <c r="A774" t="s">
        <v>241</v>
      </c>
      <c r="B774" s="3">
        <v>45536</v>
      </c>
    </row>
    <row r="775" spans="1:2" ht="15" customHeight="1" x14ac:dyDescent="0.3">
      <c r="A775" t="s">
        <v>241</v>
      </c>
      <c r="B775" s="3">
        <v>45536</v>
      </c>
    </row>
    <row r="776" spans="1:2" ht="15" customHeight="1" x14ac:dyDescent="0.3">
      <c r="A776" t="s">
        <v>241</v>
      </c>
      <c r="B776" s="3">
        <v>45566</v>
      </c>
    </row>
    <row r="777" spans="1:2" ht="15" customHeight="1" x14ac:dyDescent="0.3">
      <c r="A777" t="s">
        <v>241</v>
      </c>
      <c r="B777" s="3">
        <v>45566</v>
      </c>
    </row>
    <row r="778" spans="1:2" ht="15" customHeight="1" x14ac:dyDescent="0.3">
      <c r="A778" t="s">
        <v>241</v>
      </c>
      <c r="B778" s="3">
        <v>45597</v>
      </c>
    </row>
    <row r="779" spans="1:2" ht="15" customHeight="1" x14ac:dyDescent="0.3">
      <c r="A779" t="s">
        <v>241</v>
      </c>
      <c r="B779" s="3">
        <v>45597</v>
      </c>
    </row>
    <row r="780" spans="1:2" ht="15" customHeight="1" x14ac:dyDescent="0.3">
      <c r="A780" t="s">
        <v>241</v>
      </c>
      <c r="B780" s="3">
        <v>45627</v>
      </c>
    </row>
    <row r="781" spans="1:2" ht="15" customHeight="1" x14ac:dyDescent="0.3">
      <c r="A781" t="s">
        <v>241</v>
      </c>
      <c r="B781" s="3">
        <v>45627</v>
      </c>
    </row>
    <row r="782" spans="1:2" ht="15" customHeight="1" x14ac:dyDescent="0.3">
      <c r="A782" t="s">
        <v>241</v>
      </c>
      <c r="B782" s="3">
        <v>45658</v>
      </c>
    </row>
    <row r="783" spans="1:2" ht="15" customHeight="1" x14ac:dyDescent="0.3">
      <c r="A783" t="s">
        <v>241</v>
      </c>
      <c r="B783" s="3">
        <v>45658</v>
      </c>
    </row>
    <row r="784" spans="1:2" ht="15" customHeight="1" x14ac:dyDescent="0.3">
      <c r="A784" t="s">
        <v>241</v>
      </c>
      <c r="B784" s="3">
        <v>45689</v>
      </c>
    </row>
    <row r="785" spans="1:2" ht="15" customHeight="1" x14ac:dyDescent="0.3">
      <c r="A785" t="s">
        <v>241</v>
      </c>
      <c r="B785" s="3">
        <v>45689</v>
      </c>
    </row>
    <row r="786" spans="1:2" ht="15" customHeight="1" x14ac:dyDescent="0.3">
      <c r="A786" t="s">
        <v>241</v>
      </c>
      <c r="B786" s="3">
        <v>45717</v>
      </c>
    </row>
    <row r="787" spans="1:2" ht="15" customHeight="1" x14ac:dyDescent="0.3">
      <c r="A787" t="s">
        <v>241</v>
      </c>
      <c r="B787" s="3">
        <v>45717</v>
      </c>
    </row>
    <row r="788" spans="1:2" ht="15" customHeight="1" x14ac:dyDescent="0.3">
      <c r="A788" t="s">
        <v>241</v>
      </c>
      <c r="B788" s="3">
        <v>45748</v>
      </c>
    </row>
    <row r="789" spans="1:2" ht="15" customHeight="1" x14ac:dyDescent="0.3">
      <c r="A789" t="s">
        <v>241</v>
      </c>
      <c r="B789" s="3">
        <v>45748</v>
      </c>
    </row>
    <row r="790" spans="1:2" ht="15" customHeight="1" x14ac:dyDescent="0.3">
      <c r="A790" t="s">
        <v>241</v>
      </c>
      <c r="B790" s="3">
        <v>45778</v>
      </c>
    </row>
    <row r="791" spans="1:2" ht="15" customHeight="1" x14ac:dyDescent="0.3">
      <c r="A791" t="s">
        <v>241</v>
      </c>
      <c r="B791" s="3">
        <v>45778</v>
      </c>
    </row>
    <row r="792" spans="1:2" ht="15" customHeight="1" x14ac:dyDescent="0.3">
      <c r="A792" t="s">
        <v>241</v>
      </c>
      <c r="B792" s="3">
        <v>45809</v>
      </c>
    </row>
    <row r="793" spans="1:2" ht="15" customHeight="1" x14ac:dyDescent="0.3">
      <c r="A793" t="s">
        <v>241</v>
      </c>
      <c r="B793" s="3">
        <v>45809</v>
      </c>
    </row>
    <row r="794" spans="1:2" ht="15" customHeight="1" x14ac:dyDescent="0.3">
      <c r="A794" t="s">
        <v>241</v>
      </c>
      <c r="B794" s="3">
        <v>45839</v>
      </c>
    </row>
    <row r="795" spans="1:2" ht="15" customHeight="1" x14ac:dyDescent="0.3">
      <c r="A795" t="s">
        <v>241</v>
      </c>
      <c r="B795" s="3">
        <v>45839</v>
      </c>
    </row>
    <row r="796" spans="1:2" ht="15" customHeight="1" x14ac:dyDescent="0.3">
      <c r="A796" t="s">
        <v>241</v>
      </c>
      <c r="B796" s="3">
        <v>45870</v>
      </c>
    </row>
    <row r="797" spans="1:2" ht="15" customHeight="1" x14ac:dyDescent="0.3">
      <c r="A797" t="s">
        <v>241</v>
      </c>
      <c r="B797" s="3">
        <v>45870</v>
      </c>
    </row>
    <row r="798" spans="1:2" ht="15" customHeight="1" x14ac:dyDescent="0.3">
      <c r="A798" t="s">
        <v>241</v>
      </c>
      <c r="B798" s="3">
        <v>45901</v>
      </c>
    </row>
    <row r="799" spans="1:2" ht="15" customHeight="1" x14ac:dyDescent="0.3">
      <c r="A799" t="s">
        <v>241</v>
      </c>
      <c r="B799" s="3">
        <v>45901</v>
      </c>
    </row>
    <row r="800" spans="1:2" ht="15" customHeight="1" x14ac:dyDescent="0.3">
      <c r="A800" t="s">
        <v>241</v>
      </c>
      <c r="B800" s="3">
        <v>45931</v>
      </c>
    </row>
    <row r="801" spans="1:3" ht="15" customHeight="1" x14ac:dyDescent="0.3">
      <c r="A801" t="s">
        <v>241</v>
      </c>
      <c r="B801" s="3">
        <v>45931</v>
      </c>
    </row>
    <row r="802" spans="1:3" ht="15" customHeight="1" x14ac:dyDescent="0.3">
      <c r="A802" t="s">
        <v>241</v>
      </c>
      <c r="B802" s="3">
        <v>45962</v>
      </c>
    </row>
    <row r="803" spans="1:3" ht="15" customHeight="1" x14ac:dyDescent="0.3">
      <c r="A803" t="s">
        <v>241</v>
      </c>
      <c r="B803" s="3">
        <v>45962</v>
      </c>
    </row>
    <row r="804" spans="1:3" ht="15" customHeight="1" x14ac:dyDescent="0.3">
      <c r="A804" t="s">
        <v>241</v>
      </c>
      <c r="B804" s="3">
        <v>45992</v>
      </c>
    </row>
    <row r="805" spans="1:3" ht="15" customHeight="1" x14ac:dyDescent="0.3">
      <c r="A805" t="s">
        <v>241</v>
      </c>
      <c r="B805" s="3">
        <v>45992</v>
      </c>
    </row>
    <row r="806" spans="1:3" ht="15" customHeight="1" x14ac:dyDescent="0.3">
      <c r="A806" t="s">
        <v>241</v>
      </c>
      <c r="B806" s="3">
        <v>46023</v>
      </c>
    </row>
    <row r="807" spans="1:3" ht="15" customHeight="1" x14ac:dyDescent="0.3">
      <c r="A807" t="s">
        <v>241</v>
      </c>
      <c r="B807" s="3">
        <v>46023</v>
      </c>
    </row>
    <row r="808" spans="1:3" ht="15" customHeight="1" x14ac:dyDescent="0.3">
      <c r="A808" t="s">
        <v>241</v>
      </c>
      <c r="B808" s="3">
        <v>46054</v>
      </c>
    </row>
    <row r="809" spans="1:3" ht="15" customHeight="1" x14ac:dyDescent="0.3">
      <c r="A809" t="s">
        <v>241</v>
      </c>
      <c r="B809" s="3">
        <v>46054</v>
      </c>
    </row>
    <row r="810" spans="1:3" ht="15" customHeight="1" x14ac:dyDescent="0.3">
      <c r="A810" t="s">
        <v>241</v>
      </c>
      <c r="B810" s="3">
        <v>46082</v>
      </c>
      <c r="C810">
        <v>2780</v>
      </c>
    </row>
    <row r="811" spans="1:3" ht="15" customHeight="1" x14ac:dyDescent="0.3">
      <c r="A811" t="s">
        <v>241</v>
      </c>
      <c r="B811" s="3">
        <v>46082</v>
      </c>
      <c r="C811">
        <v>2780</v>
      </c>
    </row>
    <row r="812" spans="1:3" ht="15" customHeight="1" x14ac:dyDescent="0.3">
      <c r="A812" t="s">
        <v>241</v>
      </c>
      <c r="B812" s="3">
        <v>46113</v>
      </c>
      <c r="C812">
        <v>14950</v>
      </c>
    </row>
    <row r="813" spans="1:3" ht="15" customHeight="1" x14ac:dyDescent="0.3">
      <c r="A813" t="s">
        <v>241</v>
      </c>
      <c r="B813" s="3">
        <v>46113</v>
      </c>
      <c r="C813">
        <v>14950</v>
      </c>
    </row>
    <row r="814" spans="1:3" ht="15" customHeight="1" x14ac:dyDescent="0.3">
      <c r="A814" t="s">
        <v>241</v>
      </c>
      <c r="B814" s="3">
        <v>46143</v>
      </c>
      <c r="C814" s="13">
        <v>6540</v>
      </c>
    </row>
    <row r="815" spans="1:3" ht="15" customHeight="1" x14ac:dyDescent="0.3">
      <c r="A815" t="s">
        <v>241</v>
      </c>
      <c r="B815" s="3">
        <v>46143</v>
      </c>
      <c r="C815" s="13">
        <v>6540</v>
      </c>
    </row>
    <row r="816" spans="1:3" ht="15" customHeight="1" x14ac:dyDescent="0.3">
      <c r="A816" t="s">
        <v>241</v>
      </c>
      <c r="B816" s="3">
        <v>46174</v>
      </c>
    </row>
    <row r="817" spans="1:2" ht="15" customHeight="1" x14ac:dyDescent="0.3">
      <c r="A817" t="s">
        <v>241</v>
      </c>
      <c r="B817" s="3">
        <v>46174</v>
      </c>
    </row>
    <row r="818" spans="1:2" ht="15" customHeight="1" x14ac:dyDescent="0.3">
      <c r="A818" t="s">
        <v>241</v>
      </c>
      <c r="B818" s="3">
        <v>46204</v>
      </c>
    </row>
    <row r="819" spans="1:2" ht="15" customHeight="1" x14ac:dyDescent="0.3">
      <c r="A819" t="s">
        <v>241</v>
      </c>
      <c r="B819" s="3">
        <v>46204</v>
      </c>
    </row>
    <row r="820" spans="1:2" ht="15" customHeight="1" x14ac:dyDescent="0.3">
      <c r="A820" t="s">
        <v>241</v>
      </c>
      <c r="B820" s="3">
        <v>46235</v>
      </c>
    </row>
    <row r="821" spans="1:2" ht="15" customHeight="1" x14ac:dyDescent="0.3">
      <c r="A821" t="s">
        <v>241</v>
      </c>
      <c r="B821" s="3">
        <v>46235</v>
      </c>
    </row>
    <row r="822" spans="1:2" ht="15" customHeight="1" x14ac:dyDescent="0.3">
      <c r="A822" t="s">
        <v>241</v>
      </c>
      <c r="B822" s="3">
        <v>46266</v>
      </c>
    </row>
    <row r="823" spans="1:2" ht="15" customHeight="1" x14ac:dyDescent="0.3">
      <c r="A823" t="s">
        <v>241</v>
      </c>
      <c r="B823" s="3">
        <v>46266</v>
      </c>
    </row>
    <row r="824" spans="1:2" ht="15" customHeight="1" x14ac:dyDescent="0.3">
      <c r="A824" t="s">
        <v>241</v>
      </c>
      <c r="B824" s="3">
        <v>46296</v>
      </c>
    </row>
    <row r="825" spans="1:2" ht="15" customHeight="1" x14ac:dyDescent="0.3">
      <c r="A825" t="s">
        <v>241</v>
      </c>
      <c r="B825" s="3">
        <v>46296</v>
      </c>
    </row>
    <row r="826" spans="1:2" ht="15" customHeight="1" x14ac:dyDescent="0.3">
      <c r="A826" t="s">
        <v>241</v>
      </c>
      <c r="B826" s="3">
        <v>46327</v>
      </c>
    </row>
    <row r="827" spans="1:2" ht="15" customHeight="1" x14ac:dyDescent="0.3">
      <c r="A827" t="s">
        <v>241</v>
      </c>
      <c r="B827" s="3">
        <v>46327</v>
      </c>
    </row>
    <row r="828" spans="1:2" ht="15" customHeight="1" x14ac:dyDescent="0.3">
      <c r="A828" t="s">
        <v>241</v>
      </c>
      <c r="B828" s="3">
        <v>46357</v>
      </c>
    </row>
    <row r="829" spans="1:2" ht="15" customHeight="1" x14ac:dyDescent="0.3">
      <c r="A829" t="s">
        <v>241</v>
      </c>
      <c r="B829" s="3">
        <v>46357</v>
      </c>
    </row>
    <row r="830" spans="1:2" ht="15" customHeight="1" x14ac:dyDescent="0.3">
      <c r="A830" t="s">
        <v>115</v>
      </c>
      <c r="B830" s="3">
        <v>45292</v>
      </c>
    </row>
    <row r="831" spans="1:2" ht="15" customHeight="1" x14ac:dyDescent="0.3">
      <c r="A831" t="s">
        <v>115</v>
      </c>
      <c r="B831" s="3">
        <v>45323</v>
      </c>
    </row>
    <row r="832" spans="1:2" ht="15" customHeight="1" x14ac:dyDescent="0.3">
      <c r="A832" t="s">
        <v>115</v>
      </c>
      <c r="B832" s="3">
        <v>45352</v>
      </c>
    </row>
    <row r="833" spans="1:3" ht="15" customHeight="1" x14ac:dyDescent="0.3">
      <c r="A833" t="s">
        <v>115</v>
      </c>
      <c r="B833" s="3">
        <v>45383</v>
      </c>
    </row>
    <row r="834" spans="1:3" ht="15" customHeight="1" x14ac:dyDescent="0.3">
      <c r="A834" t="s">
        <v>115</v>
      </c>
      <c r="B834" s="3">
        <v>45413</v>
      </c>
    </row>
    <row r="835" spans="1:3" ht="15" customHeight="1" x14ac:dyDescent="0.3">
      <c r="A835" t="s">
        <v>115</v>
      </c>
      <c r="B835" s="3">
        <v>45444</v>
      </c>
      <c r="C835">
        <v>1659</v>
      </c>
    </row>
    <row r="836" spans="1:3" ht="15" customHeight="1" x14ac:dyDescent="0.3">
      <c r="A836" t="s">
        <v>115</v>
      </c>
      <c r="B836" s="3">
        <v>45474</v>
      </c>
      <c r="C836">
        <v>2542</v>
      </c>
    </row>
    <row r="837" spans="1:3" ht="15" customHeight="1" x14ac:dyDescent="0.3">
      <c r="A837" t="s">
        <v>115</v>
      </c>
      <c r="B837" s="3">
        <v>45505</v>
      </c>
      <c r="C837">
        <v>2833</v>
      </c>
    </row>
    <row r="838" spans="1:3" ht="15" customHeight="1" x14ac:dyDescent="0.3">
      <c r="A838" t="s">
        <v>115</v>
      </c>
      <c r="B838" s="3">
        <v>45536</v>
      </c>
      <c r="C838">
        <v>2688</v>
      </c>
    </row>
    <row r="839" spans="1:3" ht="15" customHeight="1" x14ac:dyDescent="0.3">
      <c r="A839" t="s">
        <v>115</v>
      </c>
      <c r="B839" s="3">
        <v>45566</v>
      </c>
      <c r="C839">
        <v>3664</v>
      </c>
    </row>
    <row r="840" spans="1:3" ht="15" customHeight="1" x14ac:dyDescent="0.3">
      <c r="A840" t="s">
        <v>115</v>
      </c>
      <c r="B840" s="3">
        <v>45597</v>
      </c>
      <c r="C840">
        <v>3499</v>
      </c>
    </row>
    <row r="841" spans="1:3" ht="15" customHeight="1" x14ac:dyDescent="0.3">
      <c r="A841" t="s">
        <v>115</v>
      </c>
      <c r="B841" s="3">
        <v>45627</v>
      </c>
      <c r="C841">
        <v>2842</v>
      </c>
    </row>
    <row r="842" spans="1:3" ht="15" customHeight="1" x14ac:dyDescent="0.3">
      <c r="A842" t="s">
        <v>115</v>
      </c>
      <c r="B842" s="3">
        <v>45658</v>
      </c>
      <c r="C842">
        <v>3075</v>
      </c>
    </row>
    <row r="843" spans="1:3" ht="15" customHeight="1" x14ac:dyDescent="0.3">
      <c r="A843" t="s">
        <v>115</v>
      </c>
      <c r="B843" s="3">
        <v>45689</v>
      </c>
      <c r="C843">
        <v>3328</v>
      </c>
    </row>
    <row r="844" spans="1:3" ht="15" customHeight="1" x14ac:dyDescent="0.3">
      <c r="A844" t="s">
        <v>115</v>
      </c>
      <c r="B844" s="3">
        <v>45717</v>
      </c>
      <c r="C844">
        <v>2317</v>
      </c>
    </row>
    <row r="845" spans="1:3" ht="15" customHeight="1" x14ac:dyDescent="0.3">
      <c r="A845" t="s">
        <v>115</v>
      </c>
      <c r="B845" s="3">
        <v>45748</v>
      </c>
      <c r="C845">
        <v>3007</v>
      </c>
    </row>
    <row r="846" spans="1:3" ht="15" customHeight="1" x14ac:dyDescent="0.3">
      <c r="A846" t="s">
        <v>115</v>
      </c>
      <c r="B846" s="3">
        <v>45778</v>
      </c>
      <c r="C846">
        <v>3516</v>
      </c>
    </row>
    <row r="847" spans="1:3" ht="15" customHeight="1" x14ac:dyDescent="0.3">
      <c r="A847" t="s">
        <v>115</v>
      </c>
      <c r="B847" s="3">
        <v>45809</v>
      </c>
      <c r="C847">
        <v>2912.8</v>
      </c>
    </row>
    <row r="848" spans="1:3" ht="15" customHeight="1" x14ac:dyDescent="0.3">
      <c r="A848" t="s">
        <v>115</v>
      </c>
      <c r="B848" s="3">
        <v>45839</v>
      </c>
      <c r="C848">
        <v>2789</v>
      </c>
    </row>
    <row r="849" spans="1:3" ht="15" customHeight="1" x14ac:dyDescent="0.3">
      <c r="A849" t="s">
        <v>115</v>
      </c>
      <c r="B849" s="3">
        <v>45870</v>
      </c>
      <c r="C849">
        <v>3342</v>
      </c>
    </row>
    <row r="850" spans="1:3" ht="15" customHeight="1" x14ac:dyDescent="0.3">
      <c r="A850" t="s">
        <v>115</v>
      </c>
      <c r="B850" s="3">
        <v>45901</v>
      </c>
      <c r="C850">
        <v>3079</v>
      </c>
    </row>
    <row r="851" spans="1:3" ht="15" customHeight="1" x14ac:dyDescent="0.3">
      <c r="A851" t="s">
        <v>115</v>
      </c>
      <c r="B851" s="3">
        <v>45931</v>
      </c>
      <c r="C851">
        <v>3708</v>
      </c>
    </row>
    <row r="852" spans="1:3" ht="15" customHeight="1" x14ac:dyDescent="0.3">
      <c r="A852" t="s">
        <v>115</v>
      </c>
      <c r="B852" s="3">
        <v>45962</v>
      </c>
      <c r="C852">
        <v>2852</v>
      </c>
    </row>
    <row r="853" spans="1:3" ht="15" customHeight="1" x14ac:dyDescent="0.3">
      <c r="A853" t="s">
        <v>115</v>
      </c>
      <c r="B853" s="3">
        <v>45992</v>
      </c>
      <c r="C853">
        <v>2386</v>
      </c>
    </row>
    <row r="854" spans="1:3" ht="15" customHeight="1" x14ac:dyDescent="0.3">
      <c r="A854" t="s">
        <v>115</v>
      </c>
      <c r="B854" s="3">
        <v>46023</v>
      </c>
      <c r="C854">
        <v>1855</v>
      </c>
    </row>
    <row r="855" spans="1:3" ht="15" customHeight="1" x14ac:dyDescent="0.3">
      <c r="A855" t="s">
        <v>115</v>
      </c>
      <c r="B855" s="3">
        <v>46054</v>
      </c>
      <c r="C855">
        <v>3786</v>
      </c>
    </row>
    <row r="856" spans="1:3" ht="15" customHeight="1" x14ac:dyDescent="0.3">
      <c r="A856" t="s">
        <v>115</v>
      </c>
      <c r="B856" s="3">
        <v>46082</v>
      </c>
      <c r="C856">
        <v>2926</v>
      </c>
    </row>
    <row r="857" spans="1:3" ht="15" customHeight="1" x14ac:dyDescent="0.3">
      <c r="A857" t="s">
        <v>115</v>
      </c>
      <c r="B857" s="3">
        <v>46113</v>
      </c>
      <c r="C857">
        <v>1520</v>
      </c>
    </row>
    <row r="858" spans="1:3" ht="15" customHeight="1" x14ac:dyDescent="0.3">
      <c r="A858" t="s">
        <v>115</v>
      </c>
      <c r="B858" s="3">
        <v>46143</v>
      </c>
      <c r="C858" s="13">
        <v>2675.6</v>
      </c>
    </row>
    <row r="859" spans="1:3" ht="15" customHeight="1" x14ac:dyDescent="0.3">
      <c r="A859" t="s">
        <v>115</v>
      </c>
      <c r="B859" s="3">
        <v>46174</v>
      </c>
    </row>
    <row r="860" spans="1:3" ht="15" customHeight="1" x14ac:dyDescent="0.3">
      <c r="A860" t="s">
        <v>115</v>
      </c>
      <c r="B860" s="3">
        <v>46204</v>
      </c>
    </row>
    <row r="861" spans="1:3" ht="15" customHeight="1" x14ac:dyDescent="0.3">
      <c r="A861" t="s">
        <v>115</v>
      </c>
      <c r="B861" s="3">
        <v>46235</v>
      </c>
    </row>
    <row r="862" spans="1:3" ht="15" customHeight="1" x14ac:dyDescent="0.3">
      <c r="A862" t="s">
        <v>115</v>
      </c>
      <c r="B862" s="3">
        <v>46266</v>
      </c>
    </row>
    <row r="863" spans="1:3" ht="15" customHeight="1" x14ac:dyDescent="0.3">
      <c r="A863" t="s">
        <v>115</v>
      </c>
      <c r="B863" s="3">
        <v>46296</v>
      </c>
    </row>
    <row r="864" spans="1:3" ht="15" customHeight="1" x14ac:dyDescent="0.3">
      <c r="A864" t="s">
        <v>115</v>
      </c>
      <c r="B864" s="3">
        <v>46327</v>
      </c>
    </row>
    <row r="865" spans="1:3" ht="15" customHeight="1" x14ac:dyDescent="0.3">
      <c r="A865" t="s">
        <v>115</v>
      </c>
      <c r="B865" s="3">
        <v>46357</v>
      </c>
    </row>
    <row r="866" spans="1:3" ht="15" customHeight="1" x14ac:dyDescent="0.3">
      <c r="A866" t="s">
        <v>119</v>
      </c>
      <c r="B866" s="3">
        <v>45292</v>
      </c>
      <c r="C866">
        <v>32658</v>
      </c>
    </row>
    <row r="867" spans="1:3" ht="15" customHeight="1" x14ac:dyDescent="0.3">
      <c r="A867" t="s">
        <v>119</v>
      </c>
      <c r="B867" s="3">
        <v>45323</v>
      </c>
      <c r="C867">
        <v>26200</v>
      </c>
    </row>
    <row r="868" spans="1:3" ht="15" customHeight="1" x14ac:dyDescent="0.3">
      <c r="A868" t="s">
        <v>119</v>
      </c>
      <c r="B868" s="3">
        <v>45352</v>
      </c>
      <c r="C868">
        <v>23764</v>
      </c>
    </row>
    <row r="869" spans="1:3" ht="15" customHeight="1" x14ac:dyDescent="0.3">
      <c r="A869" t="s">
        <v>119</v>
      </c>
      <c r="B869" s="3">
        <v>45383</v>
      </c>
      <c r="C869">
        <v>17748</v>
      </c>
    </row>
    <row r="870" spans="1:3" ht="15" customHeight="1" x14ac:dyDescent="0.3">
      <c r="A870" t="s">
        <v>119</v>
      </c>
      <c r="B870" s="3">
        <v>45413</v>
      </c>
      <c r="C870">
        <v>12623</v>
      </c>
    </row>
    <row r="871" spans="1:3" ht="15" customHeight="1" x14ac:dyDescent="0.3">
      <c r="A871" t="s">
        <v>119</v>
      </c>
      <c r="B871" s="3">
        <v>45444</v>
      </c>
      <c r="C871">
        <v>9466</v>
      </c>
    </row>
    <row r="872" spans="1:3" ht="15" customHeight="1" x14ac:dyDescent="0.3">
      <c r="A872" t="s">
        <v>119</v>
      </c>
      <c r="B872" s="3">
        <v>45474</v>
      </c>
      <c r="C872">
        <v>8265</v>
      </c>
    </row>
    <row r="873" spans="1:3" ht="15" customHeight="1" x14ac:dyDescent="0.3">
      <c r="A873" t="s">
        <v>119</v>
      </c>
      <c r="B873" s="3">
        <v>45505</v>
      </c>
      <c r="C873">
        <v>14669</v>
      </c>
    </row>
    <row r="874" spans="1:3" ht="15" customHeight="1" x14ac:dyDescent="0.3">
      <c r="A874" t="s">
        <v>119</v>
      </c>
      <c r="B874" s="3">
        <v>45536</v>
      </c>
      <c r="C874">
        <v>20334</v>
      </c>
    </row>
    <row r="875" spans="1:3" ht="15" customHeight="1" x14ac:dyDescent="0.3">
      <c r="A875" t="s">
        <v>119</v>
      </c>
      <c r="B875" s="3">
        <v>45566</v>
      </c>
      <c r="C875">
        <v>26318</v>
      </c>
    </row>
    <row r="876" spans="1:3" ht="15" customHeight="1" x14ac:dyDescent="0.3">
      <c r="A876" t="s">
        <v>119</v>
      </c>
      <c r="B876" s="3">
        <v>45597</v>
      </c>
      <c r="C876">
        <v>29589</v>
      </c>
    </row>
    <row r="877" spans="1:3" ht="15" customHeight="1" x14ac:dyDescent="0.3">
      <c r="A877" t="s">
        <v>119</v>
      </c>
      <c r="B877" s="3">
        <v>45627</v>
      </c>
      <c r="C877">
        <v>31807</v>
      </c>
    </row>
    <row r="878" spans="1:3" ht="15" customHeight="1" x14ac:dyDescent="0.3">
      <c r="A878" t="s">
        <v>119</v>
      </c>
      <c r="B878" s="3">
        <v>45658</v>
      </c>
      <c r="C878">
        <v>32545</v>
      </c>
    </row>
    <row r="879" spans="1:3" ht="15" customHeight="1" x14ac:dyDescent="0.3">
      <c r="A879" t="s">
        <v>119</v>
      </c>
      <c r="B879" s="3">
        <v>45689</v>
      </c>
      <c r="C879">
        <v>20706</v>
      </c>
    </row>
    <row r="880" spans="1:3" ht="15" customHeight="1" x14ac:dyDescent="0.3">
      <c r="A880" t="s">
        <v>119</v>
      </c>
      <c r="B880" s="3">
        <v>45717</v>
      </c>
      <c r="C880">
        <v>16650</v>
      </c>
    </row>
    <row r="881" spans="1:3" ht="15" customHeight="1" x14ac:dyDescent="0.3">
      <c r="A881" t="s">
        <v>119</v>
      </c>
      <c r="B881" s="3">
        <v>45748</v>
      </c>
      <c r="C881">
        <v>13216</v>
      </c>
    </row>
    <row r="882" spans="1:3" ht="15" customHeight="1" x14ac:dyDescent="0.3">
      <c r="A882" t="s">
        <v>119</v>
      </c>
      <c r="B882" s="3">
        <v>45778</v>
      </c>
      <c r="C882">
        <v>8710</v>
      </c>
    </row>
    <row r="883" spans="1:3" ht="15" customHeight="1" x14ac:dyDescent="0.3">
      <c r="A883" t="s">
        <v>119</v>
      </c>
      <c r="B883" s="3">
        <v>45809</v>
      </c>
      <c r="C883">
        <v>7500.92</v>
      </c>
    </row>
    <row r="884" spans="1:3" ht="15" customHeight="1" x14ac:dyDescent="0.3">
      <c r="A884" t="s">
        <v>119</v>
      </c>
      <c r="B884" s="3">
        <v>45839</v>
      </c>
      <c r="C884">
        <v>9649</v>
      </c>
    </row>
    <row r="885" spans="1:3" ht="15" customHeight="1" x14ac:dyDescent="0.3">
      <c r="A885" t="s">
        <v>119</v>
      </c>
      <c r="B885" s="3">
        <v>45870</v>
      </c>
      <c r="C885">
        <v>13424</v>
      </c>
    </row>
    <row r="886" spans="1:3" ht="15" customHeight="1" x14ac:dyDescent="0.3">
      <c r="A886" t="s">
        <v>119</v>
      </c>
      <c r="B886" s="3">
        <v>45901</v>
      </c>
      <c r="C886">
        <v>19447</v>
      </c>
    </row>
    <row r="887" spans="1:3" ht="15" customHeight="1" x14ac:dyDescent="0.3">
      <c r="A887" t="s">
        <v>119</v>
      </c>
      <c r="B887" s="3">
        <v>45931</v>
      </c>
      <c r="C887">
        <v>33678</v>
      </c>
    </row>
    <row r="888" spans="1:3" ht="15" customHeight="1" x14ac:dyDescent="0.3">
      <c r="A888" t="s">
        <v>119</v>
      </c>
      <c r="B888" s="3">
        <v>45962</v>
      </c>
      <c r="C888">
        <v>40164</v>
      </c>
    </row>
    <row r="889" spans="1:3" ht="15" customHeight="1" x14ac:dyDescent="0.3">
      <c r="A889" t="s">
        <v>119</v>
      </c>
      <c r="B889" s="3">
        <v>45992</v>
      </c>
      <c r="C889">
        <v>42482</v>
      </c>
    </row>
    <row r="890" spans="1:3" ht="15" customHeight="1" x14ac:dyDescent="0.3">
      <c r="A890" t="s">
        <v>119</v>
      </c>
      <c r="B890" s="3">
        <v>46023</v>
      </c>
      <c r="C890">
        <v>40719</v>
      </c>
    </row>
    <row r="891" spans="1:3" ht="15" customHeight="1" x14ac:dyDescent="0.3">
      <c r="A891" t="s">
        <v>119</v>
      </c>
      <c r="B891" s="3">
        <v>46054</v>
      </c>
      <c r="C891">
        <v>29862</v>
      </c>
    </row>
    <row r="892" spans="1:3" ht="15" customHeight="1" x14ac:dyDescent="0.3">
      <c r="A892" t="s">
        <v>119</v>
      </c>
      <c r="B892" s="3">
        <v>46082</v>
      </c>
      <c r="C892">
        <v>30793</v>
      </c>
    </row>
    <row r="893" spans="1:3" ht="15" customHeight="1" x14ac:dyDescent="0.3">
      <c r="A893" t="s">
        <v>119</v>
      </c>
      <c r="B893" s="3">
        <v>46113</v>
      </c>
      <c r="C893">
        <v>19657.41</v>
      </c>
    </row>
    <row r="894" spans="1:3" ht="15" customHeight="1" x14ac:dyDescent="0.3">
      <c r="A894" t="s">
        <v>119</v>
      </c>
      <c r="B894" s="3">
        <v>46143</v>
      </c>
      <c r="C894" s="13">
        <v>14538.69</v>
      </c>
    </row>
    <row r="895" spans="1:3" ht="15" customHeight="1" x14ac:dyDescent="0.3">
      <c r="A895" t="s">
        <v>119</v>
      </c>
      <c r="B895" s="3">
        <v>46174</v>
      </c>
    </row>
    <row r="896" spans="1:3" ht="15" customHeight="1" x14ac:dyDescent="0.3">
      <c r="A896" t="s">
        <v>119</v>
      </c>
      <c r="B896" s="3">
        <v>46204</v>
      </c>
    </row>
    <row r="897" spans="1:3" ht="15" customHeight="1" x14ac:dyDescent="0.3">
      <c r="A897" t="s">
        <v>119</v>
      </c>
      <c r="B897" s="3">
        <v>46235</v>
      </c>
    </row>
    <row r="898" spans="1:3" ht="15" customHeight="1" x14ac:dyDescent="0.3">
      <c r="A898" t="s">
        <v>119</v>
      </c>
      <c r="B898" s="3">
        <v>46266</v>
      </c>
    </row>
    <row r="899" spans="1:3" ht="15" customHeight="1" x14ac:dyDescent="0.3">
      <c r="A899" t="s">
        <v>119</v>
      </c>
      <c r="B899" s="3">
        <v>46296</v>
      </c>
    </row>
    <row r="900" spans="1:3" ht="15" customHeight="1" x14ac:dyDescent="0.3">
      <c r="A900" t="s">
        <v>119</v>
      </c>
      <c r="B900" s="3">
        <v>46327</v>
      </c>
    </row>
    <row r="901" spans="1:3" ht="15" customHeight="1" x14ac:dyDescent="0.3">
      <c r="A901" t="s">
        <v>119</v>
      </c>
      <c r="B901" s="3">
        <v>46357</v>
      </c>
    </row>
    <row r="902" spans="1:3" ht="15" customHeight="1" x14ac:dyDescent="0.3">
      <c r="A902" t="s">
        <v>120</v>
      </c>
      <c r="B902" s="3">
        <v>45292</v>
      </c>
      <c r="C902">
        <v>17880</v>
      </c>
    </row>
    <row r="903" spans="1:3" ht="15" customHeight="1" x14ac:dyDescent="0.3">
      <c r="A903" t="s">
        <v>120</v>
      </c>
      <c r="B903" s="3">
        <v>45323</v>
      </c>
      <c r="C903">
        <v>18790</v>
      </c>
    </row>
    <row r="904" spans="1:3" ht="15" customHeight="1" x14ac:dyDescent="0.3">
      <c r="A904" t="s">
        <v>120</v>
      </c>
      <c r="B904" s="3">
        <v>45352</v>
      </c>
      <c r="C904">
        <v>22610</v>
      </c>
    </row>
    <row r="905" spans="1:3" ht="15" customHeight="1" x14ac:dyDescent="0.3">
      <c r="A905" t="s">
        <v>120</v>
      </c>
      <c r="B905" s="3">
        <v>45383</v>
      </c>
      <c r="C905">
        <v>20030</v>
      </c>
    </row>
    <row r="906" spans="1:3" ht="15" customHeight="1" x14ac:dyDescent="0.3">
      <c r="A906" t="s">
        <v>120</v>
      </c>
      <c r="B906" s="3">
        <v>45413</v>
      </c>
      <c r="C906">
        <v>17820</v>
      </c>
    </row>
    <row r="907" spans="1:3" ht="15" customHeight="1" x14ac:dyDescent="0.3">
      <c r="A907" t="s">
        <v>120</v>
      </c>
      <c r="B907" s="3">
        <v>45444</v>
      </c>
      <c r="C907">
        <v>11000</v>
      </c>
    </row>
    <row r="908" spans="1:3" ht="15" customHeight="1" x14ac:dyDescent="0.3">
      <c r="A908" t="s">
        <v>120</v>
      </c>
      <c r="B908" s="3">
        <v>45474</v>
      </c>
      <c r="C908">
        <v>17460</v>
      </c>
    </row>
    <row r="909" spans="1:3" ht="15" customHeight="1" x14ac:dyDescent="0.3">
      <c r="A909" t="s">
        <v>120</v>
      </c>
      <c r="B909" s="3">
        <v>45505</v>
      </c>
      <c r="C909">
        <v>24290</v>
      </c>
    </row>
    <row r="910" spans="1:3" ht="15" customHeight="1" x14ac:dyDescent="0.3">
      <c r="A910" t="s">
        <v>120</v>
      </c>
      <c r="B910" s="3">
        <v>45536</v>
      </c>
      <c r="C910">
        <v>22510</v>
      </c>
    </row>
    <row r="911" spans="1:3" ht="15" customHeight="1" x14ac:dyDescent="0.3">
      <c r="A911" t="s">
        <v>120</v>
      </c>
      <c r="B911" s="3">
        <v>45566</v>
      </c>
      <c r="C911">
        <v>31780</v>
      </c>
    </row>
    <row r="912" spans="1:3" ht="15" customHeight="1" x14ac:dyDescent="0.3">
      <c r="A912" t="s">
        <v>120</v>
      </c>
      <c r="B912" s="3">
        <v>45597</v>
      </c>
      <c r="C912">
        <v>30100</v>
      </c>
    </row>
    <row r="913" spans="1:3" ht="15" customHeight="1" x14ac:dyDescent="0.3">
      <c r="A913" t="s">
        <v>120</v>
      </c>
      <c r="B913" s="3">
        <v>45627</v>
      </c>
      <c r="C913">
        <v>17966</v>
      </c>
    </row>
    <row r="914" spans="1:3" ht="15" customHeight="1" x14ac:dyDescent="0.3">
      <c r="A914" t="s">
        <v>120</v>
      </c>
      <c r="B914" s="3">
        <v>45658</v>
      </c>
      <c r="C914">
        <v>20808</v>
      </c>
    </row>
    <row r="915" spans="1:3" ht="15" customHeight="1" x14ac:dyDescent="0.3">
      <c r="A915" t="s">
        <v>120</v>
      </c>
      <c r="B915" s="3">
        <v>45689</v>
      </c>
      <c r="C915">
        <v>21538</v>
      </c>
    </row>
    <row r="916" spans="1:3" ht="15" customHeight="1" x14ac:dyDescent="0.3">
      <c r="A916" t="s">
        <v>120</v>
      </c>
      <c r="B916" s="3">
        <v>45717</v>
      </c>
      <c r="C916">
        <v>22662</v>
      </c>
    </row>
    <row r="917" spans="1:3" ht="15" customHeight="1" x14ac:dyDescent="0.3">
      <c r="A917" t="s">
        <v>120</v>
      </c>
      <c r="B917" s="3">
        <v>45748</v>
      </c>
      <c r="C917">
        <v>17413</v>
      </c>
    </row>
    <row r="918" spans="1:3" ht="15" customHeight="1" x14ac:dyDescent="0.3">
      <c r="A918" t="s">
        <v>120</v>
      </c>
      <c r="B918" s="3">
        <v>45778</v>
      </c>
      <c r="C918">
        <v>20430</v>
      </c>
    </row>
    <row r="919" spans="1:3" ht="15" customHeight="1" x14ac:dyDescent="0.3">
      <c r="A919" t="s">
        <v>120</v>
      </c>
      <c r="B919" s="3">
        <v>45809</v>
      </c>
      <c r="C919">
        <v>18398.740000000002</v>
      </c>
    </row>
    <row r="920" spans="1:3" ht="15" customHeight="1" x14ac:dyDescent="0.3">
      <c r="A920" t="s">
        <v>120</v>
      </c>
      <c r="B920" s="3">
        <v>45839</v>
      </c>
      <c r="C920">
        <v>19115</v>
      </c>
    </row>
    <row r="921" spans="1:3" ht="15" customHeight="1" x14ac:dyDescent="0.3">
      <c r="A921" t="s">
        <v>120</v>
      </c>
      <c r="B921" s="3">
        <v>45870</v>
      </c>
      <c r="C921">
        <v>21942</v>
      </c>
    </row>
    <row r="922" spans="1:3" ht="15" customHeight="1" x14ac:dyDescent="0.3">
      <c r="A922" t="s">
        <v>120</v>
      </c>
      <c r="B922" s="3">
        <v>45901</v>
      </c>
      <c r="C922">
        <v>21707</v>
      </c>
    </row>
    <row r="923" spans="1:3" ht="15" customHeight="1" x14ac:dyDescent="0.3">
      <c r="A923" t="s">
        <v>120</v>
      </c>
      <c r="B923" s="3">
        <v>45931</v>
      </c>
      <c r="C923">
        <v>28392</v>
      </c>
    </row>
    <row r="924" spans="1:3" ht="15" customHeight="1" x14ac:dyDescent="0.3">
      <c r="A924" t="s">
        <v>120</v>
      </c>
      <c r="B924" s="3">
        <v>45962</v>
      </c>
      <c r="C924">
        <v>24635</v>
      </c>
    </row>
    <row r="925" spans="1:3" ht="15" customHeight="1" x14ac:dyDescent="0.3">
      <c r="A925" t="s">
        <v>120</v>
      </c>
      <c r="B925" s="3">
        <v>45992</v>
      </c>
      <c r="C925">
        <v>13946</v>
      </c>
    </row>
    <row r="926" spans="1:3" ht="15" customHeight="1" x14ac:dyDescent="0.3">
      <c r="A926" t="s">
        <v>120</v>
      </c>
      <c r="B926" s="3">
        <v>46023</v>
      </c>
      <c r="C926">
        <v>25775</v>
      </c>
    </row>
    <row r="927" spans="1:3" ht="15" customHeight="1" x14ac:dyDescent="0.3">
      <c r="A927" t="s">
        <v>120</v>
      </c>
      <c r="B927" s="3">
        <v>46054</v>
      </c>
      <c r="C927">
        <v>24391</v>
      </c>
    </row>
    <row r="928" spans="1:3" ht="15" customHeight="1" x14ac:dyDescent="0.3">
      <c r="A928" t="s">
        <v>120</v>
      </c>
      <c r="B928" s="3">
        <v>46082</v>
      </c>
      <c r="C928">
        <v>22838</v>
      </c>
    </row>
    <row r="929" spans="1:3" ht="15" customHeight="1" x14ac:dyDescent="0.3">
      <c r="A929" t="s">
        <v>120</v>
      </c>
      <c r="B929" s="3">
        <v>46113</v>
      </c>
      <c r="C929">
        <v>19038.02</v>
      </c>
    </row>
    <row r="930" spans="1:3" ht="15" customHeight="1" x14ac:dyDescent="0.3">
      <c r="A930" t="s">
        <v>120</v>
      </c>
      <c r="B930" s="3">
        <v>46143</v>
      </c>
      <c r="C930" s="13">
        <v>19892</v>
      </c>
    </row>
    <row r="931" spans="1:3" ht="15" customHeight="1" x14ac:dyDescent="0.3">
      <c r="A931" t="s">
        <v>120</v>
      </c>
      <c r="B931" s="3">
        <v>46174</v>
      </c>
    </row>
    <row r="932" spans="1:3" ht="15" customHeight="1" x14ac:dyDescent="0.3">
      <c r="A932" t="s">
        <v>120</v>
      </c>
      <c r="B932" s="3">
        <v>46204</v>
      </c>
    </row>
    <row r="933" spans="1:3" ht="15" customHeight="1" x14ac:dyDescent="0.3">
      <c r="A933" t="s">
        <v>120</v>
      </c>
      <c r="B933" s="3">
        <v>46235</v>
      </c>
    </row>
    <row r="934" spans="1:3" ht="15" customHeight="1" x14ac:dyDescent="0.3">
      <c r="A934" t="s">
        <v>120</v>
      </c>
      <c r="B934" s="3">
        <v>46266</v>
      </c>
    </row>
    <row r="935" spans="1:3" ht="15" customHeight="1" x14ac:dyDescent="0.3">
      <c r="A935" t="s">
        <v>120</v>
      </c>
      <c r="B935" s="3">
        <v>46296</v>
      </c>
    </row>
    <row r="936" spans="1:3" ht="15" customHeight="1" x14ac:dyDescent="0.3">
      <c r="A936" t="s">
        <v>120</v>
      </c>
      <c r="B936" s="3">
        <v>46327</v>
      </c>
    </row>
    <row r="937" spans="1:3" ht="15" customHeight="1" x14ac:dyDescent="0.3">
      <c r="A937" t="s">
        <v>120</v>
      </c>
      <c r="B937" s="3">
        <v>46357</v>
      </c>
    </row>
    <row r="938" spans="1:3" ht="15" customHeight="1" x14ac:dyDescent="0.3">
      <c r="A938" t="s">
        <v>124</v>
      </c>
      <c r="B938" s="3">
        <v>45292</v>
      </c>
    </row>
    <row r="939" spans="1:3" ht="15" customHeight="1" x14ac:dyDescent="0.3">
      <c r="A939" t="s">
        <v>124</v>
      </c>
      <c r="B939" s="3">
        <v>45323</v>
      </c>
    </row>
    <row r="940" spans="1:3" ht="15" customHeight="1" x14ac:dyDescent="0.3">
      <c r="A940" t="s">
        <v>124</v>
      </c>
      <c r="B940" s="3">
        <v>45352</v>
      </c>
    </row>
    <row r="941" spans="1:3" ht="15" customHeight="1" x14ac:dyDescent="0.3">
      <c r="A941" t="s">
        <v>124</v>
      </c>
      <c r="B941" s="3">
        <v>45383</v>
      </c>
    </row>
    <row r="942" spans="1:3" ht="15" customHeight="1" x14ac:dyDescent="0.3">
      <c r="A942" t="s">
        <v>124</v>
      </c>
      <c r="B942" s="3">
        <v>45413</v>
      </c>
    </row>
    <row r="943" spans="1:3" ht="15" customHeight="1" x14ac:dyDescent="0.3">
      <c r="A943" t="s">
        <v>124</v>
      </c>
      <c r="B943" s="3">
        <v>45444</v>
      </c>
      <c r="C943">
        <v>5360</v>
      </c>
    </row>
    <row r="944" spans="1:3" ht="15" customHeight="1" x14ac:dyDescent="0.3">
      <c r="A944" t="s">
        <v>124</v>
      </c>
      <c r="B944" s="3">
        <v>45474</v>
      </c>
      <c r="C944">
        <v>22610</v>
      </c>
    </row>
    <row r="945" spans="1:3" ht="15" customHeight="1" x14ac:dyDescent="0.3">
      <c r="A945" t="s">
        <v>124</v>
      </c>
      <c r="B945" s="3">
        <v>45505</v>
      </c>
      <c r="C945">
        <v>23490</v>
      </c>
    </row>
    <row r="946" spans="1:3" ht="15" customHeight="1" x14ac:dyDescent="0.3">
      <c r="A946" t="s">
        <v>124</v>
      </c>
      <c r="B946" s="3">
        <v>45536</v>
      </c>
      <c r="C946">
        <v>20740</v>
      </c>
    </row>
    <row r="947" spans="1:3" ht="15" customHeight="1" x14ac:dyDescent="0.3">
      <c r="A947" t="s">
        <v>124</v>
      </c>
      <c r="B947" s="3">
        <v>45566</v>
      </c>
      <c r="C947">
        <v>32140</v>
      </c>
    </row>
    <row r="948" spans="1:3" ht="15" customHeight="1" x14ac:dyDescent="0.3">
      <c r="A948" t="s">
        <v>124</v>
      </c>
      <c r="B948" s="3">
        <v>45597</v>
      </c>
      <c r="C948">
        <v>32300</v>
      </c>
    </row>
    <row r="949" spans="1:3" ht="15" customHeight="1" x14ac:dyDescent="0.3">
      <c r="A949" t="s">
        <v>124</v>
      </c>
      <c r="B949" s="3">
        <v>45627</v>
      </c>
      <c r="C949">
        <v>29734</v>
      </c>
    </row>
    <row r="950" spans="1:3" ht="15" customHeight="1" x14ac:dyDescent="0.3">
      <c r="A950" t="s">
        <v>124</v>
      </c>
      <c r="B950" s="3">
        <v>45658</v>
      </c>
      <c r="C950">
        <v>30000</v>
      </c>
    </row>
    <row r="951" spans="1:3" ht="15" customHeight="1" x14ac:dyDescent="0.3">
      <c r="A951" t="s">
        <v>124</v>
      </c>
      <c r="B951" s="3">
        <v>45689</v>
      </c>
      <c r="C951">
        <v>20560</v>
      </c>
    </row>
    <row r="952" spans="1:3" ht="15" customHeight="1" x14ac:dyDescent="0.3">
      <c r="A952" t="s">
        <v>124</v>
      </c>
      <c r="B952" s="3">
        <v>45717</v>
      </c>
      <c r="C952">
        <v>19975</v>
      </c>
    </row>
    <row r="953" spans="1:3" ht="15" customHeight="1" x14ac:dyDescent="0.3">
      <c r="A953" t="s">
        <v>124</v>
      </c>
      <c r="B953" s="3">
        <v>45748</v>
      </c>
      <c r="C953">
        <v>19104</v>
      </c>
    </row>
    <row r="954" spans="1:3" ht="15" customHeight="1" x14ac:dyDescent="0.3">
      <c r="A954" t="s">
        <v>124</v>
      </c>
      <c r="B954" s="3">
        <v>45778</v>
      </c>
      <c r="C954">
        <v>23300</v>
      </c>
    </row>
    <row r="955" spans="1:3" ht="15" customHeight="1" x14ac:dyDescent="0.3">
      <c r="A955" t="s">
        <v>124</v>
      </c>
      <c r="B955" s="3">
        <v>45809</v>
      </c>
      <c r="C955">
        <v>17947.87</v>
      </c>
    </row>
    <row r="956" spans="1:3" ht="15" customHeight="1" x14ac:dyDescent="0.3">
      <c r="A956" t="s">
        <v>124</v>
      </c>
      <c r="B956" s="3">
        <v>45839</v>
      </c>
      <c r="C956">
        <v>13847</v>
      </c>
    </row>
    <row r="957" spans="1:3" ht="15" customHeight="1" x14ac:dyDescent="0.3">
      <c r="A957" t="s">
        <v>124</v>
      </c>
      <c r="B957" s="3">
        <v>45870</v>
      </c>
      <c r="C957">
        <v>22606</v>
      </c>
    </row>
    <row r="958" spans="1:3" ht="15" customHeight="1" x14ac:dyDescent="0.3">
      <c r="A958" t="s">
        <v>124</v>
      </c>
      <c r="B958" s="3">
        <v>45901</v>
      </c>
      <c r="C958">
        <v>23653</v>
      </c>
    </row>
    <row r="959" spans="1:3" ht="15" customHeight="1" x14ac:dyDescent="0.3">
      <c r="A959" t="s">
        <v>124</v>
      </c>
      <c r="B959" s="3">
        <v>45931</v>
      </c>
      <c r="C959">
        <v>29483</v>
      </c>
    </row>
    <row r="960" spans="1:3" ht="15" customHeight="1" x14ac:dyDescent="0.3">
      <c r="A960" t="s">
        <v>124</v>
      </c>
      <c r="B960" s="3">
        <v>45962</v>
      </c>
      <c r="C960">
        <v>22193</v>
      </c>
    </row>
    <row r="961" spans="1:3" ht="15" customHeight="1" x14ac:dyDescent="0.3">
      <c r="A961" t="s">
        <v>124</v>
      </c>
      <c r="B961" s="3">
        <v>45992</v>
      </c>
      <c r="C961">
        <v>27897</v>
      </c>
    </row>
    <row r="962" spans="1:3" ht="15" customHeight="1" x14ac:dyDescent="0.3">
      <c r="A962" t="s">
        <v>124</v>
      </c>
      <c r="B962" s="3">
        <v>46023</v>
      </c>
      <c r="C962">
        <v>26008.879000000001</v>
      </c>
    </row>
    <row r="963" spans="1:3" ht="15" customHeight="1" x14ac:dyDescent="0.3">
      <c r="A963" t="s">
        <v>124</v>
      </c>
      <c r="B963" s="3">
        <v>46054</v>
      </c>
      <c r="C963">
        <v>27127.919000000002</v>
      </c>
    </row>
    <row r="964" spans="1:3" ht="15" customHeight="1" x14ac:dyDescent="0.3">
      <c r="A964" t="s">
        <v>124</v>
      </c>
      <c r="B964" s="3">
        <v>46082</v>
      </c>
      <c r="C964">
        <v>22312</v>
      </c>
    </row>
    <row r="965" spans="1:3" ht="15" customHeight="1" x14ac:dyDescent="0.3">
      <c r="A965" t="s">
        <v>124</v>
      </c>
      <c r="B965" s="3">
        <v>46113</v>
      </c>
      <c r="C965">
        <v>19981.060000000001</v>
      </c>
    </row>
    <row r="966" spans="1:3" ht="15" customHeight="1" x14ac:dyDescent="0.3">
      <c r="A966" t="s">
        <v>124</v>
      </c>
      <c r="B966" s="3">
        <v>46143</v>
      </c>
      <c r="C966" s="13">
        <v>20533.099999999999</v>
      </c>
    </row>
    <row r="967" spans="1:3" ht="15" customHeight="1" x14ac:dyDescent="0.3">
      <c r="A967" t="s">
        <v>124</v>
      </c>
      <c r="B967" s="3">
        <v>46174</v>
      </c>
    </row>
    <row r="968" spans="1:3" ht="15" customHeight="1" x14ac:dyDescent="0.3">
      <c r="A968" t="s">
        <v>124</v>
      </c>
      <c r="B968" s="3">
        <v>46204</v>
      </c>
    </row>
    <row r="969" spans="1:3" ht="15" customHeight="1" x14ac:dyDescent="0.3">
      <c r="A969" t="s">
        <v>124</v>
      </c>
      <c r="B969" s="3">
        <v>46235</v>
      </c>
    </row>
    <row r="970" spans="1:3" ht="15" customHeight="1" x14ac:dyDescent="0.3">
      <c r="A970" t="s">
        <v>124</v>
      </c>
      <c r="B970" s="3">
        <v>46266</v>
      </c>
    </row>
    <row r="971" spans="1:3" ht="15" customHeight="1" x14ac:dyDescent="0.3">
      <c r="A971" t="s">
        <v>124</v>
      </c>
      <c r="B971" s="3">
        <v>46296</v>
      </c>
    </row>
    <row r="972" spans="1:3" ht="15" customHeight="1" x14ac:dyDescent="0.3">
      <c r="A972" t="s">
        <v>124</v>
      </c>
      <c r="B972" s="3">
        <v>46327</v>
      </c>
    </row>
    <row r="973" spans="1:3" ht="15" customHeight="1" x14ac:dyDescent="0.3">
      <c r="A973" t="s">
        <v>124</v>
      </c>
      <c r="B973" s="3">
        <v>46357</v>
      </c>
    </row>
    <row r="974" spans="1:3" ht="15" customHeight="1" x14ac:dyDescent="0.3">
      <c r="A974" t="s">
        <v>238</v>
      </c>
      <c r="B974" s="3">
        <v>45292</v>
      </c>
    </row>
    <row r="975" spans="1:3" ht="15" customHeight="1" x14ac:dyDescent="0.3">
      <c r="A975" t="s">
        <v>238</v>
      </c>
      <c r="B975" s="3">
        <v>45323</v>
      </c>
    </row>
    <row r="976" spans="1:3" ht="15" customHeight="1" x14ac:dyDescent="0.3">
      <c r="A976" t="s">
        <v>238</v>
      </c>
      <c r="B976" s="3">
        <v>45352</v>
      </c>
    </row>
    <row r="977" spans="1:2" ht="15" customHeight="1" x14ac:dyDescent="0.3">
      <c r="A977" t="s">
        <v>238</v>
      </c>
      <c r="B977" s="3">
        <v>45383</v>
      </c>
    </row>
    <row r="978" spans="1:2" ht="15" customHeight="1" x14ac:dyDescent="0.3">
      <c r="A978" t="s">
        <v>238</v>
      </c>
      <c r="B978" s="3">
        <v>45413</v>
      </c>
    </row>
    <row r="979" spans="1:2" ht="15" customHeight="1" x14ac:dyDescent="0.3">
      <c r="A979" t="s">
        <v>238</v>
      </c>
      <c r="B979" s="3">
        <v>45444</v>
      </c>
    </row>
    <row r="980" spans="1:2" ht="15" customHeight="1" x14ac:dyDescent="0.3">
      <c r="A980" t="s">
        <v>238</v>
      </c>
      <c r="B980" s="3">
        <v>45474</v>
      </c>
    </row>
    <row r="981" spans="1:2" ht="15" customHeight="1" x14ac:dyDescent="0.3">
      <c r="A981" t="s">
        <v>238</v>
      </c>
      <c r="B981" s="3">
        <v>45505</v>
      </c>
    </row>
    <row r="982" spans="1:2" ht="15" customHeight="1" x14ac:dyDescent="0.3">
      <c r="A982" t="s">
        <v>238</v>
      </c>
      <c r="B982" s="3">
        <v>45536</v>
      </c>
    </row>
    <row r="983" spans="1:2" ht="15" customHeight="1" x14ac:dyDescent="0.3">
      <c r="A983" t="s">
        <v>238</v>
      </c>
      <c r="B983" s="3">
        <v>45566</v>
      </c>
    </row>
    <row r="984" spans="1:2" ht="15" customHeight="1" x14ac:dyDescent="0.3">
      <c r="A984" t="s">
        <v>238</v>
      </c>
      <c r="B984" s="3">
        <v>45597</v>
      </c>
    </row>
    <row r="985" spans="1:2" ht="15" customHeight="1" x14ac:dyDescent="0.3">
      <c r="A985" t="s">
        <v>238</v>
      </c>
      <c r="B985" s="3">
        <v>45627</v>
      </c>
    </row>
    <row r="986" spans="1:2" ht="15" customHeight="1" x14ac:dyDescent="0.3">
      <c r="A986" t="s">
        <v>238</v>
      </c>
      <c r="B986" s="3">
        <v>45658</v>
      </c>
    </row>
    <row r="987" spans="1:2" ht="15" customHeight="1" x14ac:dyDescent="0.3">
      <c r="A987" t="s">
        <v>238</v>
      </c>
      <c r="B987" s="3">
        <v>45689</v>
      </c>
    </row>
    <row r="988" spans="1:2" ht="15" customHeight="1" x14ac:dyDescent="0.3">
      <c r="A988" t="s">
        <v>238</v>
      </c>
      <c r="B988" s="3">
        <v>45717</v>
      </c>
    </row>
    <row r="989" spans="1:2" ht="15" customHeight="1" x14ac:dyDescent="0.3">
      <c r="A989" t="s">
        <v>238</v>
      </c>
      <c r="B989" s="3">
        <v>45748</v>
      </c>
    </row>
    <row r="990" spans="1:2" ht="15" customHeight="1" x14ac:dyDescent="0.3">
      <c r="A990" t="s">
        <v>238</v>
      </c>
      <c r="B990" s="3">
        <v>45778</v>
      </c>
    </row>
    <row r="991" spans="1:2" ht="15" customHeight="1" x14ac:dyDescent="0.3">
      <c r="A991" t="s">
        <v>238</v>
      </c>
      <c r="B991" s="3">
        <v>45809</v>
      </c>
    </row>
    <row r="992" spans="1:2" ht="15" customHeight="1" x14ac:dyDescent="0.3">
      <c r="A992" t="s">
        <v>238</v>
      </c>
      <c r="B992" s="3">
        <v>45839</v>
      </c>
    </row>
    <row r="993" spans="1:3" ht="15" customHeight="1" x14ac:dyDescent="0.3">
      <c r="A993" t="s">
        <v>238</v>
      </c>
      <c r="B993" s="3">
        <v>45870</v>
      </c>
    </row>
    <row r="994" spans="1:3" ht="15" customHeight="1" x14ac:dyDescent="0.3">
      <c r="A994" t="s">
        <v>238</v>
      </c>
      <c r="B994" s="3">
        <v>45901</v>
      </c>
    </row>
    <row r="995" spans="1:3" ht="15" customHeight="1" x14ac:dyDescent="0.3">
      <c r="A995" t="s">
        <v>238</v>
      </c>
      <c r="B995" s="3">
        <v>45931</v>
      </c>
    </row>
    <row r="996" spans="1:3" ht="15" customHeight="1" x14ac:dyDescent="0.3">
      <c r="A996" t="s">
        <v>238</v>
      </c>
      <c r="B996" s="3">
        <v>45962</v>
      </c>
    </row>
    <row r="997" spans="1:3" ht="15" customHeight="1" x14ac:dyDescent="0.3">
      <c r="A997" t="s">
        <v>238</v>
      </c>
      <c r="B997" s="3">
        <v>45992</v>
      </c>
      <c r="C997">
        <v>5820</v>
      </c>
    </row>
    <row r="998" spans="1:3" ht="15" customHeight="1" x14ac:dyDescent="0.3">
      <c r="A998" t="s">
        <v>238</v>
      </c>
      <c r="B998" s="3">
        <v>46023</v>
      </c>
      <c r="C998">
        <v>7914</v>
      </c>
    </row>
    <row r="999" spans="1:3" ht="15" customHeight="1" x14ac:dyDescent="0.3">
      <c r="A999" t="s">
        <v>238</v>
      </c>
      <c r="B999" s="3">
        <v>46054</v>
      </c>
      <c r="C999">
        <v>8094</v>
      </c>
    </row>
    <row r="1000" spans="1:3" ht="15" customHeight="1" x14ac:dyDescent="0.3">
      <c r="A1000" t="s">
        <v>238</v>
      </c>
      <c r="B1000" s="3">
        <v>46082</v>
      </c>
      <c r="C1000">
        <v>6511</v>
      </c>
    </row>
    <row r="1001" spans="1:3" ht="15" customHeight="1" x14ac:dyDescent="0.3">
      <c r="A1001" t="s">
        <v>238</v>
      </c>
      <c r="B1001" s="3">
        <v>46113</v>
      </c>
      <c r="C1001">
        <v>6094.6</v>
      </c>
    </row>
    <row r="1002" spans="1:3" ht="15" customHeight="1" x14ac:dyDescent="0.3">
      <c r="A1002" t="s">
        <v>238</v>
      </c>
      <c r="B1002" s="3">
        <v>46143</v>
      </c>
      <c r="C1002" s="13">
        <v>7117.7</v>
      </c>
    </row>
    <row r="1003" spans="1:3" ht="15" customHeight="1" x14ac:dyDescent="0.3">
      <c r="A1003" t="s">
        <v>238</v>
      </c>
      <c r="B1003" s="3">
        <v>46174</v>
      </c>
    </row>
    <row r="1004" spans="1:3" ht="15" customHeight="1" x14ac:dyDescent="0.3">
      <c r="A1004" t="s">
        <v>238</v>
      </c>
      <c r="B1004" s="3">
        <v>46204</v>
      </c>
    </row>
    <row r="1005" spans="1:3" ht="15" customHeight="1" x14ac:dyDescent="0.3">
      <c r="A1005" t="s">
        <v>238</v>
      </c>
      <c r="B1005" s="3">
        <v>46235</v>
      </c>
    </row>
    <row r="1006" spans="1:3" ht="15" customHeight="1" x14ac:dyDescent="0.3">
      <c r="A1006" t="s">
        <v>238</v>
      </c>
      <c r="B1006" s="3">
        <v>46266</v>
      </c>
    </row>
    <row r="1007" spans="1:3" ht="15" customHeight="1" x14ac:dyDescent="0.3">
      <c r="A1007" t="s">
        <v>238</v>
      </c>
      <c r="B1007" s="3">
        <v>46296</v>
      </c>
    </row>
    <row r="1008" spans="1:3" ht="15" customHeight="1" x14ac:dyDescent="0.3">
      <c r="A1008" t="s">
        <v>238</v>
      </c>
      <c r="B1008" s="3">
        <v>46327</v>
      </c>
    </row>
    <row r="1009" spans="1:2" ht="15" customHeight="1" x14ac:dyDescent="0.3">
      <c r="A1009" t="s">
        <v>238</v>
      </c>
      <c r="B1009" s="3">
        <v>46357</v>
      </c>
    </row>
    <row r="1010" spans="1:2" ht="15" customHeight="1" x14ac:dyDescent="0.3">
      <c r="A1010" t="s">
        <v>236</v>
      </c>
      <c r="B1010" s="3">
        <v>45292</v>
      </c>
    </row>
    <row r="1011" spans="1:2" ht="15" customHeight="1" x14ac:dyDescent="0.3">
      <c r="A1011" t="s">
        <v>236</v>
      </c>
      <c r="B1011" s="3">
        <v>45323</v>
      </c>
    </row>
    <row r="1012" spans="1:2" ht="15" customHeight="1" x14ac:dyDescent="0.3">
      <c r="A1012" t="s">
        <v>236</v>
      </c>
      <c r="B1012" s="3">
        <v>45352</v>
      </c>
    </row>
    <row r="1013" spans="1:2" ht="15" customHeight="1" x14ac:dyDescent="0.3">
      <c r="A1013" t="s">
        <v>236</v>
      </c>
      <c r="B1013" s="3">
        <v>45383</v>
      </c>
    </row>
    <row r="1014" spans="1:2" ht="15" customHeight="1" x14ac:dyDescent="0.3">
      <c r="A1014" t="s">
        <v>236</v>
      </c>
      <c r="B1014" s="3">
        <v>45413</v>
      </c>
    </row>
    <row r="1015" spans="1:2" ht="15" customHeight="1" x14ac:dyDescent="0.3">
      <c r="A1015" t="s">
        <v>236</v>
      </c>
      <c r="B1015" s="3">
        <v>45444</v>
      </c>
    </row>
    <row r="1016" spans="1:2" ht="15" customHeight="1" x14ac:dyDescent="0.3">
      <c r="A1016" t="s">
        <v>236</v>
      </c>
      <c r="B1016" s="3">
        <v>45474</v>
      </c>
    </row>
    <row r="1017" spans="1:2" ht="15" customHeight="1" x14ac:dyDescent="0.3">
      <c r="A1017" t="s">
        <v>236</v>
      </c>
      <c r="B1017" s="3">
        <v>45505</v>
      </c>
    </row>
    <row r="1018" spans="1:2" ht="15" customHeight="1" x14ac:dyDescent="0.3">
      <c r="A1018" t="s">
        <v>236</v>
      </c>
      <c r="B1018" s="3">
        <v>45536</v>
      </c>
    </row>
    <row r="1019" spans="1:2" ht="15" customHeight="1" x14ac:dyDescent="0.3">
      <c r="A1019" t="s">
        <v>236</v>
      </c>
      <c r="B1019" s="3">
        <v>45566</v>
      </c>
    </row>
    <row r="1020" spans="1:2" ht="15" customHeight="1" x14ac:dyDescent="0.3">
      <c r="A1020" t="s">
        <v>236</v>
      </c>
      <c r="B1020" s="3">
        <v>45597</v>
      </c>
    </row>
    <row r="1021" spans="1:2" ht="15" customHeight="1" x14ac:dyDescent="0.3">
      <c r="A1021" t="s">
        <v>236</v>
      </c>
      <c r="B1021" s="3">
        <v>45627</v>
      </c>
    </row>
    <row r="1022" spans="1:2" ht="15" customHeight="1" x14ac:dyDescent="0.3">
      <c r="A1022" t="s">
        <v>236</v>
      </c>
      <c r="B1022" s="3">
        <v>45658</v>
      </c>
    </row>
    <row r="1023" spans="1:2" ht="15" customHeight="1" x14ac:dyDescent="0.3">
      <c r="A1023" t="s">
        <v>236</v>
      </c>
      <c r="B1023" s="3">
        <v>45689</v>
      </c>
    </row>
    <row r="1024" spans="1:2" ht="15" customHeight="1" x14ac:dyDescent="0.3">
      <c r="A1024" t="s">
        <v>236</v>
      </c>
      <c r="B1024" s="3">
        <v>45717</v>
      </c>
    </row>
    <row r="1025" spans="1:3" ht="15" customHeight="1" x14ac:dyDescent="0.3">
      <c r="A1025" t="s">
        <v>236</v>
      </c>
      <c r="B1025" s="3">
        <v>45748</v>
      </c>
    </row>
    <row r="1026" spans="1:3" ht="15" customHeight="1" x14ac:dyDescent="0.3">
      <c r="A1026" t="s">
        <v>236</v>
      </c>
      <c r="B1026" s="3">
        <v>45778</v>
      </c>
    </row>
    <row r="1027" spans="1:3" ht="15" customHeight="1" x14ac:dyDescent="0.3">
      <c r="A1027" t="s">
        <v>236</v>
      </c>
      <c r="B1027" s="3">
        <v>45809</v>
      </c>
    </row>
    <row r="1028" spans="1:3" ht="15" customHeight="1" x14ac:dyDescent="0.3">
      <c r="A1028" t="s">
        <v>236</v>
      </c>
      <c r="B1028" s="3">
        <v>45839</v>
      </c>
    </row>
    <row r="1029" spans="1:3" ht="15" customHeight="1" x14ac:dyDescent="0.3">
      <c r="A1029" t="s">
        <v>236</v>
      </c>
      <c r="B1029" s="3">
        <v>45870</v>
      </c>
    </row>
    <row r="1030" spans="1:3" ht="15" customHeight="1" x14ac:dyDescent="0.3">
      <c r="A1030" t="s">
        <v>236</v>
      </c>
      <c r="B1030" s="3">
        <v>45901</v>
      </c>
    </row>
    <row r="1031" spans="1:3" ht="15" customHeight="1" x14ac:dyDescent="0.3">
      <c r="A1031" t="s">
        <v>236</v>
      </c>
      <c r="B1031" s="3">
        <v>45931</v>
      </c>
    </row>
    <row r="1032" spans="1:3" ht="15" customHeight="1" x14ac:dyDescent="0.3">
      <c r="A1032" t="s">
        <v>236</v>
      </c>
      <c r="B1032" s="3">
        <v>45962</v>
      </c>
    </row>
    <row r="1033" spans="1:3" ht="15" customHeight="1" x14ac:dyDescent="0.3">
      <c r="A1033" t="s">
        <v>236</v>
      </c>
      <c r="B1033" s="3">
        <v>45992</v>
      </c>
      <c r="C1033">
        <v>5820</v>
      </c>
    </row>
    <row r="1034" spans="1:3" ht="15" customHeight="1" x14ac:dyDescent="0.3">
      <c r="A1034" t="s">
        <v>236</v>
      </c>
      <c r="B1034" s="3">
        <v>46023</v>
      </c>
      <c r="C1034">
        <v>5904</v>
      </c>
    </row>
    <row r="1035" spans="1:3" ht="15" customHeight="1" x14ac:dyDescent="0.3">
      <c r="A1035" t="s">
        <v>236</v>
      </c>
      <c r="B1035" s="3">
        <v>46054</v>
      </c>
      <c r="C1035">
        <v>5406</v>
      </c>
    </row>
    <row r="1036" spans="1:3" ht="15" customHeight="1" x14ac:dyDescent="0.3">
      <c r="A1036" t="s">
        <v>236</v>
      </c>
      <c r="B1036" s="3">
        <v>46082</v>
      </c>
      <c r="C1036">
        <v>4115</v>
      </c>
    </row>
    <row r="1037" spans="1:3" ht="15" customHeight="1" x14ac:dyDescent="0.3">
      <c r="A1037" t="s">
        <v>236</v>
      </c>
      <c r="B1037" s="3">
        <v>46113</v>
      </c>
      <c r="C1037">
        <v>4377</v>
      </c>
    </row>
    <row r="1038" spans="1:3" ht="15" customHeight="1" x14ac:dyDescent="0.3">
      <c r="A1038" t="s">
        <v>236</v>
      </c>
      <c r="B1038" s="3">
        <v>46143</v>
      </c>
      <c r="C1038" s="13">
        <v>4300</v>
      </c>
    </row>
    <row r="1039" spans="1:3" ht="15" customHeight="1" x14ac:dyDescent="0.3">
      <c r="A1039" t="s">
        <v>236</v>
      </c>
      <c r="B1039" s="3">
        <v>46174</v>
      </c>
    </row>
    <row r="1040" spans="1:3" ht="15" customHeight="1" x14ac:dyDescent="0.3">
      <c r="A1040" t="s">
        <v>236</v>
      </c>
      <c r="B1040" s="3">
        <v>46204</v>
      </c>
    </row>
    <row r="1041" spans="1:3" ht="15" customHeight="1" x14ac:dyDescent="0.3">
      <c r="A1041" t="s">
        <v>236</v>
      </c>
      <c r="B1041" s="3">
        <v>46235</v>
      </c>
    </row>
    <row r="1042" spans="1:3" ht="15" customHeight="1" x14ac:dyDescent="0.3">
      <c r="A1042" t="s">
        <v>236</v>
      </c>
      <c r="B1042" s="3">
        <v>46266</v>
      </c>
    </row>
    <row r="1043" spans="1:3" ht="15" customHeight="1" x14ac:dyDescent="0.3">
      <c r="A1043" t="s">
        <v>236</v>
      </c>
      <c r="B1043" s="3">
        <v>46296</v>
      </c>
    </row>
    <row r="1044" spans="1:3" ht="15" customHeight="1" x14ac:dyDescent="0.3">
      <c r="A1044" t="s">
        <v>236</v>
      </c>
      <c r="B1044" s="3">
        <v>46327</v>
      </c>
    </row>
    <row r="1045" spans="1:3" ht="15" customHeight="1" x14ac:dyDescent="0.3">
      <c r="A1045" t="s">
        <v>236</v>
      </c>
      <c r="B1045" s="3">
        <v>46357</v>
      </c>
    </row>
    <row r="1046" spans="1:3" ht="15" customHeight="1" x14ac:dyDescent="0.3">
      <c r="A1046" t="s">
        <v>128</v>
      </c>
      <c r="B1046" s="3">
        <v>45292</v>
      </c>
      <c r="C1046">
        <v>13629</v>
      </c>
    </row>
    <row r="1047" spans="1:3" ht="15" customHeight="1" x14ac:dyDescent="0.3">
      <c r="A1047" t="s">
        <v>128</v>
      </c>
      <c r="B1047" s="3">
        <v>45323</v>
      </c>
      <c r="C1047">
        <v>12014</v>
      </c>
    </row>
    <row r="1048" spans="1:3" ht="15" customHeight="1" x14ac:dyDescent="0.3">
      <c r="A1048" t="s">
        <v>128</v>
      </c>
      <c r="B1048" s="3">
        <v>45352</v>
      </c>
      <c r="C1048">
        <v>12428</v>
      </c>
    </row>
    <row r="1049" spans="1:3" ht="15" customHeight="1" x14ac:dyDescent="0.3">
      <c r="A1049" t="s">
        <v>128</v>
      </c>
      <c r="B1049" s="3">
        <v>45383</v>
      </c>
      <c r="C1049">
        <v>9084</v>
      </c>
    </row>
    <row r="1050" spans="1:3" ht="15" customHeight="1" x14ac:dyDescent="0.3">
      <c r="A1050" t="s">
        <v>128</v>
      </c>
      <c r="B1050" s="3">
        <v>45413</v>
      </c>
      <c r="C1050">
        <v>8049</v>
      </c>
    </row>
    <row r="1051" spans="1:3" ht="15" customHeight="1" x14ac:dyDescent="0.3">
      <c r="A1051" t="s">
        <v>128</v>
      </c>
      <c r="B1051" s="3">
        <v>45444</v>
      </c>
      <c r="C1051">
        <v>6600</v>
      </c>
    </row>
    <row r="1052" spans="1:3" ht="15" customHeight="1" x14ac:dyDescent="0.3">
      <c r="A1052" t="s">
        <v>128</v>
      </c>
      <c r="B1052" s="3">
        <v>45474</v>
      </c>
      <c r="C1052">
        <v>7832</v>
      </c>
    </row>
    <row r="1053" spans="1:3" ht="15" customHeight="1" x14ac:dyDescent="0.3">
      <c r="A1053" t="s">
        <v>128</v>
      </c>
      <c r="B1053" s="3">
        <v>45505</v>
      </c>
      <c r="C1053">
        <v>8766</v>
      </c>
    </row>
    <row r="1054" spans="1:3" ht="15" customHeight="1" x14ac:dyDescent="0.3">
      <c r="A1054" t="s">
        <v>128</v>
      </c>
      <c r="B1054" s="3">
        <v>45536</v>
      </c>
      <c r="C1054">
        <v>9208</v>
      </c>
    </row>
    <row r="1055" spans="1:3" ht="15" customHeight="1" x14ac:dyDescent="0.3">
      <c r="A1055" t="s">
        <v>128</v>
      </c>
      <c r="B1055" s="3">
        <v>45566</v>
      </c>
      <c r="C1055">
        <v>12879</v>
      </c>
    </row>
    <row r="1056" spans="1:3" ht="15" customHeight="1" x14ac:dyDescent="0.3">
      <c r="A1056" t="s">
        <v>128</v>
      </c>
      <c r="B1056" s="3">
        <v>45597</v>
      </c>
      <c r="C1056">
        <v>13410</v>
      </c>
    </row>
    <row r="1057" spans="1:3" ht="15" customHeight="1" x14ac:dyDescent="0.3">
      <c r="A1057" t="s">
        <v>128</v>
      </c>
      <c r="B1057" s="3">
        <v>45627</v>
      </c>
      <c r="C1057">
        <v>13869</v>
      </c>
    </row>
    <row r="1058" spans="1:3" ht="15" customHeight="1" x14ac:dyDescent="0.3">
      <c r="A1058" t="s">
        <v>128</v>
      </c>
      <c r="B1058" s="3">
        <v>45658</v>
      </c>
      <c r="C1058">
        <v>13136</v>
      </c>
    </row>
    <row r="1059" spans="1:3" ht="15" customHeight="1" x14ac:dyDescent="0.3">
      <c r="A1059" t="s">
        <v>128</v>
      </c>
      <c r="B1059" s="3">
        <v>45689</v>
      </c>
      <c r="C1059">
        <v>10624</v>
      </c>
    </row>
    <row r="1060" spans="1:3" ht="15" customHeight="1" x14ac:dyDescent="0.3">
      <c r="A1060" t="s">
        <v>128</v>
      </c>
      <c r="B1060" s="3">
        <v>45717</v>
      </c>
      <c r="C1060">
        <v>10420</v>
      </c>
    </row>
    <row r="1061" spans="1:3" ht="15" customHeight="1" x14ac:dyDescent="0.3">
      <c r="A1061" t="s">
        <v>128</v>
      </c>
      <c r="B1061" s="3">
        <v>45748</v>
      </c>
      <c r="C1061">
        <v>7391</v>
      </c>
    </row>
    <row r="1062" spans="1:3" ht="15" customHeight="1" x14ac:dyDescent="0.3">
      <c r="A1062" t="s">
        <v>128</v>
      </c>
      <c r="B1062" s="3">
        <v>45778</v>
      </c>
      <c r="C1062">
        <v>7947</v>
      </c>
    </row>
    <row r="1063" spans="1:3" ht="15" customHeight="1" x14ac:dyDescent="0.3">
      <c r="A1063" t="s">
        <v>128</v>
      </c>
      <c r="B1063" s="3">
        <v>45809</v>
      </c>
      <c r="C1063">
        <v>6390.63</v>
      </c>
    </row>
    <row r="1064" spans="1:3" ht="15" customHeight="1" x14ac:dyDescent="0.3">
      <c r="A1064" t="s">
        <v>128</v>
      </c>
      <c r="B1064" s="3">
        <v>45839</v>
      </c>
      <c r="C1064">
        <v>7146</v>
      </c>
    </row>
    <row r="1065" spans="1:3" ht="15" customHeight="1" x14ac:dyDescent="0.3">
      <c r="A1065" t="s">
        <v>128</v>
      </c>
      <c r="B1065" s="3">
        <v>45870</v>
      </c>
      <c r="C1065">
        <v>7396</v>
      </c>
    </row>
    <row r="1066" spans="1:3" ht="15" customHeight="1" x14ac:dyDescent="0.3">
      <c r="A1066" t="s">
        <v>128</v>
      </c>
      <c r="B1066" s="3">
        <v>45901</v>
      </c>
      <c r="C1066">
        <v>8160</v>
      </c>
    </row>
    <row r="1067" spans="1:3" ht="15" customHeight="1" x14ac:dyDescent="0.3">
      <c r="A1067" t="s">
        <v>128</v>
      </c>
      <c r="B1067" s="3">
        <v>45931</v>
      </c>
      <c r="C1067">
        <v>10866</v>
      </c>
    </row>
    <row r="1068" spans="1:3" ht="15" customHeight="1" x14ac:dyDescent="0.3">
      <c r="A1068" t="s">
        <v>128</v>
      </c>
      <c r="B1068" s="3">
        <v>45962</v>
      </c>
      <c r="C1068">
        <v>10612</v>
      </c>
    </row>
    <row r="1069" spans="1:3" ht="15" customHeight="1" x14ac:dyDescent="0.3">
      <c r="A1069" t="s">
        <v>128</v>
      </c>
      <c r="B1069" s="3">
        <v>45992</v>
      </c>
      <c r="C1069">
        <v>11236</v>
      </c>
    </row>
    <row r="1070" spans="1:3" ht="15" customHeight="1" x14ac:dyDescent="0.3">
      <c r="A1070" t="s">
        <v>128</v>
      </c>
      <c r="B1070" s="3">
        <v>46023</v>
      </c>
      <c r="C1070">
        <v>13357</v>
      </c>
    </row>
    <row r="1071" spans="1:3" ht="15" customHeight="1" x14ac:dyDescent="0.3">
      <c r="A1071" t="s">
        <v>128</v>
      </c>
      <c r="B1071" s="3">
        <v>46054</v>
      </c>
      <c r="C1071">
        <v>9365</v>
      </c>
    </row>
    <row r="1072" spans="1:3" ht="15" customHeight="1" x14ac:dyDescent="0.3">
      <c r="A1072" t="s">
        <v>128</v>
      </c>
      <c r="B1072" s="3">
        <v>46082</v>
      </c>
      <c r="C1072">
        <v>7814</v>
      </c>
    </row>
    <row r="1073" spans="1:3" ht="15" customHeight="1" x14ac:dyDescent="0.3">
      <c r="A1073" t="s">
        <v>128</v>
      </c>
      <c r="B1073" s="3">
        <v>46113</v>
      </c>
      <c r="C1073">
        <v>5599.56</v>
      </c>
    </row>
    <row r="1074" spans="1:3" ht="15" customHeight="1" x14ac:dyDescent="0.3">
      <c r="A1074" t="s">
        <v>128</v>
      </c>
      <c r="B1074" s="3">
        <v>46143</v>
      </c>
      <c r="C1074" s="13">
        <v>5867.76</v>
      </c>
    </row>
    <row r="1075" spans="1:3" ht="15" customHeight="1" x14ac:dyDescent="0.3">
      <c r="A1075" t="s">
        <v>128</v>
      </c>
      <c r="B1075" s="3">
        <v>46174</v>
      </c>
    </row>
    <row r="1076" spans="1:3" ht="15" customHeight="1" x14ac:dyDescent="0.3">
      <c r="A1076" t="s">
        <v>128</v>
      </c>
      <c r="B1076" s="3">
        <v>46204</v>
      </c>
    </row>
    <row r="1077" spans="1:3" ht="15" customHeight="1" x14ac:dyDescent="0.3">
      <c r="A1077" t="s">
        <v>128</v>
      </c>
      <c r="B1077" s="3">
        <v>46235</v>
      </c>
    </row>
    <row r="1078" spans="1:3" ht="15" customHeight="1" x14ac:dyDescent="0.3">
      <c r="A1078" t="s">
        <v>128</v>
      </c>
      <c r="B1078" s="3">
        <v>46266</v>
      </c>
    </row>
    <row r="1079" spans="1:3" ht="15" customHeight="1" x14ac:dyDescent="0.3">
      <c r="A1079" t="s">
        <v>128</v>
      </c>
      <c r="B1079" s="3">
        <v>46296</v>
      </c>
    </row>
    <row r="1080" spans="1:3" ht="15" customHeight="1" x14ac:dyDescent="0.3">
      <c r="A1080" t="s">
        <v>128</v>
      </c>
      <c r="B1080" s="3">
        <v>46327</v>
      </c>
    </row>
    <row r="1081" spans="1:3" ht="15" customHeight="1" x14ac:dyDescent="0.3">
      <c r="A1081" t="s">
        <v>128</v>
      </c>
      <c r="B1081" s="3">
        <v>46357</v>
      </c>
    </row>
    <row r="1082" spans="1:3" ht="15" customHeight="1" x14ac:dyDescent="0.3">
      <c r="A1082" t="s">
        <v>249</v>
      </c>
      <c r="B1082" s="3">
        <v>45292</v>
      </c>
    </row>
    <row r="1083" spans="1:3" ht="15" customHeight="1" x14ac:dyDescent="0.3">
      <c r="A1083" t="s">
        <v>249</v>
      </c>
      <c r="B1083" s="3">
        <v>45323</v>
      </c>
    </row>
    <row r="1084" spans="1:3" ht="15" customHeight="1" x14ac:dyDescent="0.3">
      <c r="A1084" t="s">
        <v>249</v>
      </c>
      <c r="B1084" s="3">
        <v>45352</v>
      </c>
    </row>
    <row r="1085" spans="1:3" ht="15" customHeight="1" x14ac:dyDescent="0.3">
      <c r="A1085" t="s">
        <v>249</v>
      </c>
      <c r="B1085" s="3">
        <v>45383</v>
      </c>
    </row>
    <row r="1086" spans="1:3" ht="15" customHeight="1" x14ac:dyDescent="0.3">
      <c r="A1086" t="s">
        <v>249</v>
      </c>
      <c r="B1086" s="3">
        <v>45413</v>
      </c>
    </row>
    <row r="1087" spans="1:3" ht="15" customHeight="1" x14ac:dyDescent="0.3">
      <c r="A1087" t="s">
        <v>249</v>
      </c>
      <c r="B1087" s="3">
        <v>45444</v>
      </c>
    </row>
    <row r="1088" spans="1:3" ht="15" customHeight="1" x14ac:dyDescent="0.3">
      <c r="A1088" t="s">
        <v>249</v>
      </c>
      <c r="B1088" s="3">
        <v>45474</v>
      </c>
    </row>
    <row r="1089" spans="1:2" ht="15" customHeight="1" x14ac:dyDescent="0.3">
      <c r="A1089" t="s">
        <v>249</v>
      </c>
      <c r="B1089" s="3">
        <v>45505</v>
      </c>
    </row>
    <row r="1090" spans="1:2" ht="15" customHeight="1" x14ac:dyDescent="0.3">
      <c r="A1090" t="s">
        <v>249</v>
      </c>
      <c r="B1090" s="3">
        <v>45536</v>
      </c>
    </row>
    <row r="1091" spans="1:2" ht="15" customHeight="1" x14ac:dyDescent="0.3">
      <c r="A1091" t="s">
        <v>249</v>
      </c>
      <c r="B1091" s="3">
        <v>45566</v>
      </c>
    </row>
    <row r="1092" spans="1:2" ht="15" customHeight="1" x14ac:dyDescent="0.3">
      <c r="A1092" t="s">
        <v>249</v>
      </c>
      <c r="B1092" s="3">
        <v>45597</v>
      </c>
    </row>
    <row r="1093" spans="1:2" ht="15" customHeight="1" x14ac:dyDescent="0.3">
      <c r="A1093" t="s">
        <v>249</v>
      </c>
      <c r="B1093" s="3">
        <v>45627</v>
      </c>
    </row>
    <row r="1094" spans="1:2" ht="15" customHeight="1" x14ac:dyDescent="0.3">
      <c r="A1094" t="s">
        <v>249</v>
      </c>
      <c r="B1094" s="3">
        <v>45658</v>
      </c>
    </row>
    <row r="1095" spans="1:2" ht="15" customHeight="1" x14ac:dyDescent="0.3">
      <c r="A1095" t="s">
        <v>249</v>
      </c>
      <c r="B1095" s="3">
        <v>45689</v>
      </c>
    </row>
    <row r="1096" spans="1:2" ht="15" customHeight="1" x14ac:dyDescent="0.3">
      <c r="A1096" t="s">
        <v>249</v>
      </c>
      <c r="B1096" s="3">
        <v>45717</v>
      </c>
    </row>
    <row r="1097" spans="1:2" ht="15" customHeight="1" x14ac:dyDescent="0.3">
      <c r="A1097" t="s">
        <v>249</v>
      </c>
      <c r="B1097" s="3">
        <v>45748</v>
      </c>
    </row>
    <row r="1098" spans="1:2" ht="15" customHeight="1" x14ac:dyDescent="0.3">
      <c r="A1098" t="s">
        <v>249</v>
      </c>
      <c r="B1098" s="3">
        <v>45778</v>
      </c>
    </row>
    <row r="1099" spans="1:2" ht="15" customHeight="1" x14ac:dyDescent="0.3">
      <c r="A1099" t="s">
        <v>249</v>
      </c>
      <c r="B1099" s="3">
        <v>45809</v>
      </c>
    </row>
    <row r="1100" spans="1:2" ht="15" customHeight="1" x14ac:dyDescent="0.3">
      <c r="A1100" t="s">
        <v>249</v>
      </c>
      <c r="B1100" s="3">
        <v>45839</v>
      </c>
    </row>
    <row r="1101" spans="1:2" ht="15" customHeight="1" x14ac:dyDescent="0.3">
      <c r="A1101" t="s">
        <v>249</v>
      </c>
      <c r="B1101" s="3">
        <v>45870</v>
      </c>
    </row>
    <row r="1102" spans="1:2" ht="15" customHeight="1" x14ac:dyDescent="0.3">
      <c r="A1102" t="s">
        <v>249</v>
      </c>
      <c r="B1102" s="3">
        <v>45901</v>
      </c>
    </row>
    <row r="1103" spans="1:2" ht="15" customHeight="1" x14ac:dyDescent="0.3">
      <c r="A1103" t="s">
        <v>249</v>
      </c>
      <c r="B1103" s="3">
        <v>45931</v>
      </c>
    </row>
    <row r="1104" spans="1:2" ht="15" customHeight="1" x14ac:dyDescent="0.3">
      <c r="A1104" t="s">
        <v>249</v>
      </c>
      <c r="B1104" s="3">
        <v>45962</v>
      </c>
    </row>
    <row r="1105" spans="1:3" ht="15" customHeight="1" x14ac:dyDescent="0.3">
      <c r="A1105" t="s">
        <v>249</v>
      </c>
      <c r="B1105" s="3">
        <v>45992</v>
      </c>
    </row>
    <row r="1106" spans="1:3" ht="15" customHeight="1" x14ac:dyDescent="0.3">
      <c r="A1106" t="s">
        <v>249</v>
      </c>
      <c r="B1106" s="3">
        <v>46023</v>
      </c>
      <c r="C1106">
        <v>13394</v>
      </c>
    </row>
    <row r="1107" spans="1:3" ht="15" customHeight="1" x14ac:dyDescent="0.3">
      <c r="A1107" t="s">
        <v>249</v>
      </c>
      <c r="B1107" s="3">
        <v>46054</v>
      </c>
      <c r="C1107">
        <v>16065</v>
      </c>
    </row>
    <row r="1108" spans="1:3" ht="15" customHeight="1" x14ac:dyDescent="0.3">
      <c r="A1108" t="s">
        <v>249</v>
      </c>
      <c r="B1108" s="3">
        <v>46082</v>
      </c>
      <c r="C1108">
        <v>733</v>
      </c>
    </row>
    <row r="1109" spans="1:3" ht="15" customHeight="1" x14ac:dyDescent="0.3">
      <c r="A1109" t="s">
        <v>249</v>
      </c>
      <c r="B1109" s="3">
        <v>46113</v>
      </c>
      <c r="C1109">
        <v>4797.7</v>
      </c>
    </row>
    <row r="1110" spans="1:3" ht="15" customHeight="1" x14ac:dyDescent="0.3">
      <c r="A1110" t="s">
        <v>249</v>
      </c>
      <c r="B1110" s="3">
        <v>46143</v>
      </c>
      <c r="C1110" s="13">
        <v>5970.07</v>
      </c>
    </row>
    <row r="1111" spans="1:3" ht="15" customHeight="1" x14ac:dyDescent="0.3">
      <c r="A1111" t="s">
        <v>249</v>
      </c>
      <c r="B1111" s="3">
        <v>46174</v>
      </c>
    </row>
    <row r="1112" spans="1:3" ht="15" customHeight="1" x14ac:dyDescent="0.3">
      <c r="A1112" t="s">
        <v>249</v>
      </c>
      <c r="B1112" s="3">
        <v>46204</v>
      </c>
    </row>
    <row r="1113" spans="1:3" ht="15" customHeight="1" x14ac:dyDescent="0.3">
      <c r="A1113" t="s">
        <v>249</v>
      </c>
      <c r="B1113" s="3">
        <v>46235</v>
      </c>
    </row>
    <row r="1114" spans="1:3" ht="15" customHeight="1" x14ac:dyDescent="0.3">
      <c r="A1114" t="s">
        <v>249</v>
      </c>
      <c r="B1114" s="3">
        <v>46266</v>
      </c>
    </row>
    <row r="1115" spans="1:3" ht="15" customHeight="1" x14ac:dyDescent="0.3">
      <c r="A1115" t="s">
        <v>249</v>
      </c>
      <c r="B1115" s="3">
        <v>46296</v>
      </c>
    </row>
    <row r="1116" spans="1:3" ht="15" customHeight="1" x14ac:dyDescent="0.3">
      <c r="A1116" t="s">
        <v>249</v>
      </c>
      <c r="B1116" s="3">
        <v>46327</v>
      </c>
    </row>
    <row r="1117" spans="1:3" ht="15" customHeight="1" x14ac:dyDescent="0.3">
      <c r="A1117" t="s">
        <v>249</v>
      </c>
      <c r="B1117" s="3">
        <v>46357</v>
      </c>
    </row>
    <row r="1118" spans="1:3" ht="15" customHeight="1" x14ac:dyDescent="0.3">
      <c r="A1118" t="s">
        <v>130</v>
      </c>
      <c r="B1118" s="3">
        <v>45292</v>
      </c>
      <c r="C1118">
        <v>18892</v>
      </c>
    </row>
    <row r="1119" spans="1:3" ht="15" customHeight="1" x14ac:dyDescent="0.3">
      <c r="A1119" t="s">
        <v>130</v>
      </c>
      <c r="B1119" s="3">
        <v>45323</v>
      </c>
      <c r="C1119">
        <v>18598</v>
      </c>
    </row>
    <row r="1120" spans="1:3" ht="15" customHeight="1" x14ac:dyDescent="0.3">
      <c r="A1120" t="s">
        <v>130</v>
      </c>
      <c r="B1120" s="3">
        <v>45352</v>
      </c>
      <c r="C1120">
        <v>18598</v>
      </c>
    </row>
    <row r="1121" spans="1:3" ht="15" customHeight="1" x14ac:dyDescent="0.3">
      <c r="A1121" t="s">
        <v>130</v>
      </c>
      <c r="B1121" s="3">
        <v>45383</v>
      </c>
      <c r="C1121">
        <v>15678</v>
      </c>
    </row>
    <row r="1122" spans="1:3" ht="15" customHeight="1" x14ac:dyDescent="0.3">
      <c r="A1122" t="s">
        <v>130</v>
      </c>
      <c r="B1122" s="3">
        <v>45413</v>
      </c>
      <c r="C1122">
        <v>14588</v>
      </c>
    </row>
    <row r="1123" spans="1:3" ht="15" customHeight="1" x14ac:dyDescent="0.3">
      <c r="A1123" t="s">
        <v>130</v>
      </c>
      <c r="B1123" s="3">
        <v>45444</v>
      </c>
      <c r="C1123">
        <v>12745</v>
      </c>
    </row>
    <row r="1124" spans="1:3" ht="15" customHeight="1" x14ac:dyDescent="0.3">
      <c r="A1124" t="s">
        <v>130</v>
      </c>
      <c r="B1124" s="3">
        <v>45474</v>
      </c>
      <c r="C1124">
        <v>14803</v>
      </c>
    </row>
    <row r="1125" spans="1:3" ht="15" customHeight="1" x14ac:dyDescent="0.3">
      <c r="A1125" t="s">
        <v>130</v>
      </c>
      <c r="B1125" s="3">
        <v>45505</v>
      </c>
      <c r="C1125">
        <v>15941</v>
      </c>
    </row>
    <row r="1126" spans="1:3" ht="15" customHeight="1" x14ac:dyDescent="0.3">
      <c r="A1126" t="s">
        <v>130</v>
      </c>
      <c r="B1126" s="3">
        <v>45536</v>
      </c>
      <c r="C1126">
        <v>13907</v>
      </c>
    </row>
    <row r="1127" spans="1:3" ht="15" customHeight="1" x14ac:dyDescent="0.3">
      <c r="A1127" t="s">
        <v>130</v>
      </c>
      <c r="B1127" s="3">
        <v>45566</v>
      </c>
      <c r="C1127">
        <v>19899</v>
      </c>
    </row>
    <row r="1128" spans="1:3" ht="15" customHeight="1" x14ac:dyDescent="0.3">
      <c r="A1128" t="s">
        <v>130</v>
      </c>
      <c r="B1128" s="3">
        <v>45597</v>
      </c>
      <c r="C1128">
        <v>18123</v>
      </c>
    </row>
    <row r="1129" spans="1:3" ht="15" customHeight="1" x14ac:dyDescent="0.3">
      <c r="A1129" t="s">
        <v>130</v>
      </c>
      <c r="B1129" s="3">
        <v>45627</v>
      </c>
      <c r="C1129">
        <v>18905</v>
      </c>
    </row>
    <row r="1130" spans="1:3" ht="15" customHeight="1" x14ac:dyDescent="0.3">
      <c r="A1130" t="s">
        <v>130</v>
      </c>
      <c r="B1130" s="3">
        <v>45658</v>
      </c>
      <c r="C1130">
        <v>19907</v>
      </c>
    </row>
    <row r="1131" spans="1:3" ht="15" customHeight="1" x14ac:dyDescent="0.3">
      <c r="A1131" t="s">
        <v>130</v>
      </c>
      <c r="B1131" s="3">
        <v>45689</v>
      </c>
      <c r="C1131">
        <v>15243</v>
      </c>
    </row>
    <row r="1132" spans="1:3" ht="15" customHeight="1" x14ac:dyDescent="0.3">
      <c r="A1132" t="s">
        <v>130</v>
      </c>
      <c r="B1132" s="3">
        <v>45717</v>
      </c>
      <c r="C1132">
        <v>17983</v>
      </c>
    </row>
    <row r="1133" spans="1:3" ht="15" customHeight="1" x14ac:dyDescent="0.3">
      <c r="A1133" t="s">
        <v>130</v>
      </c>
      <c r="B1133" s="3">
        <v>45748</v>
      </c>
      <c r="C1133">
        <v>13643</v>
      </c>
    </row>
    <row r="1134" spans="1:3" ht="15" customHeight="1" x14ac:dyDescent="0.3">
      <c r="A1134" t="s">
        <v>130</v>
      </c>
      <c r="B1134" s="3">
        <v>45778</v>
      </c>
      <c r="C1134">
        <v>15993</v>
      </c>
    </row>
    <row r="1135" spans="1:3" ht="15" customHeight="1" x14ac:dyDescent="0.3">
      <c r="A1135" t="s">
        <v>130</v>
      </c>
      <c r="B1135" s="3">
        <v>45809</v>
      </c>
      <c r="C1135">
        <v>13300.84</v>
      </c>
    </row>
    <row r="1136" spans="1:3" ht="15" customHeight="1" x14ac:dyDescent="0.3">
      <c r="A1136" t="s">
        <v>130</v>
      </c>
      <c r="B1136" s="3">
        <v>45839</v>
      </c>
      <c r="C1136">
        <v>12259</v>
      </c>
    </row>
    <row r="1137" spans="1:3" ht="15" customHeight="1" x14ac:dyDescent="0.3">
      <c r="A1137" t="s">
        <v>130</v>
      </c>
      <c r="B1137" s="3">
        <v>45870</v>
      </c>
      <c r="C1137">
        <v>14893</v>
      </c>
    </row>
    <row r="1138" spans="1:3" ht="15" customHeight="1" x14ac:dyDescent="0.3">
      <c r="A1138" t="s">
        <v>130</v>
      </c>
      <c r="B1138" s="3">
        <v>45901</v>
      </c>
      <c r="C1138">
        <v>13710</v>
      </c>
    </row>
    <row r="1139" spans="1:3" ht="15" customHeight="1" x14ac:dyDescent="0.3">
      <c r="A1139" t="s">
        <v>130</v>
      </c>
      <c r="B1139" s="3">
        <v>45931</v>
      </c>
      <c r="C1139">
        <v>17312</v>
      </c>
    </row>
    <row r="1140" spans="1:3" ht="15" customHeight="1" x14ac:dyDescent="0.3">
      <c r="A1140" t="s">
        <v>130</v>
      </c>
      <c r="B1140" s="3">
        <v>45962</v>
      </c>
      <c r="C1140">
        <v>19748</v>
      </c>
    </row>
    <row r="1141" spans="1:3" ht="15" customHeight="1" x14ac:dyDescent="0.3">
      <c r="A1141" t="s">
        <v>130</v>
      </c>
      <c r="B1141" s="3">
        <v>45992</v>
      </c>
      <c r="C1141">
        <v>19810</v>
      </c>
    </row>
    <row r="1142" spans="1:3" ht="15" customHeight="1" x14ac:dyDescent="0.3">
      <c r="A1142" t="s">
        <v>130</v>
      </c>
      <c r="B1142" s="3">
        <v>46023</v>
      </c>
      <c r="C1142">
        <v>21506.532200000001</v>
      </c>
    </row>
    <row r="1143" spans="1:3" ht="15" customHeight="1" x14ac:dyDescent="0.3">
      <c r="A1143" t="s">
        <v>130</v>
      </c>
      <c r="B1143" s="3">
        <v>46054</v>
      </c>
      <c r="C1143">
        <v>21266.580600000001</v>
      </c>
    </row>
    <row r="1144" spans="1:3" ht="15" customHeight="1" x14ac:dyDescent="0.3">
      <c r="A1144" t="s">
        <v>130</v>
      </c>
      <c r="B1144" s="3">
        <v>46082</v>
      </c>
      <c r="C1144">
        <v>18344</v>
      </c>
    </row>
    <row r="1145" spans="1:3" ht="15" customHeight="1" x14ac:dyDescent="0.3">
      <c r="A1145" t="s">
        <v>130</v>
      </c>
      <c r="B1145" s="3">
        <v>46113</v>
      </c>
      <c r="C1145">
        <v>14760.15</v>
      </c>
    </row>
    <row r="1146" spans="1:3" ht="15" customHeight="1" x14ac:dyDescent="0.3">
      <c r="A1146" t="s">
        <v>130</v>
      </c>
      <c r="B1146" s="3">
        <v>46143</v>
      </c>
      <c r="C1146" s="13">
        <v>14261.66</v>
      </c>
    </row>
    <row r="1147" spans="1:3" ht="15" customHeight="1" x14ac:dyDescent="0.3">
      <c r="A1147" t="s">
        <v>130</v>
      </c>
      <c r="B1147" s="3">
        <v>46174</v>
      </c>
    </row>
    <row r="1148" spans="1:3" ht="15" customHeight="1" x14ac:dyDescent="0.3">
      <c r="A1148" t="s">
        <v>130</v>
      </c>
      <c r="B1148" s="3">
        <v>46204</v>
      </c>
    </row>
    <row r="1149" spans="1:3" ht="15" customHeight="1" x14ac:dyDescent="0.3">
      <c r="A1149" t="s">
        <v>130</v>
      </c>
      <c r="B1149" s="3">
        <v>46235</v>
      </c>
    </row>
    <row r="1150" spans="1:3" ht="15" customHeight="1" x14ac:dyDescent="0.3">
      <c r="A1150" t="s">
        <v>130</v>
      </c>
      <c r="B1150" s="3">
        <v>46266</v>
      </c>
    </row>
    <row r="1151" spans="1:3" ht="15" customHeight="1" x14ac:dyDescent="0.3">
      <c r="A1151" t="s">
        <v>130</v>
      </c>
      <c r="B1151" s="3">
        <v>46296</v>
      </c>
    </row>
    <row r="1152" spans="1:3" ht="15" customHeight="1" x14ac:dyDescent="0.3">
      <c r="A1152" t="s">
        <v>130</v>
      </c>
      <c r="B1152" s="3">
        <v>46327</v>
      </c>
    </row>
    <row r="1153" spans="1:3" ht="15" customHeight="1" x14ac:dyDescent="0.3">
      <c r="A1153" t="s">
        <v>130</v>
      </c>
      <c r="B1153" s="3">
        <v>46357</v>
      </c>
    </row>
    <row r="1154" spans="1:3" ht="15" customHeight="1" x14ac:dyDescent="0.3">
      <c r="A1154" t="s">
        <v>132</v>
      </c>
      <c r="B1154" s="3">
        <v>45292</v>
      </c>
      <c r="C1154">
        <v>52780</v>
      </c>
    </row>
    <row r="1155" spans="1:3" ht="15" customHeight="1" x14ac:dyDescent="0.3">
      <c r="A1155" t="s">
        <v>132</v>
      </c>
      <c r="B1155" s="3">
        <v>45323</v>
      </c>
      <c r="C1155">
        <v>40425</v>
      </c>
    </row>
    <row r="1156" spans="1:3" ht="15" customHeight="1" x14ac:dyDescent="0.3">
      <c r="A1156" t="s">
        <v>132</v>
      </c>
      <c r="B1156" s="3">
        <v>45352</v>
      </c>
      <c r="C1156">
        <v>52832</v>
      </c>
    </row>
    <row r="1157" spans="1:3" ht="15" customHeight="1" x14ac:dyDescent="0.3">
      <c r="A1157" t="s">
        <v>132</v>
      </c>
      <c r="B1157" s="3">
        <v>45383</v>
      </c>
      <c r="C1157">
        <v>46312</v>
      </c>
    </row>
    <row r="1158" spans="1:3" ht="15" customHeight="1" x14ac:dyDescent="0.3">
      <c r="A1158" t="s">
        <v>132</v>
      </c>
      <c r="B1158" s="3">
        <v>45413</v>
      </c>
      <c r="C1158">
        <v>45881</v>
      </c>
    </row>
    <row r="1159" spans="1:3" ht="15" customHeight="1" x14ac:dyDescent="0.3">
      <c r="A1159" t="s">
        <v>132</v>
      </c>
      <c r="B1159" s="3">
        <v>45444</v>
      </c>
      <c r="C1159">
        <v>36174</v>
      </c>
    </row>
    <row r="1160" spans="1:3" ht="15" customHeight="1" x14ac:dyDescent="0.3">
      <c r="A1160" t="s">
        <v>132</v>
      </c>
      <c r="B1160" s="3">
        <v>45474</v>
      </c>
      <c r="C1160">
        <v>49449</v>
      </c>
    </row>
    <row r="1161" spans="1:3" ht="15" customHeight="1" x14ac:dyDescent="0.3">
      <c r="A1161" t="s">
        <v>132</v>
      </c>
      <c r="B1161" s="3">
        <v>45505</v>
      </c>
      <c r="C1161">
        <v>50022</v>
      </c>
    </row>
    <row r="1162" spans="1:3" ht="15" customHeight="1" x14ac:dyDescent="0.3">
      <c r="A1162" t="s">
        <v>132</v>
      </c>
      <c r="B1162" s="3">
        <v>45536</v>
      </c>
      <c r="C1162">
        <v>41179</v>
      </c>
    </row>
    <row r="1163" spans="1:3" ht="15" customHeight="1" x14ac:dyDescent="0.3">
      <c r="A1163" t="s">
        <v>132</v>
      </c>
      <c r="B1163" s="3">
        <v>45566</v>
      </c>
      <c r="C1163">
        <v>38998</v>
      </c>
    </row>
    <row r="1164" spans="1:3" ht="15" customHeight="1" x14ac:dyDescent="0.3">
      <c r="A1164" t="s">
        <v>132</v>
      </c>
      <c r="B1164" s="3">
        <v>45597</v>
      </c>
      <c r="C1164">
        <v>54400</v>
      </c>
    </row>
    <row r="1165" spans="1:3" ht="15" customHeight="1" x14ac:dyDescent="0.3">
      <c r="A1165" t="s">
        <v>132</v>
      </c>
      <c r="B1165" s="3">
        <v>45627</v>
      </c>
      <c r="C1165">
        <v>48109</v>
      </c>
    </row>
    <row r="1166" spans="1:3" ht="15" customHeight="1" x14ac:dyDescent="0.3">
      <c r="A1166" t="s">
        <v>132</v>
      </c>
      <c r="B1166" s="3">
        <v>45658</v>
      </c>
      <c r="C1166">
        <v>50600</v>
      </c>
    </row>
    <row r="1167" spans="1:3" ht="15" customHeight="1" x14ac:dyDescent="0.3">
      <c r="A1167" t="s">
        <v>132</v>
      </c>
      <c r="B1167" s="3">
        <v>45689</v>
      </c>
      <c r="C1167">
        <v>39450</v>
      </c>
    </row>
    <row r="1168" spans="1:3" ht="15" customHeight="1" x14ac:dyDescent="0.3">
      <c r="A1168" t="s">
        <v>132</v>
      </c>
      <c r="B1168" s="3">
        <v>45717</v>
      </c>
      <c r="C1168">
        <v>50665</v>
      </c>
    </row>
    <row r="1169" spans="1:3" ht="15" customHeight="1" x14ac:dyDescent="0.3">
      <c r="A1169" t="s">
        <v>132</v>
      </c>
      <c r="B1169" s="3">
        <v>45748</v>
      </c>
      <c r="C1169">
        <v>33121</v>
      </c>
    </row>
    <row r="1170" spans="1:3" ht="15" customHeight="1" x14ac:dyDescent="0.3">
      <c r="A1170" t="s">
        <v>132</v>
      </c>
      <c r="B1170" s="3">
        <v>45778</v>
      </c>
      <c r="C1170">
        <v>49152</v>
      </c>
    </row>
    <row r="1171" spans="1:3" ht="15" customHeight="1" x14ac:dyDescent="0.3">
      <c r="A1171" t="s">
        <v>132</v>
      </c>
      <c r="B1171" s="3">
        <v>45809</v>
      </c>
      <c r="C1171">
        <v>39999.410000000003</v>
      </c>
    </row>
    <row r="1172" spans="1:3" ht="15" customHeight="1" x14ac:dyDescent="0.3">
      <c r="A1172" t="s">
        <v>132</v>
      </c>
      <c r="B1172" s="3">
        <v>45839</v>
      </c>
      <c r="C1172">
        <v>42250</v>
      </c>
    </row>
    <row r="1173" spans="1:3" ht="15" customHeight="1" x14ac:dyDescent="0.3">
      <c r="A1173" t="s">
        <v>132</v>
      </c>
      <c r="B1173" s="3">
        <v>45870</v>
      </c>
      <c r="C1173">
        <v>42926</v>
      </c>
    </row>
    <row r="1174" spans="1:3" ht="15" customHeight="1" x14ac:dyDescent="0.3">
      <c r="A1174" t="s">
        <v>132</v>
      </c>
      <c r="B1174" s="3">
        <v>45901</v>
      </c>
      <c r="C1174">
        <v>40517.300000000003</v>
      </c>
    </row>
    <row r="1175" spans="1:3" ht="15" customHeight="1" x14ac:dyDescent="0.3">
      <c r="A1175" t="s">
        <v>132</v>
      </c>
      <c r="B1175" s="3">
        <v>45931</v>
      </c>
      <c r="C1175">
        <v>46787.68</v>
      </c>
    </row>
    <row r="1176" spans="1:3" ht="15" customHeight="1" x14ac:dyDescent="0.3">
      <c r="A1176" t="s">
        <v>132</v>
      </c>
      <c r="B1176" s="3">
        <v>45962</v>
      </c>
      <c r="C1176">
        <v>53245</v>
      </c>
    </row>
    <row r="1177" spans="1:3" ht="15" customHeight="1" x14ac:dyDescent="0.3">
      <c r="A1177" t="s">
        <v>132</v>
      </c>
      <c r="B1177" s="3">
        <v>45992</v>
      </c>
      <c r="C1177">
        <v>48360</v>
      </c>
    </row>
    <row r="1178" spans="1:3" ht="15" customHeight="1" x14ac:dyDescent="0.3">
      <c r="A1178" t="s">
        <v>132</v>
      </c>
      <c r="B1178" s="3">
        <v>46023</v>
      </c>
      <c r="C1178">
        <v>49681.67136</v>
      </c>
    </row>
    <row r="1179" spans="1:3" ht="15" customHeight="1" x14ac:dyDescent="0.3">
      <c r="A1179" t="s">
        <v>132</v>
      </c>
      <c r="B1179" s="3">
        <v>46054</v>
      </c>
      <c r="C1179">
        <v>58060.833879999998</v>
      </c>
    </row>
    <row r="1180" spans="1:3" ht="15" customHeight="1" x14ac:dyDescent="0.3">
      <c r="A1180" t="s">
        <v>132</v>
      </c>
      <c r="B1180" s="3">
        <v>46082</v>
      </c>
      <c r="C1180">
        <v>50832</v>
      </c>
    </row>
    <row r="1181" spans="1:3" ht="15" customHeight="1" x14ac:dyDescent="0.3">
      <c r="A1181" t="s">
        <v>132</v>
      </c>
      <c r="B1181" s="3">
        <v>46113</v>
      </c>
      <c r="C1181">
        <v>41412.22</v>
      </c>
    </row>
    <row r="1182" spans="1:3" ht="15" customHeight="1" x14ac:dyDescent="0.3">
      <c r="A1182" t="s">
        <v>132</v>
      </c>
      <c r="B1182" s="3">
        <v>46143</v>
      </c>
      <c r="C1182" s="13">
        <v>46300.95</v>
      </c>
    </row>
    <row r="1183" spans="1:3" ht="15" customHeight="1" x14ac:dyDescent="0.3">
      <c r="A1183" t="s">
        <v>132</v>
      </c>
      <c r="B1183" s="3">
        <v>46174</v>
      </c>
    </row>
    <row r="1184" spans="1:3" ht="15" customHeight="1" x14ac:dyDescent="0.3">
      <c r="A1184" t="s">
        <v>132</v>
      </c>
      <c r="B1184" s="3">
        <v>46204</v>
      </c>
    </row>
    <row r="1185" spans="1:3" ht="15" customHeight="1" x14ac:dyDescent="0.3">
      <c r="A1185" t="s">
        <v>132</v>
      </c>
      <c r="B1185" s="3">
        <v>46235</v>
      </c>
    </row>
    <row r="1186" spans="1:3" ht="15" customHeight="1" x14ac:dyDescent="0.3">
      <c r="A1186" t="s">
        <v>132</v>
      </c>
      <c r="B1186" s="3">
        <v>46266</v>
      </c>
    </row>
    <row r="1187" spans="1:3" ht="15" customHeight="1" x14ac:dyDescent="0.3">
      <c r="A1187" t="s">
        <v>132</v>
      </c>
      <c r="B1187" s="3">
        <v>46296</v>
      </c>
    </row>
    <row r="1188" spans="1:3" ht="15" customHeight="1" x14ac:dyDescent="0.3">
      <c r="A1188" t="s">
        <v>132</v>
      </c>
      <c r="B1188" s="3">
        <v>46327</v>
      </c>
    </row>
    <row r="1189" spans="1:3" ht="15" customHeight="1" x14ac:dyDescent="0.3">
      <c r="A1189" t="s">
        <v>132</v>
      </c>
      <c r="B1189" s="3">
        <v>46357</v>
      </c>
    </row>
    <row r="1190" spans="1:3" ht="15" customHeight="1" x14ac:dyDescent="0.3">
      <c r="A1190" t="s">
        <v>136</v>
      </c>
      <c r="B1190" s="3">
        <v>45292</v>
      </c>
    </row>
    <row r="1191" spans="1:3" ht="15" customHeight="1" x14ac:dyDescent="0.3">
      <c r="A1191" t="s">
        <v>136</v>
      </c>
      <c r="B1191" s="3">
        <v>45323</v>
      </c>
    </row>
    <row r="1192" spans="1:3" ht="15" customHeight="1" x14ac:dyDescent="0.3">
      <c r="A1192" t="s">
        <v>136</v>
      </c>
      <c r="B1192" s="3">
        <v>45352</v>
      </c>
    </row>
    <row r="1193" spans="1:3" ht="15" customHeight="1" x14ac:dyDescent="0.3">
      <c r="A1193" t="s">
        <v>136</v>
      </c>
      <c r="B1193" s="3">
        <v>45383</v>
      </c>
      <c r="C1193">
        <v>6916</v>
      </c>
    </row>
    <row r="1194" spans="1:3" ht="15" customHeight="1" x14ac:dyDescent="0.3">
      <c r="A1194" t="s">
        <v>136</v>
      </c>
      <c r="B1194" s="3">
        <v>45413</v>
      </c>
      <c r="C1194">
        <v>14281</v>
      </c>
    </row>
    <row r="1195" spans="1:3" ht="15" customHeight="1" x14ac:dyDescent="0.3">
      <c r="A1195" t="s">
        <v>136</v>
      </c>
      <c r="B1195" s="3">
        <v>45444</v>
      </c>
      <c r="C1195">
        <v>12149</v>
      </c>
    </row>
    <row r="1196" spans="1:3" ht="15" customHeight="1" x14ac:dyDescent="0.3">
      <c r="A1196" t="s">
        <v>136</v>
      </c>
      <c r="B1196" s="3">
        <v>45474</v>
      </c>
      <c r="C1196">
        <v>15601</v>
      </c>
    </row>
    <row r="1197" spans="1:3" ht="15" customHeight="1" x14ac:dyDescent="0.3">
      <c r="A1197" t="s">
        <v>136</v>
      </c>
      <c r="B1197" s="3">
        <v>45505</v>
      </c>
      <c r="C1197">
        <v>7706</v>
      </c>
    </row>
    <row r="1198" spans="1:3" ht="15" customHeight="1" x14ac:dyDescent="0.3">
      <c r="A1198" t="s">
        <v>136</v>
      </c>
      <c r="B1198" s="3">
        <v>45536</v>
      </c>
      <c r="C1198">
        <v>1</v>
      </c>
    </row>
    <row r="1199" spans="1:3" ht="15" customHeight="1" x14ac:dyDescent="0.3">
      <c r="A1199" t="s">
        <v>136</v>
      </c>
      <c r="B1199" s="3">
        <v>45566</v>
      </c>
      <c r="C1199">
        <v>7310</v>
      </c>
    </row>
    <row r="1200" spans="1:3" ht="15" customHeight="1" x14ac:dyDescent="0.3">
      <c r="A1200" t="s">
        <v>136</v>
      </c>
      <c r="B1200" s="3">
        <v>45597</v>
      </c>
      <c r="C1200">
        <v>13770</v>
      </c>
    </row>
    <row r="1201" spans="1:3" ht="15" customHeight="1" x14ac:dyDescent="0.3">
      <c r="A1201" t="s">
        <v>136</v>
      </c>
      <c r="B1201" s="3">
        <v>45627</v>
      </c>
    </row>
    <row r="1202" spans="1:3" ht="15" customHeight="1" x14ac:dyDescent="0.3">
      <c r="A1202" t="s">
        <v>136</v>
      </c>
      <c r="B1202" s="3">
        <v>45658</v>
      </c>
      <c r="C1202">
        <v>4700</v>
      </c>
    </row>
    <row r="1203" spans="1:3" ht="15" customHeight="1" x14ac:dyDescent="0.3">
      <c r="A1203" t="s">
        <v>136</v>
      </c>
      <c r="B1203" s="3">
        <v>45689</v>
      </c>
      <c r="C1203">
        <v>12300</v>
      </c>
    </row>
    <row r="1204" spans="1:3" ht="15" customHeight="1" x14ac:dyDescent="0.3">
      <c r="A1204" t="s">
        <v>136</v>
      </c>
      <c r="B1204" s="3">
        <v>45717</v>
      </c>
      <c r="C1204">
        <v>13554</v>
      </c>
    </row>
    <row r="1205" spans="1:3" ht="15" customHeight="1" x14ac:dyDescent="0.3">
      <c r="A1205" t="s">
        <v>136</v>
      </c>
      <c r="B1205" s="3">
        <v>45748</v>
      </c>
      <c r="C1205">
        <v>9839</v>
      </c>
    </row>
    <row r="1206" spans="1:3" ht="15" customHeight="1" x14ac:dyDescent="0.3">
      <c r="A1206" t="s">
        <v>136</v>
      </c>
      <c r="B1206" s="3">
        <v>45778</v>
      </c>
    </row>
    <row r="1207" spans="1:3" ht="15" customHeight="1" x14ac:dyDescent="0.3">
      <c r="A1207" t="s">
        <v>136</v>
      </c>
      <c r="B1207" s="3">
        <v>45809</v>
      </c>
      <c r="C1207">
        <v>12605.8</v>
      </c>
    </row>
    <row r="1208" spans="1:3" ht="15" customHeight="1" x14ac:dyDescent="0.3">
      <c r="A1208" t="s">
        <v>136</v>
      </c>
      <c r="B1208" s="3">
        <v>45839</v>
      </c>
      <c r="C1208">
        <v>8064</v>
      </c>
    </row>
    <row r="1209" spans="1:3" ht="15" customHeight="1" x14ac:dyDescent="0.3">
      <c r="A1209" t="s">
        <v>136</v>
      </c>
      <c r="B1209" s="3">
        <v>45870</v>
      </c>
      <c r="C1209">
        <v>13494</v>
      </c>
    </row>
    <row r="1210" spans="1:3" ht="15" customHeight="1" x14ac:dyDescent="0.3">
      <c r="A1210" t="s">
        <v>136</v>
      </c>
      <c r="B1210" s="3">
        <v>45901</v>
      </c>
      <c r="C1210">
        <v>11744.7</v>
      </c>
    </row>
    <row r="1211" spans="1:3" ht="15" customHeight="1" x14ac:dyDescent="0.3">
      <c r="A1211" t="s">
        <v>136</v>
      </c>
      <c r="B1211" s="3">
        <v>45931</v>
      </c>
      <c r="C1211">
        <v>13202</v>
      </c>
    </row>
    <row r="1212" spans="1:3" ht="15" customHeight="1" x14ac:dyDescent="0.3">
      <c r="A1212" t="s">
        <v>136</v>
      </c>
      <c r="B1212" s="3">
        <v>45962</v>
      </c>
      <c r="C1212">
        <v>10765</v>
      </c>
    </row>
    <row r="1213" spans="1:3" ht="15" customHeight="1" x14ac:dyDescent="0.3">
      <c r="A1213" t="s">
        <v>136</v>
      </c>
      <c r="B1213" s="3">
        <v>45992</v>
      </c>
      <c r="C1213">
        <v>13231</v>
      </c>
    </row>
    <row r="1214" spans="1:3" ht="15" customHeight="1" x14ac:dyDescent="0.3">
      <c r="A1214" t="s">
        <v>136</v>
      </c>
      <c r="B1214" s="3">
        <v>46023</v>
      </c>
      <c r="C1214">
        <v>11720.01</v>
      </c>
    </row>
    <row r="1215" spans="1:3" ht="15" customHeight="1" x14ac:dyDescent="0.3">
      <c r="A1215" t="s">
        <v>136</v>
      </c>
      <c r="B1215" s="3">
        <v>46054</v>
      </c>
      <c r="C1215">
        <v>15533</v>
      </c>
    </row>
    <row r="1216" spans="1:3" ht="15" customHeight="1" x14ac:dyDescent="0.3">
      <c r="A1216" t="s">
        <v>136</v>
      </c>
      <c r="B1216" s="3">
        <v>46082</v>
      </c>
      <c r="C1216">
        <v>12559</v>
      </c>
    </row>
    <row r="1217" spans="1:3" ht="15" customHeight="1" x14ac:dyDescent="0.3">
      <c r="A1217" t="s">
        <v>136</v>
      </c>
      <c r="B1217" s="3">
        <v>46113</v>
      </c>
      <c r="C1217">
        <v>11577.01</v>
      </c>
    </row>
    <row r="1218" spans="1:3" ht="15" customHeight="1" x14ac:dyDescent="0.3">
      <c r="A1218" t="s">
        <v>136</v>
      </c>
      <c r="B1218" s="3">
        <v>46143</v>
      </c>
      <c r="C1218" s="13">
        <v>13966.89</v>
      </c>
    </row>
    <row r="1219" spans="1:3" ht="15" customHeight="1" x14ac:dyDescent="0.3">
      <c r="A1219" t="s">
        <v>136</v>
      </c>
      <c r="B1219" s="3">
        <v>46174</v>
      </c>
    </row>
    <row r="1220" spans="1:3" ht="15" customHeight="1" x14ac:dyDescent="0.3">
      <c r="A1220" t="s">
        <v>136</v>
      </c>
      <c r="B1220" s="3">
        <v>46204</v>
      </c>
    </row>
    <row r="1221" spans="1:3" ht="15" customHeight="1" x14ac:dyDescent="0.3">
      <c r="A1221" t="s">
        <v>136</v>
      </c>
      <c r="B1221" s="3">
        <v>46235</v>
      </c>
    </row>
    <row r="1222" spans="1:3" ht="15" customHeight="1" x14ac:dyDescent="0.3">
      <c r="A1222" t="s">
        <v>136</v>
      </c>
      <c r="B1222" s="3">
        <v>46266</v>
      </c>
    </row>
    <row r="1223" spans="1:3" ht="15" customHeight="1" x14ac:dyDescent="0.3">
      <c r="A1223" t="s">
        <v>136</v>
      </c>
      <c r="B1223" s="3">
        <v>46296</v>
      </c>
    </row>
    <row r="1224" spans="1:3" ht="15" customHeight="1" x14ac:dyDescent="0.3">
      <c r="A1224" t="s">
        <v>136</v>
      </c>
      <c r="B1224" s="3">
        <v>46327</v>
      </c>
    </row>
    <row r="1225" spans="1:3" ht="15" customHeight="1" x14ac:dyDescent="0.3">
      <c r="A1225" t="s">
        <v>136</v>
      </c>
      <c r="B1225" s="3">
        <v>46357</v>
      </c>
    </row>
    <row r="1226" spans="1:3" ht="15" customHeight="1" x14ac:dyDescent="0.3">
      <c r="A1226" t="s">
        <v>247</v>
      </c>
      <c r="B1226" s="3">
        <v>45292</v>
      </c>
    </row>
    <row r="1227" spans="1:3" ht="15" customHeight="1" x14ac:dyDescent="0.3">
      <c r="A1227" t="s">
        <v>247</v>
      </c>
      <c r="B1227" s="3">
        <v>45323</v>
      </c>
    </row>
    <row r="1228" spans="1:3" ht="15" customHeight="1" x14ac:dyDescent="0.3">
      <c r="A1228" t="s">
        <v>247</v>
      </c>
      <c r="B1228" s="3">
        <v>45352</v>
      </c>
    </row>
    <row r="1229" spans="1:3" ht="15" customHeight="1" x14ac:dyDescent="0.3">
      <c r="A1229" t="s">
        <v>247</v>
      </c>
      <c r="B1229" s="3">
        <v>45383</v>
      </c>
    </row>
    <row r="1230" spans="1:3" ht="15" customHeight="1" x14ac:dyDescent="0.3">
      <c r="A1230" t="s">
        <v>247</v>
      </c>
      <c r="B1230" s="3">
        <v>45413</v>
      </c>
    </row>
    <row r="1231" spans="1:3" ht="15" customHeight="1" x14ac:dyDescent="0.3">
      <c r="A1231" t="s">
        <v>247</v>
      </c>
      <c r="B1231" s="3">
        <v>45444</v>
      </c>
    </row>
    <row r="1232" spans="1:3" ht="15" customHeight="1" x14ac:dyDescent="0.3">
      <c r="A1232" t="s">
        <v>247</v>
      </c>
      <c r="B1232" s="3">
        <v>45474</v>
      </c>
    </row>
    <row r="1233" spans="1:2" ht="15" customHeight="1" x14ac:dyDescent="0.3">
      <c r="A1233" t="s">
        <v>247</v>
      </c>
      <c r="B1233" s="3">
        <v>45505</v>
      </c>
    </row>
    <row r="1234" spans="1:2" ht="15" customHeight="1" x14ac:dyDescent="0.3">
      <c r="A1234" t="s">
        <v>247</v>
      </c>
      <c r="B1234" s="3">
        <v>45536</v>
      </c>
    </row>
    <row r="1235" spans="1:2" ht="15" customHeight="1" x14ac:dyDescent="0.3">
      <c r="A1235" t="s">
        <v>247</v>
      </c>
      <c r="B1235" s="3">
        <v>45566</v>
      </c>
    </row>
    <row r="1236" spans="1:2" ht="15" customHeight="1" x14ac:dyDescent="0.3">
      <c r="A1236" t="s">
        <v>247</v>
      </c>
      <c r="B1236" s="3">
        <v>45597</v>
      </c>
    </row>
    <row r="1237" spans="1:2" ht="15" customHeight="1" x14ac:dyDescent="0.3">
      <c r="A1237" t="s">
        <v>247</v>
      </c>
      <c r="B1237" s="3">
        <v>45627</v>
      </c>
    </row>
    <row r="1238" spans="1:2" ht="15" customHeight="1" x14ac:dyDescent="0.3">
      <c r="A1238" t="s">
        <v>247</v>
      </c>
      <c r="B1238" s="3">
        <v>45658</v>
      </c>
    </row>
    <row r="1239" spans="1:2" ht="15" customHeight="1" x14ac:dyDescent="0.3">
      <c r="A1239" t="s">
        <v>247</v>
      </c>
      <c r="B1239" s="3">
        <v>45689</v>
      </c>
    </row>
    <row r="1240" spans="1:2" ht="15" customHeight="1" x14ac:dyDescent="0.3">
      <c r="A1240" t="s">
        <v>247</v>
      </c>
      <c r="B1240" s="3">
        <v>45717</v>
      </c>
    </row>
    <row r="1241" spans="1:2" ht="15" customHeight="1" x14ac:dyDescent="0.3">
      <c r="A1241" t="s">
        <v>247</v>
      </c>
      <c r="B1241" s="3">
        <v>45748</v>
      </c>
    </row>
    <row r="1242" spans="1:2" ht="15" customHeight="1" x14ac:dyDescent="0.3">
      <c r="A1242" t="s">
        <v>247</v>
      </c>
      <c r="B1242" s="3">
        <v>45778</v>
      </c>
    </row>
    <row r="1243" spans="1:2" ht="15" customHeight="1" x14ac:dyDescent="0.3">
      <c r="A1243" t="s">
        <v>247</v>
      </c>
      <c r="B1243" s="3">
        <v>45809</v>
      </c>
    </row>
    <row r="1244" spans="1:2" ht="15" customHeight="1" x14ac:dyDescent="0.3">
      <c r="A1244" t="s">
        <v>247</v>
      </c>
      <c r="B1244" s="3">
        <v>45839</v>
      </c>
    </row>
    <row r="1245" spans="1:2" ht="15" customHeight="1" x14ac:dyDescent="0.3">
      <c r="A1245" t="s">
        <v>247</v>
      </c>
      <c r="B1245" s="3">
        <v>45870</v>
      </c>
    </row>
    <row r="1246" spans="1:2" ht="15" customHeight="1" x14ac:dyDescent="0.3">
      <c r="A1246" t="s">
        <v>247</v>
      </c>
      <c r="B1246" s="3">
        <v>45901</v>
      </c>
    </row>
    <row r="1247" spans="1:2" ht="15" customHeight="1" x14ac:dyDescent="0.3">
      <c r="A1247" t="s">
        <v>247</v>
      </c>
      <c r="B1247" s="3">
        <v>45931</v>
      </c>
    </row>
    <row r="1248" spans="1:2" ht="15" customHeight="1" x14ac:dyDescent="0.3">
      <c r="A1248" t="s">
        <v>247</v>
      </c>
      <c r="B1248" s="3">
        <v>45962</v>
      </c>
    </row>
    <row r="1249" spans="1:3" ht="15" customHeight="1" x14ac:dyDescent="0.3">
      <c r="A1249" t="s">
        <v>247</v>
      </c>
      <c r="B1249" s="3">
        <v>45992</v>
      </c>
      <c r="C1249">
        <v>44400</v>
      </c>
    </row>
    <row r="1250" spans="1:3" ht="15" customHeight="1" x14ac:dyDescent="0.3">
      <c r="A1250" t="s">
        <v>247</v>
      </c>
      <c r="B1250" s="3">
        <v>46023</v>
      </c>
      <c r="C1250">
        <v>44972.3</v>
      </c>
    </row>
    <row r="1251" spans="1:3" ht="15" customHeight="1" x14ac:dyDescent="0.3">
      <c r="A1251" t="s">
        <v>247</v>
      </c>
      <c r="B1251" s="3">
        <v>46054</v>
      </c>
      <c r="C1251">
        <v>44384</v>
      </c>
    </row>
    <row r="1252" spans="1:3" ht="15" customHeight="1" x14ac:dyDescent="0.3">
      <c r="A1252" t="s">
        <v>247</v>
      </c>
      <c r="B1252" s="3">
        <v>46082</v>
      </c>
      <c r="C1252">
        <v>42181</v>
      </c>
    </row>
    <row r="1253" spans="1:3" ht="15" customHeight="1" x14ac:dyDescent="0.3">
      <c r="A1253" t="s">
        <v>247</v>
      </c>
      <c r="B1253" s="3">
        <v>46113</v>
      </c>
      <c r="C1253">
        <v>29438.84</v>
      </c>
    </row>
    <row r="1254" spans="1:3" ht="15" customHeight="1" x14ac:dyDescent="0.3">
      <c r="A1254" t="s">
        <v>247</v>
      </c>
      <c r="B1254" s="3">
        <v>46143</v>
      </c>
      <c r="C1254" s="13">
        <v>20478.599999999999</v>
      </c>
    </row>
    <row r="1255" spans="1:3" ht="15" customHeight="1" x14ac:dyDescent="0.3">
      <c r="A1255" t="s">
        <v>247</v>
      </c>
      <c r="B1255" s="3">
        <v>46174</v>
      </c>
    </row>
    <row r="1256" spans="1:3" ht="15" customHeight="1" x14ac:dyDescent="0.3">
      <c r="A1256" t="s">
        <v>247</v>
      </c>
      <c r="B1256" s="3">
        <v>46204</v>
      </c>
    </row>
    <row r="1257" spans="1:3" ht="15" customHeight="1" x14ac:dyDescent="0.3">
      <c r="A1257" t="s">
        <v>247</v>
      </c>
      <c r="B1257" s="3">
        <v>46235</v>
      </c>
    </row>
    <row r="1258" spans="1:3" ht="15" customHeight="1" x14ac:dyDescent="0.3">
      <c r="A1258" t="s">
        <v>247</v>
      </c>
      <c r="B1258" s="3">
        <v>46266</v>
      </c>
    </row>
    <row r="1259" spans="1:3" ht="15" customHeight="1" x14ac:dyDescent="0.3">
      <c r="A1259" t="s">
        <v>247</v>
      </c>
      <c r="B1259" s="3">
        <v>46296</v>
      </c>
    </row>
    <row r="1260" spans="1:3" ht="15" customHeight="1" x14ac:dyDescent="0.3">
      <c r="A1260" t="s">
        <v>247</v>
      </c>
      <c r="B1260" s="3">
        <v>46327</v>
      </c>
    </row>
    <row r="1261" spans="1:3" ht="15" customHeight="1" x14ac:dyDescent="0.3">
      <c r="A1261" t="s">
        <v>247</v>
      </c>
      <c r="B1261" s="3">
        <v>46357</v>
      </c>
    </row>
    <row r="1262" spans="1:3" ht="15" customHeight="1" x14ac:dyDescent="0.3">
      <c r="A1262" t="s">
        <v>140</v>
      </c>
      <c r="B1262" s="3">
        <v>45292</v>
      </c>
      <c r="C1262">
        <v>3824</v>
      </c>
    </row>
    <row r="1263" spans="1:3" ht="15" customHeight="1" x14ac:dyDescent="0.3">
      <c r="A1263" t="s">
        <v>140</v>
      </c>
      <c r="B1263" s="3">
        <v>45323</v>
      </c>
      <c r="C1263">
        <v>3746</v>
      </c>
    </row>
    <row r="1264" spans="1:3" ht="15" customHeight="1" x14ac:dyDescent="0.3">
      <c r="A1264" t="s">
        <v>140</v>
      </c>
      <c r="B1264" s="3">
        <v>45352</v>
      </c>
      <c r="C1264">
        <v>3799</v>
      </c>
    </row>
    <row r="1265" spans="1:3" ht="15" customHeight="1" x14ac:dyDescent="0.3">
      <c r="A1265" t="s">
        <v>140</v>
      </c>
      <c r="B1265" s="3">
        <v>45383</v>
      </c>
      <c r="C1265">
        <v>3854</v>
      </c>
    </row>
    <row r="1266" spans="1:3" ht="15" customHeight="1" x14ac:dyDescent="0.3">
      <c r="A1266" t="s">
        <v>140</v>
      </c>
      <c r="B1266" s="3">
        <v>45413</v>
      </c>
      <c r="C1266">
        <v>4391</v>
      </c>
    </row>
    <row r="1267" spans="1:3" ht="15" customHeight="1" x14ac:dyDescent="0.3">
      <c r="A1267" t="s">
        <v>140</v>
      </c>
      <c r="B1267" s="3">
        <v>45444</v>
      </c>
      <c r="C1267">
        <v>4167</v>
      </c>
    </row>
    <row r="1268" spans="1:3" ht="15" customHeight="1" x14ac:dyDescent="0.3">
      <c r="A1268" t="s">
        <v>140</v>
      </c>
      <c r="B1268" s="3">
        <v>45474</v>
      </c>
      <c r="C1268">
        <v>4515</v>
      </c>
    </row>
    <row r="1269" spans="1:3" ht="15" customHeight="1" x14ac:dyDescent="0.3">
      <c r="A1269" t="s">
        <v>140</v>
      </c>
      <c r="B1269" s="3">
        <v>45505</v>
      </c>
      <c r="C1269">
        <v>4113</v>
      </c>
    </row>
    <row r="1270" spans="1:3" ht="15" customHeight="1" x14ac:dyDescent="0.3">
      <c r="A1270" t="s">
        <v>140</v>
      </c>
      <c r="B1270" s="3">
        <v>45536</v>
      </c>
      <c r="C1270">
        <v>3620</v>
      </c>
    </row>
    <row r="1271" spans="1:3" ht="15" customHeight="1" x14ac:dyDescent="0.3">
      <c r="A1271" t="s">
        <v>140</v>
      </c>
      <c r="B1271" s="3">
        <v>45566</v>
      </c>
      <c r="C1271">
        <v>4760</v>
      </c>
    </row>
    <row r="1272" spans="1:3" ht="15" customHeight="1" x14ac:dyDescent="0.3">
      <c r="A1272" t="s">
        <v>140</v>
      </c>
      <c r="B1272" s="3">
        <v>45597</v>
      </c>
      <c r="C1272">
        <v>3916</v>
      </c>
    </row>
    <row r="1273" spans="1:3" ht="15" customHeight="1" x14ac:dyDescent="0.3">
      <c r="A1273" t="s">
        <v>140</v>
      </c>
      <c r="B1273" s="3">
        <v>45627</v>
      </c>
      <c r="C1273">
        <v>4124</v>
      </c>
    </row>
    <row r="1274" spans="1:3" ht="15" customHeight="1" x14ac:dyDescent="0.3">
      <c r="A1274" t="s">
        <v>140</v>
      </c>
      <c r="B1274" s="3">
        <v>45658</v>
      </c>
      <c r="C1274">
        <v>3080</v>
      </c>
    </row>
    <row r="1275" spans="1:3" ht="15" customHeight="1" x14ac:dyDescent="0.3">
      <c r="A1275" t="s">
        <v>140</v>
      </c>
      <c r="B1275" s="3">
        <v>45689</v>
      </c>
      <c r="C1275">
        <v>2400</v>
      </c>
    </row>
    <row r="1276" spans="1:3" ht="15" customHeight="1" x14ac:dyDescent="0.3">
      <c r="A1276" t="s">
        <v>140</v>
      </c>
      <c r="B1276" s="3">
        <v>45717</v>
      </c>
      <c r="C1276">
        <v>2832</v>
      </c>
    </row>
    <row r="1277" spans="1:3" ht="15" customHeight="1" x14ac:dyDescent="0.3">
      <c r="A1277" t="s">
        <v>140</v>
      </c>
      <c r="B1277" s="3">
        <v>45748</v>
      </c>
      <c r="C1277">
        <v>2690</v>
      </c>
    </row>
    <row r="1278" spans="1:3" ht="15" customHeight="1" x14ac:dyDescent="0.3">
      <c r="A1278" t="s">
        <v>140</v>
      </c>
      <c r="B1278" s="3">
        <v>45778</v>
      </c>
      <c r="C1278">
        <v>3597</v>
      </c>
    </row>
    <row r="1279" spans="1:3" ht="15" customHeight="1" x14ac:dyDescent="0.3">
      <c r="A1279" t="s">
        <v>140</v>
      </c>
      <c r="B1279" s="3">
        <v>45809</v>
      </c>
      <c r="C1279">
        <v>4831.17</v>
      </c>
    </row>
    <row r="1280" spans="1:3" ht="15" customHeight="1" x14ac:dyDescent="0.3">
      <c r="A1280" t="s">
        <v>140</v>
      </c>
      <c r="B1280" s="3">
        <v>45839</v>
      </c>
      <c r="C1280">
        <v>5152</v>
      </c>
    </row>
    <row r="1281" spans="1:3" ht="15" customHeight="1" x14ac:dyDescent="0.3">
      <c r="A1281" t="s">
        <v>140</v>
      </c>
      <c r="B1281" s="3">
        <v>45870</v>
      </c>
      <c r="C1281">
        <v>5913</v>
      </c>
    </row>
    <row r="1282" spans="1:3" ht="15" customHeight="1" x14ac:dyDescent="0.3">
      <c r="A1282" t="s">
        <v>140</v>
      </c>
      <c r="B1282" s="3">
        <v>45901</v>
      </c>
      <c r="C1282">
        <v>5163</v>
      </c>
    </row>
    <row r="1283" spans="1:3" ht="15" customHeight="1" x14ac:dyDescent="0.3">
      <c r="A1283" t="s">
        <v>140</v>
      </c>
      <c r="B1283" s="3">
        <v>45931</v>
      </c>
      <c r="C1283">
        <v>5859</v>
      </c>
    </row>
    <row r="1284" spans="1:3" ht="15" customHeight="1" x14ac:dyDescent="0.3">
      <c r="A1284" t="s">
        <v>140</v>
      </c>
      <c r="B1284" s="3">
        <v>45962</v>
      </c>
      <c r="C1284">
        <v>4665</v>
      </c>
    </row>
    <row r="1285" spans="1:3" ht="15" customHeight="1" x14ac:dyDescent="0.3">
      <c r="A1285" t="s">
        <v>140</v>
      </c>
      <c r="B1285" s="3">
        <v>45992</v>
      </c>
      <c r="C1285">
        <v>5472</v>
      </c>
    </row>
    <row r="1286" spans="1:3" ht="15" customHeight="1" x14ac:dyDescent="0.3">
      <c r="A1286" t="s">
        <v>140</v>
      </c>
      <c r="B1286" s="3">
        <v>46023</v>
      </c>
      <c r="C1286">
        <v>5579.67</v>
      </c>
    </row>
    <row r="1287" spans="1:3" ht="15" customHeight="1" x14ac:dyDescent="0.3">
      <c r="A1287" t="s">
        <v>140</v>
      </c>
      <c r="B1287" s="3">
        <v>46054</v>
      </c>
      <c r="C1287">
        <v>4787</v>
      </c>
    </row>
    <row r="1288" spans="1:3" ht="15" customHeight="1" x14ac:dyDescent="0.3">
      <c r="A1288" t="s">
        <v>140</v>
      </c>
      <c r="B1288" s="3">
        <v>46082</v>
      </c>
      <c r="C1288">
        <v>4406</v>
      </c>
    </row>
    <row r="1289" spans="1:3" ht="15" customHeight="1" x14ac:dyDescent="0.3">
      <c r="A1289" t="s">
        <v>140</v>
      </c>
      <c r="B1289" s="3">
        <v>46113</v>
      </c>
      <c r="C1289">
        <v>4506.8</v>
      </c>
    </row>
    <row r="1290" spans="1:3" ht="15" customHeight="1" x14ac:dyDescent="0.3">
      <c r="A1290" t="s">
        <v>140</v>
      </c>
      <c r="B1290" s="3">
        <v>46143</v>
      </c>
      <c r="C1290" s="13">
        <v>5143.42</v>
      </c>
    </row>
    <row r="1291" spans="1:3" ht="15" customHeight="1" x14ac:dyDescent="0.3">
      <c r="A1291" t="s">
        <v>140</v>
      </c>
      <c r="B1291" s="3">
        <v>46174</v>
      </c>
    </row>
    <row r="1292" spans="1:3" ht="15" customHeight="1" x14ac:dyDescent="0.3">
      <c r="A1292" t="s">
        <v>140</v>
      </c>
      <c r="B1292" s="3">
        <v>46204</v>
      </c>
    </row>
    <row r="1293" spans="1:3" ht="15" customHeight="1" x14ac:dyDescent="0.3">
      <c r="A1293" t="s">
        <v>140</v>
      </c>
      <c r="B1293" s="3">
        <v>46235</v>
      </c>
    </row>
    <row r="1294" spans="1:3" ht="15" customHeight="1" x14ac:dyDescent="0.3">
      <c r="A1294" t="s">
        <v>140</v>
      </c>
      <c r="B1294" s="3">
        <v>46266</v>
      </c>
    </row>
    <row r="1295" spans="1:3" ht="15" customHeight="1" x14ac:dyDescent="0.3">
      <c r="A1295" t="s">
        <v>140</v>
      </c>
      <c r="B1295" s="3">
        <v>46296</v>
      </c>
    </row>
    <row r="1296" spans="1:3" ht="15" customHeight="1" x14ac:dyDescent="0.3">
      <c r="A1296" t="s">
        <v>140</v>
      </c>
      <c r="B1296" s="3">
        <v>46327</v>
      </c>
    </row>
    <row r="1297" spans="1:3" ht="15" customHeight="1" x14ac:dyDescent="0.3">
      <c r="A1297" t="s">
        <v>140</v>
      </c>
      <c r="B1297" s="3">
        <v>46357</v>
      </c>
    </row>
    <row r="1298" spans="1:3" ht="15" customHeight="1" x14ac:dyDescent="0.3">
      <c r="A1298" t="s">
        <v>143</v>
      </c>
      <c r="B1298" s="3">
        <v>45292</v>
      </c>
    </row>
    <row r="1299" spans="1:3" ht="15" customHeight="1" x14ac:dyDescent="0.3">
      <c r="A1299" t="s">
        <v>143</v>
      </c>
      <c r="B1299" s="3">
        <v>45323</v>
      </c>
    </row>
    <row r="1300" spans="1:3" ht="15" customHeight="1" x14ac:dyDescent="0.3">
      <c r="A1300" t="s">
        <v>143</v>
      </c>
      <c r="B1300" s="3">
        <v>45352</v>
      </c>
      <c r="C1300">
        <v>41550.800000000003</v>
      </c>
    </row>
    <row r="1301" spans="1:3" ht="15" customHeight="1" x14ac:dyDescent="0.3">
      <c r="A1301" t="s">
        <v>143</v>
      </c>
      <c r="B1301" s="3">
        <v>45383</v>
      </c>
      <c r="C1301">
        <v>25447.599999999999</v>
      </c>
    </row>
    <row r="1302" spans="1:3" ht="15" customHeight="1" x14ac:dyDescent="0.3">
      <c r="A1302" t="s">
        <v>143</v>
      </c>
      <c r="B1302" s="3">
        <v>45413</v>
      </c>
      <c r="C1302">
        <v>28056</v>
      </c>
    </row>
    <row r="1303" spans="1:3" ht="15" customHeight="1" x14ac:dyDescent="0.3">
      <c r="A1303" t="s">
        <v>143</v>
      </c>
      <c r="B1303" s="3">
        <v>45444</v>
      </c>
      <c r="C1303">
        <v>27241</v>
      </c>
    </row>
    <row r="1304" spans="1:3" ht="15" customHeight="1" x14ac:dyDescent="0.3">
      <c r="A1304" t="s">
        <v>143</v>
      </c>
      <c r="B1304" s="3">
        <v>45474</v>
      </c>
      <c r="C1304">
        <v>31078</v>
      </c>
    </row>
    <row r="1305" spans="1:3" ht="15" customHeight="1" x14ac:dyDescent="0.3">
      <c r="A1305" t="s">
        <v>143</v>
      </c>
      <c r="B1305" s="3">
        <v>45505</v>
      </c>
      <c r="C1305">
        <v>33515</v>
      </c>
    </row>
    <row r="1306" spans="1:3" ht="15" customHeight="1" x14ac:dyDescent="0.3">
      <c r="A1306" t="s">
        <v>143</v>
      </c>
      <c r="B1306" s="3">
        <v>45536</v>
      </c>
      <c r="C1306">
        <v>34245</v>
      </c>
    </row>
    <row r="1307" spans="1:3" ht="15" customHeight="1" x14ac:dyDescent="0.3">
      <c r="A1307" t="s">
        <v>143</v>
      </c>
      <c r="B1307" s="3">
        <v>45566</v>
      </c>
      <c r="C1307">
        <v>46108</v>
      </c>
    </row>
    <row r="1308" spans="1:3" ht="15" customHeight="1" x14ac:dyDescent="0.3">
      <c r="A1308" t="s">
        <v>143</v>
      </c>
      <c r="B1308" s="3">
        <v>45597</v>
      </c>
      <c r="C1308">
        <v>42922</v>
      </c>
    </row>
    <row r="1309" spans="1:3" ht="15" customHeight="1" x14ac:dyDescent="0.3">
      <c r="A1309" t="s">
        <v>143</v>
      </c>
      <c r="B1309" s="3">
        <v>45627</v>
      </c>
      <c r="C1309">
        <v>44138</v>
      </c>
    </row>
    <row r="1310" spans="1:3" ht="15" customHeight="1" x14ac:dyDescent="0.3">
      <c r="A1310" t="s">
        <v>143</v>
      </c>
      <c r="B1310" s="3">
        <v>45658</v>
      </c>
      <c r="C1310">
        <v>41100</v>
      </c>
    </row>
    <row r="1311" spans="1:3" ht="15" customHeight="1" x14ac:dyDescent="0.3">
      <c r="A1311" t="s">
        <v>143</v>
      </c>
      <c r="B1311" s="3">
        <v>45689</v>
      </c>
      <c r="C1311">
        <v>30900</v>
      </c>
    </row>
    <row r="1312" spans="1:3" ht="15" customHeight="1" x14ac:dyDescent="0.3">
      <c r="A1312" t="s">
        <v>143</v>
      </c>
      <c r="B1312" s="3">
        <v>45717</v>
      </c>
      <c r="C1312">
        <v>31593</v>
      </c>
    </row>
    <row r="1313" spans="1:3" ht="15" customHeight="1" x14ac:dyDescent="0.3">
      <c r="A1313" t="s">
        <v>143</v>
      </c>
      <c r="B1313" s="3">
        <v>45748</v>
      </c>
      <c r="C1313">
        <v>25646</v>
      </c>
    </row>
    <row r="1314" spans="1:3" ht="15" customHeight="1" x14ac:dyDescent="0.3">
      <c r="A1314" t="s">
        <v>143</v>
      </c>
      <c r="B1314" s="3">
        <v>45778</v>
      </c>
      <c r="C1314">
        <v>33184</v>
      </c>
    </row>
    <row r="1315" spans="1:3" ht="15" customHeight="1" x14ac:dyDescent="0.3">
      <c r="A1315" t="s">
        <v>143</v>
      </c>
      <c r="B1315" s="3">
        <v>45809</v>
      </c>
      <c r="C1315">
        <v>29359.5</v>
      </c>
    </row>
    <row r="1316" spans="1:3" ht="15" customHeight="1" x14ac:dyDescent="0.3">
      <c r="A1316" t="s">
        <v>143</v>
      </c>
      <c r="B1316" s="3">
        <v>45839</v>
      </c>
      <c r="C1316">
        <v>23487</v>
      </c>
    </row>
    <row r="1317" spans="1:3" ht="15" customHeight="1" x14ac:dyDescent="0.3">
      <c r="A1317" t="s">
        <v>143</v>
      </c>
      <c r="B1317" s="3">
        <v>45870</v>
      </c>
      <c r="C1317">
        <v>34316</v>
      </c>
    </row>
    <row r="1318" spans="1:3" ht="15" customHeight="1" x14ac:dyDescent="0.3">
      <c r="A1318" t="s">
        <v>143</v>
      </c>
      <c r="B1318" s="3">
        <v>45901</v>
      </c>
      <c r="C1318">
        <v>33632.699999999997</v>
      </c>
    </row>
    <row r="1319" spans="1:3" ht="15" customHeight="1" x14ac:dyDescent="0.3">
      <c r="A1319" t="s">
        <v>143</v>
      </c>
      <c r="B1319" s="3">
        <v>45931</v>
      </c>
      <c r="C1319">
        <v>41353</v>
      </c>
    </row>
    <row r="1320" spans="1:3" ht="15" customHeight="1" x14ac:dyDescent="0.3">
      <c r="A1320" t="s">
        <v>143</v>
      </c>
      <c r="B1320" s="3">
        <v>45962</v>
      </c>
      <c r="C1320">
        <v>44434</v>
      </c>
    </row>
    <row r="1321" spans="1:3" ht="15" customHeight="1" x14ac:dyDescent="0.3">
      <c r="A1321" t="s">
        <v>143</v>
      </c>
      <c r="B1321" s="3">
        <v>45992</v>
      </c>
      <c r="C1321">
        <v>40551</v>
      </c>
    </row>
    <row r="1322" spans="1:3" ht="15" customHeight="1" x14ac:dyDescent="0.3">
      <c r="A1322" t="s">
        <v>143</v>
      </c>
      <c r="B1322" s="3">
        <v>46023</v>
      </c>
      <c r="C1322">
        <v>42821</v>
      </c>
    </row>
    <row r="1323" spans="1:3" ht="15" customHeight="1" x14ac:dyDescent="0.3">
      <c r="A1323" t="s">
        <v>143</v>
      </c>
      <c r="B1323" s="3">
        <v>46054</v>
      </c>
      <c r="C1323">
        <v>39129</v>
      </c>
    </row>
    <row r="1324" spans="1:3" ht="15" customHeight="1" x14ac:dyDescent="0.3">
      <c r="A1324" t="s">
        <v>143</v>
      </c>
      <c r="B1324" s="3">
        <v>46082</v>
      </c>
      <c r="C1324">
        <v>31935</v>
      </c>
    </row>
    <row r="1325" spans="1:3" ht="15" customHeight="1" x14ac:dyDescent="0.3">
      <c r="A1325" t="s">
        <v>143</v>
      </c>
      <c r="B1325" s="3">
        <v>46113</v>
      </c>
      <c r="C1325">
        <v>26513.02</v>
      </c>
    </row>
    <row r="1326" spans="1:3" ht="15" customHeight="1" x14ac:dyDescent="0.3">
      <c r="A1326" t="s">
        <v>143</v>
      </c>
      <c r="B1326" s="3">
        <v>46143</v>
      </c>
      <c r="C1326" s="13">
        <v>29984.36</v>
      </c>
    </row>
    <row r="1327" spans="1:3" ht="15" customHeight="1" x14ac:dyDescent="0.3">
      <c r="A1327" t="s">
        <v>143</v>
      </c>
      <c r="B1327" s="3">
        <v>46174</v>
      </c>
    </row>
    <row r="1328" spans="1:3" ht="15" customHeight="1" x14ac:dyDescent="0.3">
      <c r="A1328" t="s">
        <v>143</v>
      </c>
      <c r="B1328" s="3">
        <v>46204</v>
      </c>
    </row>
    <row r="1329" spans="1:2" ht="15" customHeight="1" x14ac:dyDescent="0.3">
      <c r="A1329" t="s">
        <v>143</v>
      </c>
      <c r="B1329" s="3">
        <v>46235</v>
      </c>
    </row>
    <row r="1330" spans="1:2" ht="15" customHeight="1" x14ac:dyDescent="0.3">
      <c r="A1330" t="s">
        <v>143</v>
      </c>
      <c r="B1330" s="3">
        <v>46266</v>
      </c>
    </row>
    <row r="1331" spans="1:2" ht="15" customHeight="1" x14ac:dyDescent="0.3">
      <c r="A1331" t="s">
        <v>143</v>
      </c>
      <c r="B1331" s="3">
        <v>46296</v>
      </c>
    </row>
    <row r="1332" spans="1:2" ht="15" customHeight="1" x14ac:dyDescent="0.3">
      <c r="A1332" t="s">
        <v>143</v>
      </c>
      <c r="B1332" s="3">
        <v>46327</v>
      </c>
    </row>
    <row r="1333" spans="1:2" ht="15" customHeight="1" x14ac:dyDescent="0.3">
      <c r="A1333" t="s">
        <v>143</v>
      </c>
      <c r="B1333" s="3">
        <v>46357</v>
      </c>
    </row>
    <row r="1334" spans="1:2" ht="15" customHeight="1" x14ac:dyDescent="0.3">
      <c r="A1334" t="s">
        <v>147</v>
      </c>
      <c r="B1334" s="3">
        <v>45292</v>
      </c>
    </row>
    <row r="1335" spans="1:2" ht="15" customHeight="1" x14ac:dyDescent="0.3">
      <c r="A1335" t="s">
        <v>147</v>
      </c>
      <c r="B1335" s="3">
        <v>45323</v>
      </c>
    </row>
    <row r="1336" spans="1:2" ht="15" customHeight="1" x14ac:dyDescent="0.3">
      <c r="A1336" t="s">
        <v>147</v>
      </c>
      <c r="B1336" s="3">
        <v>45352</v>
      </c>
    </row>
    <row r="1337" spans="1:2" ht="15" customHeight="1" x14ac:dyDescent="0.3">
      <c r="A1337" t="s">
        <v>147</v>
      </c>
      <c r="B1337" s="3">
        <v>45383</v>
      </c>
    </row>
    <row r="1338" spans="1:2" ht="15" customHeight="1" x14ac:dyDescent="0.3">
      <c r="A1338" t="s">
        <v>147</v>
      </c>
      <c r="B1338" s="3">
        <v>45413</v>
      </c>
    </row>
    <row r="1339" spans="1:2" ht="15" customHeight="1" x14ac:dyDescent="0.3">
      <c r="A1339" t="s">
        <v>147</v>
      </c>
      <c r="B1339" s="3">
        <v>45444</v>
      </c>
    </row>
    <row r="1340" spans="1:2" ht="15" customHeight="1" x14ac:dyDescent="0.3">
      <c r="A1340" t="s">
        <v>147</v>
      </c>
      <c r="B1340" s="3">
        <v>45474</v>
      </c>
    </row>
    <row r="1341" spans="1:2" ht="15" customHeight="1" x14ac:dyDescent="0.3">
      <c r="A1341" t="s">
        <v>147</v>
      </c>
      <c r="B1341" s="3">
        <v>45505</v>
      </c>
    </row>
    <row r="1342" spans="1:2" ht="15" customHeight="1" x14ac:dyDescent="0.3">
      <c r="A1342" t="s">
        <v>147</v>
      </c>
      <c r="B1342" s="3">
        <v>45536</v>
      </c>
    </row>
    <row r="1343" spans="1:2" ht="15" customHeight="1" x14ac:dyDescent="0.3">
      <c r="A1343" t="s">
        <v>147</v>
      </c>
      <c r="B1343" s="3">
        <v>45566</v>
      </c>
    </row>
    <row r="1344" spans="1:2" ht="15" customHeight="1" x14ac:dyDescent="0.3">
      <c r="A1344" t="s">
        <v>147</v>
      </c>
      <c r="B1344" s="3">
        <v>45597</v>
      </c>
    </row>
    <row r="1345" spans="1:3" ht="15" customHeight="1" x14ac:dyDescent="0.3">
      <c r="A1345" t="s">
        <v>147</v>
      </c>
      <c r="B1345" s="3">
        <v>45627</v>
      </c>
    </row>
    <row r="1346" spans="1:3" ht="15" customHeight="1" x14ac:dyDescent="0.3">
      <c r="A1346" t="s">
        <v>147</v>
      </c>
      <c r="B1346" s="3">
        <v>45658</v>
      </c>
      <c r="C1346">
        <v>21130</v>
      </c>
    </row>
    <row r="1347" spans="1:3" ht="15" customHeight="1" x14ac:dyDescent="0.3">
      <c r="A1347" t="s">
        <v>147</v>
      </c>
      <c r="B1347" s="3">
        <v>45689</v>
      </c>
      <c r="C1347">
        <v>17140</v>
      </c>
    </row>
    <row r="1348" spans="1:3" ht="15" customHeight="1" x14ac:dyDescent="0.3">
      <c r="A1348" t="s">
        <v>147</v>
      </c>
      <c r="B1348" s="3">
        <v>45717</v>
      </c>
    </row>
    <row r="1349" spans="1:3" ht="15" customHeight="1" x14ac:dyDescent="0.3">
      <c r="A1349" t="s">
        <v>147</v>
      </c>
      <c r="B1349" s="3">
        <v>45748</v>
      </c>
    </row>
    <row r="1350" spans="1:3" ht="15" customHeight="1" x14ac:dyDescent="0.3">
      <c r="A1350" t="s">
        <v>147</v>
      </c>
      <c r="B1350" s="3">
        <v>45778</v>
      </c>
    </row>
    <row r="1351" spans="1:3" ht="15" customHeight="1" x14ac:dyDescent="0.3">
      <c r="A1351" t="s">
        <v>147</v>
      </c>
      <c r="B1351" s="3">
        <v>45809</v>
      </c>
    </row>
    <row r="1352" spans="1:3" ht="15" customHeight="1" x14ac:dyDescent="0.3">
      <c r="A1352" t="s">
        <v>147</v>
      </c>
      <c r="B1352" s="3">
        <v>45839</v>
      </c>
    </row>
    <row r="1353" spans="1:3" ht="15" customHeight="1" x14ac:dyDescent="0.3">
      <c r="A1353" t="s">
        <v>147</v>
      </c>
      <c r="B1353" s="3">
        <v>45870</v>
      </c>
    </row>
    <row r="1354" spans="1:3" ht="15" customHeight="1" x14ac:dyDescent="0.3">
      <c r="A1354" t="s">
        <v>147</v>
      </c>
      <c r="B1354" s="3">
        <v>45901</v>
      </c>
    </row>
    <row r="1355" spans="1:3" ht="15" customHeight="1" x14ac:dyDescent="0.3">
      <c r="A1355" t="s">
        <v>147</v>
      </c>
      <c r="B1355" s="3">
        <v>45931</v>
      </c>
    </row>
    <row r="1356" spans="1:3" ht="15" customHeight="1" x14ac:dyDescent="0.3">
      <c r="A1356" t="s">
        <v>147</v>
      </c>
      <c r="B1356" s="3">
        <v>45962</v>
      </c>
    </row>
    <row r="1357" spans="1:3" ht="15" customHeight="1" x14ac:dyDescent="0.3">
      <c r="A1357" t="s">
        <v>147</v>
      </c>
      <c r="B1357" s="3">
        <v>45992</v>
      </c>
    </row>
    <row r="1358" spans="1:3" ht="15" customHeight="1" x14ac:dyDescent="0.3">
      <c r="A1358" t="s">
        <v>147</v>
      </c>
      <c r="B1358" s="3">
        <v>46023</v>
      </c>
      <c r="C1358">
        <v>9830</v>
      </c>
    </row>
    <row r="1359" spans="1:3" ht="15" customHeight="1" x14ac:dyDescent="0.3">
      <c r="A1359" t="s">
        <v>147</v>
      </c>
      <c r="B1359" s="3">
        <v>46054</v>
      </c>
      <c r="C1359">
        <v>20200</v>
      </c>
    </row>
    <row r="1360" spans="1:3" ht="15" customHeight="1" x14ac:dyDescent="0.3">
      <c r="A1360" t="s">
        <v>147</v>
      </c>
      <c r="B1360" s="3">
        <v>46082</v>
      </c>
      <c r="C1360">
        <v>16198</v>
      </c>
    </row>
    <row r="1361" spans="1:3" ht="15" customHeight="1" x14ac:dyDescent="0.3">
      <c r="A1361" t="s">
        <v>147</v>
      </c>
      <c r="B1361" s="3">
        <v>46113</v>
      </c>
    </row>
    <row r="1362" spans="1:3" ht="15" customHeight="1" x14ac:dyDescent="0.3">
      <c r="A1362" t="s">
        <v>147</v>
      </c>
      <c r="B1362" s="3">
        <v>46143</v>
      </c>
      <c r="C1362" s="13"/>
    </row>
    <row r="1363" spans="1:3" ht="15" customHeight="1" x14ac:dyDescent="0.3">
      <c r="A1363" t="s">
        <v>147</v>
      </c>
      <c r="B1363" s="3">
        <v>46174</v>
      </c>
    </row>
    <row r="1364" spans="1:3" ht="15" customHeight="1" x14ac:dyDescent="0.3">
      <c r="A1364" t="s">
        <v>147</v>
      </c>
      <c r="B1364" s="3">
        <v>46204</v>
      </c>
    </row>
    <row r="1365" spans="1:3" ht="15" customHeight="1" x14ac:dyDescent="0.3">
      <c r="A1365" t="s">
        <v>147</v>
      </c>
      <c r="B1365" s="3">
        <v>46235</v>
      </c>
    </row>
    <row r="1366" spans="1:3" ht="15" customHeight="1" x14ac:dyDescent="0.3">
      <c r="A1366" t="s">
        <v>147</v>
      </c>
      <c r="B1366" s="3">
        <v>46266</v>
      </c>
    </row>
    <row r="1367" spans="1:3" ht="15" customHeight="1" x14ac:dyDescent="0.3">
      <c r="A1367" t="s">
        <v>147</v>
      </c>
      <c r="B1367" s="3">
        <v>46296</v>
      </c>
    </row>
    <row r="1368" spans="1:3" ht="15" customHeight="1" x14ac:dyDescent="0.3">
      <c r="A1368" t="s">
        <v>147</v>
      </c>
      <c r="B1368" s="3">
        <v>46327</v>
      </c>
    </row>
    <row r="1369" spans="1:3" ht="15" customHeight="1" x14ac:dyDescent="0.3">
      <c r="A1369" t="s">
        <v>147</v>
      </c>
      <c r="B1369" s="3">
        <v>46357</v>
      </c>
    </row>
    <row r="1370" spans="1:3" ht="15" customHeight="1" x14ac:dyDescent="0.3">
      <c r="A1370" t="s">
        <v>233</v>
      </c>
      <c r="B1370" s="3">
        <v>45292</v>
      </c>
    </row>
    <row r="1371" spans="1:3" ht="15" customHeight="1" x14ac:dyDescent="0.3">
      <c r="A1371" t="s">
        <v>233</v>
      </c>
      <c r="B1371" s="3">
        <v>45323</v>
      </c>
    </row>
    <row r="1372" spans="1:3" ht="15" customHeight="1" x14ac:dyDescent="0.3">
      <c r="A1372" t="s">
        <v>233</v>
      </c>
      <c r="B1372" s="3">
        <v>45352</v>
      </c>
    </row>
    <row r="1373" spans="1:3" ht="15" customHeight="1" x14ac:dyDescent="0.3">
      <c r="A1373" t="s">
        <v>233</v>
      </c>
      <c r="B1373" s="3">
        <v>45383</v>
      </c>
    </row>
    <row r="1374" spans="1:3" ht="15" customHeight="1" x14ac:dyDescent="0.3">
      <c r="A1374" t="s">
        <v>233</v>
      </c>
      <c r="B1374" s="3">
        <v>45413</v>
      </c>
    </row>
    <row r="1375" spans="1:3" ht="15" customHeight="1" x14ac:dyDescent="0.3">
      <c r="A1375" t="s">
        <v>233</v>
      </c>
      <c r="B1375" s="3">
        <v>45444</v>
      </c>
    </row>
    <row r="1376" spans="1:3" ht="15" customHeight="1" x14ac:dyDescent="0.3">
      <c r="A1376" t="s">
        <v>233</v>
      </c>
      <c r="B1376" s="3">
        <v>45474</v>
      </c>
    </row>
    <row r="1377" spans="1:3" ht="15" customHeight="1" x14ac:dyDescent="0.3">
      <c r="A1377" t="s">
        <v>233</v>
      </c>
      <c r="B1377" s="3">
        <v>45505</v>
      </c>
    </row>
    <row r="1378" spans="1:3" ht="15" customHeight="1" x14ac:dyDescent="0.3">
      <c r="A1378" t="s">
        <v>233</v>
      </c>
      <c r="B1378" s="3">
        <v>45536</v>
      </c>
    </row>
    <row r="1379" spans="1:3" ht="15" customHeight="1" x14ac:dyDescent="0.3">
      <c r="A1379" t="s">
        <v>233</v>
      </c>
      <c r="B1379" s="3">
        <v>45566</v>
      </c>
    </row>
    <row r="1380" spans="1:3" ht="15" customHeight="1" x14ac:dyDescent="0.3">
      <c r="A1380" t="s">
        <v>233</v>
      </c>
      <c r="B1380" s="3">
        <v>45597</v>
      </c>
    </row>
    <row r="1381" spans="1:3" ht="15" customHeight="1" x14ac:dyDescent="0.3">
      <c r="A1381" t="s">
        <v>233</v>
      </c>
      <c r="B1381" s="3">
        <v>45627</v>
      </c>
    </row>
    <row r="1382" spans="1:3" ht="15" customHeight="1" x14ac:dyDescent="0.3">
      <c r="A1382" t="s">
        <v>233</v>
      </c>
      <c r="B1382" s="3">
        <v>45658</v>
      </c>
    </row>
    <row r="1383" spans="1:3" ht="15" customHeight="1" x14ac:dyDescent="0.3">
      <c r="A1383" t="s">
        <v>233</v>
      </c>
      <c r="B1383" s="3">
        <v>45689</v>
      </c>
    </row>
    <row r="1384" spans="1:3" ht="15" customHeight="1" x14ac:dyDescent="0.3">
      <c r="A1384" t="s">
        <v>233</v>
      </c>
      <c r="B1384" s="3">
        <v>45717</v>
      </c>
    </row>
    <row r="1385" spans="1:3" ht="15" customHeight="1" x14ac:dyDescent="0.3">
      <c r="A1385" t="s">
        <v>233</v>
      </c>
      <c r="B1385" s="3">
        <v>45748</v>
      </c>
    </row>
    <row r="1386" spans="1:3" ht="15" customHeight="1" x14ac:dyDescent="0.3">
      <c r="A1386" t="s">
        <v>233</v>
      </c>
      <c r="B1386" s="3">
        <v>45778</v>
      </c>
    </row>
    <row r="1387" spans="1:3" ht="15" customHeight="1" x14ac:dyDescent="0.3">
      <c r="A1387" t="s">
        <v>233</v>
      </c>
      <c r="B1387" s="3">
        <v>45809</v>
      </c>
    </row>
    <row r="1388" spans="1:3" ht="15" customHeight="1" x14ac:dyDescent="0.3">
      <c r="A1388" t="s">
        <v>233</v>
      </c>
      <c r="B1388" s="3">
        <v>45839</v>
      </c>
    </row>
    <row r="1389" spans="1:3" ht="15" customHeight="1" x14ac:dyDescent="0.3">
      <c r="A1389" t="s">
        <v>233</v>
      </c>
      <c r="B1389" s="3">
        <v>45870</v>
      </c>
    </row>
    <row r="1390" spans="1:3" ht="15" customHeight="1" x14ac:dyDescent="0.3">
      <c r="A1390" t="s">
        <v>233</v>
      </c>
      <c r="B1390" s="3">
        <v>45901</v>
      </c>
    </row>
    <row r="1391" spans="1:3" ht="15" customHeight="1" x14ac:dyDescent="0.3">
      <c r="A1391" t="s">
        <v>233</v>
      </c>
      <c r="B1391" s="3">
        <v>45931</v>
      </c>
      <c r="C1391">
        <v>42200</v>
      </c>
    </row>
    <row r="1392" spans="1:3" ht="15" customHeight="1" x14ac:dyDescent="0.3">
      <c r="A1392" t="s">
        <v>233</v>
      </c>
      <c r="B1392" s="3">
        <v>45962</v>
      </c>
      <c r="C1392">
        <v>37652</v>
      </c>
    </row>
    <row r="1393" spans="1:3" ht="15" customHeight="1" x14ac:dyDescent="0.3">
      <c r="A1393" t="s">
        <v>233</v>
      </c>
      <c r="B1393" s="3">
        <v>45992</v>
      </c>
      <c r="C1393">
        <v>32569</v>
      </c>
    </row>
    <row r="1394" spans="1:3" ht="15" customHeight="1" x14ac:dyDescent="0.3">
      <c r="A1394" t="s">
        <v>233</v>
      </c>
      <c r="B1394" s="3">
        <v>46023</v>
      </c>
      <c r="C1394">
        <v>43979.9977</v>
      </c>
    </row>
    <row r="1395" spans="1:3" ht="15" customHeight="1" x14ac:dyDescent="0.3">
      <c r="A1395" t="s">
        <v>233</v>
      </c>
      <c r="B1395" s="3">
        <v>46054</v>
      </c>
      <c r="C1395">
        <v>35538.487300000001</v>
      </c>
    </row>
    <row r="1396" spans="1:3" ht="15" customHeight="1" x14ac:dyDescent="0.3">
      <c r="A1396" t="s">
        <v>233</v>
      </c>
      <c r="B1396" s="3">
        <v>46082</v>
      </c>
      <c r="C1396">
        <v>34079</v>
      </c>
    </row>
    <row r="1397" spans="1:3" ht="15" customHeight="1" x14ac:dyDescent="0.3">
      <c r="A1397" t="s">
        <v>233</v>
      </c>
      <c r="B1397" s="3">
        <v>46113</v>
      </c>
      <c r="C1397">
        <v>26385.27</v>
      </c>
    </row>
    <row r="1398" spans="1:3" ht="15" customHeight="1" x14ac:dyDescent="0.3">
      <c r="A1398" t="s">
        <v>233</v>
      </c>
      <c r="B1398" s="3">
        <v>46143</v>
      </c>
      <c r="C1398" s="13">
        <v>29535.200000000001</v>
      </c>
    </row>
    <row r="1399" spans="1:3" ht="15" customHeight="1" x14ac:dyDescent="0.3">
      <c r="A1399" t="s">
        <v>233</v>
      </c>
      <c r="B1399" s="3">
        <v>46174</v>
      </c>
    </row>
    <row r="1400" spans="1:3" ht="15" customHeight="1" x14ac:dyDescent="0.3">
      <c r="A1400" t="s">
        <v>233</v>
      </c>
      <c r="B1400" s="3">
        <v>46204</v>
      </c>
    </row>
    <row r="1401" spans="1:3" ht="15" customHeight="1" x14ac:dyDescent="0.3">
      <c r="A1401" t="s">
        <v>233</v>
      </c>
      <c r="B1401" s="3">
        <v>46235</v>
      </c>
    </row>
    <row r="1402" spans="1:3" ht="15" customHeight="1" x14ac:dyDescent="0.3">
      <c r="A1402" t="s">
        <v>233</v>
      </c>
      <c r="B1402" s="3">
        <v>46266</v>
      </c>
    </row>
    <row r="1403" spans="1:3" ht="15" customHeight="1" x14ac:dyDescent="0.3">
      <c r="A1403" t="s">
        <v>233</v>
      </c>
      <c r="B1403" s="3">
        <v>46296</v>
      </c>
    </row>
    <row r="1404" spans="1:3" ht="15" customHeight="1" x14ac:dyDescent="0.3">
      <c r="A1404" t="s">
        <v>233</v>
      </c>
      <c r="B1404" s="3">
        <v>46327</v>
      </c>
    </row>
    <row r="1405" spans="1:3" ht="15" customHeight="1" x14ac:dyDescent="0.3">
      <c r="A1405" t="s">
        <v>233</v>
      </c>
      <c r="B1405" s="3">
        <v>46357</v>
      </c>
    </row>
    <row r="1406" spans="1:3" ht="15" customHeight="1" x14ac:dyDescent="0.3">
      <c r="A1406" t="s">
        <v>235</v>
      </c>
      <c r="B1406" s="3">
        <v>45292</v>
      </c>
    </row>
    <row r="1407" spans="1:3" ht="15" customHeight="1" x14ac:dyDescent="0.3">
      <c r="A1407" t="s">
        <v>235</v>
      </c>
      <c r="B1407" s="3">
        <v>45323</v>
      </c>
    </row>
    <row r="1408" spans="1:3" ht="15" customHeight="1" x14ac:dyDescent="0.3">
      <c r="A1408" t="s">
        <v>235</v>
      </c>
      <c r="B1408" s="3">
        <v>45352</v>
      </c>
    </row>
    <row r="1409" spans="1:2" ht="15" customHeight="1" x14ac:dyDescent="0.3">
      <c r="A1409" t="s">
        <v>235</v>
      </c>
      <c r="B1409" s="3">
        <v>45383</v>
      </c>
    </row>
    <row r="1410" spans="1:2" ht="15" customHeight="1" x14ac:dyDescent="0.3">
      <c r="A1410" t="s">
        <v>235</v>
      </c>
      <c r="B1410" s="3">
        <v>45413</v>
      </c>
    </row>
    <row r="1411" spans="1:2" ht="15" customHeight="1" x14ac:dyDescent="0.3">
      <c r="A1411" t="s">
        <v>235</v>
      </c>
      <c r="B1411" s="3">
        <v>45444</v>
      </c>
    </row>
    <row r="1412" spans="1:2" ht="15" customHeight="1" x14ac:dyDescent="0.3">
      <c r="A1412" t="s">
        <v>235</v>
      </c>
      <c r="B1412" s="3">
        <v>45474</v>
      </c>
    </row>
    <row r="1413" spans="1:2" ht="15" customHeight="1" x14ac:dyDescent="0.3">
      <c r="A1413" t="s">
        <v>235</v>
      </c>
      <c r="B1413" s="3">
        <v>45505</v>
      </c>
    </row>
    <row r="1414" spans="1:2" ht="15" customHeight="1" x14ac:dyDescent="0.3">
      <c r="A1414" t="s">
        <v>235</v>
      </c>
      <c r="B1414" s="3">
        <v>45536</v>
      </c>
    </row>
    <row r="1415" spans="1:2" ht="15" customHeight="1" x14ac:dyDescent="0.3">
      <c r="A1415" t="s">
        <v>235</v>
      </c>
      <c r="B1415" s="3">
        <v>45566</v>
      </c>
    </row>
    <row r="1416" spans="1:2" ht="15" customHeight="1" x14ac:dyDescent="0.3">
      <c r="A1416" t="s">
        <v>235</v>
      </c>
      <c r="B1416" s="3">
        <v>45597</v>
      </c>
    </row>
    <row r="1417" spans="1:2" ht="15" customHeight="1" x14ac:dyDescent="0.3">
      <c r="A1417" t="s">
        <v>235</v>
      </c>
      <c r="B1417" s="3">
        <v>45627</v>
      </c>
    </row>
    <row r="1418" spans="1:2" ht="15" customHeight="1" x14ac:dyDescent="0.3">
      <c r="A1418" t="s">
        <v>235</v>
      </c>
      <c r="B1418" s="3">
        <v>45658</v>
      </c>
    </row>
    <row r="1419" spans="1:2" ht="15" customHeight="1" x14ac:dyDescent="0.3">
      <c r="A1419" t="s">
        <v>235</v>
      </c>
      <c r="B1419" s="3">
        <v>45689</v>
      </c>
    </row>
    <row r="1420" spans="1:2" ht="15" customHeight="1" x14ac:dyDescent="0.3">
      <c r="A1420" t="s">
        <v>235</v>
      </c>
      <c r="B1420" s="3">
        <v>45717</v>
      </c>
    </row>
    <row r="1421" spans="1:2" ht="15" customHeight="1" x14ac:dyDescent="0.3">
      <c r="A1421" t="s">
        <v>235</v>
      </c>
      <c r="B1421" s="3">
        <v>45748</v>
      </c>
    </row>
    <row r="1422" spans="1:2" ht="15" customHeight="1" x14ac:dyDescent="0.3">
      <c r="A1422" t="s">
        <v>235</v>
      </c>
      <c r="B1422" s="3">
        <v>45778</v>
      </c>
    </row>
    <row r="1423" spans="1:2" ht="15" customHeight="1" x14ac:dyDescent="0.3">
      <c r="A1423" t="s">
        <v>235</v>
      </c>
      <c r="B1423" s="3">
        <v>45809</v>
      </c>
    </row>
    <row r="1424" spans="1:2" ht="15" customHeight="1" x14ac:dyDescent="0.3">
      <c r="A1424" t="s">
        <v>235</v>
      </c>
      <c r="B1424" s="3">
        <v>45839</v>
      </c>
    </row>
    <row r="1425" spans="1:3" ht="15" customHeight="1" x14ac:dyDescent="0.3">
      <c r="A1425" t="s">
        <v>235</v>
      </c>
      <c r="B1425" s="3">
        <v>45870</v>
      </c>
    </row>
    <row r="1426" spans="1:3" ht="15" customHeight="1" x14ac:dyDescent="0.3">
      <c r="A1426" t="s">
        <v>235</v>
      </c>
      <c r="B1426" s="3">
        <v>45901</v>
      </c>
    </row>
    <row r="1427" spans="1:3" ht="15" customHeight="1" x14ac:dyDescent="0.3">
      <c r="A1427" t="s">
        <v>235</v>
      </c>
      <c r="B1427" s="3">
        <v>45931</v>
      </c>
      <c r="C1427">
        <v>11800</v>
      </c>
    </row>
    <row r="1428" spans="1:3" ht="15" customHeight="1" x14ac:dyDescent="0.3">
      <c r="A1428" t="s">
        <v>235</v>
      </c>
      <c r="B1428" s="3">
        <v>45962</v>
      </c>
      <c r="C1428">
        <v>9938</v>
      </c>
    </row>
    <row r="1429" spans="1:3" ht="15" customHeight="1" x14ac:dyDescent="0.3">
      <c r="A1429" t="s">
        <v>235</v>
      </c>
      <c r="B1429" s="3">
        <v>45992</v>
      </c>
      <c r="C1429">
        <v>9094</v>
      </c>
    </row>
    <row r="1430" spans="1:3" ht="15" customHeight="1" x14ac:dyDescent="0.3">
      <c r="A1430" t="s">
        <v>235</v>
      </c>
      <c r="B1430" s="3">
        <v>46023</v>
      </c>
      <c r="C1430">
        <v>11835.67402</v>
      </c>
    </row>
    <row r="1431" spans="1:3" ht="15" customHeight="1" x14ac:dyDescent="0.3">
      <c r="A1431" t="s">
        <v>235</v>
      </c>
      <c r="B1431" s="3">
        <v>46054</v>
      </c>
      <c r="C1431">
        <v>9479.8287500000097</v>
      </c>
    </row>
    <row r="1432" spans="1:3" ht="15" customHeight="1" x14ac:dyDescent="0.3">
      <c r="A1432" t="s">
        <v>235</v>
      </c>
      <c r="B1432" s="3">
        <v>46082</v>
      </c>
      <c r="C1432">
        <v>9043</v>
      </c>
    </row>
    <row r="1433" spans="1:3" ht="15" customHeight="1" x14ac:dyDescent="0.3">
      <c r="A1433" t="s">
        <v>235</v>
      </c>
      <c r="B1433" s="3">
        <v>46113</v>
      </c>
      <c r="C1433">
        <v>7039.32</v>
      </c>
    </row>
    <row r="1434" spans="1:3" ht="15" customHeight="1" x14ac:dyDescent="0.3">
      <c r="A1434" t="s">
        <v>235</v>
      </c>
      <c r="B1434" s="3">
        <v>46143</v>
      </c>
      <c r="C1434" s="13">
        <v>8144.81</v>
      </c>
    </row>
    <row r="1435" spans="1:3" ht="15" customHeight="1" x14ac:dyDescent="0.3">
      <c r="A1435" t="s">
        <v>235</v>
      </c>
      <c r="B1435" s="3">
        <v>46174</v>
      </c>
    </row>
    <row r="1436" spans="1:3" ht="15" customHeight="1" x14ac:dyDescent="0.3">
      <c r="A1436" t="s">
        <v>235</v>
      </c>
      <c r="B1436" s="3">
        <v>46204</v>
      </c>
    </row>
    <row r="1437" spans="1:3" ht="15" customHeight="1" x14ac:dyDescent="0.3">
      <c r="A1437" t="s">
        <v>235</v>
      </c>
      <c r="B1437" s="3">
        <v>46235</v>
      </c>
    </row>
    <row r="1438" spans="1:3" ht="15" customHeight="1" x14ac:dyDescent="0.3">
      <c r="A1438" t="s">
        <v>235</v>
      </c>
      <c r="B1438" s="3">
        <v>46266</v>
      </c>
    </row>
    <row r="1439" spans="1:3" ht="15" customHeight="1" x14ac:dyDescent="0.3">
      <c r="A1439" t="s">
        <v>235</v>
      </c>
      <c r="B1439" s="3">
        <v>46296</v>
      </c>
    </row>
    <row r="1440" spans="1:3" ht="15" customHeight="1" x14ac:dyDescent="0.3">
      <c r="A1440" t="s">
        <v>235</v>
      </c>
      <c r="B1440" s="3">
        <v>46327</v>
      </c>
    </row>
    <row r="1441" spans="1:3" ht="15" customHeight="1" x14ac:dyDescent="0.3">
      <c r="A1441" t="s">
        <v>235</v>
      </c>
      <c r="B1441" s="3">
        <v>46357</v>
      </c>
    </row>
    <row r="1442" spans="1:3" ht="15" customHeight="1" x14ac:dyDescent="0.3">
      <c r="A1442" t="s">
        <v>151</v>
      </c>
      <c r="B1442" s="3">
        <v>45292</v>
      </c>
      <c r="C1442">
        <v>337</v>
      </c>
    </row>
    <row r="1443" spans="1:3" ht="15" customHeight="1" x14ac:dyDescent="0.3">
      <c r="A1443" t="s">
        <v>151</v>
      </c>
      <c r="B1443" s="3">
        <v>45323</v>
      </c>
      <c r="C1443">
        <v>4222</v>
      </c>
    </row>
    <row r="1444" spans="1:3" ht="15" customHeight="1" x14ac:dyDescent="0.3">
      <c r="A1444" t="s">
        <v>151</v>
      </c>
      <c r="B1444" s="3">
        <v>45352</v>
      </c>
      <c r="C1444">
        <v>5410</v>
      </c>
    </row>
    <row r="1445" spans="1:3" ht="15" customHeight="1" x14ac:dyDescent="0.3">
      <c r="A1445" t="s">
        <v>151</v>
      </c>
      <c r="B1445" s="3">
        <v>45383</v>
      </c>
      <c r="C1445">
        <v>4799</v>
      </c>
    </row>
    <row r="1446" spans="1:3" ht="15" customHeight="1" x14ac:dyDescent="0.3">
      <c r="A1446" t="s">
        <v>151</v>
      </c>
      <c r="B1446" s="3">
        <v>45413</v>
      </c>
      <c r="C1446">
        <v>4368</v>
      </c>
    </row>
    <row r="1447" spans="1:3" ht="15" customHeight="1" x14ac:dyDescent="0.3">
      <c r="A1447" t="s">
        <v>151</v>
      </c>
      <c r="B1447" s="3">
        <v>45444</v>
      </c>
      <c r="C1447">
        <v>3307</v>
      </c>
    </row>
    <row r="1448" spans="1:3" ht="15" customHeight="1" x14ac:dyDescent="0.3">
      <c r="A1448" t="s">
        <v>151</v>
      </c>
      <c r="B1448" s="3">
        <v>45474</v>
      </c>
      <c r="C1448">
        <v>3819</v>
      </c>
    </row>
    <row r="1449" spans="1:3" ht="15" customHeight="1" x14ac:dyDescent="0.3">
      <c r="A1449" t="s">
        <v>151</v>
      </c>
      <c r="B1449" s="3">
        <v>45505</v>
      </c>
      <c r="C1449">
        <v>5147</v>
      </c>
    </row>
    <row r="1450" spans="1:3" ht="15" customHeight="1" x14ac:dyDescent="0.3">
      <c r="A1450" t="s">
        <v>151</v>
      </c>
      <c r="B1450" s="3">
        <v>45536</v>
      </c>
      <c r="C1450">
        <v>4101</v>
      </c>
    </row>
    <row r="1451" spans="1:3" ht="15" customHeight="1" x14ac:dyDescent="0.3">
      <c r="A1451" t="s">
        <v>151</v>
      </c>
      <c r="B1451" s="3">
        <v>45566</v>
      </c>
      <c r="C1451">
        <v>6591</v>
      </c>
    </row>
    <row r="1452" spans="1:3" ht="15" customHeight="1" x14ac:dyDescent="0.3">
      <c r="A1452" t="s">
        <v>151</v>
      </c>
      <c r="B1452" s="3">
        <v>45597</v>
      </c>
      <c r="C1452">
        <v>4960</v>
      </c>
    </row>
    <row r="1453" spans="1:3" ht="15" customHeight="1" x14ac:dyDescent="0.3">
      <c r="A1453" t="s">
        <v>151</v>
      </c>
      <c r="B1453" s="3">
        <v>45627</v>
      </c>
      <c r="C1453">
        <v>652</v>
      </c>
    </row>
    <row r="1454" spans="1:3" ht="15" customHeight="1" x14ac:dyDescent="0.3">
      <c r="A1454" t="s">
        <v>151</v>
      </c>
      <c r="B1454" s="3">
        <v>45658</v>
      </c>
      <c r="C1454">
        <v>720</v>
      </c>
    </row>
    <row r="1455" spans="1:3" ht="15" customHeight="1" x14ac:dyDescent="0.3">
      <c r="A1455" t="s">
        <v>151</v>
      </c>
      <c r="B1455" s="3">
        <v>45689</v>
      </c>
      <c r="C1455">
        <v>3776</v>
      </c>
    </row>
    <row r="1456" spans="1:3" ht="15" customHeight="1" x14ac:dyDescent="0.3">
      <c r="A1456" t="s">
        <v>151</v>
      </c>
      <c r="B1456" s="3">
        <v>45717</v>
      </c>
      <c r="C1456">
        <v>4415</v>
      </c>
    </row>
    <row r="1457" spans="1:3" ht="15" customHeight="1" x14ac:dyDescent="0.3">
      <c r="A1457" t="s">
        <v>151</v>
      </c>
      <c r="B1457" s="3">
        <v>45748</v>
      </c>
      <c r="C1457">
        <v>3551</v>
      </c>
    </row>
    <row r="1458" spans="1:3" ht="15" customHeight="1" x14ac:dyDescent="0.3">
      <c r="A1458" t="s">
        <v>151</v>
      </c>
      <c r="B1458" s="3">
        <v>45778</v>
      </c>
      <c r="C1458">
        <v>4580</v>
      </c>
    </row>
    <row r="1459" spans="1:3" ht="15" customHeight="1" x14ac:dyDescent="0.3">
      <c r="A1459" t="s">
        <v>151</v>
      </c>
      <c r="B1459" s="3">
        <v>45809</v>
      </c>
      <c r="C1459">
        <v>3965.8</v>
      </c>
    </row>
    <row r="1460" spans="1:3" ht="15" customHeight="1" x14ac:dyDescent="0.3">
      <c r="A1460" t="s">
        <v>151</v>
      </c>
      <c r="B1460" s="3">
        <v>45839</v>
      </c>
      <c r="C1460">
        <v>4015</v>
      </c>
    </row>
    <row r="1461" spans="1:3" ht="15" customHeight="1" x14ac:dyDescent="0.3">
      <c r="A1461" t="s">
        <v>151</v>
      </c>
      <c r="B1461" s="3">
        <v>45870</v>
      </c>
      <c r="C1461">
        <v>4593</v>
      </c>
    </row>
    <row r="1462" spans="1:3" ht="15" customHeight="1" x14ac:dyDescent="0.3">
      <c r="A1462" t="s">
        <v>151</v>
      </c>
      <c r="B1462" s="3">
        <v>45901</v>
      </c>
      <c r="C1462">
        <v>4428</v>
      </c>
    </row>
    <row r="1463" spans="1:3" ht="15" customHeight="1" x14ac:dyDescent="0.3">
      <c r="A1463" t="s">
        <v>151</v>
      </c>
      <c r="B1463" s="3">
        <v>45931</v>
      </c>
      <c r="C1463">
        <v>6002</v>
      </c>
    </row>
    <row r="1464" spans="1:3" ht="15" customHeight="1" x14ac:dyDescent="0.3">
      <c r="A1464" t="s">
        <v>151</v>
      </c>
      <c r="B1464" s="3">
        <v>45962</v>
      </c>
      <c r="C1464">
        <v>4286</v>
      </c>
    </row>
    <row r="1465" spans="1:3" ht="15" customHeight="1" x14ac:dyDescent="0.3">
      <c r="A1465" t="s">
        <v>151</v>
      </c>
      <c r="B1465" s="3">
        <v>45992</v>
      </c>
      <c r="C1465">
        <v>985</v>
      </c>
    </row>
    <row r="1466" spans="1:3" ht="15" customHeight="1" x14ac:dyDescent="0.3">
      <c r="A1466" t="s">
        <v>151</v>
      </c>
      <c r="B1466" s="3">
        <v>46023</v>
      </c>
      <c r="C1466">
        <v>1496.8</v>
      </c>
    </row>
    <row r="1467" spans="1:3" ht="15" customHeight="1" x14ac:dyDescent="0.3">
      <c r="A1467" t="s">
        <v>151</v>
      </c>
      <c r="B1467" s="3">
        <v>46054</v>
      </c>
      <c r="C1467">
        <v>4735</v>
      </c>
    </row>
    <row r="1468" spans="1:3" ht="15" customHeight="1" x14ac:dyDescent="0.3">
      <c r="A1468" t="s">
        <v>151</v>
      </c>
      <c r="B1468" s="3">
        <v>46082</v>
      </c>
      <c r="C1468">
        <v>4747</v>
      </c>
    </row>
    <row r="1469" spans="1:3" ht="15" customHeight="1" x14ac:dyDescent="0.3">
      <c r="A1469" t="s">
        <v>151</v>
      </c>
      <c r="B1469" s="3">
        <v>46113</v>
      </c>
      <c r="C1469">
        <v>4036.9</v>
      </c>
    </row>
    <row r="1470" spans="1:3" ht="15" customHeight="1" x14ac:dyDescent="0.3">
      <c r="A1470" t="s">
        <v>151</v>
      </c>
      <c r="B1470" s="3">
        <v>46143</v>
      </c>
      <c r="C1470" s="13">
        <v>4180</v>
      </c>
    </row>
    <row r="1471" spans="1:3" ht="15" customHeight="1" x14ac:dyDescent="0.3">
      <c r="A1471" t="s">
        <v>151</v>
      </c>
      <c r="B1471" s="3">
        <v>46174</v>
      </c>
    </row>
    <row r="1472" spans="1:3" ht="15" customHeight="1" x14ac:dyDescent="0.3">
      <c r="A1472" t="s">
        <v>151</v>
      </c>
      <c r="B1472" s="3">
        <v>46204</v>
      </c>
    </row>
    <row r="1473" spans="1:3" ht="15" customHeight="1" x14ac:dyDescent="0.3">
      <c r="A1473" t="s">
        <v>151</v>
      </c>
      <c r="B1473" s="3">
        <v>46235</v>
      </c>
    </row>
    <row r="1474" spans="1:3" ht="15" customHeight="1" x14ac:dyDescent="0.3">
      <c r="A1474" t="s">
        <v>151</v>
      </c>
      <c r="B1474" s="3">
        <v>46266</v>
      </c>
    </row>
    <row r="1475" spans="1:3" ht="15" customHeight="1" x14ac:dyDescent="0.3">
      <c r="A1475" t="s">
        <v>151</v>
      </c>
      <c r="B1475" s="3">
        <v>46296</v>
      </c>
    </row>
    <row r="1476" spans="1:3" ht="15" customHeight="1" x14ac:dyDescent="0.3">
      <c r="A1476" t="s">
        <v>151</v>
      </c>
      <c r="B1476" s="3">
        <v>46327</v>
      </c>
    </row>
    <row r="1477" spans="1:3" ht="15" customHeight="1" x14ac:dyDescent="0.3">
      <c r="A1477" t="s">
        <v>151</v>
      </c>
      <c r="B1477" s="3">
        <v>46357</v>
      </c>
    </row>
    <row r="1478" spans="1:3" ht="15" customHeight="1" x14ac:dyDescent="0.3">
      <c r="A1478" t="s">
        <v>155</v>
      </c>
      <c r="B1478" s="3">
        <v>45292</v>
      </c>
      <c r="C1478">
        <v>27336</v>
      </c>
    </row>
    <row r="1479" spans="1:3" ht="15" customHeight="1" x14ac:dyDescent="0.3">
      <c r="A1479" t="s">
        <v>155</v>
      </c>
      <c r="B1479" s="3">
        <v>45323</v>
      </c>
      <c r="C1479">
        <v>34673</v>
      </c>
    </row>
    <row r="1480" spans="1:3" ht="15" customHeight="1" x14ac:dyDescent="0.3">
      <c r="A1480" t="s">
        <v>155</v>
      </c>
      <c r="B1480" s="3">
        <v>45352</v>
      </c>
      <c r="C1480">
        <v>35335</v>
      </c>
    </row>
    <row r="1481" spans="1:3" ht="15" customHeight="1" x14ac:dyDescent="0.3">
      <c r="A1481" t="s">
        <v>155</v>
      </c>
      <c r="B1481" s="3">
        <v>45383</v>
      </c>
      <c r="C1481">
        <v>23354</v>
      </c>
    </row>
    <row r="1482" spans="1:3" ht="15" customHeight="1" x14ac:dyDescent="0.3">
      <c r="A1482" t="s">
        <v>155</v>
      </c>
      <c r="B1482" s="3">
        <v>45413</v>
      </c>
      <c r="C1482">
        <v>24682</v>
      </c>
    </row>
    <row r="1483" spans="1:3" ht="15" customHeight="1" x14ac:dyDescent="0.3">
      <c r="A1483" t="s">
        <v>155</v>
      </c>
      <c r="B1483" s="3">
        <v>45444</v>
      </c>
      <c r="C1483">
        <v>21004</v>
      </c>
    </row>
    <row r="1484" spans="1:3" ht="15" customHeight="1" x14ac:dyDescent="0.3">
      <c r="A1484" t="s">
        <v>155</v>
      </c>
      <c r="B1484" s="3">
        <v>45474</v>
      </c>
      <c r="C1484">
        <v>24855</v>
      </c>
    </row>
    <row r="1485" spans="1:3" ht="15" customHeight="1" x14ac:dyDescent="0.3">
      <c r="A1485" t="s">
        <v>155</v>
      </c>
      <c r="B1485" s="3">
        <v>45505</v>
      </c>
      <c r="C1485">
        <v>27804</v>
      </c>
    </row>
    <row r="1486" spans="1:3" ht="15" customHeight="1" x14ac:dyDescent="0.3">
      <c r="A1486" t="s">
        <v>155</v>
      </c>
      <c r="B1486" s="3">
        <v>45536</v>
      </c>
      <c r="C1486">
        <v>24854</v>
      </c>
    </row>
    <row r="1487" spans="1:3" ht="15" customHeight="1" x14ac:dyDescent="0.3">
      <c r="A1487" t="s">
        <v>155</v>
      </c>
      <c r="B1487" s="3">
        <v>45566</v>
      </c>
      <c r="C1487">
        <v>41343</v>
      </c>
    </row>
    <row r="1488" spans="1:3" ht="15" customHeight="1" x14ac:dyDescent="0.3">
      <c r="A1488" t="s">
        <v>155</v>
      </c>
      <c r="B1488" s="3">
        <v>45597</v>
      </c>
      <c r="C1488">
        <v>40614</v>
      </c>
    </row>
    <row r="1489" spans="1:3" ht="15" customHeight="1" x14ac:dyDescent="0.3">
      <c r="A1489" t="s">
        <v>155</v>
      </c>
      <c r="B1489" s="3">
        <v>45627</v>
      </c>
      <c r="C1489">
        <v>20454</v>
      </c>
    </row>
    <row r="1490" spans="1:3" ht="15" customHeight="1" x14ac:dyDescent="0.3">
      <c r="A1490" t="s">
        <v>155</v>
      </c>
      <c r="B1490" s="3">
        <v>45658</v>
      </c>
      <c r="C1490">
        <v>35500</v>
      </c>
    </row>
    <row r="1491" spans="1:3" ht="15" customHeight="1" x14ac:dyDescent="0.3">
      <c r="A1491" t="s">
        <v>155</v>
      </c>
      <c r="B1491" s="3">
        <v>45689</v>
      </c>
      <c r="C1491">
        <v>33170</v>
      </c>
    </row>
    <row r="1492" spans="1:3" ht="15" customHeight="1" x14ac:dyDescent="0.3">
      <c r="A1492" t="s">
        <v>155</v>
      </c>
      <c r="B1492" s="3">
        <v>45717</v>
      </c>
      <c r="C1492">
        <v>29562</v>
      </c>
    </row>
    <row r="1493" spans="1:3" ht="15" customHeight="1" x14ac:dyDescent="0.3">
      <c r="A1493" t="s">
        <v>155</v>
      </c>
      <c r="B1493" s="3">
        <v>45748</v>
      </c>
      <c r="C1493">
        <v>23660</v>
      </c>
    </row>
    <row r="1494" spans="1:3" ht="15" customHeight="1" x14ac:dyDescent="0.3">
      <c r="A1494" t="s">
        <v>155</v>
      </c>
      <c r="B1494" s="3">
        <v>45778</v>
      </c>
      <c r="C1494">
        <v>27021</v>
      </c>
    </row>
    <row r="1495" spans="1:3" ht="15" customHeight="1" x14ac:dyDescent="0.3">
      <c r="A1495" t="s">
        <v>155</v>
      </c>
      <c r="B1495" s="3">
        <v>45809</v>
      </c>
      <c r="C1495">
        <v>23016.87</v>
      </c>
    </row>
    <row r="1496" spans="1:3" ht="15" customHeight="1" x14ac:dyDescent="0.3">
      <c r="A1496" t="s">
        <v>155</v>
      </c>
      <c r="B1496" s="3">
        <v>45839</v>
      </c>
      <c r="C1496">
        <v>23980</v>
      </c>
    </row>
    <row r="1497" spans="1:3" ht="15" customHeight="1" x14ac:dyDescent="0.3">
      <c r="A1497" t="s">
        <v>155</v>
      </c>
      <c r="B1497" s="3">
        <v>45870</v>
      </c>
      <c r="C1497">
        <v>26825</v>
      </c>
    </row>
    <row r="1498" spans="1:3" ht="15" customHeight="1" x14ac:dyDescent="0.3">
      <c r="A1498" t="s">
        <v>155</v>
      </c>
      <c r="B1498" s="3">
        <v>45901</v>
      </c>
      <c r="C1498">
        <v>29989</v>
      </c>
    </row>
    <row r="1499" spans="1:3" ht="15" customHeight="1" x14ac:dyDescent="0.3">
      <c r="A1499" t="s">
        <v>155</v>
      </c>
      <c r="B1499" s="3">
        <v>45931</v>
      </c>
      <c r="C1499">
        <v>39431.18</v>
      </c>
    </row>
    <row r="1500" spans="1:3" ht="15" customHeight="1" x14ac:dyDescent="0.3">
      <c r="A1500" t="s">
        <v>155</v>
      </c>
      <c r="B1500" s="3">
        <v>45962</v>
      </c>
      <c r="C1500">
        <v>36933</v>
      </c>
    </row>
    <row r="1501" spans="1:3" ht="15" customHeight="1" x14ac:dyDescent="0.3">
      <c r="A1501" t="s">
        <v>155</v>
      </c>
      <c r="B1501" s="3">
        <v>45992</v>
      </c>
      <c r="C1501">
        <v>24542</v>
      </c>
    </row>
    <row r="1502" spans="1:3" ht="15" customHeight="1" x14ac:dyDescent="0.3">
      <c r="A1502" t="s">
        <v>155</v>
      </c>
      <c r="B1502" s="3">
        <v>46023</v>
      </c>
      <c r="C1502">
        <v>38558.838300000003</v>
      </c>
    </row>
    <row r="1503" spans="1:3" ht="15" customHeight="1" x14ac:dyDescent="0.3">
      <c r="A1503" t="s">
        <v>155</v>
      </c>
      <c r="B1503" s="3">
        <v>46054</v>
      </c>
      <c r="C1503">
        <v>35289.594859999997</v>
      </c>
    </row>
    <row r="1504" spans="1:3" ht="15" customHeight="1" x14ac:dyDescent="0.3">
      <c r="A1504" t="s">
        <v>155</v>
      </c>
      <c r="B1504" s="3">
        <v>46082</v>
      </c>
      <c r="C1504">
        <v>33082</v>
      </c>
    </row>
    <row r="1505" spans="1:3" ht="15" customHeight="1" x14ac:dyDescent="0.3">
      <c r="A1505" t="s">
        <v>155</v>
      </c>
      <c r="B1505" s="3">
        <v>46113</v>
      </c>
      <c r="C1505">
        <v>26958.67</v>
      </c>
    </row>
    <row r="1506" spans="1:3" ht="15" customHeight="1" x14ac:dyDescent="0.3">
      <c r="A1506" t="s">
        <v>155</v>
      </c>
      <c r="B1506" s="3">
        <v>46143</v>
      </c>
      <c r="C1506" s="13">
        <v>28264.560000000001</v>
      </c>
    </row>
    <row r="1507" spans="1:3" ht="15" customHeight="1" x14ac:dyDescent="0.3">
      <c r="A1507" t="s">
        <v>155</v>
      </c>
      <c r="B1507" s="3">
        <v>46174</v>
      </c>
    </row>
    <row r="1508" spans="1:3" ht="15" customHeight="1" x14ac:dyDescent="0.3">
      <c r="A1508" t="s">
        <v>155</v>
      </c>
      <c r="B1508" s="3">
        <v>46204</v>
      </c>
    </row>
    <row r="1509" spans="1:3" ht="15" customHeight="1" x14ac:dyDescent="0.3">
      <c r="A1509" t="s">
        <v>155</v>
      </c>
      <c r="B1509" s="3">
        <v>46235</v>
      </c>
    </row>
    <row r="1510" spans="1:3" ht="15" customHeight="1" x14ac:dyDescent="0.3">
      <c r="A1510" t="s">
        <v>155</v>
      </c>
      <c r="B1510" s="3">
        <v>46266</v>
      </c>
    </row>
    <row r="1511" spans="1:3" ht="15" customHeight="1" x14ac:dyDescent="0.3">
      <c r="A1511" t="s">
        <v>155</v>
      </c>
      <c r="B1511" s="3">
        <v>46296</v>
      </c>
    </row>
    <row r="1512" spans="1:3" ht="15" customHeight="1" x14ac:dyDescent="0.3">
      <c r="A1512" t="s">
        <v>155</v>
      </c>
      <c r="B1512" s="3">
        <v>46327</v>
      </c>
    </row>
    <row r="1513" spans="1:3" ht="15" customHeight="1" x14ac:dyDescent="0.3">
      <c r="A1513" t="s">
        <v>155</v>
      </c>
      <c r="B1513" s="3">
        <v>46357</v>
      </c>
    </row>
    <row r="1514" spans="1:3" ht="15" customHeight="1" x14ac:dyDescent="0.3">
      <c r="A1514" t="s">
        <v>163</v>
      </c>
      <c r="B1514" s="3">
        <v>45292</v>
      </c>
      <c r="C1514">
        <v>12283</v>
      </c>
    </row>
    <row r="1515" spans="1:3" ht="15" customHeight="1" x14ac:dyDescent="0.3">
      <c r="A1515" t="s">
        <v>163</v>
      </c>
      <c r="B1515" s="3">
        <v>45323</v>
      </c>
      <c r="C1515">
        <v>11752</v>
      </c>
    </row>
    <row r="1516" spans="1:3" ht="15" customHeight="1" x14ac:dyDescent="0.3">
      <c r="A1516" t="s">
        <v>163</v>
      </c>
      <c r="B1516" s="3">
        <v>45352</v>
      </c>
      <c r="C1516">
        <v>11293</v>
      </c>
    </row>
    <row r="1517" spans="1:3" ht="15" customHeight="1" x14ac:dyDescent="0.3">
      <c r="A1517" t="s">
        <v>163</v>
      </c>
      <c r="B1517" s="3">
        <v>45383</v>
      </c>
      <c r="C1517">
        <v>10034</v>
      </c>
    </row>
    <row r="1518" spans="1:3" ht="15" customHeight="1" x14ac:dyDescent="0.3">
      <c r="A1518" t="s">
        <v>163</v>
      </c>
      <c r="B1518" s="3">
        <v>45413</v>
      </c>
      <c r="C1518">
        <v>7886</v>
      </c>
    </row>
    <row r="1519" spans="1:3" ht="15" customHeight="1" x14ac:dyDescent="0.3">
      <c r="A1519" t="s">
        <v>163</v>
      </c>
      <c r="B1519" s="3">
        <v>45444</v>
      </c>
      <c r="C1519">
        <v>9067</v>
      </c>
    </row>
    <row r="1520" spans="1:3" ht="15" customHeight="1" x14ac:dyDescent="0.3">
      <c r="A1520" t="s">
        <v>163</v>
      </c>
      <c r="B1520" s="3">
        <v>45474</v>
      </c>
      <c r="C1520">
        <v>8952</v>
      </c>
    </row>
    <row r="1521" spans="1:3" ht="15" customHeight="1" x14ac:dyDescent="0.3">
      <c r="A1521" t="s">
        <v>163</v>
      </c>
      <c r="B1521" s="3">
        <v>45505</v>
      </c>
      <c r="C1521">
        <v>8952</v>
      </c>
    </row>
    <row r="1522" spans="1:3" ht="15" customHeight="1" x14ac:dyDescent="0.3">
      <c r="A1522" t="s">
        <v>163</v>
      </c>
      <c r="B1522" s="3">
        <v>45536</v>
      </c>
      <c r="C1522">
        <v>8110</v>
      </c>
    </row>
    <row r="1523" spans="1:3" ht="15" customHeight="1" x14ac:dyDescent="0.3">
      <c r="A1523" t="s">
        <v>163</v>
      </c>
      <c r="B1523" s="3">
        <v>45566</v>
      </c>
      <c r="C1523">
        <v>12770</v>
      </c>
    </row>
    <row r="1524" spans="1:3" ht="15" customHeight="1" x14ac:dyDescent="0.3">
      <c r="A1524" t="s">
        <v>163</v>
      </c>
      <c r="B1524" s="3">
        <v>45597</v>
      </c>
      <c r="C1524">
        <v>10951</v>
      </c>
    </row>
    <row r="1525" spans="1:3" ht="15" customHeight="1" x14ac:dyDescent="0.3">
      <c r="A1525" t="s">
        <v>163</v>
      </c>
      <c r="B1525" s="3">
        <v>45627</v>
      </c>
      <c r="C1525">
        <v>11135</v>
      </c>
    </row>
    <row r="1526" spans="1:3" ht="15" customHeight="1" x14ac:dyDescent="0.3">
      <c r="A1526" t="s">
        <v>163</v>
      </c>
      <c r="B1526" s="3">
        <v>45658</v>
      </c>
      <c r="C1526">
        <v>10294</v>
      </c>
    </row>
    <row r="1527" spans="1:3" ht="15" customHeight="1" x14ac:dyDescent="0.3">
      <c r="A1527" t="s">
        <v>163</v>
      </c>
      <c r="B1527" s="3">
        <v>45689</v>
      </c>
      <c r="C1527">
        <v>7952</v>
      </c>
    </row>
    <row r="1528" spans="1:3" ht="15" customHeight="1" x14ac:dyDescent="0.3">
      <c r="A1528" t="s">
        <v>163</v>
      </c>
      <c r="B1528" s="3">
        <v>45717</v>
      </c>
      <c r="C1528">
        <v>9856</v>
      </c>
    </row>
    <row r="1529" spans="1:3" ht="15" customHeight="1" x14ac:dyDescent="0.3">
      <c r="A1529" t="s">
        <v>163</v>
      </c>
      <c r="B1529" s="3">
        <v>45748</v>
      </c>
      <c r="C1529">
        <v>7739</v>
      </c>
    </row>
    <row r="1530" spans="1:3" ht="15" customHeight="1" x14ac:dyDescent="0.3">
      <c r="A1530" t="s">
        <v>163</v>
      </c>
      <c r="B1530" s="3">
        <v>45778</v>
      </c>
      <c r="C1530">
        <v>9189</v>
      </c>
    </row>
    <row r="1531" spans="1:3" ht="15" customHeight="1" x14ac:dyDescent="0.3">
      <c r="A1531" t="s">
        <v>163</v>
      </c>
      <c r="B1531" s="3">
        <v>45809</v>
      </c>
      <c r="C1531">
        <v>7656.32</v>
      </c>
    </row>
    <row r="1532" spans="1:3" ht="15" customHeight="1" x14ac:dyDescent="0.3">
      <c r="A1532" t="s">
        <v>163</v>
      </c>
      <c r="B1532" s="3">
        <v>45839</v>
      </c>
      <c r="C1532">
        <v>8158</v>
      </c>
    </row>
    <row r="1533" spans="1:3" ht="15" customHeight="1" x14ac:dyDescent="0.3">
      <c r="A1533" t="s">
        <v>163</v>
      </c>
      <c r="B1533" s="3">
        <v>45870</v>
      </c>
      <c r="C1533">
        <v>5429</v>
      </c>
    </row>
    <row r="1534" spans="1:3" ht="15" customHeight="1" x14ac:dyDescent="0.3">
      <c r="A1534" t="s">
        <v>163</v>
      </c>
      <c r="B1534" s="3">
        <v>45901</v>
      </c>
      <c r="C1534">
        <v>7249</v>
      </c>
    </row>
    <row r="1535" spans="1:3" ht="15" customHeight="1" x14ac:dyDescent="0.3">
      <c r="A1535" t="s">
        <v>163</v>
      </c>
      <c r="B1535" s="3">
        <v>45931</v>
      </c>
      <c r="C1535">
        <v>8107</v>
      </c>
    </row>
    <row r="1536" spans="1:3" ht="15" customHeight="1" x14ac:dyDescent="0.3">
      <c r="A1536" t="s">
        <v>163</v>
      </c>
      <c r="B1536" s="3">
        <v>45962</v>
      </c>
      <c r="C1536">
        <v>2305</v>
      </c>
    </row>
    <row r="1537" spans="1:3" ht="15" customHeight="1" x14ac:dyDescent="0.3">
      <c r="A1537" t="s">
        <v>163</v>
      </c>
      <c r="B1537" s="3">
        <v>45992</v>
      </c>
      <c r="C1537">
        <v>7641</v>
      </c>
    </row>
    <row r="1538" spans="1:3" ht="15" customHeight="1" x14ac:dyDescent="0.3">
      <c r="A1538" t="s">
        <v>163</v>
      </c>
      <c r="B1538" s="3">
        <v>46023</v>
      </c>
      <c r="C1538">
        <v>9717</v>
      </c>
    </row>
    <row r="1539" spans="1:3" ht="15" customHeight="1" x14ac:dyDescent="0.3">
      <c r="A1539" t="s">
        <v>163</v>
      </c>
      <c r="B1539" s="3">
        <v>46054</v>
      </c>
      <c r="C1539">
        <v>8045</v>
      </c>
    </row>
    <row r="1540" spans="1:3" ht="15" customHeight="1" x14ac:dyDescent="0.3">
      <c r="A1540" t="s">
        <v>163</v>
      </c>
      <c r="B1540" s="3">
        <v>46082</v>
      </c>
      <c r="C1540">
        <v>7035</v>
      </c>
    </row>
    <row r="1541" spans="1:3" ht="15" customHeight="1" x14ac:dyDescent="0.3">
      <c r="A1541" t="s">
        <v>163</v>
      </c>
      <c r="B1541" s="3">
        <v>46113</v>
      </c>
      <c r="C1541">
        <v>3742.54</v>
      </c>
    </row>
    <row r="1542" spans="1:3" ht="15" customHeight="1" x14ac:dyDescent="0.3">
      <c r="A1542" t="s">
        <v>163</v>
      </c>
      <c r="B1542" s="3">
        <v>46143</v>
      </c>
      <c r="C1542" s="13">
        <v>6041.14</v>
      </c>
    </row>
    <row r="1543" spans="1:3" ht="15" customHeight="1" x14ac:dyDescent="0.3">
      <c r="A1543" t="s">
        <v>163</v>
      </c>
      <c r="B1543" s="3">
        <v>46174</v>
      </c>
    </row>
    <row r="1544" spans="1:3" ht="15" customHeight="1" x14ac:dyDescent="0.3">
      <c r="A1544" t="s">
        <v>163</v>
      </c>
      <c r="B1544" s="3">
        <v>46204</v>
      </c>
    </row>
    <row r="1545" spans="1:3" ht="15" customHeight="1" x14ac:dyDescent="0.3">
      <c r="A1545" t="s">
        <v>163</v>
      </c>
      <c r="B1545" s="3">
        <v>46235</v>
      </c>
    </row>
    <row r="1546" spans="1:3" ht="15" customHeight="1" x14ac:dyDescent="0.3">
      <c r="A1546" t="s">
        <v>163</v>
      </c>
      <c r="B1546" s="3">
        <v>46266</v>
      </c>
    </row>
    <row r="1547" spans="1:3" ht="15" customHeight="1" x14ac:dyDescent="0.3">
      <c r="A1547" t="s">
        <v>163</v>
      </c>
      <c r="B1547" s="3">
        <v>46296</v>
      </c>
    </row>
    <row r="1548" spans="1:3" ht="15" customHeight="1" x14ac:dyDescent="0.3">
      <c r="A1548" t="s">
        <v>163</v>
      </c>
      <c r="B1548" s="3">
        <v>46327</v>
      </c>
    </row>
    <row r="1549" spans="1:3" ht="15" customHeight="1" x14ac:dyDescent="0.3">
      <c r="A1549" t="s">
        <v>163</v>
      </c>
      <c r="B1549" s="3">
        <v>46357</v>
      </c>
    </row>
    <row r="1550" spans="1:3" ht="15" customHeight="1" x14ac:dyDescent="0.3">
      <c r="A1550" t="s">
        <v>159</v>
      </c>
      <c r="B1550" s="3">
        <v>45292</v>
      </c>
      <c r="C1550">
        <v>4452</v>
      </c>
    </row>
    <row r="1551" spans="1:3" ht="15" customHeight="1" x14ac:dyDescent="0.3">
      <c r="A1551" t="s">
        <v>159</v>
      </c>
      <c r="B1551" s="3">
        <v>45323</v>
      </c>
      <c r="C1551">
        <v>6906</v>
      </c>
    </row>
    <row r="1552" spans="1:3" ht="15" customHeight="1" x14ac:dyDescent="0.3">
      <c r="A1552" t="s">
        <v>159</v>
      </c>
      <c r="B1552" s="3">
        <v>45352</v>
      </c>
      <c r="C1552">
        <v>6752</v>
      </c>
    </row>
    <row r="1553" spans="1:3" ht="15" customHeight="1" x14ac:dyDescent="0.3">
      <c r="A1553" t="s">
        <v>159</v>
      </c>
      <c r="B1553" s="3">
        <v>45383</v>
      </c>
      <c r="C1553">
        <v>6350</v>
      </c>
    </row>
    <row r="1554" spans="1:3" ht="15" customHeight="1" x14ac:dyDescent="0.3">
      <c r="A1554" t="s">
        <v>159</v>
      </c>
      <c r="B1554" s="3">
        <v>45413</v>
      </c>
      <c r="C1554">
        <v>7236</v>
      </c>
    </row>
    <row r="1555" spans="1:3" ht="15" customHeight="1" x14ac:dyDescent="0.3">
      <c r="A1555" t="s">
        <v>159</v>
      </c>
      <c r="B1555" s="3">
        <v>45444</v>
      </c>
      <c r="C1555">
        <v>6002</v>
      </c>
    </row>
    <row r="1556" spans="1:3" ht="15" customHeight="1" x14ac:dyDescent="0.3">
      <c r="A1556" t="s">
        <v>159</v>
      </c>
      <c r="B1556" s="3">
        <v>45474</v>
      </c>
      <c r="C1556">
        <v>7142</v>
      </c>
    </row>
    <row r="1557" spans="1:3" ht="15" customHeight="1" x14ac:dyDescent="0.3">
      <c r="A1557" t="s">
        <v>159</v>
      </c>
      <c r="B1557" s="3">
        <v>45505</v>
      </c>
      <c r="C1557">
        <v>6654</v>
      </c>
    </row>
    <row r="1558" spans="1:3" ht="15" customHeight="1" x14ac:dyDescent="0.3">
      <c r="A1558" t="s">
        <v>159</v>
      </c>
      <c r="B1558" s="3">
        <v>45536</v>
      </c>
      <c r="C1558">
        <v>6375</v>
      </c>
    </row>
    <row r="1559" spans="1:3" ht="15" customHeight="1" x14ac:dyDescent="0.3">
      <c r="A1559" t="s">
        <v>159</v>
      </c>
      <c r="B1559" s="3">
        <v>45566</v>
      </c>
      <c r="C1559">
        <v>6305</v>
      </c>
    </row>
    <row r="1560" spans="1:3" ht="15" customHeight="1" x14ac:dyDescent="0.3">
      <c r="A1560" t="s">
        <v>159</v>
      </c>
      <c r="B1560" s="3">
        <v>45597</v>
      </c>
      <c r="C1560">
        <v>7074</v>
      </c>
    </row>
    <row r="1561" spans="1:3" ht="15" customHeight="1" x14ac:dyDescent="0.3">
      <c r="A1561" t="s">
        <v>159</v>
      </c>
      <c r="B1561" s="3">
        <v>45627</v>
      </c>
      <c r="C1561">
        <v>3371</v>
      </c>
    </row>
    <row r="1562" spans="1:3" ht="15" customHeight="1" x14ac:dyDescent="0.3">
      <c r="A1562" t="s">
        <v>159</v>
      </c>
      <c r="B1562" s="3">
        <v>45658</v>
      </c>
      <c r="C1562">
        <v>5083</v>
      </c>
    </row>
    <row r="1563" spans="1:3" ht="15" customHeight="1" x14ac:dyDescent="0.3">
      <c r="A1563" t="s">
        <v>159</v>
      </c>
      <c r="B1563" s="3">
        <v>45689</v>
      </c>
      <c r="C1563">
        <v>4977</v>
      </c>
    </row>
    <row r="1564" spans="1:3" ht="15" customHeight="1" x14ac:dyDescent="0.3">
      <c r="A1564" t="s">
        <v>159</v>
      </c>
      <c r="B1564" s="3">
        <v>45717</v>
      </c>
      <c r="C1564">
        <v>5306</v>
      </c>
    </row>
    <row r="1565" spans="1:3" ht="15" customHeight="1" x14ac:dyDescent="0.3">
      <c r="A1565" t="s">
        <v>159</v>
      </c>
      <c r="B1565" s="3">
        <v>45748</v>
      </c>
      <c r="C1565">
        <v>4700</v>
      </c>
    </row>
    <row r="1566" spans="1:3" ht="15" customHeight="1" x14ac:dyDescent="0.3">
      <c r="A1566" t="s">
        <v>159</v>
      </c>
      <c r="B1566" s="3">
        <v>45778</v>
      </c>
      <c r="C1566">
        <v>6568</v>
      </c>
    </row>
    <row r="1567" spans="1:3" ht="15" customHeight="1" x14ac:dyDescent="0.3">
      <c r="A1567" t="s">
        <v>159</v>
      </c>
      <c r="B1567" s="3">
        <v>45809</v>
      </c>
      <c r="C1567">
        <v>6255.59</v>
      </c>
    </row>
    <row r="1568" spans="1:3" ht="15" customHeight="1" x14ac:dyDescent="0.3">
      <c r="A1568" t="s">
        <v>159</v>
      </c>
      <c r="B1568" s="3">
        <v>45839</v>
      </c>
      <c r="C1568">
        <v>5980</v>
      </c>
    </row>
    <row r="1569" spans="1:3" ht="15" customHeight="1" x14ac:dyDescent="0.3">
      <c r="A1569" t="s">
        <v>159</v>
      </c>
      <c r="B1569" s="3">
        <v>45870</v>
      </c>
      <c r="C1569">
        <v>6685</v>
      </c>
    </row>
    <row r="1570" spans="1:3" ht="15" customHeight="1" x14ac:dyDescent="0.3">
      <c r="A1570" t="s">
        <v>159</v>
      </c>
      <c r="B1570" s="3">
        <v>45901</v>
      </c>
      <c r="C1570">
        <v>7118</v>
      </c>
    </row>
    <row r="1571" spans="1:3" ht="15" customHeight="1" x14ac:dyDescent="0.3">
      <c r="A1571" t="s">
        <v>159</v>
      </c>
      <c r="B1571" s="3">
        <v>45931</v>
      </c>
      <c r="C1571">
        <v>7677</v>
      </c>
    </row>
    <row r="1572" spans="1:3" ht="15" customHeight="1" x14ac:dyDescent="0.3">
      <c r="A1572" t="s">
        <v>159</v>
      </c>
      <c r="B1572" s="3">
        <v>45962</v>
      </c>
      <c r="C1572">
        <v>5691</v>
      </c>
    </row>
    <row r="1573" spans="1:3" ht="15" customHeight="1" x14ac:dyDescent="0.3">
      <c r="A1573" t="s">
        <v>159</v>
      </c>
      <c r="B1573" s="3">
        <v>45992</v>
      </c>
      <c r="C1573">
        <v>3680</v>
      </c>
    </row>
    <row r="1574" spans="1:3" ht="15" customHeight="1" x14ac:dyDescent="0.3">
      <c r="A1574" t="s">
        <v>159</v>
      </c>
      <c r="B1574" s="3">
        <v>46023</v>
      </c>
      <c r="C1574">
        <v>5605</v>
      </c>
    </row>
    <row r="1575" spans="1:3" ht="15" customHeight="1" x14ac:dyDescent="0.3">
      <c r="A1575" t="s">
        <v>159</v>
      </c>
      <c r="B1575" s="3">
        <v>46054</v>
      </c>
      <c r="C1575">
        <v>7388</v>
      </c>
    </row>
    <row r="1576" spans="1:3" ht="15" customHeight="1" x14ac:dyDescent="0.3">
      <c r="A1576" t="s">
        <v>159</v>
      </c>
      <c r="B1576" s="3">
        <v>46082</v>
      </c>
      <c r="C1576">
        <v>6319.4</v>
      </c>
    </row>
    <row r="1577" spans="1:3" ht="15" customHeight="1" x14ac:dyDescent="0.3">
      <c r="A1577" t="s">
        <v>159</v>
      </c>
      <c r="B1577" s="3">
        <v>46113</v>
      </c>
      <c r="C1577">
        <v>4370.4799999999996</v>
      </c>
    </row>
    <row r="1578" spans="1:3" ht="15" customHeight="1" x14ac:dyDescent="0.3">
      <c r="A1578" t="s">
        <v>159</v>
      </c>
      <c r="B1578" s="3">
        <v>46143</v>
      </c>
      <c r="C1578" s="13">
        <v>5968.12</v>
      </c>
    </row>
    <row r="1579" spans="1:3" ht="15" customHeight="1" x14ac:dyDescent="0.3">
      <c r="A1579" t="s">
        <v>159</v>
      </c>
      <c r="B1579" s="3">
        <v>46174</v>
      </c>
    </row>
    <row r="1580" spans="1:3" ht="15" customHeight="1" x14ac:dyDescent="0.3">
      <c r="A1580" t="s">
        <v>159</v>
      </c>
      <c r="B1580" s="3">
        <v>46204</v>
      </c>
    </row>
    <row r="1581" spans="1:3" ht="15" customHeight="1" x14ac:dyDescent="0.3">
      <c r="A1581" t="s">
        <v>159</v>
      </c>
      <c r="B1581" s="3">
        <v>46235</v>
      </c>
    </row>
    <row r="1582" spans="1:3" ht="15" customHeight="1" x14ac:dyDescent="0.3">
      <c r="A1582" t="s">
        <v>159</v>
      </c>
      <c r="B1582" s="3">
        <v>46266</v>
      </c>
    </row>
    <row r="1583" spans="1:3" ht="15" customHeight="1" x14ac:dyDescent="0.3">
      <c r="A1583" t="s">
        <v>159</v>
      </c>
      <c r="B1583" s="3">
        <v>46296</v>
      </c>
    </row>
    <row r="1584" spans="1:3" ht="15" customHeight="1" x14ac:dyDescent="0.3">
      <c r="A1584" t="s">
        <v>159</v>
      </c>
      <c r="B1584" s="3">
        <v>46327</v>
      </c>
    </row>
    <row r="1585" spans="1:3" ht="15" customHeight="1" x14ac:dyDescent="0.3">
      <c r="A1585" t="s">
        <v>159</v>
      </c>
      <c r="B1585" s="3">
        <v>46357</v>
      </c>
    </row>
    <row r="1586" spans="1:3" ht="15" customHeight="1" x14ac:dyDescent="0.3">
      <c r="A1586" t="s">
        <v>166</v>
      </c>
      <c r="B1586" s="3">
        <v>45292</v>
      </c>
      <c r="C1586">
        <v>4700</v>
      </c>
    </row>
    <row r="1587" spans="1:3" ht="15" customHeight="1" x14ac:dyDescent="0.3">
      <c r="A1587" t="s">
        <v>166</v>
      </c>
      <c r="B1587" s="3">
        <v>45323</v>
      </c>
      <c r="C1587">
        <v>4300</v>
      </c>
    </row>
    <row r="1588" spans="1:3" ht="15" customHeight="1" x14ac:dyDescent="0.3">
      <c r="A1588" t="s">
        <v>166</v>
      </c>
      <c r="B1588" s="3">
        <v>45352</v>
      </c>
      <c r="C1588">
        <v>5200</v>
      </c>
    </row>
    <row r="1589" spans="1:3" ht="15" customHeight="1" x14ac:dyDescent="0.3">
      <c r="A1589" t="s">
        <v>166</v>
      </c>
      <c r="B1589" s="3">
        <v>45383</v>
      </c>
      <c r="C1589">
        <v>4500</v>
      </c>
    </row>
    <row r="1590" spans="1:3" ht="15" customHeight="1" x14ac:dyDescent="0.3">
      <c r="A1590" t="s">
        <v>166</v>
      </c>
      <c r="B1590" s="3">
        <v>45413</v>
      </c>
      <c r="C1590">
        <v>4300</v>
      </c>
    </row>
    <row r="1591" spans="1:3" ht="15" customHeight="1" x14ac:dyDescent="0.3">
      <c r="A1591" t="s">
        <v>166</v>
      </c>
      <c r="B1591" s="3">
        <v>45444</v>
      </c>
      <c r="C1591">
        <v>3800</v>
      </c>
    </row>
    <row r="1592" spans="1:3" ht="15" customHeight="1" x14ac:dyDescent="0.3">
      <c r="A1592" t="s">
        <v>166</v>
      </c>
      <c r="B1592" s="3">
        <v>45474</v>
      </c>
      <c r="C1592">
        <v>4100</v>
      </c>
    </row>
    <row r="1593" spans="1:3" ht="15" customHeight="1" x14ac:dyDescent="0.3">
      <c r="A1593" t="s">
        <v>166</v>
      </c>
      <c r="B1593" s="3">
        <v>45505</v>
      </c>
      <c r="C1593">
        <v>4000</v>
      </c>
    </row>
    <row r="1594" spans="1:3" ht="15" customHeight="1" x14ac:dyDescent="0.3">
      <c r="A1594" t="s">
        <v>166</v>
      </c>
      <c r="B1594" s="3">
        <v>45536</v>
      </c>
      <c r="C1594">
        <v>3700</v>
      </c>
    </row>
    <row r="1595" spans="1:3" ht="15" customHeight="1" x14ac:dyDescent="0.3">
      <c r="A1595" t="s">
        <v>166</v>
      </c>
      <c r="B1595" s="3">
        <v>45566</v>
      </c>
      <c r="C1595">
        <v>5479</v>
      </c>
    </row>
    <row r="1596" spans="1:3" ht="15" customHeight="1" x14ac:dyDescent="0.3">
      <c r="A1596" t="s">
        <v>166</v>
      </c>
      <c r="B1596" s="3">
        <v>45597</v>
      </c>
      <c r="C1596">
        <v>5500</v>
      </c>
    </row>
    <row r="1597" spans="1:3" ht="15" customHeight="1" x14ac:dyDescent="0.3">
      <c r="A1597" t="s">
        <v>166</v>
      </c>
      <c r="B1597" s="3">
        <v>45627</v>
      </c>
      <c r="C1597">
        <v>2742</v>
      </c>
    </row>
    <row r="1598" spans="1:3" ht="15" customHeight="1" x14ac:dyDescent="0.3">
      <c r="A1598" t="s">
        <v>166</v>
      </c>
      <c r="B1598" s="3">
        <v>45658</v>
      </c>
      <c r="C1598">
        <v>5100</v>
      </c>
    </row>
    <row r="1599" spans="1:3" ht="15" customHeight="1" x14ac:dyDescent="0.3">
      <c r="A1599" t="s">
        <v>166</v>
      </c>
      <c r="B1599" s="3">
        <v>45689</v>
      </c>
      <c r="C1599">
        <v>3970</v>
      </c>
    </row>
    <row r="1600" spans="1:3" ht="15" customHeight="1" x14ac:dyDescent="0.3">
      <c r="A1600" t="s">
        <v>166</v>
      </c>
      <c r="B1600" s="3">
        <v>45717</v>
      </c>
      <c r="C1600">
        <v>4540</v>
      </c>
    </row>
    <row r="1601" spans="1:3" ht="15" customHeight="1" x14ac:dyDescent="0.3">
      <c r="A1601" t="s">
        <v>166</v>
      </c>
      <c r="B1601" s="3">
        <v>45748</v>
      </c>
      <c r="C1601">
        <v>3526</v>
      </c>
    </row>
    <row r="1602" spans="1:3" ht="15" customHeight="1" x14ac:dyDescent="0.3">
      <c r="A1602" t="s">
        <v>166</v>
      </c>
      <c r="B1602" s="3">
        <v>45778</v>
      </c>
      <c r="C1602">
        <v>4309</v>
      </c>
    </row>
    <row r="1603" spans="1:3" ht="15" customHeight="1" x14ac:dyDescent="0.3">
      <c r="A1603" t="s">
        <v>166</v>
      </c>
      <c r="B1603" s="3">
        <v>45809</v>
      </c>
      <c r="C1603">
        <v>3564</v>
      </c>
    </row>
    <row r="1604" spans="1:3" ht="15" customHeight="1" x14ac:dyDescent="0.3">
      <c r="A1604" t="s">
        <v>166</v>
      </c>
      <c r="B1604" s="3">
        <v>45839</v>
      </c>
      <c r="C1604">
        <v>3444</v>
      </c>
    </row>
    <row r="1605" spans="1:3" ht="15" customHeight="1" x14ac:dyDescent="0.3">
      <c r="A1605" t="s">
        <v>166</v>
      </c>
      <c r="B1605" s="3">
        <v>45870</v>
      </c>
      <c r="C1605">
        <v>4434</v>
      </c>
    </row>
    <row r="1606" spans="1:3" ht="15" customHeight="1" x14ac:dyDescent="0.3">
      <c r="A1606" t="s">
        <v>166</v>
      </c>
      <c r="B1606" s="3">
        <v>45901</v>
      </c>
      <c r="C1606">
        <v>4300</v>
      </c>
    </row>
    <row r="1607" spans="1:3" ht="15" customHeight="1" x14ac:dyDescent="0.3">
      <c r="A1607" t="s">
        <v>166</v>
      </c>
      <c r="B1607" s="3">
        <v>45931</v>
      </c>
      <c r="C1607">
        <v>4956</v>
      </c>
    </row>
    <row r="1608" spans="1:3" ht="15" customHeight="1" x14ac:dyDescent="0.3">
      <c r="A1608" t="s">
        <v>166</v>
      </c>
      <c r="B1608" s="3">
        <v>45962</v>
      </c>
      <c r="C1608">
        <v>4173</v>
      </c>
    </row>
    <row r="1609" spans="1:3" ht="15" customHeight="1" x14ac:dyDescent="0.3">
      <c r="A1609" t="s">
        <v>166</v>
      </c>
      <c r="B1609" s="3">
        <v>45992</v>
      </c>
      <c r="C1609">
        <v>5010</v>
      </c>
    </row>
    <row r="1610" spans="1:3" ht="15" customHeight="1" x14ac:dyDescent="0.3">
      <c r="A1610" t="s">
        <v>166</v>
      </c>
      <c r="B1610" s="3">
        <v>46023</v>
      </c>
      <c r="C1610">
        <v>4573</v>
      </c>
    </row>
    <row r="1611" spans="1:3" ht="15" customHeight="1" x14ac:dyDescent="0.3">
      <c r="A1611" t="s">
        <v>166</v>
      </c>
      <c r="B1611" s="3">
        <v>46054</v>
      </c>
      <c r="C1611">
        <v>4586.7700000000004</v>
      </c>
    </row>
    <row r="1612" spans="1:3" ht="15" customHeight="1" x14ac:dyDescent="0.3">
      <c r="A1612" t="s">
        <v>166</v>
      </c>
      <c r="B1612" s="3">
        <v>46082</v>
      </c>
      <c r="C1612">
        <v>4089</v>
      </c>
    </row>
    <row r="1613" spans="1:3" ht="15" customHeight="1" x14ac:dyDescent="0.3">
      <c r="A1613" t="s">
        <v>166</v>
      </c>
      <c r="B1613" s="3">
        <v>46113</v>
      </c>
      <c r="C1613">
        <v>844.2</v>
      </c>
    </row>
    <row r="1614" spans="1:3" ht="15" customHeight="1" x14ac:dyDescent="0.3">
      <c r="A1614" t="s">
        <v>166</v>
      </c>
      <c r="B1614" s="3">
        <v>46143</v>
      </c>
      <c r="C1614" s="13">
        <v>0</v>
      </c>
    </row>
    <row r="1615" spans="1:3" ht="15" customHeight="1" x14ac:dyDescent="0.3">
      <c r="A1615" t="s">
        <v>166</v>
      </c>
      <c r="B1615" s="3">
        <v>46174</v>
      </c>
    </row>
    <row r="1616" spans="1:3" ht="15" customHeight="1" x14ac:dyDescent="0.3">
      <c r="A1616" t="s">
        <v>166</v>
      </c>
      <c r="B1616" s="3">
        <v>46204</v>
      </c>
    </row>
    <row r="1617" spans="1:3" ht="15" customHeight="1" x14ac:dyDescent="0.3">
      <c r="A1617" t="s">
        <v>166</v>
      </c>
      <c r="B1617" s="3">
        <v>46235</v>
      </c>
    </row>
    <row r="1618" spans="1:3" ht="15" customHeight="1" x14ac:dyDescent="0.3">
      <c r="A1618" t="s">
        <v>166</v>
      </c>
      <c r="B1618" s="3">
        <v>46266</v>
      </c>
    </row>
    <row r="1619" spans="1:3" ht="15" customHeight="1" x14ac:dyDescent="0.3">
      <c r="A1619" t="s">
        <v>166</v>
      </c>
      <c r="B1619" s="3">
        <v>46296</v>
      </c>
    </row>
    <row r="1620" spans="1:3" ht="15" customHeight="1" x14ac:dyDescent="0.3">
      <c r="A1620" t="s">
        <v>166</v>
      </c>
      <c r="B1620" s="3">
        <v>46327</v>
      </c>
    </row>
    <row r="1621" spans="1:3" ht="15" customHeight="1" x14ac:dyDescent="0.3">
      <c r="A1621" t="s">
        <v>166</v>
      </c>
      <c r="B1621" s="3">
        <v>46357</v>
      </c>
    </row>
    <row r="1622" spans="1:3" ht="15" customHeight="1" x14ac:dyDescent="0.3">
      <c r="A1622" t="s">
        <v>168</v>
      </c>
      <c r="B1622" s="3">
        <v>45292</v>
      </c>
      <c r="C1622">
        <v>6159</v>
      </c>
    </row>
    <row r="1623" spans="1:3" ht="15" customHeight="1" x14ac:dyDescent="0.3">
      <c r="A1623" t="s">
        <v>168</v>
      </c>
      <c r="B1623" s="3">
        <v>45323</v>
      </c>
      <c r="C1623">
        <v>4495</v>
      </c>
    </row>
    <row r="1624" spans="1:3" ht="15" customHeight="1" x14ac:dyDescent="0.3">
      <c r="A1624" t="s">
        <v>168</v>
      </c>
      <c r="B1624" s="3">
        <v>45352</v>
      </c>
      <c r="C1624">
        <v>5040</v>
      </c>
    </row>
    <row r="1625" spans="1:3" ht="15" customHeight="1" x14ac:dyDescent="0.3">
      <c r="A1625" t="s">
        <v>168</v>
      </c>
      <c r="B1625" s="3">
        <v>45383</v>
      </c>
      <c r="C1625">
        <v>4485</v>
      </c>
    </row>
    <row r="1626" spans="1:3" ht="15" customHeight="1" x14ac:dyDescent="0.3">
      <c r="A1626" t="s">
        <v>168</v>
      </c>
      <c r="B1626" s="3">
        <v>45413</v>
      </c>
      <c r="C1626">
        <v>4861</v>
      </c>
    </row>
    <row r="1627" spans="1:3" ht="15" customHeight="1" x14ac:dyDescent="0.3">
      <c r="A1627" t="s">
        <v>168</v>
      </c>
      <c r="B1627" s="3">
        <v>45444</v>
      </c>
      <c r="C1627">
        <v>3929</v>
      </c>
    </row>
    <row r="1628" spans="1:3" ht="15" customHeight="1" x14ac:dyDescent="0.3">
      <c r="A1628" t="s">
        <v>168</v>
      </c>
      <c r="B1628" s="3">
        <v>45474</v>
      </c>
      <c r="C1628">
        <v>4619</v>
      </c>
    </row>
    <row r="1629" spans="1:3" ht="15" customHeight="1" x14ac:dyDescent="0.3">
      <c r="A1629" t="s">
        <v>168</v>
      </c>
      <c r="B1629" s="3">
        <v>45505</v>
      </c>
      <c r="C1629">
        <v>5354</v>
      </c>
    </row>
    <row r="1630" spans="1:3" ht="15" customHeight="1" x14ac:dyDescent="0.3">
      <c r="A1630" t="s">
        <v>168</v>
      </c>
      <c r="B1630" s="3">
        <v>45536</v>
      </c>
      <c r="C1630">
        <v>4908</v>
      </c>
    </row>
    <row r="1631" spans="1:3" ht="15" customHeight="1" x14ac:dyDescent="0.3">
      <c r="A1631" t="s">
        <v>168</v>
      </c>
      <c r="B1631" s="3">
        <v>45566</v>
      </c>
      <c r="C1631">
        <v>6335</v>
      </c>
    </row>
    <row r="1632" spans="1:3" ht="15" customHeight="1" x14ac:dyDescent="0.3">
      <c r="A1632" t="s">
        <v>168</v>
      </c>
      <c r="B1632" s="3">
        <v>45597</v>
      </c>
      <c r="C1632">
        <v>5824</v>
      </c>
    </row>
    <row r="1633" spans="1:3" ht="15" customHeight="1" x14ac:dyDescent="0.3">
      <c r="A1633" t="s">
        <v>168</v>
      </c>
      <c r="B1633" s="3">
        <v>45627</v>
      </c>
      <c r="C1633">
        <v>6091</v>
      </c>
    </row>
    <row r="1634" spans="1:3" ht="15" customHeight="1" x14ac:dyDescent="0.3">
      <c r="A1634" t="s">
        <v>168</v>
      </c>
      <c r="B1634" s="3">
        <v>45658</v>
      </c>
      <c r="C1634">
        <v>5309</v>
      </c>
    </row>
    <row r="1635" spans="1:3" ht="15" customHeight="1" x14ac:dyDescent="0.3">
      <c r="A1635" t="s">
        <v>168</v>
      </c>
      <c r="B1635" s="3">
        <v>45689</v>
      </c>
      <c r="C1635">
        <v>3761</v>
      </c>
    </row>
    <row r="1636" spans="1:3" ht="15" customHeight="1" x14ac:dyDescent="0.3">
      <c r="A1636" t="s">
        <v>168</v>
      </c>
      <c r="B1636" s="3">
        <v>45717</v>
      </c>
      <c r="C1636">
        <v>4074</v>
      </c>
    </row>
    <row r="1637" spans="1:3" ht="15" customHeight="1" x14ac:dyDescent="0.3">
      <c r="A1637" t="s">
        <v>168</v>
      </c>
      <c r="B1637" s="3">
        <v>45748</v>
      </c>
      <c r="C1637">
        <v>3902</v>
      </c>
    </row>
    <row r="1638" spans="1:3" ht="15" customHeight="1" x14ac:dyDescent="0.3">
      <c r="A1638" t="s">
        <v>168</v>
      </c>
      <c r="B1638" s="3">
        <v>45778</v>
      </c>
      <c r="C1638">
        <v>5047</v>
      </c>
    </row>
    <row r="1639" spans="1:3" ht="15" customHeight="1" x14ac:dyDescent="0.3">
      <c r="A1639" t="s">
        <v>168</v>
      </c>
      <c r="B1639" s="3">
        <v>45809</v>
      </c>
      <c r="C1639">
        <v>4585.3599999999997</v>
      </c>
    </row>
    <row r="1640" spans="1:3" ht="15" customHeight="1" x14ac:dyDescent="0.3">
      <c r="A1640" t="s">
        <v>168</v>
      </c>
      <c r="B1640" s="3">
        <v>45839</v>
      </c>
      <c r="C1640">
        <v>4750</v>
      </c>
    </row>
    <row r="1641" spans="1:3" ht="15" customHeight="1" x14ac:dyDescent="0.3">
      <c r="A1641" t="s">
        <v>168</v>
      </c>
      <c r="B1641" s="3">
        <v>45870</v>
      </c>
      <c r="C1641">
        <v>4940</v>
      </c>
    </row>
    <row r="1642" spans="1:3" ht="15" customHeight="1" x14ac:dyDescent="0.3">
      <c r="A1642" t="s">
        <v>168</v>
      </c>
      <c r="B1642" s="3">
        <v>45901</v>
      </c>
      <c r="C1642">
        <v>4923</v>
      </c>
    </row>
    <row r="1643" spans="1:3" ht="15" customHeight="1" x14ac:dyDescent="0.3">
      <c r="A1643" t="s">
        <v>168</v>
      </c>
      <c r="B1643" s="3">
        <v>45931</v>
      </c>
      <c r="C1643">
        <v>5673</v>
      </c>
    </row>
    <row r="1644" spans="1:3" ht="15" customHeight="1" x14ac:dyDescent="0.3">
      <c r="A1644" t="s">
        <v>168</v>
      </c>
      <c r="B1644" s="3">
        <v>45962</v>
      </c>
      <c r="C1644">
        <v>4641</v>
      </c>
    </row>
    <row r="1645" spans="1:3" ht="15" customHeight="1" x14ac:dyDescent="0.3">
      <c r="A1645" t="s">
        <v>168</v>
      </c>
      <c r="B1645" s="3">
        <v>45992</v>
      </c>
      <c r="C1645">
        <v>5262</v>
      </c>
    </row>
    <row r="1646" spans="1:3" ht="15" customHeight="1" x14ac:dyDescent="0.3">
      <c r="A1646" t="s">
        <v>168</v>
      </c>
      <c r="B1646" s="3">
        <v>46023</v>
      </c>
      <c r="C1646">
        <v>5546</v>
      </c>
    </row>
    <row r="1647" spans="1:3" ht="15" customHeight="1" x14ac:dyDescent="0.3">
      <c r="A1647" t="s">
        <v>168</v>
      </c>
      <c r="B1647" s="3">
        <v>46054</v>
      </c>
      <c r="C1647">
        <v>5201.2299999999996</v>
      </c>
    </row>
    <row r="1648" spans="1:3" ht="15" customHeight="1" x14ac:dyDescent="0.3">
      <c r="A1648" t="s">
        <v>168</v>
      </c>
      <c r="B1648" s="3">
        <v>46082</v>
      </c>
      <c r="C1648">
        <v>4579</v>
      </c>
    </row>
    <row r="1649" spans="1:3" ht="15" customHeight="1" x14ac:dyDescent="0.3">
      <c r="A1649" t="s">
        <v>168</v>
      </c>
      <c r="B1649" s="3">
        <v>46113</v>
      </c>
      <c r="C1649">
        <v>4134.1099999999997</v>
      </c>
    </row>
    <row r="1650" spans="1:3" ht="15" customHeight="1" x14ac:dyDescent="0.3">
      <c r="A1650" t="s">
        <v>168</v>
      </c>
      <c r="B1650" s="3">
        <v>46143</v>
      </c>
      <c r="C1650" s="13">
        <v>4665.67</v>
      </c>
    </row>
    <row r="1651" spans="1:3" ht="15" customHeight="1" x14ac:dyDescent="0.3">
      <c r="A1651" t="s">
        <v>168</v>
      </c>
      <c r="B1651" s="3">
        <v>46174</v>
      </c>
    </row>
    <row r="1652" spans="1:3" ht="15" customHeight="1" x14ac:dyDescent="0.3">
      <c r="A1652" t="s">
        <v>168</v>
      </c>
      <c r="B1652" s="3">
        <v>46204</v>
      </c>
    </row>
    <row r="1653" spans="1:3" ht="15" customHeight="1" x14ac:dyDescent="0.3">
      <c r="A1653" t="s">
        <v>168</v>
      </c>
      <c r="B1653" s="3">
        <v>46235</v>
      </c>
    </row>
    <row r="1654" spans="1:3" ht="15" customHeight="1" x14ac:dyDescent="0.3">
      <c r="A1654" t="s">
        <v>168</v>
      </c>
      <c r="B1654" s="3">
        <v>46266</v>
      </c>
    </row>
    <row r="1655" spans="1:3" ht="15" customHeight="1" x14ac:dyDescent="0.3">
      <c r="A1655" t="s">
        <v>168</v>
      </c>
      <c r="B1655" s="3">
        <v>46296</v>
      </c>
    </row>
    <row r="1656" spans="1:3" ht="15" customHeight="1" x14ac:dyDescent="0.3">
      <c r="A1656" t="s">
        <v>168</v>
      </c>
      <c r="B1656" s="3">
        <v>46327</v>
      </c>
    </row>
    <row r="1657" spans="1:3" ht="15" customHeight="1" x14ac:dyDescent="0.3">
      <c r="A1657" t="s">
        <v>168</v>
      </c>
      <c r="B1657" s="3">
        <v>46357</v>
      </c>
    </row>
    <row r="1658" spans="1:3" ht="15" customHeight="1" x14ac:dyDescent="0.3">
      <c r="A1658" t="s">
        <v>171</v>
      </c>
      <c r="B1658" s="3">
        <v>45292</v>
      </c>
      <c r="C1658">
        <v>6600</v>
      </c>
    </row>
    <row r="1659" spans="1:3" ht="15" customHeight="1" x14ac:dyDescent="0.3">
      <c r="A1659" t="s">
        <v>171</v>
      </c>
      <c r="B1659" s="3">
        <v>45323</v>
      </c>
      <c r="C1659">
        <v>13300</v>
      </c>
    </row>
    <row r="1660" spans="1:3" ht="15" customHeight="1" x14ac:dyDescent="0.3">
      <c r="A1660" t="s">
        <v>171</v>
      </c>
      <c r="B1660" s="3">
        <v>45352</v>
      </c>
      <c r="C1660">
        <v>15420</v>
      </c>
    </row>
    <row r="1661" spans="1:3" ht="15" customHeight="1" x14ac:dyDescent="0.3">
      <c r="A1661" t="s">
        <v>171</v>
      </c>
      <c r="B1661" s="3">
        <v>45383</v>
      </c>
      <c r="C1661">
        <v>12860</v>
      </c>
    </row>
    <row r="1662" spans="1:3" ht="15" customHeight="1" x14ac:dyDescent="0.3">
      <c r="A1662" t="s">
        <v>171</v>
      </c>
      <c r="B1662" s="3">
        <v>45413</v>
      </c>
      <c r="C1662">
        <v>14610</v>
      </c>
    </row>
    <row r="1663" spans="1:3" ht="15" customHeight="1" x14ac:dyDescent="0.3">
      <c r="A1663" t="s">
        <v>171</v>
      </c>
      <c r="B1663" s="3">
        <v>45444</v>
      </c>
      <c r="C1663">
        <v>12010</v>
      </c>
    </row>
    <row r="1664" spans="1:3" ht="15" customHeight="1" x14ac:dyDescent="0.3">
      <c r="A1664" t="s">
        <v>171</v>
      </c>
      <c r="B1664" s="3">
        <v>45474</v>
      </c>
      <c r="C1664">
        <v>13050</v>
      </c>
    </row>
    <row r="1665" spans="1:3" ht="15" customHeight="1" x14ac:dyDescent="0.3">
      <c r="A1665" t="s">
        <v>171</v>
      </c>
      <c r="B1665" s="3">
        <v>45505</v>
      </c>
      <c r="C1665">
        <v>17380</v>
      </c>
    </row>
    <row r="1666" spans="1:3" ht="15" customHeight="1" x14ac:dyDescent="0.3">
      <c r="A1666" t="s">
        <v>171</v>
      </c>
      <c r="B1666" s="3">
        <v>45536</v>
      </c>
      <c r="C1666">
        <v>15040</v>
      </c>
    </row>
    <row r="1667" spans="1:3" ht="15" customHeight="1" x14ac:dyDescent="0.3">
      <c r="A1667" t="s">
        <v>171</v>
      </c>
      <c r="B1667" s="3">
        <v>45566</v>
      </c>
      <c r="C1667">
        <v>16040</v>
      </c>
    </row>
    <row r="1668" spans="1:3" ht="15" customHeight="1" x14ac:dyDescent="0.3">
      <c r="A1668" t="s">
        <v>171</v>
      </c>
      <c r="B1668" s="3">
        <v>45597</v>
      </c>
      <c r="C1668">
        <v>12800</v>
      </c>
    </row>
    <row r="1669" spans="1:3" ht="15" customHeight="1" x14ac:dyDescent="0.3">
      <c r="A1669" t="s">
        <v>171</v>
      </c>
      <c r="B1669" s="3">
        <v>45627</v>
      </c>
      <c r="C1669">
        <v>11928</v>
      </c>
    </row>
    <row r="1670" spans="1:3" ht="15" customHeight="1" x14ac:dyDescent="0.3">
      <c r="A1670" t="s">
        <v>171</v>
      </c>
      <c r="B1670" s="3">
        <v>45658</v>
      </c>
      <c r="C1670">
        <v>11300</v>
      </c>
    </row>
    <row r="1671" spans="1:3" ht="15" customHeight="1" x14ac:dyDescent="0.3">
      <c r="A1671" t="s">
        <v>171</v>
      </c>
      <c r="B1671" s="3">
        <v>45689</v>
      </c>
      <c r="C1671">
        <v>8382</v>
      </c>
    </row>
    <row r="1672" spans="1:3" ht="15" customHeight="1" x14ac:dyDescent="0.3">
      <c r="A1672" t="s">
        <v>171</v>
      </c>
      <c r="B1672" s="3">
        <v>45717</v>
      </c>
      <c r="C1672">
        <v>11945</v>
      </c>
    </row>
    <row r="1673" spans="1:3" ht="15" customHeight="1" x14ac:dyDescent="0.3">
      <c r="A1673" t="s">
        <v>171</v>
      </c>
      <c r="B1673" s="3">
        <v>45748</v>
      </c>
      <c r="C1673">
        <v>13271</v>
      </c>
    </row>
    <row r="1674" spans="1:3" ht="15" customHeight="1" x14ac:dyDescent="0.3">
      <c r="A1674" t="s">
        <v>171</v>
      </c>
      <c r="B1674" s="3">
        <v>45778</v>
      </c>
      <c r="C1674">
        <v>17380</v>
      </c>
    </row>
    <row r="1675" spans="1:3" ht="15" customHeight="1" x14ac:dyDescent="0.3">
      <c r="A1675" t="s">
        <v>171</v>
      </c>
      <c r="B1675" s="3">
        <v>45809</v>
      </c>
      <c r="C1675">
        <v>15760.44</v>
      </c>
    </row>
    <row r="1676" spans="1:3" ht="15" customHeight="1" x14ac:dyDescent="0.3">
      <c r="A1676" t="s">
        <v>171</v>
      </c>
      <c r="B1676" s="3">
        <v>45839</v>
      </c>
      <c r="C1676">
        <v>15336</v>
      </c>
    </row>
    <row r="1677" spans="1:3" ht="15" customHeight="1" x14ac:dyDescent="0.3">
      <c r="A1677" t="s">
        <v>171</v>
      </c>
      <c r="B1677" s="3">
        <v>45870</v>
      </c>
      <c r="C1677">
        <v>18373</v>
      </c>
    </row>
    <row r="1678" spans="1:3" ht="15" customHeight="1" x14ac:dyDescent="0.3">
      <c r="A1678" t="s">
        <v>171</v>
      </c>
      <c r="B1678" s="3">
        <v>45901</v>
      </c>
      <c r="C1678">
        <v>14826</v>
      </c>
    </row>
    <row r="1679" spans="1:3" ht="15" customHeight="1" x14ac:dyDescent="0.3">
      <c r="A1679" t="s">
        <v>171</v>
      </c>
      <c r="B1679" s="3">
        <v>45931</v>
      </c>
      <c r="C1679">
        <v>14653</v>
      </c>
    </row>
    <row r="1680" spans="1:3" ht="15" customHeight="1" x14ac:dyDescent="0.3">
      <c r="A1680" t="s">
        <v>171</v>
      </c>
      <c r="B1680" s="3">
        <v>45962</v>
      </c>
      <c r="C1680">
        <v>11613</v>
      </c>
    </row>
    <row r="1681" spans="1:3" ht="15" customHeight="1" x14ac:dyDescent="0.3">
      <c r="A1681" t="s">
        <v>171</v>
      </c>
      <c r="B1681" s="3">
        <v>45992</v>
      </c>
      <c r="C1681">
        <v>12623</v>
      </c>
    </row>
    <row r="1682" spans="1:3" ht="15" customHeight="1" x14ac:dyDescent="0.3">
      <c r="A1682" t="s">
        <v>171</v>
      </c>
      <c r="B1682" s="3">
        <v>46023</v>
      </c>
      <c r="C1682">
        <v>13947</v>
      </c>
    </row>
    <row r="1683" spans="1:3" ht="15" customHeight="1" x14ac:dyDescent="0.3">
      <c r="A1683" t="s">
        <v>171</v>
      </c>
      <c r="B1683" s="3">
        <v>46054</v>
      </c>
      <c r="C1683">
        <v>15878</v>
      </c>
    </row>
    <row r="1684" spans="1:3" ht="15" customHeight="1" x14ac:dyDescent="0.3">
      <c r="A1684" t="s">
        <v>171</v>
      </c>
      <c r="B1684" s="3">
        <v>46082</v>
      </c>
      <c r="C1684">
        <v>15307</v>
      </c>
    </row>
    <row r="1685" spans="1:3" ht="15" customHeight="1" x14ac:dyDescent="0.3">
      <c r="A1685" t="s">
        <v>171</v>
      </c>
      <c r="B1685" s="3">
        <v>46113</v>
      </c>
      <c r="C1685">
        <v>13475.98</v>
      </c>
    </row>
    <row r="1686" spans="1:3" ht="15" customHeight="1" x14ac:dyDescent="0.3">
      <c r="A1686" t="s">
        <v>171</v>
      </c>
      <c r="B1686" s="3">
        <v>46143</v>
      </c>
      <c r="C1686" s="13">
        <v>16989.47</v>
      </c>
    </row>
    <row r="1687" spans="1:3" ht="15" customHeight="1" x14ac:dyDescent="0.3">
      <c r="A1687" t="s">
        <v>171</v>
      </c>
      <c r="B1687" s="3">
        <v>46174</v>
      </c>
    </row>
    <row r="1688" spans="1:3" ht="15" customHeight="1" x14ac:dyDescent="0.3">
      <c r="A1688" t="s">
        <v>171</v>
      </c>
      <c r="B1688" s="3">
        <v>46204</v>
      </c>
    </row>
    <row r="1689" spans="1:3" ht="15" customHeight="1" x14ac:dyDescent="0.3">
      <c r="A1689" t="s">
        <v>171</v>
      </c>
      <c r="B1689" s="3">
        <v>46235</v>
      </c>
    </row>
    <row r="1690" spans="1:3" ht="15" customHeight="1" x14ac:dyDescent="0.3">
      <c r="A1690" t="s">
        <v>171</v>
      </c>
      <c r="B1690" s="3">
        <v>46266</v>
      </c>
    </row>
    <row r="1691" spans="1:3" ht="15" customHeight="1" x14ac:dyDescent="0.3">
      <c r="A1691" t="s">
        <v>171</v>
      </c>
      <c r="B1691" s="3">
        <v>46296</v>
      </c>
    </row>
    <row r="1692" spans="1:3" ht="15" customHeight="1" x14ac:dyDescent="0.3">
      <c r="A1692" t="s">
        <v>171</v>
      </c>
      <c r="B1692" s="3">
        <v>46327</v>
      </c>
    </row>
    <row r="1693" spans="1:3" ht="15" customHeight="1" x14ac:dyDescent="0.3">
      <c r="A1693" t="s">
        <v>171</v>
      </c>
      <c r="B1693" s="3">
        <v>46357</v>
      </c>
    </row>
    <row r="1694" spans="1:3" ht="15" customHeight="1" x14ac:dyDescent="0.3">
      <c r="A1694" t="s">
        <v>226</v>
      </c>
      <c r="B1694" s="3">
        <v>45292</v>
      </c>
    </row>
    <row r="1695" spans="1:3" ht="15" customHeight="1" x14ac:dyDescent="0.3">
      <c r="A1695" t="s">
        <v>226</v>
      </c>
      <c r="B1695" s="3">
        <v>45323</v>
      </c>
    </row>
    <row r="1696" spans="1:3" ht="15" customHeight="1" x14ac:dyDescent="0.3">
      <c r="A1696" t="s">
        <v>226</v>
      </c>
      <c r="B1696" s="3">
        <v>45352</v>
      </c>
    </row>
    <row r="1697" spans="1:2" ht="15" customHeight="1" x14ac:dyDescent="0.3">
      <c r="A1697" t="s">
        <v>226</v>
      </c>
      <c r="B1697" s="3">
        <v>45383</v>
      </c>
    </row>
    <row r="1698" spans="1:2" ht="15" customHeight="1" x14ac:dyDescent="0.3">
      <c r="A1698" t="s">
        <v>226</v>
      </c>
      <c r="B1698" s="3">
        <v>45413</v>
      </c>
    </row>
    <row r="1699" spans="1:2" ht="15" customHeight="1" x14ac:dyDescent="0.3">
      <c r="A1699" t="s">
        <v>226</v>
      </c>
      <c r="B1699" s="3">
        <v>45444</v>
      </c>
    </row>
    <row r="1700" spans="1:2" ht="15" customHeight="1" x14ac:dyDescent="0.3">
      <c r="A1700" t="s">
        <v>226</v>
      </c>
      <c r="B1700" s="3">
        <v>45474</v>
      </c>
    </row>
    <row r="1701" spans="1:2" ht="15" customHeight="1" x14ac:dyDescent="0.3">
      <c r="A1701" t="s">
        <v>226</v>
      </c>
      <c r="B1701" s="3">
        <v>45505</v>
      </c>
    </row>
    <row r="1702" spans="1:2" ht="15" customHeight="1" x14ac:dyDescent="0.3">
      <c r="A1702" t="s">
        <v>226</v>
      </c>
      <c r="B1702" s="3">
        <v>45536</v>
      </c>
    </row>
    <row r="1703" spans="1:2" ht="15" customHeight="1" x14ac:dyDescent="0.3">
      <c r="A1703" t="s">
        <v>226</v>
      </c>
      <c r="B1703" s="3">
        <v>45566</v>
      </c>
    </row>
    <row r="1704" spans="1:2" ht="15" customHeight="1" x14ac:dyDescent="0.3">
      <c r="A1704" t="s">
        <v>226</v>
      </c>
      <c r="B1704" s="3">
        <v>45597</v>
      </c>
    </row>
    <row r="1705" spans="1:2" ht="15" customHeight="1" x14ac:dyDescent="0.3">
      <c r="A1705" t="s">
        <v>226</v>
      </c>
      <c r="B1705" s="3">
        <v>45627</v>
      </c>
    </row>
    <row r="1706" spans="1:2" ht="15" customHeight="1" x14ac:dyDescent="0.3">
      <c r="A1706" t="s">
        <v>226</v>
      </c>
      <c r="B1706" s="3">
        <v>45658</v>
      </c>
    </row>
    <row r="1707" spans="1:2" ht="15" customHeight="1" x14ac:dyDescent="0.3">
      <c r="A1707" t="s">
        <v>226</v>
      </c>
      <c r="B1707" s="3">
        <v>45689</v>
      </c>
    </row>
    <row r="1708" spans="1:2" ht="15" customHeight="1" x14ac:dyDescent="0.3">
      <c r="A1708" t="s">
        <v>226</v>
      </c>
      <c r="B1708" s="3">
        <v>45717</v>
      </c>
    </row>
    <row r="1709" spans="1:2" ht="15" customHeight="1" x14ac:dyDescent="0.3">
      <c r="A1709" t="s">
        <v>226</v>
      </c>
      <c r="B1709" s="3">
        <v>45748</v>
      </c>
    </row>
    <row r="1710" spans="1:2" ht="15" customHeight="1" x14ac:dyDescent="0.3">
      <c r="A1710" t="s">
        <v>226</v>
      </c>
      <c r="B1710" s="3">
        <v>45778</v>
      </c>
    </row>
    <row r="1711" spans="1:2" ht="15" customHeight="1" x14ac:dyDescent="0.3">
      <c r="A1711" t="s">
        <v>226</v>
      </c>
      <c r="B1711" s="3">
        <v>45809</v>
      </c>
    </row>
    <row r="1712" spans="1:2" ht="15" customHeight="1" x14ac:dyDescent="0.3">
      <c r="A1712" t="s">
        <v>226</v>
      </c>
      <c r="B1712" s="3">
        <v>45839</v>
      </c>
    </row>
    <row r="1713" spans="1:3" ht="15" customHeight="1" x14ac:dyDescent="0.3">
      <c r="A1713" t="s">
        <v>226</v>
      </c>
      <c r="B1713" s="3">
        <v>45870</v>
      </c>
      <c r="C1713">
        <v>2845</v>
      </c>
    </row>
    <row r="1714" spans="1:3" ht="15" customHeight="1" x14ac:dyDescent="0.3">
      <c r="A1714" t="s">
        <v>226</v>
      </c>
      <c r="B1714" s="3">
        <v>45901</v>
      </c>
      <c r="C1714">
        <v>7367</v>
      </c>
    </row>
    <row r="1715" spans="1:3" ht="15" customHeight="1" x14ac:dyDescent="0.3">
      <c r="A1715" t="s">
        <v>226</v>
      </c>
      <c r="B1715" s="3">
        <v>45931</v>
      </c>
      <c r="C1715">
        <v>8824</v>
      </c>
    </row>
    <row r="1716" spans="1:3" ht="15" customHeight="1" x14ac:dyDescent="0.3">
      <c r="A1716" t="s">
        <v>226</v>
      </c>
      <c r="B1716" s="3">
        <v>45962</v>
      </c>
      <c r="C1716">
        <v>7686</v>
      </c>
    </row>
    <row r="1717" spans="1:3" ht="15" customHeight="1" x14ac:dyDescent="0.3">
      <c r="A1717" t="s">
        <v>226</v>
      </c>
      <c r="B1717" s="3">
        <v>45992</v>
      </c>
      <c r="C1717">
        <v>9330</v>
      </c>
    </row>
    <row r="1718" spans="1:3" ht="15" customHeight="1" x14ac:dyDescent="0.3">
      <c r="A1718" t="s">
        <v>226</v>
      </c>
      <c r="B1718" s="3">
        <v>46023</v>
      </c>
      <c r="C1718">
        <v>9387</v>
      </c>
    </row>
    <row r="1719" spans="1:3" ht="15" customHeight="1" x14ac:dyDescent="0.3">
      <c r="A1719" t="s">
        <v>226</v>
      </c>
      <c r="B1719" s="3">
        <v>46054</v>
      </c>
      <c r="C1719">
        <v>8600</v>
      </c>
    </row>
    <row r="1720" spans="1:3" ht="15" customHeight="1" x14ac:dyDescent="0.3">
      <c r="A1720" t="s">
        <v>226</v>
      </c>
      <c r="B1720" s="3">
        <v>46082</v>
      </c>
      <c r="C1720">
        <v>6749</v>
      </c>
    </row>
    <row r="1721" spans="1:3" ht="15" customHeight="1" x14ac:dyDescent="0.3">
      <c r="A1721" t="s">
        <v>226</v>
      </c>
      <c r="B1721" s="3">
        <v>46113</v>
      </c>
      <c r="C1721">
        <v>6091.51</v>
      </c>
    </row>
    <row r="1722" spans="1:3" ht="15" customHeight="1" x14ac:dyDescent="0.3">
      <c r="A1722" t="s">
        <v>226</v>
      </c>
      <c r="B1722" s="3">
        <v>46143</v>
      </c>
      <c r="C1722" s="13">
        <v>6169.97</v>
      </c>
    </row>
    <row r="1723" spans="1:3" ht="15" customHeight="1" x14ac:dyDescent="0.3">
      <c r="A1723" t="s">
        <v>226</v>
      </c>
      <c r="B1723" s="3">
        <v>46174</v>
      </c>
    </row>
    <row r="1724" spans="1:3" ht="15" customHeight="1" x14ac:dyDescent="0.3">
      <c r="A1724" t="s">
        <v>226</v>
      </c>
      <c r="B1724" s="3">
        <v>46204</v>
      </c>
    </row>
    <row r="1725" spans="1:3" ht="15" customHeight="1" x14ac:dyDescent="0.3">
      <c r="A1725" t="s">
        <v>226</v>
      </c>
      <c r="B1725" s="3">
        <v>46235</v>
      </c>
    </row>
    <row r="1726" spans="1:3" ht="15" customHeight="1" x14ac:dyDescent="0.3">
      <c r="A1726" t="s">
        <v>226</v>
      </c>
      <c r="B1726" s="3">
        <v>46266</v>
      </c>
    </row>
    <row r="1727" spans="1:3" ht="15" customHeight="1" x14ac:dyDescent="0.3">
      <c r="A1727" t="s">
        <v>226</v>
      </c>
      <c r="B1727" s="3">
        <v>46296</v>
      </c>
    </row>
    <row r="1728" spans="1:3" ht="15" customHeight="1" x14ac:dyDescent="0.3">
      <c r="A1728" t="s">
        <v>226</v>
      </c>
      <c r="B1728" s="3">
        <v>46327</v>
      </c>
    </row>
    <row r="1729" spans="1:2" ht="15" customHeight="1" x14ac:dyDescent="0.3">
      <c r="A1729" t="s">
        <v>226</v>
      </c>
      <c r="B1729" s="3">
        <v>46357</v>
      </c>
    </row>
    <row r="1730" spans="1:2" ht="15" customHeight="1" x14ac:dyDescent="0.3">
      <c r="A1730" t="s">
        <v>229</v>
      </c>
      <c r="B1730" s="3">
        <v>45292</v>
      </c>
    </row>
    <row r="1731" spans="1:2" ht="15" customHeight="1" x14ac:dyDescent="0.3">
      <c r="A1731" t="s">
        <v>229</v>
      </c>
      <c r="B1731" s="3">
        <v>45323</v>
      </c>
    </row>
    <row r="1732" spans="1:2" ht="15" customHeight="1" x14ac:dyDescent="0.3">
      <c r="A1732" t="s">
        <v>229</v>
      </c>
      <c r="B1732" s="3">
        <v>45352</v>
      </c>
    </row>
    <row r="1733" spans="1:2" ht="15" customHeight="1" x14ac:dyDescent="0.3">
      <c r="A1733" t="s">
        <v>229</v>
      </c>
      <c r="B1733" s="3">
        <v>45383</v>
      </c>
    </row>
    <row r="1734" spans="1:2" ht="15" customHeight="1" x14ac:dyDescent="0.3">
      <c r="A1734" t="s">
        <v>229</v>
      </c>
      <c r="B1734" s="3">
        <v>45413</v>
      </c>
    </row>
    <row r="1735" spans="1:2" ht="15" customHeight="1" x14ac:dyDescent="0.3">
      <c r="A1735" t="s">
        <v>229</v>
      </c>
      <c r="B1735" s="3">
        <v>45444</v>
      </c>
    </row>
    <row r="1736" spans="1:2" ht="15" customHeight="1" x14ac:dyDescent="0.3">
      <c r="A1736" t="s">
        <v>229</v>
      </c>
      <c r="B1736" s="3">
        <v>45474</v>
      </c>
    </row>
    <row r="1737" spans="1:2" ht="15" customHeight="1" x14ac:dyDescent="0.3">
      <c r="A1737" t="s">
        <v>229</v>
      </c>
      <c r="B1737" s="3">
        <v>45505</v>
      </c>
    </row>
    <row r="1738" spans="1:2" ht="15" customHeight="1" x14ac:dyDescent="0.3">
      <c r="A1738" t="s">
        <v>229</v>
      </c>
      <c r="B1738" s="3">
        <v>45536</v>
      </c>
    </row>
    <row r="1739" spans="1:2" ht="15" customHeight="1" x14ac:dyDescent="0.3">
      <c r="A1739" t="s">
        <v>229</v>
      </c>
      <c r="B1739" s="3">
        <v>45566</v>
      </c>
    </row>
    <row r="1740" spans="1:2" ht="15" customHeight="1" x14ac:dyDescent="0.3">
      <c r="A1740" t="s">
        <v>229</v>
      </c>
      <c r="B1740" s="3">
        <v>45597</v>
      </c>
    </row>
    <row r="1741" spans="1:2" ht="15" customHeight="1" x14ac:dyDescent="0.3">
      <c r="A1741" t="s">
        <v>229</v>
      </c>
      <c r="B1741" s="3">
        <v>45627</v>
      </c>
    </row>
    <row r="1742" spans="1:2" ht="15" customHeight="1" x14ac:dyDescent="0.3">
      <c r="A1742" t="s">
        <v>229</v>
      </c>
      <c r="B1742" s="3">
        <v>45658</v>
      </c>
    </row>
    <row r="1743" spans="1:2" ht="15" customHeight="1" x14ac:dyDescent="0.3">
      <c r="A1743" t="s">
        <v>229</v>
      </c>
      <c r="B1743" s="3">
        <v>45689</v>
      </c>
    </row>
    <row r="1744" spans="1:2" ht="15" customHeight="1" x14ac:dyDescent="0.3">
      <c r="A1744" t="s">
        <v>229</v>
      </c>
      <c r="B1744" s="3">
        <v>45717</v>
      </c>
    </row>
    <row r="1745" spans="1:3" ht="15" customHeight="1" x14ac:dyDescent="0.3">
      <c r="A1745" t="s">
        <v>229</v>
      </c>
      <c r="B1745" s="3">
        <v>45748</v>
      </c>
    </row>
    <row r="1746" spans="1:3" ht="15" customHeight="1" x14ac:dyDescent="0.3">
      <c r="A1746" t="s">
        <v>229</v>
      </c>
      <c r="B1746" s="3">
        <v>45778</v>
      </c>
    </row>
    <row r="1747" spans="1:3" ht="15" customHeight="1" x14ac:dyDescent="0.3">
      <c r="A1747" t="s">
        <v>229</v>
      </c>
      <c r="B1747" s="3">
        <v>45809</v>
      </c>
    </row>
    <row r="1748" spans="1:3" ht="15" customHeight="1" x14ac:dyDescent="0.3">
      <c r="A1748" t="s">
        <v>229</v>
      </c>
      <c r="B1748" s="3">
        <v>45839</v>
      </c>
    </row>
    <row r="1749" spans="1:3" ht="15" customHeight="1" x14ac:dyDescent="0.3">
      <c r="A1749" t="s">
        <v>229</v>
      </c>
      <c r="B1749" s="3">
        <v>45870</v>
      </c>
      <c r="C1749">
        <v>8229</v>
      </c>
    </row>
    <row r="1750" spans="1:3" ht="15" customHeight="1" x14ac:dyDescent="0.3">
      <c r="A1750" t="s">
        <v>229</v>
      </c>
      <c r="B1750" s="3">
        <v>45901</v>
      </c>
      <c r="C1750">
        <v>21334</v>
      </c>
    </row>
    <row r="1751" spans="1:3" ht="15" customHeight="1" x14ac:dyDescent="0.3">
      <c r="A1751" t="s">
        <v>229</v>
      </c>
      <c r="B1751" s="3">
        <v>45931</v>
      </c>
      <c r="C1751">
        <v>26578</v>
      </c>
    </row>
    <row r="1752" spans="1:3" ht="15" customHeight="1" x14ac:dyDescent="0.3">
      <c r="A1752" t="s">
        <v>229</v>
      </c>
      <c r="B1752" s="3">
        <v>45962</v>
      </c>
      <c r="C1752">
        <v>22629</v>
      </c>
    </row>
    <row r="1753" spans="1:3" ht="15" customHeight="1" x14ac:dyDescent="0.3">
      <c r="A1753" t="s">
        <v>229</v>
      </c>
      <c r="B1753" s="3">
        <v>45992</v>
      </c>
      <c r="C1753">
        <v>27791</v>
      </c>
    </row>
    <row r="1754" spans="1:3" ht="15" customHeight="1" x14ac:dyDescent="0.3">
      <c r="A1754" t="s">
        <v>229</v>
      </c>
      <c r="B1754" s="3">
        <v>46023</v>
      </c>
      <c r="C1754">
        <v>27879</v>
      </c>
    </row>
    <row r="1755" spans="1:3" ht="15" customHeight="1" x14ac:dyDescent="0.3">
      <c r="A1755" t="s">
        <v>229</v>
      </c>
      <c r="B1755" s="3">
        <v>46054</v>
      </c>
      <c r="C1755">
        <v>25500</v>
      </c>
    </row>
    <row r="1756" spans="1:3" ht="15" customHeight="1" x14ac:dyDescent="0.3">
      <c r="A1756" t="s">
        <v>229</v>
      </c>
      <c r="B1756" s="3">
        <v>46082</v>
      </c>
      <c r="C1756">
        <v>20753</v>
      </c>
    </row>
    <row r="1757" spans="1:3" ht="15" customHeight="1" x14ac:dyDescent="0.3">
      <c r="A1757" t="s">
        <v>229</v>
      </c>
      <c r="B1757" s="3">
        <v>46113</v>
      </c>
      <c r="C1757">
        <v>18061.39</v>
      </c>
    </row>
    <row r="1758" spans="1:3" ht="15" customHeight="1" x14ac:dyDescent="0.3">
      <c r="A1758" t="s">
        <v>229</v>
      </c>
      <c r="B1758" s="3">
        <v>46143</v>
      </c>
      <c r="C1758" s="13">
        <v>18908.48</v>
      </c>
    </row>
    <row r="1759" spans="1:3" ht="15" customHeight="1" x14ac:dyDescent="0.3">
      <c r="A1759" t="s">
        <v>229</v>
      </c>
      <c r="B1759" s="3">
        <v>46174</v>
      </c>
    </row>
    <row r="1760" spans="1:3" ht="15" customHeight="1" x14ac:dyDescent="0.3">
      <c r="A1760" t="s">
        <v>229</v>
      </c>
      <c r="B1760" s="3">
        <v>46204</v>
      </c>
    </row>
    <row r="1761" spans="1:2" ht="15" customHeight="1" x14ac:dyDescent="0.3">
      <c r="A1761" t="s">
        <v>229</v>
      </c>
      <c r="B1761" s="3">
        <v>46235</v>
      </c>
    </row>
    <row r="1762" spans="1:2" ht="15" customHeight="1" x14ac:dyDescent="0.3">
      <c r="A1762" t="s">
        <v>229</v>
      </c>
      <c r="B1762" s="3">
        <v>46266</v>
      </c>
    </row>
    <row r="1763" spans="1:2" ht="15" customHeight="1" x14ac:dyDescent="0.3">
      <c r="A1763" t="s">
        <v>229</v>
      </c>
      <c r="B1763" s="3">
        <v>46296</v>
      </c>
    </row>
    <row r="1764" spans="1:2" ht="15" customHeight="1" x14ac:dyDescent="0.3">
      <c r="A1764" t="s">
        <v>229</v>
      </c>
      <c r="B1764" s="3">
        <v>46327</v>
      </c>
    </row>
    <row r="1765" spans="1:2" ht="15" customHeight="1" x14ac:dyDescent="0.3">
      <c r="A1765" t="s">
        <v>229</v>
      </c>
      <c r="B1765" s="3">
        <v>46357</v>
      </c>
    </row>
    <row r="1766" spans="1:2" ht="15" customHeight="1" x14ac:dyDescent="0.3">
      <c r="A1766" t="s">
        <v>231</v>
      </c>
      <c r="B1766" s="3">
        <v>45292</v>
      </c>
    </row>
    <row r="1767" spans="1:2" ht="15" customHeight="1" x14ac:dyDescent="0.3">
      <c r="A1767" t="s">
        <v>231</v>
      </c>
      <c r="B1767" s="3">
        <v>45323</v>
      </c>
    </row>
    <row r="1768" spans="1:2" ht="15" customHeight="1" x14ac:dyDescent="0.3">
      <c r="A1768" t="s">
        <v>231</v>
      </c>
      <c r="B1768" s="3">
        <v>45352</v>
      </c>
    </row>
    <row r="1769" spans="1:2" ht="15" customHeight="1" x14ac:dyDescent="0.3">
      <c r="A1769" t="s">
        <v>231</v>
      </c>
      <c r="B1769" s="3">
        <v>45383</v>
      </c>
    </row>
    <row r="1770" spans="1:2" ht="15" customHeight="1" x14ac:dyDescent="0.3">
      <c r="A1770" t="s">
        <v>231</v>
      </c>
      <c r="B1770" s="3">
        <v>45413</v>
      </c>
    </row>
    <row r="1771" spans="1:2" ht="15" customHeight="1" x14ac:dyDescent="0.3">
      <c r="A1771" t="s">
        <v>231</v>
      </c>
      <c r="B1771" s="3">
        <v>45444</v>
      </c>
    </row>
    <row r="1772" spans="1:2" ht="15" customHeight="1" x14ac:dyDescent="0.3">
      <c r="A1772" t="s">
        <v>231</v>
      </c>
      <c r="B1772" s="3">
        <v>45474</v>
      </c>
    </row>
    <row r="1773" spans="1:2" ht="15" customHeight="1" x14ac:dyDescent="0.3">
      <c r="A1773" t="s">
        <v>231</v>
      </c>
      <c r="B1773" s="3">
        <v>45505</v>
      </c>
    </row>
    <row r="1774" spans="1:2" ht="15" customHeight="1" x14ac:dyDescent="0.3">
      <c r="A1774" t="s">
        <v>231</v>
      </c>
      <c r="B1774" s="3">
        <v>45536</v>
      </c>
    </row>
    <row r="1775" spans="1:2" ht="15" customHeight="1" x14ac:dyDescent="0.3">
      <c r="A1775" t="s">
        <v>231</v>
      </c>
      <c r="B1775" s="3">
        <v>45566</v>
      </c>
    </row>
    <row r="1776" spans="1:2" ht="15" customHeight="1" x14ac:dyDescent="0.3">
      <c r="A1776" t="s">
        <v>231</v>
      </c>
      <c r="B1776" s="3">
        <v>45597</v>
      </c>
    </row>
    <row r="1777" spans="1:3" ht="15" customHeight="1" x14ac:dyDescent="0.3">
      <c r="A1777" t="s">
        <v>231</v>
      </c>
      <c r="B1777" s="3">
        <v>45627</v>
      </c>
    </row>
    <row r="1778" spans="1:3" ht="15" customHeight="1" x14ac:dyDescent="0.3">
      <c r="A1778" t="s">
        <v>231</v>
      </c>
      <c r="B1778" s="3">
        <v>45658</v>
      </c>
    </row>
    <row r="1779" spans="1:3" ht="15" customHeight="1" x14ac:dyDescent="0.3">
      <c r="A1779" t="s">
        <v>231</v>
      </c>
      <c r="B1779" s="3">
        <v>45689</v>
      </c>
    </row>
    <row r="1780" spans="1:3" ht="15" customHeight="1" x14ac:dyDescent="0.3">
      <c r="A1780" t="s">
        <v>231</v>
      </c>
      <c r="B1780" s="3">
        <v>45717</v>
      </c>
    </row>
    <row r="1781" spans="1:3" ht="15" customHeight="1" x14ac:dyDescent="0.3">
      <c r="A1781" t="s">
        <v>231</v>
      </c>
      <c r="B1781" s="3">
        <v>45748</v>
      </c>
    </row>
    <row r="1782" spans="1:3" ht="15" customHeight="1" x14ac:dyDescent="0.3">
      <c r="A1782" t="s">
        <v>231</v>
      </c>
      <c r="B1782" s="3">
        <v>45778</v>
      </c>
    </row>
    <row r="1783" spans="1:3" ht="15" customHeight="1" x14ac:dyDescent="0.3">
      <c r="A1783" t="s">
        <v>231</v>
      </c>
      <c r="B1783" s="3">
        <v>45809</v>
      </c>
    </row>
    <row r="1784" spans="1:3" ht="15" customHeight="1" x14ac:dyDescent="0.3">
      <c r="A1784" t="s">
        <v>231</v>
      </c>
      <c r="B1784" s="3">
        <v>45839</v>
      </c>
    </row>
    <row r="1785" spans="1:3" ht="15" customHeight="1" x14ac:dyDescent="0.3">
      <c r="A1785" t="s">
        <v>231</v>
      </c>
      <c r="B1785" s="3">
        <v>45870</v>
      </c>
      <c r="C1785">
        <v>2512</v>
      </c>
    </row>
    <row r="1786" spans="1:3" ht="15" customHeight="1" x14ac:dyDescent="0.3">
      <c r="A1786" t="s">
        <v>231</v>
      </c>
      <c r="B1786" s="3">
        <v>45901</v>
      </c>
      <c r="C1786">
        <v>7570</v>
      </c>
    </row>
    <row r="1787" spans="1:3" ht="15" customHeight="1" x14ac:dyDescent="0.3">
      <c r="A1787" t="s">
        <v>231</v>
      </c>
      <c r="B1787" s="3">
        <v>45931</v>
      </c>
      <c r="C1787">
        <v>8856</v>
      </c>
    </row>
    <row r="1788" spans="1:3" ht="15" customHeight="1" x14ac:dyDescent="0.3">
      <c r="A1788" t="s">
        <v>231</v>
      </c>
      <c r="B1788" s="3">
        <v>45962</v>
      </c>
      <c r="C1788">
        <v>7508</v>
      </c>
    </row>
    <row r="1789" spans="1:3" ht="15" customHeight="1" x14ac:dyDescent="0.3">
      <c r="A1789" t="s">
        <v>231</v>
      </c>
      <c r="B1789" s="3">
        <v>45992</v>
      </c>
      <c r="C1789">
        <v>9313</v>
      </c>
    </row>
    <row r="1790" spans="1:3" ht="15" customHeight="1" x14ac:dyDescent="0.3">
      <c r="A1790" t="s">
        <v>231</v>
      </c>
      <c r="B1790" s="3">
        <v>46023</v>
      </c>
      <c r="C1790">
        <v>9484</v>
      </c>
    </row>
    <row r="1791" spans="1:3" ht="15" customHeight="1" x14ac:dyDescent="0.3">
      <c r="A1791" t="s">
        <v>231</v>
      </c>
      <c r="B1791" s="3">
        <v>46054</v>
      </c>
      <c r="C1791">
        <v>8425.7999999999993</v>
      </c>
    </row>
    <row r="1792" spans="1:3" ht="15" customHeight="1" x14ac:dyDescent="0.3">
      <c r="A1792" t="s">
        <v>231</v>
      </c>
      <c r="B1792" s="3">
        <v>46082</v>
      </c>
      <c r="C1792">
        <v>7083</v>
      </c>
    </row>
    <row r="1793" spans="1:3" ht="15" customHeight="1" x14ac:dyDescent="0.3">
      <c r="A1793" t="s">
        <v>231</v>
      </c>
      <c r="B1793" s="3">
        <v>46113</v>
      </c>
      <c r="C1793">
        <v>6207.8</v>
      </c>
    </row>
    <row r="1794" spans="1:3" ht="15" customHeight="1" x14ac:dyDescent="0.3">
      <c r="A1794" t="s">
        <v>231</v>
      </c>
      <c r="B1794" s="3">
        <v>46143</v>
      </c>
      <c r="C1794" s="13">
        <v>6478.04</v>
      </c>
    </row>
    <row r="1795" spans="1:3" ht="15" customHeight="1" x14ac:dyDescent="0.3">
      <c r="A1795" t="s">
        <v>231</v>
      </c>
      <c r="B1795" s="3">
        <v>46174</v>
      </c>
    </row>
    <row r="1796" spans="1:3" ht="15" customHeight="1" x14ac:dyDescent="0.3">
      <c r="A1796" t="s">
        <v>231</v>
      </c>
      <c r="B1796" s="3">
        <v>46204</v>
      </c>
    </row>
    <row r="1797" spans="1:3" ht="15" customHeight="1" x14ac:dyDescent="0.3">
      <c r="A1797" t="s">
        <v>231</v>
      </c>
      <c r="B1797" s="3">
        <v>46235</v>
      </c>
    </row>
    <row r="1798" spans="1:3" ht="15" customHeight="1" x14ac:dyDescent="0.3">
      <c r="A1798" t="s">
        <v>231</v>
      </c>
      <c r="B1798" s="3">
        <v>46266</v>
      </c>
    </row>
    <row r="1799" spans="1:3" ht="15" customHeight="1" x14ac:dyDescent="0.3">
      <c r="A1799" t="s">
        <v>231</v>
      </c>
      <c r="B1799" s="3">
        <v>46296</v>
      </c>
    </row>
    <row r="1800" spans="1:3" ht="15" customHeight="1" x14ac:dyDescent="0.3">
      <c r="A1800" t="s">
        <v>231</v>
      </c>
      <c r="B1800" s="3">
        <v>46327</v>
      </c>
    </row>
    <row r="1801" spans="1:3" ht="15" customHeight="1" x14ac:dyDescent="0.3">
      <c r="A1801" t="s">
        <v>231</v>
      </c>
      <c r="B1801" s="3">
        <v>46357</v>
      </c>
    </row>
    <row r="1802" spans="1:3" ht="15" customHeight="1" x14ac:dyDescent="0.3">
      <c r="A1802" t="s">
        <v>175</v>
      </c>
      <c r="B1802" s="3">
        <v>45292</v>
      </c>
      <c r="C1802">
        <v>1720</v>
      </c>
    </row>
    <row r="1803" spans="1:3" ht="15" customHeight="1" x14ac:dyDescent="0.3">
      <c r="A1803" t="s">
        <v>175</v>
      </c>
      <c r="B1803" s="3">
        <v>45323</v>
      </c>
      <c r="C1803">
        <v>1864</v>
      </c>
    </row>
    <row r="1804" spans="1:3" ht="15" customHeight="1" x14ac:dyDescent="0.3">
      <c r="A1804" t="s">
        <v>175</v>
      </c>
      <c r="B1804" s="3">
        <v>45352</v>
      </c>
      <c r="C1804">
        <v>2167</v>
      </c>
    </row>
    <row r="1805" spans="1:3" ht="15" customHeight="1" x14ac:dyDescent="0.3">
      <c r="A1805" t="s">
        <v>175</v>
      </c>
      <c r="B1805" s="3">
        <v>45383</v>
      </c>
      <c r="C1805">
        <v>1409</v>
      </c>
    </row>
    <row r="1806" spans="1:3" ht="15" customHeight="1" x14ac:dyDescent="0.3">
      <c r="A1806" t="s">
        <v>175</v>
      </c>
      <c r="B1806" s="3">
        <v>45413</v>
      </c>
      <c r="C1806">
        <v>1672</v>
      </c>
    </row>
    <row r="1807" spans="1:3" ht="15" customHeight="1" x14ac:dyDescent="0.3">
      <c r="A1807" t="s">
        <v>175</v>
      </c>
      <c r="B1807" s="3">
        <v>45444</v>
      </c>
      <c r="C1807">
        <v>1125</v>
      </c>
    </row>
    <row r="1808" spans="1:3" ht="15" customHeight="1" x14ac:dyDescent="0.3">
      <c r="A1808" t="s">
        <v>175</v>
      </c>
      <c r="B1808" s="3">
        <v>45474</v>
      </c>
      <c r="C1808">
        <v>2628</v>
      </c>
    </row>
    <row r="1809" spans="1:3" ht="15" customHeight="1" x14ac:dyDescent="0.3">
      <c r="A1809" t="s">
        <v>175</v>
      </c>
      <c r="B1809" s="3">
        <v>45505</v>
      </c>
      <c r="C1809">
        <v>794</v>
      </c>
    </row>
    <row r="1810" spans="1:3" ht="15" customHeight="1" x14ac:dyDescent="0.3">
      <c r="A1810" t="s">
        <v>175</v>
      </c>
      <c r="B1810" s="3">
        <v>45536</v>
      </c>
      <c r="C1810">
        <v>1822</v>
      </c>
    </row>
    <row r="1811" spans="1:3" ht="15" customHeight="1" x14ac:dyDescent="0.3">
      <c r="A1811" t="s">
        <v>175</v>
      </c>
      <c r="B1811" s="3">
        <v>45566</v>
      </c>
      <c r="C1811">
        <v>2044</v>
      </c>
    </row>
    <row r="1812" spans="1:3" ht="15" customHeight="1" x14ac:dyDescent="0.3">
      <c r="A1812" t="s">
        <v>175</v>
      </c>
      <c r="B1812" s="3">
        <v>45597</v>
      </c>
      <c r="C1812">
        <v>1984</v>
      </c>
    </row>
    <row r="1813" spans="1:3" ht="15" customHeight="1" x14ac:dyDescent="0.3">
      <c r="A1813" t="s">
        <v>175</v>
      </c>
      <c r="B1813" s="3">
        <v>45627</v>
      </c>
      <c r="C1813">
        <v>1687</v>
      </c>
    </row>
    <row r="1814" spans="1:3" ht="15" customHeight="1" x14ac:dyDescent="0.3">
      <c r="A1814" t="s">
        <v>175</v>
      </c>
      <c r="B1814" s="3">
        <v>45658</v>
      </c>
      <c r="C1814">
        <v>2354</v>
      </c>
    </row>
    <row r="1815" spans="1:3" ht="15" customHeight="1" x14ac:dyDescent="0.3">
      <c r="A1815" t="s">
        <v>175</v>
      </c>
      <c r="B1815" s="3">
        <v>45689</v>
      </c>
      <c r="C1815">
        <v>1728</v>
      </c>
    </row>
    <row r="1816" spans="1:3" ht="15" customHeight="1" x14ac:dyDescent="0.3">
      <c r="A1816" t="s">
        <v>175</v>
      </c>
      <c r="B1816" s="3">
        <v>45717</v>
      </c>
      <c r="C1816">
        <v>1704</v>
      </c>
    </row>
    <row r="1817" spans="1:3" ht="15" customHeight="1" x14ac:dyDescent="0.3">
      <c r="A1817" t="s">
        <v>175</v>
      </c>
      <c r="B1817" s="3">
        <v>45748</v>
      </c>
      <c r="C1817">
        <v>1518</v>
      </c>
    </row>
    <row r="1818" spans="1:3" ht="15" customHeight="1" x14ac:dyDescent="0.3">
      <c r="A1818" t="s">
        <v>175</v>
      </c>
      <c r="B1818" s="3">
        <v>45778</v>
      </c>
      <c r="C1818">
        <v>2450</v>
      </c>
    </row>
    <row r="1819" spans="1:3" ht="15" customHeight="1" x14ac:dyDescent="0.3">
      <c r="A1819" t="s">
        <v>175</v>
      </c>
      <c r="B1819" s="3">
        <v>45809</v>
      </c>
      <c r="C1819">
        <v>2470.27</v>
      </c>
    </row>
    <row r="1820" spans="1:3" ht="15" customHeight="1" x14ac:dyDescent="0.3">
      <c r="A1820" t="s">
        <v>175</v>
      </c>
      <c r="B1820" s="3">
        <v>45839</v>
      </c>
      <c r="C1820">
        <v>2714</v>
      </c>
    </row>
    <row r="1821" spans="1:3" ht="15" customHeight="1" x14ac:dyDescent="0.3">
      <c r="A1821" t="s">
        <v>175</v>
      </c>
      <c r="B1821" s="3">
        <v>45870</v>
      </c>
      <c r="C1821">
        <v>2694</v>
      </c>
    </row>
    <row r="1822" spans="1:3" ht="15" customHeight="1" x14ac:dyDescent="0.3">
      <c r="A1822" t="s">
        <v>175</v>
      </c>
      <c r="B1822" s="3">
        <v>45901</v>
      </c>
      <c r="C1822">
        <v>1488</v>
      </c>
    </row>
    <row r="1823" spans="1:3" ht="15" customHeight="1" x14ac:dyDescent="0.3">
      <c r="A1823" t="s">
        <v>175</v>
      </c>
      <c r="B1823" s="3">
        <v>45931</v>
      </c>
      <c r="C1823">
        <v>380</v>
      </c>
    </row>
    <row r="1824" spans="1:3" ht="15" customHeight="1" x14ac:dyDescent="0.3">
      <c r="A1824" t="s">
        <v>175</v>
      </c>
      <c r="B1824" s="3">
        <v>45962</v>
      </c>
    </row>
    <row r="1825" spans="1:3" ht="15" customHeight="1" x14ac:dyDescent="0.3">
      <c r="A1825" t="s">
        <v>175</v>
      </c>
      <c r="B1825" s="3">
        <v>45992</v>
      </c>
    </row>
    <row r="1826" spans="1:3" ht="15" customHeight="1" x14ac:dyDescent="0.3">
      <c r="A1826" t="s">
        <v>175</v>
      </c>
      <c r="B1826" s="3">
        <v>46023</v>
      </c>
    </row>
    <row r="1827" spans="1:3" ht="15" customHeight="1" x14ac:dyDescent="0.3">
      <c r="A1827" t="s">
        <v>175</v>
      </c>
      <c r="B1827" s="3">
        <v>46054</v>
      </c>
    </row>
    <row r="1828" spans="1:3" ht="15" customHeight="1" x14ac:dyDescent="0.3">
      <c r="A1828" t="s">
        <v>175</v>
      </c>
      <c r="B1828" s="3">
        <v>46082</v>
      </c>
    </row>
    <row r="1829" spans="1:3" ht="15" customHeight="1" x14ac:dyDescent="0.3">
      <c r="A1829" t="s">
        <v>175</v>
      </c>
      <c r="B1829" s="3">
        <v>46113</v>
      </c>
    </row>
    <row r="1830" spans="1:3" ht="15" customHeight="1" x14ac:dyDescent="0.3">
      <c r="A1830" t="s">
        <v>175</v>
      </c>
      <c r="B1830" s="3">
        <v>46143</v>
      </c>
    </row>
    <row r="1831" spans="1:3" ht="15" customHeight="1" x14ac:dyDescent="0.3">
      <c r="A1831" t="s">
        <v>175</v>
      </c>
      <c r="B1831" s="3">
        <v>46174</v>
      </c>
    </row>
    <row r="1832" spans="1:3" ht="15" customHeight="1" x14ac:dyDescent="0.3">
      <c r="A1832" t="s">
        <v>175</v>
      </c>
      <c r="B1832" s="3">
        <v>46204</v>
      </c>
    </row>
    <row r="1833" spans="1:3" ht="15" customHeight="1" x14ac:dyDescent="0.3">
      <c r="A1833" t="s">
        <v>175</v>
      </c>
      <c r="B1833" s="3">
        <v>46235</v>
      </c>
    </row>
    <row r="1834" spans="1:3" ht="15" customHeight="1" x14ac:dyDescent="0.3">
      <c r="A1834" t="s">
        <v>175</v>
      </c>
      <c r="B1834" s="3">
        <v>46266</v>
      </c>
    </row>
    <row r="1835" spans="1:3" ht="15" customHeight="1" x14ac:dyDescent="0.3">
      <c r="A1835" t="s">
        <v>175</v>
      </c>
      <c r="B1835" s="3">
        <v>46296</v>
      </c>
    </row>
    <row r="1836" spans="1:3" ht="15" customHeight="1" x14ac:dyDescent="0.3">
      <c r="A1836" t="s">
        <v>175</v>
      </c>
      <c r="B1836" s="3">
        <v>46327</v>
      </c>
    </row>
    <row r="1837" spans="1:3" ht="15" customHeight="1" x14ac:dyDescent="0.3">
      <c r="A1837" t="s">
        <v>175</v>
      </c>
      <c r="B1837" s="3">
        <v>46357</v>
      </c>
    </row>
    <row r="1838" spans="1:3" ht="15" customHeight="1" x14ac:dyDescent="0.3">
      <c r="A1838" t="s">
        <v>178</v>
      </c>
      <c r="B1838" s="3">
        <v>45292</v>
      </c>
      <c r="C1838">
        <v>17948</v>
      </c>
    </row>
    <row r="1839" spans="1:3" ht="15" customHeight="1" x14ac:dyDescent="0.3">
      <c r="A1839" t="s">
        <v>178</v>
      </c>
      <c r="B1839" s="3">
        <v>45323</v>
      </c>
      <c r="C1839">
        <v>16954</v>
      </c>
    </row>
    <row r="1840" spans="1:3" ht="15" customHeight="1" x14ac:dyDescent="0.3">
      <c r="A1840" t="s">
        <v>178</v>
      </c>
      <c r="B1840" s="3">
        <v>45352</v>
      </c>
      <c r="C1840">
        <v>16498</v>
      </c>
    </row>
    <row r="1841" spans="1:3" ht="15" customHeight="1" x14ac:dyDescent="0.3">
      <c r="A1841" t="s">
        <v>178</v>
      </c>
      <c r="B1841" s="3">
        <v>45383</v>
      </c>
      <c r="C1841">
        <v>13514</v>
      </c>
    </row>
    <row r="1842" spans="1:3" ht="15" customHeight="1" x14ac:dyDescent="0.3">
      <c r="A1842" t="s">
        <v>178</v>
      </c>
      <c r="B1842" s="3">
        <v>45413</v>
      </c>
      <c r="C1842">
        <v>13524</v>
      </c>
    </row>
    <row r="1843" spans="1:3" ht="15" customHeight="1" x14ac:dyDescent="0.3">
      <c r="A1843" t="s">
        <v>178</v>
      </c>
      <c r="B1843" s="3">
        <v>45444</v>
      </c>
      <c r="C1843">
        <v>11348</v>
      </c>
    </row>
    <row r="1844" spans="1:3" ht="15" customHeight="1" x14ac:dyDescent="0.3">
      <c r="A1844" t="s">
        <v>178</v>
      </c>
      <c r="B1844" s="3">
        <v>45474</v>
      </c>
      <c r="C1844">
        <v>12215</v>
      </c>
    </row>
    <row r="1845" spans="1:3" ht="15" customHeight="1" x14ac:dyDescent="0.3">
      <c r="A1845" t="s">
        <v>178</v>
      </c>
      <c r="B1845" s="3">
        <v>45505</v>
      </c>
      <c r="C1845">
        <v>12637</v>
      </c>
    </row>
    <row r="1846" spans="1:3" ht="15" customHeight="1" x14ac:dyDescent="0.3">
      <c r="A1846" t="s">
        <v>178</v>
      </c>
      <c r="B1846" s="3">
        <v>45536</v>
      </c>
      <c r="C1846">
        <v>12990</v>
      </c>
    </row>
    <row r="1847" spans="1:3" ht="15" customHeight="1" x14ac:dyDescent="0.3">
      <c r="A1847" t="s">
        <v>178</v>
      </c>
      <c r="B1847" s="3">
        <v>45566</v>
      </c>
      <c r="C1847">
        <v>10518</v>
      </c>
    </row>
    <row r="1848" spans="1:3" ht="15" customHeight="1" x14ac:dyDescent="0.3">
      <c r="A1848" t="s">
        <v>178</v>
      </c>
      <c r="B1848" s="3">
        <v>45597</v>
      </c>
      <c r="C1848">
        <v>5878</v>
      </c>
    </row>
    <row r="1849" spans="1:3" ht="15" customHeight="1" x14ac:dyDescent="0.3">
      <c r="A1849" t="s">
        <v>178</v>
      </c>
      <c r="B1849" s="3">
        <v>45627</v>
      </c>
      <c r="C1849">
        <v>17496</v>
      </c>
    </row>
    <row r="1850" spans="1:3" ht="15" customHeight="1" x14ac:dyDescent="0.3">
      <c r="A1850" t="s">
        <v>178</v>
      </c>
      <c r="B1850" s="3">
        <v>45658</v>
      </c>
      <c r="C1850">
        <v>16026</v>
      </c>
    </row>
    <row r="1851" spans="1:3" ht="15" customHeight="1" x14ac:dyDescent="0.3">
      <c r="A1851" t="s">
        <v>178</v>
      </c>
      <c r="B1851" s="3">
        <v>45689</v>
      </c>
      <c r="C1851">
        <v>13689</v>
      </c>
    </row>
    <row r="1852" spans="1:3" ht="15" customHeight="1" x14ac:dyDescent="0.3">
      <c r="A1852" t="s">
        <v>178</v>
      </c>
      <c r="B1852" s="3">
        <v>45717</v>
      </c>
      <c r="C1852">
        <v>11995</v>
      </c>
    </row>
    <row r="1853" spans="1:3" ht="15" customHeight="1" x14ac:dyDescent="0.3">
      <c r="A1853" t="s">
        <v>178</v>
      </c>
      <c r="B1853" s="3">
        <v>45748</v>
      </c>
      <c r="C1853">
        <v>6680</v>
      </c>
    </row>
    <row r="1854" spans="1:3" ht="15" customHeight="1" x14ac:dyDescent="0.3">
      <c r="A1854" t="s">
        <v>178</v>
      </c>
      <c r="B1854" s="3">
        <v>45778</v>
      </c>
      <c r="C1854">
        <v>11933</v>
      </c>
    </row>
    <row r="1855" spans="1:3" ht="15" customHeight="1" x14ac:dyDescent="0.3">
      <c r="A1855" t="s">
        <v>178</v>
      </c>
      <c r="B1855" s="3">
        <v>45809</v>
      </c>
      <c r="C1855">
        <v>9797.26</v>
      </c>
    </row>
    <row r="1856" spans="1:3" ht="15" customHeight="1" x14ac:dyDescent="0.3">
      <c r="A1856" t="s">
        <v>178</v>
      </c>
      <c r="B1856" s="3">
        <v>45839</v>
      </c>
      <c r="C1856">
        <v>9134.4</v>
      </c>
    </row>
    <row r="1857" spans="1:3" ht="15" customHeight="1" x14ac:dyDescent="0.3">
      <c r="A1857" t="s">
        <v>178</v>
      </c>
      <c r="B1857" s="3">
        <v>45870</v>
      </c>
      <c r="C1857">
        <v>15551</v>
      </c>
    </row>
    <row r="1858" spans="1:3" ht="15" customHeight="1" x14ac:dyDescent="0.3">
      <c r="A1858" t="s">
        <v>178</v>
      </c>
      <c r="B1858" s="3">
        <v>45901</v>
      </c>
      <c r="C1858">
        <v>14894</v>
      </c>
    </row>
    <row r="1859" spans="1:3" ht="15" customHeight="1" x14ac:dyDescent="0.3">
      <c r="A1859" t="s">
        <v>178</v>
      </c>
      <c r="B1859" s="3">
        <v>45931</v>
      </c>
      <c r="C1859">
        <v>17167</v>
      </c>
    </row>
    <row r="1860" spans="1:3" ht="15" customHeight="1" x14ac:dyDescent="0.3">
      <c r="A1860" t="s">
        <v>178</v>
      </c>
      <c r="B1860" s="3">
        <v>45962</v>
      </c>
      <c r="C1860">
        <v>14437</v>
      </c>
    </row>
    <row r="1861" spans="1:3" ht="15" customHeight="1" x14ac:dyDescent="0.3">
      <c r="A1861" t="s">
        <v>178</v>
      </c>
      <c r="B1861" s="3">
        <v>45992</v>
      </c>
      <c r="C1861">
        <v>14721</v>
      </c>
    </row>
    <row r="1862" spans="1:3" ht="15" customHeight="1" x14ac:dyDescent="0.3">
      <c r="A1862" t="s">
        <v>178</v>
      </c>
      <c r="B1862" s="3">
        <v>46023</v>
      </c>
      <c r="C1862">
        <v>16129</v>
      </c>
    </row>
    <row r="1863" spans="1:3" ht="15" customHeight="1" x14ac:dyDescent="0.3">
      <c r="A1863" t="s">
        <v>178</v>
      </c>
      <c r="B1863" s="3">
        <v>46054</v>
      </c>
      <c r="C1863">
        <v>15901</v>
      </c>
    </row>
    <row r="1864" spans="1:3" ht="15" customHeight="1" x14ac:dyDescent="0.3">
      <c r="A1864" t="s">
        <v>178</v>
      </c>
      <c r="B1864" s="3">
        <v>46082</v>
      </c>
      <c r="C1864">
        <v>13942</v>
      </c>
    </row>
    <row r="1865" spans="1:3" ht="15" customHeight="1" x14ac:dyDescent="0.3">
      <c r="A1865" t="s">
        <v>178</v>
      </c>
      <c r="B1865" s="3">
        <v>46113</v>
      </c>
      <c r="C1865">
        <v>12240.56</v>
      </c>
    </row>
    <row r="1866" spans="1:3" ht="15" customHeight="1" x14ac:dyDescent="0.3">
      <c r="A1866" t="s">
        <v>178</v>
      </c>
      <c r="B1866" s="3">
        <v>46143</v>
      </c>
      <c r="C1866" s="13">
        <v>12352.61</v>
      </c>
    </row>
    <row r="1867" spans="1:3" ht="15" customHeight="1" x14ac:dyDescent="0.3">
      <c r="A1867" t="s">
        <v>178</v>
      </c>
      <c r="B1867" s="3">
        <v>46174</v>
      </c>
    </row>
    <row r="1868" spans="1:3" ht="15" customHeight="1" x14ac:dyDescent="0.3">
      <c r="A1868" t="s">
        <v>178</v>
      </c>
      <c r="B1868" s="3">
        <v>46204</v>
      </c>
    </row>
    <row r="1869" spans="1:3" ht="15" customHeight="1" x14ac:dyDescent="0.3">
      <c r="A1869" t="s">
        <v>178</v>
      </c>
      <c r="B1869" s="3">
        <v>46235</v>
      </c>
    </row>
    <row r="1870" spans="1:3" ht="15" customHeight="1" x14ac:dyDescent="0.3">
      <c r="A1870" t="s">
        <v>178</v>
      </c>
      <c r="B1870" s="3">
        <v>46266</v>
      </c>
    </row>
    <row r="1871" spans="1:3" ht="15" customHeight="1" x14ac:dyDescent="0.3">
      <c r="A1871" t="s">
        <v>178</v>
      </c>
      <c r="B1871" s="3">
        <v>46296</v>
      </c>
    </row>
    <row r="1872" spans="1:3" ht="15" customHeight="1" x14ac:dyDescent="0.3">
      <c r="A1872" t="s">
        <v>178</v>
      </c>
      <c r="B1872" s="3">
        <v>46327</v>
      </c>
    </row>
    <row r="1873" spans="1:3" ht="15" customHeight="1" x14ac:dyDescent="0.3">
      <c r="A1873" t="s">
        <v>178</v>
      </c>
      <c r="B1873" s="3">
        <v>46357</v>
      </c>
    </row>
    <row r="1874" spans="1:3" ht="15" customHeight="1" x14ac:dyDescent="0.3">
      <c r="A1874" t="s">
        <v>181</v>
      </c>
      <c r="B1874" s="3">
        <v>45292</v>
      </c>
      <c r="C1874">
        <v>1424</v>
      </c>
    </row>
    <row r="1875" spans="1:3" ht="15" customHeight="1" x14ac:dyDescent="0.3">
      <c r="A1875" t="s">
        <v>181</v>
      </c>
      <c r="B1875" s="3">
        <v>45323</v>
      </c>
      <c r="C1875">
        <v>1471</v>
      </c>
    </row>
    <row r="1876" spans="1:3" ht="15" customHeight="1" x14ac:dyDescent="0.3">
      <c r="A1876" t="s">
        <v>181</v>
      </c>
      <c r="B1876" s="3">
        <v>45352</v>
      </c>
      <c r="C1876">
        <v>1705</v>
      </c>
    </row>
    <row r="1877" spans="1:3" ht="15" customHeight="1" x14ac:dyDescent="0.3">
      <c r="A1877" t="s">
        <v>181</v>
      </c>
      <c r="B1877" s="3">
        <v>45383</v>
      </c>
      <c r="C1877">
        <v>1306</v>
      </c>
    </row>
    <row r="1878" spans="1:3" ht="15" customHeight="1" x14ac:dyDescent="0.3">
      <c r="A1878" t="s">
        <v>181</v>
      </c>
      <c r="B1878" s="3">
        <v>45413</v>
      </c>
      <c r="C1878">
        <v>856</v>
      </c>
    </row>
    <row r="1879" spans="1:3" ht="15" customHeight="1" x14ac:dyDescent="0.3">
      <c r="A1879" t="s">
        <v>181</v>
      </c>
      <c r="B1879" s="3">
        <v>45444</v>
      </c>
      <c r="C1879">
        <v>1086</v>
      </c>
    </row>
    <row r="1880" spans="1:3" ht="15" customHeight="1" x14ac:dyDescent="0.3">
      <c r="A1880" t="s">
        <v>181</v>
      </c>
      <c r="B1880" s="3">
        <v>45474</v>
      </c>
      <c r="C1880">
        <v>1232</v>
      </c>
    </row>
    <row r="1881" spans="1:3" ht="15" customHeight="1" x14ac:dyDescent="0.3">
      <c r="A1881" t="s">
        <v>181</v>
      </c>
      <c r="B1881" s="3">
        <v>45505</v>
      </c>
      <c r="C1881">
        <v>1007</v>
      </c>
    </row>
    <row r="1882" spans="1:3" ht="15" customHeight="1" x14ac:dyDescent="0.3">
      <c r="A1882" t="s">
        <v>181</v>
      </c>
      <c r="B1882" s="3">
        <v>45536</v>
      </c>
      <c r="C1882">
        <v>1218</v>
      </c>
    </row>
    <row r="1883" spans="1:3" ht="15" customHeight="1" x14ac:dyDescent="0.3">
      <c r="A1883" t="s">
        <v>181</v>
      </c>
      <c r="B1883" s="3">
        <v>45566</v>
      </c>
      <c r="C1883">
        <v>1389</v>
      </c>
    </row>
    <row r="1884" spans="1:3" ht="15" customHeight="1" x14ac:dyDescent="0.3">
      <c r="A1884" t="s">
        <v>181</v>
      </c>
      <c r="B1884" s="3">
        <v>45597</v>
      </c>
      <c r="C1884">
        <v>1731</v>
      </c>
    </row>
    <row r="1885" spans="1:3" ht="15" customHeight="1" x14ac:dyDescent="0.3">
      <c r="A1885" t="s">
        <v>181</v>
      </c>
      <c r="B1885" s="3">
        <v>45627</v>
      </c>
      <c r="C1885">
        <v>1418</v>
      </c>
    </row>
    <row r="1886" spans="1:3" ht="15" customHeight="1" x14ac:dyDescent="0.3">
      <c r="A1886" t="s">
        <v>181</v>
      </c>
      <c r="B1886" s="3">
        <v>45658</v>
      </c>
      <c r="C1886">
        <v>1493</v>
      </c>
    </row>
    <row r="1887" spans="1:3" ht="15" customHeight="1" x14ac:dyDescent="0.3">
      <c r="A1887" t="s">
        <v>181</v>
      </c>
      <c r="B1887" s="3">
        <v>45689</v>
      </c>
      <c r="C1887">
        <v>1368.9</v>
      </c>
    </row>
    <row r="1888" spans="1:3" ht="15" customHeight="1" x14ac:dyDescent="0.3">
      <c r="A1888" t="s">
        <v>181</v>
      </c>
      <c r="B1888" s="3">
        <v>45717</v>
      </c>
      <c r="C1888">
        <v>960</v>
      </c>
    </row>
    <row r="1889" spans="1:3" ht="15" customHeight="1" x14ac:dyDescent="0.3">
      <c r="A1889" t="s">
        <v>181</v>
      </c>
      <c r="B1889" s="3">
        <v>45748</v>
      </c>
      <c r="C1889">
        <v>694</v>
      </c>
    </row>
    <row r="1890" spans="1:3" ht="15" customHeight="1" x14ac:dyDescent="0.3">
      <c r="A1890" t="s">
        <v>181</v>
      </c>
      <c r="B1890" s="3">
        <v>45778</v>
      </c>
      <c r="C1890">
        <v>580</v>
      </c>
    </row>
    <row r="1891" spans="1:3" ht="15" customHeight="1" x14ac:dyDescent="0.3">
      <c r="A1891" t="s">
        <v>181</v>
      </c>
      <c r="B1891" s="3">
        <v>45809</v>
      </c>
      <c r="C1891">
        <v>449.2</v>
      </c>
    </row>
    <row r="1892" spans="1:3" ht="15" customHeight="1" x14ac:dyDescent="0.3">
      <c r="A1892" t="s">
        <v>181</v>
      </c>
      <c r="B1892" s="3">
        <v>45839</v>
      </c>
      <c r="C1892">
        <v>575</v>
      </c>
    </row>
    <row r="1893" spans="1:3" ht="15" customHeight="1" x14ac:dyDescent="0.3">
      <c r="A1893" t="s">
        <v>181</v>
      </c>
      <c r="B1893" s="3">
        <v>45870</v>
      </c>
      <c r="C1893">
        <v>1437</v>
      </c>
    </row>
    <row r="1894" spans="1:3" ht="15" customHeight="1" x14ac:dyDescent="0.3">
      <c r="A1894" t="s">
        <v>181</v>
      </c>
      <c r="B1894" s="3">
        <v>45901</v>
      </c>
      <c r="C1894">
        <v>1257</v>
      </c>
    </row>
    <row r="1895" spans="1:3" ht="15" customHeight="1" x14ac:dyDescent="0.3">
      <c r="A1895" t="s">
        <v>181</v>
      </c>
      <c r="B1895" s="3">
        <v>45931</v>
      </c>
      <c r="C1895">
        <v>1616</v>
      </c>
    </row>
    <row r="1896" spans="1:3" ht="15" customHeight="1" x14ac:dyDescent="0.3">
      <c r="A1896" t="s">
        <v>181</v>
      </c>
      <c r="B1896" s="3">
        <v>45962</v>
      </c>
      <c r="C1896">
        <v>1463</v>
      </c>
    </row>
    <row r="1897" spans="1:3" ht="15" customHeight="1" x14ac:dyDescent="0.3">
      <c r="A1897" t="s">
        <v>181</v>
      </c>
      <c r="B1897" s="3">
        <v>45992</v>
      </c>
      <c r="C1897">
        <v>1836</v>
      </c>
    </row>
    <row r="1898" spans="1:3" ht="15" customHeight="1" x14ac:dyDescent="0.3">
      <c r="A1898" t="s">
        <v>181</v>
      </c>
      <c r="B1898" s="3">
        <v>46023</v>
      </c>
      <c r="C1898">
        <v>1637</v>
      </c>
    </row>
    <row r="1899" spans="1:3" ht="15" customHeight="1" x14ac:dyDescent="0.3">
      <c r="A1899" t="s">
        <v>181</v>
      </c>
      <c r="B1899" s="3">
        <v>46054</v>
      </c>
      <c r="C1899">
        <v>1801</v>
      </c>
    </row>
    <row r="1900" spans="1:3" ht="15" customHeight="1" x14ac:dyDescent="0.3">
      <c r="A1900" t="s">
        <v>181</v>
      </c>
      <c r="B1900" s="3">
        <v>46082</v>
      </c>
      <c r="C1900">
        <v>1516</v>
      </c>
    </row>
    <row r="1901" spans="1:3" ht="15" customHeight="1" x14ac:dyDescent="0.3">
      <c r="A1901" t="s">
        <v>181</v>
      </c>
      <c r="B1901" s="3">
        <v>46113</v>
      </c>
      <c r="C1901">
        <v>1353.29</v>
      </c>
    </row>
    <row r="1902" spans="1:3" ht="15" customHeight="1" x14ac:dyDescent="0.3">
      <c r="A1902" t="s">
        <v>181</v>
      </c>
      <c r="B1902" s="3">
        <v>46143</v>
      </c>
      <c r="C1902" s="13">
        <v>1302.0899999999999</v>
      </c>
    </row>
    <row r="1903" spans="1:3" ht="15" customHeight="1" x14ac:dyDescent="0.3">
      <c r="A1903" t="s">
        <v>181</v>
      </c>
      <c r="B1903" s="3">
        <v>46174</v>
      </c>
    </row>
    <row r="1904" spans="1:3" ht="15" customHeight="1" x14ac:dyDescent="0.3">
      <c r="A1904" t="s">
        <v>181</v>
      </c>
      <c r="B1904" s="3">
        <v>46204</v>
      </c>
    </row>
    <row r="1905" spans="1:3" ht="15" customHeight="1" x14ac:dyDescent="0.3">
      <c r="A1905" t="s">
        <v>181</v>
      </c>
      <c r="B1905" s="3">
        <v>46235</v>
      </c>
    </row>
    <row r="1906" spans="1:3" ht="15" customHeight="1" x14ac:dyDescent="0.3">
      <c r="A1906" t="s">
        <v>181</v>
      </c>
      <c r="B1906" s="3">
        <v>46266</v>
      </c>
    </row>
    <row r="1907" spans="1:3" ht="15" customHeight="1" x14ac:dyDescent="0.3">
      <c r="A1907" t="s">
        <v>181</v>
      </c>
      <c r="B1907" s="3">
        <v>46296</v>
      </c>
    </row>
    <row r="1908" spans="1:3" ht="15" customHeight="1" x14ac:dyDescent="0.3">
      <c r="A1908" t="s">
        <v>181</v>
      </c>
      <c r="B1908" s="3">
        <v>46327</v>
      </c>
    </row>
    <row r="1909" spans="1:3" ht="15" customHeight="1" x14ac:dyDescent="0.3">
      <c r="A1909" t="s">
        <v>181</v>
      </c>
      <c r="B1909" s="3">
        <v>46357</v>
      </c>
    </row>
    <row r="1910" spans="1:3" ht="15" customHeight="1" x14ac:dyDescent="0.3">
      <c r="A1910" t="s">
        <v>183</v>
      </c>
      <c r="B1910" s="3">
        <v>45292</v>
      </c>
      <c r="C1910">
        <v>8341</v>
      </c>
    </row>
    <row r="1911" spans="1:3" ht="15" customHeight="1" x14ac:dyDescent="0.3">
      <c r="A1911" t="s">
        <v>183</v>
      </c>
      <c r="B1911" s="3">
        <v>45323</v>
      </c>
      <c r="C1911">
        <v>8056</v>
      </c>
    </row>
    <row r="1912" spans="1:3" ht="15" customHeight="1" x14ac:dyDescent="0.3">
      <c r="A1912" t="s">
        <v>183</v>
      </c>
      <c r="B1912" s="3">
        <v>45352</v>
      </c>
      <c r="C1912">
        <v>7588</v>
      </c>
    </row>
    <row r="1913" spans="1:3" ht="15" customHeight="1" x14ac:dyDescent="0.3">
      <c r="A1913" t="s">
        <v>183</v>
      </c>
      <c r="B1913" s="3">
        <v>45383</v>
      </c>
      <c r="C1913">
        <v>6746</v>
      </c>
    </row>
    <row r="1914" spans="1:3" ht="15" customHeight="1" x14ac:dyDescent="0.3">
      <c r="A1914" t="s">
        <v>183</v>
      </c>
      <c r="B1914" s="3">
        <v>45413</v>
      </c>
      <c r="C1914">
        <v>6595</v>
      </c>
    </row>
    <row r="1915" spans="1:3" ht="15" customHeight="1" x14ac:dyDescent="0.3">
      <c r="A1915" t="s">
        <v>183</v>
      </c>
      <c r="B1915" s="3">
        <v>45444</v>
      </c>
      <c r="C1915">
        <v>5221</v>
      </c>
    </row>
    <row r="1916" spans="1:3" ht="15" customHeight="1" x14ac:dyDescent="0.3">
      <c r="A1916" t="s">
        <v>183</v>
      </c>
      <c r="B1916" s="3">
        <v>45474</v>
      </c>
      <c r="C1916">
        <v>6498</v>
      </c>
    </row>
    <row r="1917" spans="1:3" ht="15" customHeight="1" x14ac:dyDescent="0.3">
      <c r="A1917" t="s">
        <v>183</v>
      </c>
      <c r="B1917" s="3">
        <v>45505</v>
      </c>
      <c r="C1917">
        <v>6727</v>
      </c>
    </row>
    <row r="1918" spans="1:3" ht="15" customHeight="1" x14ac:dyDescent="0.3">
      <c r="A1918" t="s">
        <v>183</v>
      </c>
      <c r="B1918" s="3">
        <v>45536</v>
      </c>
      <c r="C1918">
        <v>5408</v>
      </c>
    </row>
    <row r="1919" spans="1:3" ht="15" customHeight="1" x14ac:dyDescent="0.3">
      <c r="A1919" t="s">
        <v>183</v>
      </c>
      <c r="B1919" s="3">
        <v>45566</v>
      </c>
      <c r="C1919">
        <v>8018</v>
      </c>
    </row>
    <row r="1920" spans="1:3" ht="15" customHeight="1" x14ac:dyDescent="0.3">
      <c r="A1920" t="s">
        <v>183</v>
      </c>
      <c r="B1920" s="3">
        <v>45597</v>
      </c>
      <c r="C1920">
        <v>7818</v>
      </c>
    </row>
    <row r="1921" spans="1:3" ht="15" customHeight="1" x14ac:dyDescent="0.3">
      <c r="A1921" t="s">
        <v>183</v>
      </c>
      <c r="B1921" s="3">
        <v>45627</v>
      </c>
      <c r="C1921">
        <v>9041</v>
      </c>
    </row>
    <row r="1922" spans="1:3" ht="15" customHeight="1" x14ac:dyDescent="0.3">
      <c r="A1922" t="s">
        <v>183</v>
      </c>
      <c r="B1922" s="3">
        <v>45658</v>
      </c>
      <c r="C1922">
        <v>9601</v>
      </c>
    </row>
    <row r="1923" spans="1:3" ht="15" customHeight="1" x14ac:dyDescent="0.3">
      <c r="A1923" t="s">
        <v>183</v>
      </c>
      <c r="B1923" s="3">
        <v>45689</v>
      </c>
      <c r="C1923">
        <v>7317</v>
      </c>
    </row>
    <row r="1924" spans="1:3" ht="15" customHeight="1" x14ac:dyDescent="0.3">
      <c r="A1924" t="s">
        <v>183</v>
      </c>
      <c r="B1924" s="3">
        <v>45717</v>
      </c>
      <c r="C1924">
        <v>8211</v>
      </c>
    </row>
    <row r="1925" spans="1:3" ht="15" customHeight="1" x14ac:dyDescent="0.3">
      <c r="A1925" t="s">
        <v>183</v>
      </c>
      <c r="B1925" s="3">
        <v>45748</v>
      </c>
      <c r="C1925">
        <v>6924</v>
      </c>
    </row>
    <row r="1926" spans="1:3" ht="15" customHeight="1" x14ac:dyDescent="0.3">
      <c r="A1926" t="s">
        <v>183</v>
      </c>
      <c r="B1926" s="3">
        <v>45778</v>
      </c>
      <c r="C1926">
        <v>7428</v>
      </c>
    </row>
    <row r="1927" spans="1:3" ht="15" customHeight="1" x14ac:dyDescent="0.3">
      <c r="A1927" t="s">
        <v>183</v>
      </c>
      <c r="B1927" s="3">
        <v>45809</v>
      </c>
      <c r="C1927">
        <v>7026.25</v>
      </c>
    </row>
    <row r="1928" spans="1:3" ht="15" customHeight="1" x14ac:dyDescent="0.3">
      <c r="A1928" t="s">
        <v>183</v>
      </c>
      <c r="B1928" s="3">
        <v>45839</v>
      </c>
      <c r="C1928">
        <v>7318</v>
      </c>
    </row>
    <row r="1929" spans="1:3" ht="15" customHeight="1" x14ac:dyDescent="0.3">
      <c r="A1929" t="s">
        <v>183</v>
      </c>
      <c r="B1929" s="3">
        <v>45870</v>
      </c>
      <c r="C1929">
        <v>7873</v>
      </c>
    </row>
    <row r="1930" spans="1:3" ht="15" customHeight="1" x14ac:dyDescent="0.3">
      <c r="A1930" t="s">
        <v>183</v>
      </c>
      <c r="B1930" s="3">
        <v>45901</v>
      </c>
      <c r="C1930">
        <v>6985</v>
      </c>
    </row>
    <row r="1931" spans="1:3" ht="15" customHeight="1" x14ac:dyDescent="0.3">
      <c r="A1931" t="s">
        <v>183</v>
      </c>
      <c r="B1931" s="3">
        <v>45931</v>
      </c>
      <c r="C1931">
        <v>9680.31</v>
      </c>
    </row>
    <row r="1932" spans="1:3" ht="15" customHeight="1" x14ac:dyDescent="0.3">
      <c r="A1932" t="s">
        <v>183</v>
      </c>
      <c r="B1932" s="3">
        <v>45962</v>
      </c>
      <c r="C1932">
        <v>11102</v>
      </c>
    </row>
    <row r="1933" spans="1:3" ht="15" customHeight="1" x14ac:dyDescent="0.3">
      <c r="A1933" t="s">
        <v>183</v>
      </c>
      <c r="B1933" s="3">
        <v>45992</v>
      </c>
      <c r="C1933">
        <v>11384</v>
      </c>
    </row>
    <row r="1934" spans="1:3" ht="15" customHeight="1" x14ac:dyDescent="0.3">
      <c r="A1934" t="s">
        <v>183</v>
      </c>
      <c r="B1934" s="3">
        <v>46023</v>
      </c>
      <c r="C1934">
        <v>12215</v>
      </c>
    </row>
    <row r="1935" spans="1:3" ht="15" customHeight="1" x14ac:dyDescent="0.3">
      <c r="A1935" t="s">
        <v>183</v>
      </c>
      <c r="B1935" s="3">
        <v>46054</v>
      </c>
      <c r="C1935">
        <v>11691</v>
      </c>
    </row>
    <row r="1936" spans="1:3" ht="15" customHeight="1" x14ac:dyDescent="0.3">
      <c r="A1936" t="s">
        <v>183</v>
      </c>
      <c r="B1936" s="3">
        <v>46082</v>
      </c>
      <c r="C1936">
        <v>10159</v>
      </c>
    </row>
    <row r="1937" spans="1:3" ht="15" customHeight="1" x14ac:dyDescent="0.3">
      <c r="A1937" t="s">
        <v>183</v>
      </c>
      <c r="B1937" s="3">
        <v>46113</v>
      </c>
      <c r="C1937">
        <v>8032.01</v>
      </c>
    </row>
    <row r="1938" spans="1:3" ht="15" customHeight="1" x14ac:dyDescent="0.3">
      <c r="A1938" t="s">
        <v>183</v>
      </c>
      <c r="B1938" s="3">
        <v>46143</v>
      </c>
      <c r="C1938" s="13">
        <v>7738.42</v>
      </c>
    </row>
    <row r="1939" spans="1:3" ht="15" customHeight="1" x14ac:dyDescent="0.3">
      <c r="A1939" t="s">
        <v>183</v>
      </c>
      <c r="B1939" s="3">
        <v>46174</v>
      </c>
    </row>
    <row r="1940" spans="1:3" ht="15" customHeight="1" x14ac:dyDescent="0.3">
      <c r="A1940" t="s">
        <v>183</v>
      </c>
      <c r="B1940" s="3">
        <v>46204</v>
      </c>
    </row>
    <row r="1941" spans="1:3" ht="15" customHeight="1" x14ac:dyDescent="0.3">
      <c r="A1941" t="s">
        <v>183</v>
      </c>
      <c r="B1941" s="3">
        <v>46235</v>
      </c>
    </row>
    <row r="1942" spans="1:3" ht="15" customHeight="1" x14ac:dyDescent="0.3">
      <c r="A1942" t="s">
        <v>183</v>
      </c>
      <c r="B1942" s="3">
        <v>46266</v>
      </c>
    </row>
    <row r="1943" spans="1:3" ht="15" customHeight="1" x14ac:dyDescent="0.3">
      <c r="A1943" t="s">
        <v>183</v>
      </c>
      <c r="B1943" s="3">
        <v>46296</v>
      </c>
    </row>
    <row r="1944" spans="1:3" ht="15" customHeight="1" x14ac:dyDescent="0.3">
      <c r="A1944" t="s">
        <v>183</v>
      </c>
      <c r="B1944" s="3">
        <v>46327</v>
      </c>
    </row>
    <row r="1945" spans="1:3" ht="15" customHeight="1" x14ac:dyDescent="0.3">
      <c r="A1945" t="s">
        <v>183</v>
      </c>
      <c r="B1945" s="3">
        <v>46357</v>
      </c>
    </row>
    <row r="1946" spans="1:3" ht="15" customHeight="1" x14ac:dyDescent="0.3">
      <c r="A1946" t="s">
        <v>184</v>
      </c>
      <c r="B1946" s="3">
        <v>45292</v>
      </c>
      <c r="C1946">
        <v>11804</v>
      </c>
    </row>
    <row r="1947" spans="1:3" ht="15" customHeight="1" x14ac:dyDescent="0.3">
      <c r="A1947" t="s">
        <v>184</v>
      </c>
      <c r="B1947" s="3">
        <v>45323</v>
      </c>
      <c r="C1947">
        <v>9158</v>
      </c>
    </row>
    <row r="1948" spans="1:3" ht="15" customHeight="1" x14ac:dyDescent="0.3">
      <c r="A1948" t="s">
        <v>184</v>
      </c>
      <c r="B1948" s="3">
        <v>45352</v>
      </c>
      <c r="C1948">
        <v>9784</v>
      </c>
    </row>
    <row r="1949" spans="1:3" ht="15" customHeight="1" x14ac:dyDescent="0.3">
      <c r="A1949" t="s">
        <v>184</v>
      </c>
      <c r="B1949" s="3">
        <v>45383</v>
      </c>
      <c r="C1949">
        <v>7858</v>
      </c>
    </row>
    <row r="1950" spans="1:3" ht="15" customHeight="1" x14ac:dyDescent="0.3">
      <c r="A1950" t="s">
        <v>184</v>
      </c>
      <c r="B1950" s="3">
        <v>45413</v>
      </c>
      <c r="C1950">
        <v>7246</v>
      </c>
    </row>
    <row r="1951" spans="1:3" ht="15" customHeight="1" x14ac:dyDescent="0.3">
      <c r="A1951" t="s">
        <v>184</v>
      </c>
      <c r="B1951" s="3">
        <v>45444</v>
      </c>
      <c r="C1951">
        <v>6127</v>
      </c>
    </row>
    <row r="1952" spans="1:3" ht="15" customHeight="1" x14ac:dyDescent="0.3">
      <c r="A1952" t="s">
        <v>184</v>
      </c>
      <c r="B1952" s="3">
        <v>45474</v>
      </c>
      <c r="C1952">
        <v>8521</v>
      </c>
    </row>
    <row r="1953" spans="1:3" ht="15" customHeight="1" x14ac:dyDescent="0.3">
      <c r="A1953" t="s">
        <v>184</v>
      </c>
      <c r="B1953" s="3">
        <v>45505</v>
      </c>
      <c r="C1953">
        <v>9050</v>
      </c>
    </row>
    <row r="1954" spans="1:3" ht="15" customHeight="1" x14ac:dyDescent="0.3">
      <c r="A1954" t="s">
        <v>184</v>
      </c>
      <c r="B1954" s="3">
        <v>45536</v>
      </c>
      <c r="C1954">
        <v>8302</v>
      </c>
    </row>
    <row r="1955" spans="1:3" ht="15" customHeight="1" x14ac:dyDescent="0.3">
      <c r="A1955" t="s">
        <v>184</v>
      </c>
      <c r="B1955" s="3">
        <v>45566</v>
      </c>
      <c r="C1955">
        <v>11290</v>
      </c>
    </row>
    <row r="1956" spans="1:3" ht="15" customHeight="1" x14ac:dyDescent="0.3">
      <c r="A1956" t="s">
        <v>184</v>
      </c>
      <c r="B1956" s="3">
        <v>45597</v>
      </c>
      <c r="C1956">
        <v>10513</v>
      </c>
    </row>
    <row r="1957" spans="1:3" ht="15" customHeight="1" x14ac:dyDescent="0.3">
      <c r="A1957" t="s">
        <v>184</v>
      </c>
      <c r="B1957" s="3">
        <v>45627</v>
      </c>
      <c r="C1957">
        <v>11507</v>
      </c>
    </row>
    <row r="1958" spans="1:3" ht="15" customHeight="1" x14ac:dyDescent="0.3">
      <c r="A1958" t="s">
        <v>184</v>
      </c>
      <c r="B1958" s="3">
        <v>45658</v>
      </c>
      <c r="C1958">
        <v>11679</v>
      </c>
    </row>
    <row r="1959" spans="1:3" ht="15" customHeight="1" x14ac:dyDescent="0.3">
      <c r="A1959" t="s">
        <v>184</v>
      </c>
      <c r="B1959" s="3">
        <v>45689</v>
      </c>
      <c r="C1959">
        <v>7567</v>
      </c>
    </row>
    <row r="1960" spans="1:3" ht="15" customHeight="1" x14ac:dyDescent="0.3">
      <c r="A1960" t="s">
        <v>184</v>
      </c>
      <c r="B1960" s="3">
        <v>45717</v>
      </c>
      <c r="C1960">
        <v>9564</v>
      </c>
    </row>
    <row r="1961" spans="1:3" ht="15" customHeight="1" x14ac:dyDescent="0.3">
      <c r="A1961" t="s">
        <v>184</v>
      </c>
      <c r="B1961" s="3">
        <v>45748</v>
      </c>
      <c r="C1961">
        <v>6957</v>
      </c>
    </row>
    <row r="1962" spans="1:3" ht="15" customHeight="1" x14ac:dyDescent="0.3">
      <c r="A1962" t="s">
        <v>184</v>
      </c>
      <c r="B1962" s="3">
        <v>45778</v>
      </c>
      <c r="C1962">
        <v>7705</v>
      </c>
    </row>
    <row r="1963" spans="1:3" ht="15" customHeight="1" x14ac:dyDescent="0.3">
      <c r="A1963" t="s">
        <v>184</v>
      </c>
      <c r="B1963" s="3">
        <v>45809</v>
      </c>
      <c r="C1963">
        <v>6515.6</v>
      </c>
    </row>
    <row r="1964" spans="1:3" ht="15" customHeight="1" x14ac:dyDescent="0.3">
      <c r="A1964" t="s">
        <v>184</v>
      </c>
      <c r="B1964" s="3">
        <v>45839</v>
      </c>
      <c r="C1964">
        <v>7651</v>
      </c>
    </row>
    <row r="1965" spans="1:3" ht="15" customHeight="1" x14ac:dyDescent="0.3">
      <c r="A1965" t="s">
        <v>184</v>
      </c>
      <c r="B1965" s="3">
        <v>45870</v>
      </c>
      <c r="C1965">
        <v>8548</v>
      </c>
    </row>
    <row r="1966" spans="1:3" ht="15" customHeight="1" x14ac:dyDescent="0.3">
      <c r="A1966" t="s">
        <v>184</v>
      </c>
      <c r="B1966" s="3">
        <v>45901</v>
      </c>
      <c r="C1966">
        <v>7542</v>
      </c>
    </row>
    <row r="1967" spans="1:3" ht="15" customHeight="1" x14ac:dyDescent="0.3">
      <c r="A1967" t="s">
        <v>184</v>
      </c>
      <c r="B1967" s="3">
        <v>45931</v>
      </c>
      <c r="C1967">
        <v>10186</v>
      </c>
    </row>
    <row r="1968" spans="1:3" ht="15" customHeight="1" x14ac:dyDescent="0.3">
      <c r="A1968" t="s">
        <v>184</v>
      </c>
      <c r="B1968" s="3">
        <v>45962</v>
      </c>
      <c r="C1968">
        <v>10802</v>
      </c>
    </row>
    <row r="1969" spans="1:3" ht="15" customHeight="1" x14ac:dyDescent="0.3">
      <c r="A1969" t="s">
        <v>184</v>
      </c>
      <c r="B1969" s="3">
        <v>45992</v>
      </c>
      <c r="C1969">
        <v>11033</v>
      </c>
    </row>
    <row r="1970" spans="1:3" ht="15" customHeight="1" x14ac:dyDescent="0.3">
      <c r="A1970" t="s">
        <v>184</v>
      </c>
      <c r="B1970" s="3">
        <v>46023</v>
      </c>
      <c r="C1970">
        <v>7790</v>
      </c>
    </row>
    <row r="1971" spans="1:3" ht="15" customHeight="1" x14ac:dyDescent="0.3">
      <c r="A1971" t="s">
        <v>184</v>
      </c>
      <c r="B1971" s="3">
        <v>46054</v>
      </c>
      <c r="C1971">
        <v>5171.0646999999999</v>
      </c>
    </row>
    <row r="1972" spans="1:3" ht="15" customHeight="1" x14ac:dyDescent="0.3">
      <c r="A1972" t="s">
        <v>184</v>
      </c>
      <c r="B1972" s="3">
        <v>46082</v>
      </c>
      <c r="C1972">
        <v>8153.5</v>
      </c>
    </row>
    <row r="1973" spans="1:3" ht="15" customHeight="1" x14ac:dyDescent="0.3">
      <c r="A1973" t="s">
        <v>184</v>
      </c>
      <c r="B1973" s="3">
        <v>46113</v>
      </c>
      <c r="C1973">
        <v>7873.17</v>
      </c>
    </row>
    <row r="1974" spans="1:3" ht="15" customHeight="1" x14ac:dyDescent="0.3">
      <c r="A1974" t="s">
        <v>184</v>
      </c>
      <c r="B1974" s="3">
        <v>46143</v>
      </c>
      <c r="C1974" s="13">
        <v>7767.8</v>
      </c>
    </row>
    <row r="1975" spans="1:3" ht="15" customHeight="1" x14ac:dyDescent="0.3">
      <c r="A1975" t="s">
        <v>184</v>
      </c>
      <c r="B1975" s="3">
        <v>46174</v>
      </c>
    </row>
    <row r="1976" spans="1:3" ht="15" customHeight="1" x14ac:dyDescent="0.3">
      <c r="A1976" t="s">
        <v>184</v>
      </c>
      <c r="B1976" s="3">
        <v>46204</v>
      </c>
    </row>
    <row r="1977" spans="1:3" ht="15" customHeight="1" x14ac:dyDescent="0.3">
      <c r="A1977" t="s">
        <v>184</v>
      </c>
      <c r="B1977" s="3">
        <v>46235</v>
      </c>
    </row>
    <row r="1978" spans="1:3" ht="15" customHeight="1" x14ac:dyDescent="0.3">
      <c r="A1978" t="s">
        <v>184</v>
      </c>
      <c r="B1978" s="3">
        <v>46266</v>
      </c>
    </row>
    <row r="1979" spans="1:3" ht="15" customHeight="1" x14ac:dyDescent="0.3">
      <c r="A1979" t="s">
        <v>184</v>
      </c>
      <c r="B1979" s="3">
        <v>46296</v>
      </c>
    </row>
    <row r="1980" spans="1:3" ht="15" customHeight="1" x14ac:dyDescent="0.3">
      <c r="A1980" t="s">
        <v>184</v>
      </c>
      <c r="B1980" s="3">
        <v>46327</v>
      </c>
    </row>
    <row r="1981" spans="1:3" ht="15" customHeight="1" x14ac:dyDescent="0.3">
      <c r="A1981" t="s">
        <v>184</v>
      </c>
      <c r="B1981" s="3">
        <v>46357</v>
      </c>
    </row>
    <row r="1982" spans="1:3" ht="15" customHeight="1" x14ac:dyDescent="0.3">
      <c r="A1982" t="s">
        <v>189</v>
      </c>
      <c r="B1982" s="3">
        <v>45292</v>
      </c>
      <c r="C1982">
        <v>4297</v>
      </c>
    </row>
    <row r="1983" spans="1:3" ht="15" customHeight="1" x14ac:dyDescent="0.3">
      <c r="A1983" t="s">
        <v>189</v>
      </c>
      <c r="B1983" s="3">
        <v>45323</v>
      </c>
      <c r="C1983">
        <v>4176</v>
      </c>
    </row>
    <row r="1984" spans="1:3" ht="15" customHeight="1" x14ac:dyDescent="0.3">
      <c r="A1984" t="s">
        <v>189</v>
      </c>
      <c r="B1984" s="3">
        <v>45352</v>
      </c>
      <c r="C1984">
        <v>4682</v>
      </c>
    </row>
    <row r="1985" spans="1:3" ht="15" customHeight="1" x14ac:dyDescent="0.3">
      <c r="A1985" t="s">
        <v>189</v>
      </c>
      <c r="B1985" s="3">
        <v>45383</v>
      </c>
      <c r="C1985">
        <v>3965</v>
      </c>
    </row>
    <row r="1986" spans="1:3" ht="15" customHeight="1" x14ac:dyDescent="0.3">
      <c r="A1986" t="s">
        <v>189</v>
      </c>
      <c r="B1986" s="3">
        <v>45413</v>
      </c>
      <c r="C1986">
        <v>3760</v>
      </c>
    </row>
    <row r="1987" spans="1:3" ht="15" customHeight="1" x14ac:dyDescent="0.3">
      <c r="A1987" t="s">
        <v>189</v>
      </c>
      <c r="B1987" s="3">
        <v>45444</v>
      </c>
      <c r="C1987">
        <v>3240</v>
      </c>
    </row>
    <row r="1988" spans="1:3" ht="15" customHeight="1" x14ac:dyDescent="0.3">
      <c r="A1988" t="s">
        <v>189</v>
      </c>
      <c r="B1988" s="3">
        <v>45474</v>
      </c>
      <c r="C1988">
        <v>3836</v>
      </c>
    </row>
    <row r="1989" spans="1:3" ht="15" customHeight="1" x14ac:dyDescent="0.3">
      <c r="A1989" t="s">
        <v>189</v>
      </c>
      <c r="B1989" s="3">
        <v>45505</v>
      </c>
      <c r="C1989">
        <v>3915</v>
      </c>
    </row>
    <row r="1990" spans="1:3" ht="15" customHeight="1" x14ac:dyDescent="0.3">
      <c r="A1990" t="s">
        <v>189</v>
      </c>
      <c r="B1990" s="3">
        <v>45536</v>
      </c>
      <c r="C1990">
        <v>3746</v>
      </c>
    </row>
    <row r="1991" spans="1:3" ht="15" customHeight="1" x14ac:dyDescent="0.3">
      <c r="A1991" t="s">
        <v>189</v>
      </c>
      <c r="B1991" s="3">
        <v>45566</v>
      </c>
      <c r="C1991">
        <v>3449</v>
      </c>
    </row>
    <row r="1992" spans="1:3" ht="15" customHeight="1" x14ac:dyDescent="0.3">
      <c r="A1992" t="s">
        <v>189</v>
      </c>
      <c r="B1992" s="3">
        <v>45597</v>
      </c>
      <c r="C1992">
        <v>4630</v>
      </c>
    </row>
    <row r="1993" spans="1:3" ht="15" customHeight="1" x14ac:dyDescent="0.3">
      <c r="A1993" t="s">
        <v>189</v>
      </c>
      <c r="B1993" s="3">
        <v>45627</v>
      </c>
      <c r="C1993">
        <v>5059</v>
      </c>
    </row>
    <row r="1994" spans="1:3" ht="15" customHeight="1" x14ac:dyDescent="0.3">
      <c r="A1994" t="s">
        <v>189</v>
      </c>
      <c r="B1994" s="3">
        <v>45658</v>
      </c>
      <c r="C1994">
        <v>4475</v>
      </c>
    </row>
    <row r="1995" spans="1:3" ht="15" customHeight="1" x14ac:dyDescent="0.3">
      <c r="A1995" t="s">
        <v>189</v>
      </c>
      <c r="B1995" s="3">
        <v>45689</v>
      </c>
      <c r="C1995">
        <v>3651</v>
      </c>
    </row>
    <row r="1996" spans="1:3" ht="15" customHeight="1" x14ac:dyDescent="0.3">
      <c r="A1996" t="s">
        <v>189</v>
      </c>
      <c r="B1996" s="3">
        <v>45717</v>
      </c>
      <c r="C1996">
        <v>3912</v>
      </c>
    </row>
    <row r="1997" spans="1:3" ht="15" customHeight="1" x14ac:dyDescent="0.3">
      <c r="A1997" t="s">
        <v>189</v>
      </c>
      <c r="B1997" s="3">
        <v>45748</v>
      </c>
      <c r="C1997">
        <v>3361</v>
      </c>
    </row>
    <row r="1998" spans="1:3" ht="15" customHeight="1" x14ac:dyDescent="0.3">
      <c r="A1998" t="s">
        <v>189</v>
      </c>
      <c r="B1998" s="3">
        <v>45778</v>
      </c>
      <c r="C1998">
        <v>3626</v>
      </c>
    </row>
    <row r="1999" spans="1:3" ht="15" customHeight="1" x14ac:dyDescent="0.3">
      <c r="A1999" t="s">
        <v>189</v>
      </c>
      <c r="B1999" s="3">
        <v>45809</v>
      </c>
      <c r="C1999">
        <v>3199.19</v>
      </c>
    </row>
    <row r="2000" spans="1:3" ht="15" customHeight="1" x14ac:dyDescent="0.3">
      <c r="A2000" t="s">
        <v>189</v>
      </c>
      <c r="B2000" s="3">
        <v>45839</v>
      </c>
      <c r="C2000">
        <v>3303</v>
      </c>
    </row>
    <row r="2001" spans="1:3" ht="15" customHeight="1" x14ac:dyDescent="0.3">
      <c r="A2001" t="s">
        <v>189</v>
      </c>
      <c r="B2001" s="3">
        <v>45870</v>
      </c>
      <c r="C2001">
        <v>3882</v>
      </c>
    </row>
    <row r="2002" spans="1:3" ht="15" customHeight="1" x14ac:dyDescent="0.3">
      <c r="A2002" t="s">
        <v>189</v>
      </c>
      <c r="B2002" s="3">
        <v>45901</v>
      </c>
      <c r="C2002">
        <v>4064</v>
      </c>
    </row>
    <row r="2003" spans="1:3" ht="15" customHeight="1" x14ac:dyDescent="0.3">
      <c r="A2003" t="s">
        <v>189</v>
      </c>
      <c r="B2003" s="3">
        <v>45931</v>
      </c>
      <c r="C2003">
        <v>4609</v>
      </c>
    </row>
    <row r="2004" spans="1:3" ht="15" customHeight="1" x14ac:dyDescent="0.3">
      <c r="A2004" t="s">
        <v>189</v>
      </c>
      <c r="B2004" s="3">
        <v>45962</v>
      </c>
      <c r="C2004">
        <v>3681</v>
      </c>
    </row>
    <row r="2005" spans="1:3" ht="15" customHeight="1" x14ac:dyDescent="0.3">
      <c r="A2005" t="s">
        <v>189</v>
      </c>
      <c r="B2005" s="3">
        <v>45992</v>
      </c>
      <c r="C2005">
        <v>1203</v>
      </c>
    </row>
    <row r="2006" spans="1:3" ht="15" customHeight="1" x14ac:dyDescent="0.3">
      <c r="A2006" t="s">
        <v>189</v>
      </c>
      <c r="B2006" s="3">
        <v>46023</v>
      </c>
      <c r="C2006">
        <v>3014</v>
      </c>
    </row>
    <row r="2007" spans="1:3" ht="15" customHeight="1" x14ac:dyDescent="0.3">
      <c r="A2007" t="s">
        <v>189</v>
      </c>
      <c r="B2007" s="3">
        <v>46054</v>
      </c>
      <c r="C2007">
        <v>4641.05</v>
      </c>
    </row>
    <row r="2008" spans="1:3" ht="15" customHeight="1" x14ac:dyDescent="0.3">
      <c r="A2008" t="s">
        <v>189</v>
      </c>
      <c r="B2008" s="3">
        <v>46082</v>
      </c>
      <c r="C2008">
        <v>3756</v>
      </c>
    </row>
    <row r="2009" spans="1:3" ht="15" customHeight="1" x14ac:dyDescent="0.3">
      <c r="A2009" t="s">
        <v>189</v>
      </c>
      <c r="B2009" s="3">
        <v>46113</v>
      </c>
      <c r="C2009">
        <v>3294.1</v>
      </c>
    </row>
    <row r="2010" spans="1:3" ht="15" customHeight="1" x14ac:dyDescent="0.3">
      <c r="A2010" t="s">
        <v>189</v>
      </c>
      <c r="B2010" s="3">
        <v>46143</v>
      </c>
      <c r="C2010" s="13">
        <v>3420.82</v>
      </c>
    </row>
    <row r="2011" spans="1:3" ht="15" customHeight="1" x14ac:dyDescent="0.3">
      <c r="A2011" t="s">
        <v>189</v>
      </c>
      <c r="B2011" s="3">
        <v>46174</v>
      </c>
    </row>
    <row r="2012" spans="1:3" ht="15" customHeight="1" x14ac:dyDescent="0.3">
      <c r="A2012" t="s">
        <v>189</v>
      </c>
      <c r="B2012" s="3">
        <v>46204</v>
      </c>
    </row>
    <row r="2013" spans="1:3" ht="15" customHeight="1" x14ac:dyDescent="0.3">
      <c r="A2013" t="s">
        <v>189</v>
      </c>
      <c r="B2013" s="3">
        <v>46235</v>
      </c>
    </row>
    <row r="2014" spans="1:3" ht="15" customHeight="1" x14ac:dyDescent="0.3">
      <c r="A2014" t="s">
        <v>189</v>
      </c>
      <c r="B2014" s="3">
        <v>46266</v>
      </c>
    </row>
    <row r="2015" spans="1:3" ht="15" customHeight="1" x14ac:dyDescent="0.3">
      <c r="A2015" t="s">
        <v>189</v>
      </c>
      <c r="B2015" s="3">
        <v>46296</v>
      </c>
    </row>
    <row r="2016" spans="1:3" ht="15" customHeight="1" x14ac:dyDescent="0.3">
      <c r="A2016" t="s">
        <v>189</v>
      </c>
      <c r="B2016" s="3">
        <v>46327</v>
      </c>
    </row>
    <row r="2017" spans="1:3" ht="15" customHeight="1" x14ac:dyDescent="0.3">
      <c r="A2017" t="s">
        <v>189</v>
      </c>
      <c r="B2017" s="3">
        <v>46357</v>
      </c>
    </row>
    <row r="2018" spans="1:3" ht="15" customHeight="1" x14ac:dyDescent="0.3">
      <c r="A2018" t="s">
        <v>279</v>
      </c>
      <c r="B2018" s="3">
        <v>45292</v>
      </c>
      <c r="C2018">
        <v>14153</v>
      </c>
    </row>
    <row r="2019" spans="1:3" ht="15" customHeight="1" x14ac:dyDescent="0.3">
      <c r="A2019" t="s">
        <v>279</v>
      </c>
      <c r="B2019" s="3">
        <v>45323</v>
      </c>
      <c r="C2019">
        <v>12255</v>
      </c>
    </row>
    <row r="2020" spans="1:3" ht="15" customHeight="1" x14ac:dyDescent="0.3">
      <c r="A2020" t="s">
        <v>279</v>
      </c>
      <c r="B2020" s="3">
        <v>45352</v>
      </c>
      <c r="C2020">
        <v>14981</v>
      </c>
    </row>
    <row r="2021" spans="1:3" ht="15" customHeight="1" x14ac:dyDescent="0.3">
      <c r="A2021" t="s">
        <v>279</v>
      </c>
      <c r="B2021" s="3">
        <v>45383</v>
      </c>
      <c r="C2021">
        <v>12548</v>
      </c>
    </row>
    <row r="2022" spans="1:3" ht="15" customHeight="1" x14ac:dyDescent="0.3">
      <c r="A2022" t="s">
        <v>279</v>
      </c>
      <c r="B2022" s="3">
        <v>45413</v>
      </c>
      <c r="C2022">
        <v>12499</v>
      </c>
    </row>
    <row r="2023" spans="1:3" ht="15" customHeight="1" x14ac:dyDescent="0.3">
      <c r="A2023" t="s">
        <v>279</v>
      </c>
      <c r="B2023" s="3">
        <v>45444</v>
      </c>
      <c r="C2023">
        <v>10764</v>
      </c>
    </row>
    <row r="2024" spans="1:3" ht="15" customHeight="1" x14ac:dyDescent="0.3">
      <c r="A2024" t="s">
        <v>279</v>
      </c>
      <c r="B2024" s="3">
        <v>45474</v>
      </c>
      <c r="C2024">
        <v>12646</v>
      </c>
    </row>
    <row r="2025" spans="1:3" ht="15" customHeight="1" x14ac:dyDescent="0.3">
      <c r="A2025" t="s">
        <v>279</v>
      </c>
      <c r="B2025" s="3">
        <v>45505</v>
      </c>
      <c r="C2025">
        <v>13284</v>
      </c>
    </row>
    <row r="2026" spans="1:3" ht="15" customHeight="1" x14ac:dyDescent="0.3">
      <c r="A2026" t="s">
        <v>279</v>
      </c>
      <c r="B2026" s="3">
        <v>45536</v>
      </c>
      <c r="C2026">
        <v>12781</v>
      </c>
    </row>
    <row r="2027" spans="1:3" ht="15" customHeight="1" x14ac:dyDescent="0.3">
      <c r="A2027" t="s">
        <v>279</v>
      </c>
      <c r="B2027" s="3">
        <v>45566</v>
      </c>
      <c r="C2027">
        <v>16310</v>
      </c>
    </row>
    <row r="2028" spans="1:3" ht="15" customHeight="1" x14ac:dyDescent="0.3">
      <c r="A2028" t="s">
        <v>279</v>
      </c>
      <c r="B2028" s="3">
        <v>45597</v>
      </c>
      <c r="C2028">
        <v>16857</v>
      </c>
    </row>
    <row r="2029" spans="1:3" ht="15" customHeight="1" x14ac:dyDescent="0.3">
      <c r="A2029" t="s">
        <v>279</v>
      </c>
      <c r="B2029" s="3">
        <v>45627</v>
      </c>
      <c r="C2029">
        <v>17902</v>
      </c>
    </row>
    <row r="2030" spans="1:3" ht="15" customHeight="1" x14ac:dyDescent="0.3">
      <c r="A2030" t="s">
        <v>279</v>
      </c>
      <c r="B2030" s="3">
        <v>45658</v>
      </c>
      <c r="C2030">
        <v>16357</v>
      </c>
    </row>
    <row r="2031" spans="1:3" ht="15" customHeight="1" x14ac:dyDescent="0.3">
      <c r="A2031" t="s">
        <v>279</v>
      </c>
      <c r="B2031" s="3">
        <v>45689</v>
      </c>
      <c r="C2031">
        <v>13076</v>
      </c>
    </row>
    <row r="2032" spans="1:3" ht="15" customHeight="1" x14ac:dyDescent="0.3">
      <c r="A2032" t="s">
        <v>279</v>
      </c>
      <c r="B2032" s="3">
        <v>45717</v>
      </c>
      <c r="C2032">
        <v>13410</v>
      </c>
    </row>
    <row r="2033" spans="1:3" ht="15" customHeight="1" x14ac:dyDescent="0.3">
      <c r="A2033" t="s">
        <v>279</v>
      </c>
      <c r="B2033" s="3">
        <v>45748</v>
      </c>
      <c r="C2033">
        <v>11361</v>
      </c>
    </row>
    <row r="2034" spans="1:3" ht="15" customHeight="1" x14ac:dyDescent="0.3">
      <c r="A2034" t="s">
        <v>279</v>
      </c>
      <c r="B2034" s="3">
        <v>45778</v>
      </c>
      <c r="C2034">
        <v>12073</v>
      </c>
    </row>
    <row r="2035" spans="1:3" ht="15" customHeight="1" x14ac:dyDescent="0.3">
      <c r="A2035" t="s">
        <v>279</v>
      </c>
      <c r="B2035" s="3">
        <v>45809</v>
      </c>
      <c r="C2035">
        <v>10687.39</v>
      </c>
    </row>
    <row r="2036" spans="1:3" ht="15" customHeight="1" x14ac:dyDescent="0.3">
      <c r="A2036" t="s">
        <v>279</v>
      </c>
      <c r="B2036" s="3">
        <v>45839</v>
      </c>
      <c r="C2036">
        <v>10449</v>
      </c>
    </row>
    <row r="2037" spans="1:3" ht="15" customHeight="1" x14ac:dyDescent="0.3">
      <c r="A2037" t="s">
        <v>279</v>
      </c>
      <c r="B2037" s="3">
        <v>45870</v>
      </c>
      <c r="C2037">
        <v>10325</v>
      </c>
    </row>
    <row r="2038" spans="1:3" ht="15" customHeight="1" x14ac:dyDescent="0.3">
      <c r="A2038" t="s">
        <v>279</v>
      </c>
      <c r="B2038" s="3">
        <v>45901</v>
      </c>
      <c r="C2038">
        <v>9595</v>
      </c>
    </row>
    <row r="2039" spans="1:3" ht="15" customHeight="1" x14ac:dyDescent="0.3">
      <c r="A2039" t="s">
        <v>279</v>
      </c>
      <c r="B2039" s="3">
        <v>45931</v>
      </c>
      <c r="C2039">
        <v>11068</v>
      </c>
    </row>
    <row r="2040" spans="1:3" ht="15" customHeight="1" x14ac:dyDescent="0.3">
      <c r="A2040" t="s">
        <v>279</v>
      </c>
      <c r="B2040" s="3">
        <v>45962</v>
      </c>
      <c r="C2040">
        <v>10671</v>
      </c>
    </row>
    <row r="2041" spans="1:3" ht="15" customHeight="1" x14ac:dyDescent="0.3">
      <c r="A2041" t="s">
        <v>279</v>
      </c>
      <c r="B2041" s="3">
        <v>45992</v>
      </c>
      <c r="C2041">
        <v>1812</v>
      </c>
    </row>
    <row r="2042" spans="1:3" ht="15" customHeight="1" x14ac:dyDescent="0.3">
      <c r="A2042" t="s">
        <v>279</v>
      </c>
      <c r="B2042" s="3">
        <v>46023</v>
      </c>
      <c r="C2042">
        <v>306</v>
      </c>
    </row>
    <row r="2043" spans="1:3" ht="15" customHeight="1" x14ac:dyDescent="0.3">
      <c r="A2043" t="s">
        <v>279</v>
      </c>
      <c r="B2043" s="3">
        <v>46054</v>
      </c>
      <c r="C2043">
        <v>522.44464000000005</v>
      </c>
    </row>
    <row r="2044" spans="1:3" ht="15" customHeight="1" x14ac:dyDescent="0.3">
      <c r="A2044" t="s">
        <v>279</v>
      </c>
      <c r="B2044" s="3">
        <v>46082</v>
      </c>
      <c r="C2044">
        <v>372</v>
      </c>
    </row>
    <row r="2045" spans="1:3" ht="15" customHeight="1" x14ac:dyDescent="0.3">
      <c r="A2045" t="s">
        <v>279</v>
      </c>
      <c r="B2045" s="3">
        <v>46113</v>
      </c>
      <c r="C2045">
        <v>44.97</v>
      </c>
    </row>
    <row r="2046" spans="1:3" ht="15" customHeight="1" x14ac:dyDescent="0.3">
      <c r="A2046" t="s">
        <v>279</v>
      </c>
      <c r="B2046" s="3">
        <v>46143</v>
      </c>
      <c r="C2046" s="13">
        <v>0</v>
      </c>
    </row>
    <row r="2047" spans="1:3" ht="15" customHeight="1" x14ac:dyDescent="0.3">
      <c r="A2047" t="s">
        <v>279</v>
      </c>
      <c r="B2047" s="3">
        <v>46174</v>
      </c>
    </row>
    <row r="2048" spans="1:3" ht="15" customHeight="1" x14ac:dyDescent="0.3">
      <c r="A2048" t="s">
        <v>279</v>
      </c>
      <c r="B2048" s="3">
        <v>46204</v>
      </c>
    </row>
    <row r="2049" spans="1:2" ht="15" customHeight="1" x14ac:dyDescent="0.3">
      <c r="A2049" t="s">
        <v>279</v>
      </c>
      <c r="B2049" s="3">
        <v>46235</v>
      </c>
    </row>
    <row r="2050" spans="1:2" ht="15" customHeight="1" x14ac:dyDescent="0.3">
      <c r="A2050" t="s">
        <v>279</v>
      </c>
      <c r="B2050" s="3">
        <v>46266</v>
      </c>
    </row>
    <row r="2051" spans="1:2" ht="15" customHeight="1" x14ac:dyDescent="0.3">
      <c r="A2051" t="s">
        <v>279</v>
      </c>
      <c r="B2051" s="3">
        <v>46296</v>
      </c>
    </row>
    <row r="2052" spans="1:2" ht="15" customHeight="1" x14ac:dyDescent="0.3">
      <c r="A2052" t="s">
        <v>279</v>
      </c>
      <c r="B2052" s="3">
        <v>46327</v>
      </c>
    </row>
    <row r="2053" spans="1:2" ht="15" customHeight="1" x14ac:dyDescent="0.3">
      <c r="A2053" t="s">
        <v>279</v>
      </c>
      <c r="B2053" s="3">
        <v>46357</v>
      </c>
    </row>
    <row r="2054" spans="1:2" ht="15" customHeight="1" x14ac:dyDescent="0.3">
      <c r="A2054" t="s">
        <v>192</v>
      </c>
      <c r="B2054" s="3">
        <v>45292</v>
      </c>
    </row>
    <row r="2055" spans="1:2" ht="15" customHeight="1" x14ac:dyDescent="0.3">
      <c r="A2055" t="s">
        <v>192</v>
      </c>
      <c r="B2055" s="3">
        <v>45323</v>
      </c>
    </row>
    <row r="2056" spans="1:2" ht="15" customHeight="1" x14ac:dyDescent="0.3">
      <c r="A2056" t="s">
        <v>192</v>
      </c>
      <c r="B2056" s="3">
        <v>45352</v>
      </c>
    </row>
    <row r="2057" spans="1:2" ht="15" customHeight="1" x14ac:dyDescent="0.3">
      <c r="A2057" t="s">
        <v>192</v>
      </c>
      <c r="B2057" s="3">
        <v>45383</v>
      </c>
    </row>
    <row r="2058" spans="1:2" ht="15" customHeight="1" x14ac:dyDescent="0.3">
      <c r="A2058" t="s">
        <v>192</v>
      </c>
      <c r="B2058" s="3">
        <v>45413</v>
      </c>
    </row>
    <row r="2059" spans="1:2" ht="15" customHeight="1" x14ac:dyDescent="0.3">
      <c r="A2059" t="s">
        <v>192</v>
      </c>
      <c r="B2059" s="3">
        <v>45444</v>
      </c>
    </row>
    <row r="2060" spans="1:2" ht="15" customHeight="1" x14ac:dyDescent="0.3">
      <c r="A2060" t="s">
        <v>192</v>
      </c>
      <c r="B2060" s="3">
        <v>45474</v>
      </c>
    </row>
    <row r="2061" spans="1:2" ht="15" customHeight="1" x14ac:dyDescent="0.3">
      <c r="A2061" t="s">
        <v>192</v>
      </c>
      <c r="B2061" s="3">
        <v>45505</v>
      </c>
    </row>
    <row r="2062" spans="1:2" ht="15" customHeight="1" x14ac:dyDescent="0.3">
      <c r="A2062" t="s">
        <v>192</v>
      </c>
      <c r="B2062" s="3">
        <v>45536</v>
      </c>
    </row>
    <row r="2063" spans="1:2" ht="15" customHeight="1" x14ac:dyDescent="0.3">
      <c r="A2063" t="s">
        <v>192</v>
      </c>
      <c r="B2063" s="3">
        <v>45566</v>
      </c>
    </row>
    <row r="2064" spans="1:2" ht="15" customHeight="1" x14ac:dyDescent="0.3">
      <c r="A2064" t="s">
        <v>192</v>
      </c>
      <c r="B2064" s="3">
        <v>45597</v>
      </c>
    </row>
    <row r="2065" spans="1:3" ht="15" customHeight="1" x14ac:dyDescent="0.3">
      <c r="A2065" t="s">
        <v>192</v>
      </c>
      <c r="B2065" s="3">
        <v>45627</v>
      </c>
    </row>
    <row r="2066" spans="1:3" ht="15" customHeight="1" x14ac:dyDescent="0.3">
      <c r="A2066" t="s">
        <v>192</v>
      </c>
      <c r="B2066" s="3">
        <v>45658</v>
      </c>
      <c r="C2066">
        <v>10100</v>
      </c>
    </row>
    <row r="2067" spans="1:3" ht="15" customHeight="1" x14ac:dyDescent="0.3">
      <c r="A2067" t="s">
        <v>192</v>
      </c>
      <c r="B2067" s="3">
        <v>45689</v>
      </c>
      <c r="C2067">
        <v>12001</v>
      </c>
    </row>
    <row r="2068" spans="1:3" ht="15" customHeight="1" x14ac:dyDescent="0.3">
      <c r="A2068" t="s">
        <v>192</v>
      </c>
      <c r="B2068" s="3">
        <v>45717</v>
      </c>
      <c r="C2068">
        <v>13213</v>
      </c>
    </row>
    <row r="2069" spans="1:3" ht="15" customHeight="1" x14ac:dyDescent="0.3">
      <c r="A2069" t="s">
        <v>192</v>
      </c>
      <c r="B2069" s="3">
        <v>45748</v>
      </c>
      <c r="C2069">
        <v>9636</v>
      </c>
    </row>
    <row r="2070" spans="1:3" ht="15" customHeight="1" x14ac:dyDescent="0.3">
      <c r="A2070" t="s">
        <v>192</v>
      </c>
      <c r="B2070" s="3">
        <v>45778</v>
      </c>
      <c r="C2070">
        <v>10261</v>
      </c>
    </row>
    <row r="2071" spans="1:3" ht="15" customHeight="1" x14ac:dyDescent="0.3">
      <c r="A2071" t="s">
        <v>192</v>
      </c>
      <c r="B2071" s="3">
        <v>45809</v>
      </c>
      <c r="C2071">
        <v>11348.4</v>
      </c>
    </row>
    <row r="2072" spans="1:3" ht="15" customHeight="1" x14ac:dyDescent="0.3">
      <c r="A2072" t="s">
        <v>192</v>
      </c>
      <c r="B2072" s="3">
        <v>45839</v>
      </c>
      <c r="C2072">
        <v>14705</v>
      </c>
    </row>
    <row r="2073" spans="1:3" ht="15" customHeight="1" x14ac:dyDescent="0.3">
      <c r="A2073" t="s">
        <v>192</v>
      </c>
      <c r="B2073" s="3">
        <v>45870</v>
      </c>
      <c r="C2073">
        <v>16958</v>
      </c>
    </row>
    <row r="2074" spans="1:3" ht="15" customHeight="1" x14ac:dyDescent="0.3">
      <c r="A2074" t="s">
        <v>192</v>
      </c>
      <c r="B2074" s="3">
        <v>45901</v>
      </c>
      <c r="C2074">
        <v>17766</v>
      </c>
    </row>
    <row r="2075" spans="1:3" ht="15" customHeight="1" x14ac:dyDescent="0.3">
      <c r="A2075" t="s">
        <v>192</v>
      </c>
      <c r="B2075" s="3">
        <v>45931</v>
      </c>
      <c r="C2075">
        <v>22849</v>
      </c>
    </row>
    <row r="2076" spans="1:3" ht="15" customHeight="1" x14ac:dyDescent="0.3">
      <c r="A2076" t="s">
        <v>192</v>
      </c>
      <c r="B2076" s="3">
        <v>45962</v>
      </c>
      <c r="C2076">
        <v>20014</v>
      </c>
    </row>
    <row r="2077" spans="1:3" ht="15" customHeight="1" x14ac:dyDescent="0.3">
      <c r="A2077" t="s">
        <v>192</v>
      </c>
      <c r="B2077" s="3">
        <v>45992</v>
      </c>
      <c r="C2077">
        <v>21334.1162</v>
      </c>
    </row>
    <row r="2078" spans="1:3" ht="15" customHeight="1" x14ac:dyDescent="0.3">
      <c r="A2078" t="s">
        <v>192</v>
      </c>
      <c r="B2078" s="3">
        <v>46023</v>
      </c>
      <c r="C2078">
        <v>23434</v>
      </c>
    </row>
    <row r="2079" spans="1:3" ht="15" customHeight="1" x14ac:dyDescent="0.3">
      <c r="A2079" t="s">
        <v>192</v>
      </c>
      <c r="B2079" s="3">
        <v>46054</v>
      </c>
      <c r="C2079">
        <v>21742.196199999998</v>
      </c>
    </row>
    <row r="2080" spans="1:3" ht="15" customHeight="1" x14ac:dyDescent="0.3">
      <c r="A2080" t="s">
        <v>192</v>
      </c>
      <c r="B2080" s="3">
        <v>46082</v>
      </c>
      <c r="C2080">
        <v>18523</v>
      </c>
    </row>
    <row r="2081" spans="1:3" ht="15" customHeight="1" x14ac:dyDescent="0.3">
      <c r="A2081" t="s">
        <v>192</v>
      </c>
      <c r="B2081" s="3">
        <v>46113</v>
      </c>
      <c r="C2081">
        <v>15379.43</v>
      </c>
    </row>
    <row r="2082" spans="1:3" ht="15" customHeight="1" x14ac:dyDescent="0.3">
      <c r="A2082" t="s">
        <v>192</v>
      </c>
      <c r="B2082" s="3">
        <v>46143</v>
      </c>
      <c r="C2082" s="13">
        <v>15576.52</v>
      </c>
    </row>
    <row r="2083" spans="1:3" ht="15" customHeight="1" x14ac:dyDescent="0.3">
      <c r="A2083" t="s">
        <v>192</v>
      </c>
      <c r="B2083" s="3">
        <v>46174</v>
      </c>
    </row>
    <row r="2084" spans="1:3" ht="15" customHeight="1" x14ac:dyDescent="0.3">
      <c r="A2084" t="s">
        <v>192</v>
      </c>
      <c r="B2084" s="3">
        <v>46204</v>
      </c>
    </row>
    <row r="2085" spans="1:3" ht="15" customHeight="1" x14ac:dyDescent="0.3">
      <c r="A2085" t="s">
        <v>192</v>
      </c>
      <c r="B2085" s="3">
        <v>46235</v>
      </c>
    </row>
    <row r="2086" spans="1:3" ht="15" customHeight="1" x14ac:dyDescent="0.3">
      <c r="A2086" t="s">
        <v>192</v>
      </c>
      <c r="B2086" s="3">
        <v>46266</v>
      </c>
    </row>
    <row r="2087" spans="1:3" ht="15" customHeight="1" x14ac:dyDescent="0.3">
      <c r="A2087" t="s">
        <v>192</v>
      </c>
      <c r="B2087" s="3">
        <v>46296</v>
      </c>
    </row>
    <row r="2088" spans="1:3" ht="15" customHeight="1" x14ac:dyDescent="0.3">
      <c r="A2088" t="s">
        <v>192</v>
      </c>
      <c r="B2088" s="3">
        <v>46327</v>
      </c>
    </row>
    <row r="2089" spans="1:3" ht="15" customHeight="1" x14ac:dyDescent="0.3">
      <c r="A2089" t="s">
        <v>192</v>
      </c>
      <c r="B2089" s="3">
        <v>46357</v>
      </c>
    </row>
    <row r="2090" spans="1:3" ht="15" customHeight="1" x14ac:dyDescent="0.3">
      <c r="A2090" t="s">
        <v>254</v>
      </c>
      <c r="B2090" s="3">
        <v>45292</v>
      </c>
    </row>
    <row r="2091" spans="1:3" ht="15" customHeight="1" x14ac:dyDescent="0.3">
      <c r="A2091" t="s">
        <v>254</v>
      </c>
      <c r="B2091" s="3">
        <v>45323</v>
      </c>
    </row>
    <row r="2092" spans="1:3" ht="15" customHeight="1" x14ac:dyDescent="0.3">
      <c r="A2092" t="s">
        <v>254</v>
      </c>
      <c r="B2092" s="3">
        <v>45352</v>
      </c>
    </row>
    <row r="2093" spans="1:3" ht="15" customHeight="1" x14ac:dyDescent="0.3">
      <c r="A2093" t="s">
        <v>254</v>
      </c>
      <c r="B2093" s="3">
        <v>45383</v>
      </c>
    </row>
    <row r="2094" spans="1:3" ht="15" customHeight="1" x14ac:dyDescent="0.3">
      <c r="A2094" t="s">
        <v>254</v>
      </c>
      <c r="B2094" s="3">
        <v>45413</v>
      </c>
    </row>
    <row r="2095" spans="1:3" ht="15" customHeight="1" x14ac:dyDescent="0.3">
      <c r="A2095" t="s">
        <v>254</v>
      </c>
      <c r="B2095" s="3">
        <v>45444</v>
      </c>
    </row>
    <row r="2096" spans="1:3" ht="15" customHeight="1" x14ac:dyDescent="0.3">
      <c r="A2096" t="s">
        <v>254</v>
      </c>
      <c r="B2096" s="3">
        <v>45474</v>
      </c>
    </row>
    <row r="2097" spans="1:2" ht="15" customHeight="1" x14ac:dyDescent="0.3">
      <c r="A2097" t="s">
        <v>254</v>
      </c>
      <c r="B2097" s="3">
        <v>45505</v>
      </c>
    </row>
    <row r="2098" spans="1:2" ht="15" customHeight="1" x14ac:dyDescent="0.3">
      <c r="A2098" t="s">
        <v>254</v>
      </c>
      <c r="B2098" s="3">
        <v>45536</v>
      </c>
    </row>
    <row r="2099" spans="1:2" ht="15" customHeight="1" x14ac:dyDescent="0.3">
      <c r="A2099" t="s">
        <v>254</v>
      </c>
      <c r="B2099" s="3">
        <v>45566</v>
      </c>
    </row>
    <row r="2100" spans="1:2" ht="15" customHeight="1" x14ac:dyDescent="0.3">
      <c r="A2100" t="s">
        <v>254</v>
      </c>
      <c r="B2100" s="3">
        <v>45597</v>
      </c>
    </row>
    <row r="2101" spans="1:2" ht="15" customHeight="1" x14ac:dyDescent="0.3">
      <c r="A2101" t="s">
        <v>254</v>
      </c>
      <c r="B2101" s="3">
        <v>45627</v>
      </c>
    </row>
    <row r="2102" spans="1:2" ht="15" customHeight="1" x14ac:dyDescent="0.3">
      <c r="A2102" t="s">
        <v>254</v>
      </c>
      <c r="B2102" s="3">
        <v>45658</v>
      </c>
    </row>
    <row r="2103" spans="1:2" ht="15" customHeight="1" x14ac:dyDescent="0.3">
      <c r="A2103" t="s">
        <v>254</v>
      </c>
      <c r="B2103" s="3">
        <v>45689</v>
      </c>
    </row>
    <row r="2104" spans="1:2" ht="15" customHeight="1" x14ac:dyDescent="0.3">
      <c r="A2104" t="s">
        <v>254</v>
      </c>
      <c r="B2104" s="3">
        <v>45717</v>
      </c>
    </row>
    <row r="2105" spans="1:2" ht="15" customHeight="1" x14ac:dyDescent="0.3">
      <c r="A2105" t="s">
        <v>254</v>
      </c>
      <c r="B2105" s="3">
        <v>45748</v>
      </c>
    </row>
    <row r="2106" spans="1:2" ht="15" customHeight="1" x14ac:dyDescent="0.3">
      <c r="A2106" t="s">
        <v>254</v>
      </c>
      <c r="B2106" s="3">
        <v>45778</v>
      </c>
    </row>
    <row r="2107" spans="1:2" ht="15" customHeight="1" x14ac:dyDescent="0.3">
      <c r="A2107" t="s">
        <v>254</v>
      </c>
      <c r="B2107" s="3">
        <v>45809</v>
      </c>
    </row>
    <row r="2108" spans="1:2" ht="15" customHeight="1" x14ac:dyDescent="0.3">
      <c r="A2108" t="s">
        <v>254</v>
      </c>
      <c r="B2108" s="3">
        <v>45839</v>
      </c>
    </row>
    <row r="2109" spans="1:2" ht="15" customHeight="1" x14ac:dyDescent="0.3">
      <c r="A2109" t="s">
        <v>254</v>
      </c>
      <c r="B2109" s="3">
        <v>45870</v>
      </c>
    </row>
    <row r="2110" spans="1:2" ht="15" customHeight="1" x14ac:dyDescent="0.3">
      <c r="A2110" t="s">
        <v>254</v>
      </c>
      <c r="B2110" s="3">
        <v>45901</v>
      </c>
    </row>
    <row r="2111" spans="1:2" ht="15" customHeight="1" x14ac:dyDescent="0.3">
      <c r="A2111" t="s">
        <v>254</v>
      </c>
      <c r="B2111" s="3">
        <v>45931</v>
      </c>
    </row>
    <row r="2112" spans="1:2" ht="15" customHeight="1" x14ac:dyDescent="0.3">
      <c r="A2112" t="s">
        <v>254</v>
      </c>
      <c r="B2112" s="3">
        <v>45962</v>
      </c>
    </row>
    <row r="2113" spans="1:3" ht="15" customHeight="1" x14ac:dyDescent="0.3">
      <c r="A2113" t="s">
        <v>254</v>
      </c>
      <c r="B2113" s="3">
        <v>45992</v>
      </c>
    </row>
    <row r="2114" spans="1:3" ht="15" customHeight="1" x14ac:dyDescent="0.3">
      <c r="A2114" t="s">
        <v>254</v>
      </c>
      <c r="B2114" s="3">
        <v>46023</v>
      </c>
    </row>
    <row r="2115" spans="1:3" ht="15" customHeight="1" x14ac:dyDescent="0.3">
      <c r="A2115" t="s">
        <v>254</v>
      </c>
      <c r="B2115" s="3">
        <v>46054</v>
      </c>
    </row>
    <row r="2116" spans="1:3" ht="15" customHeight="1" x14ac:dyDescent="0.3">
      <c r="A2116" t="s">
        <v>254</v>
      </c>
      <c r="B2116" s="3">
        <v>46082</v>
      </c>
      <c r="C2116">
        <v>10022</v>
      </c>
    </row>
    <row r="2117" spans="1:3" ht="15" customHeight="1" x14ac:dyDescent="0.3">
      <c r="A2117" t="s">
        <v>254</v>
      </c>
      <c r="B2117" s="3">
        <v>46113</v>
      </c>
      <c r="C2117">
        <v>11511.86</v>
      </c>
    </row>
    <row r="2118" spans="1:3" ht="15" customHeight="1" x14ac:dyDescent="0.3">
      <c r="A2118" t="s">
        <v>254</v>
      </c>
      <c r="B2118" s="3">
        <v>46143</v>
      </c>
      <c r="C2118" s="13">
        <v>14709.43</v>
      </c>
    </row>
    <row r="2119" spans="1:3" ht="15" customHeight="1" x14ac:dyDescent="0.3">
      <c r="A2119" t="s">
        <v>254</v>
      </c>
      <c r="B2119" s="3">
        <v>46174</v>
      </c>
    </row>
    <row r="2120" spans="1:3" ht="15" customHeight="1" x14ac:dyDescent="0.3">
      <c r="A2120" t="s">
        <v>254</v>
      </c>
      <c r="B2120" s="3">
        <v>46204</v>
      </c>
    </row>
    <row r="2121" spans="1:3" ht="15" customHeight="1" x14ac:dyDescent="0.3">
      <c r="A2121" t="s">
        <v>254</v>
      </c>
      <c r="B2121" s="3">
        <v>46235</v>
      </c>
    </row>
    <row r="2122" spans="1:3" ht="15" customHeight="1" x14ac:dyDescent="0.3">
      <c r="A2122" t="s">
        <v>254</v>
      </c>
      <c r="B2122" s="3">
        <v>46266</v>
      </c>
    </row>
    <row r="2123" spans="1:3" ht="15" customHeight="1" x14ac:dyDescent="0.3">
      <c r="A2123" t="s">
        <v>254</v>
      </c>
      <c r="B2123" s="3">
        <v>46296</v>
      </c>
    </row>
    <row r="2124" spans="1:3" ht="15" customHeight="1" x14ac:dyDescent="0.3">
      <c r="A2124" t="s">
        <v>254</v>
      </c>
      <c r="B2124" s="3">
        <v>46327</v>
      </c>
    </row>
    <row r="2125" spans="1:3" ht="15" customHeight="1" x14ac:dyDescent="0.3">
      <c r="A2125" t="s">
        <v>254</v>
      </c>
      <c r="B2125" s="3">
        <v>46357</v>
      </c>
    </row>
    <row r="2126" spans="1:3" ht="15" customHeight="1" x14ac:dyDescent="0.3">
      <c r="A2126" t="s">
        <v>194</v>
      </c>
      <c r="B2126" s="3">
        <v>45292</v>
      </c>
    </row>
    <row r="2127" spans="1:3" ht="15" customHeight="1" x14ac:dyDescent="0.3">
      <c r="A2127" t="s">
        <v>194</v>
      </c>
      <c r="B2127" s="3">
        <v>45323</v>
      </c>
    </row>
    <row r="2128" spans="1:3" ht="15" customHeight="1" x14ac:dyDescent="0.3">
      <c r="A2128" t="s">
        <v>194</v>
      </c>
      <c r="B2128" s="3">
        <v>45352</v>
      </c>
    </row>
    <row r="2129" spans="1:3" ht="15" customHeight="1" x14ac:dyDescent="0.3">
      <c r="A2129" t="s">
        <v>194</v>
      </c>
      <c r="B2129" s="3">
        <v>45383</v>
      </c>
    </row>
    <row r="2130" spans="1:3" ht="15" customHeight="1" x14ac:dyDescent="0.3">
      <c r="A2130" t="s">
        <v>194</v>
      </c>
      <c r="B2130" s="3">
        <v>45413</v>
      </c>
    </row>
    <row r="2131" spans="1:3" ht="15" customHeight="1" x14ac:dyDescent="0.3">
      <c r="A2131" t="s">
        <v>194</v>
      </c>
      <c r="B2131" s="3">
        <v>45444</v>
      </c>
    </row>
    <row r="2132" spans="1:3" ht="15" customHeight="1" x14ac:dyDescent="0.3">
      <c r="A2132" t="s">
        <v>194</v>
      </c>
      <c r="B2132" s="3">
        <v>45474</v>
      </c>
    </row>
    <row r="2133" spans="1:3" ht="15" customHeight="1" x14ac:dyDescent="0.3">
      <c r="A2133" t="s">
        <v>194</v>
      </c>
      <c r="B2133" s="3">
        <v>45505</v>
      </c>
    </row>
    <row r="2134" spans="1:3" ht="15" customHeight="1" x14ac:dyDescent="0.3">
      <c r="A2134" t="s">
        <v>194</v>
      </c>
      <c r="B2134" s="3">
        <v>45536</v>
      </c>
    </row>
    <row r="2135" spans="1:3" ht="15" customHeight="1" x14ac:dyDescent="0.3">
      <c r="A2135" t="s">
        <v>194</v>
      </c>
      <c r="B2135" s="3">
        <v>45566</v>
      </c>
    </row>
    <row r="2136" spans="1:3" ht="15" customHeight="1" x14ac:dyDescent="0.3">
      <c r="A2136" t="s">
        <v>194</v>
      </c>
      <c r="B2136" s="3">
        <v>45597</v>
      </c>
    </row>
    <row r="2137" spans="1:3" ht="15" customHeight="1" x14ac:dyDescent="0.3">
      <c r="A2137" t="s">
        <v>194</v>
      </c>
      <c r="B2137" s="3">
        <v>45627</v>
      </c>
    </row>
    <row r="2138" spans="1:3" ht="15" customHeight="1" x14ac:dyDescent="0.3">
      <c r="A2138" t="s">
        <v>194</v>
      </c>
      <c r="B2138" s="3">
        <v>45658</v>
      </c>
      <c r="C2138">
        <v>18900</v>
      </c>
    </row>
    <row r="2139" spans="1:3" ht="15" customHeight="1" x14ac:dyDescent="0.3">
      <c r="A2139" t="s">
        <v>194</v>
      </c>
      <c r="B2139" s="3">
        <v>45689</v>
      </c>
      <c r="C2139">
        <v>13110</v>
      </c>
    </row>
    <row r="2140" spans="1:3" ht="15" customHeight="1" x14ac:dyDescent="0.3">
      <c r="A2140" t="s">
        <v>194</v>
      </c>
      <c r="B2140" s="3">
        <v>45717</v>
      </c>
      <c r="C2140">
        <v>11124</v>
      </c>
    </row>
    <row r="2141" spans="1:3" ht="15" customHeight="1" x14ac:dyDescent="0.3">
      <c r="A2141" t="s">
        <v>194</v>
      </c>
      <c r="B2141" s="3">
        <v>45748</v>
      </c>
      <c r="C2141">
        <v>9398</v>
      </c>
    </row>
    <row r="2142" spans="1:3" ht="15" customHeight="1" x14ac:dyDescent="0.3">
      <c r="A2142" t="s">
        <v>194</v>
      </c>
      <c r="B2142" s="3">
        <v>45778</v>
      </c>
      <c r="C2142">
        <v>10507</v>
      </c>
    </row>
    <row r="2143" spans="1:3" ht="15" customHeight="1" x14ac:dyDescent="0.3">
      <c r="A2143" t="s">
        <v>194</v>
      </c>
      <c r="B2143" s="3">
        <v>45809</v>
      </c>
      <c r="C2143">
        <v>8615</v>
      </c>
    </row>
    <row r="2144" spans="1:3" ht="15" customHeight="1" x14ac:dyDescent="0.3">
      <c r="A2144" t="s">
        <v>194</v>
      </c>
      <c r="B2144" s="3">
        <v>45839</v>
      </c>
      <c r="C2144">
        <v>9297</v>
      </c>
    </row>
    <row r="2145" spans="1:3" ht="15" customHeight="1" x14ac:dyDescent="0.3">
      <c r="A2145" t="s">
        <v>194</v>
      </c>
      <c r="B2145" s="3">
        <v>45870</v>
      </c>
      <c r="C2145">
        <v>11805</v>
      </c>
    </row>
    <row r="2146" spans="1:3" ht="15" customHeight="1" x14ac:dyDescent="0.3">
      <c r="A2146" t="s">
        <v>194</v>
      </c>
      <c r="B2146" s="3">
        <v>45901</v>
      </c>
      <c r="C2146">
        <v>12829</v>
      </c>
    </row>
    <row r="2147" spans="1:3" ht="15" customHeight="1" x14ac:dyDescent="0.3">
      <c r="A2147" t="s">
        <v>194</v>
      </c>
      <c r="B2147" s="3">
        <v>45931</v>
      </c>
      <c r="C2147">
        <v>18800</v>
      </c>
    </row>
    <row r="2148" spans="1:3" ht="15" customHeight="1" x14ac:dyDescent="0.3">
      <c r="A2148" t="s">
        <v>194</v>
      </c>
      <c r="B2148" s="3">
        <v>45962</v>
      </c>
      <c r="C2148">
        <v>15186</v>
      </c>
    </row>
    <row r="2149" spans="1:3" ht="15" customHeight="1" x14ac:dyDescent="0.3">
      <c r="A2149" t="s">
        <v>194</v>
      </c>
      <c r="B2149" s="3">
        <v>45992</v>
      </c>
      <c r="C2149">
        <v>17488.270700000001</v>
      </c>
    </row>
    <row r="2150" spans="1:3" ht="15" customHeight="1" x14ac:dyDescent="0.3">
      <c r="A2150" t="s">
        <v>194</v>
      </c>
      <c r="B2150" s="3">
        <v>46023</v>
      </c>
      <c r="C2150">
        <v>18755</v>
      </c>
    </row>
    <row r="2151" spans="1:3" ht="15" customHeight="1" x14ac:dyDescent="0.3">
      <c r="A2151" t="s">
        <v>194</v>
      </c>
      <c r="B2151" s="3">
        <v>46054</v>
      </c>
      <c r="C2151">
        <v>15395.716200000001</v>
      </c>
    </row>
    <row r="2152" spans="1:3" ht="15" customHeight="1" x14ac:dyDescent="0.3">
      <c r="A2152" t="s">
        <v>194</v>
      </c>
      <c r="B2152" s="3">
        <v>46082</v>
      </c>
      <c r="C2152">
        <v>11700</v>
      </c>
    </row>
    <row r="2153" spans="1:3" ht="15" customHeight="1" x14ac:dyDescent="0.3">
      <c r="A2153" t="s">
        <v>194</v>
      </c>
      <c r="B2153" s="3">
        <v>46113</v>
      </c>
      <c r="C2153">
        <v>8798.9599999999991</v>
      </c>
    </row>
    <row r="2154" spans="1:3" ht="15" customHeight="1" x14ac:dyDescent="0.3">
      <c r="A2154" t="s">
        <v>194</v>
      </c>
      <c r="B2154" s="3">
        <v>46143</v>
      </c>
      <c r="C2154" s="13">
        <v>8378.25</v>
      </c>
    </row>
    <row r="2155" spans="1:3" ht="15" customHeight="1" x14ac:dyDescent="0.3">
      <c r="A2155" t="s">
        <v>194</v>
      </c>
      <c r="B2155" s="3">
        <v>46174</v>
      </c>
    </row>
    <row r="2156" spans="1:3" ht="15" customHeight="1" x14ac:dyDescent="0.3">
      <c r="A2156" t="s">
        <v>194</v>
      </c>
      <c r="B2156" s="3">
        <v>46204</v>
      </c>
    </row>
    <row r="2157" spans="1:3" ht="15" customHeight="1" x14ac:dyDescent="0.3">
      <c r="A2157" t="s">
        <v>194</v>
      </c>
      <c r="B2157" s="3">
        <v>46235</v>
      </c>
    </row>
    <row r="2158" spans="1:3" ht="15" customHeight="1" x14ac:dyDescent="0.3">
      <c r="A2158" t="s">
        <v>194</v>
      </c>
      <c r="B2158" s="3">
        <v>46266</v>
      </c>
    </row>
    <row r="2159" spans="1:3" ht="15" customHeight="1" x14ac:dyDescent="0.3">
      <c r="A2159" t="s">
        <v>194</v>
      </c>
      <c r="B2159" s="3">
        <v>46296</v>
      </c>
    </row>
    <row r="2160" spans="1:3" ht="15" customHeight="1" x14ac:dyDescent="0.3">
      <c r="A2160" t="s">
        <v>194</v>
      </c>
      <c r="B2160" s="3">
        <v>46327</v>
      </c>
    </row>
    <row r="2161" spans="1:3" ht="15" customHeight="1" x14ac:dyDescent="0.3">
      <c r="A2161" t="s">
        <v>194</v>
      </c>
      <c r="B2161" s="3">
        <v>46357</v>
      </c>
    </row>
    <row r="2162" spans="1:3" ht="15" customHeight="1" x14ac:dyDescent="0.3">
      <c r="A2162" t="s">
        <v>196</v>
      </c>
      <c r="B2162" s="3">
        <v>45292</v>
      </c>
    </row>
    <row r="2163" spans="1:3" ht="15" customHeight="1" x14ac:dyDescent="0.3">
      <c r="A2163" t="s">
        <v>196</v>
      </c>
      <c r="B2163" s="3">
        <v>45323</v>
      </c>
    </row>
    <row r="2164" spans="1:3" ht="15" customHeight="1" x14ac:dyDescent="0.3">
      <c r="A2164" t="s">
        <v>196</v>
      </c>
      <c r="B2164" s="3">
        <v>45352</v>
      </c>
    </row>
    <row r="2165" spans="1:3" ht="15" customHeight="1" x14ac:dyDescent="0.3">
      <c r="A2165" t="s">
        <v>196</v>
      </c>
      <c r="B2165" s="3">
        <v>45383</v>
      </c>
    </row>
    <row r="2166" spans="1:3" ht="15" customHeight="1" x14ac:dyDescent="0.3">
      <c r="A2166" t="s">
        <v>196</v>
      </c>
      <c r="B2166" s="3">
        <v>45413</v>
      </c>
    </row>
    <row r="2167" spans="1:3" ht="15" customHeight="1" x14ac:dyDescent="0.3">
      <c r="A2167" t="s">
        <v>196</v>
      </c>
      <c r="B2167" s="3">
        <v>45444</v>
      </c>
    </row>
    <row r="2168" spans="1:3" ht="15" customHeight="1" x14ac:dyDescent="0.3">
      <c r="A2168" t="s">
        <v>196</v>
      </c>
      <c r="B2168" s="3">
        <v>45474</v>
      </c>
    </row>
    <row r="2169" spans="1:3" ht="15" customHeight="1" x14ac:dyDescent="0.3">
      <c r="A2169" t="s">
        <v>196</v>
      </c>
      <c r="B2169" s="3">
        <v>45505</v>
      </c>
    </row>
    <row r="2170" spans="1:3" ht="15" customHeight="1" x14ac:dyDescent="0.3">
      <c r="A2170" t="s">
        <v>196</v>
      </c>
      <c r="B2170" s="3">
        <v>45536</v>
      </c>
    </row>
    <row r="2171" spans="1:3" ht="15" customHeight="1" x14ac:dyDescent="0.3">
      <c r="A2171" t="s">
        <v>196</v>
      </c>
      <c r="B2171" s="3">
        <v>45566</v>
      </c>
    </row>
    <row r="2172" spans="1:3" ht="15" customHeight="1" x14ac:dyDescent="0.3">
      <c r="A2172" t="s">
        <v>196</v>
      </c>
      <c r="B2172" s="3">
        <v>45597</v>
      </c>
    </row>
    <row r="2173" spans="1:3" ht="15" customHeight="1" x14ac:dyDescent="0.3">
      <c r="A2173" t="s">
        <v>196</v>
      </c>
      <c r="B2173" s="3">
        <v>45627</v>
      </c>
    </row>
    <row r="2174" spans="1:3" ht="15" customHeight="1" x14ac:dyDescent="0.3">
      <c r="A2174" t="s">
        <v>196</v>
      </c>
      <c r="B2174" s="3">
        <v>45658</v>
      </c>
      <c r="C2174">
        <v>33100</v>
      </c>
    </row>
    <row r="2175" spans="1:3" ht="15" customHeight="1" x14ac:dyDescent="0.3">
      <c r="A2175" t="s">
        <v>196</v>
      </c>
      <c r="B2175" s="3">
        <v>45689</v>
      </c>
      <c r="C2175">
        <v>24950</v>
      </c>
    </row>
    <row r="2176" spans="1:3" ht="15" customHeight="1" x14ac:dyDescent="0.3">
      <c r="A2176" t="s">
        <v>196</v>
      </c>
      <c r="B2176" s="3">
        <v>45717</v>
      </c>
      <c r="C2176">
        <v>24126</v>
      </c>
    </row>
    <row r="2177" spans="1:3" ht="15" customHeight="1" x14ac:dyDescent="0.3">
      <c r="A2177" t="s">
        <v>196</v>
      </c>
      <c r="B2177" s="3">
        <v>45748</v>
      </c>
      <c r="C2177">
        <v>18837</v>
      </c>
    </row>
    <row r="2178" spans="1:3" ht="15" customHeight="1" x14ac:dyDescent="0.3">
      <c r="A2178" t="s">
        <v>196</v>
      </c>
      <c r="B2178" s="3">
        <v>45778</v>
      </c>
      <c r="C2178">
        <v>22373</v>
      </c>
    </row>
    <row r="2179" spans="1:3" ht="15" customHeight="1" x14ac:dyDescent="0.3">
      <c r="A2179" t="s">
        <v>196</v>
      </c>
      <c r="B2179" s="3">
        <v>45809</v>
      </c>
      <c r="C2179">
        <v>18416.599999999999</v>
      </c>
    </row>
    <row r="2180" spans="1:3" ht="15" customHeight="1" x14ac:dyDescent="0.3">
      <c r="A2180" t="s">
        <v>196</v>
      </c>
      <c r="B2180" s="3">
        <v>45839</v>
      </c>
      <c r="C2180">
        <v>19123</v>
      </c>
    </row>
    <row r="2181" spans="1:3" ht="15" customHeight="1" x14ac:dyDescent="0.3">
      <c r="A2181" t="s">
        <v>196</v>
      </c>
      <c r="B2181" s="3">
        <v>45870</v>
      </c>
      <c r="C2181">
        <v>22404</v>
      </c>
    </row>
    <row r="2182" spans="1:3" ht="15" customHeight="1" x14ac:dyDescent="0.3">
      <c r="A2182" t="s">
        <v>196</v>
      </c>
      <c r="B2182" s="3">
        <v>45901</v>
      </c>
      <c r="C2182">
        <v>21900</v>
      </c>
    </row>
    <row r="2183" spans="1:3" ht="15" customHeight="1" x14ac:dyDescent="0.3">
      <c r="A2183" t="s">
        <v>196</v>
      </c>
      <c r="B2183" s="3">
        <v>45931</v>
      </c>
      <c r="C2183">
        <v>29612</v>
      </c>
    </row>
    <row r="2184" spans="1:3" ht="15" customHeight="1" x14ac:dyDescent="0.3">
      <c r="A2184" t="s">
        <v>196</v>
      </c>
      <c r="B2184" s="3">
        <v>45962</v>
      </c>
      <c r="C2184">
        <v>26751</v>
      </c>
    </row>
    <row r="2185" spans="1:3" ht="15" customHeight="1" x14ac:dyDescent="0.3">
      <c r="A2185" t="s">
        <v>196</v>
      </c>
      <c r="B2185" s="3">
        <v>45992</v>
      </c>
      <c r="C2185">
        <v>30623.100399999999</v>
      </c>
    </row>
    <row r="2186" spans="1:3" ht="15" customHeight="1" x14ac:dyDescent="0.3">
      <c r="A2186" t="s">
        <v>196</v>
      </c>
      <c r="B2186" s="3">
        <v>46023</v>
      </c>
      <c r="C2186">
        <v>34009</v>
      </c>
    </row>
    <row r="2187" spans="1:3" ht="15" customHeight="1" x14ac:dyDescent="0.3">
      <c r="A2187" t="s">
        <v>196</v>
      </c>
      <c r="B2187" s="3">
        <v>46054</v>
      </c>
      <c r="C2187">
        <v>24602.882900000001</v>
      </c>
    </row>
    <row r="2188" spans="1:3" ht="15" customHeight="1" x14ac:dyDescent="0.3">
      <c r="A2188" t="s">
        <v>196</v>
      </c>
      <c r="B2188" s="3">
        <v>46082</v>
      </c>
      <c r="C2188">
        <v>23540</v>
      </c>
    </row>
    <row r="2189" spans="1:3" ht="15" customHeight="1" x14ac:dyDescent="0.3">
      <c r="A2189" t="s">
        <v>196</v>
      </c>
      <c r="B2189" s="3">
        <v>46113</v>
      </c>
      <c r="C2189">
        <v>18199.29</v>
      </c>
    </row>
    <row r="2190" spans="1:3" ht="15" customHeight="1" x14ac:dyDescent="0.3">
      <c r="A2190" t="s">
        <v>196</v>
      </c>
      <c r="B2190" s="3">
        <v>46143</v>
      </c>
      <c r="C2190" s="13">
        <v>17860.55</v>
      </c>
    </row>
    <row r="2191" spans="1:3" ht="15" customHeight="1" x14ac:dyDescent="0.3">
      <c r="A2191" t="s">
        <v>196</v>
      </c>
      <c r="B2191" s="3">
        <v>46174</v>
      </c>
    </row>
    <row r="2192" spans="1:3" ht="15" customHeight="1" x14ac:dyDescent="0.3">
      <c r="A2192" t="s">
        <v>196</v>
      </c>
      <c r="B2192" s="3">
        <v>46204</v>
      </c>
    </row>
    <row r="2193" spans="1:3" ht="15" customHeight="1" x14ac:dyDescent="0.3">
      <c r="A2193" t="s">
        <v>196</v>
      </c>
      <c r="B2193" s="3">
        <v>46235</v>
      </c>
    </row>
    <row r="2194" spans="1:3" ht="15" customHeight="1" x14ac:dyDescent="0.3">
      <c r="A2194" t="s">
        <v>196</v>
      </c>
      <c r="B2194" s="3">
        <v>46266</v>
      </c>
    </row>
    <row r="2195" spans="1:3" ht="15" customHeight="1" x14ac:dyDescent="0.3">
      <c r="A2195" t="s">
        <v>196</v>
      </c>
      <c r="B2195" s="3">
        <v>46296</v>
      </c>
    </row>
    <row r="2196" spans="1:3" ht="15" customHeight="1" x14ac:dyDescent="0.3">
      <c r="A2196" t="s">
        <v>196</v>
      </c>
      <c r="B2196" s="3">
        <v>46327</v>
      </c>
    </row>
    <row r="2197" spans="1:3" ht="15" customHeight="1" x14ac:dyDescent="0.3">
      <c r="A2197" t="s">
        <v>196</v>
      </c>
      <c r="B2197" s="3">
        <v>46357</v>
      </c>
    </row>
    <row r="2198" spans="1:3" ht="15" customHeight="1" x14ac:dyDescent="0.3">
      <c r="A2198" t="s">
        <v>198</v>
      </c>
      <c r="B2198" s="3">
        <v>45292</v>
      </c>
    </row>
    <row r="2199" spans="1:3" ht="15" customHeight="1" x14ac:dyDescent="0.3">
      <c r="A2199" t="s">
        <v>198</v>
      </c>
      <c r="B2199" s="3">
        <v>45323</v>
      </c>
    </row>
    <row r="2200" spans="1:3" ht="15" customHeight="1" x14ac:dyDescent="0.3">
      <c r="A2200" t="s">
        <v>198</v>
      </c>
      <c r="B2200" s="3">
        <v>45352</v>
      </c>
    </row>
    <row r="2201" spans="1:3" ht="15" customHeight="1" x14ac:dyDescent="0.3">
      <c r="A2201" t="s">
        <v>198</v>
      </c>
      <c r="B2201" s="3">
        <v>45383</v>
      </c>
    </row>
    <row r="2202" spans="1:3" ht="15" customHeight="1" x14ac:dyDescent="0.3">
      <c r="A2202" t="s">
        <v>198</v>
      </c>
      <c r="B2202" s="3">
        <v>45413</v>
      </c>
    </row>
    <row r="2203" spans="1:3" ht="15" customHeight="1" x14ac:dyDescent="0.3">
      <c r="A2203" t="s">
        <v>198</v>
      </c>
      <c r="B2203" s="3">
        <v>45444</v>
      </c>
    </row>
    <row r="2204" spans="1:3" ht="15" customHeight="1" x14ac:dyDescent="0.3">
      <c r="A2204" t="s">
        <v>198</v>
      </c>
      <c r="B2204" s="3">
        <v>45474</v>
      </c>
    </row>
    <row r="2205" spans="1:3" ht="15" customHeight="1" x14ac:dyDescent="0.3">
      <c r="A2205" t="s">
        <v>198</v>
      </c>
      <c r="B2205" s="3">
        <v>45505</v>
      </c>
      <c r="C2205">
        <v>3670</v>
      </c>
    </row>
    <row r="2206" spans="1:3" ht="15" customHeight="1" x14ac:dyDescent="0.3">
      <c r="A2206" t="s">
        <v>198</v>
      </c>
      <c r="B2206" s="3">
        <v>45536</v>
      </c>
      <c r="C2206">
        <v>24226</v>
      </c>
    </row>
    <row r="2207" spans="1:3" ht="15" customHeight="1" x14ac:dyDescent="0.3">
      <c r="A2207" t="s">
        <v>198</v>
      </c>
      <c r="B2207" s="3">
        <v>45566</v>
      </c>
      <c r="C2207">
        <v>29060</v>
      </c>
    </row>
    <row r="2208" spans="1:3" ht="15" customHeight="1" x14ac:dyDescent="0.3">
      <c r="A2208" t="s">
        <v>198</v>
      </c>
      <c r="B2208" s="3">
        <v>45597</v>
      </c>
      <c r="C2208">
        <v>28700</v>
      </c>
    </row>
    <row r="2209" spans="1:3" ht="15" customHeight="1" x14ac:dyDescent="0.3">
      <c r="A2209" t="s">
        <v>198</v>
      </c>
      <c r="B2209" s="3">
        <v>45627</v>
      </c>
      <c r="C2209">
        <v>32654</v>
      </c>
    </row>
    <row r="2210" spans="1:3" ht="15" customHeight="1" x14ac:dyDescent="0.3">
      <c r="A2210" t="s">
        <v>198</v>
      </c>
      <c r="B2210" s="3">
        <v>45658</v>
      </c>
      <c r="C2210">
        <v>31900</v>
      </c>
    </row>
    <row r="2211" spans="1:3" ht="15" customHeight="1" x14ac:dyDescent="0.3">
      <c r="A2211" t="s">
        <v>198</v>
      </c>
      <c r="B2211" s="3">
        <v>45689</v>
      </c>
      <c r="C2211">
        <v>24980</v>
      </c>
    </row>
    <row r="2212" spans="1:3" ht="15" customHeight="1" x14ac:dyDescent="0.3">
      <c r="A2212" t="s">
        <v>198</v>
      </c>
      <c r="B2212" s="3">
        <v>45717</v>
      </c>
      <c r="C2212">
        <v>24068</v>
      </c>
    </row>
    <row r="2213" spans="1:3" ht="15" customHeight="1" x14ac:dyDescent="0.3">
      <c r="A2213" t="s">
        <v>198</v>
      </c>
      <c r="B2213" s="3">
        <v>45748</v>
      </c>
      <c r="C2213">
        <v>17329</v>
      </c>
    </row>
    <row r="2214" spans="1:3" ht="15" customHeight="1" x14ac:dyDescent="0.3">
      <c r="A2214" t="s">
        <v>198</v>
      </c>
      <c r="B2214" s="3">
        <v>45778</v>
      </c>
      <c r="C2214">
        <v>19241</v>
      </c>
    </row>
    <row r="2215" spans="1:3" ht="15" customHeight="1" x14ac:dyDescent="0.3">
      <c r="A2215" t="s">
        <v>198</v>
      </c>
      <c r="B2215" s="3">
        <v>45809</v>
      </c>
      <c r="C2215">
        <v>18515.91</v>
      </c>
    </row>
    <row r="2216" spans="1:3" ht="15" customHeight="1" x14ac:dyDescent="0.3">
      <c r="A2216" t="s">
        <v>198</v>
      </c>
      <c r="B2216" s="3">
        <v>45839</v>
      </c>
      <c r="C2216">
        <v>18781</v>
      </c>
    </row>
    <row r="2217" spans="1:3" ht="15" customHeight="1" x14ac:dyDescent="0.3">
      <c r="A2217" t="s">
        <v>198</v>
      </c>
      <c r="B2217" s="3">
        <v>45870</v>
      </c>
      <c r="C2217">
        <v>21235</v>
      </c>
    </row>
    <row r="2218" spans="1:3" ht="15" customHeight="1" x14ac:dyDescent="0.3">
      <c r="A2218" t="s">
        <v>198</v>
      </c>
      <c r="B2218" s="3">
        <v>45901</v>
      </c>
      <c r="C2218">
        <v>23085</v>
      </c>
    </row>
    <row r="2219" spans="1:3" ht="15" customHeight="1" x14ac:dyDescent="0.3">
      <c r="A2219" t="s">
        <v>198</v>
      </c>
      <c r="B2219" s="3">
        <v>45931</v>
      </c>
      <c r="C2219">
        <v>25611</v>
      </c>
    </row>
    <row r="2220" spans="1:3" ht="15" customHeight="1" x14ac:dyDescent="0.3">
      <c r="A2220" t="s">
        <v>198</v>
      </c>
      <c r="B2220" s="3">
        <v>45962</v>
      </c>
      <c r="C2220">
        <v>25276</v>
      </c>
    </row>
    <row r="2221" spans="1:3" ht="15" customHeight="1" x14ac:dyDescent="0.3">
      <c r="A2221" t="s">
        <v>198</v>
      </c>
      <c r="B2221" s="3">
        <v>45992</v>
      </c>
      <c r="C2221">
        <v>28457.1296</v>
      </c>
    </row>
    <row r="2222" spans="1:3" ht="15" customHeight="1" x14ac:dyDescent="0.3">
      <c r="A2222" t="s">
        <v>198</v>
      </c>
      <c r="B2222" s="3">
        <v>46023</v>
      </c>
      <c r="C2222">
        <v>29092</v>
      </c>
    </row>
    <row r="2223" spans="1:3" ht="15" customHeight="1" x14ac:dyDescent="0.3">
      <c r="A2223" t="s">
        <v>198</v>
      </c>
      <c r="B2223" s="3">
        <v>46054</v>
      </c>
      <c r="C2223">
        <v>23486.9398</v>
      </c>
    </row>
    <row r="2224" spans="1:3" ht="15" customHeight="1" x14ac:dyDescent="0.3">
      <c r="A2224" t="s">
        <v>198</v>
      </c>
      <c r="B2224" s="3">
        <v>46082</v>
      </c>
      <c r="C2224">
        <v>22459</v>
      </c>
    </row>
    <row r="2225" spans="1:3" ht="15" customHeight="1" x14ac:dyDescent="0.3">
      <c r="A2225" t="s">
        <v>198</v>
      </c>
      <c r="B2225" s="3">
        <v>46113</v>
      </c>
      <c r="C2225">
        <v>18207.86</v>
      </c>
    </row>
    <row r="2226" spans="1:3" ht="15" customHeight="1" x14ac:dyDescent="0.3">
      <c r="A2226" t="s">
        <v>198</v>
      </c>
      <c r="B2226" s="3">
        <v>46143</v>
      </c>
      <c r="C2226" s="13">
        <v>17848.830000000002</v>
      </c>
    </row>
    <row r="2227" spans="1:3" ht="15" customHeight="1" x14ac:dyDescent="0.3">
      <c r="A2227" t="s">
        <v>198</v>
      </c>
      <c r="B2227" s="3">
        <v>46174</v>
      </c>
    </row>
    <row r="2228" spans="1:3" ht="15" customHeight="1" x14ac:dyDescent="0.3">
      <c r="A2228" t="s">
        <v>198</v>
      </c>
      <c r="B2228" s="3">
        <v>46204</v>
      </c>
    </row>
    <row r="2229" spans="1:3" ht="15" customHeight="1" x14ac:dyDescent="0.3">
      <c r="A2229" t="s">
        <v>198</v>
      </c>
      <c r="B2229" s="3">
        <v>46235</v>
      </c>
    </row>
    <row r="2230" spans="1:3" ht="15" customHeight="1" x14ac:dyDescent="0.3">
      <c r="A2230" t="s">
        <v>198</v>
      </c>
      <c r="B2230" s="3">
        <v>46266</v>
      </c>
    </row>
    <row r="2231" spans="1:3" ht="15" customHeight="1" x14ac:dyDescent="0.3">
      <c r="A2231" t="s">
        <v>198</v>
      </c>
      <c r="B2231" s="3">
        <v>46296</v>
      </c>
    </row>
    <row r="2232" spans="1:3" ht="15" customHeight="1" x14ac:dyDescent="0.3">
      <c r="A2232" t="s">
        <v>198</v>
      </c>
      <c r="B2232" s="3">
        <v>46327</v>
      </c>
    </row>
    <row r="2233" spans="1:3" ht="15" customHeight="1" x14ac:dyDescent="0.3">
      <c r="A2233" t="s">
        <v>198</v>
      </c>
      <c r="B2233" s="3">
        <v>46357</v>
      </c>
    </row>
    <row r="2234" spans="1:3" ht="15" customHeight="1" x14ac:dyDescent="0.3">
      <c r="A2234" t="s">
        <v>200</v>
      </c>
      <c r="B2234" s="3">
        <v>45292</v>
      </c>
    </row>
    <row r="2235" spans="1:3" ht="15" customHeight="1" x14ac:dyDescent="0.3">
      <c r="A2235" t="s">
        <v>200</v>
      </c>
      <c r="B2235" s="3">
        <v>45323</v>
      </c>
    </row>
    <row r="2236" spans="1:3" ht="15" customHeight="1" x14ac:dyDescent="0.3">
      <c r="A2236" t="s">
        <v>200</v>
      </c>
      <c r="B2236" s="3">
        <v>45352</v>
      </c>
    </row>
    <row r="2237" spans="1:3" ht="15" customHeight="1" x14ac:dyDescent="0.3">
      <c r="A2237" t="s">
        <v>200</v>
      </c>
      <c r="B2237" s="3">
        <v>45383</v>
      </c>
    </row>
    <row r="2238" spans="1:3" ht="15" customHeight="1" x14ac:dyDescent="0.3">
      <c r="A2238" t="s">
        <v>200</v>
      </c>
      <c r="B2238" s="3">
        <v>45413</v>
      </c>
    </row>
    <row r="2239" spans="1:3" ht="15" customHeight="1" x14ac:dyDescent="0.3">
      <c r="A2239" t="s">
        <v>200</v>
      </c>
      <c r="B2239" s="3">
        <v>45444</v>
      </c>
    </row>
    <row r="2240" spans="1:3" ht="15" customHeight="1" x14ac:dyDescent="0.3">
      <c r="A2240" t="s">
        <v>200</v>
      </c>
      <c r="B2240" s="3">
        <v>45474</v>
      </c>
    </row>
    <row r="2241" spans="1:3" ht="15" customHeight="1" x14ac:dyDescent="0.3">
      <c r="A2241" t="s">
        <v>200</v>
      </c>
      <c r="B2241" s="3">
        <v>45505</v>
      </c>
    </row>
    <row r="2242" spans="1:3" ht="15" customHeight="1" x14ac:dyDescent="0.3">
      <c r="A2242" t="s">
        <v>200</v>
      </c>
      <c r="B2242" s="3">
        <v>45536</v>
      </c>
      <c r="C2242">
        <v>10570</v>
      </c>
    </row>
    <row r="2243" spans="1:3" ht="15" customHeight="1" x14ac:dyDescent="0.3">
      <c r="A2243" t="s">
        <v>200</v>
      </c>
      <c r="B2243" s="3">
        <v>45566</v>
      </c>
      <c r="C2243">
        <v>18040</v>
      </c>
    </row>
    <row r="2244" spans="1:3" ht="15" customHeight="1" x14ac:dyDescent="0.3">
      <c r="A2244" t="s">
        <v>200</v>
      </c>
      <c r="B2244" s="3">
        <v>45597</v>
      </c>
      <c r="C2244">
        <v>18800</v>
      </c>
    </row>
    <row r="2245" spans="1:3" ht="15" customHeight="1" x14ac:dyDescent="0.3">
      <c r="A2245" t="s">
        <v>200</v>
      </c>
      <c r="B2245" s="3">
        <v>45627</v>
      </c>
      <c r="C2245">
        <v>20883</v>
      </c>
    </row>
    <row r="2246" spans="1:3" ht="15" customHeight="1" x14ac:dyDescent="0.3">
      <c r="A2246" t="s">
        <v>200</v>
      </c>
      <c r="B2246" s="3">
        <v>45658</v>
      </c>
      <c r="C2246">
        <v>20300</v>
      </c>
    </row>
    <row r="2247" spans="1:3" ht="15" customHeight="1" x14ac:dyDescent="0.3">
      <c r="A2247" t="s">
        <v>200</v>
      </c>
      <c r="B2247" s="3">
        <v>45689</v>
      </c>
      <c r="C2247">
        <v>13100</v>
      </c>
    </row>
    <row r="2248" spans="1:3" ht="15" customHeight="1" x14ac:dyDescent="0.3">
      <c r="A2248" t="s">
        <v>200</v>
      </c>
      <c r="B2248" s="3">
        <v>45717</v>
      </c>
      <c r="C2248">
        <v>12342</v>
      </c>
    </row>
    <row r="2249" spans="1:3" ht="15" customHeight="1" x14ac:dyDescent="0.3">
      <c r="A2249" t="s">
        <v>200</v>
      </c>
      <c r="B2249" s="3">
        <v>45748</v>
      </c>
      <c r="C2249">
        <v>10819</v>
      </c>
    </row>
    <row r="2250" spans="1:3" ht="15" customHeight="1" x14ac:dyDescent="0.3">
      <c r="A2250" t="s">
        <v>200</v>
      </c>
      <c r="B2250" s="3">
        <v>45778</v>
      </c>
      <c r="C2250">
        <v>15169</v>
      </c>
    </row>
    <row r="2251" spans="1:3" ht="15" customHeight="1" x14ac:dyDescent="0.3">
      <c r="A2251" t="s">
        <v>200</v>
      </c>
      <c r="B2251" s="3">
        <v>45809</v>
      </c>
      <c r="C2251">
        <v>13081.41</v>
      </c>
    </row>
    <row r="2252" spans="1:3" ht="15" customHeight="1" x14ac:dyDescent="0.3">
      <c r="A2252" t="s">
        <v>200</v>
      </c>
      <c r="B2252" s="3">
        <v>45839</v>
      </c>
      <c r="C2252">
        <v>14154</v>
      </c>
    </row>
    <row r="2253" spans="1:3" ht="15" customHeight="1" x14ac:dyDescent="0.3">
      <c r="A2253" t="s">
        <v>200</v>
      </c>
      <c r="B2253" s="3">
        <v>45870</v>
      </c>
      <c r="C2253">
        <v>16190</v>
      </c>
    </row>
    <row r="2254" spans="1:3" ht="15" customHeight="1" x14ac:dyDescent="0.3">
      <c r="A2254" t="s">
        <v>200</v>
      </c>
      <c r="B2254" s="3">
        <v>45901</v>
      </c>
      <c r="C2254">
        <v>16520</v>
      </c>
    </row>
    <row r="2255" spans="1:3" ht="15" customHeight="1" x14ac:dyDescent="0.3">
      <c r="A2255" t="s">
        <v>200</v>
      </c>
      <c r="B2255" s="3">
        <v>45931</v>
      </c>
      <c r="C2255">
        <v>20440</v>
      </c>
    </row>
    <row r="2256" spans="1:3" ht="15" customHeight="1" x14ac:dyDescent="0.3">
      <c r="A2256" t="s">
        <v>200</v>
      </c>
      <c r="B2256" s="3">
        <v>45962</v>
      </c>
      <c r="C2256">
        <v>17928</v>
      </c>
    </row>
    <row r="2257" spans="1:3" ht="15" customHeight="1" x14ac:dyDescent="0.3">
      <c r="A2257" t="s">
        <v>200</v>
      </c>
      <c r="B2257" s="3">
        <v>45992</v>
      </c>
      <c r="C2257">
        <v>20527.882300000001</v>
      </c>
    </row>
    <row r="2258" spans="1:3" ht="15" customHeight="1" x14ac:dyDescent="0.3">
      <c r="A2258" t="s">
        <v>200</v>
      </c>
      <c r="B2258" s="3">
        <v>46023</v>
      </c>
      <c r="C2258">
        <v>22071</v>
      </c>
    </row>
    <row r="2259" spans="1:3" ht="15" customHeight="1" x14ac:dyDescent="0.3">
      <c r="A2259" t="s">
        <v>200</v>
      </c>
      <c r="B2259" s="3">
        <v>46054</v>
      </c>
      <c r="C2259">
        <v>18965</v>
      </c>
    </row>
    <row r="2260" spans="1:3" ht="15" customHeight="1" x14ac:dyDescent="0.3">
      <c r="A2260" t="s">
        <v>200</v>
      </c>
      <c r="B2260" s="3">
        <v>46082</v>
      </c>
      <c r="C2260">
        <v>15865</v>
      </c>
    </row>
    <row r="2261" spans="1:3" ht="15" customHeight="1" x14ac:dyDescent="0.3">
      <c r="A2261" t="s">
        <v>200</v>
      </c>
      <c r="B2261" s="3">
        <v>46113</v>
      </c>
      <c r="C2261">
        <v>13806.89</v>
      </c>
    </row>
    <row r="2262" spans="1:3" ht="15" customHeight="1" x14ac:dyDescent="0.3">
      <c r="A2262" t="s">
        <v>200</v>
      </c>
      <c r="B2262" s="3">
        <v>46143</v>
      </c>
      <c r="C2262" s="13">
        <v>13506.85</v>
      </c>
    </row>
    <row r="2263" spans="1:3" ht="15" customHeight="1" x14ac:dyDescent="0.3">
      <c r="A2263" t="s">
        <v>200</v>
      </c>
      <c r="B2263" s="3">
        <v>46174</v>
      </c>
    </row>
    <row r="2264" spans="1:3" ht="15" customHeight="1" x14ac:dyDescent="0.3">
      <c r="A2264" t="s">
        <v>200</v>
      </c>
      <c r="B2264" s="3">
        <v>46204</v>
      </c>
    </row>
    <row r="2265" spans="1:3" ht="15" customHeight="1" x14ac:dyDescent="0.3">
      <c r="A2265" t="s">
        <v>200</v>
      </c>
      <c r="B2265" s="3">
        <v>46235</v>
      </c>
    </row>
    <row r="2266" spans="1:3" ht="15" customHeight="1" x14ac:dyDescent="0.3">
      <c r="A2266" t="s">
        <v>200</v>
      </c>
      <c r="B2266" s="3">
        <v>46266</v>
      </c>
    </row>
    <row r="2267" spans="1:3" ht="15" customHeight="1" x14ac:dyDescent="0.3">
      <c r="A2267" t="s">
        <v>200</v>
      </c>
      <c r="B2267" s="3">
        <v>46296</v>
      </c>
    </row>
    <row r="2268" spans="1:3" ht="15" customHeight="1" x14ac:dyDescent="0.3">
      <c r="A2268" t="s">
        <v>200</v>
      </c>
      <c r="B2268" s="3">
        <v>46327</v>
      </c>
    </row>
    <row r="2269" spans="1:3" ht="15" customHeight="1" x14ac:dyDescent="0.3">
      <c r="A2269" t="s">
        <v>200</v>
      </c>
      <c r="B2269" s="3">
        <v>46357</v>
      </c>
    </row>
    <row r="2270" spans="1:3" ht="15" customHeight="1" x14ac:dyDescent="0.3">
      <c r="A2270" t="s">
        <v>239</v>
      </c>
      <c r="B2270" s="3">
        <v>45292</v>
      </c>
    </row>
    <row r="2271" spans="1:3" ht="15" customHeight="1" x14ac:dyDescent="0.3">
      <c r="A2271" t="s">
        <v>239</v>
      </c>
      <c r="B2271" s="3">
        <v>45323</v>
      </c>
    </row>
    <row r="2272" spans="1:3" ht="15" customHeight="1" x14ac:dyDescent="0.3">
      <c r="A2272" t="s">
        <v>239</v>
      </c>
      <c r="B2272" s="3">
        <v>45352</v>
      </c>
    </row>
    <row r="2273" spans="1:2" ht="15" customHeight="1" x14ac:dyDescent="0.3">
      <c r="A2273" t="s">
        <v>239</v>
      </c>
      <c r="B2273" s="3">
        <v>45383</v>
      </c>
    </row>
    <row r="2274" spans="1:2" ht="15" customHeight="1" x14ac:dyDescent="0.3">
      <c r="A2274" t="s">
        <v>239</v>
      </c>
      <c r="B2274" s="3">
        <v>45413</v>
      </c>
    </row>
    <row r="2275" spans="1:2" ht="15" customHeight="1" x14ac:dyDescent="0.3">
      <c r="A2275" t="s">
        <v>239</v>
      </c>
      <c r="B2275" s="3">
        <v>45444</v>
      </c>
    </row>
    <row r="2276" spans="1:2" ht="15" customHeight="1" x14ac:dyDescent="0.3">
      <c r="A2276" t="s">
        <v>239</v>
      </c>
      <c r="B2276" s="3">
        <v>45474</v>
      </c>
    </row>
    <row r="2277" spans="1:2" ht="15" customHeight="1" x14ac:dyDescent="0.3">
      <c r="A2277" t="s">
        <v>239</v>
      </c>
      <c r="B2277" s="3">
        <v>45505</v>
      </c>
    </row>
    <row r="2278" spans="1:2" ht="15" customHeight="1" x14ac:dyDescent="0.3">
      <c r="A2278" t="s">
        <v>239</v>
      </c>
      <c r="B2278" s="3">
        <v>45536</v>
      </c>
    </row>
    <row r="2279" spans="1:2" ht="15" customHeight="1" x14ac:dyDescent="0.3">
      <c r="A2279" t="s">
        <v>239</v>
      </c>
      <c r="B2279" s="3">
        <v>45566</v>
      </c>
    </row>
    <row r="2280" spans="1:2" ht="15" customHeight="1" x14ac:dyDescent="0.3">
      <c r="A2280" t="s">
        <v>239</v>
      </c>
      <c r="B2280" s="3">
        <v>45597</v>
      </c>
    </row>
    <row r="2281" spans="1:2" ht="15" customHeight="1" x14ac:dyDescent="0.3">
      <c r="A2281" t="s">
        <v>239</v>
      </c>
      <c r="B2281" s="3">
        <v>45627</v>
      </c>
    </row>
    <row r="2282" spans="1:2" ht="15" customHeight="1" x14ac:dyDescent="0.3">
      <c r="A2282" t="s">
        <v>239</v>
      </c>
      <c r="B2282" s="3">
        <v>45658</v>
      </c>
    </row>
    <row r="2283" spans="1:2" ht="15" customHeight="1" x14ac:dyDescent="0.3">
      <c r="A2283" t="s">
        <v>239</v>
      </c>
      <c r="B2283" s="3">
        <v>45689</v>
      </c>
    </row>
    <row r="2284" spans="1:2" ht="15" customHeight="1" x14ac:dyDescent="0.3">
      <c r="A2284" t="s">
        <v>239</v>
      </c>
      <c r="B2284" s="3">
        <v>45717</v>
      </c>
    </row>
    <row r="2285" spans="1:2" ht="15" customHeight="1" x14ac:dyDescent="0.3">
      <c r="A2285" t="s">
        <v>239</v>
      </c>
      <c r="B2285" s="3">
        <v>45748</v>
      </c>
    </row>
    <row r="2286" spans="1:2" ht="15" customHeight="1" x14ac:dyDescent="0.3">
      <c r="A2286" t="s">
        <v>239</v>
      </c>
      <c r="B2286" s="3">
        <v>45778</v>
      </c>
    </row>
    <row r="2287" spans="1:2" ht="15" customHeight="1" x14ac:dyDescent="0.3">
      <c r="A2287" t="s">
        <v>239</v>
      </c>
      <c r="B2287" s="3">
        <v>45809</v>
      </c>
    </row>
    <row r="2288" spans="1:2" ht="15" customHeight="1" x14ac:dyDescent="0.3">
      <c r="A2288" t="s">
        <v>239</v>
      </c>
      <c r="B2288" s="3">
        <v>45839</v>
      </c>
    </row>
    <row r="2289" spans="1:3" ht="15" customHeight="1" x14ac:dyDescent="0.3">
      <c r="A2289" t="s">
        <v>239</v>
      </c>
      <c r="B2289" s="3">
        <v>45870</v>
      </c>
    </row>
    <row r="2290" spans="1:3" ht="15" customHeight="1" x14ac:dyDescent="0.3">
      <c r="A2290" t="s">
        <v>239</v>
      </c>
      <c r="B2290" s="3">
        <v>45901</v>
      </c>
    </row>
    <row r="2291" spans="1:3" ht="15" customHeight="1" x14ac:dyDescent="0.3">
      <c r="A2291" t="s">
        <v>239</v>
      </c>
      <c r="B2291" s="3">
        <v>45931</v>
      </c>
    </row>
    <row r="2292" spans="1:3" ht="15" customHeight="1" x14ac:dyDescent="0.3">
      <c r="A2292" t="s">
        <v>239</v>
      </c>
      <c r="B2292" s="3">
        <v>45962</v>
      </c>
    </row>
    <row r="2293" spans="1:3" ht="15" customHeight="1" x14ac:dyDescent="0.3">
      <c r="A2293" t="s">
        <v>239</v>
      </c>
      <c r="B2293" s="3">
        <v>45992</v>
      </c>
      <c r="C2293">
        <v>18509</v>
      </c>
    </row>
    <row r="2294" spans="1:3" ht="15" customHeight="1" x14ac:dyDescent="0.3">
      <c r="A2294" t="s">
        <v>239</v>
      </c>
      <c r="B2294" s="3">
        <v>46023</v>
      </c>
      <c r="C2294">
        <v>32917</v>
      </c>
    </row>
    <row r="2295" spans="1:3" ht="15" customHeight="1" x14ac:dyDescent="0.3">
      <c r="A2295" t="s">
        <v>239</v>
      </c>
      <c r="B2295" s="3">
        <v>46054</v>
      </c>
      <c r="C2295">
        <v>31107</v>
      </c>
    </row>
    <row r="2296" spans="1:3" ht="15" customHeight="1" x14ac:dyDescent="0.3">
      <c r="A2296" t="s">
        <v>239</v>
      </c>
      <c r="B2296" s="3">
        <v>46082</v>
      </c>
      <c r="C2296">
        <v>26454</v>
      </c>
    </row>
    <row r="2297" spans="1:3" ht="15" customHeight="1" x14ac:dyDescent="0.3">
      <c r="A2297" t="s">
        <v>239</v>
      </c>
      <c r="B2297" s="3">
        <v>46113</v>
      </c>
      <c r="C2297">
        <v>20930.87</v>
      </c>
    </row>
    <row r="2298" spans="1:3" ht="15" customHeight="1" x14ac:dyDescent="0.3">
      <c r="A2298" t="s">
        <v>239</v>
      </c>
      <c r="B2298" s="3">
        <v>46143</v>
      </c>
      <c r="C2298" s="13">
        <v>20539.96</v>
      </c>
    </row>
    <row r="2299" spans="1:3" ht="15" customHeight="1" x14ac:dyDescent="0.3">
      <c r="A2299" t="s">
        <v>239</v>
      </c>
      <c r="B2299" s="3">
        <v>46174</v>
      </c>
    </row>
    <row r="2300" spans="1:3" ht="15" customHeight="1" x14ac:dyDescent="0.3">
      <c r="A2300" t="s">
        <v>239</v>
      </c>
      <c r="B2300" s="3">
        <v>46204</v>
      </c>
    </row>
    <row r="2301" spans="1:3" ht="15" customHeight="1" x14ac:dyDescent="0.3">
      <c r="A2301" t="s">
        <v>239</v>
      </c>
      <c r="B2301" s="3">
        <v>46235</v>
      </c>
    </row>
    <row r="2302" spans="1:3" ht="15" customHeight="1" x14ac:dyDescent="0.3">
      <c r="A2302" t="s">
        <v>239</v>
      </c>
      <c r="B2302" s="3">
        <v>46266</v>
      </c>
    </row>
    <row r="2303" spans="1:3" ht="15" customHeight="1" x14ac:dyDescent="0.3">
      <c r="A2303" t="s">
        <v>239</v>
      </c>
      <c r="B2303" s="3">
        <v>46296</v>
      </c>
    </row>
    <row r="2304" spans="1:3" ht="15" customHeight="1" x14ac:dyDescent="0.3">
      <c r="A2304" t="s">
        <v>239</v>
      </c>
      <c r="B2304" s="3">
        <v>46327</v>
      </c>
    </row>
    <row r="2305" spans="1:2" ht="15" customHeight="1" x14ac:dyDescent="0.3">
      <c r="A2305" t="s">
        <v>239</v>
      </c>
      <c r="B2305" s="3">
        <v>46357</v>
      </c>
    </row>
    <row r="2306" spans="1:2" ht="15" customHeight="1" x14ac:dyDescent="0.3">
      <c r="A2306" t="s">
        <v>220</v>
      </c>
      <c r="B2306" s="3">
        <v>45292</v>
      </c>
    </row>
    <row r="2307" spans="1:2" ht="15" customHeight="1" x14ac:dyDescent="0.3">
      <c r="A2307" t="s">
        <v>220</v>
      </c>
      <c r="B2307" s="3">
        <v>45323</v>
      </c>
    </row>
    <row r="2308" spans="1:2" ht="15" customHeight="1" x14ac:dyDescent="0.3">
      <c r="A2308" t="s">
        <v>220</v>
      </c>
      <c r="B2308" s="3">
        <v>45352</v>
      </c>
    </row>
    <row r="2309" spans="1:2" ht="15" customHeight="1" x14ac:dyDescent="0.3">
      <c r="A2309" t="s">
        <v>220</v>
      </c>
      <c r="B2309" s="3">
        <v>45383</v>
      </c>
    </row>
    <row r="2310" spans="1:2" ht="15" customHeight="1" x14ac:dyDescent="0.3">
      <c r="A2310" t="s">
        <v>220</v>
      </c>
      <c r="B2310" s="3">
        <v>45413</v>
      </c>
    </row>
    <row r="2311" spans="1:2" ht="15" customHeight="1" x14ac:dyDescent="0.3">
      <c r="A2311" t="s">
        <v>220</v>
      </c>
      <c r="B2311" s="3">
        <v>45444</v>
      </c>
    </row>
    <row r="2312" spans="1:2" ht="15" customHeight="1" x14ac:dyDescent="0.3">
      <c r="A2312" t="s">
        <v>220</v>
      </c>
      <c r="B2312" s="3">
        <v>45474</v>
      </c>
    </row>
    <row r="2313" spans="1:2" ht="15" customHeight="1" x14ac:dyDescent="0.3">
      <c r="A2313" t="s">
        <v>220</v>
      </c>
      <c r="B2313" s="3">
        <v>45505</v>
      </c>
    </row>
    <row r="2314" spans="1:2" ht="15" customHeight="1" x14ac:dyDescent="0.3">
      <c r="A2314" t="s">
        <v>220</v>
      </c>
      <c r="B2314" s="3">
        <v>45536</v>
      </c>
    </row>
    <row r="2315" spans="1:2" ht="15" customHeight="1" x14ac:dyDescent="0.3">
      <c r="A2315" t="s">
        <v>220</v>
      </c>
      <c r="B2315" s="3">
        <v>45566</v>
      </c>
    </row>
    <row r="2316" spans="1:2" ht="15" customHeight="1" x14ac:dyDescent="0.3">
      <c r="A2316" t="s">
        <v>220</v>
      </c>
      <c r="B2316" s="3">
        <v>45597</v>
      </c>
    </row>
    <row r="2317" spans="1:2" ht="15" customHeight="1" x14ac:dyDescent="0.3">
      <c r="A2317" t="s">
        <v>220</v>
      </c>
      <c r="B2317" s="3">
        <v>45627</v>
      </c>
    </row>
    <row r="2318" spans="1:2" ht="15" customHeight="1" x14ac:dyDescent="0.3">
      <c r="A2318" t="s">
        <v>220</v>
      </c>
      <c r="B2318" s="3">
        <v>45658</v>
      </c>
    </row>
    <row r="2319" spans="1:2" ht="15" customHeight="1" x14ac:dyDescent="0.3">
      <c r="A2319" t="s">
        <v>220</v>
      </c>
      <c r="B2319" s="3">
        <v>45689</v>
      </c>
    </row>
    <row r="2320" spans="1:2" ht="15" customHeight="1" x14ac:dyDescent="0.3">
      <c r="A2320" t="s">
        <v>220</v>
      </c>
      <c r="B2320" s="3">
        <v>45717</v>
      </c>
    </row>
    <row r="2321" spans="1:3" ht="15" customHeight="1" x14ac:dyDescent="0.3">
      <c r="A2321" t="s">
        <v>220</v>
      </c>
      <c r="B2321" s="3">
        <v>45748</v>
      </c>
      <c r="C2321">
        <v>4166</v>
      </c>
    </row>
    <row r="2322" spans="1:3" ht="15" customHeight="1" x14ac:dyDescent="0.3">
      <c r="A2322" t="s">
        <v>220</v>
      </c>
      <c r="B2322" s="3">
        <v>45778</v>
      </c>
      <c r="C2322">
        <v>5400</v>
      </c>
    </row>
    <row r="2323" spans="1:3" ht="15" customHeight="1" x14ac:dyDescent="0.3">
      <c r="A2323" t="s">
        <v>220</v>
      </c>
      <c r="B2323" s="3">
        <v>45809</v>
      </c>
      <c r="C2323">
        <v>8687.2999999999993</v>
      </c>
    </row>
    <row r="2324" spans="1:3" ht="15" customHeight="1" x14ac:dyDescent="0.3">
      <c r="A2324" t="s">
        <v>220</v>
      </c>
      <c r="B2324" s="3">
        <v>45839</v>
      </c>
      <c r="C2324">
        <v>7090</v>
      </c>
    </row>
    <row r="2325" spans="1:3" ht="15" customHeight="1" x14ac:dyDescent="0.3">
      <c r="A2325" t="s">
        <v>220</v>
      </c>
      <c r="B2325" s="3">
        <v>45870</v>
      </c>
      <c r="C2325">
        <v>10240</v>
      </c>
    </row>
    <row r="2326" spans="1:3" ht="15" customHeight="1" x14ac:dyDescent="0.3">
      <c r="A2326" t="s">
        <v>220</v>
      </c>
      <c r="B2326" s="3">
        <v>45901</v>
      </c>
      <c r="C2326">
        <v>11379</v>
      </c>
    </row>
    <row r="2327" spans="1:3" ht="15" customHeight="1" x14ac:dyDescent="0.3">
      <c r="A2327" t="s">
        <v>220</v>
      </c>
      <c r="B2327" s="3">
        <v>45931</v>
      </c>
      <c r="C2327">
        <v>16828.7</v>
      </c>
    </row>
    <row r="2328" spans="1:3" ht="15" customHeight="1" x14ac:dyDescent="0.3">
      <c r="A2328" t="s">
        <v>220</v>
      </c>
      <c r="B2328" s="3">
        <v>45962</v>
      </c>
      <c r="C2328">
        <v>15461</v>
      </c>
    </row>
    <row r="2329" spans="1:3" ht="15" customHeight="1" x14ac:dyDescent="0.3">
      <c r="A2329" t="s">
        <v>220</v>
      </c>
      <c r="B2329" s="3">
        <v>45992</v>
      </c>
      <c r="C2329">
        <v>17561</v>
      </c>
    </row>
    <row r="2330" spans="1:3" ht="15" customHeight="1" x14ac:dyDescent="0.3">
      <c r="A2330" t="s">
        <v>220</v>
      </c>
      <c r="B2330" s="3">
        <v>46023</v>
      </c>
      <c r="C2330">
        <v>20127</v>
      </c>
    </row>
    <row r="2331" spans="1:3" ht="15" customHeight="1" x14ac:dyDescent="0.3">
      <c r="A2331" t="s">
        <v>220</v>
      </c>
      <c r="B2331" s="3">
        <v>46054</v>
      </c>
      <c r="C2331">
        <v>16780</v>
      </c>
    </row>
    <row r="2332" spans="1:3" ht="15" customHeight="1" x14ac:dyDescent="0.3">
      <c r="A2332" t="s">
        <v>220</v>
      </c>
      <c r="B2332" s="3">
        <v>46082</v>
      </c>
      <c r="C2332">
        <v>14651</v>
      </c>
    </row>
    <row r="2333" spans="1:3" ht="15" customHeight="1" x14ac:dyDescent="0.3">
      <c r="A2333" t="s">
        <v>220</v>
      </c>
      <c r="B2333" s="3">
        <v>46113</v>
      </c>
      <c r="C2333">
        <v>12498.2</v>
      </c>
    </row>
    <row r="2334" spans="1:3" ht="15" customHeight="1" x14ac:dyDescent="0.3">
      <c r="A2334" t="s">
        <v>220</v>
      </c>
      <c r="B2334" s="3">
        <v>46143</v>
      </c>
      <c r="C2334" s="13">
        <v>11697.82</v>
      </c>
    </row>
    <row r="2335" spans="1:3" ht="15" customHeight="1" x14ac:dyDescent="0.3">
      <c r="A2335" t="s">
        <v>220</v>
      </c>
      <c r="B2335" s="3">
        <v>46174</v>
      </c>
    </row>
    <row r="2336" spans="1:3" ht="15" customHeight="1" x14ac:dyDescent="0.3">
      <c r="A2336" t="s">
        <v>220</v>
      </c>
      <c r="B2336" s="3">
        <v>46204</v>
      </c>
    </row>
    <row r="2337" spans="1:3" ht="15" customHeight="1" x14ac:dyDescent="0.3">
      <c r="A2337" t="s">
        <v>220</v>
      </c>
      <c r="B2337" s="3">
        <v>46235</v>
      </c>
    </row>
    <row r="2338" spans="1:3" ht="15" customHeight="1" x14ac:dyDescent="0.3">
      <c r="A2338" t="s">
        <v>220</v>
      </c>
      <c r="B2338" s="3">
        <v>46266</v>
      </c>
    </row>
    <row r="2339" spans="1:3" ht="15" customHeight="1" x14ac:dyDescent="0.3">
      <c r="A2339" t="s">
        <v>220</v>
      </c>
      <c r="B2339" s="3">
        <v>46296</v>
      </c>
    </row>
    <row r="2340" spans="1:3" ht="15" customHeight="1" x14ac:dyDescent="0.3">
      <c r="A2340" t="s">
        <v>220</v>
      </c>
      <c r="B2340" s="3">
        <v>46327</v>
      </c>
    </row>
    <row r="2341" spans="1:3" ht="15" customHeight="1" x14ac:dyDescent="0.3">
      <c r="A2341" t="s">
        <v>220</v>
      </c>
      <c r="B2341" s="3">
        <v>46357</v>
      </c>
    </row>
    <row r="2342" spans="1:3" ht="15" customHeight="1" x14ac:dyDescent="0.3">
      <c r="A2342" t="s">
        <v>202</v>
      </c>
      <c r="B2342" s="3">
        <v>45292</v>
      </c>
      <c r="C2342">
        <v>9171</v>
      </c>
    </row>
    <row r="2343" spans="1:3" ht="15" customHeight="1" x14ac:dyDescent="0.3">
      <c r="A2343" t="s">
        <v>202</v>
      </c>
      <c r="B2343" s="3">
        <v>45323</v>
      </c>
      <c r="C2343">
        <v>8406</v>
      </c>
    </row>
    <row r="2344" spans="1:3" ht="15" customHeight="1" x14ac:dyDescent="0.3">
      <c r="A2344" t="s">
        <v>202</v>
      </c>
      <c r="B2344" s="3">
        <v>45352</v>
      </c>
      <c r="C2344">
        <v>9529</v>
      </c>
    </row>
    <row r="2345" spans="1:3" ht="15" customHeight="1" x14ac:dyDescent="0.3">
      <c r="A2345" t="s">
        <v>202</v>
      </c>
      <c r="B2345" s="3">
        <v>45383</v>
      </c>
      <c r="C2345">
        <v>8796</v>
      </c>
    </row>
    <row r="2346" spans="1:3" ht="15" customHeight="1" x14ac:dyDescent="0.3">
      <c r="A2346" t="s">
        <v>202</v>
      </c>
      <c r="B2346" s="3">
        <v>45413</v>
      </c>
      <c r="C2346">
        <v>10039</v>
      </c>
    </row>
    <row r="2347" spans="1:3" ht="15" customHeight="1" x14ac:dyDescent="0.3">
      <c r="A2347" t="s">
        <v>202</v>
      </c>
      <c r="B2347" s="3">
        <v>45444</v>
      </c>
      <c r="C2347">
        <v>10175</v>
      </c>
    </row>
    <row r="2348" spans="1:3" ht="15" customHeight="1" x14ac:dyDescent="0.3">
      <c r="A2348" t="s">
        <v>202</v>
      </c>
      <c r="B2348" s="3">
        <v>45474</v>
      </c>
      <c r="C2348">
        <v>10629</v>
      </c>
    </row>
    <row r="2349" spans="1:3" ht="15" customHeight="1" x14ac:dyDescent="0.3">
      <c r="A2349" t="s">
        <v>202</v>
      </c>
      <c r="B2349" s="3">
        <v>45505</v>
      </c>
      <c r="C2349">
        <v>10264</v>
      </c>
    </row>
    <row r="2350" spans="1:3" ht="15" customHeight="1" x14ac:dyDescent="0.3">
      <c r="A2350" t="s">
        <v>202</v>
      </c>
      <c r="B2350" s="3">
        <v>45536</v>
      </c>
      <c r="C2350">
        <v>9192</v>
      </c>
    </row>
    <row r="2351" spans="1:3" ht="15" customHeight="1" x14ac:dyDescent="0.3">
      <c r="A2351" t="s">
        <v>202</v>
      </c>
      <c r="B2351" s="3">
        <v>45566</v>
      </c>
      <c r="C2351">
        <v>10175</v>
      </c>
    </row>
    <row r="2352" spans="1:3" ht="15" customHeight="1" x14ac:dyDescent="0.3">
      <c r="A2352" t="s">
        <v>202</v>
      </c>
      <c r="B2352" s="3">
        <v>45597</v>
      </c>
      <c r="C2352">
        <v>9431</v>
      </c>
    </row>
    <row r="2353" spans="1:3" ht="15" customHeight="1" x14ac:dyDescent="0.3">
      <c r="A2353" t="s">
        <v>202</v>
      </c>
      <c r="B2353" s="3">
        <v>45627</v>
      </c>
      <c r="C2353">
        <v>9104</v>
      </c>
    </row>
    <row r="2354" spans="1:3" ht="15" customHeight="1" x14ac:dyDescent="0.3">
      <c r="A2354" t="s">
        <v>202</v>
      </c>
      <c r="B2354" s="3">
        <v>45658</v>
      </c>
      <c r="C2354">
        <v>5093</v>
      </c>
    </row>
    <row r="2355" spans="1:3" ht="15" customHeight="1" x14ac:dyDescent="0.3">
      <c r="A2355" t="s">
        <v>202</v>
      </c>
      <c r="B2355" s="3">
        <v>45689</v>
      </c>
      <c r="C2355">
        <v>7532</v>
      </c>
    </row>
    <row r="2356" spans="1:3" ht="15" customHeight="1" x14ac:dyDescent="0.3">
      <c r="A2356" t="s">
        <v>202</v>
      </c>
      <c r="B2356" s="3">
        <v>45717</v>
      </c>
      <c r="C2356">
        <v>7375</v>
      </c>
    </row>
    <row r="2357" spans="1:3" ht="15" customHeight="1" x14ac:dyDescent="0.3">
      <c r="A2357" t="s">
        <v>202</v>
      </c>
      <c r="B2357" s="3">
        <v>45748</v>
      </c>
      <c r="C2357">
        <v>7602</v>
      </c>
    </row>
    <row r="2358" spans="1:3" ht="15" customHeight="1" x14ac:dyDescent="0.3">
      <c r="A2358" t="s">
        <v>202</v>
      </c>
      <c r="B2358" s="3">
        <v>45778</v>
      </c>
      <c r="C2358">
        <v>10378</v>
      </c>
    </row>
    <row r="2359" spans="1:3" ht="15" customHeight="1" x14ac:dyDescent="0.3">
      <c r="A2359" t="s">
        <v>202</v>
      </c>
      <c r="B2359" s="3">
        <v>45809</v>
      </c>
      <c r="C2359">
        <v>10510.45</v>
      </c>
    </row>
    <row r="2360" spans="1:3" ht="15" customHeight="1" x14ac:dyDescent="0.3">
      <c r="A2360" t="s">
        <v>202</v>
      </c>
      <c r="B2360" s="3">
        <v>45839</v>
      </c>
      <c r="C2360">
        <v>9750</v>
      </c>
    </row>
    <row r="2361" spans="1:3" ht="15" customHeight="1" x14ac:dyDescent="0.3">
      <c r="A2361" t="s">
        <v>202</v>
      </c>
      <c r="B2361" s="3">
        <v>45870</v>
      </c>
      <c r="C2361">
        <v>10081</v>
      </c>
    </row>
    <row r="2362" spans="1:3" ht="15" customHeight="1" x14ac:dyDescent="0.3">
      <c r="A2362" t="s">
        <v>202</v>
      </c>
      <c r="B2362" s="3">
        <v>45901</v>
      </c>
      <c r="C2362">
        <v>11225</v>
      </c>
    </row>
    <row r="2363" spans="1:3" ht="15" customHeight="1" x14ac:dyDescent="0.3">
      <c r="A2363" t="s">
        <v>202</v>
      </c>
      <c r="B2363" s="3">
        <v>45931</v>
      </c>
      <c r="C2363">
        <v>9885</v>
      </c>
    </row>
    <row r="2364" spans="1:3" ht="15" customHeight="1" x14ac:dyDescent="0.3">
      <c r="A2364" t="s">
        <v>202</v>
      </c>
      <c r="B2364" s="3">
        <v>45962</v>
      </c>
      <c r="C2364">
        <v>8679</v>
      </c>
    </row>
    <row r="2365" spans="1:3" ht="15" customHeight="1" x14ac:dyDescent="0.3">
      <c r="A2365" t="s">
        <v>202</v>
      </c>
      <c r="B2365" s="3">
        <v>45992</v>
      </c>
      <c r="C2365">
        <v>9967</v>
      </c>
    </row>
    <row r="2366" spans="1:3" ht="15" customHeight="1" x14ac:dyDescent="0.3">
      <c r="A2366" t="s">
        <v>202</v>
      </c>
      <c r="B2366" s="3">
        <v>46023</v>
      </c>
      <c r="C2366">
        <v>9751</v>
      </c>
    </row>
    <row r="2367" spans="1:3" ht="15" customHeight="1" x14ac:dyDescent="0.3">
      <c r="A2367" t="s">
        <v>202</v>
      </c>
      <c r="B2367" s="3">
        <v>46054</v>
      </c>
      <c r="C2367">
        <v>8451</v>
      </c>
    </row>
    <row r="2368" spans="1:3" ht="15" customHeight="1" x14ac:dyDescent="0.3">
      <c r="A2368" t="s">
        <v>202</v>
      </c>
      <c r="B2368" s="3">
        <v>46082</v>
      </c>
      <c r="C2368">
        <v>8559</v>
      </c>
    </row>
    <row r="2369" spans="1:3" ht="15" customHeight="1" x14ac:dyDescent="0.3">
      <c r="A2369" t="s">
        <v>202</v>
      </c>
      <c r="B2369" s="3">
        <v>46113</v>
      </c>
      <c r="C2369">
        <v>7937.13</v>
      </c>
    </row>
    <row r="2370" spans="1:3" ht="15" customHeight="1" x14ac:dyDescent="0.3">
      <c r="A2370" t="s">
        <v>202</v>
      </c>
      <c r="B2370" s="3">
        <v>46143</v>
      </c>
      <c r="C2370" s="13">
        <v>10005.799999999999</v>
      </c>
    </row>
    <row r="2371" spans="1:3" ht="15" customHeight="1" x14ac:dyDescent="0.3">
      <c r="A2371" t="s">
        <v>202</v>
      </c>
      <c r="B2371" s="3">
        <v>46174</v>
      </c>
    </row>
    <row r="2372" spans="1:3" ht="15" customHeight="1" x14ac:dyDescent="0.3">
      <c r="A2372" t="s">
        <v>202</v>
      </c>
      <c r="B2372" s="3">
        <v>46204</v>
      </c>
    </row>
    <row r="2373" spans="1:3" ht="15" customHeight="1" x14ac:dyDescent="0.3">
      <c r="A2373" t="s">
        <v>202</v>
      </c>
      <c r="B2373" s="3">
        <v>46235</v>
      </c>
    </row>
    <row r="2374" spans="1:3" ht="15" customHeight="1" x14ac:dyDescent="0.3">
      <c r="A2374" t="s">
        <v>202</v>
      </c>
      <c r="B2374" s="3">
        <v>46266</v>
      </c>
    </row>
    <row r="2375" spans="1:3" ht="15" customHeight="1" x14ac:dyDescent="0.3">
      <c r="A2375" t="s">
        <v>202</v>
      </c>
      <c r="B2375" s="3">
        <v>46296</v>
      </c>
    </row>
    <row r="2376" spans="1:3" ht="15" customHeight="1" x14ac:dyDescent="0.3">
      <c r="A2376" t="s">
        <v>202</v>
      </c>
      <c r="B2376" s="3">
        <v>46327</v>
      </c>
    </row>
    <row r="2377" spans="1:3" ht="15" customHeight="1" x14ac:dyDescent="0.3">
      <c r="A2377" t="s">
        <v>202</v>
      </c>
      <c r="B2377" s="3">
        <v>46357</v>
      </c>
    </row>
    <row r="2378" spans="1:3" ht="15" customHeight="1" x14ac:dyDescent="0.3">
      <c r="A2378" t="s">
        <v>211</v>
      </c>
      <c r="B2378" s="3">
        <v>45292</v>
      </c>
      <c r="C2378">
        <v>3404</v>
      </c>
    </row>
    <row r="2379" spans="1:3" ht="15" customHeight="1" x14ac:dyDescent="0.3">
      <c r="A2379" t="s">
        <v>211</v>
      </c>
      <c r="B2379" s="3">
        <v>45323</v>
      </c>
      <c r="C2379">
        <v>3408</v>
      </c>
    </row>
    <row r="2380" spans="1:3" ht="15" customHeight="1" x14ac:dyDescent="0.3">
      <c r="A2380" t="s">
        <v>211</v>
      </c>
      <c r="B2380" s="3">
        <v>45352</v>
      </c>
      <c r="C2380">
        <v>3131</v>
      </c>
    </row>
    <row r="2381" spans="1:3" ht="15" customHeight="1" x14ac:dyDescent="0.3">
      <c r="A2381" t="s">
        <v>211</v>
      </c>
      <c r="B2381" s="3">
        <v>45383</v>
      </c>
      <c r="C2381">
        <v>2829</v>
      </c>
    </row>
    <row r="2382" spans="1:3" ht="15" customHeight="1" x14ac:dyDescent="0.3">
      <c r="A2382" t="s">
        <v>211</v>
      </c>
      <c r="B2382" s="3">
        <v>45413</v>
      </c>
      <c r="C2382">
        <v>3129</v>
      </c>
    </row>
    <row r="2383" spans="1:3" ht="15" customHeight="1" x14ac:dyDescent="0.3">
      <c r="A2383" t="s">
        <v>211</v>
      </c>
      <c r="B2383" s="3">
        <v>45444</v>
      </c>
      <c r="C2383">
        <v>2591</v>
      </c>
    </row>
    <row r="2384" spans="1:3" ht="15" customHeight="1" x14ac:dyDescent="0.3">
      <c r="A2384" t="s">
        <v>211</v>
      </c>
      <c r="B2384" s="3">
        <v>45474</v>
      </c>
      <c r="C2384">
        <v>3122</v>
      </c>
    </row>
    <row r="2385" spans="1:3" ht="15" customHeight="1" x14ac:dyDescent="0.3">
      <c r="A2385" t="s">
        <v>211</v>
      </c>
      <c r="B2385" s="3">
        <v>45505</v>
      </c>
      <c r="C2385">
        <v>2990</v>
      </c>
    </row>
    <row r="2386" spans="1:3" ht="15" customHeight="1" x14ac:dyDescent="0.3">
      <c r="A2386" t="s">
        <v>211</v>
      </c>
      <c r="B2386" s="3">
        <v>45536</v>
      </c>
      <c r="C2386">
        <v>2990</v>
      </c>
    </row>
    <row r="2387" spans="1:3" ht="15" customHeight="1" x14ac:dyDescent="0.3">
      <c r="A2387" t="s">
        <v>211</v>
      </c>
      <c r="B2387" s="3">
        <v>45566</v>
      </c>
      <c r="C2387">
        <v>4061</v>
      </c>
    </row>
    <row r="2388" spans="1:3" ht="15" customHeight="1" x14ac:dyDescent="0.3">
      <c r="A2388" t="s">
        <v>211</v>
      </c>
      <c r="B2388" s="3">
        <v>45597</v>
      </c>
      <c r="C2388">
        <v>3991</v>
      </c>
    </row>
    <row r="2389" spans="1:3" ht="15" customHeight="1" x14ac:dyDescent="0.3">
      <c r="A2389" t="s">
        <v>211</v>
      </c>
      <c r="B2389" s="3">
        <v>45627</v>
      </c>
      <c r="C2389">
        <v>3569</v>
      </c>
    </row>
    <row r="2390" spans="1:3" ht="15" customHeight="1" x14ac:dyDescent="0.3">
      <c r="A2390" t="s">
        <v>211</v>
      </c>
      <c r="B2390" s="3">
        <v>45658</v>
      </c>
      <c r="C2390">
        <v>3838</v>
      </c>
    </row>
    <row r="2391" spans="1:3" ht="15" customHeight="1" x14ac:dyDescent="0.3">
      <c r="A2391" t="s">
        <v>211</v>
      </c>
      <c r="B2391" s="3">
        <v>45689</v>
      </c>
      <c r="C2391">
        <v>2653</v>
      </c>
    </row>
    <row r="2392" spans="1:3" ht="15" customHeight="1" x14ac:dyDescent="0.3">
      <c r="A2392" t="s">
        <v>211</v>
      </c>
      <c r="B2392" s="3">
        <v>45717</v>
      </c>
      <c r="C2392">
        <v>2925</v>
      </c>
    </row>
    <row r="2393" spans="1:3" ht="15" customHeight="1" x14ac:dyDescent="0.3">
      <c r="A2393" t="s">
        <v>211</v>
      </c>
      <c r="B2393" s="3">
        <v>45748</v>
      </c>
      <c r="C2393">
        <v>2246</v>
      </c>
    </row>
    <row r="2394" spans="1:3" ht="15" customHeight="1" x14ac:dyDescent="0.3">
      <c r="A2394" t="s">
        <v>211</v>
      </c>
      <c r="B2394" s="3">
        <v>45778</v>
      </c>
      <c r="C2394">
        <v>3149</v>
      </c>
    </row>
    <row r="2395" spans="1:3" ht="15" customHeight="1" x14ac:dyDescent="0.3">
      <c r="A2395" t="s">
        <v>211</v>
      </c>
      <c r="B2395" s="3">
        <v>45809</v>
      </c>
      <c r="C2395">
        <v>2654.45</v>
      </c>
    </row>
    <row r="2396" spans="1:3" ht="15" customHeight="1" x14ac:dyDescent="0.3">
      <c r="A2396" t="s">
        <v>211</v>
      </c>
      <c r="B2396" s="3">
        <v>45839</v>
      </c>
      <c r="C2396">
        <v>2863</v>
      </c>
    </row>
    <row r="2397" spans="1:3" ht="15" customHeight="1" x14ac:dyDescent="0.3">
      <c r="A2397" t="s">
        <v>211</v>
      </c>
      <c r="B2397" s="3">
        <v>45870</v>
      </c>
      <c r="C2397">
        <v>3192</v>
      </c>
    </row>
    <row r="2398" spans="1:3" ht="15" customHeight="1" x14ac:dyDescent="0.3">
      <c r="A2398" t="s">
        <v>211</v>
      </c>
      <c r="B2398" s="3">
        <v>45901</v>
      </c>
      <c r="C2398">
        <v>3092</v>
      </c>
    </row>
    <row r="2399" spans="1:3" ht="15" customHeight="1" x14ac:dyDescent="0.3">
      <c r="A2399" t="s">
        <v>211</v>
      </c>
      <c r="B2399" s="3">
        <v>45931</v>
      </c>
      <c r="C2399">
        <v>3600</v>
      </c>
    </row>
    <row r="2400" spans="1:3" ht="15" customHeight="1" x14ac:dyDescent="0.3">
      <c r="A2400" t="s">
        <v>211</v>
      </c>
      <c r="B2400" s="3">
        <v>45962</v>
      </c>
      <c r="C2400">
        <v>2755</v>
      </c>
    </row>
    <row r="2401" spans="1:3" ht="15" customHeight="1" x14ac:dyDescent="0.3">
      <c r="A2401" t="s">
        <v>211</v>
      </c>
      <c r="B2401" s="3">
        <v>45992</v>
      </c>
      <c r="C2401">
        <v>3248</v>
      </c>
    </row>
    <row r="2402" spans="1:3" ht="15" customHeight="1" x14ac:dyDescent="0.3">
      <c r="A2402" t="s">
        <v>211</v>
      </c>
      <c r="B2402" s="3">
        <v>46023</v>
      </c>
      <c r="C2402">
        <v>3546</v>
      </c>
    </row>
    <row r="2403" spans="1:3" ht="15" customHeight="1" x14ac:dyDescent="0.3">
      <c r="A2403" t="s">
        <v>211</v>
      </c>
      <c r="B2403" s="3">
        <v>46054</v>
      </c>
      <c r="C2403">
        <v>3398</v>
      </c>
    </row>
    <row r="2404" spans="1:3" ht="15" customHeight="1" x14ac:dyDescent="0.3">
      <c r="A2404" t="s">
        <v>211</v>
      </c>
      <c r="B2404" s="3">
        <v>46082</v>
      </c>
      <c r="C2404">
        <v>2638</v>
      </c>
    </row>
    <row r="2405" spans="1:3" ht="15" customHeight="1" x14ac:dyDescent="0.3">
      <c r="A2405" t="s">
        <v>211</v>
      </c>
      <c r="B2405" s="3">
        <v>46113</v>
      </c>
      <c r="C2405">
        <v>2034.35</v>
      </c>
    </row>
    <row r="2406" spans="1:3" ht="15" customHeight="1" x14ac:dyDescent="0.3">
      <c r="A2406" t="s">
        <v>211</v>
      </c>
      <c r="B2406" s="3">
        <v>46143</v>
      </c>
      <c r="C2406" s="13">
        <v>2231.41</v>
      </c>
    </row>
    <row r="2407" spans="1:3" ht="15" customHeight="1" x14ac:dyDescent="0.3">
      <c r="A2407" t="s">
        <v>211</v>
      </c>
      <c r="B2407" s="3">
        <v>46174</v>
      </c>
    </row>
    <row r="2408" spans="1:3" ht="15" customHeight="1" x14ac:dyDescent="0.3">
      <c r="A2408" t="s">
        <v>211</v>
      </c>
      <c r="B2408" s="3">
        <v>46204</v>
      </c>
    </row>
    <row r="2409" spans="1:3" ht="15" customHeight="1" x14ac:dyDescent="0.3">
      <c r="A2409" t="s">
        <v>211</v>
      </c>
      <c r="B2409" s="3">
        <v>46235</v>
      </c>
    </row>
    <row r="2410" spans="1:3" ht="15" customHeight="1" x14ac:dyDescent="0.3">
      <c r="A2410" t="s">
        <v>211</v>
      </c>
      <c r="B2410" s="3">
        <v>46266</v>
      </c>
    </row>
    <row r="2411" spans="1:3" ht="15" customHeight="1" x14ac:dyDescent="0.3">
      <c r="A2411" t="s">
        <v>211</v>
      </c>
      <c r="B2411" s="3">
        <v>46296</v>
      </c>
    </row>
    <row r="2412" spans="1:3" ht="15" customHeight="1" x14ac:dyDescent="0.3">
      <c r="A2412" t="s">
        <v>211</v>
      </c>
      <c r="B2412" s="3">
        <v>46327</v>
      </c>
    </row>
    <row r="2413" spans="1:3" ht="15" customHeight="1" x14ac:dyDescent="0.3">
      <c r="A2413" t="s">
        <v>211</v>
      </c>
      <c r="B2413" s="3">
        <v>46357</v>
      </c>
    </row>
    <row r="2414" spans="1:3" ht="15" customHeight="1" x14ac:dyDescent="0.3">
      <c r="A2414" t="s">
        <v>204</v>
      </c>
      <c r="B2414" s="3">
        <v>45292</v>
      </c>
    </row>
    <row r="2415" spans="1:3" ht="15" customHeight="1" x14ac:dyDescent="0.3">
      <c r="A2415" t="s">
        <v>204</v>
      </c>
      <c r="B2415" s="3">
        <v>45323</v>
      </c>
    </row>
    <row r="2416" spans="1:3" ht="15" customHeight="1" x14ac:dyDescent="0.3">
      <c r="A2416" t="s">
        <v>204</v>
      </c>
      <c r="B2416" s="3">
        <v>45352</v>
      </c>
    </row>
    <row r="2417" spans="1:2" ht="15" customHeight="1" x14ac:dyDescent="0.3">
      <c r="A2417" t="s">
        <v>204</v>
      </c>
      <c r="B2417" s="3">
        <v>45383</v>
      </c>
    </row>
    <row r="2418" spans="1:2" ht="15" customHeight="1" x14ac:dyDescent="0.3">
      <c r="A2418" t="s">
        <v>204</v>
      </c>
      <c r="B2418" s="3">
        <v>45413</v>
      </c>
    </row>
    <row r="2419" spans="1:2" ht="15" customHeight="1" x14ac:dyDescent="0.3">
      <c r="A2419" t="s">
        <v>204</v>
      </c>
      <c r="B2419" s="3">
        <v>45444</v>
      </c>
    </row>
    <row r="2420" spans="1:2" ht="15" customHeight="1" x14ac:dyDescent="0.3">
      <c r="A2420" t="s">
        <v>204</v>
      </c>
      <c r="B2420" s="3">
        <v>45474</v>
      </c>
    </row>
    <row r="2421" spans="1:2" ht="15" customHeight="1" x14ac:dyDescent="0.3">
      <c r="A2421" t="s">
        <v>204</v>
      </c>
      <c r="B2421" s="3">
        <v>45505</v>
      </c>
    </row>
    <row r="2422" spans="1:2" ht="15" customHeight="1" x14ac:dyDescent="0.3">
      <c r="A2422" t="s">
        <v>204</v>
      </c>
      <c r="B2422" s="3">
        <v>45536</v>
      </c>
    </row>
    <row r="2423" spans="1:2" ht="15" customHeight="1" x14ac:dyDescent="0.3">
      <c r="A2423" t="s">
        <v>204</v>
      </c>
      <c r="B2423" s="3">
        <v>45566</v>
      </c>
    </row>
    <row r="2424" spans="1:2" ht="15" customHeight="1" x14ac:dyDescent="0.3">
      <c r="A2424" t="s">
        <v>204</v>
      </c>
      <c r="B2424" s="3">
        <v>45597</v>
      </c>
    </row>
    <row r="2425" spans="1:2" ht="15" customHeight="1" x14ac:dyDescent="0.3">
      <c r="A2425" t="s">
        <v>204</v>
      </c>
      <c r="B2425" s="3">
        <v>45627</v>
      </c>
    </row>
    <row r="2426" spans="1:2" ht="15" customHeight="1" x14ac:dyDescent="0.3">
      <c r="A2426" t="s">
        <v>204</v>
      </c>
      <c r="B2426" s="3">
        <v>45658</v>
      </c>
    </row>
    <row r="2427" spans="1:2" ht="15" customHeight="1" x14ac:dyDescent="0.3">
      <c r="A2427" t="s">
        <v>204</v>
      </c>
      <c r="B2427" s="3">
        <v>45689</v>
      </c>
    </row>
    <row r="2428" spans="1:2" ht="15" customHeight="1" x14ac:dyDescent="0.3">
      <c r="A2428" t="s">
        <v>204</v>
      </c>
      <c r="B2428" s="3">
        <v>45717</v>
      </c>
    </row>
    <row r="2429" spans="1:2" ht="15" customHeight="1" x14ac:dyDescent="0.3">
      <c r="A2429" t="s">
        <v>204</v>
      </c>
      <c r="B2429" s="3">
        <v>45748</v>
      </c>
    </row>
    <row r="2430" spans="1:2" ht="15" customHeight="1" x14ac:dyDescent="0.3">
      <c r="A2430" t="s">
        <v>204</v>
      </c>
      <c r="B2430" s="3">
        <v>45778</v>
      </c>
    </row>
    <row r="2431" spans="1:2" ht="15" customHeight="1" x14ac:dyDescent="0.3">
      <c r="A2431" t="s">
        <v>204</v>
      </c>
      <c r="B2431" s="3">
        <v>45809</v>
      </c>
    </row>
    <row r="2432" spans="1:2" ht="15" customHeight="1" x14ac:dyDescent="0.3">
      <c r="A2432" t="s">
        <v>204</v>
      </c>
      <c r="B2432" s="3">
        <v>45839</v>
      </c>
    </row>
    <row r="2433" spans="1:3" ht="15" customHeight="1" x14ac:dyDescent="0.3">
      <c r="A2433" t="s">
        <v>204</v>
      </c>
      <c r="B2433" s="3">
        <v>45870</v>
      </c>
    </row>
    <row r="2434" spans="1:3" ht="15" customHeight="1" x14ac:dyDescent="0.3">
      <c r="A2434" t="s">
        <v>204</v>
      </c>
      <c r="B2434" s="3">
        <v>45901</v>
      </c>
    </row>
    <row r="2435" spans="1:3" ht="15" customHeight="1" x14ac:dyDescent="0.3">
      <c r="A2435" t="s">
        <v>204</v>
      </c>
      <c r="B2435" s="3">
        <v>45931</v>
      </c>
    </row>
    <row r="2436" spans="1:3" ht="15" customHeight="1" x14ac:dyDescent="0.3">
      <c r="A2436" t="s">
        <v>204</v>
      </c>
      <c r="B2436" s="3">
        <v>45962</v>
      </c>
    </row>
    <row r="2437" spans="1:3" ht="15" customHeight="1" x14ac:dyDescent="0.3">
      <c r="A2437" t="s">
        <v>204</v>
      </c>
      <c r="B2437" s="3">
        <v>45992</v>
      </c>
    </row>
    <row r="2438" spans="1:3" ht="15" customHeight="1" x14ac:dyDescent="0.3">
      <c r="A2438" t="s">
        <v>204</v>
      </c>
      <c r="B2438" s="3">
        <v>46023</v>
      </c>
    </row>
    <row r="2439" spans="1:3" ht="15" customHeight="1" x14ac:dyDescent="0.3">
      <c r="A2439" t="s">
        <v>204</v>
      </c>
      <c r="B2439" s="3">
        <v>46054</v>
      </c>
    </row>
    <row r="2440" spans="1:3" ht="15" customHeight="1" x14ac:dyDescent="0.3">
      <c r="A2440" t="s">
        <v>204</v>
      </c>
      <c r="B2440" s="3">
        <v>46082</v>
      </c>
    </row>
    <row r="2441" spans="1:3" ht="15" customHeight="1" x14ac:dyDescent="0.3">
      <c r="A2441" t="s">
        <v>204</v>
      </c>
      <c r="B2441" s="3">
        <v>46113</v>
      </c>
    </row>
    <row r="2442" spans="1:3" ht="15" customHeight="1" x14ac:dyDescent="0.3">
      <c r="A2442" t="s">
        <v>204</v>
      </c>
      <c r="B2442" s="3">
        <v>46143</v>
      </c>
      <c r="C2442" s="13"/>
    </row>
    <row r="2443" spans="1:3" ht="15" customHeight="1" x14ac:dyDescent="0.3">
      <c r="A2443" t="s">
        <v>204</v>
      </c>
      <c r="B2443" s="3">
        <v>46174</v>
      </c>
    </row>
    <row r="2444" spans="1:3" ht="15" customHeight="1" x14ac:dyDescent="0.3">
      <c r="A2444" t="s">
        <v>204</v>
      </c>
      <c r="B2444" s="3">
        <v>46204</v>
      </c>
    </row>
    <row r="2445" spans="1:3" ht="15" customHeight="1" x14ac:dyDescent="0.3">
      <c r="A2445" t="s">
        <v>204</v>
      </c>
      <c r="B2445" s="3">
        <v>46235</v>
      </c>
    </row>
    <row r="2446" spans="1:3" ht="15" customHeight="1" x14ac:dyDescent="0.3">
      <c r="A2446" t="s">
        <v>204</v>
      </c>
      <c r="B2446" s="3">
        <v>46266</v>
      </c>
    </row>
    <row r="2447" spans="1:3" ht="15" customHeight="1" x14ac:dyDescent="0.3">
      <c r="A2447" t="s">
        <v>204</v>
      </c>
      <c r="B2447" s="3">
        <v>46296</v>
      </c>
    </row>
    <row r="2448" spans="1:3" ht="15" customHeight="1" x14ac:dyDescent="0.3">
      <c r="A2448" t="s">
        <v>204</v>
      </c>
      <c r="B2448" s="3">
        <v>46327</v>
      </c>
    </row>
    <row r="2449" spans="1:3" ht="15" customHeight="1" x14ac:dyDescent="0.3">
      <c r="A2449" t="s">
        <v>204</v>
      </c>
      <c r="B2449" s="3">
        <v>46357</v>
      </c>
    </row>
    <row r="2450" spans="1:3" ht="15" customHeight="1" x14ac:dyDescent="0.3">
      <c r="A2450" t="s">
        <v>206</v>
      </c>
      <c r="B2450" s="3">
        <v>45292</v>
      </c>
      <c r="C2450">
        <v>6142</v>
      </c>
    </row>
    <row r="2451" spans="1:3" ht="15" customHeight="1" x14ac:dyDescent="0.3">
      <c r="A2451" t="s">
        <v>206</v>
      </c>
      <c r="B2451" s="3">
        <v>45323</v>
      </c>
      <c r="C2451">
        <v>5738</v>
      </c>
    </row>
    <row r="2452" spans="1:3" ht="15" customHeight="1" x14ac:dyDescent="0.3">
      <c r="A2452" t="s">
        <v>206</v>
      </c>
      <c r="B2452" s="3">
        <v>45352</v>
      </c>
      <c r="C2452">
        <v>5912</v>
      </c>
    </row>
    <row r="2453" spans="1:3" ht="15" customHeight="1" x14ac:dyDescent="0.3">
      <c r="A2453" t="s">
        <v>206</v>
      </c>
      <c r="B2453" s="3">
        <v>45383</v>
      </c>
      <c r="C2453">
        <v>4354</v>
      </c>
    </row>
    <row r="2454" spans="1:3" ht="15" customHeight="1" x14ac:dyDescent="0.3">
      <c r="A2454" t="s">
        <v>206</v>
      </c>
      <c r="B2454" s="3">
        <v>45413</v>
      </c>
      <c r="C2454">
        <v>3536</v>
      </c>
    </row>
    <row r="2455" spans="1:3" ht="15" customHeight="1" x14ac:dyDescent="0.3">
      <c r="A2455" t="s">
        <v>206</v>
      </c>
      <c r="B2455" s="3">
        <v>45444</v>
      </c>
      <c r="C2455">
        <v>2689</v>
      </c>
    </row>
    <row r="2456" spans="1:3" ht="15" customHeight="1" x14ac:dyDescent="0.3">
      <c r="A2456" t="s">
        <v>206</v>
      </c>
      <c r="B2456" s="3">
        <v>45474</v>
      </c>
      <c r="C2456">
        <v>3106</v>
      </c>
    </row>
    <row r="2457" spans="1:3" ht="15" customHeight="1" x14ac:dyDescent="0.3">
      <c r="A2457" t="s">
        <v>206</v>
      </c>
      <c r="B2457" s="3">
        <v>45505</v>
      </c>
      <c r="C2457">
        <v>4461</v>
      </c>
    </row>
    <row r="2458" spans="1:3" ht="15" customHeight="1" x14ac:dyDescent="0.3">
      <c r="A2458" t="s">
        <v>206</v>
      </c>
      <c r="B2458" s="3">
        <v>45536</v>
      </c>
      <c r="C2458">
        <v>5033</v>
      </c>
    </row>
    <row r="2459" spans="1:3" ht="15" customHeight="1" x14ac:dyDescent="0.3">
      <c r="A2459" t="s">
        <v>206</v>
      </c>
      <c r="B2459" s="3">
        <v>45566</v>
      </c>
      <c r="C2459">
        <v>6965</v>
      </c>
    </row>
    <row r="2460" spans="1:3" ht="15" customHeight="1" x14ac:dyDescent="0.3">
      <c r="A2460" t="s">
        <v>206</v>
      </c>
      <c r="B2460" s="3">
        <v>45597</v>
      </c>
      <c r="C2460">
        <v>6934</v>
      </c>
    </row>
    <row r="2461" spans="1:3" ht="15" customHeight="1" x14ac:dyDescent="0.3">
      <c r="A2461" t="s">
        <v>206</v>
      </c>
      <c r="B2461" s="3">
        <v>45627</v>
      </c>
      <c r="C2461">
        <v>7000</v>
      </c>
    </row>
    <row r="2462" spans="1:3" ht="15" customHeight="1" x14ac:dyDescent="0.3">
      <c r="A2462" t="s">
        <v>206</v>
      </c>
      <c r="B2462" s="3">
        <v>45658</v>
      </c>
      <c r="C2462">
        <v>5900</v>
      </c>
    </row>
    <row r="2463" spans="1:3" ht="15" customHeight="1" x14ac:dyDescent="0.3">
      <c r="A2463" t="s">
        <v>206</v>
      </c>
      <c r="B2463" s="3">
        <v>45689</v>
      </c>
      <c r="C2463">
        <v>4280</v>
      </c>
    </row>
    <row r="2464" spans="1:3" ht="15" customHeight="1" x14ac:dyDescent="0.3">
      <c r="A2464" t="s">
        <v>206</v>
      </c>
      <c r="B2464" s="3">
        <v>45717</v>
      </c>
      <c r="C2464">
        <v>4292</v>
      </c>
    </row>
    <row r="2465" spans="1:3" ht="15" customHeight="1" x14ac:dyDescent="0.3">
      <c r="A2465" t="s">
        <v>206</v>
      </c>
      <c r="B2465" s="3">
        <v>45748</v>
      </c>
      <c r="C2465">
        <v>3097</v>
      </c>
    </row>
    <row r="2466" spans="1:3" ht="15" customHeight="1" x14ac:dyDescent="0.3">
      <c r="A2466" t="s">
        <v>206</v>
      </c>
      <c r="B2466" s="3">
        <v>45778</v>
      </c>
      <c r="C2466">
        <v>3200</v>
      </c>
    </row>
    <row r="2467" spans="1:3" ht="15" customHeight="1" x14ac:dyDescent="0.3">
      <c r="A2467" t="s">
        <v>206</v>
      </c>
      <c r="B2467" s="3">
        <v>45809</v>
      </c>
      <c r="C2467">
        <v>2560.4</v>
      </c>
    </row>
    <row r="2468" spans="1:3" ht="15" customHeight="1" x14ac:dyDescent="0.3">
      <c r="A2468" t="s">
        <v>206</v>
      </c>
      <c r="B2468" s="3">
        <v>45839</v>
      </c>
      <c r="C2468">
        <v>2823</v>
      </c>
    </row>
    <row r="2469" spans="1:3" ht="15" customHeight="1" x14ac:dyDescent="0.3">
      <c r="A2469" t="s">
        <v>206</v>
      </c>
      <c r="B2469" s="3">
        <v>45870</v>
      </c>
      <c r="C2469">
        <v>4200</v>
      </c>
    </row>
    <row r="2470" spans="1:3" ht="15" customHeight="1" x14ac:dyDescent="0.3">
      <c r="A2470" t="s">
        <v>206</v>
      </c>
      <c r="B2470" s="3">
        <v>45901</v>
      </c>
      <c r="C2470">
        <v>4566</v>
      </c>
    </row>
    <row r="2471" spans="1:3" ht="15" customHeight="1" x14ac:dyDescent="0.3">
      <c r="A2471" t="s">
        <v>206</v>
      </c>
      <c r="B2471" s="3">
        <v>45931</v>
      </c>
      <c r="C2471">
        <v>6195.1</v>
      </c>
    </row>
    <row r="2472" spans="1:3" ht="15" customHeight="1" x14ac:dyDescent="0.3">
      <c r="A2472" t="s">
        <v>206</v>
      </c>
      <c r="B2472" s="3">
        <v>45962</v>
      </c>
      <c r="C2472">
        <v>5304</v>
      </c>
    </row>
    <row r="2473" spans="1:3" ht="15" customHeight="1" x14ac:dyDescent="0.3">
      <c r="A2473" t="s">
        <v>206</v>
      </c>
      <c r="B2473" s="3">
        <v>45992</v>
      </c>
      <c r="C2473">
        <v>6296</v>
      </c>
    </row>
    <row r="2474" spans="1:3" ht="15" customHeight="1" x14ac:dyDescent="0.3">
      <c r="A2474" t="s">
        <v>206</v>
      </c>
      <c r="B2474" s="3">
        <v>46023</v>
      </c>
      <c r="C2474">
        <v>6828</v>
      </c>
    </row>
    <row r="2475" spans="1:3" ht="15" customHeight="1" x14ac:dyDescent="0.3">
      <c r="A2475" t="s">
        <v>206</v>
      </c>
      <c r="B2475" s="3">
        <v>46054</v>
      </c>
      <c r="C2475">
        <v>6062</v>
      </c>
    </row>
    <row r="2476" spans="1:3" ht="15" customHeight="1" x14ac:dyDescent="0.3">
      <c r="A2476" t="s">
        <v>206</v>
      </c>
      <c r="B2476" s="3">
        <v>46082</v>
      </c>
      <c r="C2476">
        <v>4541</v>
      </c>
    </row>
    <row r="2477" spans="1:3" ht="15" customHeight="1" x14ac:dyDescent="0.3">
      <c r="A2477" t="s">
        <v>206</v>
      </c>
      <c r="B2477" s="3">
        <v>46113</v>
      </c>
      <c r="C2477">
        <v>3743.09</v>
      </c>
    </row>
    <row r="2478" spans="1:3" ht="15" customHeight="1" x14ac:dyDescent="0.3">
      <c r="A2478" t="s">
        <v>206</v>
      </c>
      <c r="B2478" s="3">
        <v>46143</v>
      </c>
      <c r="C2478" s="13">
        <v>3041.11</v>
      </c>
    </row>
    <row r="2479" spans="1:3" ht="15" customHeight="1" x14ac:dyDescent="0.3">
      <c r="A2479" t="s">
        <v>206</v>
      </c>
      <c r="B2479" s="3">
        <v>46174</v>
      </c>
    </row>
    <row r="2480" spans="1:3" ht="15" customHeight="1" x14ac:dyDescent="0.3">
      <c r="A2480" t="s">
        <v>206</v>
      </c>
      <c r="B2480" s="3">
        <v>46204</v>
      </c>
    </row>
    <row r="2481" spans="1:3" ht="15" customHeight="1" x14ac:dyDescent="0.3">
      <c r="A2481" t="s">
        <v>206</v>
      </c>
      <c r="B2481" s="3">
        <v>46235</v>
      </c>
    </row>
    <row r="2482" spans="1:3" ht="15" customHeight="1" x14ac:dyDescent="0.3">
      <c r="A2482" t="s">
        <v>206</v>
      </c>
      <c r="B2482" s="3">
        <v>46266</v>
      </c>
    </row>
    <row r="2483" spans="1:3" ht="15" customHeight="1" x14ac:dyDescent="0.3">
      <c r="A2483" t="s">
        <v>206</v>
      </c>
      <c r="B2483" s="3">
        <v>46296</v>
      </c>
    </row>
    <row r="2484" spans="1:3" ht="15" customHeight="1" x14ac:dyDescent="0.3">
      <c r="A2484" t="s">
        <v>206</v>
      </c>
      <c r="B2484" s="3">
        <v>46327</v>
      </c>
    </row>
    <row r="2485" spans="1:3" ht="15" customHeight="1" x14ac:dyDescent="0.3">
      <c r="A2485" t="s">
        <v>206</v>
      </c>
      <c r="B2485" s="3">
        <v>46357</v>
      </c>
    </row>
    <row r="2486" spans="1:3" ht="15" customHeight="1" x14ac:dyDescent="0.3">
      <c r="A2486" t="s">
        <v>208</v>
      </c>
      <c r="B2486" s="3">
        <v>45292</v>
      </c>
      <c r="C2486">
        <v>3510</v>
      </c>
    </row>
    <row r="2487" spans="1:3" ht="15" customHeight="1" x14ac:dyDescent="0.3">
      <c r="A2487" t="s">
        <v>208</v>
      </c>
      <c r="B2487" s="3">
        <v>45323</v>
      </c>
      <c r="C2487">
        <v>3517</v>
      </c>
    </row>
    <row r="2488" spans="1:3" ht="15" customHeight="1" x14ac:dyDescent="0.3">
      <c r="A2488" t="s">
        <v>208</v>
      </c>
      <c r="B2488" s="3">
        <v>45352</v>
      </c>
      <c r="C2488">
        <v>3409</v>
      </c>
    </row>
    <row r="2489" spans="1:3" ht="15" customHeight="1" x14ac:dyDescent="0.3">
      <c r="A2489" t="s">
        <v>208</v>
      </c>
      <c r="B2489" s="3">
        <v>45383</v>
      </c>
      <c r="C2489">
        <v>2977</v>
      </c>
    </row>
    <row r="2490" spans="1:3" ht="15" customHeight="1" x14ac:dyDescent="0.3">
      <c r="A2490" t="s">
        <v>208</v>
      </c>
      <c r="B2490" s="3">
        <v>45413</v>
      </c>
      <c r="C2490">
        <v>2754</v>
      </c>
    </row>
    <row r="2491" spans="1:3" ht="15" customHeight="1" x14ac:dyDescent="0.3">
      <c r="A2491" t="s">
        <v>208</v>
      </c>
      <c r="B2491" s="3">
        <v>45444</v>
      </c>
      <c r="C2491">
        <v>2322</v>
      </c>
    </row>
    <row r="2492" spans="1:3" ht="15" customHeight="1" x14ac:dyDescent="0.3">
      <c r="A2492" t="s">
        <v>208</v>
      </c>
      <c r="B2492" s="3">
        <v>45474</v>
      </c>
      <c r="C2492">
        <v>3200</v>
      </c>
    </row>
    <row r="2493" spans="1:3" ht="15" customHeight="1" x14ac:dyDescent="0.3">
      <c r="A2493" t="s">
        <v>208</v>
      </c>
      <c r="B2493" s="3">
        <v>45505</v>
      </c>
      <c r="C2493">
        <v>1967.434</v>
      </c>
    </row>
    <row r="2494" spans="1:3" ht="15" customHeight="1" x14ac:dyDescent="0.3">
      <c r="A2494" t="s">
        <v>208</v>
      </c>
      <c r="B2494" s="3">
        <v>45536</v>
      </c>
      <c r="C2494">
        <v>2608</v>
      </c>
    </row>
    <row r="2495" spans="1:3" ht="15" customHeight="1" x14ac:dyDescent="0.3">
      <c r="A2495" t="s">
        <v>208</v>
      </c>
      <c r="B2495" s="3">
        <v>45566</v>
      </c>
      <c r="C2495">
        <v>3179</v>
      </c>
    </row>
    <row r="2496" spans="1:3" ht="15" customHeight="1" x14ac:dyDescent="0.3">
      <c r="A2496" t="s">
        <v>208</v>
      </c>
      <c r="B2496" s="3">
        <v>45597</v>
      </c>
      <c r="C2496">
        <v>2499</v>
      </c>
    </row>
    <row r="2497" spans="1:3" ht="15" customHeight="1" x14ac:dyDescent="0.3">
      <c r="A2497" t="s">
        <v>208</v>
      </c>
      <c r="B2497" s="3">
        <v>45627</v>
      </c>
      <c r="C2497">
        <v>2419</v>
      </c>
    </row>
    <row r="2498" spans="1:3" ht="15" customHeight="1" x14ac:dyDescent="0.3">
      <c r="A2498" t="s">
        <v>208</v>
      </c>
      <c r="B2498" s="3">
        <v>45658</v>
      </c>
      <c r="C2498">
        <v>2940</v>
      </c>
    </row>
    <row r="2499" spans="1:3" ht="15" customHeight="1" x14ac:dyDescent="0.3">
      <c r="A2499" t="s">
        <v>208</v>
      </c>
      <c r="B2499" s="3">
        <v>45689</v>
      </c>
      <c r="C2499">
        <v>2482</v>
      </c>
    </row>
    <row r="2500" spans="1:3" ht="15" customHeight="1" x14ac:dyDescent="0.3">
      <c r="A2500" t="s">
        <v>208</v>
      </c>
      <c r="B2500" s="3">
        <v>45717</v>
      </c>
      <c r="C2500">
        <v>2660</v>
      </c>
    </row>
    <row r="2501" spans="1:3" ht="15" customHeight="1" x14ac:dyDescent="0.3">
      <c r="A2501" t="s">
        <v>208</v>
      </c>
      <c r="B2501" s="3">
        <v>45748</v>
      </c>
      <c r="C2501">
        <v>3014</v>
      </c>
    </row>
    <row r="2502" spans="1:3" ht="15" customHeight="1" x14ac:dyDescent="0.3">
      <c r="A2502" t="s">
        <v>208</v>
      </c>
      <c r="B2502" s="3">
        <v>45778</v>
      </c>
      <c r="C2502">
        <v>3259</v>
      </c>
    </row>
    <row r="2503" spans="1:3" ht="15" customHeight="1" x14ac:dyDescent="0.3">
      <c r="A2503" t="s">
        <v>208</v>
      </c>
      <c r="B2503" s="3">
        <v>45809</v>
      </c>
      <c r="C2503">
        <v>2701.4</v>
      </c>
    </row>
    <row r="2504" spans="1:3" ht="15" customHeight="1" x14ac:dyDescent="0.3">
      <c r="A2504" t="s">
        <v>208</v>
      </c>
      <c r="B2504" s="3">
        <v>45839</v>
      </c>
      <c r="C2504">
        <v>2990</v>
      </c>
    </row>
    <row r="2505" spans="1:3" ht="15" customHeight="1" x14ac:dyDescent="0.3">
      <c r="A2505" t="s">
        <v>208</v>
      </c>
      <c r="B2505" s="3">
        <v>45870</v>
      </c>
      <c r="C2505">
        <v>3504</v>
      </c>
    </row>
    <row r="2506" spans="1:3" ht="15" customHeight="1" x14ac:dyDescent="0.3">
      <c r="A2506" t="s">
        <v>208</v>
      </c>
      <c r="B2506" s="3">
        <v>45901</v>
      </c>
      <c r="C2506">
        <v>3456</v>
      </c>
    </row>
    <row r="2507" spans="1:3" ht="15" customHeight="1" x14ac:dyDescent="0.3">
      <c r="A2507" t="s">
        <v>208</v>
      </c>
      <c r="B2507" s="3">
        <v>45931</v>
      </c>
      <c r="C2507">
        <v>4131</v>
      </c>
    </row>
    <row r="2508" spans="1:3" ht="15" customHeight="1" x14ac:dyDescent="0.3">
      <c r="A2508" t="s">
        <v>208</v>
      </c>
      <c r="B2508" s="3">
        <v>45962</v>
      </c>
      <c r="C2508">
        <v>3798</v>
      </c>
    </row>
    <row r="2509" spans="1:3" ht="15" customHeight="1" x14ac:dyDescent="0.3">
      <c r="A2509" t="s">
        <v>208</v>
      </c>
      <c r="B2509" s="3">
        <v>45992</v>
      </c>
      <c r="C2509">
        <v>4633</v>
      </c>
    </row>
    <row r="2510" spans="1:3" ht="15" customHeight="1" x14ac:dyDescent="0.3">
      <c r="A2510" t="s">
        <v>208</v>
      </c>
      <c r="B2510" s="3">
        <v>46023</v>
      </c>
      <c r="C2510">
        <v>5177</v>
      </c>
    </row>
    <row r="2511" spans="1:3" ht="15" customHeight="1" x14ac:dyDescent="0.3">
      <c r="A2511" t="s">
        <v>208</v>
      </c>
      <c r="B2511" s="3">
        <v>46054</v>
      </c>
      <c r="C2511">
        <v>3087</v>
      </c>
    </row>
    <row r="2512" spans="1:3" ht="15" customHeight="1" x14ac:dyDescent="0.3">
      <c r="A2512" t="s">
        <v>208</v>
      </c>
      <c r="B2512" s="3">
        <v>46082</v>
      </c>
      <c r="C2512">
        <v>4035</v>
      </c>
    </row>
    <row r="2513" spans="1:3" ht="15" customHeight="1" x14ac:dyDescent="0.3">
      <c r="A2513" t="s">
        <v>208</v>
      </c>
      <c r="B2513" s="3">
        <v>46113</v>
      </c>
      <c r="C2513">
        <v>3282.98</v>
      </c>
    </row>
    <row r="2514" spans="1:3" ht="15" customHeight="1" x14ac:dyDescent="0.3">
      <c r="A2514" t="s">
        <v>208</v>
      </c>
      <c r="B2514" s="3">
        <v>46143</v>
      </c>
      <c r="C2514" s="13">
        <v>3208.4</v>
      </c>
    </row>
    <row r="2515" spans="1:3" ht="15" customHeight="1" x14ac:dyDescent="0.3">
      <c r="A2515" t="s">
        <v>208</v>
      </c>
      <c r="B2515" s="3">
        <v>46174</v>
      </c>
    </row>
    <row r="2516" spans="1:3" ht="15" customHeight="1" x14ac:dyDescent="0.3">
      <c r="A2516" t="s">
        <v>208</v>
      </c>
      <c r="B2516" s="3">
        <v>46204</v>
      </c>
    </row>
    <row r="2517" spans="1:3" ht="15" customHeight="1" x14ac:dyDescent="0.3">
      <c r="A2517" t="s">
        <v>208</v>
      </c>
      <c r="B2517" s="3">
        <v>46235</v>
      </c>
    </row>
    <row r="2518" spans="1:3" ht="15" customHeight="1" x14ac:dyDescent="0.3">
      <c r="A2518" t="s">
        <v>208</v>
      </c>
      <c r="B2518" s="3">
        <v>46266</v>
      </c>
    </row>
    <row r="2519" spans="1:3" ht="15" customHeight="1" x14ac:dyDescent="0.3">
      <c r="A2519" t="s">
        <v>208</v>
      </c>
      <c r="B2519" s="3">
        <v>46296</v>
      </c>
    </row>
    <row r="2520" spans="1:3" ht="15" customHeight="1" x14ac:dyDescent="0.3">
      <c r="A2520" t="s">
        <v>208</v>
      </c>
      <c r="B2520" s="3">
        <v>46327</v>
      </c>
    </row>
    <row r="2521" spans="1:3" ht="15" customHeight="1" x14ac:dyDescent="0.3">
      <c r="A2521" t="s">
        <v>208</v>
      </c>
      <c r="B2521" s="3">
        <v>46357</v>
      </c>
    </row>
    <row r="2522" spans="1:3" ht="15" customHeight="1" x14ac:dyDescent="0.3">
      <c r="A2522" t="s">
        <v>213</v>
      </c>
      <c r="B2522" s="3">
        <v>45292</v>
      </c>
    </row>
    <row r="2523" spans="1:3" ht="15" customHeight="1" x14ac:dyDescent="0.3">
      <c r="A2523" t="s">
        <v>213</v>
      </c>
      <c r="B2523" s="3">
        <v>45323</v>
      </c>
      <c r="C2523">
        <v>11561</v>
      </c>
    </row>
    <row r="2524" spans="1:3" ht="15" customHeight="1" x14ac:dyDescent="0.3">
      <c r="A2524" t="s">
        <v>213</v>
      </c>
      <c r="B2524" s="3">
        <v>45352</v>
      </c>
      <c r="C2524">
        <v>11738</v>
      </c>
    </row>
    <row r="2525" spans="1:3" ht="15" customHeight="1" x14ac:dyDescent="0.3">
      <c r="A2525" t="s">
        <v>213</v>
      </c>
      <c r="B2525" s="3">
        <v>45383</v>
      </c>
      <c r="C2525">
        <v>307</v>
      </c>
    </row>
    <row r="2526" spans="1:3" ht="15" customHeight="1" x14ac:dyDescent="0.3">
      <c r="A2526" t="s">
        <v>213</v>
      </c>
      <c r="B2526" s="3">
        <v>45413</v>
      </c>
      <c r="C2526">
        <v>1</v>
      </c>
    </row>
    <row r="2527" spans="1:3" ht="15" customHeight="1" x14ac:dyDescent="0.3">
      <c r="A2527" t="s">
        <v>213</v>
      </c>
      <c r="B2527" s="3">
        <v>45444</v>
      </c>
      <c r="C2527">
        <v>1</v>
      </c>
    </row>
    <row r="2528" spans="1:3" ht="15" customHeight="1" x14ac:dyDescent="0.3">
      <c r="A2528" t="s">
        <v>213</v>
      </c>
      <c r="B2528" s="3">
        <v>45474</v>
      </c>
      <c r="C2528">
        <v>6245</v>
      </c>
    </row>
    <row r="2529" spans="1:3" ht="15" customHeight="1" x14ac:dyDescent="0.3">
      <c r="A2529" t="s">
        <v>213</v>
      </c>
      <c r="B2529" s="3">
        <v>45505</v>
      </c>
      <c r="C2529">
        <v>10791</v>
      </c>
    </row>
    <row r="2530" spans="1:3" ht="15" customHeight="1" x14ac:dyDescent="0.3">
      <c r="A2530" t="s">
        <v>213</v>
      </c>
      <c r="B2530" s="3">
        <v>45536</v>
      </c>
      <c r="C2530">
        <v>10127</v>
      </c>
    </row>
    <row r="2531" spans="1:3" ht="15" customHeight="1" x14ac:dyDescent="0.3">
      <c r="A2531" t="s">
        <v>213</v>
      </c>
      <c r="B2531" s="3">
        <v>45566</v>
      </c>
      <c r="C2531">
        <v>12940</v>
      </c>
    </row>
    <row r="2532" spans="1:3" ht="15" customHeight="1" x14ac:dyDescent="0.3">
      <c r="A2532" t="s">
        <v>213</v>
      </c>
      <c r="B2532" s="3">
        <v>45597</v>
      </c>
      <c r="C2532">
        <v>12711</v>
      </c>
    </row>
    <row r="2533" spans="1:3" ht="15" customHeight="1" x14ac:dyDescent="0.3">
      <c r="A2533" t="s">
        <v>213</v>
      </c>
      <c r="B2533" s="3">
        <v>45627</v>
      </c>
      <c r="C2533">
        <v>12090</v>
      </c>
    </row>
    <row r="2534" spans="1:3" ht="15" customHeight="1" x14ac:dyDescent="0.3">
      <c r="A2534" t="s">
        <v>213</v>
      </c>
      <c r="B2534" s="3">
        <v>45658</v>
      </c>
      <c r="C2534">
        <v>10838</v>
      </c>
    </row>
    <row r="2535" spans="1:3" ht="15" customHeight="1" x14ac:dyDescent="0.3">
      <c r="A2535" t="s">
        <v>213</v>
      </c>
      <c r="B2535" s="3">
        <v>45689</v>
      </c>
      <c r="C2535">
        <v>8901</v>
      </c>
    </row>
    <row r="2536" spans="1:3" ht="15" customHeight="1" x14ac:dyDescent="0.3">
      <c r="A2536" t="s">
        <v>213</v>
      </c>
      <c r="B2536" s="3">
        <v>45717</v>
      </c>
      <c r="C2536">
        <v>9398</v>
      </c>
    </row>
    <row r="2537" spans="1:3" ht="15" customHeight="1" x14ac:dyDescent="0.3">
      <c r="A2537" t="s">
        <v>213</v>
      </c>
      <c r="B2537" s="3">
        <v>45748</v>
      </c>
      <c r="C2537">
        <v>8195</v>
      </c>
    </row>
    <row r="2538" spans="1:3" ht="15" customHeight="1" x14ac:dyDescent="0.3">
      <c r="A2538" t="s">
        <v>213</v>
      </c>
      <c r="B2538" s="3">
        <v>45778</v>
      </c>
      <c r="C2538">
        <v>6021</v>
      </c>
    </row>
    <row r="2539" spans="1:3" ht="15" customHeight="1" x14ac:dyDescent="0.3">
      <c r="A2539" t="s">
        <v>213</v>
      </c>
      <c r="B2539" s="3">
        <v>45809</v>
      </c>
      <c r="C2539">
        <v>4341.5600000000004</v>
      </c>
    </row>
    <row r="2540" spans="1:3" ht="15" customHeight="1" x14ac:dyDescent="0.3">
      <c r="A2540" t="s">
        <v>213</v>
      </c>
      <c r="B2540" s="3">
        <v>45839</v>
      </c>
      <c r="C2540">
        <v>6989</v>
      </c>
    </row>
    <row r="2541" spans="1:3" ht="15" customHeight="1" x14ac:dyDescent="0.3">
      <c r="A2541" t="s">
        <v>213</v>
      </c>
      <c r="B2541" s="3">
        <v>45870</v>
      </c>
      <c r="C2541">
        <v>11205</v>
      </c>
    </row>
    <row r="2542" spans="1:3" ht="15" customHeight="1" x14ac:dyDescent="0.3">
      <c r="A2542" t="s">
        <v>213</v>
      </c>
      <c r="B2542" s="3">
        <v>45901</v>
      </c>
      <c r="C2542">
        <v>10024</v>
      </c>
    </row>
    <row r="2543" spans="1:3" ht="15" customHeight="1" x14ac:dyDescent="0.3">
      <c r="A2543" t="s">
        <v>213</v>
      </c>
      <c r="B2543" s="3">
        <v>45931</v>
      </c>
      <c r="C2543">
        <v>13192</v>
      </c>
    </row>
    <row r="2544" spans="1:3" ht="15" customHeight="1" x14ac:dyDescent="0.3">
      <c r="A2544" t="s">
        <v>213</v>
      </c>
      <c r="B2544" s="3">
        <v>45962</v>
      </c>
      <c r="C2544">
        <v>10364</v>
      </c>
    </row>
    <row r="2545" spans="1:3" ht="15" customHeight="1" x14ac:dyDescent="0.3">
      <c r="A2545" t="s">
        <v>213</v>
      </c>
      <c r="B2545" s="3">
        <v>45992</v>
      </c>
      <c r="C2545">
        <v>10702</v>
      </c>
    </row>
    <row r="2546" spans="1:3" ht="15" customHeight="1" x14ac:dyDescent="0.3">
      <c r="A2546" t="s">
        <v>213</v>
      </c>
      <c r="B2546" s="3">
        <v>46023</v>
      </c>
      <c r="C2546">
        <v>12710</v>
      </c>
    </row>
    <row r="2547" spans="1:3" ht="15" customHeight="1" x14ac:dyDescent="0.3">
      <c r="A2547" t="s">
        <v>213</v>
      </c>
      <c r="B2547" s="3">
        <v>46054</v>
      </c>
      <c r="C2547">
        <v>12261</v>
      </c>
    </row>
    <row r="2548" spans="1:3" ht="15" customHeight="1" x14ac:dyDescent="0.3">
      <c r="A2548" t="s">
        <v>213</v>
      </c>
      <c r="B2548" s="3">
        <v>46082</v>
      </c>
      <c r="C2548">
        <v>11049</v>
      </c>
    </row>
    <row r="2549" spans="1:3" ht="15" customHeight="1" x14ac:dyDescent="0.3">
      <c r="A2549" t="s">
        <v>213</v>
      </c>
      <c r="B2549" s="3">
        <v>46113</v>
      </c>
      <c r="C2549">
        <v>9364.19</v>
      </c>
    </row>
    <row r="2550" spans="1:3" ht="15" customHeight="1" x14ac:dyDescent="0.3">
      <c r="A2550" t="s">
        <v>213</v>
      </c>
      <c r="B2550" s="3">
        <v>46143</v>
      </c>
      <c r="C2550" s="13">
        <v>10132.34</v>
      </c>
    </row>
    <row r="2551" spans="1:3" ht="15" customHeight="1" x14ac:dyDescent="0.3">
      <c r="A2551" t="s">
        <v>213</v>
      </c>
      <c r="B2551" s="3">
        <v>46174</v>
      </c>
    </row>
    <row r="2552" spans="1:3" ht="15" customHeight="1" x14ac:dyDescent="0.3">
      <c r="A2552" t="s">
        <v>213</v>
      </c>
      <c r="B2552" s="3">
        <v>46204</v>
      </c>
    </row>
    <row r="2553" spans="1:3" ht="15" customHeight="1" x14ac:dyDescent="0.3">
      <c r="A2553" t="s">
        <v>213</v>
      </c>
      <c r="B2553" s="3">
        <v>46235</v>
      </c>
    </row>
    <row r="2554" spans="1:3" ht="15" customHeight="1" x14ac:dyDescent="0.3">
      <c r="A2554" t="s">
        <v>213</v>
      </c>
      <c r="B2554" s="3">
        <v>46266</v>
      </c>
    </row>
    <row r="2555" spans="1:3" ht="15" customHeight="1" x14ac:dyDescent="0.3">
      <c r="A2555" t="s">
        <v>213</v>
      </c>
      <c r="B2555" s="3">
        <v>46296</v>
      </c>
    </row>
    <row r="2556" spans="1:3" ht="15" customHeight="1" x14ac:dyDescent="0.3">
      <c r="A2556" t="s">
        <v>213</v>
      </c>
      <c r="B2556" s="3">
        <v>46327</v>
      </c>
    </row>
    <row r="2557" spans="1:3" ht="15" customHeight="1" x14ac:dyDescent="0.3">
      <c r="A2557" t="s">
        <v>213</v>
      </c>
      <c r="B2557" s="3">
        <v>46357</v>
      </c>
    </row>
    <row r="2558" spans="1:3" ht="15" customHeight="1" x14ac:dyDescent="0.3">
      <c r="A2558" t="s">
        <v>224</v>
      </c>
      <c r="B2558" s="3">
        <v>45292</v>
      </c>
    </row>
    <row r="2559" spans="1:3" ht="15" customHeight="1" x14ac:dyDescent="0.3">
      <c r="A2559" t="s">
        <v>224</v>
      </c>
      <c r="B2559" s="3">
        <v>45323</v>
      </c>
    </row>
    <row r="2560" spans="1:3" ht="15" customHeight="1" x14ac:dyDescent="0.3">
      <c r="A2560" t="s">
        <v>224</v>
      </c>
      <c r="B2560" s="3">
        <v>45352</v>
      </c>
    </row>
    <row r="2561" spans="1:2" ht="15" customHeight="1" x14ac:dyDescent="0.3">
      <c r="A2561" t="s">
        <v>224</v>
      </c>
      <c r="B2561" s="3">
        <v>45383</v>
      </c>
    </row>
    <row r="2562" spans="1:2" ht="15" customHeight="1" x14ac:dyDescent="0.3">
      <c r="A2562" t="s">
        <v>224</v>
      </c>
      <c r="B2562" s="3">
        <v>45413</v>
      </c>
    </row>
    <row r="2563" spans="1:2" ht="15" customHeight="1" x14ac:dyDescent="0.3">
      <c r="A2563" t="s">
        <v>224</v>
      </c>
      <c r="B2563" s="3">
        <v>45444</v>
      </c>
    </row>
    <row r="2564" spans="1:2" ht="15" customHeight="1" x14ac:dyDescent="0.3">
      <c r="A2564" t="s">
        <v>224</v>
      </c>
      <c r="B2564" s="3">
        <v>45474</v>
      </c>
    </row>
    <row r="2565" spans="1:2" ht="15" customHeight="1" x14ac:dyDescent="0.3">
      <c r="A2565" t="s">
        <v>224</v>
      </c>
      <c r="B2565" s="3">
        <v>45505</v>
      </c>
    </row>
    <row r="2566" spans="1:2" ht="15" customHeight="1" x14ac:dyDescent="0.3">
      <c r="A2566" t="s">
        <v>224</v>
      </c>
      <c r="B2566" s="3">
        <v>45536</v>
      </c>
    </row>
    <row r="2567" spans="1:2" ht="15" customHeight="1" x14ac:dyDescent="0.3">
      <c r="A2567" t="s">
        <v>224</v>
      </c>
      <c r="B2567" s="3">
        <v>45566</v>
      </c>
    </row>
    <row r="2568" spans="1:2" ht="15" customHeight="1" x14ac:dyDescent="0.3">
      <c r="A2568" t="s">
        <v>224</v>
      </c>
      <c r="B2568" s="3">
        <v>45597</v>
      </c>
    </row>
    <row r="2569" spans="1:2" ht="15" customHeight="1" x14ac:dyDescent="0.3">
      <c r="A2569" t="s">
        <v>224</v>
      </c>
      <c r="B2569" s="3">
        <v>45627</v>
      </c>
    </row>
    <row r="2570" spans="1:2" ht="15" customHeight="1" x14ac:dyDescent="0.3">
      <c r="A2570" t="s">
        <v>224</v>
      </c>
      <c r="B2570" s="3">
        <v>45658</v>
      </c>
    </row>
    <row r="2571" spans="1:2" ht="15" customHeight="1" x14ac:dyDescent="0.3">
      <c r="A2571" t="s">
        <v>224</v>
      </c>
      <c r="B2571" s="3">
        <v>45689</v>
      </c>
    </row>
    <row r="2572" spans="1:2" ht="15" customHeight="1" x14ac:dyDescent="0.3">
      <c r="A2572" t="s">
        <v>224</v>
      </c>
      <c r="B2572" s="3">
        <v>45717</v>
      </c>
    </row>
    <row r="2573" spans="1:2" ht="15" customHeight="1" x14ac:dyDescent="0.3">
      <c r="A2573" t="s">
        <v>224</v>
      </c>
      <c r="B2573" s="3">
        <v>45748</v>
      </c>
    </row>
    <row r="2574" spans="1:2" ht="15" customHeight="1" x14ac:dyDescent="0.3">
      <c r="A2574" t="s">
        <v>224</v>
      </c>
      <c r="B2574" s="3">
        <v>45778</v>
      </c>
    </row>
    <row r="2575" spans="1:2" ht="15" customHeight="1" x14ac:dyDescent="0.3">
      <c r="A2575" t="s">
        <v>224</v>
      </c>
      <c r="B2575" s="3">
        <v>45809</v>
      </c>
    </row>
    <row r="2576" spans="1:2" ht="15" customHeight="1" x14ac:dyDescent="0.3">
      <c r="A2576" t="s">
        <v>224</v>
      </c>
      <c r="B2576" s="3">
        <v>45839</v>
      </c>
    </row>
    <row r="2577" spans="1:3" ht="15" customHeight="1" x14ac:dyDescent="0.3">
      <c r="A2577" t="s">
        <v>224</v>
      </c>
      <c r="B2577" s="3">
        <v>45870</v>
      </c>
      <c r="C2577">
        <v>3866</v>
      </c>
    </row>
    <row r="2578" spans="1:3" ht="15" customHeight="1" x14ac:dyDescent="0.3">
      <c r="A2578" t="s">
        <v>224</v>
      </c>
      <c r="B2578" s="3">
        <v>45901</v>
      </c>
      <c r="C2578">
        <v>4249</v>
      </c>
    </row>
    <row r="2579" spans="1:3" ht="15" customHeight="1" x14ac:dyDescent="0.3">
      <c r="A2579" t="s">
        <v>224</v>
      </c>
      <c r="B2579" s="3">
        <v>45931</v>
      </c>
      <c r="C2579">
        <v>5286</v>
      </c>
    </row>
    <row r="2580" spans="1:3" ht="15" customHeight="1" x14ac:dyDescent="0.3">
      <c r="A2580" t="s">
        <v>224</v>
      </c>
      <c r="B2580" s="3">
        <v>45962</v>
      </c>
      <c r="C2580">
        <v>5001</v>
      </c>
    </row>
    <row r="2581" spans="1:3" ht="15" customHeight="1" x14ac:dyDescent="0.3">
      <c r="A2581" t="s">
        <v>224</v>
      </c>
      <c r="B2581" s="3">
        <v>45992</v>
      </c>
      <c r="C2581">
        <v>6707</v>
      </c>
    </row>
    <row r="2582" spans="1:3" ht="15" customHeight="1" x14ac:dyDescent="0.3">
      <c r="A2582" t="s">
        <v>224</v>
      </c>
      <c r="B2582" s="3">
        <v>46023</v>
      </c>
      <c r="C2582">
        <v>7171.5</v>
      </c>
    </row>
    <row r="2583" spans="1:3" ht="15" customHeight="1" x14ac:dyDescent="0.3">
      <c r="A2583" t="s">
        <v>224</v>
      </c>
      <c r="B2583" s="3">
        <v>46054</v>
      </c>
      <c r="C2583">
        <v>4844</v>
      </c>
    </row>
    <row r="2584" spans="1:3" ht="15" customHeight="1" x14ac:dyDescent="0.3">
      <c r="A2584" t="s">
        <v>224</v>
      </c>
      <c r="B2584" s="3">
        <v>46082</v>
      </c>
      <c r="C2584">
        <v>5410</v>
      </c>
    </row>
    <row r="2585" spans="1:3" ht="15" customHeight="1" x14ac:dyDescent="0.3">
      <c r="A2585" t="s">
        <v>224</v>
      </c>
      <c r="B2585" s="3">
        <v>46113</v>
      </c>
      <c r="C2585">
        <v>2815.5</v>
      </c>
    </row>
    <row r="2586" spans="1:3" ht="15" customHeight="1" x14ac:dyDescent="0.3">
      <c r="A2586" t="s">
        <v>224</v>
      </c>
      <c r="B2586" s="3">
        <v>46143</v>
      </c>
      <c r="C2586" s="13">
        <v>2205.5</v>
      </c>
    </row>
    <row r="2587" spans="1:3" ht="15" customHeight="1" x14ac:dyDescent="0.3">
      <c r="A2587" t="s">
        <v>224</v>
      </c>
      <c r="B2587" s="3">
        <v>46174</v>
      </c>
    </row>
    <row r="2588" spans="1:3" ht="15" customHeight="1" x14ac:dyDescent="0.3">
      <c r="A2588" t="s">
        <v>224</v>
      </c>
      <c r="B2588" s="3">
        <v>46204</v>
      </c>
    </row>
    <row r="2589" spans="1:3" ht="15" customHeight="1" x14ac:dyDescent="0.3">
      <c r="A2589" t="s">
        <v>224</v>
      </c>
      <c r="B2589" s="3">
        <v>46235</v>
      </c>
    </row>
    <row r="2590" spans="1:3" ht="15" customHeight="1" x14ac:dyDescent="0.3">
      <c r="A2590" t="s">
        <v>224</v>
      </c>
      <c r="B2590" s="3">
        <v>46266</v>
      </c>
    </row>
    <row r="2591" spans="1:3" ht="15" customHeight="1" x14ac:dyDescent="0.3">
      <c r="A2591" t="s">
        <v>224</v>
      </c>
      <c r="B2591" s="3">
        <v>46296</v>
      </c>
    </row>
    <row r="2592" spans="1:3" ht="15" customHeight="1" x14ac:dyDescent="0.3">
      <c r="A2592" t="s">
        <v>224</v>
      </c>
      <c r="B2592" s="3">
        <v>46327</v>
      </c>
    </row>
    <row r="2593" spans="1:3" ht="15" customHeight="1" x14ac:dyDescent="0.3">
      <c r="A2593" t="s">
        <v>224</v>
      </c>
      <c r="B2593" s="3">
        <v>46357</v>
      </c>
    </row>
    <row r="2594" spans="1:3" ht="15" customHeight="1" x14ac:dyDescent="0.3">
      <c r="A2594" t="s">
        <v>214</v>
      </c>
      <c r="B2594" s="3">
        <v>45292</v>
      </c>
      <c r="C2594">
        <v>17892</v>
      </c>
    </row>
    <row r="2595" spans="1:3" ht="15" customHeight="1" x14ac:dyDescent="0.3">
      <c r="A2595" t="s">
        <v>214</v>
      </c>
      <c r="B2595" s="3">
        <v>45323</v>
      </c>
      <c r="C2595">
        <v>15929</v>
      </c>
    </row>
    <row r="2596" spans="1:3" ht="15" customHeight="1" x14ac:dyDescent="0.3">
      <c r="A2596" t="s">
        <v>214</v>
      </c>
      <c r="B2596" s="3">
        <v>45352</v>
      </c>
      <c r="C2596">
        <v>18524</v>
      </c>
    </row>
    <row r="2597" spans="1:3" ht="15" customHeight="1" x14ac:dyDescent="0.3">
      <c r="A2597" t="s">
        <v>214</v>
      </c>
      <c r="B2597" s="3">
        <v>45383</v>
      </c>
      <c r="C2597">
        <v>13076</v>
      </c>
    </row>
    <row r="2598" spans="1:3" ht="15" customHeight="1" x14ac:dyDescent="0.3">
      <c r="A2598" t="s">
        <v>214</v>
      </c>
      <c r="B2598" s="3">
        <v>45413</v>
      </c>
      <c r="C2598">
        <v>17640</v>
      </c>
    </row>
    <row r="2599" spans="1:3" ht="15" customHeight="1" x14ac:dyDescent="0.3">
      <c r="A2599" t="s">
        <v>214</v>
      </c>
      <c r="B2599" s="3">
        <v>45444</v>
      </c>
      <c r="C2599">
        <v>14642</v>
      </c>
    </row>
    <row r="2600" spans="1:3" ht="15" customHeight="1" x14ac:dyDescent="0.3">
      <c r="A2600" t="s">
        <v>214</v>
      </c>
      <c r="B2600" s="3">
        <v>45474</v>
      </c>
      <c r="C2600">
        <v>15002</v>
      </c>
    </row>
    <row r="2601" spans="1:3" ht="15" customHeight="1" x14ac:dyDescent="0.3">
      <c r="A2601" t="s">
        <v>214</v>
      </c>
      <c r="B2601" s="3">
        <v>45505</v>
      </c>
      <c r="C2601">
        <v>20792</v>
      </c>
    </row>
    <row r="2602" spans="1:3" ht="15" customHeight="1" x14ac:dyDescent="0.3">
      <c r="A2602" t="s">
        <v>214</v>
      </c>
      <c r="B2602" s="3">
        <v>45536</v>
      </c>
      <c r="C2602">
        <v>20898</v>
      </c>
    </row>
    <row r="2603" spans="1:3" ht="15" customHeight="1" x14ac:dyDescent="0.3">
      <c r="A2603" t="s">
        <v>214</v>
      </c>
      <c r="B2603" s="3">
        <v>45566</v>
      </c>
      <c r="C2603">
        <v>30325</v>
      </c>
    </row>
    <row r="2604" spans="1:3" ht="15" customHeight="1" x14ac:dyDescent="0.3">
      <c r="A2604" t="s">
        <v>214</v>
      </c>
      <c r="B2604" s="3">
        <v>45597</v>
      </c>
      <c r="C2604">
        <v>27930</v>
      </c>
    </row>
    <row r="2605" spans="1:3" ht="15" customHeight="1" x14ac:dyDescent="0.3">
      <c r="A2605" t="s">
        <v>214</v>
      </c>
      <c r="B2605" s="3">
        <v>45627</v>
      </c>
      <c r="C2605">
        <v>17653</v>
      </c>
    </row>
    <row r="2606" spans="1:3" ht="15" customHeight="1" x14ac:dyDescent="0.3">
      <c r="A2606" t="s">
        <v>214</v>
      </c>
      <c r="B2606" s="3">
        <v>45658</v>
      </c>
      <c r="C2606">
        <v>23957</v>
      </c>
    </row>
    <row r="2607" spans="1:3" ht="15" customHeight="1" x14ac:dyDescent="0.3">
      <c r="A2607" t="s">
        <v>214</v>
      </c>
      <c r="B2607" s="3">
        <v>45689</v>
      </c>
      <c r="C2607">
        <v>19898</v>
      </c>
    </row>
    <row r="2608" spans="1:3" ht="15" customHeight="1" x14ac:dyDescent="0.3">
      <c r="A2608" t="s">
        <v>214</v>
      </c>
      <c r="B2608" s="3">
        <v>45717</v>
      </c>
      <c r="C2608">
        <v>18434</v>
      </c>
    </row>
    <row r="2609" spans="1:3" ht="15" customHeight="1" x14ac:dyDescent="0.3">
      <c r="A2609" t="s">
        <v>214</v>
      </c>
      <c r="B2609" s="3">
        <v>45748</v>
      </c>
      <c r="C2609">
        <v>16717</v>
      </c>
    </row>
    <row r="2610" spans="1:3" ht="15" customHeight="1" x14ac:dyDescent="0.3">
      <c r="A2610" t="s">
        <v>214</v>
      </c>
      <c r="B2610" s="3">
        <v>45778</v>
      </c>
      <c r="C2610">
        <v>19518</v>
      </c>
    </row>
    <row r="2611" spans="1:3" ht="15" customHeight="1" x14ac:dyDescent="0.3">
      <c r="A2611" t="s">
        <v>214</v>
      </c>
      <c r="B2611" s="3">
        <v>45809</v>
      </c>
      <c r="C2611">
        <v>16703.900000000001</v>
      </c>
    </row>
    <row r="2612" spans="1:3" ht="15" customHeight="1" x14ac:dyDescent="0.3">
      <c r="A2612" t="s">
        <v>214</v>
      </c>
      <c r="B2612" s="3">
        <v>45839</v>
      </c>
      <c r="C2612">
        <v>17442.419999999998</v>
      </c>
    </row>
    <row r="2613" spans="1:3" ht="15" customHeight="1" x14ac:dyDescent="0.3">
      <c r="A2613" t="s">
        <v>214</v>
      </c>
      <c r="B2613" s="3">
        <v>45870</v>
      </c>
      <c r="C2613">
        <v>21419</v>
      </c>
    </row>
    <row r="2614" spans="1:3" ht="15" customHeight="1" x14ac:dyDescent="0.3">
      <c r="A2614" t="s">
        <v>214</v>
      </c>
      <c r="B2614" s="3">
        <v>45901</v>
      </c>
      <c r="C2614">
        <v>19487</v>
      </c>
    </row>
    <row r="2615" spans="1:3" ht="15" customHeight="1" x14ac:dyDescent="0.3">
      <c r="A2615" t="s">
        <v>214</v>
      </c>
      <c r="B2615" s="3">
        <v>45931</v>
      </c>
      <c r="C2615">
        <v>25859.040000000001</v>
      </c>
    </row>
    <row r="2616" spans="1:3" ht="15" customHeight="1" x14ac:dyDescent="0.3">
      <c r="A2616" t="s">
        <v>214</v>
      </c>
      <c r="B2616" s="3">
        <v>45962</v>
      </c>
      <c r="C2616">
        <v>23228</v>
      </c>
    </row>
    <row r="2617" spans="1:3" ht="15" customHeight="1" x14ac:dyDescent="0.3">
      <c r="A2617" t="s">
        <v>214</v>
      </c>
      <c r="B2617" s="3">
        <v>45992</v>
      </c>
      <c r="C2617">
        <v>13257</v>
      </c>
    </row>
    <row r="2618" spans="1:3" ht="15" customHeight="1" x14ac:dyDescent="0.3">
      <c r="A2618" t="s">
        <v>214</v>
      </c>
      <c r="B2618" s="3">
        <v>46023</v>
      </c>
      <c r="C2618">
        <v>24628</v>
      </c>
    </row>
    <row r="2619" spans="1:3" ht="15" customHeight="1" x14ac:dyDescent="0.3">
      <c r="A2619" t="s">
        <v>214</v>
      </c>
      <c r="B2619" s="3">
        <v>46054</v>
      </c>
      <c r="C2619">
        <v>24848.5</v>
      </c>
    </row>
    <row r="2620" spans="1:3" ht="15" customHeight="1" x14ac:dyDescent="0.3">
      <c r="A2620" t="s">
        <v>214</v>
      </c>
      <c r="B2620" s="3">
        <v>46082</v>
      </c>
      <c r="C2620">
        <v>20359</v>
      </c>
    </row>
    <row r="2621" spans="1:3" ht="15" customHeight="1" x14ac:dyDescent="0.3">
      <c r="A2621" t="s">
        <v>214</v>
      </c>
      <c r="B2621" s="3">
        <v>46113</v>
      </c>
      <c r="C2621">
        <v>17480.97</v>
      </c>
    </row>
    <row r="2622" spans="1:3" ht="15" customHeight="1" x14ac:dyDescent="0.3">
      <c r="A2622" t="s">
        <v>214</v>
      </c>
      <c r="B2622" s="3">
        <v>46143</v>
      </c>
      <c r="C2622" s="13">
        <v>17505.34</v>
      </c>
    </row>
    <row r="2623" spans="1:3" ht="15" customHeight="1" x14ac:dyDescent="0.3">
      <c r="A2623" t="s">
        <v>214</v>
      </c>
      <c r="B2623" s="3">
        <v>46174</v>
      </c>
    </row>
    <row r="2624" spans="1:3" ht="15" customHeight="1" x14ac:dyDescent="0.3">
      <c r="A2624" t="s">
        <v>214</v>
      </c>
      <c r="B2624" s="3">
        <v>46204</v>
      </c>
    </row>
    <row r="2625" spans="1:2" ht="15" customHeight="1" x14ac:dyDescent="0.3">
      <c r="A2625" t="s">
        <v>214</v>
      </c>
      <c r="B2625" s="3">
        <v>46235</v>
      </c>
    </row>
    <row r="2626" spans="1:2" ht="15" customHeight="1" x14ac:dyDescent="0.3">
      <c r="A2626" t="s">
        <v>214</v>
      </c>
      <c r="B2626" s="3">
        <v>46266</v>
      </c>
    </row>
    <row r="2627" spans="1:2" ht="15" customHeight="1" x14ac:dyDescent="0.3">
      <c r="A2627" t="s">
        <v>214</v>
      </c>
      <c r="B2627" s="3">
        <v>46296</v>
      </c>
    </row>
    <row r="2628" spans="1:2" ht="15" customHeight="1" x14ac:dyDescent="0.3">
      <c r="A2628" t="s">
        <v>214</v>
      </c>
      <c r="B2628" s="3">
        <v>46327</v>
      </c>
    </row>
    <row r="2629" spans="1:2" ht="15" customHeight="1" x14ac:dyDescent="0.3">
      <c r="A2629" t="s">
        <v>214</v>
      </c>
      <c r="B2629" s="3">
        <v>46357</v>
      </c>
    </row>
    <row r="2630" spans="1:2" ht="15" customHeight="1" x14ac:dyDescent="0.3">
      <c r="A2630" t="s">
        <v>218</v>
      </c>
      <c r="B2630" s="3">
        <v>45292</v>
      </c>
    </row>
    <row r="2631" spans="1:2" ht="15" customHeight="1" x14ac:dyDescent="0.3">
      <c r="A2631" t="s">
        <v>218</v>
      </c>
      <c r="B2631" s="3">
        <v>45323</v>
      </c>
    </row>
    <row r="2632" spans="1:2" ht="15" customHeight="1" x14ac:dyDescent="0.3">
      <c r="A2632" t="s">
        <v>218</v>
      </c>
      <c r="B2632" s="3">
        <v>45352</v>
      </c>
    </row>
    <row r="2633" spans="1:2" ht="15" customHeight="1" x14ac:dyDescent="0.3">
      <c r="A2633" t="s">
        <v>218</v>
      </c>
      <c r="B2633" s="3">
        <v>45383</v>
      </c>
    </row>
    <row r="2634" spans="1:2" ht="15" customHeight="1" x14ac:dyDescent="0.3">
      <c r="A2634" t="s">
        <v>218</v>
      </c>
      <c r="B2634" s="3">
        <v>45413</v>
      </c>
    </row>
    <row r="2635" spans="1:2" ht="15" customHeight="1" x14ac:dyDescent="0.3">
      <c r="A2635" t="s">
        <v>218</v>
      </c>
      <c r="B2635" s="3">
        <v>45444</v>
      </c>
    </row>
    <row r="2636" spans="1:2" ht="15" customHeight="1" x14ac:dyDescent="0.3">
      <c r="A2636" t="s">
        <v>218</v>
      </c>
      <c r="B2636" s="3">
        <v>45474</v>
      </c>
    </row>
    <row r="2637" spans="1:2" ht="15" customHeight="1" x14ac:dyDescent="0.3">
      <c r="A2637" t="s">
        <v>218</v>
      </c>
      <c r="B2637" s="3">
        <v>45505</v>
      </c>
    </row>
    <row r="2638" spans="1:2" ht="15" customHeight="1" x14ac:dyDescent="0.3">
      <c r="A2638" t="s">
        <v>218</v>
      </c>
      <c r="B2638" s="3">
        <v>45536</v>
      </c>
    </row>
    <row r="2639" spans="1:2" ht="15" customHeight="1" x14ac:dyDescent="0.3">
      <c r="A2639" t="s">
        <v>218</v>
      </c>
      <c r="B2639" s="3">
        <v>45566</v>
      </c>
    </row>
    <row r="2640" spans="1:2" ht="15" customHeight="1" x14ac:dyDescent="0.3">
      <c r="A2640" t="s">
        <v>218</v>
      </c>
      <c r="B2640" s="3">
        <v>45597</v>
      </c>
    </row>
    <row r="2641" spans="1:2" ht="15" customHeight="1" x14ac:dyDescent="0.3">
      <c r="A2641" t="s">
        <v>218</v>
      </c>
      <c r="B2641" s="3">
        <v>45627</v>
      </c>
    </row>
    <row r="2642" spans="1:2" ht="15" customHeight="1" x14ac:dyDescent="0.3">
      <c r="A2642" t="s">
        <v>218</v>
      </c>
      <c r="B2642" s="3">
        <v>45658</v>
      </c>
    </row>
    <row r="2643" spans="1:2" ht="15" customHeight="1" x14ac:dyDescent="0.3">
      <c r="A2643" t="s">
        <v>218</v>
      </c>
      <c r="B2643" s="3">
        <v>45689</v>
      </c>
    </row>
    <row r="2644" spans="1:2" ht="15" customHeight="1" x14ac:dyDescent="0.3">
      <c r="A2644" t="s">
        <v>218</v>
      </c>
      <c r="B2644" s="3">
        <v>45717</v>
      </c>
    </row>
    <row r="2645" spans="1:2" ht="15" customHeight="1" x14ac:dyDescent="0.3">
      <c r="A2645" t="s">
        <v>218</v>
      </c>
      <c r="B2645" s="3">
        <v>45748</v>
      </c>
    </row>
    <row r="2646" spans="1:2" ht="15" customHeight="1" x14ac:dyDescent="0.3">
      <c r="A2646" t="s">
        <v>218</v>
      </c>
      <c r="B2646" s="3">
        <v>45778</v>
      </c>
    </row>
    <row r="2647" spans="1:2" ht="15" customHeight="1" x14ac:dyDescent="0.3">
      <c r="A2647" t="s">
        <v>218</v>
      </c>
      <c r="B2647" s="3">
        <v>45809</v>
      </c>
    </row>
    <row r="2648" spans="1:2" ht="15" customHeight="1" x14ac:dyDescent="0.3">
      <c r="A2648" t="s">
        <v>218</v>
      </c>
      <c r="B2648" s="3">
        <v>45839</v>
      </c>
    </row>
    <row r="2649" spans="1:2" ht="15" customHeight="1" x14ac:dyDescent="0.3">
      <c r="A2649" t="s">
        <v>218</v>
      </c>
      <c r="B2649" s="3">
        <v>45870</v>
      </c>
    </row>
    <row r="2650" spans="1:2" ht="15" customHeight="1" x14ac:dyDescent="0.3">
      <c r="A2650" t="s">
        <v>218</v>
      </c>
      <c r="B2650" s="3">
        <v>45901</v>
      </c>
    </row>
    <row r="2651" spans="1:2" ht="15" customHeight="1" x14ac:dyDescent="0.3">
      <c r="A2651" t="s">
        <v>218</v>
      </c>
      <c r="B2651" s="3">
        <v>45931</v>
      </c>
    </row>
    <row r="2652" spans="1:2" ht="15" customHeight="1" x14ac:dyDescent="0.3">
      <c r="A2652" t="s">
        <v>218</v>
      </c>
      <c r="B2652" s="3">
        <v>45962</v>
      </c>
    </row>
    <row r="2653" spans="1:2" ht="15" customHeight="1" x14ac:dyDescent="0.3">
      <c r="A2653" t="s">
        <v>218</v>
      </c>
      <c r="B2653" s="3">
        <v>45992</v>
      </c>
    </row>
    <row r="2654" spans="1:2" ht="15" customHeight="1" x14ac:dyDescent="0.3">
      <c r="A2654" t="s">
        <v>218</v>
      </c>
      <c r="B2654" s="3">
        <v>46023</v>
      </c>
    </row>
    <row r="2655" spans="1:2" ht="15" customHeight="1" x14ac:dyDescent="0.3">
      <c r="A2655" t="s">
        <v>218</v>
      </c>
      <c r="B2655" s="3">
        <v>46054</v>
      </c>
    </row>
    <row r="2656" spans="1:2" ht="15" customHeight="1" x14ac:dyDescent="0.3">
      <c r="A2656" t="s">
        <v>218</v>
      </c>
      <c r="B2656" s="3">
        <v>46082</v>
      </c>
    </row>
    <row r="2657" spans="1:3" ht="15" customHeight="1" x14ac:dyDescent="0.3">
      <c r="A2657" t="s">
        <v>218</v>
      </c>
      <c r="B2657" s="3">
        <v>46113</v>
      </c>
    </row>
    <row r="2658" spans="1:3" ht="15" customHeight="1" x14ac:dyDescent="0.3">
      <c r="A2658" t="s">
        <v>218</v>
      </c>
      <c r="B2658" s="3">
        <v>46143</v>
      </c>
      <c r="C2658" s="13"/>
    </row>
    <row r="2659" spans="1:3" ht="15" customHeight="1" x14ac:dyDescent="0.3">
      <c r="A2659" t="s">
        <v>218</v>
      </c>
      <c r="B2659" s="3">
        <v>46174</v>
      </c>
    </row>
    <row r="2660" spans="1:3" ht="15" customHeight="1" x14ac:dyDescent="0.3">
      <c r="A2660" t="s">
        <v>218</v>
      </c>
      <c r="B2660" s="3">
        <v>46204</v>
      </c>
    </row>
    <row r="2661" spans="1:3" ht="15" customHeight="1" x14ac:dyDescent="0.3">
      <c r="A2661" t="s">
        <v>218</v>
      </c>
      <c r="B2661" s="3">
        <v>46235</v>
      </c>
    </row>
    <row r="2662" spans="1:3" ht="15" customHeight="1" x14ac:dyDescent="0.3">
      <c r="A2662" t="s">
        <v>218</v>
      </c>
      <c r="B2662" s="3">
        <v>46266</v>
      </c>
    </row>
    <row r="2663" spans="1:3" ht="15" customHeight="1" x14ac:dyDescent="0.3">
      <c r="A2663" t="s">
        <v>218</v>
      </c>
      <c r="B2663" s="3">
        <v>46296</v>
      </c>
    </row>
    <row r="2664" spans="1:3" ht="15" customHeight="1" x14ac:dyDescent="0.3">
      <c r="A2664" t="s">
        <v>218</v>
      </c>
      <c r="B2664" s="3">
        <v>46327</v>
      </c>
    </row>
    <row r="2665" spans="1:3" ht="15" customHeight="1" x14ac:dyDescent="0.3">
      <c r="A2665" t="s">
        <v>218</v>
      </c>
      <c r="B2665" s="3">
        <v>46357</v>
      </c>
    </row>
    <row r="2666" spans="1:3" ht="14.25" customHeight="1" x14ac:dyDescent="0.3">
      <c r="A2666" t="s">
        <v>257</v>
      </c>
      <c r="B2666" s="3">
        <v>46113</v>
      </c>
      <c r="C2666">
        <v>10820</v>
      </c>
    </row>
    <row r="2667" spans="1:3" x14ac:dyDescent="0.3">
      <c r="A2667" s="13" t="s">
        <v>257</v>
      </c>
      <c r="B2667" s="3">
        <v>46143</v>
      </c>
      <c r="C2667" s="13">
        <v>11820</v>
      </c>
    </row>
    <row r="2668" spans="1:3" x14ac:dyDescent="0.3">
      <c r="A2668" s="13" t="s">
        <v>265</v>
      </c>
      <c r="B2668" s="3">
        <v>46143</v>
      </c>
      <c r="C2668" s="13">
        <v>17630</v>
      </c>
    </row>
    <row r="2669" spans="1:3" x14ac:dyDescent="0.3">
      <c r="A2669" s="13" t="s">
        <v>264</v>
      </c>
      <c r="B2669" s="3">
        <v>46143</v>
      </c>
      <c r="C2669" s="13">
        <v>27917.200000000001</v>
      </c>
    </row>
    <row r="2670" spans="1:3" x14ac:dyDescent="0.3">
      <c r="A2670" s="13" t="s">
        <v>285</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tabSelected="1"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282</v>
      </c>
      <c r="B1" t="s">
        <v>280</v>
      </c>
      <c r="C1" t="s">
        <v>286</v>
      </c>
      <c r="D1" t="s">
        <v>287</v>
      </c>
      <c r="E1" t="s">
        <v>288</v>
      </c>
      <c r="F1" t="s">
        <v>289</v>
      </c>
    </row>
    <row r="2" spans="1:6" ht="15" hidden="1" customHeight="1" x14ac:dyDescent="0.3">
      <c r="A2" t="s">
        <v>32</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32</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32</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32</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32</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32</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32</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32</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32</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32</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32</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32</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32</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32</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32</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32</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32</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32</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32</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32</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32</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32</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32</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32</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32</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32</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32</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customHeight="1" x14ac:dyDescent="0.3">
      <c r="A29" t="s">
        <v>32</v>
      </c>
      <c r="B29" s="3">
        <v>46113</v>
      </c>
      <c r="C29" s="6"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hidden="1" customHeight="1" x14ac:dyDescent="0.3">
      <c r="A30" t="s">
        <v>32</v>
      </c>
      <c r="B30" s="3">
        <v>46143</v>
      </c>
      <c r="C30" s="6"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32</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32</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32</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32</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32</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32</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32</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45</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45</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45</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45</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45</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45</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45</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45</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45</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45</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45</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45</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45</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45</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45</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45</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45</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45</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45</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45</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45</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45</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45</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45</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45</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45</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45</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45</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hidden="1" customHeight="1" x14ac:dyDescent="0.3">
      <c r="A66" t="s">
        <v>45</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45</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45</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45</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45</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45</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45</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45</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51</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51</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51</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51</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51</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51</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51</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51</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51</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51</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51</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51</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51</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51</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51</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51</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51</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51</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51</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51</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51</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51</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51</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51</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51</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51</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51</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51</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hidden="1" customHeight="1" x14ac:dyDescent="0.3">
      <c r="A102" t="s">
        <v>51</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51</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51</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51</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51</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51</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51</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51</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66</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66</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66</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66</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66</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66</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66</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66</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66</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66</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66</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66</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66</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66</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66</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66</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66</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66</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66</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66</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66</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66</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66</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66</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66</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66</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66</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66</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hidden="1" customHeight="1" x14ac:dyDescent="0.3">
      <c r="A138" t="s">
        <v>66</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66</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66</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66</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66</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66</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66</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66</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57</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57</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57</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57</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57</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57</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57</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57</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57</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57</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57</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57</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57</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57</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57</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57</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57</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57</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57</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57</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57</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57</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57</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57</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57</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57</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57</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customHeight="1" x14ac:dyDescent="0.3">
      <c r="A173" t="s">
        <v>57</v>
      </c>
      <c r="B173" s="3">
        <v>46113</v>
      </c>
      <c r="C173" s="6"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hidden="1" customHeight="1" x14ac:dyDescent="0.3">
      <c r="A174" t="s">
        <v>57</v>
      </c>
      <c r="B174" s="3">
        <v>46143</v>
      </c>
      <c r="C174" s="6"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57</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57</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57</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57</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57</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57</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57</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62</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62</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62</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62</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62</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62</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62</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62</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62</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62</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62</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62</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62</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62</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62</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62</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62</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62</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62</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62</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62</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62</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62</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62</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62</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62</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62</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customHeight="1" x14ac:dyDescent="0.3">
      <c r="A209" t="s">
        <v>62</v>
      </c>
      <c r="B209" s="3">
        <v>46113</v>
      </c>
      <c r="C209" s="6"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hidden="1" customHeight="1" x14ac:dyDescent="0.3">
      <c r="A210" t="s">
        <v>62</v>
      </c>
      <c r="B210" s="3">
        <v>46143</v>
      </c>
      <c r="C210" s="6"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62</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62</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62</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62</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62</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62</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62</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63</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63</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63</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63</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63</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63</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63</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63</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63</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63</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63</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63</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63</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63</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63</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63</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63</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63</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63</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63</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63</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63</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63</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63</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63</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63</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63</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63</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hidden="1" customHeight="1" x14ac:dyDescent="0.3">
      <c r="A246" t="s">
        <v>63</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63</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63</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63</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63</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63</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63</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63</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68</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68</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68</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68</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68</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68</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68</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68</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68</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68</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68</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68</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68</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68</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68</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68</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68</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68</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68</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68</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68</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68</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68</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68</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68</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68</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68</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68</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hidden="1" customHeight="1" x14ac:dyDescent="0.3">
      <c r="A282" t="s">
        <v>68</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68</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68</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68</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68</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68</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68</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68</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74</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74</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74</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74</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74</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74</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74</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74</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74</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74</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74</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74</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74</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74</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74</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74</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74</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74</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74</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74</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74</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74</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74</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74</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74</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74</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74</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74</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hidden="1" customHeight="1" x14ac:dyDescent="0.3">
      <c r="A318" t="s">
        <v>74</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74</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74</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74</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74</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74</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74</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74</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80</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80</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80</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80</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80</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80</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80</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80</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80</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80</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80</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80</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80</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80</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80</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80</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80</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80</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80</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80</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80</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80</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80</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80</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80</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80</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80</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80</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hidden="1" customHeight="1" x14ac:dyDescent="0.3">
      <c r="A354" t="s">
        <v>80</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80</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80</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80</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80</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80</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80</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80</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84</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84</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84</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84</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84</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84</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84</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84</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84</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84</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84</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84</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84</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84</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84</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84</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84</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84</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84</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84</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84</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84</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84</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84</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84</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84</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84</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84</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hidden="1" customHeight="1" x14ac:dyDescent="0.3">
      <c r="A390" t="s">
        <v>84</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84</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84</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84</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84</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84</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84</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84</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86</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86</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86</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86</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86</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86</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86</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86</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86</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86</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86</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86</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86</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86</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86</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86</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86</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86</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86</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86</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86</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86</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86</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86</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86</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86</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86</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86</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hidden="1" customHeight="1" x14ac:dyDescent="0.3">
      <c r="A426" t="s">
        <v>86</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86</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86</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86</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86</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86</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86</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86</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90</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90</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90</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90</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90</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90</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90</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90</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90</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90</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90</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90</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90</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90</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90</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90</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90</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90</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90</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90</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90</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90</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90</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90</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90</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90</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90</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customHeight="1" x14ac:dyDescent="0.3">
      <c r="A461" t="s">
        <v>90</v>
      </c>
      <c r="B461" s="3">
        <v>46113</v>
      </c>
      <c r="C461" s="6"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hidden="1" customHeight="1" x14ac:dyDescent="0.3">
      <c r="A462" t="s">
        <v>90</v>
      </c>
      <c r="B462" s="3">
        <v>46143</v>
      </c>
      <c r="C462" s="6"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90</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90</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90</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90</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90</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90</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90</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95</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95</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95</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95</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95</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95</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95</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95</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95</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95</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95</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95</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95</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95</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95</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95</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95</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95</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95</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95</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95</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95</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95</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95</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95</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95</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95</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customHeight="1" x14ac:dyDescent="0.3">
      <c r="A497" t="s">
        <v>95</v>
      </c>
      <c r="B497" s="3">
        <v>46113</v>
      </c>
      <c r="C497" s="6"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hidden="1" customHeight="1" x14ac:dyDescent="0.3">
      <c r="A498" t="s">
        <v>95</v>
      </c>
      <c r="B498" s="3">
        <v>46143</v>
      </c>
      <c r="C498" s="6"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95</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95</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95</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95</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95</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95</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95</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98</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98</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98</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98</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98</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98</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98</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98</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98</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98</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98</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98</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98</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98</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98</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98</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98</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98</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98</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98</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98</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98</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98</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98</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98</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98</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98</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98</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hidden="1" customHeight="1" x14ac:dyDescent="0.3">
      <c r="A534" t="s">
        <v>98</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98</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98</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98</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98</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98</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98</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98</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100</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100</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100</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100</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100</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100</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100</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100</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100</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100</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100</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100</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100</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100</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100</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100</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100</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100</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100</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100</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100</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100</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100</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100</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100</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100</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100</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100</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hidden="1" customHeight="1" x14ac:dyDescent="0.3">
      <c r="A570" t="s">
        <v>100</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100</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100</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100</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100</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100</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100</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100</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252</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252</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252</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252</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252</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252</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252</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252</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252</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252</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252</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252</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252</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252</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252</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252</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252</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252</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252</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252</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252</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252</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252</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252</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252</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252</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252</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252</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hidden="1" customHeight="1" x14ac:dyDescent="0.3">
      <c r="A606" t="s">
        <v>252</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252</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252</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252</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252</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252</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252</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252</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103</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103</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103</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103</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103</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103</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103</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103</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103</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103</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103</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103</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103</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103</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103</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103</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103</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103</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103</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103</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103</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103</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103</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103</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103</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103</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103</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103</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hidden="1" customHeight="1" x14ac:dyDescent="0.3">
      <c r="A642" t="s">
        <v>103</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103</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103</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103</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103</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103</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103</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103</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107</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107</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107</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107</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107</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107</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107</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107</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107</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107</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107</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107</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107</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107</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107</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107</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107</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107</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107</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107</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107</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107</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107</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107</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107</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107</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107</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107</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hidden="1" customHeight="1" x14ac:dyDescent="0.3">
      <c r="A678" t="s">
        <v>107</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107</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107</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107</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107</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107</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107</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107</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109</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109</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109</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109</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109</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109</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109</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109</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109</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109</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109</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109</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109</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109</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109</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109</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109</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109</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109</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109</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109</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109</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109</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109</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109</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109</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109</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109</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hidden="1" customHeight="1" x14ac:dyDescent="0.3">
      <c r="A714" t="s">
        <v>109</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109</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109</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109</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109</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109</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109</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109</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113</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113</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113</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113</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113</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113</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113</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113</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113</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113</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113</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113</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113</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113</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113</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113</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113</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113</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113</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113</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113</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113</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113</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113</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113</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113</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113</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113</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hidden="1" customHeight="1" x14ac:dyDescent="0.3">
      <c r="A750" t="s">
        <v>113</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113</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113</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113</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113</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113</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113</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113</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241</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241</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241</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241</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241</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241</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241</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241</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241</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241</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241</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241</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241</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241</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241</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241</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241</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241</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241</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241</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241</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241</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241</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241</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241</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241</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241</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241</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241</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241</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241</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241</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241</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241</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241</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241</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241</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241</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241</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241</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241</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241</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241</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241</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241</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241</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241</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241</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241</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241</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241</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241</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241</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241</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241</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241</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hidden="1" customHeight="1" x14ac:dyDescent="0.3">
      <c r="A814" t="s">
        <v>241</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hidden="1" customHeight="1" x14ac:dyDescent="0.3">
      <c r="A815" t="s">
        <v>241</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241</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241</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241</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241</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241</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241</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241</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241</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241</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241</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241</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241</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241</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241</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115</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115</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115</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115</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115</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115</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115</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115</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115</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115</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115</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115</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115</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115</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115</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115</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115</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115</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115</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115</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115</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115</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115</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115</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115</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115</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115</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115</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hidden="1" customHeight="1" x14ac:dyDescent="0.3">
      <c r="A858" t="s">
        <v>115</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115</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115</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115</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115</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115</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115</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115</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119</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119</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119</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119</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119</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119</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119</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119</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119</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119</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119</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119</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119</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119</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119</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119</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119</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119</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119</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119</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119</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119</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119</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119</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119</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119</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119</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119</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hidden="1" customHeight="1" x14ac:dyDescent="0.3">
      <c r="A894" t="s">
        <v>119</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119</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119</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119</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119</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119</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119</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119</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120</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120</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120</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120</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120</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120</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120</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120</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120</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120</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120</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120</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120</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120</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120</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120</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120</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120</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120</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120</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120</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120</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120</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120</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120</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120</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120</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customHeight="1" x14ac:dyDescent="0.3">
      <c r="A929" t="s">
        <v>120</v>
      </c>
      <c r="B929" s="3">
        <v>46113</v>
      </c>
      <c r="C929" s="6"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hidden="1" customHeight="1" x14ac:dyDescent="0.3">
      <c r="A930" t="s">
        <v>120</v>
      </c>
      <c r="B930" s="3">
        <v>46143</v>
      </c>
      <c r="C930" s="6"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120</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120</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120</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120</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120</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120</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120</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124</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124</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124</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124</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124</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124</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124</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124</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124</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124</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124</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124</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124</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124</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124</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124</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124</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124</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124</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124</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124</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124</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124</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124</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124</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124</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124</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124</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hidden="1" customHeight="1" x14ac:dyDescent="0.3">
      <c r="A966" t="s">
        <v>124</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124</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124</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124</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124</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124</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124</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124</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238</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238</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238</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238</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238</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238</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238</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238</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238</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238</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238</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238</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238</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238</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238</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238</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238</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238</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238</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238</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238</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238</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238</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238</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238</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238</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238</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238</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hidden="1" customHeight="1" x14ac:dyDescent="0.3">
      <c r="A1002" t="s">
        <v>238</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238</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238</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238</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238</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238</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238</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238</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236</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236</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236</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236</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236</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236</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236</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236</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236</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236</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236</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236</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236</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236</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236</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236</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236</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236</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236</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236</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236</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236</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236</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236</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236</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236</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236</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236</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hidden="1" customHeight="1" x14ac:dyDescent="0.3">
      <c r="A1038" t="s">
        <v>236</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236</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236</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236</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236</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236</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236</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236</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128</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128</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128</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128</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128</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128</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128</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128</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128</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128</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128</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128</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128</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128</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128</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128</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128</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128</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128</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128</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128</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128</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128</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128</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128</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128</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128</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customHeight="1" x14ac:dyDescent="0.3">
      <c r="A1073" t="s">
        <v>128</v>
      </c>
      <c r="B1073" s="3">
        <v>46113</v>
      </c>
      <c r="C1073" s="6"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hidden="1" customHeight="1" x14ac:dyDescent="0.3">
      <c r="A1074" t="s">
        <v>128</v>
      </c>
      <c r="B1074" s="3">
        <v>46143</v>
      </c>
      <c r="C1074" s="6"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128</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128</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128</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128</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128</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128</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128</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249</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249</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249</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249</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249</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249</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249</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249</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249</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249</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249</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249</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249</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249</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249</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249</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249</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249</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249</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249</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249</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249</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249</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249</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249</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249</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249</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249</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hidden="1" customHeight="1" x14ac:dyDescent="0.3">
      <c r="A1110" t="s">
        <v>249</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249</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249</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249</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249</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249</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249</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249</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130</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130</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130</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130</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130</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130</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130</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130</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130</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130</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130</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130</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130</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130</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130</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130</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130</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130</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130</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130</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130</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130</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130</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130</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130</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130</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130</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customHeight="1" x14ac:dyDescent="0.3">
      <c r="A1145" t="s">
        <v>130</v>
      </c>
      <c r="B1145" s="3">
        <v>46113</v>
      </c>
      <c r="C1145" s="6"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hidden="1" customHeight="1" x14ac:dyDescent="0.3">
      <c r="A1146" t="s">
        <v>130</v>
      </c>
      <c r="B1146" s="3">
        <v>46143</v>
      </c>
      <c r="C1146" s="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130</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130</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130</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130</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130</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130</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130</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132</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132</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132</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132</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132</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132</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132</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132</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132</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132</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132</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132</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132</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132</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132</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132</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132</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132</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132</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132</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132</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132</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132</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132</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132</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132</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132</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customHeight="1" x14ac:dyDescent="0.3">
      <c r="A1181" t="s">
        <v>132</v>
      </c>
      <c r="B1181" s="3">
        <v>46113</v>
      </c>
      <c r="C1181" s="6"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hidden="1" customHeight="1" x14ac:dyDescent="0.3">
      <c r="A1182" t="s">
        <v>132</v>
      </c>
      <c r="B1182" s="3">
        <v>46143</v>
      </c>
      <c r="C1182" s="6"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132</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132</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132</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132</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132</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132</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132</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136</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136</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136</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136</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136</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136</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136</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136</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136</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136</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136</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136</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136</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136</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136</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136</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136</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136</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136</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136</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136</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136</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136</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136</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136</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136</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136</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136</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hidden="1" customHeight="1" x14ac:dyDescent="0.3">
      <c r="A1218" t="s">
        <v>136</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136</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136</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136</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136</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136</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136</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136</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247</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247</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247</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247</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247</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247</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247</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247</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247</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247</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247</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247</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247</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247</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247</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247</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247</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247</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247</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247</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247</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247</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247</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247</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247</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247</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247</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247</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hidden="1" customHeight="1" x14ac:dyDescent="0.3">
      <c r="A1254" t="s">
        <v>247</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247</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247</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247</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247</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247</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247</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247</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140</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140</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140</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140</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140</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140</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140</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140</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140</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140</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140</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140</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140</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140</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140</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140</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140</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140</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140</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140</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140</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140</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140</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140</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140</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140</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140</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customHeight="1" x14ac:dyDescent="0.3">
      <c r="A1289" t="s">
        <v>140</v>
      </c>
      <c r="B1289" s="3">
        <v>46113</v>
      </c>
      <c r="C1289" s="6"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hidden="1" customHeight="1" x14ac:dyDescent="0.3">
      <c r="A1290" t="s">
        <v>140</v>
      </c>
      <c r="B1290" s="3">
        <v>46143</v>
      </c>
      <c r="C1290" s="6"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140</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140</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140</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140</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140</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140</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140</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143</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143</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143</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143</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143</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143</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143</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143</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143</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143</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143</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143</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143</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143</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143</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143</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143</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143</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143</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143</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143</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143</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143</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143</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143</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143</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143</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customHeight="1" x14ac:dyDescent="0.3">
      <c r="A1325" t="s">
        <v>143</v>
      </c>
      <c r="B1325" s="3">
        <v>46113</v>
      </c>
      <c r="C1325" s="6"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hidden="1" customHeight="1" x14ac:dyDescent="0.3">
      <c r="A1326" t="s">
        <v>143</v>
      </c>
      <c r="B1326" s="3">
        <v>46143</v>
      </c>
      <c r="C1326" s="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143</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143</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143</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143</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143</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143</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143</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147</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147</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147</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147</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147</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147</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147</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147</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147</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147</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147</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147</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147</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147</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147</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147</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147</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147</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147</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147</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147</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147</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147</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147</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147</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147</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147</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147</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hidden="1" customHeight="1" x14ac:dyDescent="0.3">
      <c r="A1362" t="s">
        <v>147</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147</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147</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147</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147</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147</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147</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147</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233</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233</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233</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233</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233</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233</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233</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233</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233</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233</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233</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233</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233</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233</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233</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233</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233</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233</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233</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233</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233</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233</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233</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233</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233</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233</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233</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233</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hidden="1" customHeight="1" x14ac:dyDescent="0.3">
      <c r="A1398" t="s">
        <v>233</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233</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233</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233</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233</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233</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233</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233</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235</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235</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235</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235</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235</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235</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235</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235</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235</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235</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235</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235</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235</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235</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235</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235</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235</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235</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235</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235</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235</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235</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235</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235</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235</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235</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235</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235</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hidden="1" customHeight="1" x14ac:dyDescent="0.3">
      <c r="A1434" t="s">
        <v>235</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235</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235</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235</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235</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235</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235</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235</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151</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151</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151</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151</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151</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151</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151</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151</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151</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151</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151</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151</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151</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151</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151</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151</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151</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151</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151</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151</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151</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151</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151</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151</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151</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151</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151</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customHeight="1" x14ac:dyDescent="0.3">
      <c r="A1469" t="s">
        <v>151</v>
      </c>
      <c r="B1469" s="3">
        <v>46113</v>
      </c>
      <c r="C1469" s="6"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hidden="1" customHeight="1" x14ac:dyDescent="0.3">
      <c r="A1470" t="s">
        <v>151</v>
      </c>
      <c r="B1470" s="3">
        <v>46143</v>
      </c>
      <c r="C1470" s="6"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151</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151</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151</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151</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151</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151</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151</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155</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155</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155</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155</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155</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155</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155</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155</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155</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155</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155</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155</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155</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155</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155</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155</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155</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155</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155</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155</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155</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155</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155</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155</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155</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155</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155</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155</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hidden="1" customHeight="1" x14ac:dyDescent="0.3">
      <c r="A1506" t="s">
        <v>155</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155</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155</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155</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155</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155</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155</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155</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163</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163</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163</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163</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163</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163</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163</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163</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163</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163</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163</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163</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163</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163</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163</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163</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163</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163</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163</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163</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163</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163</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163</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163</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163</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163</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163</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163</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hidden="1" customHeight="1" x14ac:dyDescent="0.3">
      <c r="A1542" t="s">
        <v>163</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163</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163</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163</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163</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163</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163</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163</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159</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159</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159</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159</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159</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159</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159</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159</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159</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159</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159</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159</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159</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159</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159</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159</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159</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159</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159</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159</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159</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159</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159</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159</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159</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159</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159</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customHeight="1" x14ac:dyDescent="0.3">
      <c r="A1577" t="s">
        <v>159</v>
      </c>
      <c r="B1577" s="3">
        <v>46113</v>
      </c>
      <c r="C1577" s="6"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hidden="1" customHeight="1" x14ac:dyDescent="0.3">
      <c r="A1578" t="s">
        <v>159</v>
      </c>
      <c r="B1578" s="3">
        <v>46143</v>
      </c>
      <c r="C1578" s="6"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159</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159</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159</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159</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159</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159</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159</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166</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166</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166</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166</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166</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166</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166</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166</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166</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166</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166</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166</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166</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166</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166</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166</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166</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166</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166</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166</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166</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166</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166</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166</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166</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166</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166</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166</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hidden="1" customHeight="1" x14ac:dyDescent="0.3">
      <c r="A1614" t="s">
        <v>166</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166</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166</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166</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166</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166</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166</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166</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168</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168</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168</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168</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168</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168</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168</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168</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168</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168</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168</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168</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168</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168</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168</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168</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168</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168</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168</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168</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168</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168</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168</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168</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168</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168</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168</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168</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hidden="1" customHeight="1" x14ac:dyDescent="0.3">
      <c r="A1650" t="s">
        <v>168</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168</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168</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168</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168</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168</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168</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168</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171</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171</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171</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171</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171</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171</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171</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171</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171</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171</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171</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171</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171</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171</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171</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171</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171</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171</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171</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171</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171</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171</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171</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171</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171</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171</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171</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customHeight="1" x14ac:dyDescent="0.3">
      <c r="A1685" t="s">
        <v>171</v>
      </c>
      <c r="B1685" s="3">
        <v>46113</v>
      </c>
      <c r="C1685" s="6"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hidden="1" customHeight="1" x14ac:dyDescent="0.3">
      <c r="A1686" t="s">
        <v>171</v>
      </c>
      <c r="B1686" s="3">
        <v>46143</v>
      </c>
      <c r="C1686" s="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171</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171</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171</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171</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171</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171</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171</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257</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257</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257</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257</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257</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257</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257</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257</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257</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257</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257</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257</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257</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257</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257</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257</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257</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257</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257</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257</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257</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257</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257</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257</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257</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257</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257</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257</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hidden="1" customHeight="1" x14ac:dyDescent="0.3">
      <c r="A1722" t="s">
        <v>257</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257</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257</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257</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257</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257</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257</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257</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226</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226</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226</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226</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226</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226</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226</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226</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226</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226</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226</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226</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226</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226</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226</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226</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226</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226</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226</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226</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226</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226</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226</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226</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226</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226</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226</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226</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hidden="1" customHeight="1" x14ac:dyDescent="0.3">
      <c r="A1758" t="s">
        <v>226</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226</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226</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226</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226</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226</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226</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226</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229</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229</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229</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229</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229</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229</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229</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229</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229</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229</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229</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229</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229</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229</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229</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229</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229</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229</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229</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229</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229</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229</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229</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229</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229</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229</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229</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229</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hidden="1" customHeight="1" x14ac:dyDescent="0.3">
      <c r="A1794" t="s">
        <v>229</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229</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229</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229</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229</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229</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229</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229</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231</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231</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231</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231</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231</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231</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231</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231</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231</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231</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231</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231</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231</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231</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231</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231</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231</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231</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231</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231</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231</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231</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231</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231</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231</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231</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231</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231</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hidden="1" customHeight="1" x14ac:dyDescent="0.3">
      <c r="A1830" t="s">
        <v>231</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231</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231</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231</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231</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231</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231</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231</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175</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175</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175</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175</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175</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175</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175</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175</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175</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175</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175</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175</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175</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175</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175</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175</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175</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175</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175</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175</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175</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175</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175</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175</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175</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175</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175</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175</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hidden="1" customHeight="1" x14ac:dyDescent="0.3">
      <c r="A1866" t="s">
        <v>175</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175</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175</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175</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175</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175</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175</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175</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178</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178</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178</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178</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178</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178</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178</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178</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178</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178</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178</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178</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178</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178</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178</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178</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178</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178</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178</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178</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178</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178</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178</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178</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178</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178</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178</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178</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hidden="1" customHeight="1" x14ac:dyDescent="0.3">
      <c r="A1902" t="s">
        <v>178</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178</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178</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178</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178</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178</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178</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178</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181</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181</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181</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181</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181</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181</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181</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181</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181</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181</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181</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181</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181</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181</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181</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181</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181</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181</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181</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181</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181</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181</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181</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181</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181</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181</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181</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181</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hidden="1" customHeight="1" x14ac:dyDescent="0.3">
      <c r="A1938" t="s">
        <v>181</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181</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181</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181</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181</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181</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181</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181</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183</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183</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183</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183</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183</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183</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183</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183</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183</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183</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183</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183</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183</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183</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183</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183</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183</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183</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183</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183</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183</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183</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183</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183</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183</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183</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183</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customHeight="1" x14ac:dyDescent="0.3">
      <c r="A1973" t="s">
        <v>183</v>
      </c>
      <c r="B1973" s="3">
        <v>46113</v>
      </c>
      <c r="C1973" s="6"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hidden="1" customHeight="1" x14ac:dyDescent="0.3">
      <c r="A1974" t="s">
        <v>183</v>
      </c>
      <c r="B1974" s="3">
        <v>46143</v>
      </c>
      <c r="C1974" s="6"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183</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183</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183</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183</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183</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183</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183</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184</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184</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184</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184</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184</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184</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184</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184</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184</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184</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184</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184</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184</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184</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184</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184</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184</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184</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184</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184</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184</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184</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184</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184</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184</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184</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184</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184</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hidden="1" customHeight="1" x14ac:dyDescent="0.3">
      <c r="A2010" t="s">
        <v>184</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184</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184</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184</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184</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184</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184</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184</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189</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189</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189</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189</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189</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189</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189</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189</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189</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189</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189</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189</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189</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189</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189</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189</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189</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189</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189</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189</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189</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189</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189</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189</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189</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189</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189</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189</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hidden="1" customHeight="1" x14ac:dyDescent="0.3">
      <c r="A2046" t="s">
        <v>189</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189</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189</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189</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189</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189</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189</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189</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279</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279</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279</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279</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279</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279</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279</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279</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279</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279</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279</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279</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279</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279</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279</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279</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279</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279</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279</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279</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279</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279</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279</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279</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279</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279</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279</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279</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hidden="1" customHeight="1" x14ac:dyDescent="0.3">
      <c r="A2082" t="s">
        <v>279</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279</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279</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279</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279</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279</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279</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279</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192</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192</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192</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192</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192</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192</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192</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192</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192</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192</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192</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192</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192</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192</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192</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192</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192</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192</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192</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192</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192</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192</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192</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192</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192</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192</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192</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192</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hidden="1" customHeight="1" x14ac:dyDescent="0.3">
      <c r="A2118" t="s">
        <v>192</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192</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192</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192</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192</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192</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192</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192</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254</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254</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254</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254</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254</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254</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254</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254</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254</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254</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254</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254</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254</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254</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254</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254</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254</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254</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254</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254</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254</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254</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254</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254</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254</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254</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254</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254</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hidden="1" customHeight="1" x14ac:dyDescent="0.3">
      <c r="A2154" t="s">
        <v>254</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254</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254</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254</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254</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254</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254</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254</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194</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194</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194</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194</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194</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194</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194</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194</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194</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194</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194</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194</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194</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194</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194</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194</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194</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194</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194</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194</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194</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194</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194</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194</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194</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194</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194</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194</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hidden="1" customHeight="1" x14ac:dyDescent="0.3">
      <c r="A2190" t="s">
        <v>194</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194</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194</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194</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194</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194</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194</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194</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196</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196</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196</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196</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196</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196</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196</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196</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196</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196</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196</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196</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196</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196</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196</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196</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196</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196</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196</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196</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196</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196</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196</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196</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196</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196</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196</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196</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hidden="1" customHeight="1" x14ac:dyDescent="0.3">
      <c r="A2226" t="s">
        <v>196</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196</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196</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196</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196</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196</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196</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196</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198</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198</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198</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198</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198</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198</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198</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198</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198</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198</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198</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198</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198</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198</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198</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198</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198</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198</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198</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198</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198</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198</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198</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198</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198</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198</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198</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198</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hidden="1" customHeight="1" x14ac:dyDescent="0.3">
      <c r="A2262" t="s">
        <v>198</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198</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198</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198</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198</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198</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198</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198</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200</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200</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200</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200</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200</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200</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200</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200</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200</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200</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200</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200</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200</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200</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200</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200</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200</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200</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200</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200</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200</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200</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200</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200</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200</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200</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200</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200</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hidden="1" customHeight="1" x14ac:dyDescent="0.3">
      <c r="A2298" t="s">
        <v>200</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200</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200</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200</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200</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200</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200</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200</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239</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239</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239</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239</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239</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239</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239</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239</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239</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239</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239</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239</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239</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239</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239</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239</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239</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239</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239</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239</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239</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239</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239</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239</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239</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239</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239</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239</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hidden="1" customHeight="1" x14ac:dyDescent="0.3">
      <c r="A2334" t="s">
        <v>239</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239</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239</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239</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239</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239</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239</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239</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220</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220</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220</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220</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220</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220</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220</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220</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220</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220</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220</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220</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220</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220</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220</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220</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220</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220</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220</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220</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220</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220</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220</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220</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220</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220</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220</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220</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hidden="1" customHeight="1" x14ac:dyDescent="0.3">
      <c r="A2370" t="s">
        <v>220</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220</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220</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220</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220</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220</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220</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220</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202</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202</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202</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202</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202</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202</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202</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202</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202</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202</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202</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202</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202</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202</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202</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202</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202</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202</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202</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202</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202</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202</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202</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202</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202</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202</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202</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202</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hidden="1" customHeight="1" x14ac:dyDescent="0.3">
      <c r="A2406" t="s">
        <v>202</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202</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202</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202</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202</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202</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202</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202</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211</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211</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211</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211</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211</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211</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211</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211</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211</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211</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211</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211</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211</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211</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211</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211</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211</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211</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211</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211</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211</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211</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211</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211</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211</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211</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211</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211</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hidden="1" customHeight="1" x14ac:dyDescent="0.3">
      <c r="A2442" t="s">
        <v>211</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211</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211</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211</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211</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211</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211</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211</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204</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204</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204</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204</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204</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204</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204</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204</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204</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204</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204</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204</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204</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204</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204</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204</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204</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204</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204</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204</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204</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204</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204</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204</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204</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204</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204</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204</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hidden="1" customHeight="1" x14ac:dyDescent="0.3">
      <c r="A2478" t="s">
        <v>204</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204</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204</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204</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204</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204</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204</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204</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206</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206</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206</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206</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206</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206</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206</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206</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206</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206</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206</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206</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206</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206</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206</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206</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206</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206</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206</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206</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206</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206</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206</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206</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206</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206</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206</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customHeight="1" x14ac:dyDescent="0.3">
      <c r="A2513" t="s">
        <v>206</v>
      </c>
      <c r="B2513" s="3">
        <v>46113</v>
      </c>
      <c r="C2513" s="6"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hidden="1" customHeight="1" x14ac:dyDescent="0.3">
      <c r="A2514" t="s">
        <v>206</v>
      </c>
      <c r="B2514" s="3">
        <v>46143</v>
      </c>
      <c r="C2514" s="6"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206</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206</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206</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206</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206</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206</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206</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208</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208</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208</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208</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208</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208</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208</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208</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208</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208</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208</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208</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208</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208</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208</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208</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208</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208</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208</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208</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208</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208</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208</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208</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208</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208</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208</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customHeight="1" x14ac:dyDescent="0.3">
      <c r="A2549" t="s">
        <v>208</v>
      </c>
      <c r="B2549" s="3">
        <v>46113</v>
      </c>
      <c r="C2549" s="6"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hidden="1" customHeight="1" x14ac:dyDescent="0.3">
      <c r="A2550" t="s">
        <v>208</v>
      </c>
      <c r="B2550" s="3">
        <v>46143</v>
      </c>
      <c r="C2550" s="6"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208</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208</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208</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208</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208</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208</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208</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213</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213</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213</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213</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213</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213</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213</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213</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213</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213</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213</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213</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213</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213</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213</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213</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213</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213</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213</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213</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213</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213</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213</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213</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213</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213</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213</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213</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hidden="1" customHeight="1" x14ac:dyDescent="0.3">
      <c r="A2586" t="s">
        <v>213</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213</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213</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213</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213</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213</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213</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213</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224</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224</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224</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224</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224</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224</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224</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224</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224</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224</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224</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224</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224</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224</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224</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224</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224</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224</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224</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224</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224</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224</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224</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224</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224</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224</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224</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224</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hidden="1" customHeight="1" x14ac:dyDescent="0.3">
      <c r="A2622" t="s">
        <v>224</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224</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224</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224</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224</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224</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224</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224</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214</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214</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214</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214</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214</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214</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214</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214</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214</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214</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214</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214</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214</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214</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214</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214</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214</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214</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214</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214</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214</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214</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214</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214</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214</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214</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214</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customHeight="1" x14ac:dyDescent="0.3">
      <c r="A2657" t="s">
        <v>214</v>
      </c>
      <c r="B2657" s="3">
        <v>46113</v>
      </c>
      <c r="C2657" s="6"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hidden="1" customHeight="1" x14ac:dyDescent="0.3">
      <c r="A2658" t="s">
        <v>214</v>
      </c>
      <c r="B2658" s="3">
        <v>46143</v>
      </c>
      <c r="C2658" s="6"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214</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214</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214</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214</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214</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214</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214</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218</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218</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218</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218</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218</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218</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218</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218</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218</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218</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218</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218</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218</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218</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218</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218</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218</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218</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218</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218</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218</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218</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218</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218</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218</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218</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218</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218</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hidden="1" customHeight="1" x14ac:dyDescent="0.3">
      <c r="A2694" t="s">
        <v>218</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218</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218</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218</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218</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218</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218</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218</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265</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265</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265</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265</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265</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265</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265</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265</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265</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265</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265</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265</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265</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265</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265</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265</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265</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265</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265</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265</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265</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265</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265</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265</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265</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265</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265</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265</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hidden="1" x14ac:dyDescent="0.3">
      <c r="A2730" t="s">
        <v>265</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265</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265</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265</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265</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265</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265</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265</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264</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264</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264</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264</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264</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264</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264</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264</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264</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264</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264</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264</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264</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264</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264</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264</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264</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264</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264</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264</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264</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264</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264</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264</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264</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264</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264</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264</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hidden="1" x14ac:dyDescent="0.3">
      <c r="A2766" t="s">
        <v>264</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264</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264</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264</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264</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264</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264</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264</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262</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262</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262</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262</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262</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262</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262</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262</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262</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262</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262</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262</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262</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262</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262</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262</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262</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262</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262</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262</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262</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262</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262</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262</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262</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262</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262</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262</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hidden="1" x14ac:dyDescent="0.3">
      <c r="A2802" t="s">
        <v>262</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262</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262</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262</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262</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262</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262</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262</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282</v>
      </c>
      <c r="B1" t="s">
        <v>280</v>
      </c>
      <c r="C1" t="s">
        <v>290</v>
      </c>
    </row>
    <row r="2" spans="1:3" hidden="1" x14ac:dyDescent="0.3">
      <c r="A2" t="s">
        <v>32</v>
      </c>
      <c r="B2" s="3">
        <v>45536</v>
      </c>
      <c r="C2" s="11"/>
    </row>
    <row r="3" spans="1:3" hidden="1" x14ac:dyDescent="0.3">
      <c r="A3" t="s">
        <v>32</v>
      </c>
      <c r="B3" s="3">
        <v>45566</v>
      </c>
      <c r="C3" s="11"/>
    </row>
    <row r="4" spans="1:3" hidden="1" x14ac:dyDescent="0.3">
      <c r="A4" t="s">
        <v>32</v>
      </c>
      <c r="B4" s="3">
        <v>45597</v>
      </c>
      <c r="C4" s="11"/>
    </row>
    <row r="5" spans="1:3" hidden="1" x14ac:dyDescent="0.3">
      <c r="A5" t="s">
        <v>32</v>
      </c>
      <c r="B5" s="3">
        <v>45627</v>
      </c>
      <c r="C5" s="11"/>
    </row>
    <row r="6" spans="1:3" hidden="1" x14ac:dyDescent="0.3">
      <c r="A6" t="s">
        <v>32</v>
      </c>
      <c r="B6" s="3">
        <v>45658</v>
      </c>
      <c r="C6" s="11"/>
    </row>
    <row r="7" spans="1:3" ht="72" hidden="1" customHeight="1" x14ac:dyDescent="0.3">
      <c r="A7" t="s">
        <v>32</v>
      </c>
      <c r="B7" s="3">
        <v>45689</v>
      </c>
      <c r="C7" s="11" t="s">
        <v>291</v>
      </c>
    </row>
    <row r="8" spans="1:3" ht="72" hidden="1" customHeight="1" x14ac:dyDescent="0.3">
      <c r="A8" t="s">
        <v>32</v>
      </c>
      <c r="B8" s="3">
        <v>45717</v>
      </c>
      <c r="C8" s="11" t="s">
        <v>292</v>
      </c>
    </row>
    <row r="9" spans="1:3" ht="57.6" hidden="1" customHeight="1" x14ac:dyDescent="0.3">
      <c r="A9" t="s">
        <v>32</v>
      </c>
      <c r="B9" s="3">
        <v>45748</v>
      </c>
      <c r="C9" s="11" t="s">
        <v>293</v>
      </c>
    </row>
    <row r="10" spans="1:3" ht="57.6" hidden="1" customHeight="1" x14ac:dyDescent="0.3">
      <c r="A10" t="s">
        <v>32</v>
      </c>
      <c r="B10" s="3">
        <v>45778</v>
      </c>
      <c r="C10" s="11" t="s">
        <v>294</v>
      </c>
    </row>
    <row r="11" spans="1:3" ht="57.6" hidden="1" customHeight="1" x14ac:dyDescent="0.3">
      <c r="A11" t="s">
        <v>32</v>
      </c>
      <c r="B11" s="3">
        <v>45809</v>
      </c>
      <c r="C11" s="11" t="s">
        <v>295</v>
      </c>
    </row>
    <row r="12" spans="1:3" ht="57.6" hidden="1" customHeight="1" x14ac:dyDescent="0.3">
      <c r="A12" t="s">
        <v>32</v>
      </c>
      <c r="B12" s="3">
        <v>45839</v>
      </c>
      <c r="C12" s="11" t="s">
        <v>296</v>
      </c>
    </row>
    <row r="13" spans="1:3" ht="57.6" hidden="1" customHeight="1" x14ac:dyDescent="0.3">
      <c r="A13" t="s">
        <v>32</v>
      </c>
      <c r="B13" s="3">
        <v>45870</v>
      </c>
      <c r="C13" s="11" t="s">
        <v>297</v>
      </c>
    </row>
    <row r="14" spans="1:3" ht="57.6" hidden="1" customHeight="1" x14ac:dyDescent="0.3">
      <c r="A14" t="s">
        <v>32</v>
      </c>
      <c r="B14" s="3">
        <v>45901</v>
      </c>
      <c r="C14" s="11" t="s">
        <v>298</v>
      </c>
    </row>
    <row r="15" spans="1:3" ht="57.6" hidden="1" customHeight="1" x14ac:dyDescent="0.3">
      <c r="A15" t="s">
        <v>32</v>
      </c>
      <c r="B15" s="3">
        <v>45931</v>
      </c>
      <c r="C15" s="11" t="s">
        <v>299</v>
      </c>
    </row>
    <row r="16" spans="1:3" ht="57.6" hidden="1" customHeight="1" x14ac:dyDescent="0.3">
      <c r="A16" t="s">
        <v>32</v>
      </c>
      <c r="B16" s="3">
        <v>45962</v>
      </c>
      <c r="C16" s="11" t="s">
        <v>300</v>
      </c>
    </row>
    <row r="17" spans="1:3" hidden="1" x14ac:dyDescent="0.3">
      <c r="A17" t="s">
        <v>32</v>
      </c>
      <c r="B17" s="3">
        <v>45992</v>
      </c>
      <c r="C17" s="11" t="s">
        <v>301</v>
      </c>
    </row>
    <row r="18" spans="1:3" hidden="1" x14ac:dyDescent="0.3">
      <c r="A18" t="s">
        <v>32</v>
      </c>
      <c r="B18" s="3">
        <v>46023</v>
      </c>
      <c r="C18" s="11" t="s">
        <v>301</v>
      </c>
    </row>
    <row r="19" spans="1:3" hidden="1" x14ac:dyDescent="0.3">
      <c r="A19" t="s">
        <v>32</v>
      </c>
      <c r="B19" s="3">
        <v>46054</v>
      </c>
      <c r="C19" s="11" t="s">
        <v>301</v>
      </c>
    </row>
    <row r="20" spans="1:3" hidden="1" x14ac:dyDescent="0.3">
      <c r="A20" t="s">
        <v>32</v>
      </c>
      <c r="B20" s="3">
        <v>46082</v>
      </c>
      <c r="C20" s="11" t="s">
        <v>301</v>
      </c>
    </row>
    <row r="21" spans="1:3" ht="28.95" hidden="1" customHeight="1" x14ac:dyDescent="0.3">
      <c r="A21" t="s">
        <v>32</v>
      </c>
      <c r="B21" s="3">
        <v>46113</v>
      </c>
      <c r="C21" s="11" t="s">
        <v>302</v>
      </c>
    </row>
    <row r="22" spans="1:3" x14ac:dyDescent="0.3">
      <c r="A22" t="s">
        <v>32</v>
      </c>
      <c r="B22" s="3">
        <v>46143</v>
      </c>
      <c r="C22" s="11" t="s">
        <v>958</v>
      </c>
    </row>
    <row r="23" spans="1:3" hidden="1" x14ac:dyDescent="0.3">
      <c r="A23" t="s">
        <v>32</v>
      </c>
      <c r="B23" s="3">
        <v>46174</v>
      </c>
      <c r="C23" s="11"/>
    </row>
    <row r="24" spans="1:3" hidden="1" x14ac:dyDescent="0.3">
      <c r="A24" t="s">
        <v>32</v>
      </c>
      <c r="B24" s="3">
        <v>46204</v>
      </c>
      <c r="C24" s="11"/>
    </row>
    <row r="25" spans="1:3" hidden="1" x14ac:dyDescent="0.3">
      <c r="A25" t="s">
        <v>32</v>
      </c>
      <c r="B25" s="3">
        <v>46235</v>
      </c>
      <c r="C25" s="11"/>
    </row>
    <row r="26" spans="1:3" hidden="1" x14ac:dyDescent="0.3">
      <c r="A26" t="s">
        <v>45</v>
      </c>
      <c r="B26" s="3">
        <v>45536</v>
      </c>
      <c r="C26" s="11"/>
    </row>
    <row r="27" spans="1:3" hidden="1" x14ac:dyDescent="0.3">
      <c r="A27" t="s">
        <v>45</v>
      </c>
      <c r="B27" s="3">
        <v>45566</v>
      </c>
      <c r="C27" s="11"/>
    </row>
    <row r="28" spans="1:3" hidden="1" x14ac:dyDescent="0.3">
      <c r="A28" t="s">
        <v>45</v>
      </c>
      <c r="B28" s="3">
        <v>45597</v>
      </c>
      <c r="C28" s="11"/>
    </row>
    <row r="29" spans="1:3" hidden="1" x14ac:dyDescent="0.3">
      <c r="A29" t="s">
        <v>45</v>
      </c>
      <c r="B29" s="3">
        <v>45627</v>
      </c>
      <c r="C29" s="11"/>
    </row>
    <row r="30" spans="1:3" hidden="1" x14ac:dyDescent="0.3">
      <c r="A30" t="s">
        <v>45</v>
      </c>
      <c r="B30" s="3">
        <v>45658</v>
      </c>
      <c r="C30" s="11"/>
    </row>
    <row r="31" spans="1:3" ht="43.2" hidden="1" customHeight="1" x14ac:dyDescent="0.3">
      <c r="A31" t="s">
        <v>45</v>
      </c>
      <c r="B31" s="3">
        <v>45689</v>
      </c>
      <c r="C31" s="11" t="s">
        <v>303</v>
      </c>
    </row>
    <row r="32" spans="1:3" hidden="1" x14ac:dyDescent="0.3">
      <c r="A32" t="s">
        <v>45</v>
      </c>
      <c r="B32" s="3">
        <v>45717</v>
      </c>
      <c r="C32" s="11" t="s">
        <v>304</v>
      </c>
    </row>
    <row r="33" spans="1:3" hidden="1" x14ac:dyDescent="0.3">
      <c r="A33" t="s">
        <v>45</v>
      </c>
      <c r="B33" s="3">
        <v>45748</v>
      </c>
      <c r="C33" s="11" t="s">
        <v>304</v>
      </c>
    </row>
    <row r="34" spans="1:3" ht="72" hidden="1" customHeight="1" x14ac:dyDescent="0.3">
      <c r="A34" t="s">
        <v>45</v>
      </c>
      <c r="B34" s="3">
        <v>45778</v>
      </c>
      <c r="C34" s="11" t="s">
        <v>305</v>
      </c>
    </row>
    <row r="35" spans="1:3" ht="72" hidden="1" customHeight="1" x14ac:dyDescent="0.3">
      <c r="A35" t="s">
        <v>45</v>
      </c>
      <c r="B35" s="3">
        <v>45809</v>
      </c>
      <c r="C35" s="11" t="s">
        <v>306</v>
      </c>
    </row>
    <row r="36" spans="1:3" ht="72" hidden="1" customHeight="1" x14ac:dyDescent="0.3">
      <c r="A36" t="s">
        <v>45</v>
      </c>
      <c r="B36" s="3">
        <v>45839</v>
      </c>
      <c r="C36" s="11" t="s">
        <v>307</v>
      </c>
    </row>
    <row r="37" spans="1:3" ht="57.6" hidden="1" customHeight="1" x14ac:dyDescent="0.3">
      <c r="A37" t="s">
        <v>45</v>
      </c>
      <c r="B37" s="3">
        <v>45870</v>
      </c>
      <c r="C37" s="11" t="s">
        <v>308</v>
      </c>
    </row>
    <row r="38" spans="1:3" ht="57.6" hidden="1" customHeight="1" x14ac:dyDescent="0.3">
      <c r="A38" t="s">
        <v>45</v>
      </c>
      <c r="B38" s="3">
        <v>45901</v>
      </c>
      <c r="C38" s="11" t="s">
        <v>309</v>
      </c>
    </row>
    <row r="39" spans="1:3" ht="72" hidden="1" customHeight="1" x14ac:dyDescent="0.3">
      <c r="A39" t="s">
        <v>45</v>
      </c>
      <c r="B39" s="3">
        <v>45931</v>
      </c>
      <c r="C39" s="11" t="s">
        <v>310</v>
      </c>
    </row>
    <row r="40" spans="1:3" ht="57.6" hidden="1" customHeight="1" x14ac:dyDescent="0.3">
      <c r="A40" t="s">
        <v>45</v>
      </c>
      <c r="B40" s="3">
        <v>45962</v>
      </c>
      <c r="C40" s="11" t="s">
        <v>311</v>
      </c>
    </row>
    <row r="41" spans="1:3" hidden="1" x14ac:dyDescent="0.3">
      <c r="A41" t="s">
        <v>45</v>
      </c>
      <c r="B41" s="3">
        <v>45992</v>
      </c>
      <c r="C41" s="11" t="s">
        <v>312</v>
      </c>
    </row>
    <row r="42" spans="1:3" hidden="1" x14ac:dyDescent="0.3">
      <c r="A42" t="s">
        <v>45</v>
      </c>
      <c r="B42" s="3">
        <v>46023</v>
      </c>
      <c r="C42" s="11" t="s">
        <v>313</v>
      </c>
    </row>
    <row r="43" spans="1:3" hidden="1" x14ac:dyDescent="0.3">
      <c r="A43" t="s">
        <v>45</v>
      </c>
      <c r="B43" s="3">
        <v>46054</v>
      </c>
      <c r="C43" s="11" t="s">
        <v>314</v>
      </c>
    </row>
    <row r="44" spans="1:3" hidden="1" x14ac:dyDescent="0.3">
      <c r="A44" t="s">
        <v>45</v>
      </c>
      <c r="B44" s="3">
        <v>46082</v>
      </c>
      <c r="C44" s="11" t="s">
        <v>315</v>
      </c>
    </row>
    <row r="45" spans="1:3" hidden="1" x14ac:dyDescent="0.3">
      <c r="A45" t="s">
        <v>45</v>
      </c>
      <c r="B45" s="3">
        <v>46113</v>
      </c>
      <c r="C45" s="11" t="s">
        <v>315</v>
      </c>
    </row>
    <row r="46" spans="1:3" x14ac:dyDescent="0.3">
      <c r="A46" t="s">
        <v>45</v>
      </c>
      <c r="B46" s="3">
        <v>46143</v>
      </c>
      <c r="C46" s="11" t="s">
        <v>975</v>
      </c>
    </row>
    <row r="47" spans="1:3" hidden="1" x14ac:dyDescent="0.3">
      <c r="A47" t="s">
        <v>45</v>
      </c>
      <c r="B47" s="3">
        <v>46174</v>
      </c>
      <c r="C47" s="11"/>
    </row>
    <row r="48" spans="1:3" hidden="1" x14ac:dyDescent="0.3">
      <c r="A48" t="s">
        <v>45</v>
      </c>
      <c r="B48" s="3">
        <v>46204</v>
      </c>
      <c r="C48" s="11"/>
    </row>
    <row r="49" spans="1:3" hidden="1" x14ac:dyDescent="0.3">
      <c r="A49" t="s">
        <v>45</v>
      </c>
      <c r="B49" s="3">
        <v>46235</v>
      </c>
      <c r="C49" s="11"/>
    </row>
    <row r="50" spans="1:3" hidden="1" x14ac:dyDescent="0.3">
      <c r="A50" t="s">
        <v>51</v>
      </c>
      <c r="B50" s="3">
        <v>45536</v>
      </c>
      <c r="C50" s="11"/>
    </row>
    <row r="51" spans="1:3" hidden="1" x14ac:dyDescent="0.3">
      <c r="A51" t="s">
        <v>51</v>
      </c>
      <c r="B51" s="3">
        <v>45566</v>
      </c>
      <c r="C51" s="11"/>
    </row>
    <row r="52" spans="1:3" hidden="1" x14ac:dyDescent="0.3">
      <c r="A52" t="s">
        <v>51</v>
      </c>
      <c r="B52" s="3">
        <v>45597</v>
      </c>
      <c r="C52" s="11"/>
    </row>
    <row r="53" spans="1:3" hidden="1" x14ac:dyDescent="0.3">
      <c r="A53" t="s">
        <v>51</v>
      </c>
      <c r="B53" s="3">
        <v>45627</v>
      </c>
      <c r="C53" s="11"/>
    </row>
    <row r="54" spans="1:3" hidden="1" x14ac:dyDescent="0.3">
      <c r="A54" t="s">
        <v>51</v>
      </c>
      <c r="B54" s="3">
        <v>45658</v>
      </c>
      <c r="C54" s="11"/>
    </row>
    <row r="55" spans="1:3" hidden="1" x14ac:dyDescent="0.3">
      <c r="A55" t="s">
        <v>51</v>
      </c>
      <c r="B55" s="3">
        <v>45689</v>
      </c>
      <c r="C55" s="11"/>
    </row>
    <row r="56" spans="1:3" hidden="1" x14ac:dyDescent="0.3">
      <c r="A56" t="s">
        <v>51</v>
      </c>
      <c r="B56" s="3">
        <v>45717</v>
      </c>
      <c r="C56" s="11"/>
    </row>
    <row r="57" spans="1:3" hidden="1" x14ac:dyDescent="0.3">
      <c r="A57" t="s">
        <v>51</v>
      </c>
      <c r="B57" s="3">
        <v>45748</v>
      </c>
      <c r="C57" s="11"/>
    </row>
    <row r="58" spans="1:3" hidden="1" x14ac:dyDescent="0.3">
      <c r="A58" t="s">
        <v>51</v>
      </c>
      <c r="B58" s="3">
        <v>45778</v>
      </c>
      <c r="C58" s="11"/>
    </row>
    <row r="59" spans="1:3" hidden="1" x14ac:dyDescent="0.3">
      <c r="A59" t="s">
        <v>51</v>
      </c>
      <c r="B59" s="3">
        <v>45809</v>
      </c>
      <c r="C59" s="11"/>
    </row>
    <row r="60" spans="1:3" hidden="1" x14ac:dyDescent="0.3">
      <c r="A60" t="s">
        <v>51</v>
      </c>
      <c r="B60" s="3">
        <v>45839</v>
      </c>
      <c r="C60" s="11"/>
    </row>
    <row r="61" spans="1:3" hidden="1" x14ac:dyDescent="0.3">
      <c r="A61" t="s">
        <v>51</v>
      </c>
      <c r="B61" s="3">
        <v>45870</v>
      </c>
      <c r="C61" s="11"/>
    </row>
    <row r="62" spans="1:3" hidden="1" x14ac:dyDescent="0.3">
      <c r="A62" t="s">
        <v>51</v>
      </c>
      <c r="B62" s="3">
        <v>45901</v>
      </c>
      <c r="C62" s="11"/>
    </row>
    <row r="63" spans="1:3" hidden="1" x14ac:dyDescent="0.3">
      <c r="A63" t="s">
        <v>51</v>
      </c>
      <c r="B63" s="3">
        <v>45931</v>
      </c>
      <c r="C63" s="11"/>
    </row>
    <row r="64" spans="1:3" ht="43.2" hidden="1" customHeight="1" x14ac:dyDescent="0.3">
      <c r="A64" t="s">
        <v>51</v>
      </c>
      <c r="B64" s="3">
        <v>45962</v>
      </c>
      <c r="C64" s="11" t="s">
        <v>316</v>
      </c>
    </row>
    <row r="65" spans="1:3" hidden="1" x14ac:dyDescent="0.3">
      <c r="A65" t="s">
        <v>51</v>
      </c>
      <c r="B65" s="3">
        <v>45992</v>
      </c>
      <c r="C65" s="11" t="s">
        <v>317</v>
      </c>
    </row>
    <row r="66" spans="1:3" hidden="1" x14ac:dyDescent="0.3">
      <c r="A66" t="s">
        <v>51</v>
      </c>
      <c r="B66" s="3">
        <v>46023</v>
      </c>
      <c r="C66" s="11" t="s">
        <v>318</v>
      </c>
    </row>
    <row r="67" spans="1:3" hidden="1" x14ac:dyDescent="0.3">
      <c r="A67" t="s">
        <v>51</v>
      </c>
      <c r="B67" s="3">
        <v>46054</v>
      </c>
      <c r="C67" s="11" t="s">
        <v>319</v>
      </c>
    </row>
    <row r="68" spans="1:3" hidden="1" x14ac:dyDescent="0.3">
      <c r="A68" t="s">
        <v>51</v>
      </c>
      <c r="B68" s="3">
        <v>46082</v>
      </c>
      <c r="C68" s="11" t="s">
        <v>319</v>
      </c>
    </row>
    <row r="69" spans="1:3" hidden="1" x14ac:dyDescent="0.3">
      <c r="A69" t="s">
        <v>51</v>
      </c>
      <c r="B69" s="3">
        <v>46113</v>
      </c>
      <c r="C69" s="11" t="s">
        <v>320</v>
      </c>
    </row>
    <row r="70" spans="1:3" x14ac:dyDescent="0.3">
      <c r="A70" t="s">
        <v>51</v>
      </c>
      <c r="B70" s="3">
        <v>46143</v>
      </c>
      <c r="C70" s="11" t="s">
        <v>959</v>
      </c>
    </row>
    <row r="71" spans="1:3" hidden="1" x14ac:dyDescent="0.3">
      <c r="A71" t="s">
        <v>51</v>
      </c>
      <c r="B71" s="3">
        <v>46174</v>
      </c>
      <c r="C71" s="11"/>
    </row>
    <row r="72" spans="1:3" hidden="1" x14ac:dyDescent="0.3">
      <c r="A72" t="s">
        <v>51</v>
      </c>
      <c r="B72" s="3">
        <v>46204</v>
      </c>
      <c r="C72" s="11"/>
    </row>
    <row r="73" spans="1:3" hidden="1" x14ac:dyDescent="0.3">
      <c r="A73" t="s">
        <v>51</v>
      </c>
      <c r="B73" s="3">
        <v>46235</v>
      </c>
      <c r="C73" s="11"/>
    </row>
    <row r="74" spans="1:3" hidden="1" x14ac:dyDescent="0.3">
      <c r="A74" t="s">
        <v>66</v>
      </c>
      <c r="B74" s="3">
        <v>45536</v>
      </c>
      <c r="C74" s="11"/>
    </row>
    <row r="75" spans="1:3" hidden="1" x14ac:dyDescent="0.3">
      <c r="A75" t="s">
        <v>66</v>
      </c>
      <c r="B75" s="3">
        <v>45566</v>
      </c>
      <c r="C75" s="11"/>
    </row>
    <row r="76" spans="1:3" hidden="1" x14ac:dyDescent="0.3">
      <c r="A76" t="s">
        <v>66</v>
      </c>
      <c r="B76" s="3">
        <v>45597</v>
      </c>
      <c r="C76" s="11"/>
    </row>
    <row r="77" spans="1:3" hidden="1" x14ac:dyDescent="0.3">
      <c r="A77" t="s">
        <v>66</v>
      </c>
      <c r="B77" s="3">
        <v>45627</v>
      </c>
      <c r="C77" s="11"/>
    </row>
    <row r="78" spans="1:3" hidden="1" x14ac:dyDescent="0.3">
      <c r="A78" t="s">
        <v>66</v>
      </c>
      <c r="B78" s="3">
        <v>45658</v>
      </c>
      <c r="C78" s="11"/>
    </row>
    <row r="79" spans="1:3" ht="28.95" hidden="1" customHeight="1" x14ac:dyDescent="0.3">
      <c r="A79" t="s">
        <v>66</v>
      </c>
      <c r="B79" s="3">
        <v>45689</v>
      </c>
      <c r="C79" s="11" t="s">
        <v>321</v>
      </c>
    </row>
    <row r="80" spans="1:3" ht="28.95" hidden="1" customHeight="1" x14ac:dyDescent="0.3">
      <c r="A80" t="s">
        <v>66</v>
      </c>
      <c r="B80" s="3">
        <v>45717</v>
      </c>
      <c r="C80" s="11" t="s">
        <v>322</v>
      </c>
    </row>
    <row r="81" spans="1:3" hidden="1" x14ac:dyDescent="0.3">
      <c r="A81" t="s">
        <v>66</v>
      </c>
      <c r="B81" s="3">
        <v>45748</v>
      </c>
      <c r="C81" s="11" t="s">
        <v>323</v>
      </c>
    </row>
    <row r="82" spans="1:3" ht="43.2" hidden="1" customHeight="1" x14ac:dyDescent="0.3">
      <c r="A82" t="s">
        <v>66</v>
      </c>
      <c r="B82" s="3">
        <v>45778</v>
      </c>
      <c r="C82" s="11" t="s">
        <v>324</v>
      </c>
    </row>
    <row r="83" spans="1:3" ht="57.6" hidden="1" customHeight="1" x14ac:dyDescent="0.3">
      <c r="A83" t="s">
        <v>66</v>
      </c>
      <c r="B83" s="3">
        <v>45809</v>
      </c>
      <c r="C83" s="11" t="s">
        <v>325</v>
      </c>
    </row>
    <row r="84" spans="1:3" ht="43.2" hidden="1" customHeight="1" x14ac:dyDescent="0.3">
      <c r="A84" t="s">
        <v>66</v>
      </c>
      <c r="B84" s="3">
        <v>45839</v>
      </c>
      <c r="C84" s="11" t="s">
        <v>326</v>
      </c>
    </row>
    <row r="85" spans="1:3" ht="72" hidden="1" customHeight="1" x14ac:dyDescent="0.3">
      <c r="A85" t="s">
        <v>66</v>
      </c>
      <c r="B85" s="3">
        <v>45870</v>
      </c>
      <c r="C85" s="11" t="s">
        <v>327</v>
      </c>
    </row>
    <row r="86" spans="1:3" ht="43.2" hidden="1" customHeight="1" x14ac:dyDescent="0.3">
      <c r="A86" t="s">
        <v>66</v>
      </c>
      <c r="B86" s="3">
        <v>45901</v>
      </c>
      <c r="C86" s="11" t="s">
        <v>328</v>
      </c>
    </row>
    <row r="87" spans="1:3" ht="43.2" hidden="1" customHeight="1" x14ac:dyDescent="0.3">
      <c r="A87" t="s">
        <v>66</v>
      </c>
      <c r="B87" s="3">
        <v>45931</v>
      </c>
      <c r="C87" s="11" t="s">
        <v>329</v>
      </c>
    </row>
    <row r="88" spans="1:3" ht="43.2" hidden="1" customHeight="1" x14ac:dyDescent="0.3">
      <c r="A88" t="s">
        <v>66</v>
      </c>
      <c r="B88" s="3">
        <v>45962</v>
      </c>
      <c r="C88" s="11" t="s">
        <v>330</v>
      </c>
    </row>
    <row r="89" spans="1:3" hidden="1" x14ac:dyDescent="0.3">
      <c r="A89" t="s">
        <v>66</v>
      </c>
      <c r="B89" s="3">
        <v>45992</v>
      </c>
      <c r="C89" s="11" t="s">
        <v>331</v>
      </c>
    </row>
    <row r="90" spans="1:3" hidden="1" x14ac:dyDescent="0.3">
      <c r="A90" t="s">
        <v>66</v>
      </c>
      <c r="B90" s="3">
        <v>46023</v>
      </c>
      <c r="C90" s="11" t="s">
        <v>331</v>
      </c>
    </row>
    <row r="91" spans="1:3" hidden="1" x14ac:dyDescent="0.3">
      <c r="A91" t="s">
        <v>66</v>
      </c>
      <c r="B91" s="3">
        <v>46054</v>
      </c>
      <c r="C91" s="11" t="s">
        <v>332</v>
      </c>
    </row>
    <row r="92" spans="1:3" hidden="1" x14ac:dyDescent="0.3">
      <c r="A92" t="s">
        <v>66</v>
      </c>
      <c r="B92" s="3">
        <v>46082</v>
      </c>
      <c r="C92" s="11" t="s">
        <v>315</v>
      </c>
    </row>
    <row r="93" spans="1:3" hidden="1" x14ac:dyDescent="0.3">
      <c r="A93" t="s">
        <v>66</v>
      </c>
      <c r="B93" s="3">
        <v>46113</v>
      </c>
      <c r="C93" s="11" t="s">
        <v>315</v>
      </c>
    </row>
    <row r="94" spans="1:3" x14ac:dyDescent="0.3">
      <c r="A94" t="s">
        <v>66</v>
      </c>
      <c r="B94" s="3">
        <v>46143</v>
      </c>
      <c r="C94" s="11" t="s">
        <v>958</v>
      </c>
    </row>
    <row r="95" spans="1:3" hidden="1" x14ac:dyDescent="0.3">
      <c r="A95" t="s">
        <v>66</v>
      </c>
      <c r="B95" s="3">
        <v>46174</v>
      </c>
      <c r="C95" s="11"/>
    </row>
    <row r="96" spans="1:3" hidden="1" x14ac:dyDescent="0.3">
      <c r="A96" t="s">
        <v>66</v>
      </c>
      <c r="B96" s="3">
        <v>46204</v>
      </c>
      <c r="C96" s="11"/>
    </row>
    <row r="97" spans="1:3" hidden="1" x14ac:dyDescent="0.3">
      <c r="A97" t="s">
        <v>66</v>
      </c>
      <c r="B97" s="3">
        <v>46235</v>
      </c>
      <c r="C97" s="11"/>
    </row>
    <row r="98" spans="1:3" hidden="1" x14ac:dyDescent="0.3">
      <c r="A98" t="s">
        <v>57</v>
      </c>
      <c r="B98" s="3">
        <v>45536</v>
      </c>
      <c r="C98" s="11" t="s">
        <v>333</v>
      </c>
    </row>
    <row r="99" spans="1:3" hidden="1" x14ac:dyDescent="0.3">
      <c r="A99" t="s">
        <v>57</v>
      </c>
      <c r="B99" s="3">
        <v>45566</v>
      </c>
      <c r="C99" s="11"/>
    </row>
    <row r="100" spans="1:3" hidden="1" x14ac:dyDescent="0.3">
      <c r="A100" t="s">
        <v>57</v>
      </c>
      <c r="B100" s="3">
        <v>45597</v>
      </c>
      <c r="C100" s="11"/>
    </row>
    <row r="101" spans="1:3" hidden="1" x14ac:dyDescent="0.3">
      <c r="A101" t="s">
        <v>57</v>
      </c>
      <c r="B101" s="3">
        <v>45627</v>
      </c>
      <c r="C101" s="11"/>
    </row>
    <row r="102" spans="1:3" hidden="1" x14ac:dyDescent="0.3">
      <c r="A102" t="s">
        <v>57</v>
      </c>
      <c r="B102" s="3">
        <v>45658</v>
      </c>
      <c r="C102" s="11"/>
    </row>
    <row r="103" spans="1:3" ht="72" hidden="1" customHeight="1" x14ac:dyDescent="0.3">
      <c r="A103" t="s">
        <v>57</v>
      </c>
      <c r="B103" s="3">
        <v>45689</v>
      </c>
      <c r="C103" s="11" t="s">
        <v>334</v>
      </c>
    </row>
    <row r="104" spans="1:3" ht="86.4" hidden="1" customHeight="1" x14ac:dyDescent="0.3">
      <c r="A104" t="s">
        <v>57</v>
      </c>
      <c r="B104" s="3">
        <v>45717</v>
      </c>
      <c r="C104" s="11" t="s">
        <v>335</v>
      </c>
    </row>
    <row r="105" spans="1:3" ht="72" hidden="1" customHeight="1" x14ac:dyDescent="0.3">
      <c r="A105" t="s">
        <v>57</v>
      </c>
      <c r="B105" s="3">
        <v>45748</v>
      </c>
      <c r="C105" s="11" t="s">
        <v>336</v>
      </c>
    </row>
    <row r="106" spans="1:3" ht="72" hidden="1" customHeight="1" x14ac:dyDescent="0.3">
      <c r="A106" t="s">
        <v>57</v>
      </c>
      <c r="B106" s="3">
        <v>45778</v>
      </c>
      <c r="C106" s="11" t="s">
        <v>337</v>
      </c>
    </row>
    <row r="107" spans="1:3" ht="57.6" hidden="1" customHeight="1" x14ac:dyDescent="0.3">
      <c r="A107" t="s">
        <v>57</v>
      </c>
      <c r="B107" s="3">
        <v>45809</v>
      </c>
      <c r="C107" s="11" t="s">
        <v>338</v>
      </c>
    </row>
    <row r="108" spans="1:3" ht="72" hidden="1" customHeight="1" x14ac:dyDescent="0.3">
      <c r="A108" t="s">
        <v>57</v>
      </c>
      <c r="B108" s="3">
        <v>45839</v>
      </c>
      <c r="C108" s="11" t="s">
        <v>339</v>
      </c>
    </row>
    <row r="109" spans="1:3" ht="57.6" hidden="1" customHeight="1" x14ac:dyDescent="0.3">
      <c r="A109" t="s">
        <v>57</v>
      </c>
      <c r="B109" s="3">
        <v>45870</v>
      </c>
      <c r="C109" s="11" t="s">
        <v>340</v>
      </c>
    </row>
    <row r="110" spans="1:3" ht="72" hidden="1" customHeight="1" x14ac:dyDescent="0.3">
      <c r="A110" t="s">
        <v>57</v>
      </c>
      <c r="B110" s="3">
        <v>45901</v>
      </c>
      <c r="C110" s="11" t="s">
        <v>341</v>
      </c>
    </row>
    <row r="111" spans="1:3" ht="86.4" hidden="1" customHeight="1" x14ac:dyDescent="0.3">
      <c r="A111" t="s">
        <v>57</v>
      </c>
      <c r="B111" s="3">
        <v>45931</v>
      </c>
      <c r="C111" s="11" t="s">
        <v>342</v>
      </c>
    </row>
    <row r="112" spans="1:3" ht="57.6" hidden="1" customHeight="1" x14ac:dyDescent="0.3">
      <c r="A112" t="s">
        <v>57</v>
      </c>
      <c r="B112" s="3">
        <v>45962</v>
      </c>
      <c r="C112" s="11" t="s">
        <v>343</v>
      </c>
    </row>
    <row r="113" spans="1:3" hidden="1" x14ac:dyDescent="0.3">
      <c r="A113" t="s">
        <v>57</v>
      </c>
      <c r="B113" s="3">
        <v>45992</v>
      </c>
      <c r="C113" s="11" t="s">
        <v>344</v>
      </c>
    </row>
    <row r="114" spans="1:3" hidden="1" x14ac:dyDescent="0.3">
      <c r="A114" t="s">
        <v>57</v>
      </c>
      <c r="B114" s="3">
        <v>46023</v>
      </c>
      <c r="C114" s="11" t="s">
        <v>345</v>
      </c>
    </row>
    <row r="115" spans="1:3" hidden="1" x14ac:dyDescent="0.3">
      <c r="A115" t="s">
        <v>57</v>
      </c>
      <c r="B115" s="3">
        <v>46054</v>
      </c>
      <c r="C115" s="11" t="s">
        <v>332</v>
      </c>
    </row>
    <row r="116" spans="1:3" hidden="1" x14ac:dyDescent="0.3">
      <c r="A116" t="s">
        <v>57</v>
      </c>
      <c r="B116" s="3">
        <v>46082</v>
      </c>
      <c r="C116" s="11" t="s">
        <v>315</v>
      </c>
    </row>
    <row r="117" spans="1:3" hidden="1" x14ac:dyDescent="0.3">
      <c r="A117" t="s">
        <v>57</v>
      </c>
      <c r="B117" s="3">
        <v>46113</v>
      </c>
      <c r="C117" s="11" t="s">
        <v>315</v>
      </c>
    </row>
    <row r="118" spans="1:3" x14ac:dyDescent="0.3">
      <c r="A118" t="s">
        <v>57</v>
      </c>
      <c r="B118" s="3">
        <v>46143</v>
      </c>
      <c r="C118" s="11" t="s">
        <v>958</v>
      </c>
    </row>
    <row r="119" spans="1:3" hidden="1" x14ac:dyDescent="0.3">
      <c r="A119" t="s">
        <v>57</v>
      </c>
      <c r="B119" s="3">
        <v>46174</v>
      </c>
      <c r="C119" s="11"/>
    </row>
    <row r="120" spans="1:3" hidden="1" x14ac:dyDescent="0.3">
      <c r="A120" t="s">
        <v>57</v>
      </c>
      <c r="B120" s="3">
        <v>46204</v>
      </c>
      <c r="C120" s="11"/>
    </row>
    <row r="121" spans="1:3" hidden="1" x14ac:dyDescent="0.3">
      <c r="A121" t="s">
        <v>57</v>
      </c>
      <c r="B121" s="3">
        <v>46235</v>
      </c>
      <c r="C121" s="11"/>
    </row>
    <row r="122" spans="1:3" hidden="1" x14ac:dyDescent="0.3">
      <c r="A122" t="s">
        <v>62</v>
      </c>
      <c r="B122" s="3">
        <v>45536</v>
      </c>
      <c r="C122" s="11"/>
    </row>
    <row r="123" spans="1:3" hidden="1" x14ac:dyDescent="0.3">
      <c r="A123" t="s">
        <v>62</v>
      </c>
      <c r="B123" s="3">
        <v>45566</v>
      </c>
      <c r="C123" s="11"/>
    </row>
    <row r="124" spans="1:3" hidden="1" x14ac:dyDescent="0.3">
      <c r="A124" t="s">
        <v>62</v>
      </c>
      <c r="B124" s="3">
        <v>45597</v>
      </c>
      <c r="C124" s="11"/>
    </row>
    <row r="125" spans="1:3" hidden="1" x14ac:dyDescent="0.3">
      <c r="A125" t="s">
        <v>62</v>
      </c>
      <c r="B125" s="3">
        <v>45627</v>
      </c>
      <c r="C125" s="11"/>
    </row>
    <row r="126" spans="1:3" hidden="1" x14ac:dyDescent="0.3">
      <c r="A126" t="s">
        <v>62</v>
      </c>
      <c r="B126" s="3">
        <v>45658</v>
      </c>
      <c r="C126" s="11"/>
    </row>
    <row r="127" spans="1:3" ht="28.95" hidden="1" customHeight="1" x14ac:dyDescent="0.3">
      <c r="A127" t="s">
        <v>62</v>
      </c>
      <c r="B127" s="3">
        <v>45689</v>
      </c>
      <c r="C127" s="11" t="s">
        <v>346</v>
      </c>
    </row>
    <row r="128" spans="1:3" ht="57.6" hidden="1" customHeight="1" x14ac:dyDescent="0.3">
      <c r="A128" t="s">
        <v>62</v>
      </c>
      <c r="B128" s="3">
        <v>45717</v>
      </c>
      <c r="C128" s="11" t="s">
        <v>347</v>
      </c>
    </row>
    <row r="129" spans="1:3" ht="86.4" hidden="1" customHeight="1" x14ac:dyDescent="0.3">
      <c r="A129" t="s">
        <v>62</v>
      </c>
      <c r="B129" s="3">
        <v>45748</v>
      </c>
      <c r="C129" s="11" t="s">
        <v>348</v>
      </c>
    </row>
    <row r="130" spans="1:3" ht="72" hidden="1" customHeight="1" x14ac:dyDescent="0.3">
      <c r="A130" t="s">
        <v>62</v>
      </c>
      <c r="B130" s="3">
        <v>45778</v>
      </c>
      <c r="C130" s="11" t="s">
        <v>349</v>
      </c>
    </row>
    <row r="131" spans="1:3" ht="72" hidden="1" customHeight="1" x14ac:dyDescent="0.3">
      <c r="A131" t="s">
        <v>62</v>
      </c>
      <c r="B131" s="3">
        <v>45809</v>
      </c>
      <c r="C131" s="11" t="s">
        <v>350</v>
      </c>
    </row>
    <row r="132" spans="1:3" ht="72" hidden="1" customHeight="1" x14ac:dyDescent="0.3">
      <c r="A132" t="s">
        <v>62</v>
      </c>
      <c r="B132" s="3">
        <v>45839</v>
      </c>
      <c r="C132" s="11" t="s">
        <v>351</v>
      </c>
    </row>
    <row r="133" spans="1:3" ht="72" hidden="1" customHeight="1" x14ac:dyDescent="0.3">
      <c r="A133" t="s">
        <v>62</v>
      </c>
      <c r="B133" s="3">
        <v>45870</v>
      </c>
      <c r="C133" s="11" t="s">
        <v>352</v>
      </c>
    </row>
    <row r="134" spans="1:3" ht="57.6" hidden="1" customHeight="1" x14ac:dyDescent="0.3">
      <c r="A134" t="s">
        <v>62</v>
      </c>
      <c r="B134" s="3">
        <v>45901</v>
      </c>
      <c r="C134" s="11" t="s">
        <v>353</v>
      </c>
    </row>
    <row r="135" spans="1:3" ht="57.6" hidden="1" customHeight="1" x14ac:dyDescent="0.3">
      <c r="A135" t="s">
        <v>62</v>
      </c>
      <c r="B135" s="3">
        <v>45931</v>
      </c>
      <c r="C135" s="11" t="s">
        <v>354</v>
      </c>
    </row>
    <row r="136" spans="1:3" ht="57.6" hidden="1" customHeight="1" x14ac:dyDescent="0.3">
      <c r="A136" t="s">
        <v>62</v>
      </c>
      <c r="B136" s="3">
        <v>45962</v>
      </c>
      <c r="C136" s="11" t="s">
        <v>355</v>
      </c>
    </row>
    <row r="137" spans="1:3" hidden="1" x14ac:dyDescent="0.3">
      <c r="A137" t="s">
        <v>62</v>
      </c>
      <c r="B137" s="3">
        <v>45992</v>
      </c>
      <c r="C137" s="11" t="s">
        <v>344</v>
      </c>
    </row>
    <row r="138" spans="1:3" hidden="1" x14ac:dyDescent="0.3">
      <c r="A138" t="s">
        <v>62</v>
      </c>
      <c r="B138" s="3">
        <v>46023</v>
      </c>
      <c r="C138" s="11" t="s">
        <v>356</v>
      </c>
    </row>
    <row r="139" spans="1:3" hidden="1" x14ac:dyDescent="0.3">
      <c r="A139" t="s">
        <v>62</v>
      </c>
      <c r="B139" s="3">
        <v>46054</v>
      </c>
      <c r="C139" s="11" t="s">
        <v>344</v>
      </c>
    </row>
    <row r="140" spans="1:3" hidden="1" x14ac:dyDescent="0.3">
      <c r="A140" t="s">
        <v>62</v>
      </c>
      <c r="B140" s="3">
        <v>46082</v>
      </c>
      <c r="C140" s="11" t="s">
        <v>357</v>
      </c>
    </row>
    <row r="141" spans="1:3" hidden="1" x14ac:dyDescent="0.3">
      <c r="A141" t="s">
        <v>62</v>
      </c>
      <c r="B141" s="3">
        <v>46113</v>
      </c>
      <c r="C141" s="11" t="s">
        <v>357</v>
      </c>
    </row>
    <row r="142" spans="1:3" x14ac:dyDescent="0.3">
      <c r="A142" t="s">
        <v>62</v>
      </c>
      <c r="B142" s="3">
        <v>46143</v>
      </c>
      <c r="C142" s="11" t="s">
        <v>976</v>
      </c>
    </row>
    <row r="143" spans="1:3" hidden="1" x14ac:dyDescent="0.3">
      <c r="A143" t="s">
        <v>62</v>
      </c>
      <c r="B143" s="3">
        <v>46174</v>
      </c>
      <c r="C143" s="11"/>
    </row>
    <row r="144" spans="1:3" hidden="1" x14ac:dyDescent="0.3">
      <c r="A144" t="s">
        <v>62</v>
      </c>
      <c r="B144" s="3">
        <v>46204</v>
      </c>
      <c r="C144" s="11"/>
    </row>
    <row r="145" spans="1:3" hidden="1" x14ac:dyDescent="0.3">
      <c r="A145" t="s">
        <v>62</v>
      </c>
      <c r="B145" s="3">
        <v>46235</v>
      </c>
      <c r="C145" s="11"/>
    </row>
    <row r="146" spans="1:3" hidden="1" x14ac:dyDescent="0.3">
      <c r="A146" t="s">
        <v>63</v>
      </c>
      <c r="B146" s="3">
        <v>45536</v>
      </c>
      <c r="C146" s="11"/>
    </row>
    <row r="147" spans="1:3" hidden="1" x14ac:dyDescent="0.3">
      <c r="A147" t="s">
        <v>63</v>
      </c>
      <c r="B147" s="3">
        <v>45566</v>
      </c>
      <c r="C147" s="11"/>
    </row>
    <row r="148" spans="1:3" hidden="1" x14ac:dyDescent="0.3">
      <c r="A148" t="s">
        <v>63</v>
      </c>
      <c r="B148" s="3">
        <v>45597</v>
      </c>
      <c r="C148" s="11"/>
    </row>
    <row r="149" spans="1:3" hidden="1" x14ac:dyDescent="0.3">
      <c r="A149" t="s">
        <v>63</v>
      </c>
      <c r="B149" s="3">
        <v>45627</v>
      </c>
      <c r="C149" s="11"/>
    </row>
    <row r="150" spans="1:3" hidden="1" x14ac:dyDescent="0.3">
      <c r="A150" t="s">
        <v>63</v>
      </c>
      <c r="B150" s="3">
        <v>45658</v>
      </c>
      <c r="C150" s="11"/>
    </row>
    <row r="151" spans="1:3" ht="43.2" hidden="1" customHeight="1" x14ac:dyDescent="0.3">
      <c r="A151" t="s">
        <v>63</v>
      </c>
      <c r="B151" s="3">
        <v>45689</v>
      </c>
      <c r="C151" s="11" t="s">
        <v>358</v>
      </c>
    </row>
    <row r="152" spans="1:3" ht="57.6" hidden="1" customHeight="1" x14ac:dyDescent="0.3">
      <c r="A152" t="s">
        <v>63</v>
      </c>
      <c r="B152" s="3">
        <v>45717</v>
      </c>
      <c r="C152" s="11" t="s">
        <v>359</v>
      </c>
    </row>
    <row r="153" spans="1:3" ht="28.95" hidden="1" customHeight="1" x14ac:dyDescent="0.3">
      <c r="A153" t="s">
        <v>63</v>
      </c>
      <c r="B153" s="3">
        <v>45748</v>
      </c>
      <c r="C153" s="11" t="s">
        <v>360</v>
      </c>
    </row>
    <row r="154" spans="1:3" ht="57.6" hidden="1" customHeight="1" x14ac:dyDescent="0.3">
      <c r="A154" t="s">
        <v>63</v>
      </c>
      <c r="B154" s="3">
        <v>45778</v>
      </c>
      <c r="C154" s="11" t="s">
        <v>361</v>
      </c>
    </row>
    <row r="155" spans="1:3" ht="72" hidden="1" customHeight="1" x14ac:dyDescent="0.3">
      <c r="A155" t="s">
        <v>63</v>
      </c>
      <c r="B155" s="3">
        <v>45809</v>
      </c>
      <c r="C155" s="11" t="s">
        <v>362</v>
      </c>
    </row>
    <row r="156" spans="1:3" ht="57.6" hidden="1" customHeight="1" x14ac:dyDescent="0.3">
      <c r="A156" t="s">
        <v>63</v>
      </c>
      <c r="B156" s="3">
        <v>45839</v>
      </c>
      <c r="C156" s="11" t="s">
        <v>363</v>
      </c>
    </row>
    <row r="157" spans="1:3" ht="72" hidden="1" customHeight="1" x14ac:dyDescent="0.3">
      <c r="A157" t="s">
        <v>63</v>
      </c>
      <c r="B157" s="3">
        <v>45870</v>
      </c>
      <c r="C157" s="11" t="s">
        <v>364</v>
      </c>
    </row>
    <row r="158" spans="1:3" ht="57.6" hidden="1" customHeight="1" x14ac:dyDescent="0.3">
      <c r="A158" t="s">
        <v>63</v>
      </c>
      <c r="B158" s="3">
        <v>45901</v>
      </c>
      <c r="C158" s="11" t="s">
        <v>365</v>
      </c>
    </row>
    <row r="159" spans="1:3" ht="57.6" hidden="1" customHeight="1" x14ac:dyDescent="0.3">
      <c r="A159" t="s">
        <v>63</v>
      </c>
      <c r="B159" s="3">
        <v>45931</v>
      </c>
      <c r="C159" s="11" t="s">
        <v>366</v>
      </c>
    </row>
    <row r="160" spans="1:3" ht="57.6" hidden="1" customHeight="1" x14ac:dyDescent="0.3">
      <c r="A160" t="s">
        <v>63</v>
      </c>
      <c r="B160" s="3">
        <v>45962</v>
      </c>
      <c r="C160" s="11" t="s">
        <v>367</v>
      </c>
    </row>
    <row r="161" spans="1:3" hidden="1" x14ac:dyDescent="0.3">
      <c r="A161" t="s">
        <v>63</v>
      </c>
      <c r="B161" s="3">
        <v>45992</v>
      </c>
      <c r="C161" s="11" t="s">
        <v>344</v>
      </c>
    </row>
    <row r="162" spans="1:3" hidden="1" x14ac:dyDescent="0.3">
      <c r="A162" t="s">
        <v>63</v>
      </c>
      <c r="B162" s="3">
        <v>46023</v>
      </c>
      <c r="C162" s="11" t="s">
        <v>356</v>
      </c>
    </row>
    <row r="163" spans="1:3" hidden="1" x14ac:dyDescent="0.3">
      <c r="A163" t="s">
        <v>63</v>
      </c>
      <c r="B163" s="3">
        <v>46054</v>
      </c>
      <c r="C163" s="11" t="s">
        <v>332</v>
      </c>
    </row>
    <row r="164" spans="1:3" hidden="1" x14ac:dyDescent="0.3">
      <c r="A164" t="s">
        <v>63</v>
      </c>
      <c r="B164" s="3">
        <v>46082</v>
      </c>
      <c r="C164" s="11" t="s">
        <v>356</v>
      </c>
    </row>
    <row r="165" spans="1:3" hidden="1" x14ac:dyDescent="0.3">
      <c r="A165" t="s">
        <v>63</v>
      </c>
      <c r="B165" s="3">
        <v>46113</v>
      </c>
      <c r="C165" s="11" t="s">
        <v>320</v>
      </c>
    </row>
    <row r="166" spans="1:3" x14ac:dyDescent="0.3">
      <c r="A166" t="s">
        <v>63</v>
      </c>
      <c r="B166" s="3">
        <v>46143</v>
      </c>
      <c r="C166" s="11" t="s">
        <v>320</v>
      </c>
    </row>
    <row r="167" spans="1:3" hidden="1" x14ac:dyDescent="0.3">
      <c r="A167" t="s">
        <v>63</v>
      </c>
      <c r="B167" s="3">
        <v>46174</v>
      </c>
      <c r="C167" s="11"/>
    </row>
    <row r="168" spans="1:3" hidden="1" x14ac:dyDescent="0.3">
      <c r="A168" t="s">
        <v>63</v>
      </c>
      <c r="B168" s="3">
        <v>46204</v>
      </c>
      <c r="C168" s="11"/>
    </row>
    <row r="169" spans="1:3" hidden="1" x14ac:dyDescent="0.3">
      <c r="A169" t="s">
        <v>63</v>
      </c>
      <c r="B169" s="3">
        <v>46235</v>
      </c>
      <c r="C169" s="11"/>
    </row>
    <row r="170" spans="1:3" hidden="1" x14ac:dyDescent="0.3">
      <c r="A170" t="s">
        <v>68</v>
      </c>
      <c r="B170" s="3">
        <v>45536</v>
      </c>
      <c r="C170" s="11"/>
    </row>
    <row r="171" spans="1:3" hidden="1" x14ac:dyDescent="0.3">
      <c r="A171" t="s">
        <v>68</v>
      </c>
      <c r="B171" s="3">
        <v>45566</v>
      </c>
      <c r="C171" s="11"/>
    </row>
    <row r="172" spans="1:3" hidden="1" x14ac:dyDescent="0.3">
      <c r="A172" t="s">
        <v>68</v>
      </c>
      <c r="B172" s="3">
        <v>45597</v>
      </c>
      <c r="C172" s="11"/>
    </row>
    <row r="173" spans="1:3" hidden="1" x14ac:dyDescent="0.3">
      <c r="A173" t="s">
        <v>68</v>
      </c>
      <c r="B173" s="3">
        <v>45627</v>
      </c>
      <c r="C173" s="11"/>
    </row>
    <row r="174" spans="1:3" hidden="1" x14ac:dyDescent="0.3">
      <c r="A174" t="s">
        <v>68</v>
      </c>
      <c r="B174" s="3">
        <v>45658</v>
      </c>
      <c r="C174" s="11"/>
    </row>
    <row r="175" spans="1:3" ht="28.95" hidden="1" customHeight="1" x14ac:dyDescent="0.3">
      <c r="A175" t="s">
        <v>68</v>
      </c>
      <c r="B175" s="3">
        <v>45689</v>
      </c>
      <c r="C175" s="11" t="s">
        <v>368</v>
      </c>
    </row>
    <row r="176" spans="1:3" ht="28.95" hidden="1" customHeight="1" x14ac:dyDescent="0.3">
      <c r="A176" t="s">
        <v>68</v>
      </c>
      <c r="B176" s="3">
        <v>45717</v>
      </c>
      <c r="C176" s="11" t="s">
        <v>368</v>
      </c>
    </row>
    <row r="177" spans="1:3" ht="28.95" hidden="1" customHeight="1" x14ac:dyDescent="0.3">
      <c r="A177" t="s">
        <v>68</v>
      </c>
      <c r="B177" s="3">
        <v>45748</v>
      </c>
      <c r="C177" s="11" t="s">
        <v>368</v>
      </c>
    </row>
    <row r="178" spans="1:3" ht="28.95" hidden="1" customHeight="1" x14ac:dyDescent="0.3">
      <c r="A178" t="s">
        <v>68</v>
      </c>
      <c r="B178" s="3">
        <v>45778</v>
      </c>
      <c r="C178" s="11" t="s">
        <v>368</v>
      </c>
    </row>
    <row r="179" spans="1:3" ht="28.95" hidden="1" customHeight="1" x14ac:dyDescent="0.3">
      <c r="A179" t="s">
        <v>68</v>
      </c>
      <c r="B179" s="3">
        <v>45809</v>
      </c>
      <c r="C179" s="11" t="s">
        <v>368</v>
      </c>
    </row>
    <row r="180" spans="1:3" ht="28.95" hidden="1" customHeight="1" x14ac:dyDescent="0.3">
      <c r="A180" t="s">
        <v>68</v>
      </c>
      <c r="B180" s="3">
        <v>45839</v>
      </c>
      <c r="C180" s="11" t="s">
        <v>368</v>
      </c>
    </row>
    <row r="181" spans="1:3" ht="28.95" hidden="1" customHeight="1" x14ac:dyDescent="0.3">
      <c r="A181" t="s">
        <v>68</v>
      </c>
      <c r="B181" s="3">
        <v>45870</v>
      </c>
      <c r="C181" s="11" t="s">
        <v>368</v>
      </c>
    </row>
    <row r="182" spans="1:3" ht="28.95" hidden="1" customHeight="1" x14ac:dyDescent="0.3">
      <c r="A182" t="s">
        <v>68</v>
      </c>
      <c r="B182" s="3">
        <v>45901</v>
      </c>
      <c r="C182" s="11" t="s">
        <v>369</v>
      </c>
    </row>
    <row r="183" spans="1:3" ht="43.2" hidden="1" customHeight="1" x14ac:dyDescent="0.3">
      <c r="A183" t="s">
        <v>68</v>
      </c>
      <c r="B183" s="3">
        <v>45931</v>
      </c>
      <c r="C183" s="11" t="s">
        <v>370</v>
      </c>
    </row>
    <row r="184" spans="1:3" hidden="1" x14ac:dyDescent="0.3">
      <c r="A184" t="s">
        <v>68</v>
      </c>
      <c r="B184" s="3">
        <v>45962</v>
      </c>
      <c r="C184" s="11" t="s">
        <v>371</v>
      </c>
    </row>
    <row r="185" spans="1:3" hidden="1" x14ac:dyDescent="0.3">
      <c r="A185" t="s">
        <v>68</v>
      </c>
      <c r="B185" s="3">
        <v>45992</v>
      </c>
      <c r="C185" s="11" t="s">
        <v>371</v>
      </c>
    </row>
    <row r="186" spans="1:3" hidden="1" x14ac:dyDescent="0.3">
      <c r="A186" t="s">
        <v>68</v>
      </c>
      <c r="B186" s="3">
        <v>46023</v>
      </c>
      <c r="C186" s="11" t="s">
        <v>371</v>
      </c>
    </row>
    <row r="187" spans="1:3" hidden="1" x14ac:dyDescent="0.3">
      <c r="A187" t="s">
        <v>68</v>
      </c>
      <c r="B187" s="3">
        <v>46054</v>
      </c>
      <c r="C187" s="11" t="s">
        <v>371</v>
      </c>
    </row>
    <row r="188" spans="1:3" hidden="1" x14ac:dyDescent="0.3">
      <c r="A188" t="s">
        <v>68</v>
      </c>
      <c r="B188" s="3">
        <v>46082</v>
      </c>
      <c r="C188" s="11" t="s">
        <v>371</v>
      </c>
    </row>
    <row r="189" spans="1:3" hidden="1" x14ac:dyDescent="0.3">
      <c r="A189" t="s">
        <v>68</v>
      </c>
      <c r="B189" s="3">
        <v>46113</v>
      </c>
      <c r="C189" s="11" t="s">
        <v>371</v>
      </c>
    </row>
    <row r="190" spans="1:3" x14ac:dyDescent="0.3">
      <c r="A190" t="s">
        <v>68</v>
      </c>
      <c r="B190" s="3">
        <v>46143</v>
      </c>
      <c r="C190" s="11" t="s">
        <v>960</v>
      </c>
    </row>
    <row r="191" spans="1:3" hidden="1" x14ac:dyDescent="0.3">
      <c r="A191" t="s">
        <v>68</v>
      </c>
      <c r="B191" s="3">
        <v>46174</v>
      </c>
      <c r="C191" s="11"/>
    </row>
    <row r="192" spans="1:3" hidden="1" x14ac:dyDescent="0.3">
      <c r="A192" t="s">
        <v>68</v>
      </c>
      <c r="B192" s="3">
        <v>46204</v>
      </c>
      <c r="C192" s="11"/>
    </row>
    <row r="193" spans="1:3" hidden="1" x14ac:dyDescent="0.3">
      <c r="A193" t="s">
        <v>68</v>
      </c>
      <c r="B193" s="3">
        <v>46235</v>
      </c>
      <c r="C193" s="11"/>
    </row>
    <row r="194" spans="1:3" hidden="1" x14ac:dyDescent="0.3">
      <c r="A194" t="s">
        <v>74</v>
      </c>
      <c r="B194" s="3">
        <v>45536</v>
      </c>
      <c r="C194" s="11"/>
    </row>
    <row r="195" spans="1:3" hidden="1" x14ac:dyDescent="0.3">
      <c r="A195" t="s">
        <v>74</v>
      </c>
      <c r="B195" s="3">
        <v>45566</v>
      </c>
      <c r="C195" s="11"/>
    </row>
    <row r="196" spans="1:3" hidden="1" x14ac:dyDescent="0.3">
      <c r="A196" t="s">
        <v>74</v>
      </c>
      <c r="B196" s="3">
        <v>45597</v>
      </c>
      <c r="C196" s="11"/>
    </row>
    <row r="197" spans="1:3" hidden="1" x14ac:dyDescent="0.3">
      <c r="A197" t="s">
        <v>74</v>
      </c>
      <c r="B197" s="3">
        <v>45627</v>
      </c>
      <c r="C197" s="11"/>
    </row>
    <row r="198" spans="1:3" hidden="1" x14ac:dyDescent="0.3">
      <c r="A198" t="s">
        <v>74</v>
      </c>
      <c r="B198" s="3">
        <v>45658</v>
      </c>
      <c r="C198" s="11"/>
    </row>
    <row r="199" spans="1:3" ht="28.95" hidden="1" customHeight="1" x14ac:dyDescent="0.3">
      <c r="A199" t="s">
        <v>74</v>
      </c>
      <c r="B199" s="3">
        <v>45689</v>
      </c>
      <c r="C199" s="11" t="s">
        <v>372</v>
      </c>
    </row>
    <row r="200" spans="1:3" ht="28.95" hidden="1" customHeight="1" x14ac:dyDescent="0.3">
      <c r="A200" t="s">
        <v>74</v>
      </c>
      <c r="B200" s="3">
        <v>45717</v>
      </c>
      <c r="C200" s="11" t="s">
        <v>373</v>
      </c>
    </row>
    <row r="201" spans="1:3" ht="28.95" hidden="1" customHeight="1" x14ac:dyDescent="0.3">
      <c r="A201" t="s">
        <v>74</v>
      </c>
      <c r="B201" s="3">
        <v>45748</v>
      </c>
      <c r="C201" s="11" t="s">
        <v>374</v>
      </c>
    </row>
    <row r="202" spans="1:3" ht="43.2" hidden="1" customHeight="1" x14ac:dyDescent="0.3">
      <c r="A202" t="s">
        <v>74</v>
      </c>
      <c r="B202" s="3">
        <v>45778</v>
      </c>
      <c r="C202" s="11" t="s">
        <v>375</v>
      </c>
    </row>
    <row r="203" spans="1:3" ht="72" hidden="1" customHeight="1" x14ac:dyDescent="0.3">
      <c r="A203" t="s">
        <v>74</v>
      </c>
      <c r="B203" s="3">
        <v>45809</v>
      </c>
      <c r="C203" s="11" t="s">
        <v>376</v>
      </c>
    </row>
    <row r="204" spans="1:3" ht="72" hidden="1" customHeight="1" x14ac:dyDescent="0.3">
      <c r="A204" t="s">
        <v>74</v>
      </c>
      <c r="B204" s="3">
        <v>45839</v>
      </c>
      <c r="C204" s="11" t="s">
        <v>377</v>
      </c>
    </row>
    <row r="205" spans="1:3" ht="72" hidden="1" customHeight="1" x14ac:dyDescent="0.3">
      <c r="A205" t="s">
        <v>74</v>
      </c>
      <c r="B205" s="3">
        <v>45870</v>
      </c>
      <c r="C205" s="11" t="s">
        <v>378</v>
      </c>
    </row>
    <row r="206" spans="1:3" ht="57.6" hidden="1" customHeight="1" x14ac:dyDescent="0.3">
      <c r="A206" t="s">
        <v>74</v>
      </c>
      <c r="B206" s="3">
        <v>45901</v>
      </c>
      <c r="C206" s="11" t="s">
        <v>379</v>
      </c>
    </row>
    <row r="207" spans="1:3" ht="57.6" hidden="1" customHeight="1" x14ac:dyDescent="0.3">
      <c r="A207" t="s">
        <v>74</v>
      </c>
      <c r="B207" s="3">
        <v>45931</v>
      </c>
      <c r="C207" s="11" t="s">
        <v>380</v>
      </c>
    </row>
    <row r="208" spans="1:3" ht="57.6" hidden="1" customHeight="1" x14ac:dyDescent="0.3">
      <c r="A208" t="s">
        <v>74</v>
      </c>
      <c r="B208" s="3">
        <v>45962</v>
      </c>
      <c r="C208" s="11" t="s">
        <v>381</v>
      </c>
    </row>
    <row r="209" spans="1:3" hidden="1" x14ac:dyDescent="0.3">
      <c r="A209" t="s">
        <v>74</v>
      </c>
      <c r="B209" s="3">
        <v>45992</v>
      </c>
      <c r="C209" s="11" t="s">
        <v>382</v>
      </c>
    </row>
    <row r="210" spans="1:3" hidden="1" x14ac:dyDescent="0.3">
      <c r="A210" t="s">
        <v>74</v>
      </c>
      <c r="B210" s="3">
        <v>46023</v>
      </c>
      <c r="C210" s="11" t="s">
        <v>356</v>
      </c>
    </row>
    <row r="211" spans="1:3" hidden="1" x14ac:dyDescent="0.3">
      <c r="A211" t="s">
        <v>74</v>
      </c>
      <c r="B211" s="3">
        <v>46054</v>
      </c>
      <c r="C211" s="11" t="s">
        <v>344</v>
      </c>
    </row>
    <row r="212" spans="1:3" hidden="1" x14ac:dyDescent="0.3">
      <c r="A212" t="s">
        <v>74</v>
      </c>
      <c r="B212" s="3">
        <v>46082</v>
      </c>
      <c r="C212" s="11" t="s">
        <v>344</v>
      </c>
    </row>
    <row r="213" spans="1:3" hidden="1" x14ac:dyDescent="0.3">
      <c r="A213" t="s">
        <v>74</v>
      </c>
      <c r="B213" s="3">
        <v>46113</v>
      </c>
      <c r="C213" s="11" t="s">
        <v>320</v>
      </c>
    </row>
    <row r="214" spans="1:3" x14ac:dyDescent="0.3">
      <c r="A214" t="s">
        <v>74</v>
      </c>
      <c r="B214" s="3">
        <v>46143</v>
      </c>
      <c r="C214" s="11" t="s">
        <v>320</v>
      </c>
    </row>
    <row r="215" spans="1:3" hidden="1" x14ac:dyDescent="0.3">
      <c r="A215" t="s">
        <v>74</v>
      </c>
      <c r="B215" s="3">
        <v>46174</v>
      </c>
      <c r="C215" s="11"/>
    </row>
    <row r="216" spans="1:3" hidden="1" x14ac:dyDescent="0.3">
      <c r="A216" t="s">
        <v>74</v>
      </c>
      <c r="B216" s="3">
        <v>46204</v>
      </c>
      <c r="C216" s="11"/>
    </row>
    <row r="217" spans="1:3" hidden="1" x14ac:dyDescent="0.3">
      <c r="A217" t="s">
        <v>74</v>
      </c>
      <c r="B217" s="3">
        <v>46235</v>
      </c>
      <c r="C217" s="11"/>
    </row>
    <row r="218" spans="1:3" hidden="1" x14ac:dyDescent="0.3">
      <c r="A218" t="s">
        <v>80</v>
      </c>
      <c r="B218" s="3">
        <v>45536</v>
      </c>
      <c r="C218" s="11"/>
    </row>
    <row r="219" spans="1:3" hidden="1" x14ac:dyDescent="0.3">
      <c r="A219" t="s">
        <v>80</v>
      </c>
      <c r="B219" s="3">
        <v>45566</v>
      </c>
      <c r="C219" s="11"/>
    </row>
    <row r="220" spans="1:3" hidden="1" x14ac:dyDescent="0.3">
      <c r="A220" t="s">
        <v>80</v>
      </c>
      <c r="B220" s="3">
        <v>45597</v>
      </c>
      <c r="C220" s="11"/>
    </row>
    <row r="221" spans="1:3" hidden="1" x14ac:dyDescent="0.3">
      <c r="A221" t="s">
        <v>80</v>
      </c>
      <c r="B221" s="3">
        <v>45627</v>
      </c>
      <c r="C221" s="11"/>
    </row>
    <row r="222" spans="1:3" hidden="1" x14ac:dyDescent="0.3">
      <c r="A222" t="s">
        <v>80</v>
      </c>
      <c r="B222" s="3">
        <v>45658</v>
      </c>
      <c r="C222" s="11"/>
    </row>
    <row r="223" spans="1:3" hidden="1" x14ac:dyDescent="0.3">
      <c r="A223" t="s">
        <v>80</v>
      </c>
      <c r="B223" s="3">
        <v>45689</v>
      </c>
      <c r="C223" s="11" t="s">
        <v>383</v>
      </c>
    </row>
    <row r="224" spans="1:3" ht="28.95" hidden="1" customHeight="1" x14ac:dyDescent="0.3">
      <c r="A224" t="s">
        <v>80</v>
      </c>
      <c r="B224" s="3">
        <v>45717</v>
      </c>
      <c r="C224" s="11" t="s">
        <v>384</v>
      </c>
    </row>
    <row r="225" spans="1:3" ht="43.2" hidden="1" customHeight="1" x14ac:dyDescent="0.3">
      <c r="A225" t="s">
        <v>80</v>
      </c>
      <c r="B225" s="3">
        <v>45748</v>
      </c>
      <c r="C225" s="11" t="s">
        <v>385</v>
      </c>
    </row>
    <row r="226" spans="1:3" ht="57.6" hidden="1" customHeight="1" x14ac:dyDescent="0.3">
      <c r="A226" t="s">
        <v>80</v>
      </c>
      <c r="B226" s="3">
        <v>45778</v>
      </c>
      <c r="C226" s="11" t="s">
        <v>386</v>
      </c>
    </row>
    <row r="227" spans="1:3" ht="57.6" hidden="1" customHeight="1" x14ac:dyDescent="0.3">
      <c r="A227" t="s">
        <v>80</v>
      </c>
      <c r="B227" s="3">
        <v>45809</v>
      </c>
      <c r="C227" s="11" t="s">
        <v>387</v>
      </c>
    </row>
    <row r="228" spans="1:3" ht="43.2" hidden="1" customHeight="1" x14ac:dyDescent="0.3">
      <c r="A228" t="s">
        <v>80</v>
      </c>
      <c r="B228" s="3">
        <v>45839</v>
      </c>
      <c r="C228" s="11" t="s">
        <v>388</v>
      </c>
    </row>
    <row r="229" spans="1:3" ht="43.2" hidden="1" customHeight="1" x14ac:dyDescent="0.3">
      <c r="A229" t="s">
        <v>80</v>
      </c>
      <c r="B229" s="3">
        <v>45870</v>
      </c>
      <c r="C229" s="11" t="s">
        <v>389</v>
      </c>
    </row>
    <row r="230" spans="1:3" ht="43.2" hidden="1" customHeight="1" x14ac:dyDescent="0.3">
      <c r="A230" t="s">
        <v>80</v>
      </c>
      <c r="B230" s="3">
        <v>45901</v>
      </c>
      <c r="C230" s="11" t="s">
        <v>390</v>
      </c>
    </row>
    <row r="231" spans="1:3" ht="43.2" hidden="1" customHeight="1" x14ac:dyDescent="0.3">
      <c r="A231" t="s">
        <v>80</v>
      </c>
      <c r="B231" s="3">
        <v>45931</v>
      </c>
      <c r="C231" s="11" t="s">
        <v>391</v>
      </c>
    </row>
    <row r="232" spans="1:3" ht="43.2" hidden="1" customHeight="1" x14ac:dyDescent="0.3">
      <c r="A232" t="s">
        <v>80</v>
      </c>
      <c r="B232" s="3">
        <v>45962</v>
      </c>
      <c r="C232" s="11" t="s">
        <v>392</v>
      </c>
    </row>
    <row r="233" spans="1:3" hidden="1" x14ac:dyDescent="0.3">
      <c r="A233" t="s">
        <v>80</v>
      </c>
      <c r="B233" s="3">
        <v>45992</v>
      </c>
      <c r="C233" s="11" t="s">
        <v>344</v>
      </c>
    </row>
    <row r="234" spans="1:3" hidden="1" x14ac:dyDescent="0.3">
      <c r="A234" t="s">
        <v>80</v>
      </c>
      <c r="B234" s="3">
        <v>46023</v>
      </c>
      <c r="C234" s="11" t="s">
        <v>393</v>
      </c>
    </row>
    <row r="235" spans="1:3" hidden="1" x14ac:dyDescent="0.3">
      <c r="A235" t="s">
        <v>80</v>
      </c>
      <c r="B235" s="3">
        <v>46054</v>
      </c>
      <c r="C235" s="11" t="s">
        <v>344</v>
      </c>
    </row>
    <row r="236" spans="1:3" hidden="1" x14ac:dyDescent="0.3">
      <c r="A236" t="s">
        <v>80</v>
      </c>
      <c r="B236" s="3">
        <v>46082</v>
      </c>
      <c r="C236" s="11" t="s">
        <v>344</v>
      </c>
    </row>
    <row r="237" spans="1:3" hidden="1" x14ac:dyDescent="0.3">
      <c r="A237" t="s">
        <v>80</v>
      </c>
      <c r="B237" s="3">
        <v>46113</v>
      </c>
      <c r="C237" s="11" t="s">
        <v>320</v>
      </c>
    </row>
    <row r="238" spans="1:3" x14ac:dyDescent="0.3">
      <c r="A238" t="s">
        <v>80</v>
      </c>
      <c r="B238" s="3">
        <v>46143</v>
      </c>
      <c r="C238" s="11" t="s">
        <v>320</v>
      </c>
    </row>
    <row r="239" spans="1:3" hidden="1" x14ac:dyDescent="0.3">
      <c r="A239" t="s">
        <v>80</v>
      </c>
      <c r="B239" s="3">
        <v>46174</v>
      </c>
      <c r="C239" s="11"/>
    </row>
    <row r="240" spans="1:3" hidden="1" x14ac:dyDescent="0.3">
      <c r="A240" t="s">
        <v>80</v>
      </c>
      <c r="B240" s="3">
        <v>46204</v>
      </c>
      <c r="C240" s="11"/>
    </row>
    <row r="241" spans="1:3" hidden="1" x14ac:dyDescent="0.3">
      <c r="A241" t="s">
        <v>80</v>
      </c>
      <c r="B241" s="3">
        <v>46235</v>
      </c>
      <c r="C241" s="11"/>
    </row>
    <row r="242" spans="1:3" hidden="1" x14ac:dyDescent="0.3">
      <c r="A242" t="s">
        <v>84</v>
      </c>
      <c r="B242" s="3">
        <v>45536</v>
      </c>
      <c r="C242" s="11"/>
    </row>
    <row r="243" spans="1:3" hidden="1" x14ac:dyDescent="0.3">
      <c r="A243" t="s">
        <v>84</v>
      </c>
      <c r="B243" s="3">
        <v>45566</v>
      </c>
      <c r="C243" s="11"/>
    </row>
    <row r="244" spans="1:3" hidden="1" x14ac:dyDescent="0.3">
      <c r="A244" t="s">
        <v>84</v>
      </c>
      <c r="B244" s="3">
        <v>45597</v>
      </c>
      <c r="C244" s="11"/>
    </row>
    <row r="245" spans="1:3" hidden="1" x14ac:dyDescent="0.3">
      <c r="A245" t="s">
        <v>84</v>
      </c>
      <c r="B245" s="3">
        <v>45627</v>
      </c>
      <c r="C245" s="11"/>
    </row>
    <row r="246" spans="1:3" hidden="1" x14ac:dyDescent="0.3">
      <c r="A246" t="s">
        <v>84</v>
      </c>
      <c r="B246" s="3">
        <v>45658</v>
      </c>
      <c r="C246" s="11"/>
    </row>
    <row r="247" spans="1:3" hidden="1" x14ac:dyDescent="0.3">
      <c r="A247" t="s">
        <v>84</v>
      </c>
      <c r="B247" s="3">
        <v>45689</v>
      </c>
      <c r="C247" s="11" t="s">
        <v>383</v>
      </c>
    </row>
    <row r="248" spans="1:3" ht="28.95" hidden="1" customHeight="1" x14ac:dyDescent="0.3">
      <c r="A248" t="s">
        <v>84</v>
      </c>
      <c r="B248" s="3">
        <v>45717</v>
      </c>
      <c r="C248" s="11" t="s">
        <v>394</v>
      </c>
    </row>
    <row r="249" spans="1:3" ht="43.2" hidden="1" customHeight="1" x14ac:dyDescent="0.3">
      <c r="A249" t="s">
        <v>84</v>
      </c>
      <c r="B249" s="3">
        <v>45748</v>
      </c>
      <c r="C249" s="11" t="s">
        <v>395</v>
      </c>
    </row>
    <row r="250" spans="1:3" ht="57.6" hidden="1" customHeight="1" x14ac:dyDescent="0.3">
      <c r="A250" t="s">
        <v>84</v>
      </c>
      <c r="B250" s="3">
        <v>45778</v>
      </c>
      <c r="C250" s="11" t="s">
        <v>396</v>
      </c>
    </row>
    <row r="251" spans="1:3" ht="57.6" hidden="1" customHeight="1" x14ac:dyDescent="0.3">
      <c r="A251" t="s">
        <v>84</v>
      </c>
      <c r="B251" s="3">
        <v>45809</v>
      </c>
      <c r="C251" s="11" t="s">
        <v>397</v>
      </c>
    </row>
    <row r="252" spans="1:3" ht="43.2" hidden="1" customHeight="1" x14ac:dyDescent="0.3">
      <c r="A252" t="s">
        <v>84</v>
      </c>
      <c r="B252" s="3">
        <v>45839</v>
      </c>
      <c r="C252" s="11" t="s">
        <v>398</v>
      </c>
    </row>
    <row r="253" spans="1:3" ht="43.2" hidden="1" customHeight="1" x14ac:dyDescent="0.3">
      <c r="A253" t="s">
        <v>84</v>
      </c>
      <c r="B253" s="3">
        <v>45870</v>
      </c>
      <c r="C253" s="11" t="s">
        <v>399</v>
      </c>
    </row>
    <row r="254" spans="1:3" ht="43.2" hidden="1" customHeight="1" x14ac:dyDescent="0.3">
      <c r="A254" t="s">
        <v>84</v>
      </c>
      <c r="B254" s="3">
        <v>45901</v>
      </c>
      <c r="C254" s="11" t="s">
        <v>400</v>
      </c>
    </row>
    <row r="255" spans="1:3" ht="43.2" hidden="1" customHeight="1" x14ac:dyDescent="0.3">
      <c r="A255" t="s">
        <v>84</v>
      </c>
      <c r="B255" s="3">
        <v>45931</v>
      </c>
      <c r="C255" s="11" t="s">
        <v>401</v>
      </c>
    </row>
    <row r="256" spans="1:3" ht="57.6" hidden="1" customHeight="1" x14ac:dyDescent="0.3">
      <c r="A256" t="s">
        <v>84</v>
      </c>
      <c r="B256" s="3">
        <v>45962</v>
      </c>
      <c r="C256" s="11" t="s">
        <v>402</v>
      </c>
    </row>
    <row r="257" spans="1:3" hidden="1" x14ac:dyDescent="0.3">
      <c r="A257" t="s">
        <v>84</v>
      </c>
      <c r="B257" s="3">
        <v>45992</v>
      </c>
      <c r="C257" s="11" t="s">
        <v>403</v>
      </c>
    </row>
    <row r="258" spans="1:3" hidden="1" x14ac:dyDescent="0.3">
      <c r="A258" t="s">
        <v>84</v>
      </c>
      <c r="B258" s="3">
        <v>46023</v>
      </c>
      <c r="C258" s="11" t="s">
        <v>393</v>
      </c>
    </row>
    <row r="259" spans="1:3" hidden="1" x14ac:dyDescent="0.3">
      <c r="A259" t="s">
        <v>84</v>
      </c>
      <c r="B259" s="3">
        <v>46054</v>
      </c>
      <c r="C259" s="11" t="s">
        <v>344</v>
      </c>
    </row>
    <row r="260" spans="1:3" hidden="1" x14ac:dyDescent="0.3">
      <c r="A260" t="s">
        <v>84</v>
      </c>
      <c r="B260" s="3">
        <v>46082</v>
      </c>
      <c r="C260" s="11" t="s">
        <v>404</v>
      </c>
    </row>
    <row r="261" spans="1:3" hidden="1" x14ac:dyDescent="0.3">
      <c r="A261" t="s">
        <v>84</v>
      </c>
      <c r="B261" s="3">
        <v>46113</v>
      </c>
      <c r="C261" s="11" t="s">
        <v>320</v>
      </c>
    </row>
    <row r="262" spans="1:3" x14ac:dyDescent="0.3">
      <c r="A262" t="s">
        <v>84</v>
      </c>
      <c r="B262" s="3">
        <v>46143</v>
      </c>
      <c r="C262" s="11" t="s">
        <v>320</v>
      </c>
    </row>
    <row r="263" spans="1:3" hidden="1" x14ac:dyDescent="0.3">
      <c r="A263" t="s">
        <v>84</v>
      </c>
      <c r="B263" s="3">
        <v>46174</v>
      </c>
      <c r="C263" s="11"/>
    </row>
    <row r="264" spans="1:3" hidden="1" x14ac:dyDescent="0.3">
      <c r="A264" t="s">
        <v>84</v>
      </c>
      <c r="B264" s="3">
        <v>46204</v>
      </c>
      <c r="C264" s="11"/>
    </row>
    <row r="265" spans="1:3" hidden="1" x14ac:dyDescent="0.3">
      <c r="A265" t="s">
        <v>84</v>
      </c>
      <c r="B265" s="3">
        <v>46235</v>
      </c>
      <c r="C265" s="11"/>
    </row>
    <row r="266" spans="1:3" hidden="1" x14ac:dyDescent="0.3">
      <c r="A266" t="s">
        <v>86</v>
      </c>
      <c r="B266" s="3">
        <v>45536</v>
      </c>
      <c r="C266" s="11"/>
    </row>
    <row r="267" spans="1:3" hidden="1" x14ac:dyDescent="0.3">
      <c r="A267" t="s">
        <v>86</v>
      </c>
      <c r="B267" s="3">
        <v>45566</v>
      </c>
      <c r="C267" s="11"/>
    </row>
    <row r="268" spans="1:3" hidden="1" x14ac:dyDescent="0.3">
      <c r="A268" t="s">
        <v>86</v>
      </c>
      <c r="B268" s="3">
        <v>45597</v>
      </c>
      <c r="C268" s="11"/>
    </row>
    <row r="269" spans="1:3" hidden="1" x14ac:dyDescent="0.3">
      <c r="A269" t="s">
        <v>86</v>
      </c>
      <c r="B269" s="3">
        <v>45627</v>
      </c>
      <c r="C269" s="11"/>
    </row>
    <row r="270" spans="1:3" hidden="1" x14ac:dyDescent="0.3">
      <c r="A270" t="s">
        <v>86</v>
      </c>
      <c r="B270" s="3">
        <v>45658</v>
      </c>
      <c r="C270" s="11"/>
    </row>
    <row r="271" spans="1:3" ht="28.95" hidden="1" customHeight="1" x14ac:dyDescent="0.3">
      <c r="A271" t="s">
        <v>86</v>
      </c>
      <c r="B271" s="3">
        <v>45689</v>
      </c>
      <c r="C271" s="11" t="s">
        <v>405</v>
      </c>
    </row>
    <row r="272" spans="1:3" ht="28.95" hidden="1" customHeight="1" x14ac:dyDescent="0.3">
      <c r="A272" t="s">
        <v>86</v>
      </c>
      <c r="B272" s="3">
        <v>45717</v>
      </c>
      <c r="C272" s="11" t="s">
        <v>406</v>
      </c>
    </row>
    <row r="273" spans="1:3" ht="28.95" hidden="1" customHeight="1" x14ac:dyDescent="0.3">
      <c r="A273" t="s">
        <v>86</v>
      </c>
      <c r="B273" s="3">
        <v>45748</v>
      </c>
      <c r="C273" s="11" t="s">
        <v>406</v>
      </c>
    </row>
    <row r="274" spans="1:3" ht="72" hidden="1" customHeight="1" x14ac:dyDescent="0.3">
      <c r="A274" t="s">
        <v>86</v>
      </c>
      <c r="B274" s="3">
        <v>45778</v>
      </c>
      <c r="C274" s="11" t="s">
        <v>407</v>
      </c>
    </row>
    <row r="275" spans="1:3" ht="43.2" hidden="1" customHeight="1" x14ac:dyDescent="0.3">
      <c r="A275" t="s">
        <v>86</v>
      </c>
      <c r="B275" s="3">
        <v>45809</v>
      </c>
      <c r="C275" s="11" t="s">
        <v>408</v>
      </c>
    </row>
    <row r="276" spans="1:3" ht="43.2" hidden="1" customHeight="1" x14ac:dyDescent="0.3">
      <c r="A276" t="s">
        <v>86</v>
      </c>
      <c r="B276" s="3">
        <v>45839</v>
      </c>
      <c r="C276" s="11" t="s">
        <v>409</v>
      </c>
    </row>
    <row r="277" spans="1:3" ht="72" hidden="1" customHeight="1" x14ac:dyDescent="0.3">
      <c r="A277" t="s">
        <v>86</v>
      </c>
      <c r="B277" s="3">
        <v>45870</v>
      </c>
      <c r="C277" s="11" t="s">
        <v>410</v>
      </c>
    </row>
    <row r="278" spans="1:3" ht="57.6" hidden="1" customHeight="1" x14ac:dyDescent="0.3">
      <c r="A278" t="s">
        <v>86</v>
      </c>
      <c r="B278" s="3">
        <v>45901</v>
      </c>
      <c r="C278" s="11" t="s">
        <v>411</v>
      </c>
    </row>
    <row r="279" spans="1:3" ht="57.6" hidden="1" customHeight="1" x14ac:dyDescent="0.3">
      <c r="A279" t="s">
        <v>86</v>
      </c>
      <c r="B279" s="3">
        <v>45931</v>
      </c>
      <c r="C279" s="11" t="s">
        <v>412</v>
      </c>
    </row>
    <row r="280" spans="1:3" ht="57.6" hidden="1" customHeight="1" x14ac:dyDescent="0.3">
      <c r="A280" t="s">
        <v>86</v>
      </c>
      <c r="B280" s="3">
        <v>45962</v>
      </c>
      <c r="C280" s="11" t="s">
        <v>413</v>
      </c>
    </row>
    <row r="281" spans="1:3" hidden="1" x14ac:dyDescent="0.3">
      <c r="A281" t="s">
        <v>86</v>
      </c>
      <c r="B281" s="3">
        <v>45992</v>
      </c>
      <c r="C281" s="11" t="s">
        <v>344</v>
      </c>
    </row>
    <row r="282" spans="1:3" hidden="1" x14ac:dyDescent="0.3">
      <c r="A282" t="s">
        <v>86</v>
      </c>
      <c r="B282" s="3">
        <v>46023</v>
      </c>
      <c r="C282" s="11" t="s">
        <v>414</v>
      </c>
    </row>
    <row r="283" spans="1:3" hidden="1" x14ac:dyDescent="0.3">
      <c r="A283" t="s">
        <v>86</v>
      </c>
      <c r="B283" s="3">
        <v>46054</v>
      </c>
      <c r="C283" s="11" t="s">
        <v>415</v>
      </c>
    </row>
    <row r="284" spans="1:3" hidden="1" x14ac:dyDescent="0.3">
      <c r="A284" t="s">
        <v>86</v>
      </c>
      <c r="B284" s="3">
        <v>46082</v>
      </c>
      <c r="C284" s="11" t="s">
        <v>416</v>
      </c>
    </row>
    <row r="285" spans="1:3" hidden="1" x14ac:dyDescent="0.3">
      <c r="A285" t="s">
        <v>86</v>
      </c>
      <c r="B285" s="3">
        <v>46113</v>
      </c>
      <c r="C285" s="11" t="s">
        <v>320</v>
      </c>
    </row>
    <row r="286" spans="1:3" x14ac:dyDescent="0.3">
      <c r="A286" t="s">
        <v>86</v>
      </c>
      <c r="B286" s="3">
        <v>46143</v>
      </c>
      <c r="C286" s="11" t="s">
        <v>320</v>
      </c>
    </row>
    <row r="287" spans="1:3" hidden="1" x14ac:dyDescent="0.3">
      <c r="A287" t="s">
        <v>86</v>
      </c>
      <c r="B287" s="3">
        <v>46174</v>
      </c>
      <c r="C287" s="11"/>
    </row>
    <row r="288" spans="1:3" hidden="1" x14ac:dyDescent="0.3">
      <c r="A288" t="s">
        <v>86</v>
      </c>
      <c r="B288" s="3">
        <v>46204</v>
      </c>
      <c r="C288" s="11"/>
    </row>
    <row r="289" spans="1:3" hidden="1" x14ac:dyDescent="0.3">
      <c r="A289" t="s">
        <v>86</v>
      </c>
      <c r="B289" s="3">
        <v>46235</v>
      </c>
      <c r="C289" s="11"/>
    </row>
    <row r="290" spans="1:3" hidden="1" x14ac:dyDescent="0.3">
      <c r="A290" t="s">
        <v>90</v>
      </c>
      <c r="B290" s="3">
        <v>45536</v>
      </c>
      <c r="C290" s="11"/>
    </row>
    <row r="291" spans="1:3" hidden="1" x14ac:dyDescent="0.3">
      <c r="A291" t="s">
        <v>90</v>
      </c>
      <c r="B291" s="3">
        <v>45566</v>
      </c>
      <c r="C291" s="11"/>
    </row>
    <row r="292" spans="1:3" hidden="1" x14ac:dyDescent="0.3">
      <c r="A292" t="s">
        <v>90</v>
      </c>
      <c r="B292" s="3">
        <v>45597</v>
      </c>
      <c r="C292" s="11"/>
    </row>
    <row r="293" spans="1:3" hidden="1" x14ac:dyDescent="0.3">
      <c r="A293" t="s">
        <v>90</v>
      </c>
      <c r="B293" s="3">
        <v>45627</v>
      </c>
      <c r="C293" s="11"/>
    </row>
    <row r="294" spans="1:3" hidden="1" x14ac:dyDescent="0.3">
      <c r="A294" t="s">
        <v>90</v>
      </c>
      <c r="B294" s="3">
        <v>45658</v>
      </c>
      <c r="C294" s="11"/>
    </row>
    <row r="295" spans="1:3" ht="43.2" hidden="1" customHeight="1" x14ac:dyDescent="0.3">
      <c r="A295" t="s">
        <v>90</v>
      </c>
      <c r="B295" s="3">
        <v>45689</v>
      </c>
      <c r="C295" s="11" t="s">
        <v>417</v>
      </c>
    </row>
    <row r="296" spans="1:3" ht="86.4" hidden="1" customHeight="1" x14ac:dyDescent="0.3">
      <c r="A296" t="s">
        <v>90</v>
      </c>
      <c r="B296" s="3">
        <v>45717</v>
      </c>
      <c r="C296" s="11" t="s">
        <v>418</v>
      </c>
    </row>
    <row r="297" spans="1:3" ht="57.6" hidden="1" customHeight="1" x14ac:dyDescent="0.3">
      <c r="A297" t="s">
        <v>90</v>
      </c>
      <c r="B297" s="3">
        <v>45748</v>
      </c>
      <c r="C297" s="11" t="s">
        <v>419</v>
      </c>
    </row>
    <row r="298" spans="1:3" ht="57.6" hidden="1" customHeight="1" x14ac:dyDescent="0.3">
      <c r="A298" t="s">
        <v>90</v>
      </c>
      <c r="B298" s="3">
        <v>45778</v>
      </c>
      <c r="C298" s="11" t="s">
        <v>420</v>
      </c>
    </row>
    <row r="299" spans="1:3" ht="57.6" hidden="1" customHeight="1" x14ac:dyDescent="0.3">
      <c r="A299" t="s">
        <v>90</v>
      </c>
      <c r="B299" s="3">
        <v>45809</v>
      </c>
      <c r="C299" s="11" t="s">
        <v>421</v>
      </c>
    </row>
    <row r="300" spans="1:3" ht="57.6" hidden="1" customHeight="1" x14ac:dyDescent="0.3">
      <c r="A300" t="s">
        <v>90</v>
      </c>
      <c r="B300" s="3">
        <v>45839</v>
      </c>
      <c r="C300" s="11" t="s">
        <v>422</v>
      </c>
    </row>
    <row r="301" spans="1:3" ht="72" hidden="1" customHeight="1" x14ac:dyDescent="0.3">
      <c r="A301" t="s">
        <v>90</v>
      </c>
      <c r="B301" s="3">
        <v>45870</v>
      </c>
      <c r="C301" s="11" t="s">
        <v>423</v>
      </c>
    </row>
    <row r="302" spans="1:3" ht="57.6" hidden="1" customHeight="1" x14ac:dyDescent="0.3">
      <c r="A302" t="s">
        <v>90</v>
      </c>
      <c r="B302" s="3">
        <v>45901</v>
      </c>
      <c r="C302" s="11" t="s">
        <v>424</v>
      </c>
    </row>
    <row r="303" spans="1:3" ht="57.6" hidden="1" customHeight="1" x14ac:dyDescent="0.3">
      <c r="A303" t="s">
        <v>90</v>
      </c>
      <c r="B303" s="3">
        <v>45931</v>
      </c>
      <c r="C303" s="11" t="s">
        <v>425</v>
      </c>
    </row>
    <row r="304" spans="1:3" ht="72" hidden="1" customHeight="1" x14ac:dyDescent="0.3">
      <c r="A304" t="s">
        <v>90</v>
      </c>
      <c r="B304" s="3">
        <v>45962</v>
      </c>
      <c r="C304" s="11" t="s">
        <v>426</v>
      </c>
    </row>
    <row r="305" spans="1:3" hidden="1" x14ac:dyDescent="0.3">
      <c r="A305" t="s">
        <v>90</v>
      </c>
      <c r="B305" s="3">
        <v>45992</v>
      </c>
      <c r="C305" s="11" t="s">
        <v>427</v>
      </c>
    </row>
    <row r="306" spans="1:3" hidden="1" x14ac:dyDescent="0.3">
      <c r="A306" t="s">
        <v>90</v>
      </c>
      <c r="B306" s="3">
        <v>46023</v>
      </c>
      <c r="C306" s="11" t="s">
        <v>427</v>
      </c>
    </row>
    <row r="307" spans="1:3" hidden="1" x14ac:dyDescent="0.3">
      <c r="A307" t="s">
        <v>90</v>
      </c>
      <c r="B307" s="3">
        <v>46054</v>
      </c>
      <c r="C307" s="11" t="s">
        <v>427</v>
      </c>
    </row>
    <row r="308" spans="1:3" hidden="1" x14ac:dyDescent="0.3">
      <c r="A308" t="s">
        <v>90</v>
      </c>
      <c r="B308" s="3">
        <v>46082</v>
      </c>
      <c r="C308" s="11" t="s">
        <v>428</v>
      </c>
    </row>
    <row r="309" spans="1:3" ht="28.95" hidden="1" customHeight="1" x14ac:dyDescent="0.3">
      <c r="A309" t="s">
        <v>90</v>
      </c>
      <c r="B309" s="3">
        <v>46113</v>
      </c>
      <c r="C309" s="11" t="s">
        <v>429</v>
      </c>
    </row>
    <row r="310" spans="1:3" x14ac:dyDescent="0.3">
      <c r="A310" t="s">
        <v>90</v>
      </c>
      <c r="B310" s="3">
        <v>46143</v>
      </c>
      <c r="C310" s="11" t="s">
        <v>958</v>
      </c>
    </row>
    <row r="311" spans="1:3" hidden="1" x14ac:dyDescent="0.3">
      <c r="A311" t="s">
        <v>90</v>
      </c>
      <c r="B311" s="3">
        <v>46174</v>
      </c>
      <c r="C311" s="11"/>
    </row>
    <row r="312" spans="1:3" hidden="1" x14ac:dyDescent="0.3">
      <c r="A312" t="s">
        <v>90</v>
      </c>
      <c r="B312" s="3">
        <v>46204</v>
      </c>
      <c r="C312" s="11"/>
    </row>
    <row r="313" spans="1:3" hidden="1" x14ac:dyDescent="0.3">
      <c r="A313" t="s">
        <v>90</v>
      </c>
      <c r="B313" s="3">
        <v>46235</v>
      </c>
      <c r="C313" s="11"/>
    </row>
    <row r="314" spans="1:3" hidden="1" x14ac:dyDescent="0.3">
      <c r="A314" t="s">
        <v>95</v>
      </c>
      <c r="B314" s="3">
        <v>45536</v>
      </c>
      <c r="C314" s="11"/>
    </row>
    <row r="315" spans="1:3" hidden="1" x14ac:dyDescent="0.3">
      <c r="A315" t="s">
        <v>95</v>
      </c>
      <c r="B315" s="3">
        <v>45566</v>
      </c>
      <c r="C315" s="11"/>
    </row>
    <row r="316" spans="1:3" hidden="1" x14ac:dyDescent="0.3">
      <c r="A316" t="s">
        <v>95</v>
      </c>
      <c r="B316" s="3">
        <v>45597</v>
      </c>
      <c r="C316" s="11"/>
    </row>
    <row r="317" spans="1:3" hidden="1" x14ac:dyDescent="0.3">
      <c r="A317" t="s">
        <v>95</v>
      </c>
      <c r="B317" s="3">
        <v>45627</v>
      </c>
      <c r="C317" s="11"/>
    </row>
    <row r="318" spans="1:3" hidden="1" x14ac:dyDescent="0.3">
      <c r="A318" t="s">
        <v>95</v>
      </c>
      <c r="B318" s="3">
        <v>45658</v>
      </c>
      <c r="C318" s="11"/>
    </row>
    <row r="319" spans="1:3" ht="72" hidden="1" customHeight="1" x14ac:dyDescent="0.3">
      <c r="A319" t="s">
        <v>95</v>
      </c>
      <c r="B319" s="3">
        <v>45689</v>
      </c>
      <c r="C319" s="11" t="s">
        <v>430</v>
      </c>
    </row>
    <row r="320" spans="1:3" ht="86.4" hidden="1" customHeight="1" x14ac:dyDescent="0.3">
      <c r="A320" t="s">
        <v>95</v>
      </c>
      <c r="B320" s="3">
        <v>45717</v>
      </c>
      <c r="C320" s="11" t="s">
        <v>431</v>
      </c>
    </row>
    <row r="321" spans="1:3" ht="57.6" hidden="1" customHeight="1" x14ac:dyDescent="0.3">
      <c r="A321" t="s">
        <v>95</v>
      </c>
      <c r="B321" s="3">
        <v>45748</v>
      </c>
      <c r="C321" s="11" t="s">
        <v>432</v>
      </c>
    </row>
    <row r="322" spans="1:3" ht="57.6" hidden="1" customHeight="1" x14ac:dyDescent="0.3">
      <c r="A322" t="s">
        <v>95</v>
      </c>
      <c r="B322" s="3">
        <v>45778</v>
      </c>
      <c r="C322" s="11" t="s">
        <v>433</v>
      </c>
    </row>
    <row r="323" spans="1:3" ht="57.6" hidden="1" customHeight="1" x14ac:dyDescent="0.3">
      <c r="A323" t="s">
        <v>95</v>
      </c>
      <c r="B323" s="3">
        <v>45809</v>
      </c>
      <c r="C323" s="11" t="s">
        <v>434</v>
      </c>
    </row>
    <row r="324" spans="1:3" ht="57.6" hidden="1" customHeight="1" x14ac:dyDescent="0.3">
      <c r="A324" t="s">
        <v>95</v>
      </c>
      <c r="B324" s="3">
        <v>45839</v>
      </c>
      <c r="C324" s="11" t="s">
        <v>435</v>
      </c>
    </row>
    <row r="325" spans="1:3" ht="57.6" hidden="1" customHeight="1" x14ac:dyDescent="0.3">
      <c r="A325" t="s">
        <v>95</v>
      </c>
      <c r="B325" s="3">
        <v>45870</v>
      </c>
      <c r="C325" s="11" t="s">
        <v>436</v>
      </c>
    </row>
    <row r="326" spans="1:3" ht="57.6" hidden="1" customHeight="1" x14ac:dyDescent="0.3">
      <c r="A326" t="s">
        <v>95</v>
      </c>
      <c r="B326" s="3">
        <v>45901</v>
      </c>
      <c r="C326" s="11" t="s">
        <v>437</v>
      </c>
    </row>
    <row r="327" spans="1:3" ht="57.6" hidden="1" customHeight="1" x14ac:dyDescent="0.3">
      <c r="A327" t="s">
        <v>95</v>
      </c>
      <c r="B327" s="3">
        <v>45931</v>
      </c>
      <c r="C327" s="11" t="s">
        <v>438</v>
      </c>
    </row>
    <row r="328" spans="1:3" ht="57.6" hidden="1" customHeight="1" x14ac:dyDescent="0.3">
      <c r="A328" t="s">
        <v>95</v>
      </c>
      <c r="B328" s="3">
        <v>45962</v>
      </c>
      <c r="C328" s="11" t="s">
        <v>439</v>
      </c>
    </row>
    <row r="329" spans="1:3" hidden="1" x14ac:dyDescent="0.3">
      <c r="A329" t="s">
        <v>95</v>
      </c>
      <c r="B329" s="3">
        <v>45992</v>
      </c>
      <c r="C329" s="11" t="s">
        <v>344</v>
      </c>
    </row>
    <row r="330" spans="1:3" hidden="1" x14ac:dyDescent="0.3">
      <c r="A330" t="s">
        <v>95</v>
      </c>
      <c r="B330" s="3">
        <v>46023</v>
      </c>
      <c r="C330" s="11" t="s">
        <v>356</v>
      </c>
    </row>
    <row r="331" spans="1:3" hidden="1" x14ac:dyDescent="0.3">
      <c r="A331" t="s">
        <v>95</v>
      </c>
      <c r="B331" s="3">
        <v>46054</v>
      </c>
      <c r="C331" s="11" t="s">
        <v>344</v>
      </c>
    </row>
    <row r="332" spans="1:3" hidden="1" x14ac:dyDescent="0.3">
      <c r="A332" t="s">
        <v>95</v>
      </c>
      <c r="B332" s="3">
        <v>46082</v>
      </c>
      <c r="C332" s="11" t="s">
        <v>344</v>
      </c>
    </row>
    <row r="333" spans="1:3" hidden="1" x14ac:dyDescent="0.3">
      <c r="A333" t="s">
        <v>95</v>
      </c>
      <c r="B333" s="3">
        <v>46113</v>
      </c>
      <c r="C333" s="11" t="s">
        <v>320</v>
      </c>
    </row>
    <row r="334" spans="1:3" x14ac:dyDescent="0.3">
      <c r="A334" t="s">
        <v>95</v>
      </c>
      <c r="B334" s="3">
        <v>46143</v>
      </c>
      <c r="C334" s="11" t="s">
        <v>320</v>
      </c>
    </row>
    <row r="335" spans="1:3" hidden="1" x14ac:dyDescent="0.3">
      <c r="A335" t="s">
        <v>95</v>
      </c>
      <c r="B335" s="3">
        <v>46174</v>
      </c>
      <c r="C335" s="11"/>
    </row>
    <row r="336" spans="1:3" hidden="1" x14ac:dyDescent="0.3">
      <c r="A336" t="s">
        <v>95</v>
      </c>
      <c r="B336" s="3">
        <v>46204</v>
      </c>
      <c r="C336" s="11"/>
    </row>
    <row r="337" spans="1:3" hidden="1" x14ac:dyDescent="0.3">
      <c r="A337" t="s">
        <v>95</v>
      </c>
      <c r="B337" s="3">
        <v>46235</v>
      </c>
      <c r="C337" s="11"/>
    </row>
    <row r="338" spans="1:3" hidden="1" x14ac:dyDescent="0.3">
      <c r="A338" t="s">
        <v>98</v>
      </c>
      <c r="B338" s="3">
        <v>45536</v>
      </c>
      <c r="C338" s="11"/>
    </row>
    <row r="339" spans="1:3" hidden="1" x14ac:dyDescent="0.3">
      <c r="A339" t="s">
        <v>98</v>
      </c>
      <c r="B339" s="3">
        <v>45566</v>
      </c>
      <c r="C339" s="11"/>
    </row>
    <row r="340" spans="1:3" hidden="1" x14ac:dyDescent="0.3">
      <c r="A340" t="s">
        <v>98</v>
      </c>
      <c r="B340" s="3">
        <v>45597</v>
      </c>
      <c r="C340" s="11"/>
    </row>
    <row r="341" spans="1:3" hidden="1" x14ac:dyDescent="0.3">
      <c r="A341" t="s">
        <v>98</v>
      </c>
      <c r="B341" s="3">
        <v>45627</v>
      </c>
      <c r="C341" s="11"/>
    </row>
    <row r="342" spans="1:3" hidden="1" x14ac:dyDescent="0.3">
      <c r="A342" t="s">
        <v>98</v>
      </c>
      <c r="B342" s="3">
        <v>45658</v>
      </c>
      <c r="C342" s="11"/>
    </row>
    <row r="343" spans="1:3" hidden="1" x14ac:dyDescent="0.3">
      <c r="A343" t="s">
        <v>98</v>
      </c>
      <c r="B343" s="3">
        <v>45689</v>
      </c>
      <c r="C343" s="11"/>
    </row>
    <row r="344" spans="1:3" hidden="1" x14ac:dyDescent="0.3">
      <c r="A344" t="s">
        <v>98</v>
      </c>
      <c r="B344" s="3">
        <v>45717</v>
      </c>
      <c r="C344" s="11"/>
    </row>
    <row r="345" spans="1:3" hidden="1" x14ac:dyDescent="0.3">
      <c r="A345" t="s">
        <v>98</v>
      </c>
      <c r="B345" s="3">
        <v>45748</v>
      </c>
      <c r="C345" s="11"/>
    </row>
    <row r="346" spans="1:3" hidden="1" x14ac:dyDescent="0.3">
      <c r="A346" t="s">
        <v>98</v>
      </c>
      <c r="B346" s="3">
        <v>45778</v>
      </c>
      <c r="C346" s="11"/>
    </row>
    <row r="347" spans="1:3" hidden="1" x14ac:dyDescent="0.3">
      <c r="A347" t="s">
        <v>98</v>
      </c>
      <c r="B347" s="3">
        <v>45809</v>
      </c>
      <c r="C347" s="11"/>
    </row>
    <row r="348" spans="1:3" hidden="1" x14ac:dyDescent="0.3">
      <c r="A348" t="s">
        <v>98</v>
      </c>
      <c r="B348" s="3">
        <v>45839</v>
      </c>
      <c r="C348" s="11"/>
    </row>
    <row r="349" spans="1:3" hidden="1" x14ac:dyDescent="0.3">
      <c r="A349" t="s">
        <v>98</v>
      </c>
      <c r="B349" s="3">
        <v>45870</v>
      </c>
      <c r="C349" s="11"/>
    </row>
    <row r="350" spans="1:3" hidden="1" x14ac:dyDescent="0.3">
      <c r="A350" t="s">
        <v>98</v>
      </c>
      <c r="B350" s="3">
        <v>45901</v>
      </c>
      <c r="C350" s="11"/>
    </row>
    <row r="351" spans="1:3" hidden="1" x14ac:dyDescent="0.3">
      <c r="A351" t="s">
        <v>98</v>
      </c>
      <c r="B351" s="3">
        <v>45931</v>
      </c>
      <c r="C351" s="11"/>
    </row>
    <row r="352" spans="1:3" ht="43.2" hidden="1" customHeight="1" x14ac:dyDescent="0.3">
      <c r="A352" t="s">
        <v>98</v>
      </c>
      <c r="B352" s="3">
        <v>45962</v>
      </c>
      <c r="C352" s="11" t="s">
        <v>440</v>
      </c>
    </row>
    <row r="353" spans="1:3" hidden="1" x14ac:dyDescent="0.3">
      <c r="A353" t="s">
        <v>98</v>
      </c>
      <c r="B353" s="3">
        <v>45992</v>
      </c>
      <c r="C353" s="11" t="s">
        <v>441</v>
      </c>
    </row>
    <row r="354" spans="1:3" hidden="1" x14ac:dyDescent="0.3">
      <c r="A354" t="s">
        <v>98</v>
      </c>
      <c r="B354" s="3">
        <v>46023</v>
      </c>
      <c r="C354" s="11" t="s">
        <v>356</v>
      </c>
    </row>
    <row r="355" spans="1:3" hidden="1" x14ac:dyDescent="0.3">
      <c r="A355" t="s">
        <v>98</v>
      </c>
      <c r="B355" s="3">
        <v>46054</v>
      </c>
      <c r="C355" s="11" t="s">
        <v>344</v>
      </c>
    </row>
    <row r="356" spans="1:3" hidden="1" x14ac:dyDescent="0.3">
      <c r="A356" t="s">
        <v>98</v>
      </c>
      <c r="B356" s="3">
        <v>46082</v>
      </c>
      <c r="C356" s="11" t="s">
        <v>344</v>
      </c>
    </row>
    <row r="357" spans="1:3" hidden="1" x14ac:dyDescent="0.3">
      <c r="A357" t="s">
        <v>98</v>
      </c>
      <c r="B357" s="3">
        <v>46113</v>
      </c>
      <c r="C357" s="11" t="s">
        <v>442</v>
      </c>
    </row>
    <row r="358" spans="1:3" x14ac:dyDescent="0.3">
      <c r="A358" t="s">
        <v>98</v>
      </c>
      <c r="B358" s="3">
        <v>46143</v>
      </c>
      <c r="C358" s="11" t="s">
        <v>961</v>
      </c>
    </row>
    <row r="359" spans="1:3" hidden="1" x14ac:dyDescent="0.3">
      <c r="A359" t="s">
        <v>98</v>
      </c>
      <c r="B359" s="3">
        <v>46174</v>
      </c>
      <c r="C359" s="11"/>
    </row>
    <row r="360" spans="1:3" hidden="1" x14ac:dyDescent="0.3">
      <c r="A360" t="s">
        <v>98</v>
      </c>
      <c r="B360" s="3">
        <v>46204</v>
      </c>
      <c r="C360" s="11"/>
    </row>
    <row r="361" spans="1:3" hidden="1" x14ac:dyDescent="0.3">
      <c r="A361" t="s">
        <v>98</v>
      </c>
      <c r="B361" s="3">
        <v>46235</v>
      </c>
      <c r="C361" s="11"/>
    </row>
    <row r="362" spans="1:3" hidden="1" x14ac:dyDescent="0.3">
      <c r="A362" t="s">
        <v>100</v>
      </c>
      <c r="B362" s="3">
        <v>45536</v>
      </c>
      <c r="C362" s="11" t="s">
        <v>443</v>
      </c>
    </row>
    <row r="363" spans="1:3" ht="28.95" hidden="1" customHeight="1" x14ac:dyDescent="0.3">
      <c r="A363" t="s">
        <v>100</v>
      </c>
      <c r="B363" s="3">
        <v>45566</v>
      </c>
      <c r="C363" s="11" t="s">
        <v>444</v>
      </c>
    </row>
    <row r="364" spans="1:3" hidden="1" x14ac:dyDescent="0.3">
      <c r="A364" t="s">
        <v>100</v>
      </c>
      <c r="B364" s="3">
        <v>45597</v>
      </c>
      <c r="C364" s="11"/>
    </row>
    <row r="365" spans="1:3" hidden="1" x14ac:dyDescent="0.3">
      <c r="A365" t="s">
        <v>100</v>
      </c>
      <c r="B365" s="3">
        <v>45627</v>
      </c>
      <c r="C365" s="11"/>
    </row>
    <row r="366" spans="1:3" hidden="1" x14ac:dyDescent="0.3">
      <c r="A366" t="s">
        <v>100</v>
      </c>
      <c r="B366" s="3">
        <v>45658</v>
      </c>
      <c r="C366" s="11"/>
    </row>
    <row r="367" spans="1:3" ht="57.6" hidden="1" customHeight="1" x14ac:dyDescent="0.3">
      <c r="A367" t="s">
        <v>100</v>
      </c>
      <c r="B367" s="3">
        <v>45689</v>
      </c>
      <c r="C367" s="11" t="s">
        <v>445</v>
      </c>
    </row>
    <row r="368" spans="1:3" ht="43.2" hidden="1" customHeight="1" x14ac:dyDescent="0.3">
      <c r="A368" t="s">
        <v>100</v>
      </c>
      <c r="B368" s="3">
        <v>45717</v>
      </c>
      <c r="C368" s="11" t="s">
        <v>446</v>
      </c>
    </row>
    <row r="369" spans="1:3" ht="43.2" hidden="1" customHeight="1" x14ac:dyDescent="0.3">
      <c r="A369" t="s">
        <v>100</v>
      </c>
      <c r="B369" s="3">
        <v>45748</v>
      </c>
      <c r="C369" s="11" t="s">
        <v>446</v>
      </c>
    </row>
    <row r="370" spans="1:3" ht="57.6" hidden="1" customHeight="1" x14ac:dyDescent="0.3">
      <c r="A370" t="s">
        <v>100</v>
      </c>
      <c r="B370" s="3">
        <v>45778</v>
      </c>
      <c r="C370" s="11" t="s">
        <v>447</v>
      </c>
    </row>
    <row r="371" spans="1:3" ht="57.6" hidden="1" customHeight="1" x14ac:dyDescent="0.3">
      <c r="A371" t="s">
        <v>100</v>
      </c>
      <c r="B371" s="3">
        <v>45809</v>
      </c>
      <c r="C371" s="11" t="s">
        <v>448</v>
      </c>
    </row>
    <row r="372" spans="1:3" ht="86.4" hidden="1" customHeight="1" x14ac:dyDescent="0.3">
      <c r="A372" t="s">
        <v>100</v>
      </c>
      <c r="B372" s="3">
        <v>45839</v>
      </c>
      <c r="C372" s="11" t="s">
        <v>449</v>
      </c>
    </row>
    <row r="373" spans="1:3" ht="57.6" hidden="1" customHeight="1" x14ac:dyDescent="0.3">
      <c r="A373" t="s">
        <v>100</v>
      </c>
      <c r="B373" s="3">
        <v>45870</v>
      </c>
      <c r="C373" s="11" t="s">
        <v>450</v>
      </c>
    </row>
    <row r="374" spans="1:3" ht="57.6" hidden="1" customHeight="1" x14ac:dyDescent="0.3">
      <c r="A374" t="s">
        <v>100</v>
      </c>
      <c r="B374" s="3">
        <v>45901</v>
      </c>
      <c r="C374" s="11" t="s">
        <v>451</v>
      </c>
    </row>
    <row r="375" spans="1:3" ht="57.6" hidden="1" customHeight="1" x14ac:dyDescent="0.3">
      <c r="A375" t="s">
        <v>100</v>
      </c>
      <c r="B375" s="3">
        <v>45931</v>
      </c>
      <c r="C375" s="11" t="s">
        <v>452</v>
      </c>
    </row>
    <row r="376" spans="1:3" ht="72" hidden="1" customHeight="1" x14ac:dyDescent="0.3">
      <c r="A376" t="s">
        <v>100</v>
      </c>
      <c r="B376" s="3">
        <v>45962</v>
      </c>
      <c r="C376" s="11" t="s">
        <v>453</v>
      </c>
    </row>
    <row r="377" spans="1:3" hidden="1" x14ac:dyDescent="0.3">
      <c r="A377" t="s">
        <v>100</v>
      </c>
      <c r="B377" s="3">
        <v>45992</v>
      </c>
      <c r="C377" s="11" t="s">
        <v>454</v>
      </c>
    </row>
    <row r="378" spans="1:3" hidden="1" x14ac:dyDescent="0.3">
      <c r="A378" t="s">
        <v>100</v>
      </c>
      <c r="B378" s="3">
        <v>46023</v>
      </c>
      <c r="C378" s="11" t="s">
        <v>455</v>
      </c>
    </row>
    <row r="379" spans="1:3" ht="28.95" hidden="1" customHeight="1" x14ac:dyDescent="0.3">
      <c r="A379" t="s">
        <v>100</v>
      </c>
      <c r="B379" s="3">
        <v>46054</v>
      </c>
      <c r="C379" s="11" t="s">
        <v>456</v>
      </c>
    </row>
    <row r="380" spans="1:3" hidden="1" x14ac:dyDescent="0.3">
      <c r="A380" t="s">
        <v>100</v>
      </c>
      <c r="B380" s="3">
        <v>46082</v>
      </c>
      <c r="C380" s="11" t="s">
        <v>455</v>
      </c>
    </row>
    <row r="381" spans="1:3" hidden="1" x14ac:dyDescent="0.3">
      <c r="A381" t="s">
        <v>100</v>
      </c>
      <c r="B381" s="3">
        <v>46113</v>
      </c>
      <c r="C381" s="11" t="s">
        <v>455</v>
      </c>
    </row>
    <row r="382" spans="1:3" x14ac:dyDescent="0.3">
      <c r="A382" t="s">
        <v>100</v>
      </c>
      <c r="B382" s="3">
        <v>46143</v>
      </c>
      <c r="C382" s="11" t="s">
        <v>958</v>
      </c>
    </row>
    <row r="383" spans="1:3" hidden="1" x14ac:dyDescent="0.3">
      <c r="A383" t="s">
        <v>100</v>
      </c>
      <c r="B383" s="3">
        <v>46174</v>
      </c>
      <c r="C383" s="11"/>
    </row>
    <row r="384" spans="1:3" hidden="1" x14ac:dyDescent="0.3">
      <c r="A384" t="s">
        <v>100</v>
      </c>
      <c r="B384" s="3">
        <v>46204</v>
      </c>
      <c r="C384" s="11"/>
    </row>
    <row r="385" spans="1:3" hidden="1" x14ac:dyDescent="0.3">
      <c r="A385" t="s">
        <v>100</v>
      </c>
      <c r="B385" s="3">
        <v>46235</v>
      </c>
      <c r="C385" s="11"/>
    </row>
    <row r="386" spans="1:3" hidden="1" x14ac:dyDescent="0.3">
      <c r="A386" t="s">
        <v>252</v>
      </c>
      <c r="B386" s="3">
        <v>45536</v>
      </c>
      <c r="C386" s="11"/>
    </row>
    <row r="387" spans="1:3" hidden="1" x14ac:dyDescent="0.3">
      <c r="A387" t="s">
        <v>252</v>
      </c>
      <c r="B387" s="3">
        <v>45566</v>
      </c>
      <c r="C387" s="11"/>
    </row>
    <row r="388" spans="1:3" hidden="1" x14ac:dyDescent="0.3">
      <c r="A388" t="s">
        <v>252</v>
      </c>
      <c r="B388" s="3">
        <v>45597</v>
      </c>
      <c r="C388" s="11"/>
    </row>
    <row r="389" spans="1:3" hidden="1" x14ac:dyDescent="0.3">
      <c r="A389" t="s">
        <v>252</v>
      </c>
      <c r="B389" s="3">
        <v>45627</v>
      </c>
      <c r="C389" s="11"/>
    </row>
    <row r="390" spans="1:3" hidden="1" x14ac:dyDescent="0.3">
      <c r="A390" t="s">
        <v>252</v>
      </c>
      <c r="B390" s="3">
        <v>45658</v>
      </c>
      <c r="C390" s="11"/>
    </row>
    <row r="391" spans="1:3" hidden="1" x14ac:dyDescent="0.3">
      <c r="A391" t="s">
        <v>252</v>
      </c>
      <c r="B391" s="3">
        <v>45689</v>
      </c>
      <c r="C391" s="11"/>
    </row>
    <row r="392" spans="1:3" hidden="1" x14ac:dyDescent="0.3">
      <c r="A392" t="s">
        <v>252</v>
      </c>
      <c r="B392" s="3">
        <v>45717</v>
      </c>
      <c r="C392" s="11"/>
    </row>
    <row r="393" spans="1:3" hidden="1" x14ac:dyDescent="0.3">
      <c r="A393" t="s">
        <v>252</v>
      </c>
      <c r="B393" s="3">
        <v>45748</v>
      </c>
      <c r="C393" s="11"/>
    </row>
    <row r="394" spans="1:3" hidden="1" x14ac:dyDescent="0.3">
      <c r="A394" t="s">
        <v>252</v>
      </c>
      <c r="B394" s="3">
        <v>45778</v>
      </c>
      <c r="C394" s="11"/>
    </row>
    <row r="395" spans="1:3" hidden="1" x14ac:dyDescent="0.3">
      <c r="A395" t="s">
        <v>252</v>
      </c>
      <c r="B395" s="3">
        <v>45809</v>
      </c>
      <c r="C395" s="11"/>
    </row>
    <row r="396" spans="1:3" hidden="1" x14ac:dyDescent="0.3">
      <c r="A396" t="s">
        <v>252</v>
      </c>
      <c r="B396" s="3">
        <v>45839</v>
      </c>
      <c r="C396" s="11"/>
    </row>
    <row r="397" spans="1:3" hidden="1" x14ac:dyDescent="0.3">
      <c r="A397" t="s">
        <v>252</v>
      </c>
      <c r="B397" s="3">
        <v>45870</v>
      </c>
      <c r="C397" s="11"/>
    </row>
    <row r="398" spans="1:3" hidden="1" x14ac:dyDescent="0.3">
      <c r="A398" t="s">
        <v>252</v>
      </c>
      <c r="B398" s="3">
        <v>45901</v>
      </c>
      <c r="C398" s="11"/>
    </row>
    <row r="399" spans="1:3" hidden="1" x14ac:dyDescent="0.3">
      <c r="A399" t="s">
        <v>252</v>
      </c>
      <c r="B399" s="3">
        <v>45931</v>
      </c>
      <c r="C399" s="11"/>
    </row>
    <row r="400" spans="1:3" hidden="1" x14ac:dyDescent="0.3">
      <c r="A400" t="s">
        <v>252</v>
      </c>
      <c r="B400" s="3">
        <v>45962</v>
      </c>
      <c r="C400" s="11"/>
    </row>
    <row r="401" spans="1:3" hidden="1" x14ac:dyDescent="0.3">
      <c r="A401" t="s">
        <v>252</v>
      </c>
      <c r="B401" s="3">
        <v>45992</v>
      </c>
      <c r="C401" s="11"/>
    </row>
    <row r="402" spans="1:3" hidden="1" x14ac:dyDescent="0.3">
      <c r="A402" t="s">
        <v>252</v>
      </c>
      <c r="B402" s="3">
        <v>46023</v>
      </c>
      <c r="C402" s="11" t="s">
        <v>356</v>
      </c>
    </row>
    <row r="403" spans="1:3" hidden="1" x14ac:dyDescent="0.3">
      <c r="A403" t="s">
        <v>252</v>
      </c>
      <c r="B403" s="3">
        <v>46054</v>
      </c>
      <c r="C403" s="11" t="s">
        <v>356</v>
      </c>
    </row>
    <row r="404" spans="1:3" hidden="1" x14ac:dyDescent="0.3">
      <c r="A404" t="s">
        <v>252</v>
      </c>
      <c r="B404" s="3">
        <v>46082</v>
      </c>
      <c r="C404" s="11" t="s">
        <v>356</v>
      </c>
    </row>
    <row r="405" spans="1:3" hidden="1" x14ac:dyDescent="0.3">
      <c r="A405" t="s">
        <v>252</v>
      </c>
      <c r="B405" s="3">
        <v>46113</v>
      </c>
      <c r="C405" s="11" t="s">
        <v>320</v>
      </c>
    </row>
    <row r="406" spans="1:3" x14ac:dyDescent="0.3">
      <c r="A406" t="s">
        <v>252</v>
      </c>
      <c r="B406" s="3">
        <v>46143</v>
      </c>
      <c r="C406" s="11" t="s">
        <v>320</v>
      </c>
    </row>
    <row r="407" spans="1:3" hidden="1" x14ac:dyDescent="0.3">
      <c r="A407" t="s">
        <v>252</v>
      </c>
      <c r="B407" s="3">
        <v>46174</v>
      </c>
      <c r="C407" s="11"/>
    </row>
    <row r="408" spans="1:3" hidden="1" x14ac:dyDescent="0.3">
      <c r="A408" t="s">
        <v>252</v>
      </c>
      <c r="B408" s="3">
        <v>46204</v>
      </c>
      <c r="C408" s="11"/>
    </row>
    <row r="409" spans="1:3" hidden="1" x14ac:dyDescent="0.3">
      <c r="A409" t="s">
        <v>252</v>
      </c>
      <c r="B409" s="3">
        <v>46235</v>
      </c>
      <c r="C409" s="11"/>
    </row>
    <row r="410" spans="1:3" hidden="1" x14ac:dyDescent="0.3">
      <c r="A410" t="s">
        <v>103</v>
      </c>
      <c r="B410" s="3">
        <v>45536</v>
      </c>
      <c r="C410" s="11"/>
    </row>
    <row r="411" spans="1:3" hidden="1" x14ac:dyDescent="0.3">
      <c r="A411" t="s">
        <v>103</v>
      </c>
      <c r="B411" s="3">
        <v>45566</v>
      </c>
      <c r="C411" s="11"/>
    </row>
    <row r="412" spans="1:3" hidden="1" x14ac:dyDescent="0.3">
      <c r="A412" t="s">
        <v>103</v>
      </c>
      <c r="B412" s="3">
        <v>45597</v>
      </c>
      <c r="C412" s="11"/>
    </row>
    <row r="413" spans="1:3" hidden="1" x14ac:dyDescent="0.3">
      <c r="A413" t="s">
        <v>103</v>
      </c>
      <c r="B413" s="3">
        <v>45627</v>
      </c>
      <c r="C413" s="11"/>
    </row>
    <row r="414" spans="1:3" hidden="1" x14ac:dyDescent="0.3">
      <c r="A414" t="s">
        <v>103</v>
      </c>
      <c r="B414" s="3">
        <v>45658</v>
      </c>
      <c r="C414" s="11"/>
    </row>
    <row r="415" spans="1:3" ht="28.95" hidden="1" customHeight="1" x14ac:dyDescent="0.3">
      <c r="A415" t="s">
        <v>103</v>
      </c>
      <c r="B415" s="3">
        <v>45689</v>
      </c>
      <c r="C415" s="11" t="s">
        <v>457</v>
      </c>
    </row>
    <row r="416" spans="1:3" ht="28.95" hidden="1" customHeight="1" x14ac:dyDescent="0.3">
      <c r="A416" t="s">
        <v>103</v>
      </c>
      <c r="B416" s="3">
        <v>45717</v>
      </c>
      <c r="C416" s="11" t="s">
        <v>458</v>
      </c>
    </row>
    <row r="417" spans="1:3" ht="43.2" hidden="1" customHeight="1" x14ac:dyDescent="0.3">
      <c r="A417" t="s">
        <v>103</v>
      </c>
      <c r="B417" s="3">
        <v>45748</v>
      </c>
      <c r="C417" s="11" t="s">
        <v>459</v>
      </c>
    </row>
    <row r="418" spans="1:3" ht="72" hidden="1" customHeight="1" x14ac:dyDescent="0.3">
      <c r="A418" t="s">
        <v>103</v>
      </c>
      <c r="B418" s="3">
        <v>45778</v>
      </c>
      <c r="C418" s="11" t="s">
        <v>460</v>
      </c>
    </row>
    <row r="419" spans="1:3" ht="72" hidden="1" customHeight="1" x14ac:dyDescent="0.3">
      <c r="A419" t="s">
        <v>103</v>
      </c>
      <c r="B419" s="3">
        <v>45809</v>
      </c>
      <c r="C419" s="11" t="s">
        <v>461</v>
      </c>
    </row>
    <row r="420" spans="1:3" ht="72" hidden="1" customHeight="1" x14ac:dyDescent="0.3">
      <c r="A420" t="s">
        <v>103</v>
      </c>
      <c r="B420" s="3">
        <v>45839</v>
      </c>
      <c r="C420" s="11" t="s">
        <v>462</v>
      </c>
    </row>
    <row r="421" spans="1:3" ht="57.6" hidden="1" customHeight="1" x14ac:dyDescent="0.3">
      <c r="A421" t="s">
        <v>103</v>
      </c>
      <c r="B421" s="3">
        <v>45870</v>
      </c>
      <c r="C421" s="11" t="s">
        <v>463</v>
      </c>
    </row>
    <row r="422" spans="1:3" ht="57.6" hidden="1" customHeight="1" x14ac:dyDescent="0.3">
      <c r="A422" t="s">
        <v>103</v>
      </c>
      <c r="B422" s="3">
        <v>45901</v>
      </c>
      <c r="C422" s="11" t="s">
        <v>464</v>
      </c>
    </row>
    <row r="423" spans="1:3" ht="57.6" hidden="1" customHeight="1" x14ac:dyDescent="0.3">
      <c r="A423" t="s">
        <v>103</v>
      </c>
      <c r="B423" s="3">
        <v>45931</v>
      </c>
      <c r="C423" s="11" t="s">
        <v>465</v>
      </c>
    </row>
    <row r="424" spans="1:3" ht="57.6" hidden="1" customHeight="1" x14ac:dyDescent="0.3">
      <c r="A424" t="s">
        <v>103</v>
      </c>
      <c r="B424" s="3">
        <v>45962</v>
      </c>
      <c r="C424" s="11" t="s">
        <v>466</v>
      </c>
    </row>
    <row r="425" spans="1:3" hidden="1" x14ac:dyDescent="0.3">
      <c r="A425" t="s">
        <v>103</v>
      </c>
      <c r="B425" s="3">
        <v>45992</v>
      </c>
      <c r="C425" s="11" t="s">
        <v>467</v>
      </c>
    </row>
    <row r="426" spans="1:3" hidden="1" x14ac:dyDescent="0.3">
      <c r="A426" t="s">
        <v>103</v>
      </c>
      <c r="B426" s="3">
        <v>46023</v>
      </c>
      <c r="C426" s="11" t="s">
        <v>468</v>
      </c>
    </row>
    <row r="427" spans="1:3" hidden="1" x14ac:dyDescent="0.3">
      <c r="A427" t="s">
        <v>103</v>
      </c>
      <c r="B427" s="3">
        <v>46054</v>
      </c>
      <c r="C427" s="11" t="s">
        <v>469</v>
      </c>
    </row>
    <row r="428" spans="1:3" hidden="1" x14ac:dyDescent="0.3">
      <c r="A428" t="s">
        <v>103</v>
      </c>
      <c r="B428" s="3">
        <v>46082</v>
      </c>
      <c r="C428" s="11" t="s">
        <v>470</v>
      </c>
    </row>
    <row r="429" spans="1:3" hidden="1" x14ac:dyDescent="0.3">
      <c r="A429" t="s">
        <v>103</v>
      </c>
      <c r="B429" s="3">
        <v>46113</v>
      </c>
      <c r="C429" s="11" t="s">
        <v>470</v>
      </c>
    </row>
    <row r="430" spans="1:3" x14ac:dyDescent="0.3">
      <c r="A430" t="s">
        <v>103</v>
      </c>
      <c r="B430" s="3">
        <v>46143</v>
      </c>
      <c r="C430" s="11" t="s">
        <v>962</v>
      </c>
    </row>
    <row r="431" spans="1:3" hidden="1" x14ac:dyDescent="0.3">
      <c r="A431" t="s">
        <v>103</v>
      </c>
      <c r="B431" s="3">
        <v>46174</v>
      </c>
      <c r="C431" s="11"/>
    </row>
    <row r="432" spans="1:3" hidden="1" x14ac:dyDescent="0.3">
      <c r="A432" t="s">
        <v>103</v>
      </c>
      <c r="B432" s="3">
        <v>46204</v>
      </c>
      <c r="C432" s="11"/>
    </row>
    <row r="433" spans="1:3" hidden="1" x14ac:dyDescent="0.3">
      <c r="A433" t="s">
        <v>103</v>
      </c>
      <c r="B433" s="3">
        <v>46235</v>
      </c>
      <c r="C433" s="11"/>
    </row>
    <row r="434" spans="1:3" hidden="1" x14ac:dyDescent="0.3">
      <c r="A434" t="s">
        <v>107</v>
      </c>
      <c r="B434" s="3">
        <v>45536</v>
      </c>
      <c r="C434" s="11"/>
    </row>
    <row r="435" spans="1:3" hidden="1" x14ac:dyDescent="0.3">
      <c r="A435" t="s">
        <v>107</v>
      </c>
      <c r="B435" s="3">
        <v>45566</v>
      </c>
      <c r="C435" s="11"/>
    </row>
    <row r="436" spans="1:3" hidden="1" x14ac:dyDescent="0.3">
      <c r="A436" t="s">
        <v>107</v>
      </c>
      <c r="B436" s="3">
        <v>45597</v>
      </c>
      <c r="C436" s="11"/>
    </row>
    <row r="437" spans="1:3" hidden="1" x14ac:dyDescent="0.3">
      <c r="A437" t="s">
        <v>107</v>
      </c>
      <c r="B437" s="3">
        <v>45627</v>
      </c>
      <c r="C437" s="11"/>
    </row>
    <row r="438" spans="1:3" hidden="1" x14ac:dyDescent="0.3">
      <c r="A438" t="s">
        <v>107</v>
      </c>
      <c r="B438" s="3">
        <v>45658</v>
      </c>
      <c r="C438" s="11"/>
    </row>
    <row r="439" spans="1:3" ht="57.6" hidden="1" customHeight="1" x14ac:dyDescent="0.3">
      <c r="A439" t="s">
        <v>107</v>
      </c>
      <c r="B439" s="3">
        <v>45689</v>
      </c>
      <c r="C439" s="11" t="s">
        <v>471</v>
      </c>
    </row>
    <row r="440" spans="1:3" ht="43.2" hidden="1" customHeight="1" x14ac:dyDescent="0.3">
      <c r="A440" t="s">
        <v>107</v>
      </c>
      <c r="B440" s="3">
        <v>45717</v>
      </c>
      <c r="C440" s="11" t="s">
        <v>472</v>
      </c>
    </row>
    <row r="441" spans="1:3" ht="43.2" hidden="1" customHeight="1" x14ac:dyDescent="0.3">
      <c r="A441" t="s">
        <v>107</v>
      </c>
      <c r="B441" s="3">
        <v>45748</v>
      </c>
      <c r="C441" s="11" t="s">
        <v>473</v>
      </c>
    </row>
    <row r="442" spans="1:3" ht="57.6" hidden="1" customHeight="1" x14ac:dyDescent="0.3">
      <c r="A442" t="s">
        <v>107</v>
      </c>
      <c r="B442" s="3">
        <v>45778</v>
      </c>
      <c r="C442" s="11" t="s">
        <v>474</v>
      </c>
    </row>
    <row r="443" spans="1:3" ht="72" hidden="1" customHeight="1" x14ac:dyDescent="0.3">
      <c r="A443" t="s">
        <v>107</v>
      </c>
      <c r="B443" s="3">
        <v>45809</v>
      </c>
      <c r="C443" s="11" t="s">
        <v>475</v>
      </c>
    </row>
    <row r="444" spans="1:3" ht="57.6" hidden="1" customHeight="1" x14ac:dyDescent="0.3">
      <c r="A444" t="s">
        <v>107</v>
      </c>
      <c r="B444" s="3">
        <v>45839</v>
      </c>
      <c r="C444" s="11" t="s">
        <v>476</v>
      </c>
    </row>
    <row r="445" spans="1:3" ht="86.4" hidden="1" customHeight="1" x14ac:dyDescent="0.3">
      <c r="A445" t="s">
        <v>107</v>
      </c>
      <c r="B445" s="3">
        <v>45870</v>
      </c>
      <c r="C445" s="11" t="s">
        <v>477</v>
      </c>
    </row>
    <row r="446" spans="1:3" ht="57.6" hidden="1" customHeight="1" x14ac:dyDescent="0.3">
      <c r="A446" t="s">
        <v>107</v>
      </c>
      <c r="B446" s="3">
        <v>45901</v>
      </c>
      <c r="C446" s="11" t="s">
        <v>478</v>
      </c>
    </row>
    <row r="447" spans="1:3" ht="57.6" hidden="1" customHeight="1" x14ac:dyDescent="0.3">
      <c r="A447" t="s">
        <v>107</v>
      </c>
      <c r="B447" s="3">
        <v>45931</v>
      </c>
      <c r="C447" s="11" t="s">
        <v>479</v>
      </c>
    </row>
    <row r="448" spans="1:3" ht="57.6" hidden="1" customHeight="1" x14ac:dyDescent="0.3">
      <c r="A448" t="s">
        <v>107</v>
      </c>
      <c r="B448" s="3">
        <v>45962</v>
      </c>
      <c r="C448" s="11" t="s">
        <v>480</v>
      </c>
    </row>
    <row r="449" spans="1:3" hidden="1" x14ac:dyDescent="0.3">
      <c r="A449" t="s">
        <v>107</v>
      </c>
      <c r="B449" s="3">
        <v>45992</v>
      </c>
      <c r="C449" s="11" t="s">
        <v>467</v>
      </c>
    </row>
    <row r="450" spans="1:3" hidden="1" x14ac:dyDescent="0.3">
      <c r="A450" t="s">
        <v>107</v>
      </c>
      <c r="B450" s="3">
        <v>46023</v>
      </c>
      <c r="C450" s="11" t="s">
        <v>455</v>
      </c>
    </row>
    <row r="451" spans="1:3" hidden="1" x14ac:dyDescent="0.3">
      <c r="A451" t="s">
        <v>107</v>
      </c>
      <c r="B451" s="3">
        <v>46054</v>
      </c>
      <c r="C451" s="11" t="s">
        <v>455</v>
      </c>
    </row>
    <row r="452" spans="1:3" hidden="1" x14ac:dyDescent="0.3">
      <c r="A452" t="s">
        <v>107</v>
      </c>
      <c r="B452" s="3">
        <v>46082</v>
      </c>
      <c r="C452" s="11" t="s">
        <v>455</v>
      </c>
    </row>
    <row r="453" spans="1:3" hidden="1" x14ac:dyDescent="0.3">
      <c r="A453" t="s">
        <v>107</v>
      </c>
      <c r="B453" s="3">
        <v>46113</v>
      </c>
      <c r="C453" s="11" t="s">
        <v>455</v>
      </c>
    </row>
    <row r="454" spans="1:3" x14ac:dyDescent="0.3">
      <c r="A454" t="s">
        <v>107</v>
      </c>
      <c r="B454" s="3">
        <v>46143</v>
      </c>
      <c r="C454" s="11" t="s">
        <v>958</v>
      </c>
    </row>
    <row r="455" spans="1:3" hidden="1" x14ac:dyDescent="0.3">
      <c r="A455" t="s">
        <v>107</v>
      </c>
      <c r="B455" s="3">
        <v>46174</v>
      </c>
      <c r="C455" s="11"/>
    </row>
    <row r="456" spans="1:3" hidden="1" x14ac:dyDescent="0.3">
      <c r="A456" t="s">
        <v>107</v>
      </c>
      <c r="B456" s="3">
        <v>46204</v>
      </c>
      <c r="C456" s="11"/>
    </row>
    <row r="457" spans="1:3" hidden="1" x14ac:dyDescent="0.3">
      <c r="A457" t="s">
        <v>107</v>
      </c>
      <c r="B457" s="3">
        <v>46235</v>
      </c>
      <c r="C457" s="11"/>
    </row>
    <row r="458" spans="1:3" hidden="1" x14ac:dyDescent="0.3">
      <c r="A458" t="s">
        <v>109</v>
      </c>
      <c r="B458" s="3">
        <v>45536</v>
      </c>
      <c r="C458" s="11" t="s">
        <v>481</v>
      </c>
    </row>
    <row r="459" spans="1:3" hidden="1" x14ac:dyDescent="0.3">
      <c r="A459" t="s">
        <v>109</v>
      </c>
      <c r="B459" s="3">
        <v>45566</v>
      </c>
      <c r="C459" s="11" t="s">
        <v>481</v>
      </c>
    </row>
    <row r="460" spans="1:3" hidden="1" x14ac:dyDescent="0.3">
      <c r="A460" t="s">
        <v>109</v>
      </c>
      <c r="B460" s="3">
        <v>45597</v>
      </c>
      <c r="C460" s="11"/>
    </row>
    <row r="461" spans="1:3" hidden="1" x14ac:dyDescent="0.3">
      <c r="A461" t="s">
        <v>109</v>
      </c>
      <c r="B461" s="3">
        <v>45627</v>
      </c>
      <c r="C461" s="11"/>
    </row>
    <row r="462" spans="1:3" hidden="1" x14ac:dyDescent="0.3">
      <c r="A462" t="s">
        <v>109</v>
      </c>
      <c r="B462" s="3">
        <v>45658</v>
      </c>
      <c r="C462" s="11"/>
    </row>
    <row r="463" spans="1:3" ht="57.6" hidden="1" customHeight="1" x14ac:dyDescent="0.3">
      <c r="A463" t="s">
        <v>109</v>
      </c>
      <c r="B463" s="3">
        <v>45689</v>
      </c>
      <c r="C463" s="11" t="s">
        <v>482</v>
      </c>
    </row>
    <row r="464" spans="1:3" ht="57.6" hidden="1" customHeight="1" x14ac:dyDescent="0.3">
      <c r="A464" t="s">
        <v>109</v>
      </c>
      <c r="B464" s="3">
        <v>45717</v>
      </c>
      <c r="C464" s="11" t="s">
        <v>483</v>
      </c>
    </row>
    <row r="465" spans="1:3" ht="57.6" hidden="1" customHeight="1" x14ac:dyDescent="0.3">
      <c r="A465" t="s">
        <v>109</v>
      </c>
      <c r="B465" s="3">
        <v>45748</v>
      </c>
      <c r="C465" s="11" t="s">
        <v>484</v>
      </c>
    </row>
    <row r="466" spans="1:3" ht="72" hidden="1" customHeight="1" x14ac:dyDescent="0.3">
      <c r="A466" t="s">
        <v>109</v>
      </c>
      <c r="B466" s="3">
        <v>45778</v>
      </c>
      <c r="C466" s="11" t="s">
        <v>485</v>
      </c>
    </row>
    <row r="467" spans="1:3" ht="57.6" hidden="1" customHeight="1" x14ac:dyDescent="0.3">
      <c r="A467" t="s">
        <v>109</v>
      </c>
      <c r="B467" s="3">
        <v>45809</v>
      </c>
      <c r="C467" s="11" t="s">
        <v>486</v>
      </c>
    </row>
    <row r="468" spans="1:3" ht="57.6" hidden="1" customHeight="1" x14ac:dyDescent="0.3">
      <c r="A468" t="s">
        <v>109</v>
      </c>
      <c r="B468" s="3">
        <v>45839</v>
      </c>
      <c r="C468" s="11" t="s">
        <v>487</v>
      </c>
    </row>
    <row r="469" spans="1:3" ht="86.4" hidden="1" customHeight="1" x14ac:dyDescent="0.3">
      <c r="A469" t="s">
        <v>109</v>
      </c>
      <c r="B469" s="3">
        <v>45870</v>
      </c>
      <c r="C469" s="11" t="s">
        <v>488</v>
      </c>
    </row>
    <row r="470" spans="1:3" ht="72" hidden="1" customHeight="1" x14ac:dyDescent="0.3">
      <c r="A470" t="s">
        <v>109</v>
      </c>
      <c r="B470" s="3">
        <v>45901</v>
      </c>
      <c r="C470" s="11" t="s">
        <v>489</v>
      </c>
    </row>
    <row r="471" spans="1:3" ht="72" hidden="1" customHeight="1" x14ac:dyDescent="0.3">
      <c r="A471" t="s">
        <v>109</v>
      </c>
      <c r="B471" s="3">
        <v>45931</v>
      </c>
      <c r="C471" s="11" t="s">
        <v>490</v>
      </c>
    </row>
    <row r="472" spans="1:3" ht="57.6" hidden="1" customHeight="1" x14ac:dyDescent="0.3">
      <c r="A472" t="s">
        <v>109</v>
      </c>
      <c r="B472" s="3">
        <v>45962</v>
      </c>
      <c r="C472" s="11" t="s">
        <v>491</v>
      </c>
    </row>
    <row r="473" spans="1:3" hidden="1" x14ac:dyDescent="0.3">
      <c r="A473" t="s">
        <v>109</v>
      </c>
      <c r="B473" s="3">
        <v>45992</v>
      </c>
      <c r="C473" s="11" t="s">
        <v>492</v>
      </c>
    </row>
    <row r="474" spans="1:3" hidden="1" x14ac:dyDescent="0.3">
      <c r="A474" t="s">
        <v>109</v>
      </c>
      <c r="B474" s="3">
        <v>46023</v>
      </c>
      <c r="C474" s="11" t="s">
        <v>455</v>
      </c>
    </row>
    <row r="475" spans="1:3" hidden="1" x14ac:dyDescent="0.3">
      <c r="A475" t="s">
        <v>109</v>
      </c>
      <c r="B475" s="3">
        <v>46054</v>
      </c>
      <c r="C475" s="11" t="s">
        <v>455</v>
      </c>
    </row>
    <row r="476" spans="1:3" hidden="1" x14ac:dyDescent="0.3">
      <c r="A476" t="s">
        <v>109</v>
      </c>
      <c r="B476" s="3">
        <v>46082</v>
      </c>
      <c r="C476" s="11" t="s">
        <v>493</v>
      </c>
    </row>
    <row r="477" spans="1:3" hidden="1" x14ac:dyDescent="0.3">
      <c r="A477" t="s">
        <v>109</v>
      </c>
      <c r="B477" s="3">
        <v>46113</v>
      </c>
      <c r="C477" s="11" t="s">
        <v>320</v>
      </c>
    </row>
    <row r="478" spans="1:3" x14ac:dyDescent="0.3">
      <c r="A478" t="s">
        <v>109</v>
      </c>
      <c r="B478" s="3">
        <v>46143</v>
      </c>
      <c r="C478" s="11" t="s">
        <v>963</v>
      </c>
    </row>
    <row r="479" spans="1:3" hidden="1" x14ac:dyDescent="0.3">
      <c r="A479" t="s">
        <v>109</v>
      </c>
      <c r="B479" s="3">
        <v>46174</v>
      </c>
      <c r="C479" s="11"/>
    </row>
    <row r="480" spans="1:3" hidden="1" x14ac:dyDescent="0.3">
      <c r="A480" t="s">
        <v>109</v>
      </c>
      <c r="B480" s="3">
        <v>46204</v>
      </c>
      <c r="C480" s="11"/>
    </row>
    <row r="481" spans="1:3" hidden="1" x14ac:dyDescent="0.3">
      <c r="A481" t="s">
        <v>109</v>
      </c>
      <c r="B481" s="3">
        <v>46235</v>
      </c>
      <c r="C481" s="11"/>
    </row>
    <row r="482" spans="1:3" hidden="1" x14ac:dyDescent="0.3">
      <c r="A482" t="s">
        <v>113</v>
      </c>
      <c r="B482" s="3">
        <v>45536</v>
      </c>
      <c r="C482" s="11"/>
    </row>
    <row r="483" spans="1:3" hidden="1" x14ac:dyDescent="0.3">
      <c r="A483" t="s">
        <v>113</v>
      </c>
      <c r="B483" s="3">
        <v>45566</v>
      </c>
      <c r="C483" s="11"/>
    </row>
    <row r="484" spans="1:3" hidden="1" x14ac:dyDescent="0.3">
      <c r="A484" t="s">
        <v>113</v>
      </c>
      <c r="B484" s="3">
        <v>45597</v>
      </c>
      <c r="C484" s="11"/>
    </row>
    <row r="485" spans="1:3" hidden="1" x14ac:dyDescent="0.3">
      <c r="A485" t="s">
        <v>113</v>
      </c>
      <c r="B485" s="3">
        <v>45627</v>
      </c>
      <c r="C485" s="11"/>
    </row>
    <row r="486" spans="1:3" hidden="1" x14ac:dyDescent="0.3">
      <c r="A486" t="s">
        <v>113</v>
      </c>
      <c r="B486" s="3">
        <v>45658</v>
      </c>
      <c r="C486" s="11"/>
    </row>
    <row r="487" spans="1:3" ht="57.6" hidden="1" customHeight="1" x14ac:dyDescent="0.3">
      <c r="A487" t="s">
        <v>113</v>
      </c>
      <c r="B487" s="3">
        <v>45689</v>
      </c>
      <c r="C487" s="11" t="s">
        <v>482</v>
      </c>
    </row>
    <row r="488" spans="1:3" hidden="1" x14ac:dyDescent="0.3">
      <c r="A488" t="s">
        <v>113</v>
      </c>
      <c r="B488" s="3">
        <v>45717</v>
      </c>
      <c r="C488" s="11" t="s">
        <v>494</v>
      </c>
    </row>
    <row r="489" spans="1:3" hidden="1" x14ac:dyDescent="0.3">
      <c r="A489" t="s">
        <v>113</v>
      </c>
      <c r="B489" s="3">
        <v>45748</v>
      </c>
      <c r="C489" s="11" t="s">
        <v>494</v>
      </c>
    </row>
    <row r="490" spans="1:3" ht="57.6" hidden="1" customHeight="1" x14ac:dyDescent="0.3">
      <c r="A490" t="s">
        <v>113</v>
      </c>
      <c r="B490" s="3">
        <v>45778</v>
      </c>
      <c r="C490" s="11" t="s">
        <v>495</v>
      </c>
    </row>
    <row r="491" spans="1:3" ht="57.6" hidden="1" customHeight="1" x14ac:dyDescent="0.3">
      <c r="A491" t="s">
        <v>113</v>
      </c>
      <c r="B491" s="3">
        <v>45809</v>
      </c>
      <c r="C491" s="11" t="s">
        <v>496</v>
      </c>
    </row>
    <row r="492" spans="1:3" ht="57.6" hidden="1" customHeight="1" x14ac:dyDescent="0.3">
      <c r="A492" t="s">
        <v>113</v>
      </c>
      <c r="B492" s="3">
        <v>45839</v>
      </c>
      <c r="C492" s="11" t="s">
        <v>497</v>
      </c>
    </row>
    <row r="493" spans="1:3" ht="86.4" hidden="1" customHeight="1" x14ac:dyDescent="0.3">
      <c r="A493" t="s">
        <v>113</v>
      </c>
      <c r="B493" s="3">
        <v>45870</v>
      </c>
      <c r="C493" s="11" t="s">
        <v>498</v>
      </c>
    </row>
    <row r="494" spans="1:3" ht="57.6" hidden="1" customHeight="1" x14ac:dyDescent="0.3">
      <c r="A494" t="s">
        <v>113</v>
      </c>
      <c r="B494" s="3">
        <v>45901</v>
      </c>
      <c r="C494" s="11" t="s">
        <v>499</v>
      </c>
    </row>
    <row r="495" spans="1:3" ht="57.6" hidden="1" customHeight="1" x14ac:dyDescent="0.3">
      <c r="A495" t="s">
        <v>113</v>
      </c>
      <c r="B495" s="3">
        <v>45931</v>
      </c>
      <c r="C495" s="11" t="s">
        <v>500</v>
      </c>
    </row>
    <row r="496" spans="1:3" ht="57.6" hidden="1" customHeight="1" x14ac:dyDescent="0.3">
      <c r="A496" t="s">
        <v>113</v>
      </c>
      <c r="B496" s="3">
        <v>45962</v>
      </c>
      <c r="C496" s="11" t="s">
        <v>501</v>
      </c>
    </row>
    <row r="497" spans="1:3" hidden="1" x14ac:dyDescent="0.3">
      <c r="A497" t="s">
        <v>113</v>
      </c>
      <c r="B497" s="3">
        <v>45992</v>
      </c>
      <c r="C497" s="11" t="s">
        <v>344</v>
      </c>
    </row>
    <row r="498" spans="1:3" hidden="1" x14ac:dyDescent="0.3">
      <c r="A498" t="s">
        <v>113</v>
      </c>
      <c r="B498" s="3">
        <v>46023</v>
      </c>
      <c r="C498" s="11" t="s">
        <v>502</v>
      </c>
    </row>
    <row r="499" spans="1:3" hidden="1" x14ac:dyDescent="0.3">
      <c r="A499" t="s">
        <v>113</v>
      </c>
      <c r="B499" s="3">
        <v>46054</v>
      </c>
      <c r="C499" s="11" t="s">
        <v>344</v>
      </c>
    </row>
    <row r="500" spans="1:3" hidden="1" x14ac:dyDescent="0.3">
      <c r="A500" t="s">
        <v>113</v>
      </c>
      <c r="B500" s="3">
        <v>46082</v>
      </c>
      <c r="C500" s="11" t="s">
        <v>503</v>
      </c>
    </row>
    <row r="501" spans="1:3" hidden="1" x14ac:dyDescent="0.3">
      <c r="A501" t="s">
        <v>113</v>
      </c>
      <c r="B501" s="3">
        <v>46113</v>
      </c>
      <c r="C501" s="11" t="s">
        <v>503</v>
      </c>
    </row>
    <row r="502" spans="1:3" x14ac:dyDescent="0.3">
      <c r="A502" t="s">
        <v>113</v>
      </c>
      <c r="B502" s="3">
        <v>46143</v>
      </c>
      <c r="C502" s="11" t="s">
        <v>320</v>
      </c>
    </row>
    <row r="503" spans="1:3" hidden="1" x14ac:dyDescent="0.3">
      <c r="A503" t="s">
        <v>113</v>
      </c>
      <c r="B503" s="3">
        <v>46174</v>
      </c>
      <c r="C503" s="11"/>
    </row>
    <row r="504" spans="1:3" hidden="1" x14ac:dyDescent="0.3">
      <c r="A504" t="s">
        <v>113</v>
      </c>
      <c r="B504" s="3">
        <v>46204</v>
      </c>
      <c r="C504" s="11"/>
    </row>
    <row r="505" spans="1:3" hidden="1" x14ac:dyDescent="0.3">
      <c r="A505" t="s">
        <v>113</v>
      </c>
      <c r="B505" s="3">
        <v>46235</v>
      </c>
      <c r="C505" s="11"/>
    </row>
    <row r="506" spans="1:3" hidden="1" x14ac:dyDescent="0.3">
      <c r="A506" t="s">
        <v>241</v>
      </c>
      <c r="B506" s="3">
        <v>45536</v>
      </c>
      <c r="C506" s="11"/>
    </row>
    <row r="507" spans="1:3" hidden="1" x14ac:dyDescent="0.3">
      <c r="A507" t="s">
        <v>241</v>
      </c>
      <c r="B507" s="3">
        <v>45566</v>
      </c>
      <c r="C507" s="11"/>
    </row>
    <row r="508" spans="1:3" hidden="1" x14ac:dyDescent="0.3">
      <c r="A508" t="s">
        <v>241</v>
      </c>
      <c r="B508" s="3">
        <v>45597</v>
      </c>
      <c r="C508" s="11"/>
    </row>
    <row r="509" spans="1:3" hidden="1" x14ac:dyDescent="0.3">
      <c r="A509" t="s">
        <v>241</v>
      </c>
      <c r="B509" s="3">
        <v>45627</v>
      </c>
      <c r="C509" s="11"/>
    </row>
    <row r="510" spans="1:3" hidden="1" x14ac:dyDescent="0.3">
      <c r="A510" t="s">
        <v>241</v>
      </c>
      <c r="B510" s="3">
        <v>45658</v>
      </c>
      <c r="C510" s="11"/>
    </row>
    <row r="511" spans="1:3" hidden="1" x14ac:dyDescent="0.3">
      <c r="A511" t="s">
        <v>241</v>
      </c>
      <c r="B511" s="3">
        <v>45689</v>
      </c>
      <c r="C511" s="11"/>
    </row>
    <row r="512" spans="1:3" hidden="1" x14ac:dyDescent="0.3">
      <c r="A512" t="s">
        <v>241</v>
      </c>
      <c r="B512" s="3">
        <v>45717</v>
      </c>
      <c r="C512" s="11"/>
    </row>
    <row r="513" spans="1:3" hidden="1" x14ac:dyDescent="0.3">
      <c r="A513" t="s">
        <v>241</v>
      </c>
      <c r="B513" s="3">
        <v>45748</v>
      </c>
      <c r="C513" s="11"/>
    </row>
    <row r="514" spans="1:3" hidden="1" x14ac:dyDescent="0.3">
      <c r="A514" t="s">
        <v>241</v>
      </c>
      <c r="B514" s="3">
        <v>45778</v>
      </c>
      <c r="C514" s="11"/>
    </row>
    <row r="515" spans="1:3" hidden="1" x14ac:dyDescent="0.3">
      <c r="A515" t="s">
        <v>241</v>
      </c>
      <c r="B515" s="3">
        <v>45809</v>
      </c>
      <c r="C515" s="11"/>
    </row>
    <row r="516" spans="1:3" hidden="1" x14ac:dyDescent="0.3">
      <c r="A516" t="s">
        <v>241</v>
      </c>
      <c r="B516" s="3">
        <v>45839</v>
      </c>
      <c r="C516" s="11"/>
    </row>
    <row r="517" spans="1:3" hidden="1" x14ac:dyDescent="0.3">
      <c r="A517" t="s">
        <v>241</v>
      </c>
      <c r="B517" s="3">
        <v>45870</v>
      </c>
      <c r="C517" s="11"/>
    </row>
    <row r="518" spans="1:3" hidden="1" x14ac:dyDescent="0.3">
      <c r="A518" t="s">
        <v>241</v>
      </c>
      <c r="B518" s="3">
        <v>45901</v>
      </c>
      <c r="C518" s="11"/>
    </row>
    <row r="519" spans="1:3" hidden="1" x14ac:dyDescent="0.3">
      <c r="A519" t="s">
        <v>241</v>
      </c>
      <c r="B519" s="3">
        <v>45931</v>
      </c>
      <c r="C519" s="11"/>
    </row>
    <row r="520" spans="1:3" hidden="1" x14ac:dyDescent="0.3">
      <c r="A520" t="s">
        <v>241</v>
      </c>
      <c r="B520" s="3">
        <v>45962</v>
      </c>
      <c r="C520" s="11"/>
    </row>
    <row r="521" spans="1:3" hidden="1" x14ac:dyDescent="0.3">
      <c r="A521" t="s">
        <v>241</v>
      </c>
      <c r="B521" s="3">
        <v>45992</v>
      </c>
      <c r="C521" s="11"/>
    </row>
    <row r="522" spans="1:3" hidden="1" x14ac:dyDescent="0.3">
      <c r="A522" t="s">
        <v>241</v>
      </c>
      <c r="B522" s="3">
        <v>46023</v>
      </c>
      <c r="C522" s="11"/>
    </row>
    <row r="523" spans="1:3" hidden="1" x14ac:dyDescent="0.3">
      <c r="A523" t="s">
        <v>241</v>
      </c>
      <c r="B523" s="3">
        <v>46054</v>
      </c>
      <c r="C523" s="11"/>
    </row>
    <row r="524" spans="1:3" hidden="1" x14ac:dyDescent="0.3">
      <c r="A524" t="s">
        <v>241</v>
      </c>
      <c r="B524" s="3">
        <v>46082</v>
      </c>
      <c r="C524" s="11" t="s">
        <v>504</v>
      </c>
    </row>
    <row r="525" spans="1:3" hidden="1" x14ac:dyDescent="0.3">
      <c r="A525" t="s">
        <v>241</v>
      </c>
      <c r="B525" s="3">
        <v>46113</v>
      </c>
      <c r="C525" s="11" t="s">
        <v>505</v>
      </c>
    </row>
    <row r="526" spans="1:3" x14ac:dyDescent="0.3">
      <c r="A526" t="s">
        <v>241</v>
      </c>
      <c r="B526" s="3">
        <v>46143</v>
      </c>
      <c r="C526" s="11" t="s">
        <v>958</v>
      </c>
    </row>
    <row r="527" spans="1:3" hidden="1" x14ac:dyDescent="0.3">
      <c r="A527" t="s">
        <v>241</v>
      </c>
      <c r="B527" s="3">
        <v>46174</v>
      </c>
      <c r="C527" s="11"/>
    </row>
    <row r="528" spans="1:3" hidden="1" x14ac:dyDescent="0.3">
      <c r="A528" t="s">
        <v>241</v>
      </c>
      <c r="B528" s="3">
        <v>46204</v>
      </c>
      <c r="C528" s="11"/>
    </row>
    <row r="529" spans="1:3" hidden="1" x14ac:dyDescent="0.3">
      <c r="A529" t="s">
        <v>241</v>
      </c>
      <c r="B529" s="3">
        <v>46235</v>
      </c>
      <c r="C529" s="11"/>
    </row>
    <row r="530" spans="1:3" hidden="1" x14ac:dyDescent="0.3">
      <c r="A530" t="s">
        <v>115</v>
      </c>
      <c r="B530" s="3">
        <v>45536</v>
      </c>
      <c r="C530" s="11"/>
    </row>
    <row r="531" spans="1:3" hidden="1" x14ac:dyDescent="0.3">
      <c r="A531" t="s">
        <v>115</v>
      </c>
      <c r="B531" s="3">
        <v>45566</v>
      </c>
      <c r="C531" s="11"/>
    </row>
    <row r="532" spans="1:3" hidden="1" x14ac:dyDescent="0.3">
      <c r="A532" t="s">
        <v>115</v>
      </c>
      <c r="B532" s="3">
        <v>45597</v>
      </c>
      <c r="C532" s="11"/>
    </row>
    <row r="533" spans="1:3" hidden="1" x14ac:dyDescent="0.3">
      <c r="A533" t="s">
        <v>115</v>
      </c>
      <c r="B533" s="3">
        <v>45627</v>
      </c>
      <c r="C533" s="11"/>
    </row>
    <row r="534" spans="1:3" hidden="1" x14ac:dyDescent="0.3">
      <c r="A534" t="s">
        <v>115</v>
      </c>
      <c r="B534" s="3">
        <v>45658</v>
      </c>
      <c r="C534" s="11"/>
    </row>
    <row r="535" spans="1:3" ht="28.95" hidden="1" customHeight="1" x14ac:dyDescent="0.3">
      <c r="A535" t="s">
        <v>115</v>
      </c>
      <c r="B535" s="3">
        <v>45689</v>
      </c>
      <c r="C535" s="11" t="s">
        <v>506</v>
      </c>
    </row>
    <row r="536" spans="1:3" hidden="1" x14ac:dyDescent="0.3">
      <c r="A536" t="s">
        <v>115</v>
      </c>
      <c r="B536" s="3">
        <v>45717</v>
      </c>
      <c r="C536" s="11"/>
    </row>
    <row r="537" spans="1:3" hidden="1" x14ac:dyDescent="0.3">
      <c r="A537" t="s">
        <v>115</v>
      </c>
      <c r="B537" s="3">
        <v>45748</v>
      </c>
      <c r="C537" s="11"/>
    </row>
    <row r="538" spans="1:3" ht="43.2" hidden="1" customHeight="1" x14ac:dyDescent="0.3">
      <c r="A538" t="s">
        <v>115</v>
      </c>
      <c r="B538" s="3">
        <v>45778</v>
      </c>
      <c r="C538" s="11" t="s">
        <v>507</v>
      </c>
    </row>
    <row r="539" spans="1:3" ht="57.6" hidden="1" customHeight="1" x14ac:dyDescent="0.3">
      <c r="A539" t="s">
        <v>115</v>
      </c>
      <c r="B539" s="3">
        <v>45809</v>
      </c>
      <c r="C539" s="11" t="s">
        <v>508</v>
      </c>
    </row>
    <row r="540" spans="1:3" ht="57.6" hidden="1" customHeight="1" x14ac:dyDescent="0.3">
      <c r="A540" t="s">
        <v>115</v>
      </c>
      <c r="B540" s="3">
        <v>45839</v>
      </c>
      <c r="C540" s="11" t="s">
        <v>509</v>
      </c>
    </row>
    <row r="541" spans="1:3" ht="57.6" hidden="1" customHeight="1" x14ac:dyDescent="0.3">
      <c r="A541" t="s">
        <v>115</v>
      </c>
      <c r="B541" s="3">
        <v>45870</v>
      </c>
      <c r="C541" s="11" t="s">
        <v>510</v>
      </c>
    </row>
    <row r="542" spans="1:3" ht="57.6" hidden="1" customHeight="1" x14ac:dyDescent="0.3">
      <c r="A542" t="s">
        <v>115</v>
      </c>
      <c r="B542" s="3">
        <v>45901</v>
      </c>
      <c r="C542" s="11" t="s">
        <v>511</v>
      </c>
    </row>
    <row r="543" spans="1:3" ht="57.6" hidden="1" customHeight="1" x14ac:dyDescent="0.3">
      <c r="A543" t="s">
        <v>115</v>
      </c>
      <c r="B543" s="3">
        <v>45931</v>
      </c>
      <c r="C543" s="11" t="s">
        <v>512</v>
      </c>
    </row>
    <row r="544" spans="1:3" ht="57.6" hidden="1" customHeight="1" x14ac:dyDescent="0.3">
      <c r="A544" t="s">
        <v>115</v>
      </c>
      <c r="B544" s="3">
        <v>45962</v>
      </c>
      <c r="C544" s="11" t="s">
        <v>513</v>
      </c>
    </row>
    <row r="545" spans="1:3" hidden="1" x14ac:dyDescent="0.3">
      <c r="A545" t="s">
        <v>115</v>
      </c>
      <c r="B545" s="3">
        <v>45992</v>
      </c>
      <c r="C545" s="11" t="s">
        <v>514</v>
      </c>
    </row>
    <row r="546" spans="1:3" hidden="1" x14ac:dyDescent="0.3">
      <c r="A546" t="s">
        <v>115</v>
      </c>
      <c r="B546" s="3">
        <v>46023</v>
      </c>
      <c r="C546" s="11" t="s">
        <v>514</v>
      </c>
    </row>
    <row r="547" spans="1:3" hidden="1" x14ac:dyDescent="0.3">
      <c r="A547" t="s">
        <v>115</v>
      </c>
      <c r="B547" s="3">
        <v>46054</v>
      </c>
      <c r="C547" s="11" t="s">
        <v>344</v>
      </c>
    </row>
    <row r="548" spans="1:3" hidden="1" x14ac:dyDescent="0.3">
      <c r="A548" t="s">
        <v>115</v>
      </c>
      <c r="B548" s="3">
        <v>46082</v>
      </c>
      <c r="C548" s="11" t="s">
        <v>515</v>
      </c>
    </row>
    <row r="549" spans="1:3" hidden="1" x14ac:dyDescent="0.3">
      <c r="A549" t="s">
        <v>115</v>
      </c>
      <c r="B549" s="3">
        <v>46113</v>
      </c>
      <c r="C549" s="11" t="s">
        <v>515</v>
      </c>
    </row>
    <row r="550" spans="1:3" x14ac:dyDescent="0.3">
      <c r="A550" t="s">
        <v>115</v>
      </c>
      <c r="B550" s="3">
        <v>46143</v>
      </c>
      <c r="C550" s="11" t="s">
        <v>964</v>
      </c>
    </row>
    <row r="551" spans="1:3" hidden="1" x14ac:dyDescent="0.3">
      <c r="A551" t="s">
        <v>115</v>
      </c>
      <c r="B551" s="3">
        <v>46174</v>
      </c>
      <c r="C551" s="11"/>
    </row>
    <row r="552" spans="1:3" hidden="1" x14ac:dyDescent="0.3">
      <c r="A552" t="s">
        <v>115</v>
      </c>
      <c r="B552" s="3">
        <v>46204</v>
      </c>
      <c r="C552" s="11"/>
    </row>
    <row r="553" spans="1:3" hidden="1" x14ac:dyDescent="0.3">
      <c r="A553" t="s">
        <v>115</v>
      </c>
      <c r="B553" s="3">
        <v>46235</v>
      </c>
      <c r="C553" s="11"/>
    </row>
    <row r="554" spans="1:3" hidden="1" x14ac:dyDescent="0.3">
      <c r="A554" t="s">
        <v>119</v>
      </c>
      <c r="B554" s="3">
        <v>45536</v>
      </c>
      <c r="C554" s="11"/>
    </row>
    <row r="555" spans="1:3" hidden="1" x14ac:dyDescent="0.3">
      <c r="A555" t="s">
        <v>119</v>
      </c>
      <c r="B555" s="3">
        <v>45566</v>
      </c>
      <c r="C555" s="11"/>
    </row>
    <row r="556" spans="1:3" hidden="1" x14ac:dyDescent="0.3">
      <c r="A556" t="s">
        <v>119</v>
      </c>
      <c r="B556" s="3">
        <v>45597</v>
      </c>
      <c r="C556" s="11"/>
    </row>
    <row r="557" spans="1:3" hidden="1" x14ac:dyDescent="0.3">
      <c r="A557" t="s">
        <v>119</v>
      </c>
      <c r="B557" s="3">
        <v>45627</v>
      </c>
      <c r="C557" s="11"/>
    </row>
    <row r="558" spans="1:3" hidden="1" x14ac:dyDescent="0.3">
      <c r="A558" t="s">
        <v>119</v>
      </c>
      <c r="B558" s="3">
        <v>45658</v>
      </c>
      <c r="C558" s="11"/>
    </row>
    <row r="559" spans="1:3" ht="43.2" hidden="1" customHeight="1" x14ac:dyDescent="0.3">
      <c r="A559" t="s">
        <v>119</v>
      </c>
      <c r="B559" s="3">
        <v>45689</v>
      </c>
      <c r="C559" s="11" t="s">
        <v>516</v>
      </c>
    </row>
    <row r="560" spans="1:3" ht="28.95" hidden="1" customHeight="1" x14ac:dyDescent="0.3">
      <c r="A560" t="s">
        <v>119</v>
      </c>
      <c r="B560" s="3">
        <v>45717</v>
      </c>
      <c r="C560" s="11" t="s">
        <v>517</v>
      </c>
    </row>
    <row r="561" spans="1:3" ht="28.95" hidden="1" customHeight="1" x14ac:dyDescent="0.3">
      <c r="A561" t="s">
        <v>119</v>
      </c>
      <c r="B561" s="3">
        <v>45748</v>
      </c>
      <c r="C561" s="11" t="s">
        <v>518</v>
      </c>
    </row>
    <row r="562" spans="1:3" ht="72" hidden="1" customHeight="1" x14ac:dyDescent="0.3">
      <c r="A562" t="s">
        <v>119</v>
      </c>
      <c r="B562" s="3">
        <v>45778</v>
      </c>
      <c r="C562" s="11" t="s">
        <v>519</v>
      </c>
    </row>
    <row r="563" spans="1:3" ht="57.6" hidden="1" customHeight="1" x14ac:dyDescent="0.3">
      <c r="A563" t="s">
        <v>119</v>
      </c>
      <c r="B563" s="3">
        <v>45809</v>
      </c>
      <c r="C563" s="11" t="s">
        <v>520</v>
      </c>
    </row>
    <row r="564" spans="1:3" ht="57.6" hidden="1" customHeight="1" x14ac:dyDescent="0.3">
      <c r="A564" t="s">
        <v>119</v>
      </c>
      <c r="B564" s="3">
        <v>45839</v>
      </c>
      <c r="C564" s="11" t="s">
        <v>521</v>
      </c>
    </row>
    <row r="565" spans="1:3" ht="57.6" hidden="1" customHeight="1" x14ac:dyDescent="0.3">
      <c r="A565" t="s">
        <v>119</v>
      </c>
      <c r="B565" s="3">
        <v>45870</v>
      </c>
      <c r="C565" s="11" t="s">
        <v>522</v>
      </c>
    </row>
    <row r="566" spans="1:3" ht="57.6" hidden="1" customHeight="1" x14ac:dyDescent="0.3">
      <c r="A566" t="s">
        <v>119</v>
      </c>
      <c r="B566" s="3">
        <v>45901</v>
      </c>
      <c r="C566" s="11" t="s">
        <v>523</v>
      </c>
    </row>
    <row r="567" spans="1:3" ht="57.6" hidden="1" customHeight="1" x14ac:dyDescent="0.3">
      <c r="A567" t="s">
        <v>119</v>
      </c>
      <c r="B567" s="3">
        <v>45931</v>
      </c>
      <c r="C567" s="11" t="s">
        <v>524</v>
      </c>
    </row>
    <row r="568" spans="1:3" ht="57.6" hidden="1" customHeight="1" x14ac:dyDescent="0.3">
      <c r="A568" t="s">
        <v>119</v>
      </c>
      <c r="B568" s="3">
        <v>45962</v>
      </c>
      <c r="C568" s="11" t="s">
        <v>525</v>
      </c>
    </row>
    <row r="569" spans="1:3" hidden="1" x14ac:dyDescent="0.3">
      <c r="A569" t="s">
        <v>119</v>
      </c>
      <c r="B569" s="3">
        <v>45992</v>
      </c>
      <c r="C569" s="11" t="s">
        <v>344</v>
      </c>
    </row>
    <row r="570" spans="1:3" hidden="1" x14ac:dyDescent="0.3">
      <c r="A570" t="s">
        <v>119</v>
      </c>
      <c r="B570" s="3">
        <v>46023</v>
      </c>
      <c r="C570" s="11" t="s">
        <v>356</v>
      </c>
    </row>
    <row r="571" spans="1:3" hidden="1" x14ac:dyDescent="0.3">
      <c r="A571" t="s">
        <v>119</v>
      </c>
      <c r="B571" s="3">
        <v>46054</v>
      </c>
      <c r="C571" s="11" t="s">
        <v>344</v>
      </c>
    </row>
    <row r="572" spans="1:3" hidden="1" x14ac:dyDescent="0.3">
      <c r="A572" t="s">
        <v>119</v>
      </c>
      <c r="B572" s="3">
        <v>46082</v>
      </c>
      <c r="C572" s="11" t="s">
        <v>344</v>
      </c>
    </row>
    <row r="573" spans="1:3" hidden="1" x14ac:dyDescent="0.3">
      <c r="A573" t="s">
        <v>119</v>
      </c>
      <c r="B573" s="3">
        <v>46113</v>
      </c>
      <c r="C573" s="11" t="s">
        <v>526</v>
      </c>
    </row>
    <row r="574" spans="1:3" x14ac:dyDescent="0.3">
      <c r="A574" t="s">
        <v>119</v>
      </c>
      <c r="B574" s="3">
        <v>46143</v>
      </c>
      <c r="C574" s="11" t="s">
        <v>975</v>
      </c>
    </row>
    <row r="575" spans="1:3" hidden="1" x14ac:dyDescent="0.3">
      <c r="A575" t="s">
        <v>119</v>
      </c>
      <c r="B575" s="3">
        <v>46174</v>
      </c>
      <c r="C575" s="11"/>
    </row>
    <row r="576" spans="1:3" hidden="1" x14ac:dyDescent="0.3">
      <c r="A576" t="s">
        <v>119</v>
      </c>
      <c r="B576" s="3">
        <v>46204</v>
      </c>
      <c r="C576" s="11"/>
    </row>
    <row r="577" spans="1:3" hidden="1" x14ac:dyDescent="0.3">
      <c r="A577" t="s">
        <v>119</v>
      </c>
      <c r="B577" s="3">
        <v>46235</v>
      </c>
      <c r="C577" s="11"/>
    </row>
    <row r="578" spans="1:3" hidden="1" x14ac:dyDescent="0.3">
      <c r="A578" t="s">
        <v>120</v>
      </c>
      <c r="B578" s="3">
        <v>45536</v>
      </c>
      <c r="C578" s="11"/>
    </row>
    <row r="579" spans="1:3" hidden="1" x14ac:dyDescent="0.3">
      <c r="A579" t="s">
        <v>120</v>
      </c>
      <c r="B579" s="3">
        <v>45566</v>
      </c>
      <c r="C579" s="11"/>
    </row>
    <row r="580" spans="1:3" hidden="1" x14ac:dyDescent="0.3">
      <c r="A580" t="s">
        <v>120</v>
      </c>
      <c r="B580" s="3">
        <v>45597</v>
      </c>
      <c r="C580" s="11"/>
    </row>
    <row r="581" spans="1:3" hidden="1" x14ac:dyDescent="0.3">
      <c r="A581" t="s">
        <v>120</v>
      </c>
      <c r="B581" s="3">
        <v>45627</v>
      </c>
      <c r="C581" s="11"/>
    </row>
    <row r="582" spans="1:3" hidden="1" x14ac:dyDescent="0.3">
      <c r="A582" t="s">
        <v>120</v>
      </c>
      <c r="B582" s="3">
        <v>45658</v>
      </c>
      <c r="C582" s="11"/>
    </row>
    <row r="583" spans="1:3" ht="43.2" hidden="1" customHeight="1" x14ac:dyDescent="0.3">
      <c r="A583" t="s">
        <v>120</v>
      </c>
      <c r="B583" s="3">
        <v>45689</v>
      </c>
      <c r="C583" s="11" t="s">
        <v>527</v>
      </c>
    </row>
    <row r="584" spans="1:3" ht="43.2" hidden="1" customHeight="1" x14ac:dyDescent="0.3">
      <c r="A584" t="s">
        <v>120</v>
      </c>
      <c r="B584" s="3">
        <v>45717</v>
      </c>
      <c r="C584" s="11" t="s">
        <v>528</v>
      </c>
    </row>
    <row r="585" spans="1:3" ht="57.6" hidden="1" customHeight="1" x14ac:dyDescent="0.3">
      <c r="A585" t="s">
        <v>120</v>
      </c>
      <c r="B585" s="3">
        <v>45748</v>
      </c>
      <c r="C585" s="11" t="s">
        <v>529</v>
      </c>
    </row>
    <row r="586" spans="1:3" ht="57.6" hidden="1" customHeight="1" x14ac:dyDescent="0.3">
      <c r="A586" t="s">
        <v>120</v>
      </c>
      <c r="B586" s="3">
        <v>45778</v>
      </c>
      <c r="C586" s="11" t="s">
        <v>530</v>
      </c>
    </row>
    <row r="587" spans="1:3" ht="57.6" hidden="1" customHeight="1" x14ac:dyDescent="0.3">
      <c r="A587" t="s">
        <v>120</v>
      </c>
      <c r="B587" s="3">
        <v>45809</v>
      </c>
      <c r="C587" s="11" t="s">
        <v>531</v>
      </c>
    </row>
    <row r="588" spans="1:3" ht="57.6" hidden="1" customHeight="1" x14ac:dyDescent="0.3">
      <c r="A588" t="s">
        <v>120</v>
      </c>
      <c r="B588" s="3">
        <v>45839</v>
      </c>
      <c r="C588" s="11" t="s">
        <v>532</v>
      </c>
    </row>
    <row r="589" spans="1:3" ht="57.6" hidden="1" customHeight="1" x14ac:dyDescent="0.3">
      <c r="A589" t="s">
        <v>120</v>
      </c>
      <c r="B589" s="3">
        <v>45870</v>
      </c>
      <c r="C589" s="11" t="s">
        <v>533</v>
      </c>
    </row>
    <row r="590" spans="1:3" ht="57.6" hidden="1" customHeight="1" x14ac:dyDescent="0.3">
      <c r="A590" t="s">
        <v>120</v>
      </c>
      <c r="B590" s="3">
        <v>45901</v>
      </c>
      <c r="C590" s="11" t="s">
        <v>534</v>
      </c>
    </row>
    <row r="591" spans="1:3" ht="57.6" hidden="1" customHeight="1" x14ac:dyDescent="0.3">
      <c r="A591" t="s">
        <v>120</v>
      </c>
      <c r="B591" s="3">
        <v>45931</v>
      </c>
      <c r="C591" s="11" t="s">
        <v>535</v>
      </c>
    </row>
    <row r="592" spans="1:3" ht="57.6" hidden="1" customHeight="1" x14ac:dyDescent="0.3">
      <c r="A592" t="s">
        <v>120</v>
      </c>
      <c r="B592" s="3">
        <v>45962</v>
      </c>
      <c r="C592" s="11" t="s">
        <v>536</v>
      </c>
    </row>
    <row r="593" spans="1:3" hidden="1" x14ac:dyDescent="0.3">
      <c r="A593" t="s">
        <v>120</v>
      </c>
      <c r="B593" s="3">
        <v>45992</v>
      </c>
      <c r="C593" s="11" t="s">
        <v>537</v>
      </c>
    </row>
    <row r="594" spans="1:3" hidden="1" x14ac:dyDescent="0.3">
      <c r="A594" t="s">
        <v>120</v>
      </c>
      <c r="B594" s="3">
        <v>46023</v>
      </c>
      <c r="C594" s="11" t="s">
        <v>538</v>
      </c>
    </row>
    <row r="595" spans="1:3" hidden="1" x14ac:dyDescent="0.3">
      <c r="A595" t="s">
        <v>120</v>
      </c>
      <c r="B595" s="3">
        <v>46054</v>
      </c>
      <c r="C595" s="11" t="s">
        <v>344</v>
      </c>
    </row>
    <row r="596" spans="1:3" hidden="1" x14ac:dyDescent="0.3">
      <c r="A596" t="s">
        <v>120</v>
      </c>
      <c r="B596" s="3">
        <v>46082</v>
      </c>
      <c r="C596" s="11" t="s">
        <v>344</v>
      </c>
    </row>
    <row r="597" spans="1:3" hidden="1" x14ac:dyDescent="0.3">
      <c r="A597" t="s">
        <v>120</v>
      </c>
      <c r="B597" s="3">
        <v>46113</v>
      </c>
      <c r="C597" s="11" t="s">
        <v>526</v>
      </c>
    </row>
    <row r="598" spans="1:3" x14ac:dyDescent="0.3">
      <c r="A598" t="s">
        <v>120</v>
      </c>
      <c r="B598" s="3">
        <v>46143</v>
      </c>
      <c r="C598" s="11" t="s">
        <v>320</v>
      </c>
    </row>
    <row r="599" spans="1:3" hidden="1" x14ac:dyDescent="0.3">
      <c r="A599" t="s">
        <v>120</v>
      </c>
      <c r="B599" s="3">
        <v>46174</v>
      </c>
      <c r="C599" s="11"/>
    </row>
    <row r="600" spans="1:3" hidden="1" x14ac:dyDescent="0.3">
      <c r="A600" t="s">
        <v>120</v>
      </c>
      <c r="B600" s="3">
        <v>46204</v>
      </c>
      <c r="C600" s="11"/>
    </row>
    <row r="601" spans="1:3" hidden="1" x14ac:dyDescent="0.3">
      <c r="A601" t="s">
        <v>120</v>
      </c>
      <c r="B601" s="3">
        <v>46235</v>
      </c>
      <c r="C601" s="11"/>
    </row>
    <row r="602" spans="1:3" hidden="1" x14ac:dyDescent="0.3">
      <c r="A602" t="s">
        <v>124</v>
      </c>
      <c r="B602" s="3">
        <v>45536</v>
      </c>
      <c r="C602" s="11"/>
    </row>
    <row r="603" spans="1:3" hidden="1" x14ac:dyDescent="0.3">
      <c r="A603" t="s">
        <v>124</v>
      </c>
      <c r="B603" s="3">
        <v>45566</v>
      </c>
      <c r="C603" s="11"/>
    </row>
    <row r="604" spans="1:3" hidden="1" x14ac:dyDescent="0.3">
      <c r="A604" t="s">
        <v>124</v>
      </c>
      <c r="B604" s="3">
        <v>45597</v>
      </c>
      <c r="C604" s="11"/>
    </row>
    <row r="605" spans="1:3" hidden="1" x14ac:dyDescent="0.3">
      <c r="A605" t="s">
        <v>124</v>
      </c>
      <c r="B605" s="3">
        <v>45627</v>
      </c>
      <c r="C605" s="11"/>
    </row>
    <row r="606" spans="1:3" hidden="1" x14ac:dyDescent="0.3">
      <c r="A606" t="s">
        <v>124</v>
      </c>
      <c r="B606" s="3">
        <v>45658</v>
      </c>
      <c r="C606" s="11"/>
    </row>
    <row r="607" spans="1:3" ht="43.2" hidden="1" customHeight="1" x14ac:dyDescent="0.3">
      <c r="A607" t="s">
        <v>124</v>
      </c>
      <c r="B607" s="3">
        <v>45689</v>
      </c>
      <c r="C607" s="11" t="s">
        <v>539</v>
      </c>
    </row>
    <row r="608" spans="1:3" ht="28.95" hidden="1" customHeight="1" x14ac:dyDescent="0.3">
      <c r="A608" t="s">
        <v>124</v>
      </c>
      <c r="B608" s="3">
        <v>45717</v>
      </c>
      <c r="C608" s="11" t="s">
        <v>540</v>
      </c>
    </row>
    <row r="609" spans="1:3" hidden="1" x14ac:dyDescent="0.3">
      <c r="A609" t="s">
        <v>124</v>
      </c>
      <c r="B609" s="3">
        <v>45748</v>
      </c>
      <c r="C609" s="11" t="s">
        <v>541</v>
      </c>
    </row>
    <row r="610" spans="1:3" ht="43.2" hidden="1" customHeight="1" x14ac:dyDescent="0.3">
      <c r="A610" t="s">
        <v>124</v>
      </c>
      <c r="B610" s="3">
        <v>45778</v>
      </c>
      <c r="C610" s="11" t="s">
        <v>542</v>
      </c>
    </row>
    <row r="611" spans="1:3" ht="43.2" hidden="1" customHeight="1" x14ac:dyDescent="0.3">
      <c r="A611" t="s">
        <v>124</v>
      </c>
      <c r="B611" s="3">
        <v>45809</v>
      </c>
      <c r="C611" s="11" t="s">
        <v>543</v>
      </c>
    </row>
    <row r="612" spans="1:3" ht="43.2" hidden="1" customHeight="1" x14ac:dyDescent="0.3">
      <c r="A612" t="s">
        <v>124</v>
      </c>
      <c r="B612" s="3">
        <v>45839</v>
      </c>
      <c r="C612" s="11" t="s">
        <v>544</v>
      </c>
    </row>
    <row r="613" spans="1:3" ht="57.6" hidden="1" customHeight="1" x14ac:dyDescent="0.3">
      <c r="A613" t="s">
        <v>124</v>
      </c>
      <c r="B613" s="3">
        <v>45870</v>
      </c>
      <c r="C613" s="11" t="s">
        <v>545</v>
      </c>
    </row>
    <row r="614" spans="1:3" ht="57.6" hidden="1" customHeight="1" x14ac:dyDescent="0.3">
      <c r="A614" t="s">
        <v>124</v>
      </c>
      <c r="B614" s="3">
        <v>45901</v>
      </c>
      <c r="C614" s="11" t="s">
        <v>546</v>
      </c>
    </row>
    <row r="615" spans="1:3" ht="57.6" hidden="1" customHeight="1" x14ac:dyDescent="0.3">
      <c r="A615" t="s">
        <v>124</v>
      </c>
      <c r="B615" s="3">
        <v>45931</v>
      </c>
      <c r="C615" s="11" t="s">
        <v>547</v>
      </c>
    </row>
    <row r="616" spans="1:3" ht="57.6" hidden="1" customHeight="1" x14ac:dyDescent="0.3">
      <c r="A616" t="s">
        <v>124</v>
      </c>
      <c r="B616" s="3">
        <v>45962</v>
      </c>
      <c r="C616" s="11" t="s">
        <v>548</v>
      </c>
    </row>
    <row r="617" spans="1:3" hidden="1" x14ac:dyDescent="0.3">
      <c r="A617" t="s">
        <v>124</v>
      </c>
      <c r="B617" s="3">
        <v>45992</v>
      </c>
      <c r="C617" s="11" t="s">
        <v>344</v>
      </c>
    </row>
    <row r="618" spans="1:3" hidden="1" x14ac:dyDescent="0.3">
      <c r="A618" t="s">
        <v>124</v>
      </c>
      <c r="B618" s="3">
        <v>46023</v>
      </c>
      <c r="C618" s="11" t="s">
        <v>538</v>
      </c>
    </row>
    <row r="619" spans="1:3" hidden="1" x14ac:dyDescent="0.3">
      <c r="A619" t="s">
        <v>124</v>
      </c>
      <c r="B619" s="3">
        <v>46054</v>
      </c>
      <c r="C619" s="11" t="s">
        <v>344</v>
      </c>
    </row>
    <row r="620" spans="1:3" hidden="1" x14ac:dyDescent="0.3">
      <c r="A620" t="s">
        <v>124</v>
      </c>
      <c r="B620" s="3">
        <v>46082</v>
      </c>
      <c r="C620" s="11" t="s">
        <v>538</v>
      </c>
    </row>
    <row r="621" spans="1:3" hidden="1" x14ac:dyDescent="0.3">
      <c r="A621" t="s">
        <v>124</v>
      </c>
      <c r="B621" s="3">
        <v>46113</v>
      </c>
      <c r="C621" s="11" t="s">
        <v>549</v>
      </c>
    </row>
    <row r="622" spans="1:3" x14ac:dyDescent="0.3">
      <c r="A622" t="s">
        <v>124</v>
      </c>
      <c r="B622" s="3">
        <v>46143</v>
      </c>
      <c r="C622" s="11" t="s">
        <v>320</v>
      </c>
    </row>
    <row r="623" spans="1:3" hidden="1" x14ac:dyDescent="0.3">
      <c r="A623" t="s">
        <v>124</v>
      </c>
      <c r="B623" s="3">
        <v>46174</v>
      </c>
      <c r="C623" s="11"/>
    </row>
    <row r="624" spans="1:3" hidden="1" x14ac:dyDescent="0.3">
      <c r="A624" t="s">
        <v>124</v>
      </c>
      <c r="B624" s="3">
        <v>46204</v>
      </c>
      <c r="C624" s="11"/>
    </row>
    <row r="625" spans="1:3" hidden="1" x14ac:dyDescent="0.3">
      <c r="A625" t="s">
        <v>124</v>
      </c>
      <c r="B625" s="3">
        <v>46235</v>
      </c>
      <c r="C625" s="11"/>
    </row>
    <row r="626" spans="1:3" hidden="1" x14ac:dyDescent="0.3">
      <c r="A626" t="s">
        <v>238</v>
      </c>
      <c r="B626" s="3">
        <v>45536</v>
      </c>
      <c r="C626" s="11"/>
    </row>
    <row r="627" spans="1:3" hidden="1" x14ac:dyDescent="0.3">
      <c r="A627" t="s">
        <v>238</v>
      </c>
      <c r="B627" s="3">
        <v>45566</v>
      </c>
      <c r="C627" s="11"/>
    </row>
    <row r="628" spans="1:3" hidden="1" x14ac:dyDescent="0.3">
      <c r="A628" t="s">
        <v>238</v>
      </c>
      <c r="B628" s="3">
        <v>45597</v>
      </c>
      <c r="C628" s="11"/>
    </row>
    <row r="629" spans="1:3" hidden="1" x14ac:dyDescent="0.3">
      <c r="A629" t="s">
        <v>238</v>
      </c>
      <c r="B629" s="3">
        <v>45627</v>
      </c>
      <c r="C629" s="11"/>
    </row>
    <row r="630" spans="1:3" hidden="1" x14ac:dyDescent="0.3">
      <c r="A630" t="s">
        <v>238</v>
      </c>
      <c r="B630" s="3">
        <v>45658</v>
      </c>
      <c r="C630" s="11"/>
    </row>
    <row r="631" spans="1:3" hidden="1" x14ac:dyDescent="0.3">
      <c r="A631" t="s">
        <v>238</v>
      </c>
      <c r="B631" s="3">
        <v>45689</v>
      </c>
      <c r="C631" s="11"/>
    </row>
    <row r="632" spans="1:3" hidden="1" x14ac:dyDescent="0.3">
      <c r="A632" t="s">
        <v>238</v>
      </c>
      <c r="B632" s="3">
        <v>45717</v>
      </c>
      <c r="C632" s="11"/>
    </row>
    <row r="633" spans="1:3" hidden="1" x14ac:dyDescent="0.3">
      <c r="A633" t="s">
        <v>238</v>
      </c>
      <c r="B633" s="3">
        <v>45748</v>
      </c>
      <c r="C633" s="11"/>
    </row>
    <row r="634" spans="1:3" hidden="1" x14ac:dyDescent="0.3">
      <c r="A634" t="s">
        <v>238</v>
      </c>
      <c r="B634" s="3">
        <v>45778</v>
      </c>
      <c r="C634" s="11"/>
    </row>
    <row r="635" spans="1:3" hidden="1" x14ac:dyDescent="0.3">
      <c r="A635" t="s">
        <v>238</v>
      </c>
      <c r="B635" s="3">
        <v>45809</v>
      </c>
      <c r="C635" s="11"/>
    </row>
    <row r="636" spans="1:3" hidden="1" x14ac:dyDescent="0.3">
      <c r="A636" t="s">
        <v>238</v>
      </c>
      <c r="B636" s="3">
        <v>45839</v>
      </c>
      <c r="C636" s="11"/>
    </row>
    <row r="637" spans="1:3" hidden="1" x14ac:dyDescent="0.3">
      <c r="A637" t="s">
        <v>238</v>
      </c>
      <c r="B637" s="3">
        <v>45870</v>
      </c>
      <c r="C637" s="11"/>
    </row>
    <row r="638" spans="1:3" hidden="1" x14ac:dyDescent="0.3">
      <c r="A638" t="s">
        <v>238</v>
      </c>
      <c r="B638" s="3">
        <v>45901</v>
      </c>
      <c r="C638" s="11"/>
    </row>
    <row r="639" spans="1:3" hidden="1" x14ac:dyDescent="0.3">
      <c r="A639" t="s">
        <v>238</v>
      </c>
      <c r="B639" s="3">
        <v>45931</v>
      </c>
      <c r="C639" s="11"/>
    </row>
    <row r="640" spans="1:3" hidden="1" x14ac:dyDescent="0.3">
      <c r="A640" t="s">
        <v>238</v>
      </c>
      <c r="B640" s="3">
        <v>45962</v>
      </c>
      <c r="C640" s="11"/>
    </row>
    <row r="641" spans="1:3" hidden="1" x14ac:dyDescent="0.3">
      <c r="A641" t="s">
        <v>238</v>
      </c>
      <c r="B641" s="3">
        <v>45992</v>
      </c>
      <c r="C641" s="11" t="s">
        <v>550</v>
      </c>
    </row>
    <row r="642" spans="1:3" hidden="1" x14ac:dyDescent="0.3">
      <c r="A642" t="s">
        <v>238</v>
      </c>
      <c r="B642" s="3">
        <v>46023</v>
      </c>
      <c r="C642" s="11" t="s">
        <v>505</v>
      </c>
    </row>
    <row r="643" spans="1:3" hidden="1" x14ac:dyDescent="0.3">
      <c r="A643" t="s">
        <v>238</v>
      </c>
      <c r="B643" s="3">
        <v>46054</v>
      </c>
      <c r="C643" s="11" t="s">
        <v>344</v>
      </c>
    </row>
    <row r="644" spans="1:3" hidden="1" x14ac:dyDescent="0.3">
      <c r="A644" t="s">
        <v>238</v>
      </c>
      <c r="B644" s="3">
        <v>46082</v>
      </c>
      <c r="C644" s="11" t="s">
        <v>344</v>
      </c>
    </row>
    <row r="645" spans="1:3" hidden="1" x14ac:dyDescent="0.3">
      <c r="A645" t="s">
        <v>238</v>
      </c>
      <c r="B645" s="3">
        <v>46113</v>
      </c>
      <c r="C645" s="11" t="s">
        <v>320</v>
      </c>
    </row>
    <row r="646" spans="1:3" x14ac:dyDescent="0.3">
      <c r="A646" t="s">
        <v>238</v>
      </c>
      <c r="B646" s="3">
        <v>46143</v>
      </c>
      <c r="C646" s="11" t="s">
        <v>320</v>
      </c>
    </row>
    <row r="647" spans="1:3" hidden="1" x14ac:dyDescent="0.3">
      <c r="A647" t="s">
        <v>238</v>
      </c>
      <c r="B647" s="3">
        <v>46174</v>
      </c>
      <c r="C647" s="11"/>
    </row>
    <row r="648" spans="1:3" hidden="1" x14ac:dyDescent="0.3">
      <c r="A648" t="s">
        <v>238</v>
      </c>
      <c r="B648" s="3">
        <v>46204</v>
      </c>
      <c r="C648" s="11"/>
    </row>
    <row r="649" spans="1:3" hidden="1" x14ac:dyDescent="0.3">
      <c r="A649" t="s">
        <v>238</v>
      </c>
      <c r="B649" s="3">
        <v>46235</v>
      </c>
      <c r="C649" s="11"/>
    </row>
    <row r="650" spans="1:3" hidden="1" x14ac:dyDescent="0.3">
      <c r="A650" t="s">
        <v>236</v>
      </c>
      <c r="B650" s="3">
        <v>45536</v>
      </c>
      <c r="C650" s="11"/>
    </row>
    <row r="651" spans="1:3" hidden="1" x14ac:dyDescent="0.3">
      <c r="A651" t="s">
        <v>236</v>
      </c>
      <c r="B651" s="3">
        <v>45566</v>
      </c>
      <c r="C651" s="11"/>
    </row>
    <row r="652" spans="1:3" hidden="1" x14ac:dyDescent="0.3">
      <c r="A652" t="s">
        <v>236</v>
      </c>
      <c r="B652" s="3">
        <v>45597</v>
      </c>
      <c r="C652" s="11"/>
    </row>
    <row r="653" spans="1:3" hidden="1" x14ac:dyDescent="0.3">
      <c r="A653" t="s">
        <v>236</v>
      </c>
      <c r="B653" s="3">
        <v>45627</v>
      </c>
      <c r="C653" s="11"/>
    </row>
    <row r="654" spans="1:3" hidden="1" x14ac:dyDescent="0.3">
      <c r="A654" t="s">
        <v>236</v>
      </c>
      <c r="B654" s="3">
        <v>45658</v>
      </c>
      <c r="C654" s="11"/>
    </row>
    <row r="655" spans="1:3" hidden="1" x14ac:dyDescent="0.3">
      <c r="A655" t="s">
        <v>236</v>
      </c>
      <c r="B655" s="3">
        <v>45689</v>
      </c>
      <c r="C655" s="11"/>
    </row>
    <row r="656" spans="1:3" hidden="1" x14ac:dyDescent="0.3">
      <c r="A656" t="s">
        <v>236</v>
      </c>
      <c r="B656" s="3">
        <v>45717</v>
      </c>
      <c r="C656" s="11"/>
    </row>
    <row r="657" spans="1:3" hidden="1" x14ac:dyDescent="0.3">
      <c r="A657" t="s">
        <v>236</v>
      </c>
      <c r="B657" s="3">
        <v>45748</v>
      </c>
      <c r="C657" s="11"/>
    </row>
    <row r="658" spans="1:3" hidden="1" x14ac:dyDescent="0.3">
      <c r="A658" t="s">
        <v>236</v>
      </c>
      <c r="B658" s="3">
        <v>45778</v>
      </c>
      <c r="C658" s="11"/>
    </row>
    <row r="659" spans="1:3" hidden="1" x14ac:dyDescent="0.3">
      <c r="A659" t="s">
        <v>236</v>
      </c>
      <c r="B659" s="3">
        <v>45809</v>
      </c>
      <c r="C659" s="11"/>
    </row>
    <row r="660" spans="1:3" hidden="1" x14ac:dyDescent="0.3">
      <c r="A660" t="s">
        <v>236</v>
      </c>
      <c r="B660" s="3">
        <v>45839</v>
      </c>
      <c r="C660" s="11"/>
    </row>
    <row r="661" spans="1:3" hidden="1" x14ac:dyDescent="0.3">
      <c r="A661" t="s">
        <v>236</v>
      </c>
      <c r="B661" s="3">
        <v>45870</v>
      </c>
      <c r="C661" s="11"/>
    </row>
    <row r="662" spans="1:3" hidden="1" x14ac:dyDescent="0.3">
      <c r="A662" t="s">
        <v>236</v>
      </c>
      <c r="B662" s="3">
        <v>45901</v>
      </c>
      <c r="C662" s="11"/>
    </row>
    <row r="663" spans="1:3" hidden="1" x14ac:dyDescent="0.3">
      <c r="A663" t="s">
        <v>236</v>
      </c>
      <c r="B663" s="3">
        <v>45931</v>
      </c>
      <c r="C663" s="11"/>
    </row>
    <row r="664" spans="1:3" hidden="1" x14ac:dyDescent="0.3">
      <c r="A664" t="s">
        <v>236</v>
      </c>
      <c r="B664" s="3">
        <v>45962</v>
      </c>
      <c r="C664" s="11"/>
    </row>
    <row r="665" spans="1:3" hidden="1" x14ac:dyDescent="0.3">
      <c r="A665" t="s">
        <v>236</v>
      </c>
      <c r="B665" s="3">
        <v>45992</v>
      </c>
      <c r="C665" s="11" t="s">
        <v>550</v>
      </c>
    </row>
    <row r="666" spans="1:3" hidden="1" x14ac:dyDescent="0.3">
      <c r="A666" t="s">
        <v>236</v>
      </c>
      <c r="B666" s="3">
        <v>46023</v>
      </c>
      <c r="C666" s="11" t="s">
        <v>538</v>
      </c>
    </row>
    <row r="667" spans="1:3" hidden="1" x14ac:dyDescent="0.3">
      <c r="A667" t="s">
        <v>236</v>
      </c>
      <c r="B667" s="3">
        <v>46054</v>
      </c>
      <c r="C667" s="11" t="s">
        <v>551</v>
      </c>
    </row>
    <row r="668" spans="1:3" hidden="1" x14ac:dyDescent="0.3">
      <c r="A668" t="s">
        <v>236</v>
      </c>
      <c r="B668" s="3">
        <v>46082</v>
      </c>
      <c r="C668" s="11" t="s">
        <v>551</v>
      </c>
    </row>
    <row r="669" spans="1:3" hidden="1" x14ac:dyDescent="0.3">
      <c r="A669" t="s">
        <v>236</v>
      </c>
      <c r="B669" s="3">
        <v>46113</v>
      </c>
      <c r="C669" s="11" t="s">
        <v>551</v>
      </c>
    </row>
    <row r="670" spans="1:3" x14ac:dyDescent="0.3">
      <c r="A670" t="s">
        <v>236</v>
      </c>
      <c r="B670" s="3">
        <v>46143</v>
      </c>
      <c r="C670" s="11" t="s">
        <v>975</v>
      </c>
    </row>
    <row r="671" spans="1:3" hidden="1" x14ac:dyDescent="0.3">
      <c r="A671" t="s">
        <v>236</v>
      </c>
      <c r="B671" s="3">
        <v>46174</v>
      </c>
      <c r="C671" s="11"/>
    </row>
    <row r="672" spans="1:3" hidden="1" x14ac:dyDescent="0.3">
      <c r="A672" t="s">
        <v>236</v>
      </c>
      <c r="B672" s="3">
        <v>46204</v>
      </c>
      <c r="C672" s="11"/>
    </row>
    <row r="673" spans="1:3" hidden="1" x14ac:dyDescent="0.3">
      <c r="A673" t="s">
        <v>236</v>
      </c>
      <c r="B673" s="3">
        <v>46235</v>
      </c>
      <c r="C673" s="11"/>
    </row>
    <row r="674" spans="1:3" hidden="1" x14ac:dyDescent="0.3">
      <c r="A674" t="s">
        <v>128</v>
      </c>
      <c r="B674" s="3">
        <v>45536</v>
      </c>
      <c r="C674" s="11"/>
    </row>
    <row r="675" spans="1:3" hidden="1" x14ac:dyDescent="0.3">
      <c r="A675" t="s">
        <v>128</v>
      </c>
      <c r="B675" s="3">
        <v>45566</v>
      </c>
      <c r="C675" s="11"/>
    </row>
    <row r="676" spans="1:3" hidden="1" x14ac:dyDescent="0.3">
      <c r="A676" t="s">
        <v>128</v>
      </c>
      <c r="B676" s="3">
        <v>45597</v>
      </c>
      <c r="C676" s="11"/>
    </row>
    <row r="677" spans="1:3" hidden="1" x14ac:dyDescent="0.3">
      <c r="A677" t="s">
        <v>128</v>
      </c>
      <c r="B677" s="3">
        <v>45627</v>
      </c>
      <c r="C677" s="11"/>
    </row>
    <row r="678" spans="1:3" hidden="1" x14ac:dyDescent="0.3">
      <c r="A678" t="s">
        <v>128</v>
      </c>
      <c r="B678" s="3">
        <v>45658</v>
      </c>
      <c r="C678" s="11"/>
    </row>
    <row r="679" spans="1:3" ht="28.95" hidden="1" customHeight="1" x14ac:dyDescent="0.3">
      <c r="A679" t="s">
        <v>128</v>
      </c>
      <c r="B679" s="3">
        <v>45689</v>
      </c>
      <c r="C679" s="11" t="s">
        <v>552</v>
      </c>
    </row>
    <row r="680" spans="1:3" ht="72" hidden="1" customHeight="1" x14ac:dyDescent="0.3">
      <c r="A680" t="s">
        <v>128</v>
      </c>
      <c r="B680" s="3">
        <v>45717</v>
      </c>
      <c r="C680" s="11" t="s">
        <v>553</v>
      </c>
    </row>
    <row r="681" spans="1:3" ht="72" hidden="1" customHeight="1" x14ac:dyDescent="0.3">
      <c r="A681" t="s">
        <v>128</v>
      </c>
      <c r="B681" s="3">
        <v>45748</v>
      </c>
      <c r="C681" s="11" t="s">
        <v>554</v>
      </c>
    </row>
    <row r="682" spans="1:3" ht="57.6" hidden="1" customHeight="1" x14ac:dyDescent="0.3">
      <c r="A682" t="s">
        <v>128</v>
      </c>
      <c r="B682" s="3">
        <v>45778</v>
      </c>
      <c r="C682" s="11" t="s">
        <v>555</v>
      </c>
    </row>
    <row r="683" spans="1:3" ht="57.6" hidden="1" customHeight="1" x14ac:dyDescent="0.3">
      <c r="A683" t="s">
        <v>128</v>
      </c>
      <c r="B683" s="3">
        <v>45809</v>
      </c>
      <c r="C683" s="11" t="s">
        <v>556</v>
      </c>
    </row>
    <row r="684" spans="1:3" ht="57.6" hidden="1" customHeight="1" x14ac:dyDescent="0.3">
      <c r="A684" t="s">
        <v>128</v>
      </c>
      <c r="B684" s="3">
        <v>45839</v>
      </c>
      <c r="C684" s="11" t="s">
        <v>557</v>
      </c>
    </row>
    <row r="685" spans="1:3" ht="57.6" hidden="1" customHeight="1" x14ac:dyDescent="0.3">
      <c r="A685" t="s">
        <v>128</v>
      </c>
      <c r="B685" s="3">
        <v>45870</v>
      </c>
      <c r="C685" s="11" t="s">
        <v>558</v>
      </c>
    </row>
    <row r="686" spans="1:3" ht="57.6" hidden="1" customHeight="1" x14ac:dyDescent="0.3">
      <c r="A686" t="s">
        <v>128</v>
      </c>
      <c r="B686" s="3">
        <v>45901</v>
      </c>
      <c r="C686" s="11" t="s">
        <v>559</v>
      </c>
    </row>
    <row r="687" spans="1:3" ht="57.6" hidden="1" customHeight="1" x14ac:dyDescent="0.3">
      <c r="A687" t="s">
        <v>128</v>
      </c>
      <c r="B687" s="3">
        <v>45931</v>
      </c>
      <c r="C687" s="11" t="s">
        <v>560</v>
      </c>
    </row>
    <row r="688" spans="1:3" ht="57.6" hidden="1" customHeight="1" x14ac:dyDescent="0.3">
      <c r="A688" t="s">
        <v>128</v>
      </c>
      <c r="B688" s="3">
        <v>45962</v>
      </c>
      <c r="C688" s="11" t="s">
        <v>561</v>
      </c>
    </row>
    <row r="689" spans="1:3" hidden="1" x14ac:dyDescent="0.3">
      <c r="A689" t="s">
        <v>128</v>
      </c>
      <c r="B689" s="3">
        <v>45992</v>
      </c>
      <c r="C689" s="11" t="s">
        <v>494</v>
      </c>
    </row>
    <row r="690" spans="1:3" hidden="1" x14ac:dyDescent="0.3">
      <c r="A690" t="s">
        <v>128</v>
      </c>
      <c r="B690" s="3">
        <v>46023</v>
      </c>
      <c r="C690" s="11" t="s">
        <v>356</v>
      </c>
    </row>
    <row r="691" spans="1:3" hidden="1" x14ac:dyDescent="0.3">
      <c r="A691" t="s">
        <v>128</v>
      </c>
      <c r="B691" s="3">
        <v>46054</v>
      </c>
      <c r="C691" s="11" t="s">
        <v>332</v>
      </c>
    </row>
    <row r="692" spans="1:3" hidden="1" x14ac:dyDescent="0.3">
      <c r="A692" t="s">
        <v>128</v>
      </c>
      <c r="B692" s="3">
        <v>46082</v>
      </c>
      <c r="C692" s="11" t="s">
        <v>332</v>
      </c>
    </row>
    <row r="693" spans="1:3" hidden="1" x14ac:dyDescent="0.3">
      <c r="A693" t="s">
        <v>128</v>
      </c>
      <c r="B693" s="3">
        <v>46113</v>
      </c>
      <c r="C693" s="11" t="s">
        <v>551</v>
      </c>
    </row>
    <row r="694" spans="1:3" x14ac:dyDescent="0.3">
      <c r="A694" t="s">
        <v>128</v>
      </c>
      <c r="B694" s="3">
        <v>46143</v>
      </c>
      <c r="C694" s="11" t="s">
        <v>958</v>
      </c>
    </row>
    <row r="695" spans="1:3" hidden="1" x14ac:dyDescent="0.3">
      <c r="A695" t="s">
        <v>128</v>
      </c>
      <c r="B695" s="3">
        <v>46174</v>
      </c>
      <c r="C695" s="11"/>
    </row>
    <row r="696" spans="1:3" hidden="1" x14ac:dyDescent="0.3">
      <c r="A696" t="s">
        <v>128</v>
      </c>
      <c r="B696" s="3">
        <v>46204</v>
      </c>
      <c r="C696" s="11"/>
    </row>
    <row r="697" spans="1:3" hidden="1" x14ac:dyDescent="0.3">
      <c r="A697" t="s">
        <v>128</v>
      </c>
      <c r="B697" s="3">
        <v>46235</v>
      </c>
      <c r="C697" s="11"/>
    </row>
    <row r="698" spans="1:3" hidden="1" x14ac:dyDescent="0.3">
      <c r="A698" t="s">
        <v>130</v>
      </c>
      <c r="B698" s="3">
        <v>45536</v>
      </c>
      <c r="C698" s="11"/>
    </row>
    <row r="699" spans="1:3" hidden="1" x14ac:dyDescent="0.3">
      <c r="A699" t="s">
        <v>130</v>
      </c>
      <c r="B699" s="3">
        <v>45566</v>
      </c>
      <c r="C699" s="11"/>
    </row>
    <row r="700" spans="1:3" hidden="1" x14ac:dyDescent="0.3">
      <c r="A700" t="s">
        <v>130</v>
      </c>
      <c r="B700" s="3">
        <v>45597</v>
      </c>
      <c r="C700" s="11"/>
    </row>
    <row r="701" spans="1:3" hidden="1" x14ac:dyDescent="0.3">
      <c r="A701" t="s">
        <v>130</v>
      </c>
      <c r="B701" s="3">
        <v>45627</v>
      </c>
      <c r="C701" s="11"/>
    </row>
    <row r="702" spans="1:3" hidden="1" x14ac:dyDescent="0.3">
      <c r="A702" t="s">
        <v>130</v>
      </c>
      <c r="B702" s="3">
        <v>45658</v>
      </c>
      <c r="C702" s="11"/>
    </row>
    <row r="703" spans="1:3" ht="43.2" hidden="1" customHeight="1" x14ac:dyDescent="0.3">
      <c r="A703" t="s">
        <v>130</v>
      </c>
      <c r="B703" s="3">
        <v>45689</v>
      </c>
      <c r="C703" s="11" t="s">
        <v>562</v>
      </c>
    </row>
    <row r="704" spans="1:3" ht="43.2" hidden="1" customHeight="1" x14ac:dyDescent="0.3">
      <c r="A704" t="s">
        <v>130</v>
      </c>
      <c r="B704" s="3">
        <v>45717</v>
      </c>
      <c r="C704" s="11" t="s">
        <v>563</v>
      </c>
    </row>
    <row r="705" spans="1:3" ht="57.6" hidden="1" customHeight="1" x14ac:dyDescent="0.3">
      <c r="A705" t="s">
        <v>130</v>
      </c>
      <c r="B705" s="3">
        <v>45748</v>
      </c>
      <c r="C705" s="11" t="s">
        <v>564</v>
      </c>
    </row>
    <row r="706" spans="1:3" ht="57.6" hidden="1" customHeight="1" x14ac:dyDescent="0.3">
      <c r="A706" t="s">
        <v>130</v>
      </c>
      <c r="B706" s="3">
        <v>45778</v>
      </c>
      <c r="C706" s="11" t="s">
        <v>565</v>
      </c>
    </row>
    <row r="707" spans="1:3" ht="57.6" hidden="1" customHeight="1" x14ac:dyDescent="0.3">
      <c r="A707" t="s">
        <v>130</v>
      </c>
      <c r="B707" s="3">
        <v>45809</v>
      </c>
      <c r="C707" s="11" t="s">
        <v>565</v>
      </c>
    </row>
    <row r="708" spans="1:3" ht="57.6" hidden="1" customHeight="1" x14ac:dyDescent="0.3">
      <c r="A708" t="s">
        <v>130</v>
      </c>
      <c r="B708" s="3">
        <v>45839</v>
      </c>
      <c r="C708" s="11" t="s">
        <v>566</v>
      </c>
    </row>
    <row r="709" spans="1:3" ht="57.6" hidden="1" customHeight="1" x14ac:dyDescent="0.3">
      <c r="A709" t="s">
        <v>130</v>
      </c>
      <c r="B709" s="3">
        <v>45870</v>
      </c>
      <c r="C709" s="11" t="s">
        <v>567</v>
      </c>
    </row>
    <row r="710" spans="1:3" ht="72" hidden="1" customHeight="1" x14ac:dyDescent="0.3">
      <c r="A710" t="s">
        <v>130</v>
      </c>
      <c r="B710" s="3">
        <v>45901</v>
      </c>
      <c r="C710" s="11" t="s">
        <v>568</v>
      </c>
    </row>
    <row r="711" spans="1:3" ht="57.6" hidden="1" customHeight="1" x14ac:dyDescent="0.3">
      <c r="A711" t="s">
        <v>130</v>
      </c>
      <c r="B711" s="3">
        <v>45931</v>
      </c>
      <c r="C711" s="11" t="s">
        <v>569</v>
      </c>
    </row>
    <row r="712" spans="1:3" ht="57.6" hidden="1" customHeight="1" x14ac:dyDescent="0.3">
      <c r="A712" t="s">
        <v>130</v>
      </c>
      <c r="B712" s="3">
        <v>45962</v>
      </c>
      <c r="C712" s="11" t="s">
        <v>570</v>
      </c>
    </row>
    <row r="713" spans="1:3" hidden="1" x14ac:dyDescent="0.3">
      <c r="A713" t="s">
        <v>130</v>
      </c>
      <c r="B713" s="3">
        <v>45992</v>
      </c>
      <c r="C713" s="11" t="s">
        <v>344</v>
      </c>
    </row>
    <row r="714" spans="1:3" hidden="1" x14ac:dyDescent="0.3">
      <c r="A714" t="s">
        <v>130</v>
      </c>
      <c r="B714" s="3">
        <v>46023</v>
      </c>
      <c r="C714" s="11" t="s">
        <v>356</v>
      </c>
    </row>
    <row r="715" spans="1:3" hidden="1" x14ac:dyDescent="0.3">
      <c r="A715" t="s">
        <v>130</v>
      </c>
      <c r="B715" s="3">
        <v>46054</v>
      </c>
      <c r="C715" s="11" t="s">
        <v>344</v>
      </c>
    </row>
    <row r="716" spans="1:3" hidden="1" x14ac:dyDescent="0.3">
      <c r="A716" t="s">
        <v>130</v>
      </c>
      <c r="B716" s="3">
        <v>46082</v>
      </c>
      <c r="C716" s="11" t="s">
        <v>356</v>
      </c>
    </row>
    <row r="717" spans="1:3" hidden="1" x14ac:dyDescent="0.3">
      <c r="A717" t="s">
        <v>130</v>
      </c>
      <c r="B717" s="3">
        <v>46113</v>
      </c>
      <c r="C717" s="11" t="s">
        <v>320</v>
      </c>
    </row>
    <row r="718" spans="1:3" x14ac:dyDescent="0.3">
      <c r="A718" t="s">
        <v>130</v>
      </c>
      <c r="B718" s="3">
        <v>46143</v>
      </c>
      <c r="C718" s="11" t="s">
        <v>320</v>
      </c>
    </row>
    <row r="719" spans="1:3" hidden="1" x14ac:dyDescent="0.3">
      <c r="A719" t="s">
        <v>130</v>
      </c>
      <c r="B719" s="3">
        <v>46174</v>
      </c>
      <c r="C719" s="11"/>
    </row>
    <row r="720" spans="1:3" hidden="1" x14ac:dyDescent="0.3">
      <c r="A720" t="s">
        <v>130</v>
      </c>
      <c r="B720" s="3">
        <v>46204</v>
      </c>
      <c r="C720" s="11"/>
    </row>
    <row r="721" spans="1:3" hidden="1" x14ac:dyDescent="0.3">
      <c r="A721" t="s">
        <v>130</v>
      </c>
      <c r="B721" s="3">
        <v>46235</v>
      </c>
      <c r="C721" s="11"/>
    </row>
    <row r="722" spans="1:3" hidden="1" x14ac:dyDescent="0.3">
      <c r="A722" t="s">
        <v>132</v>
      </c>
      <c r="B722" s="3">
        <v>45536</v>
      </c>
      <c r="C722" s="11" t="s">
        <v>571</v>
      </c>
    </row>
    <row r="723" spans="1:3" hidden="1" x14ac:dyDescent="0.3">
      <c r="A723" t="s">
        <v>132</v>
      </c>
      <c r="B723" s="3">
        <v>45566</v>
      </c>
      <c r="C723" s="11"/>
    </row>
    <row r="724" spans="1:3" hidden="1" x14ac:dyDescent="0.3">
      <c r="A724" t="s">
        <v>132</v>
      </c>
      <c r="B724" s="3">
        <v>45597</v>
      </c>
      <c r="C724" s="11"/>
    </row>
    <row r="725" spans="1:3" hidden="1" x14ac:dyDescent="0.3">
      <c r="A725" t="s">
        <v>132</v>
      </c>
      <c r="B725" s="3">
        <v>45627</v>
      </c>
      <c r="C725" s="11"/>
    </row>
    <row r="726" spans="1:3" hidden="1" x14ac:dyDescent="0.3">
      <c r="A726" t="s">
        <v>132</v>
      </c>
      <c r="B726" s="3">
        <v>45658</v>
      </c>
      <c r="C726" s="11"/>
    </row>
    <row r="727" spans="1:3" ht="43.2" hidden="1" customHeight="1" x14ac:dyDescent="0.3">
      <c r="A727" t="s">
        <v>132</v>
      </c>
      <c r="B727" s="3">
        <v>45689</v>
      </c>
      <c r="C727" s="11" t="s">
        <v>572</v>
      </c>
    </row>
    <row r="728" spans="1:3" ht="57.6" hidden="1" customHeight="1" x14ac:dyDescent="0.3">
      <c r="A728" t="s">
        <v>132</v>
      </c>
      <c r="B728" s="3">
        <v>45717</v>
      </c>
      <c r="C728" s="11" t="s">
        <v>573</v>
      </c>
    </row>
    <row r="729" spans="1:3" ht="57.6" hidden="1" customHeight="1" x14ac:dyDescent="0.3">
      <c r="A729" t="s">
        <v>132</v>
      </c>
      <c r="B729" s="3">
        <v>45748</v>
      </c>
      <c r="C729" s="11" t="s">
        <v>574</v>
      </c>
    </row>
    <row r="730" spans="1:3" ht="57.6" hidden="1" customHeight="1" x14ac:dyDescent="0.3">
      <c r="A730" t="s">
        <v>132</v>
      </c>
      <c r="B730" s="3">
        <v>45778</v>
      </c>
      <c r="C730" s="11" t="s">
        <v>575</v>
      </c>
    </row>
    <row r="731" spans="1:3" ht="57.6" hidden="1" customHeight="1" x14ac:dyDescent="0.3">
      <c r="A731" t="s">
        <v>132</v>
      </c>
      <c r="B731" s="3">
        <v>45809</v>
      </c>
      <c r="C731" s="11" t="s">
        <v>576</v>
      </c>
    </row>
    <row r="732" spans="1:3" ht="57.6" hidden="1" customHeight="1" x14ac:dyDescent="0.3">
      <c r="A732" t="s">
        <v>132</v>
      </c>
      <c r="B732" s="3">
        <v>45839</v>
      </c>
      <c r="C732" s="11" t="s">
        <v>577</v>
      </c>
    </row>
    <row r="733" spans="1:3" ht="57.6" hidden="1" customHeight="1" x14ac:dyDescent="0.3">
      <c r="A733" t="s">
        <v>132</v>
      </c>
      <c r="B733" s="3">
        <v>45870</v>
      </c>
      <c r="C733" s="11" t="s">
        <v>578</v>
      </c>
    </row>
    <row r="734" spans="1:3" ht="57.6" hidden="1" customHeight="1" x14ac:dyDescent="0.3">
      <c r="A734" t="s">
        <v>132</v>
      </c>
      <c r="B734" s="3">
        <v>45901</v>
      </c>
      <c r="C734" s="11" t="s">
        <v>579</v>
      </c>
    </row>
    <row r="735" spans="1:3" ht="57.6" hidden="1" customHeight="1" x14ac:dyDescent="0.3">
      <c r="A735" t="s">
        <v>132</v>
      </c>
      <c r="B735" s="3">
        <v>45931</v>
      </c>
      <c r="C735" s="11" t="s">
        <v>580</v>
      </c>
    </row>
    <row r="736" spans="1:3" ht="57.6" hidden="1" customHeight="1" x14ac:dyDescent="0.3">
      <c r="A736" t="s">
        <v>132</v>
      </c>
      <c r="B736" s="3">
        <v>45962</v>
      </c>
      <c r="C736" s="11" t="s">
        <v>581</v>
      </c>
    </row>
    <row r="737" spans="1:3" hidden="1" x14ac:dyDescent="0.3">
      <c r="A737" t="s">
        <v>132</v>
      </c>
      <c r="B737" s="3">
        <v>45992</v>
      </c>
      <c r="C737" s="11" t="s">
        <v>582</v>
      </c>
    </row>
    <row r="738" spans="1:3" hidden="1" x14ac:dyDescent="0.3">
      <c r="A738" t="s">
        <v>132</v>
      </c>
      <c r="B738" s="3">
        <v>46023</v>
      </c>
      <c r="C738" s="11" t="s">
        <v>583</v>
      </c>
    </row>
    <row r="739" spans="1:3" hidden="1" x14ac:dyDescent="0.3">
      <c r="A739" t="s">
        <v>132</v>
      </c>
      <c r="B739" s="3">
        <v>46054</v>
      </c>
      <c r="C739" s="11" t="s">
        <v>344</v>
      </c>
    </row>
    <row r="740" spans="1:3" hidden="1" x14ac:dyDescent="0.3">
      <c r="A740" t="s">
        <v>132</v>
      </c>
      <c r="B740" s="3">
        <v>46082</v>
      </c>
      <c r="C740" s="11" t="s">
        <v>344</v>
      </c>
    </row>
    <row r="741" spans="1:3" hidden="1" x14ac:dyDescent="0.3">
      <c r="A741" t="s">
        <v>132</v>
      </c>
      <c r="B741" s="3">
        <v>46113</v>
      </c>
      <c r="C741" s="11" t="s">
        <v>584</v>
      </c>
    </row>
    <row r="742" spans="1:3" x14ac:dyDescent="0.3">
      <c r="A742" t="s">
        <v>132</v>
      </c>
      <c r="B742" s="3">
        <v>46143</v>
      </c>
      <c r="C742" s="11" t="s">
        <v>320</v>
      </c>
    </row>
    <row r="743" spans="1:3" hidden="1" x14ac:dyDescent="0.3">
      <c r="A743" t="s">
        <v>132</v>
      </c>
      <c r="B743" s="3">
        <v>46174</v>
      </c>
      <c r="C743" s="11"/>
    </row>
    <row r="744" spans="1:3" hidden="1" x14ac:dyDescent="0.3">
      <c r="A744" t="s">
        <v>132</v>
      </c>
      <c r="B744" s="3">
        <v>46204</v>
      </c>
      <c r="C744" s="11"/>
    </row>
    <row r="745" spans="1:3" hidden="1" x14ac:dyDescent="0.3">
      <c r="A745" t="s">
        <v>132</v>
      </c>
      <c r="B745" s="3">
        <v>46235</v>
      </c>
      <c r="C745" s="11"/>
    </row>
    <row r="746" spans="1:3" hidden="1" x14ac:dyDescent="0.3">
      <c r="A746" t="s">
        <v>136</v>
      </c>
      <c r="B746" s="3">
        <v>45536</v>
      </c>
      <c r="C746" s="11"/>
    </row>
    <row r="747" spans="1:3" hidden="1" x14ac:dyDescent="0.3">
      <c r="A747" t="s">
        <v>136</v>
      </c>
      <c r="B747" s="3">
        <v>45566</v>
      </c>
      <c r="C747" s="11"/>
    </row>
    <row r="748" spans="1:3" hidden="1" x14ac:dyDescent="0.3">
      <c r="A748" t="s">
        <v>136</v>
      </c>
      <c r="B748" s="3">
        <v>45597</v>
      </c>
      <c r="C748" s="11"/>
    </row>
    <row r="749" spans="1:3" hidden="1" x14ac:dyDescent="0.3">
      <c r="A749" t="s">
        <v>136</v>
      </c>
      <c r="B749" s="3">
        <v>45627</v>
      </c>
      <c r="C749" s="11"/>
    </row>
    <row r="750" spans="1:3" hidden="1" x14ac:dyDescent="0.3">
      <c r="A750" t="s">
        <v>136</v>
      </c>
      <c r="B750" s="3">
        <v>45658</v>
      </c>
      <c r="C750" s="11"/>
    </row>
    <row r="751" spans="1:3" ht="57.6" hidden="1" customHeight="1" x14ac:dyDescent="0.3">
      <c r="A751" t="s">
        <v>136</v>
      </c>
      <c r="B751" s="3">
        <v>45689</v>
      </c>
      <c r="C751" s="11" t="s">
        <v>585</v>
      </c>
    </row>
    <row r="752" spans="1:3" hidden="1" x14ac:dyDescent="0.3">
      <c r="A752" t="s">
        <v>136</v>
      </c>
      <c r="B752" s="3">
        <v>45717</v>
      </c>
      <c r="C752" s="11" t="s">
        <v>586</v>
      </c>
    </row>
    <row r="753" spans="1:3" hidden="1" x14ac:dyDescent="0.3">
      <c r="A753" t="s">
        <v>136</v>
      </c>
      <c r="B753" s="3">
        <v>45748</v>
      </c>
      <c r="C753" s="11" t="s">
        <v>587</v>
      </c>
    </row>
    <row r="754" spans="1:3" hidden="1" x14ac:dyDescent="0.3">
      <c r="A754" t="s">
        <v>136</v>
      </c>
      <c r="B754" s="3">
        <v>45778</v>
      </c>
      <c r="C754" s="11" t="s">
        <v>588</v>
      </c>
    </row>
    <row r="755" spans="1:3" hidden="1" x14ac:dyDescent="0.3">
      <c r="A755" t="s">
        <v>136</v>
      </c>
      <c r="B755" s="3">
        <v>45809</v>
      </c>
      <c r="C755" s="11" t="s">
        <v>588</v>
      </c>
    </row>
    <row r="756" spans="1:3" hidden="1" x14ac:dyDescent="0.3">
      <c r="A756" t="s">
        <v>136</v>
      </c>
      <c r="B756" s="3">
        <v>45839</v>
      </c>
      <c r="C756" s="11" t="s">
        <v>588</v>
      </c>
    </row>
    <row r="757" spans="1:3" hidden="1" x14ac:dyDescent="0.3">
      <c r="A757" t="s">
        <v>136</v>
      </c>
      <c r="B757" s="3">
        <v>45870</v>
      </c>
      <c r="C757" s="11" t="s">
        <v>588</v>
      </c>
    </row>
    <row r="758" spans="1:3" hidden="1" x14ac:dyDescent="0.3">
      <c r="A758" t="s">
        <v>136</v>
      </c>
      <c r="B758" s="3">
        <v>45901</v>
      </c>
      <c r="C758" s="11" t="s">
        <v>588</v>
      </c>
    </row>
    <row r="759" spans="1:3" ht="57.6" hidden="1" customHeight="1" x14ac:dyDescent="0.3">
      <c r="A759" t="s">
        <v>136</v>
      </c>
      <c r="B759" s="3">
        <v>45931</v>
      </c>
      <c r="C759" s="11" t="s">
        <v>589</v>
      </c>
    </row>
    <row r="760" spans="1:3" ht="57.6" hidden="1" customHeight="1" x14ac:dyDescent="0.3">
      <c r="A760" t="s">
        <v>136</v>
      </c>
      <c r="B760" s="3">
        <v>45962</v>
      </c>
      <c r="C760" s="11" t="s">
        <v>590</v>
      </c>
    </row>
    <row r="761" spans="1:3" hidden="1" x14ac:dyDescent="0.3">
      <c r="A761" t="s">
        <v>136</v>
      </c>
      <c r="B761" s="3">
        <v>45992</v>
      </c>
      <c r="C761" s="11" t="s">
        <v>494</v>
      </c>
    </row>
    <row r="762" spans="1:3" hidden="1" x14ac:dyDescent="0.3">
      <c r="A762" t="s">
        <v>136</v>
      </c>
      <c r="B762" s="3">
        <v>46023</v>
      </c>
      <c r="C762" s="11" t="s">
        <v>591</v>
      </c>
    </row>
    <row r="763" spans="1:3" hidden="1" x14ac:dyDescent="0.3">
      <c r="A763" t="s">
        <v>136</v>
      </c>
      <c r="B763" s="3">
        <v>46054</v>
      </c>
      <c r="C763" s="11" t="s">
        <v>344</v>
      </c>
    </row>
    <row r="764" spans="1:3" hidden="1" x14ac:dyDescent="0.3">
      <c r="A764" t="s">
        <v>136</v>
      </c>
      <c r="B764" s="3">
        <v>46082</v>
      </c>
      <c r="C764" s="11" t="s">
        <v>591</v>
      </c>
    </row>
    <row r="765" spans="1:3" hidden="1" x14ac:dyDescent="0.3">
      <c r="A765" t="s">
        <v>136</v>
      </c>
      <c r="B765" s="3">
        <v>46113</v>
      </c>
      <c r="C765" s="11" t="s">
        <v>591</v>
      </c>
    </row>
    <row r="766" spans="1:3" x14ac:dyDescent="0.3">
      <c r="A766" t="s">
        <v>136</v>
      </c>
      <c r="B766" s="3">
        <v>46143</v>
      </c>
      <c r="C766" s="11" t="s">
        <v>320</v>
      </c>
    </row>
    <row r="767" spans="1:3" hidden="1" x14ac:dyDescent="0.3">
      <c r="A767" t="s">
        <v>136</v>
      </c>
      <c r="B767" s="3">
        <v>46174</v>
      </c>
      <c r="C767" s="11"/>
    </row>
    <row r="768" spans="1:3" hidden="1" x14ac:dyDescent="0.3">
      <c r="A768" t="s">
        <v>136</v>
      </c>
      <c r="B768" s="3">
        <v>46204</v>
      </c>
      <c r="C768" s="11"/>
    </row>
    <row r="769" spans="1:3" hidden="1" x14ac:dyDescent="0.3">
      <c r="A769" t="s">
        <v>136</v>
      </c>
      <c r="B769" s="3">
        <v>46235</v>
      </c>
      <c r="C769" s="11"/>
    </row>
    <row r="770" spans="1:3" hidden="1" x14ac:dyDescent="0.3">
      <c r="A770" t="s">
        <v>247</v>
      </c>
      <c r="B770" s="3">
        <v>45536</v>
      </c>
      <c r="C770" s="11"/>
    </row>
    <row r="771" spans="1:3" hidden="1" x14ac:dyDescent="0.3">
      <c r="A771" t="s">
        <v>247</v>
      </c>
      <c r="B771" s="3">
        <v>45566</v>
      </c>
      <c r="C771" s="11"/>
    </row>
    <row r="772" spans="1:3" hidden="1" x14ac:dyDescent="0.3">
      <c r="A772" t="s">
        <v>247</v>
      </c>
      <c r="B772" s="3">
        <v>45597</v>
      </c>
      <c r="C772" s="11"/>
    </row>
    <row r="773" spans="1:3" hidden="1" x14ac:dyDescent="0.3">
      <c r="A773" t="s">
        <v>247</v>
      </c>
      <c r="B773" s="3">
        <v>45627</v>
      </c>
      <c r="C773" s="11"/>
    </row>
    <row r="774" spans="1:3" hidden="1" x14ac:dyDescent="0.3">
      <c r="A774" t="s">
        <v>247</v>
      </c>
      <c r="B774" s="3">
        <v>45658</v>
      </c>
      <c r="C774" s="11"/>
    </row>
    <row r="775" spans="1:3" hidden="1" x14ac:dyDescent="0.3">
      <c r="A775" t="s">
        <v>247</v>
      </c>
      <c r="B775" s="3">
        <v>45689</v>
      </c>
      <c r="C775" s="11"/>
    </row>
    <row r="776" spans="1:3" hidden="1" x14ac:dyDescent="0.3">
      <c r="A776" t="s">
        <v>247</v>
      </c>
      <c r="B776" s="3">
        <v>45717</v>
      </c>
      <c r="C776" s="11"/>
    </row>
    <row r="777" spans="1:3" hidden="1" x14ac:dyDescent="0.3">
      <c r="A777" t="s">
        <v>247</v>
      </c>
      <c r="B777" s="3">
        <v>45748</v>
      </c>
      <c r="C777" s="11"/>
    </row>
    <row r="778" spans="1:3" hidden="1" x14ac:dyDescent="0.3">
      <c r="A778" t="s">
        <v>247</v>
      </c>
      <c r="B778" s="3">
        <v>45778</v>
      </c>
      <c r="C778" s="11"/>
    </row>
    <row r="779" spans="1:3" hidden="1" x14ac:dyDescent="0.3">
      <c r="A779" t="s">
        <v>247</v>
      </c>
      <c r="B779" s="3">
        <v>45809</v>
      </c>
      <c r="C779" s="11"/>
    </row>
    <row r="780" spans="1:3" hidden="1" x14ac:dyDescent="0.3">
      <c r="A780" t="s">
        <v>247</v>
      </c>
      <c r="B780" s="3">
        <v>45839</v>
      </c>
      <c r="C780" s="11"/>
    </row>
    <row r="781" spans="1:3" hidden="1" x14ac:dyDescent="0.3">
      <c r="A781" t="s">
        <v>247</v>
      </c>
      <c r="B781" s="3">
        <v>45870</v>
      </c>
      <c r="C781" s="11"/>
    </row>
    <row r="782" spans="1:3" hidden="1" x14ac:dyDescent="0.3">
      <c r="A782" t="s">
        <v>247</v>
      </c>
      <c r="B782" s="3">
        <v>45901</v>
      </c>
      <c r="C782" s="11"/>
    </row>
    <row r="783" spans="1:3" hidden="1" x14ac:dyDescent="0.3">
      <c r="A783" t="s">
        <v>247</v>
      </c>
      <c r="B783" s="3">
        <v>45931</v>
      </c>
      <c r="C783" s="11"/>
    </row>
    <row r="784" spans="1:3" hidden="1" x14ac:dyDescent="0.3">
      <c r="A784" t="s">
        <v>247</v>
      </c>
      <c r="B784" s="3">
        <v>45962</v>
      </c>
      <c r="C784" s="11"/>
    </row>
    <row r="785" spans="1:3" hidden="1" x14ac:dyDescent="0.3">
      <c r="A785" t="s">
        <v>247</v>
      </c>
      <c r="B785" s="3">
        <v>45992</v>
      </c>
      <c r="C785" s="11" t="s">
        <v>592</v>
      </c>
    </row>
    <row r="786" spans="1:3" hidden="1" x14ac:dyDescent="0.3">
      <c r="A786" t="s">
        <v>247</v>
      </c>
      <c r="B786" s="3">
        <v>46023</v>
      </c>
      <c r="C786" s="11" t="s">
        <v>592</v>
      </c>
    </row>
    <row r="787" spans="1:3" hidden="1" x14ac:dyDescent="0.3">
      <c r="A787" t="s">
        <v>247</v>
      </c>
      <c r="B787" s="3">
        <v>46054</v>
      </c>
      <c r="C787" s="11" t="s">
        <v>344</v>
      </c>
    </row>
    <row r="788" spans="1:3" hidden="1" x14ac:dyDescent="0.3">
      <c r="A788" t="s">
        <v>247</v>
      </c>
      <c r="B788" s="3">
        <v>46082</v>
      </c>
      <c r="C788" s="11" t="s">
        <v>344</v>
      </c>
    </row>
    <row r="789" spans="1:3" hidden="1" x14ac:dyDescent="0.3">
      <c r="A789" t="s">
        <v>247</v>
      </c>
      <c r="B789" s="3">
        <v>46113</v>
      </c>
      <c r="C789" s="11" t="s">
        <v>320</v>
      </c>
    </row>
    <row r="790" spans="1:3" x14ac:dyDescent="0.3">
      <c r="A790" t="s">
        <v>247</v>
      </c>
      <c r="B790" s="3">
        <v>46143</v>
      </c>
      <c r="C790" s="11" t="s">
        <v>320</v>
      </c>
    </row>
    <row r="791" spans="1:3" hidden="1" x14ac:dyDescent="0.3">
      <c r="A791" t="s">
        <v>247</v>
      </c>
      <c r="B791" s="3">
        <v>46174</v>
      </c>
      <c r="C791" s="11"/>
    </row>
    <row r="792" spans="1:3" hidden="1" x14ac:dyDescent="0.3">
      <c r="A792" t="s">
        <v>247</v>
      </c>
      <c r="B792" s="3">
        <v>46204</v>
      </c>
      <c r="C792" s="11"/>
    </row>
    <row r="793" spans="1:3" hidden="1" x14ac:dyDescent="0.3">
      <c r="A793" t="s">
        <v>247</v>
      </c>
      <c r="B793" s="3">
        <v>46235</v>
      </c>
      <c r="C793" s="11"/>
    </row>
    <row r="794" spans="1:3" hidden="1" x14ac:dyDescent="0.3">
      <c r="A794" t="s">
        <v>140</v>
      </c>
      <c r="B794" s="3">
        <v>45536</v>
      </c>
      <c r="C794" s="11"/>
    </row>
    <row r="795" spans="1:3" hidden="1" x14ac:dyDescent="0.3">
      <c r="A795" t="s">
        <v>140</v>
      </c>
      <c r="B795" s="3">
        <v>45566</v>
      </c>
      <c r="C795" s="11"/>
    </row>
    <row r="796" spans="1:3" hidden="1" x14ac:dyDescent="0.3">
      <c r="A796" t="s">
        <v>140</v>
      </c>
      <c r="B796" s="3">
        <v>45597</v>
      </c>
      <c r="C796" s="11"/>
    </row>
    <row r="797" spans="1:3" hidden="1" x14ac:dyDescent="0.3">
      <c r="A797" t="s">
        <v>140</v>
      </c>
      <c r="B797" s="3">
        <v>45627</v>
      </c>
      <c r="C797" s="11"/>
    </row>
    <row r="798" spans="1:3" hidden="1" x14ac:dyDescent="0.3">
      <c r="A798" t="s">
        <v>140</v>
      </c>
      <c r="B798" s="3">
        <v>45658</v>
      </c>
      <c r="C798" s="11"/>
    </row>
    <row r="799" spans="1:3" ht="57.6" hidden="1" customHeight="1" x14ac:dyDescent="0.3">
      <c r="A799" t="s">
        <v>140</v>
      </c>
      <c r="B799" s="3">
        <v>45689</v>
      </c>
      <c r="C799" s="11" t="s">
        <v>593</v>
      </c>
    </row>
    <row r="800" spans="1:3" ht="100.95" hidden="1" customHeight="1" x14ac:dyDescent="0.3">
      <c r="A800" t="s">
        <v>140</v>
      </c>
      <c r="B800" s="3">
        <v>45717</v>
      </c>
      <c r="C800" s="11" t="s">
        <v>594</v>
      </c>
    </row>
    <row r="801" spans="1:3" ht="72" hidden="1" customHeight="1" x14ac:dyDescent="0.3">
      <c r="A801" t="s">
        <v>140</v>
      </c>
      <c r="B801" s="3">
        <v>45748</v>
      </c>
      <c r="C801" s="11" t="s">
        <v>595</v>
      </c>
    </row>
    <row r="802" spans="1:3" ht="72" hidden="1" customHeight="1" x14ac:dyDescent="0.3">
      <c r="A802" t="s">
        <v>140</v>
      </c>
      <c r="B802" s="3">
        <v>45778</v>
      </c>
      <c r="C802" s="11" t="s">
        <v>596</v>
      </c>
    </row>
    <row r="803" spans="1:3" ht="57.6" hidden="1" customHeight="1" x14ac:dyDescent="0.3">
      <c r="A803" t="s">
        <v>140</v>
      </c>
      <c r="B803" s="3">
        <v>45809</v>
      </c>
      <c r="C803" s="11" t="s">
        <v>597</v>
      </c>
    </row>
    <row r="804" spans="1:3" ht="57.6" hidden="1" customHeight="1" x14ac:dyDescent="0.3">
      <c r="A804" t="s">
        <v>140</v>
      </c>
      <c r="B804" s="3">
        <v>45839</v>
      </c>
      <c r="C804" s="11" t="s">
        <v>598</v>
      </c>
    </row>
    <row r="805" spans="1:3" ht="57.6" hidden="1" customHeight="1" x14ac:dyDescent="0.3">
      <c r="A805" t="s">
        <v>140</v>
      </c>
      <c r="B805" s="3">
        <v>45870</v>
      </c>
      <c r="C805" s="11" t="s">
        <v>599</v>
      </c>
    </row>
    <row r="806" spans="1:3" ht="57.6" hidden="1" customHeight="1" x14ac:dyDescent="0.3">
      <c r="A806" t="s">
        <v>140</v>
      </c>
      <c r="B806" s="3">
        <v>45901</v>
      </c>
      <c r="C806" s="11" t="s">
        <v>600</v>
      </c>
    </row>
    <row r="807" spans="1:3" ht="57.6" hidden="1" customHeight="1" x14ac:dyDescent="0.3">
      <c r="A807" t="s">
        <v>140</v>
      </c>
      <c r="B807" s="3">
        <v>45931</v>
      </c>
      <c r="C807" s="11" t="s">
        <v>601</v>
      </c>
    </row>
    <row r="808" spans="1:3" ht="57.6" hidden="1" customHeight="1" x14ac:dyDescent="0.3">
      <c r="A808" t="s">
        <v>140</v>
      </c>
      <c r="B808" s="3">
        <v>45962</v>
      </c>
      <c r="C808" s="11" t="s">
        <v>602</v>
      </c>
    </row>
    <row r="809" spans="1:3" hidden="1" x14ac:dyDescent="0.3">
      <c r="A809" t="s">
        <v>140</v>
      </c>
      <c r="B809" s="3">
        <v>45992</v>
      </c>
      <c r="C809" s="11" t="s">
        <v>494</v>
      </c>
    </row>
    <row r="810" spans="1:3" hidden="1" x14ac:dyDescent="0.3">
      <c r="A810" t="s">
        <v>140</v>
      </c>
      <c r="B810" s="3">
        <v>46023</v>
      </c>
      <c r="C810" s="11" t="s">
        <v>356</v>
      </c>
    </row>
    <row r="811" spans="1:3" hidden="1" x14ac:dyDescent="0.3">
      <c r="A811" t="s">
        <v>140</v>
      </c>
      <c r="B811" s="3">
        <v>46054</v>
      </c>
      <c r="C811" s="11" t="s">
        <v>344</v>
      </c>
    </row>
    <row r="812" spans="1:3" hidden="1" x14ac:dyDescent="0.3">
      <c r="A812" t="s">
        <v>140</v>
      </c>
      <c r="B812" s="3">
        <v>46082</v>
      </c>
      <c r="C812" s="11" t="s">
        <v>344</v>
      </c>
    </row>
    <row r="813" spans="1:3" hidden="1" x14ac:dyDescent="0.3">
      <c r="A813" t="s">
        <v>140</v>
      </c>
      <c r="B813" s="3">
        <v>46113</v>
      </c>
      <c r="C813" s="11" t="s">
        <v>320</v>
      </c>
    </row>
    <row r="814" spans="1:3" x14ac:dyDescent="0.3">
      <c r="A814" t="s">
        <v>140</v>
      </c>
      <c r="B814" s="3">
        <v>46143</v>
      </c>
      <c r="C814" s="11" t="s">
        <v>320</v>
      </c>
    </row>
    <row r="815" spans="1:3" hidden="1" x14ac:dyDescent="0.3">
      <c r="A815" t="s">
        <v>140</v>
      </c>
      <c r="B815" s="3">
        <v>46174</v>
      </c>
      <c r="C815" s="11"/>
    </row>
    <row r="816" spans="1:3" hidden="1" x14ac:dyDescent="0.3">
      <c r="A816" t="s">
        <v>140</v>
      </c>
      <c r="B816" s="3">
        <v>46204</v>
      </c>
      <c r="C816" s="11"/>
    </row>
    <row r="817" spans="1:3" hidden="1" x14ac:dyDescent="0.3">
      <c r="A817" t="s">
        <v>140</v>
      </c>
      <c r="B817" s="3">
        <v>46235</v>
      </c>
      <c r="C817" s="11"/>
    </row>
    <row r="818" spans="1:3" hidden="1" x14ac:dyDescent="0.3">
      <c r="A818" t="s">
        <v>143</v>
      </c>
      <c r="B818" s="3">
        <v>45536</v>
      </c>
      <c r="C818" s="11"/>
    </row>
    <row r="819" spans="1:3" hidden="1" x14ac:dyDescent="0.3">
      <c r="A819" t="s">
        <v>143</v>
      </c>
      <c r="B819" s="3">
        <v>45566</v>
      </c>
      <c r="C819" s="11"/>
    </row>
    <row r="820" spans="1:3" hidden="1" x14ac:dyDescent="0.3">
      <c r="A820" t="s">
        <v>143</v>
      </c>
      <c r="B820" s="3">
        <v>45597</v>
      </c>
      <c r="C820" s="11"/>
    </row>
    <row r="821" spans="1:3" hidden="1" x14ac:dyDescent="0.3">
      <c r="A821" t="s">
        <v>143</v>
      </c>
      <c r="B821" s="3">
        <v>45627</v>
      </c>
      <c r="C821" s="11"/>
    </row>
    <row r="822" spans="1:3" hidden="1" x14ac:dyDescent="0.3">
      <c r="A822" t="s">
        <v>143</v>
      </c>
      <c r="B822" s="3">
        <v>45658</v>
      </c>
      <c r="C822" s="11"/>
    </row>
    <row r="823" spans="1:3" ht="28.95" hidden="1" customHeight="1" x14ac:dyDescent="0.3">
      <c r="A823" t="s">
        <v>143</v>
      </c>
      <c r="B823" s="3">
        <v>45689</v>
      </c>
      <c r="C823" s="11" t="s">
        <v>603</v>
      </c>
    </row>
    <row r="824" spans="1:3" ht="57.6" hidden="1" customHeight="1" x14ac:dyDescent="0.3">
      <c r="A824" t="s">
        <v>143</v>
      </c>
      <c r="B824" s="3">
        <v>45717</v>
      </c>
      <c r="C824" s="11" t="s">
        <v>604</v>
      </c>
    </row>
    <row r="825" spans="1:3" ht="57.6" hidden="1" customHeight="1" x14ac:dyDescent="0.3">
      <c r="A825" t="s">
        <v>143</v>
      </c>
      <c r="B825" s="3">
        <v>45748</v>
      </c>
      <c r="C825" s="11" t="s">
        <v>605</v>
      </c>
    </row>
    <row r="826" spans="1:3" ht="57.6" hidden="1" customHeight="1" x14ac:dyDescent="0.3">
      <c r="A826" t="s">
        <v>143</v>
      </c>
      <c r="B826" s="3">
        <v>45778</v>
      </c>
      <c r="C826" s="11" t="s">
        <v>606</v>
      </c>
    </row>
    <row r="827" spans="1:3" ht="57.6" hidden="1" customHeight="1" x14ac:dyDescent="0.3">
      <c r="A827" t="s">
        <v>143</v>
      </c>
      <c r="B827" s="3">
        <v>45809</v>
      </c>
      <c r="C827" s="11" t="s">
        <v>607</v>
      </c>
    </row>
    <row r="828" spans="1:3" ht="57.6" hidden="1" customHeight="1" x14ac:dyDescent="0.3">
      <c r="A828" t="s">
        <v>143</v>
      </c>
      <c r="B828" s="3">
        <v>45839</v>
      </c>
      <c r="C828" s="11" t="s">
        <v>608</v>
      </c>
    </row>
    <row r="829" spans="1:3" ht="57.6" hidden="1" customHeight="1" x14ac:dyDescent="0.3">
      <c r="A829" t="s">
        <v>143</v>
      </c>
      <c r="B829" s="3">
        <v>45870</v>
      </c>
      <c r="C829" s="11" t="s">
        <v>609</v>
      </c>
    </row>
    <row r="830" spans="1:3" ht="57.6" hidden="1" customHeight="1" x14ac:dyDescent="0.3">
      <c r="A830" t="s">
        <v>143</v>
      </c>
      <c r="B830" s="3">
        <v>45901</v>
      </c>
      <c r="C830" s="11" t="s">
        <v>610</v>
      </c>
    </row>
    <row r="831" spans="1:3" ht="57.6" hidden="1" customHeight="1" x14ac:dyDescent="0.3">
      <c r="A831" t="s">
        <v>143</v>
      </c>
      <c r="B831" s="3">
        <v>45931</v>
      </c>
      <c r="C831" s="11" t="s">
        <v>611</v>
      </c>
    </row>
    <row r="832" spans="1:3" ht="57.6" hidden="1" customHeight="1" x14ac:dyDescent="0.3">
      <c r="A832" t="s">
        <v>143</v>
      </c>
      <c r="B832" s="3">
        <v>45962</v>
      </c>
      <c r="C832" s="11" t="s">
        <v>612</v>
      </c>
    </row>
    <row r="833" spans="1:3" hidden="1" x14ac:dyDescent="0.3">
      <c r="A833" t="s">
        <v>143</v>
      </c>
      <c r="B833" s="3">
        <v>45992</v>
      </c>
      <c r="C833" s="11" t="s">
        <v>494</v>
      </c>
    </row>
    <row r="834" spans="1:3" hidden="1" x14ac:dyDescent="0.3">
      <c r="A834" t="s">
        <v>143</v>
      </c>
      <c r="B834" s="3">
        <v>46023</v>
      </c>
      <c r="C834" s="11" t="s">
        <v>356</v>
      </c>
    </row>
    <row r="835" spans="1:3" hidden="1" x14ac:dyDescent="0.3">
      <c r="A835" t="s">
        <v>143</v>
      </c>
      <c r="B835" s="3">
        <v>46054</v>
      </c>
      <c r="C835" s="11" t="s">
        <v>344</v>
      </c>
    </row>
    <row r="836" spans="1:3" hidden="1" x14ac:dyDescent="0.3">
      <c r="A836" t="s">
        <v>143</v>
      </c>
      <c r="B836" s="3">
        <v>46082</v>
      </c>
      <c r="C836" s="11" t="s">
        <v>344</v>
      </c>
    </row>
    <row r="837" spans="1:3" hidden="1" x14ac:dyDescent="0.3">
      <c r="A837" t="s">
        <v>143</v>
      </c>
      <c r="B837" s="3">
        <v>46113</v>
      </c>
      <c r="C837" s="11" t="s">
        <v>591</v>
      </c>
    </row>
    <row r="838" spans="1:3" x14ac:dyDescent="0.3">
      <c r="A838" t="s">
        <v>143</v>
      </c>
      <c r="B838" s="3">
        <v>46143</v>
      </c>
      <c r="C838" s="11" t="s">
        <v>320</v>
      </c>
    </row>
    <row r="839" spans="1:3" hidden="1" x14ac:dyDescent="0.3">
      <c r="A839" t="s">
        <v>143</v>
      </c>
      <c r="B839" s="3">
        <v>46174</v>
      </c>
      <c r="C839" s="11"/>
    </row>
    <row r="840" spans="1:3" hidden="1" x14ac:dyDescent="0.3">
      <c r="A840" t="s">
        <v>143</v>
      </c>
      <c r="B840" s="3">
        <v>46204</v>
      </c>
      <c r="C840" s="11"/>
    </row>
    <row r="841" spans="1:3" hidden="1" x14ac:dyDescent="0.3">
      <c r="A841" t="s">
        <v>143</v>
      </c>
      <c r="B841" s="3">
        <v>46235</v>
      </c>
      <c r="C841" s="11"/>
    </row>
    <row r="842" spans="1:3" hidden="1" x14ac:dyDescent="0.3">
      <c r="A842" t="s">
        <v>147</v>
      </c>
      <c r="B842" s="3">
        <v>45536</v>
      </c>
      <c r="C842" s="11"/>
    </row>
    <row r="843" spans="1:3" hidden="1" x14ac:dyDescent="0.3">
      <c r="A843" t="s">
        <v>147</v>
      </c>
      <c r="B843" s="3">
        <v>45566</v>
      </c>
      <c r="C843" s="11"/>
    </row>
    <row r="844" spans="1:3" hidden="1" x14ac:dyDescent="0.3">
      <c r="A844" t="s">
        <v>147</v>
      </c>
      <c r="B844" s="3">
        <v>45597</v>
      </c>
      <c r="C844" s="11"/>
    </row>
    <row r="845" spans="1:3" hidden="1" x14ac:dyDescent="0.3">
      <c r="A845" t="s">
        <v>147</v>
      </c>
      <c r="B845" s="3">
        <v>45627</v>
      </c>
      <c r="C845" s="11"/>
    </row>
    <row r="846" spans="1:3" hidden="1" x14ac:dyDescent="0.3">
      <c r="A846" t="s">
        <v>147</v>
      </c>
      <c r="B846" s="3">
        <v>45658</v>
      </c>
      <c r="C846" s="11"/>
    </row>
    <row r="847" spans="1:3" ht="43.2" hidden="1" customHeight="1" x14ac:dyDescent="0.3">
      <c r="A847" t="s">
        <v>147</v>
      </c>
      <c r="B847" s="3">
        <v>45689</v>
      </c>
      <c r="C847" s="11" t="s">
        <v>613</v>
      </c>
    </row>
    <row r="848" spans="1:3" hidden="1" x14ac:dyDescent="0.3">
      <c r="A848" t="s">
        <v>147</v>
      </c>
      <c r="B848" s="3">
        <v>45717</v>
      </c>
      <c r="C848" s="11"/>
    </row>
    <row r="849" spans="1:3" hidden="1" x14ac:dyDescent="0.3">
      <c r="A849" t="s">
        <v>147</v>
      </c>
      <c r="B849" s="3">
        <v>45748</v>
      </c>
      <c r="C849" s="11"/>
    </row>
    <row r="850" spans="1:3" hidden="1" x14ac:dyDescent="0.3">
      <c r="A850" t="s">
        <v>147</v>
      </c>
      <c r="B850" s="3">
        <v>45778</v>
      </c>
      <c r="C850" s="11" t="s">
        <v>614</v>
      </c>
    </row>
    <row r="851" spans="1:3" hidden="1" x14ac:dyDescent="0.3">
      <c r="A851" t="s">
        <v>147</v>
      </c>
      <c r="B851" s="3">
        <v>45809</v>
      </c>
      <c r="C851" s="11" t="s">
        <v>614</v>
      </c>
    </row>
    <row r="852" spans="1:3" hidden="1" x14ac:dyDescent="0.3">
      <c r="A852" t="s">
        <v>147</v>
      </c>
      <c r="B852" s="3">
        <v>45839</v>
      </c>
      <c r="C852" s="11" t="s">
        <v>614</v>
      </c>
    </row>
    <row r="853" spans="1:3" hidden="1" x14ac:dyDescent="0.3">
      <c r="A853" t="s">
        <v>147</v>
      </c>
      <c r="B853" s="3">
        <v>45870</v>
      </c>
      <c r="C853" s="11" t="s">
        <v>614</v>
      </c>
    </row>
    <row r="854" spans="1:3" hidden="1" x14ac:dyDescent="0.3">
      <c r="A854" t="s">
        <v>147</v>
      </c>
      <c r="B854" s="3">
        <v>45901</v>
      </c>
      <c r="C854" s="11" t="s">
        <v>614</v>
      </c>
    </row>
    <row r="855" spans="1:3" hidden="1" x14ac:dyDescent="0.3">
      <c r="A855" t="s">
        <v>147</v>
      </c>
      <c r="B855" s="3">
        <v>45931</v>
      </c>
      <c r="C855" s="11" t="s">
        <v>614</v>
      </c>
    </row>
    <row r="856" spans="1:3" hidden="1" x14ac:dyDescent="0.3">
      <c r="A856" t="s">
        <v>147</v>
      </c>
      <c r="B856" s="3">
        <v>45962</v>
      </c>
      <c r="C856" s="11" t="s">
        <v>614</v>
      </c>
    </row>
    <row r="857" spans="1:3" hidden="1" x14ac:dyDescent="0.3">
      <c r="A857" t="s">
        <v>147</v>
      </c>
      <c r="B857" s="3">
        <v>45992</v>
      </c>
      <c r="C857" s="11" t="s">
        <v>614</v>
      </c>
    </row>
    <row r="858" spans="1:3" hidden="1" x14ac:dyDescent="0.3">
      <c r="A858" t="s">
        <v>147</v>
      </c>
      <c r="B858" s="3">
        <v>46023</v>
      </c>
      <c r="C858" s="11" t="s">
        <v>614</v>
      </c>
    </row>
    <row r="859" spans="1:3" hidden="1" x14ac:dyDescent="0.3">
      <c r="A859" t="s">
        <v>147</v>
      </c>
      <c r="B859" s="3">
        <v>46054</v>
      </c>
      <c r="C859" s="11" t="s">
        <v>344</v>
      </c>
    </row>
    <row r="860" spans="1:3" hidden="1" x14ac:dyDescent="0.3">
      <c r="A860" t="s">
        <v>147</v>
      </c>
      <c r="B860" s="3">
        <v>46082</v>
      </c>
      <c r="C860" s="11" t="s">
        <v>615</v>
      </c>
    </row>
    <row r="861" spans="1:3" hidden="1" x14ac:dyDescent="0.3">
      <c r="A861" t="s">
        <v>147</v>
      </c>
      <c r="B861" s="3">
        <v>46113</v>
      </c>
      <c r="C861" s="11" t="s">
        <v>616</v>
      </c>
    </row>
    <row r="862" spans="1:3" x14ac:dyDescent="0.3">
      <c r="A862" t="s">
        <v>147</v>
      </c>
      <c r="B862" s="3">
        <v>46143</v>
      </c>
      <c r="C862" s="11" t="s">
        <v>965</v>
      </c>
    </row>
    <row r="863" spans="1:3" hidden="1" x14ac:dyDescent="0.3">
      <c r="A863" t="s">
        <v>147</v>
      </c>
      <c r="B863" s="3">
        <v>46174</v>
      </c>
      <c r="C863" s="11"/>
    </row>
    <row r="864" spans="1:3" hidden="1" x14ac:dyDescent="0.3">
      <c r="A864" t="s">
        <v>147</v>
      </c>
      <c r="B864" s="3">
        <v>46204</v>
      </c>
      <c r="C864" s="11"/>
    </row>
    <row r="865" spans="1:3" hidden="1" x14ac:dyDescent="0.3">
      <c r="A865" t="s">
        <v>147</v>
      </c>
      <c r="B865" s="3">
        <v>46235</v>
      </c>
      <c r="C865" s="11"/>
    </row>
    <row r="866" spans="1:3" hidden="1" x14ac:dyDescent="0.3">
      <c r="A866" t="s">
        <v>233</v>
      </c>
      <c r="B866" s="3">
        <v>45536</v>
      </c>
      <c r="C866" s="11"/>
    </row>
    <row r="867" spans="1:3" hidden="1" x14ac:dyDescent="0.3">
      <c r="A867" t="s">
        <v>233</v>
      </c>
      <c r="B867" s="3">
        <v>45566</v>
      </c>
      <c r="C867" s="11"/>
    </row>
    <row r="868" spans="1:3" hidden="1" x14ac:dyDescent="0.3">
      <c r="A868" t="s">
        <v>233</v>
      </c>
      <c r="B868" s="3">
        <v>45597</v>
      </c>
      <c r="C868" s="11"/>
    </row>
    <row r="869" spans="1:3" hidden="1" x14ac:dyDescent="0.3">
      <c r="A869" t="s">
        <v>233</v>
      </c>
      <c r="B869" s="3">
        <v>45627</v>
      </c>
      <c r="C869" s="11"/>
    </row>
    <row r="870" spans="1:3" hidden="1" x14ac:dyDescent="0.3">
      <c r="A870" t="s">
        <v>233</v>
      </c>
      <c r="B870" s="3">
        <v>45658</v>
      </c>
      <c r="C870" s="11"/>
    </row>
    <row r="871" spans="1:3" hidden="1" x14ac:dyDescent="0.3">
      <c r="A871" t="s">
        <v>233</v>
      </c>
      <c r="B871" s="3">
        <v>45689</v>
      </c>
      <c r="C871" s="11"/>
    </row>
    <row r="872" spans="1:3" hidden="1" x14ac:dyDescent="0.3">
      <c r="A872" t="s">
        <v>233</v>
      </c>
      <c r="B872" s="3">
        <v>45717</v>
      </c>
      <c r="C872" s="11"/>
    </row>
    <row r="873" spans="1:3" hidden="1" x14ac:dyDescent="0.3">
      <c r="A873" t="s">
        <v>233</v>
      </c>
      <c r="B873" s="3">
        <v>45748</v>
      </c>
      <c r="C873" s="11"/>
    </row>
    <row r="874" spans="1:3" hidden="1" x14ac:dyDescent="0.3">
      <c r="A874" t="s">
        <v>233</v>
      </c>
      <c r="B874" s="3">
        <v>45778</v>
      </c>
      <c r="C874" s="11"/>
    </row>
    <row r="875" spans="1:3" hidden="1" x14ac:dyDescent="0.3">
      <c r="A875" t="s">
        <v>233</v>
      </c>
      <c r="B875" s="3">
        <v>45809</v>
      </c>
      <c r="C875" s="11"/>
    </row>
    <row r="876" spans="1:3" hidden="1" x14ac:dyDescent="0.3">
      <c r="A876" t="s">
        <v>233</v>
      </c>
      <c r="B876" s="3">
        <v>45839</v>
      </c>
      <c r="C876" s="11"/>
    </row>
    <row r="877" spans="1:3" hidden="1" x14ac:dyDescent="0.3">
      <c r="A877" t="s">
        <v>233</v>
      </c>
      <c r="B877" s="3">
        <v>45870</v>
      </c>
      <c r="C877" s="11"/>
    </row>
    <row r="878" spans="1:3" hidden="1" x14ac:dyDescent="0.3">
      <c r="A878" t="s">
        <v>233</v>
      </c>
      <c r="B878" s="3">
        <v>45901</v>
      </c>
      <c r="C878" s="11"/>
    </row>
    <row r="879" spans="1:3" ht="28.95" hidden="1" customHeight="1" x14ac:dyDescent="0.3">
      <c r="A879" t="s">
        <v>233</v>
      </c>
      <c r="B879" s="3">
        <v>45931</v>
      </c>
      <c r="C879" s="11" t="s">
        <v>617</v>
      </c>
    </row>
    <row r="880" spans="1:3" ht="43.2" hidden="1" customHeight="1" x14ac:dyDescent="0.3">
      <c r="A880" t="s">
        <v>233</v>
      </c>
      <c r="B880" s="3">
        <v>45962</v>
      </c>
      <c r="C880" s="11" t="s">
        <v>618</v>
      </c>
    </row>
    <row r="881" spans="1:3" hidden="1" x14ac:dyDescent="0.3">
      <c r="A881" t="s">
        <v>233</v>
      </c>
      <c r="B881" s="3">
        <v>45992</v>
      </c>
      <c r="C881" s="11" t="s">
        <v>619</v>
      </c>
    </row>
    <row r="882" spans="1:3" hidden="1" x14ac:dyDescent="0.3">
      <c r="A882" t="s">
        <v>233</v>
      </c>
      <c r="B882" s="3">
        <v>46023</v>
      </c>
      <c r="C882" s="11" t="s">
        <v>356</v>
      </c>
    </row>
    <row r="883" spans="1:3" hidden="1" x14ac:dyDescent="0.3">
      <c r="A883" t="s">
        <v>233</v>
      </c>
      <c r="B883" s="3">
        <v>46054</v>
      </c>
      <c r="C883" s="11" t="s">
        <v>332</v>
      </c>
    </row>
    <row r="884" spans="1:3" hidden="1" x14ac:dyDescent="0.3">
      <c r="A884" t="s">
        <v>233</v>
      </c>
      <c r="B884" s="3">
        <v>46082</v>
      </c>
      <c r="C884" s="11" t="s">
        <v>332</v>
      </c>
    </row>
    <row r="885" spans="1:3" hidden="1" x14ac:dyDescent="0.3">
      <c r="A885" t="s">
        <v>233</v>
      </c>
      <c r="B885" s="3">
        <v>46113</v>
      </c>
      <c r="C885" s="11" t="s">
        <v>332</v>
      </c>
    </row>
    <row r="886" spans="1:3" x14ac:dyDescent="0.3">
      <c r="A886" t="s">
        <v>233</v>
      </c>
      <c r="B886" s="3">
        <v>46143</v>
      </c>
      <c r="C886" s="11" t="s">
        <v>320</v>
      </c>
    </row>
    <row r="887" spans="1:3" hidden="1" x14ac:dyDescent="0.3">
      <c r="A887" t="s">
        <v>233</v>
      </c>
      <c r="B887" s="3">
        <v>46174</v>
      </c>
      <c r="C887" s="11"/>
    </row>
    <row r="888" spans="1:3" hidden="1" x14ac:dyDescent="0.3">
      <c r="A888" t="s">
        <v>233</v>
      </c>
      <c r="B888" s="3">
        <v>46204</v>
      </c>
      <c r="C888" s="11"/>
    </row>
    <row r="889" spans="1:3" hidden="1" x14ac:dyDescent="0.3">
      <c r="A889" t="s">
        <v>233</v>
      </c>
      <c r="B889" s="3">
        <v>46235</v>
      </c>
      <c r="C889" s="11"/>
    </row>
    <row r="890" spans="1:3" hidden="1" x14ac:dyDescent="0.3">
      <c r="A890" t="s">
        <v>235</v>
      </c>
      <c r="B890" s="3">
        <v>45536</v>
      </c>
      <c r="C890" s="11"/>
    </row>
    <row r="891" spans="1:3" hidden="1" x14ac:dyDescent="0.3">
      <c r="A891" t="s">
        <v>235</v>
      </c>
      <c r="B891" s="3">
        <v>45566</v>
      </c>
      <c r="C891" s="11"/>
    </row>
    <row r="892" spans="1:3" hidden="1" x14ac:dyDescent="0.3">
      <c r="A892" t="s">
        <v>235</v>
      </c>
      <c r="B892" s="3">
        <v>45597</v>
      </c>
      <c r="C892" s="11"/>
    </row>
    <row r="893" spans="1:3" hidden="1" x14ac:dyDescent="0.3">
      <c r="A893" t="s">
        <v>235</v>
      </c>
      <c r="B893" s="3">
        <v>45627</v>
      </c>
      <c r="C893" s="11"/>
    </row>
    <row r="894" spans="1:3" hidden="1" x14ac:dyDescent="0.3">
      <c r="A894" t="s">
        <v>235</v>
      </c>
      <c r="B894" s="3">
        <v>45658</v>
      </c>
      <c r="C894" s="11"/>
    </row>
    <row r="895" spans="1:3" hidden="1" x14ac:dyDescent="0.3">
      <c r="A895" t="s">
        <v>235</v>
      </c>
      <c r="B895" s="3">
        <v>45689</v>
      </c>
      <c r="C895" s="11"/>
    </row>
    <row r="896" spans="1:3" hidden="1" x14ac:dyDescent="0.3">
      <c r="A896" t="s">
        <v>235</v>
      </c>
      <c r="B896" s="3">
        <v>45717</v>
      </c>
      <c r="C896" s="11"/>
    </row>
    <row r="897" spans="1:3" hidden="1" x14ac:dyDescent="0.3">
      <c r="A897" t="s">
        <v>235</v>
      </c>
      <c r="B897" s="3">
        <v>45748</v>
      </c>
      <c r="C897" s="11"/>
    </row>
    <row r="898" spans="1:3" hidden="1" x14ac:dyDescent="0.3">
      <c r="A898" t="s">
        <v>235</v>
      </c>
      <c r="B898" s="3">
        <v>45778</v>
      </c>
      <c r="C898" s="11"/>
    </row>
    <row r="899" spans="1:3" hidden="1" x14ac:dyDescent="0.3">
      <c r="A899" t="s">
        <v>235</v>
      </c>
      <c r="B899" s="3">
        <v>45809</v>
      </c>
      <c r="C899" s="11"/>
    </row>
    <row r="900" spans="1:3" hidden="1" x14ac:dyDescent="0.3">
      <c r="A900" t="s">
        <v>235</v>
      </c>
      <c r="B900" s="3">
        <v>45839</v>
      </c>
      <c r="C900" s="11"/>
    </row>
    <row r="901" spans="1:3" hidden="1" x14ac:dyDescent="0.3">
      <c r="A901" t="s">
        <v>235</v>
      </c>
      <c r="B901" s="3">
        <v>45870</v>
      </c>
      <c r="C901" s="11"/>
    </row>
    <row r="902" spans="1:3" hidden="1" x14ac:dyDescent="0.3">
      <c r="A902" t="s">
        <v>235</v>
      </c>
      <c r="B902" s="3">
        <v>45901</v>
      </c>
      <c r="C902" s="11"/>
    </row>
    <row r="903" spans="1:3" ht="28.95" hidden="1" customHeight="1" x14ac:dyDescent="0.3">
      <c r="A903" t="s">
        <v>235</v>
      </c>
      <c r="B903" s="3">
        <v>45931</v>
      </c>
      <c r="C903" s="11" t="s">
        <v>620</v>
      </c>
    </row>
    <row r="904" spans="1:3" ht="43.2" hidden="1" customHeight="1" x14ac:dyDescent="0.3">
      <c r="A904" t="s">
        <v>235</v>
      </c>
      <c r="B904" s="3">
        <v>45962</v>
      </c>
      <c r="C904" s="11" t="s">
        <v>621</v>
      </c>
    </row>
    <row r="905" spans="1:3" hidden="1" x14ac:dyDescent="0.3">
      <c r="A905" t="s">
        <v>235</v>
      </c>
      <c r="B905" s="3">
        <v>45992</v>
      </c>
      <c r="C905" s="11" t="s">
        <v>619</v>
      </c>
    </row>
    <row r="906" spans="1:3" hidden="1" x14ac:dyDescent="0.3">
      <c r="A906" t="s">
        <v>235</v>
      </c>
      <c r="B906" s="3">
        <v>46023</v>
      </c>
      <c r="C906" s="11" t="s">
        <v>356</v>
      </c>
    </row>
    <row r="907" spans="1:3" hidden="1" x14ac:dyDescent="0.3">
      <c r="A907" t="s">
        <v>235</v>
      </c>
      <c r="B907" s="3">
        <v>46054</v>
      </c>
      <c r="C907" s="11" t="s">
        <v>332</v>
      </c>
    </row>
    <row r="908" spans="1:3" hidden="1" x14ac:dyDescent="0.3">
      <c r="A908" t="s">
        <v>235</v>
      </c>
      <c r="B908" s="3">
        <v>46082</v>
      </c>
      <c r="C908" s="11" t="s">
        <v>332</v>
      </c>
    </row>
    <row r="909" spans="1:3" hidden="1" x14ac:dyDescent="0.3">
      <c r="A909" t="s">
        <v>235</v>
      </c>
      <c r="B909" s="3">
        <v>46113</v>
      </c>
      <c r="C909" s="11" t="s">
        <v>332</v>
      </c>
    </row>
    <row r="910" spans="1:3" x14ac:dyDescent="0.3">
      <c r="A910" t="s">
        <v>235</v>
      </c>
      <c r="B910" s="3">
        <v>46143</v>
      </c>
      <c r="C910" s="11" t="s">
        <v>320</v>
      </c>
    </row>
    <row r="911" spans="1:3" hidden="1" x14ac:dyDescent="0.3">
      <c r="A911" t="s">
        <v>235</v>
      </c>
      <c r="B911" s="3">
        <v>46174</v>
      </c>
      <c r="C911" s="11"/>
    </row>
    <row r="912" spans="1:3" hidden="1" x14ac:dyDescent="0.3">
      <c r="A912" t="s">
        <v>235</v>
      </c>
      <c r="B912" s="3">
        <v>46204</v>
      </c>
      <c r="C912" s="11"/>
    </row>
    <row r="913" spans="1:3" hidden="1" x14ac:dyDescent="0.3">
      <c r="A913" t="s">
        <v>235</v>
      </c>
      <c r="B913" s="3">
        <v>46235</v>
      </c>
      <c r="C913" s="11"/>
    </row>
    <row r="914" spans="1:3" hidden="1" x14ac:dyDescent="0.3">
      <c r="A914" t="s">
        <v>151</v>
      </c>
      <c r="B914" s="3">
        <v>45536</v>
      </c>
      <c r="C914" s="11"/>
    </row>
    <row r="915" spans="1:3" hidden="1" x14ac:dyDescent="0.3">
      <c r="A915" t="s">
        <v>151</v>
      </c>
      <c r="B915" s="3">
        <v>45566</v>
      </c>
      <c r="C915" s="11"/>
    </row>
    <row r="916" spans="1:3" hidden="1" x14ac:dyDescent="0.3">
      <c r="A916" t="s">
        <v>151</v>
      </c>
      <c r="B916" s="3">
        <v>45597</v>
      </c>
      <c r="C916" s="11"/>
    </row>
    <row r="917" spans="1:3" hidden="1" x14ac:dyDescent="0.3">
      <c r="A917" t="s">
        <v>151</v>
      </c>
      <c r="B917" s="3">
        <v>45627</v>
      </c>
      <c r="C917" s="11"/>
    </row>
    <row r="918" spans="1:3" hidden="1" x14ac:dyDescent="0.3">
      <c r="A918" t="s">
        <v>151</v>
      </c>
      <c r="B918" s="3">
        <v>45658</v>
      </c>
      <c r="C918" s="11"/>
    </row>
    <row r="919" spans="1:3" ht="43.2" hidden="1" customHeight="1" x14ac:dyDescent="0.3">
      <c r="A919" t="s">
        <v>151</v>
      </c>
      <c r="B919" s="3">
        <v>45689</v>
      </c>
      <c r="C919" s="11" t="s">
        <v>622</v>
      </c>
    </row>
    <row r="920" spans="1:3" ht="28.95" hidden="1" customHeight="1" x14ac:dyDescent="0.3">
      <c r="A920" t="s">
        <v>151</v>
      </c>
      <c r="B920" s="3">
        <v>45717</v>
      </c>
      <c r="C920" s="11" t="s">
        <v>623</v>
      </c>
    </row>
    <row r="921" spans="1:3" ht="57.6" hidden="1" customHeight="1" x14ac:dyDescent="0.3">
      <c r="A921" t="s">
        <v>151</v>
      </c>
      <c r="B921" s="3">
        <v>45748</v>
      </c>
      <c r="C921" s="11" t="s">
        <v>624</v>
      </c>
    </row>
    <row r="922" spans="1:3" ht="57.6" hidden="1" customHeight="1" x14ac:dyDescent="0.3">
      <c r="A922" t="s">
        <v>151</v>
      </c>
      <c r="B922" s="3">
        <v>45778</v>
      </c>
      <c r="C922" s="11" t="s">
        <v>625</v>
      </c>
    </row>
    <row r="923" spans="1:3" ht="57.6" hidden="1" customHeight="1" x14ac:dyDescent="0.3">
      <c r="A923" t="s">
        <v>151</v>
      </c>
      <c r="B923" s="3">
        <v>45809</v>
      </c>
      <c r="C923" s="11" t="s">
        <v>626</v>
      </c>
    </row>
    <row r="924" spans="1:3" ht="57.6" hidden="1" customHeight="1" x14ac:dyDescent="0.3">
      <c r="A924" t="s">
        <v>151</v>
      </c>
      <c r="B924" s="3">
        <v>45839</v>
      </c>
      <c r="C924" s="11" t="s">
        <v>627</v>
      </c>
    </row>
    <row r="925" spans="1:3" ht="57.6" hidden="1" customHeight="1" x14ac:dyDescent="0.3">
      <c r="A925" t="s">
        <v>151</v>
      </c>
      <c r="B925" s="3">
        <v>45870</v>
      </c>
      <c r="C925" s="11" t="s">
        <v>628</v>
      </c>
    </row>
    <row r="926" spans="1:3" ht="57.6" hidden="1" customHeight="1" x14ac:dyDescent="0.3">
      <c r="A926" t="s">
        <v>151</v>
      </c>
      <c r="B926" s="3">
        <v>45901</v>
      </c>
      <c r="C926" s="11" t="s">
        <v>629</v>
      </c>
    </row>
    <row r="927" spans="1:3" ht="57.6" hidden="1" customHeight="1" x14ac:dyDescent="0.3">
      <c r="A927" t="s">
        <v>151</v>
      </c>
      <c r="B927" s="3">
        <v>45931</v>
      </c>
      <c r="C927" s="11" t="s">
        <v>630</v>
      </c>
    </row>
    <row r="928" spans="1:3" ht="57.6" hidden="1" customHeight="1" x14ac:dyDescent="0.3">
      <c r="A928" t="s">
        <v>151</v>
      </c>
      <c r="B928" s="3">
        <v>45962</v>
      </c>
      <c r="C928" s="11" t="s">
        <v>631</v>
      </c>
    </row>
    <row r="929" spans="1:3" hidden="1" x14ac:dyDescent="0.3">
      <c r="A929" t="s">
        <v>151</v>
      </c>
      <c r="B929" s="3">
        <v>45992</v>
      </c>
      <c r="C929" s="11" t="s">
        <v>632</v>
      </c>
    </row>
    <row r="930" spans="1:3" hidden="1" x14ac:dyDescent="0.3">
      <c r="A930" t="s">
        <v>151</v>
      </c>
      <c r="B930" s="3">
        <v>46023</v>
      </c>
      <c r="C930" s="11" t="s">
        <v>632</v>
      </c>
    </row>
    <row r="931" spans="1:3" hidden="1" x14ac:dyDescent="0.3">
      <c r="A931" t="s">
        <v>151</v>
      </c>
      <c r="B931" s="3">
        <v>46054</v>
      </c>
      <c r="C931" s="11" t="s">
        <v>344</v>
      </c>
    </row>
    <row r="932" spans="1:3" hidden="1" x14ac:dyDescent="0.3">
      <c r="A932" t="s">
        <v>151</v>
      </c>
      <c r="B932" s="3">
        <v>46082</v>
      </c>
      <c r="C932" s="11" t="s">
        <v>344</v>
      </c>
    </row>
    <row r="933" spans="1:3" hidden="1" x14ac:dyDescent="0.3">
      <c r="A933" t="s">
        <v>151</v>
      </c>
      <c r="B933" s="3">
        <v>46113</v>
      </c>
      <c r="C933" s="11" t="s">
        <v>320</v>
      </c>
    </row>
    <row r="934" spans="1:3" x14ac:dyDescent="0.3">
      <c r="A934" t="s">
        <v>151</v>
      </c>
      <c r="B934" s="3">
        <v>46143</v>
      </c>
      <c r="C934" s="11" t="s">
        <v>320</v>
      </c>
    </row>
    <row r="935" spans="1:3" hidden="1" x14ac:dyDescent="0.3">
      <c r="A935" t="s">
        <v>151</v>
      </c>
      <c r="B935" s="3">
        <v>46174</v>
      </c>
      <c r="C935" s="11"/>
    </row>
    <row r="936" spans="1:3" hidden="1" x14ac:dyDescent="0.3">
      <c r="A936" t="s">
        <v>151</v>
      </c>
      <c r="B936" s="3">
        <v>46204</v>
      </c>
      <c r="C936" s="11"/>
    </row>
    <row r="937" spans="1:3" hidden="1" x14ac:dyDescent="0.3">
      <c r="A937" t="s">
        <v>151</v>
      </c>
      <c r="B937" s="3">
        <v>46235</v>
      </c>
      <c r="C937" s="11"/>
    </row>
    <row r="938" spans="1:3" hidden="1" x14ac:dyDescent="0.3">
      <c r="A938" t="s">
        <v>155</v>
      </c>
      <c r="B938" s="3">
        <v>45536</v>
      </c>
      <c r="C938" s="11"/>
    </row>
    <row r="939" spans="1:3" hidden="1" x14ac:dyDescent="0.3">
      <c r="A939" t="s">
        <v>155</v>
      </c>
      <c r="B939" s="3">
        <v>45566</v>
      </c>
      <c r="C939" s="11"/>
    </row>
    <row r="940" spans="1:3" hidden="1" x14ac:dyDescent="0.3">
      <c r="A940" t="s">
        <v>155</v>
      </c>
      <c r="B940" s="3">
        <v>45597</v>
      </c>
      <c r="C940" s="11"/>
    </row>
    <row r="941" spans="1:3" hidden="1" x14ac:dyDescent="0.3">
      <c r="A941" t="s">
        <v>155</v>
      </c>
      <c r="B941" s="3">
        <v>45627</v>
      </c>
      <c r="C941" s="11"/>
    </row>
    <row r="942" spans="1:3" hidden="1" x14ac:dyDescent="0.3">
      <c r="A942" t="s">
        <v>155</v>
      </c>
      <c r="B942" s="3">
        <v>45658</v>
      </c>
      <c r="C942" s="11"/>
    </row>
    <row r="943" spans="1:3" ht="28.95" hidden="1" customHeight="1" x14ac:dyDescent="0.3">
      <c r="A943" t="s">
        <v>155</v>
      </c>
      <c r="B943" s="3">
        <v>45689</v>
      </c>
      <c r="C943" s="11" t="s">
        <v>633</v>
      </c>
    </row>
    <row r="944" spans="1:3" hidden="1" x14ac:dyDescent="0.3">
      <c r="A944" t="s">
        <v>155</v>
      </c>
      <c r="B944" s="3">
        <v>45717</v>
      </c>
      <c r="C944" s="11" t="s">
        <v>494</v>
      </c>
    </row>
    <row r="945" spans="1:3" hidden="1" x14ac:dyDescent="0.3">
      <c r="A945" t="s">
        <v>155</v>
      </c>
      <c r="B945" s="3">
        <v>45748</v>
      </c>
      <c r="C945" s="11" t="s">
        <v>634</v>
      </c>
    </row>
    <row r="946" spans="1:3" ht="72" hidden="1" customHeight="1" x14ac:dyDescent="0.3">
      <c r="A946" t="s">
        <v>155</v>
      </c>
      <c r="B946" s="3">
        <v>45778</v>
      </c>
      <c r="C946" s="11" t="s">
        <v>635</v>
      </c>
    </row>
    <row r="947" spans="1:3" ht="57.6" hidden="1" customHeight="1" x14ac:dyDescent="0.3">
      <c r="A947" t="s">
        <v>155</v>
      </c>
      <c r="B947" s="3">
        <v>45809</v>
      </c>
      <c r="C947" s="11" t="s">
        <v>636</v>
      </c>
    </row>
    <row r="948" spans="1:3" ht="57.6" hidden="1" customHeight="1" x14ac:dyDescent="0.3">
      <c r="A948" t="s">
        <v>155</v>
      </c>
      <c r="B948" s="3">
        <v>45839</v>
      </c>
      <c r="C948" s="11" t="s">
        <v>637</v>
      </c>
    </row>
    <row r="949" spans="1:3" ht="72" hidden="1" customHeight="1" x14ac:dyDescent="0.3">
      <c r="A949" t="s">
        <v>155</v>
      </c>
      <c r="B949" s="3">
        <v>45870</v>
      </c>
      <c r="C949" s="11" t="s">
        <v>638</v>
      </c>
    </row>
    <row r="950" spans="1:3" ht="57.6" hidden="1" customHeight="1" x14ac:dyDescent="0.3">
      <c r="A950" t="s">
        <v>155</v>
      </c>
      <c r="B950" s="3">
        <v>45901</v>
      </c>
      <c r="C950" s="11" t="s">
        <v>639</v>
      </c>
    </row>
    <row r="951" spans="1:3" ht="57.6" hidden="1" customHeight="1" x14ac:dyDescent="0.3">
      <c r="A951" t="s">
        <v>155</v>
      </c>
      <c r="B951" s="3">
        <v>45931</v>
      </c>
      <c r="C951" s="11" t="s">
        <v>640</v>
      </c>
    </row>
    <row r="952" spans="1:3" ht="57.6" hidden="1" customHeight="1" x14ac:dyDescent="0.3">
      <c r="A952" t="s">
        <v>155</v>
      </c>
      <c r="B952" s="3">
        <v>45962</v>
      </c>
      <c r="C952" s="11" t="s">
        <v>641</v>
      </c>
    </row>
    <row r="953" spans="1:3" hidden="1" x14ac:dyDescent="0.3">
      <c r="A953" t="s">
        <v>155</v>
      </c>
      <c r="B953" s="3">
        <v>45992</v>
      </c>
      <c r="C953" s="11" t="s">
        <v>642</v>
      </c>
    </row>
    <row r="954" spans="1:3" hidden="1" x14ac:dyDescent="0.3">
      <c r="A954" t="s">
        <v>155</v>
      </c>
      <c r="B954" s="3">
        <v>46023</v>
      </c>
      <c r="C954" s="11" t="s">
        <v>356</v>
      </c>
    </row>
    <row r="955" spans="1:3" hidden="1" x14ac:dyDescent="0.3">
      <c r="A955" t="s">
        <v>155</v>
      </c>
      <c r="B955" s="3">
        <v>46054</v>
      </c>
      <c r="C955" s="11" t="s">
        <v>344</v>
      </c>
    </row>
    <row r="956" spans="1:3" hidden="1" x14ac:dyDescent="0.3">
      <c r="A956" t="s">
        <v>155</v>
      </c>
      <c r="B956" s="3">
        <v>46082</v>
      </c>
      <c r="C956" s="11" t="s">
        <v>344</v>
      </c>
    </row>
    <row r="957" spans="1:3" hidden="1" x14ac:dyDescent="0.3">
      <c r="A957" t="s">
        <v>155</v>
      </c>
      <c r="B957" s="3">
        <v>46113</v>
      </c>
      <c r="C957" s="11" t="s">
        <v>643</v>
      </c>
    </row>
    <row r="958" spans="1:3" x14ac:dyDescent="0.3">
      <c r="A958" t="s">
        <v>155</v>
      </c>
      <c r="B958" s="3">
        <v>46143</v>
      </c>
      <c r="C958" s="11" t="s">
        <v>975</v>
      </c>
    </row>
    <row r="959" spans="1:3" hidden="1" x14ac:dyDescent="0.3">
      <c r="A959" t="s">
        <v>155</v>
      </c>
      <c r="B959" s="3">
        <v>46174</v>
      </c>
      <c r="C959" s="11"/>
    </row>
    <row r="960" spans="1:3" hidden="1" x14ac:dyDescent="0.3">
      <c r="A960" t="s">
        <v>155</v>
      </c>
      <c r="B960" s="3">
        <v>46204</v>
      </c>
      <c r="C960" s="11"/>
    </row>
    <row r="961" spans="1:3" hidden="1" x14ac:dyDescent="0.3">
      <c r="A961" t="s">
        <v>155</v>
      </c>
      <c r="B961" s="3">
        <v>46235</v>
      </c>
      <c r="C961" s="11"/>
    </row>
    <row r="962" spans="1:3" hidden="1" x14ac:dyDescent="0.3">
      <c r="A962" t="s">
        <v>163</v>
      </c>
      <c r="B962" s="3">
        <v>45536</v>
      </c>
      <c r="C962" s="11"/>
    </row>
    <row r="963" spans="1:3" hidden="1" x14ac:dyDescent="0.3">
      <c r="A963" t="s">
        <v>163</v>
      </c>
      <c r="B963" s="3">
        <v>45566</v>
      </c>
      <c r="C963" s="11"/>
    </row>
    <row r="964" spans="1:3" hidden="1" x14ac:dyDescent="0.3">
      <c r="A964" t="s">
        <v>163</v>
      </c>
      <c r="B964" s="3">
        <v>45597</v>
      </c>
      <c r="C964" s="11"/>
    </row>
    <row r="965" spans="1:3" hidden="1" x14ac:dyDescent="0.3">
      <c r="A965" t="s">
        <v>163</v>
      </c>
      <c r="B965" s="3">
        <v>45627</v>
      </c>
      <c r="C965" s="11"/>
    </row>
    <row r="966" spans="1:3" hidden="1" x14ac:dyDescent="0.3">
      <c r="A966" t="s">
        <v>163</v>
      </c>
      <c r="B966" s="3">
        <v>45658</v>
      </c>
      <c r="C966" s="11"/>
    </row>
    <row r="967" spans="1:3" ht="28.95" hidden="1" customHeight="1" x14ac:dyDescent="0.3">
      <c r="A967" t="s">
        <v>163</v>
      </c>
      <c r="B967" s="3">
        <v>45689</v>
      </c>
      <c r="C967" s="11" t="s">
        <v>644</v>
      </c>
    </row>
    <row r="968" spans="1:3" ht="28.95" hidden="1" customHeight="1" x14ac:dyDescent="0.3">
      <c r="A968" t="s">
        <v>163</v>
      </c>
      <c r="B968" s="3">
        <v>45717</v>
      </c>
      <c r="C968" s="11" t="s">
        <v>623</v>
      </c>
    </row>
    <row r="969" spans="1:3" ht="28.95" hidden="1" customHeight="1" x14ac:dyDescent="0.3">
      <c r="A969" t="s">
        <v>163</v>
      </c>
      <c r="B969" s="3">
        <v>45748</v>
      </c>
      <c r="C969" s="11" t="s">
        <v>623</v>
      </c>
    </row>
    <row r="970" spans="1:3" ht="72" hidden="1" customHeight="1" x14ac:dyDescent="0.3">
      <c r="A970" t="s">
        <v>163</v>
      </c>
      <c r="B970" s="3">
        <v>45778</v>
      </c>
      <c r="C970" s="11" t="s">
        <v>645</v>
      </c>
    </row>
    <row r="971" spans="1:3" ht="72" hidden="1" customHeight="1" x14ac:dyDescent="0.3">
      <c r="A971" t="s">
        <v>163</v>
      </c>
      <c r="B971" s="3">
        <v>45809</v>
      </c>
      <c r="C971" s="11" t="s">
        <v>646</v>
      </c>
    </row>
    <row r="972" spans="1:3" ht="72" hidden="1" customHeight="1" x14ac:dyDescent="0.3">
      <c r="A972" t="s">
        <v>163</v>
      </c>
      <c r="B972" s="3">
        <v>45839</v>
      </c>
      <c r="C972" s="11" t="s">
        <v>647</v>
      </c>
    </row>
    <row r="973" spans="1:3" ht="72" hidden="1" customHeight="1" x14ac:dyDescent="0.3">
      <c r="A973" t="s">
        <v>163</v>
      </c>
      <c r="B973" s="3">
        <v>45870</v>
      </c>
      <c r="C973" s="11" t="s">
        <v>648</v>
      </c>
    </row>
    <row r="974" spans="1:3" ht="57.6" hidden="1" customHeight="1" x14ac:dyDescent="0.3">
      <c r="A974" t="s">
        <v>163</v>
      </c>
      <c r="B974" s="3">
        <v>45901</v>
      </c>
      <c r="C974" s="11" t="s">
        <v>649</v>
      </c>
    </row>
    <row r="975" spans="1:3" ht="72" hidden="1" customHeight="1" x14ac:dyDescent="0.3">
      <c r="A975" t="s">
        <v>163</v>
      </c>
      <c r="B975" s="3">
        <v>45931</v>
      </c>
      <c r="C975" s="11" t="s">
        <v>650</v>
      </c>
    </row>
    <row r="976" spans="1:3" ht="72" hidden="1" customHeight="1" x14ac:dyDescent="0.3">
      <c r="A976" t="s">
        <v>163</v>
      </c>
      <c r="B976" s="3">
        <v>45962</v>
      </c>
      <c r="C976" s="11" t="s">
        <v>651</v>
      </c>
    </row>
    <row r="977" spans="1:3" hidden="1" x14ac:dyDescent="0.3">
      <c r="A977" t="s">
        <v>163</v>
      </c>
      <c r="B977" s="3">
        <v>45992</v>
      </c>
      <c r="C977" s="11" t="s">
        <v>652</v>
      </c>
    </row>
    <row r="978" spans="1:3" hidden="1" x14ac:dyDescent="0.3">
      <c r="A978" t="s">
        <v>163</v>
      </c>
      <c r="B978" s="3">
        <v>46023</v>
      </c>
      <c r="C978" s="11" t="s">
        <v>653</v>
      </c>
    </row>
    <row r="979" spans="1:3" ht="28.95" hidden="1" customHeight="1" x14ac:dyDescent="0.3">
      <c r="A979" t="s">
        <v>163</v>
      </c>
      <c r="B979" s="3">
        <v>46054</v>
      </c>
      <c r="C979" s="11" t="s">
        <v>654</v>
      </c>
    </row>
    <row r="980" spans="1:3" hidden="1" x14ac:dyDescent="0.3">
      <c r="A980" t="s">
        <v>163</v>
      </c>
      <c r="B980" s="3">
        <v>46082</v>
      </c>
      <c r="C980" s="11" t="s">
        <v>655</v>
      </c>
    </row>
    <row r="981" spans="1:3" hidden="1" x14ac:dyDescent="0.3">
      <c r="A981" t="s">
        <v>163</v>
      </c>
      <c r="B981" s="3">
        <v>46113</v>
      </c>
      <c r="C981" s="11" t="s">
        <v>655</v>
      </c>
    </row>
    <row r="982" spans="1:3" x14ac:dyDescent="0.3">
      <c r="A982" t="s">
        <v>163</v>
      </c>
      <c r="B982" s="3">
        <v>46143</v>
      </c>
      <c r="C982" s="11" t="s">
        <v>972</v>
      </c>
    </row>
    <row r="983" spans="1:3" hidden="1" x14ac:dyDescent="0.3">
      <c r="A983" t="s">
        <v>163</v>
      </c>
      <c r="B983" s="3">
        <v>46174</v>
      </c>
      <c r="C983" s="11"/>
    </row>
    <row r="984" spans="1:3" hidden="1" x14ac:dyDescent="0.3">
      <c r="A984" t="s">
        <v>163</v>
      </c>
      <c r="B984" s="3">
        <v>46204</v>
      </c>
      <c r="C984" s="11"/>
    </row>
    <row r="985" spans="1:3" hidden="1" x14ac:dyDescent="0.3">
      <c r="A985" t="s">
        <v>163</v>
      </c>
      <c r="B985" s="3">
        <v>46235</v>
      </c>
      <c r="C985" s="11"/>
    </row>
    <row r="986" spans="1:3" hidden="1" x14ac:dyDescent="0.3">
      <c r="A986" t="s">
        <v>159</v>
      </c>
      <c r="B986" s="3">
        <v>45536</v>
      </c>
      <c r="C986" s="11"/>
    </row>
    <row r="987" spans="1:3" hidden="1" x14ac:dyDescent="0.3">
      <c r="A987" t="s">
        <v>159</v>
      </c>
      <c r="B987" s="3">
        <v>45566</v>
      </c>
      <c r="C987" s="11"/>
    </row>
    <row r="988" spans="1:3" hidden="1" x14ac:dyDescent="0.3">
      <c r="A988" t="s">
        <v>159</v>
      </c>
      <c r="B988" s="3">
        <v>45597</v>
      </c>
      <c r="C988" s="11"/>
    </row>
    <row r="989" spans="1:3" hidden="1" x14ac:dyDescent="0.3">
      <c r="A989" t="s">
        <v>159</v>
      </c>
      <c r="B989" s="3">
        <v>45627</v>
      </c>
      <c r="C989" s="11"/>
    </row>
    <row r="990" spans="1:3" hidden="1" x14ac:dyDescent="0.3">
      <c r="A990" t="s">
        <v>159</v>
      </c>
      <c r="B990" s="3">
        <v>45658</v>
      </c>
      <c r="C990" s="11"/>
    </row>
    <row r="991" spans="1:3" ht="43.2" hidden="1" customHeight="1" x14ac:dyDescent="0.3">
      <c r="A991" t="s">
        <v>159</v>
      </c>
      <c r="B991" s="3">
        <v>45689</v>
      </c>
      <c r="C991" s="11" t="s">
        <v>656</v>
      </c>
    </row>
    <row r="992" spans="1:3" ht="72" hidden="1" customHeight="1" x14ac:dyDescent="0.3">
      <c r="A992" t="s">
        <v>159</v>
      </c>
      <c r="B992" s="3">
        <v>45717</v>
      </c>
      <c r="C992" s="11" t="s">
        <v>657</v>
      </c>
    </row>
    <row r="993" spans="1:3" ht="43.2" hidden="1" customHeight="1" x14ac:dyDescent="0.3">
      <c r="A993" t="s">
        <v>159</v>
      </c>
      <c r="B993" s="3">
        <v>45748</v>
      </c>
      <c r="C993" s="11" t="s">
        <v>658</v>
      </c>
    </row>
    <row r="994" spans="1:3" ht="57.6" hidden="1" customHeight="1" x14ac:dyDescent="0.3">
      <c r="A994" t="s">
        <v>159</v>
      </c>
      <c r="B994" s="3">
        <v>45778</v>
      </c>
      <c r="C994" s="11" t="s">
        <v>659</v>
      </c>
    </row>
    <row r="995" spans="1:3" ht="57.6" hidden="1" customHeight="1" x14ac:dyDescent="0.3">
      <c r="A995" t="s">
        <v>159</v>
      </c>
      <c r="B995" s="3">
        <v>45809</v>
      </c>
      <c r="C995" s="11" t="s">
        <v>660</v>
      </c>
    </row>
    <row r="996" spans="1:3" ht="57.6" hidden="1" customHeight="1" x14ac:dyDescent="0.3">
      <c r="A996" t="s">
        <v>159</v>
      </c>
      <c r="B996" s="3">
        <v>45839</v>
      </c>
      <c r="C996" s="11" t="s">
        <v>661</v>
      </c>
    </row>
    <row r="997" spans="1:3" ht="57.6" hidden="1" customHeight="1" x14ac:dyDescent="0.3">
      <c r="A997" t="s">
        <v>159</v>
      </c>
      <c r="B997" s="3">
        <v>45870</v>
      </c>
      <c r="C997" s="11" t="s">
        <v>662</v>
      </c>
    </row>
    <row r="998" spans="1:3" ht="57.6" hidden="1" customHeight="1" x14ac:dyDescent="0.3">
      <c r="A998" t="s">
        <v>159</v>
      </c>
      <c r="B998" s="3">
        <v>45901</v>
      </c>
      <c r="C998" s="11" t="s">
        <v>663</v>
      </c>
    </row>
    <row r="999" spans="1:3" ht="57.6" hidden="1" customHeight="1" x14ac:dyDescent="0.3">
      <c r="A999" t="s">
        <v>159</v>
      </c>
      <c r="B999" s="3">
        <v>45931</v>
      </c>
      <c r="C999" s="11" t="s">
        <v>664</v>
      </c>
    </row>
    <row r="1000" spans="1:3" ht="57.6" hidden="1" customHeight="1" x14ac:dyDescent="0.3">
      <c r="A1000" t="s">
        <v>159</v>
      </c>
      <c r="B1000" s="3">
        <v>45962</v>
      </c>
      <c r="C1000" s="11" t="s">
        <v>665</v>
      </c>
    </row>
    <row r="1001" spans="1:3" hidden="1" x14ac:dyDescent="0.3">
      <c r="A1001" t="s">
        <v>159</v>
      </c>
      <c r="B1001" s="3">
        <v>45992</v>
      </c>
      <c r="C1001" s="11" t="s">
        <v>666</v>
      </c>
    </row>
    <row r="1002" spans="1:3" hidden="1" x14ac:dyDescent="0.3">
      <c r="A1002" t="s">
        <v>159</v>
      </c>
      <c r="B1002" s="3">
        <v>46023</v>
      </c>
      <c r="C1002" s="11" t="s">
        <v>667</v>
      </c>
    </row>
    <row r="1003" spans="1:3" hidden="1" x14ac:dyDescent="0.3">
      <c r="A1003" t="s">
        <v>159</v>
      </c>
      <c r="B1003" s="3">
        <v>46054</v>
      </c>
      <c r="C1003" s="11" t="s">
        <v>344</v>
      </c>
    </row>
    <row r="1004" spans="1:3" hidden="1" x14ac:dyDescent="0.3">
      <c r="A1004" t="s">
        <v>159</v>
      </c>
      <c r="B1004" s="3">
        <v>46082</v>
      </c>
      <c r="C1004" s="11" t="s">
        <v>344</v>
      </c>
    </row>
    <row r="1005" spans="1:3" hidden="1" x14ac:dyDescent="0.3">
      <c r="A1005" t="s">
        <v>159</v>
      </c>
      <c r="B1005" s="3">
        <v>46113</v>
      </c>
      <c r="C1005" s="11" t="s">
        <v>668</v>
      </c>
    </row>
    <row r="1006" spans="1:3" x14ac:dyDescent="0.3">
      <c r="A1006" t="s">
        <v>159</v>
      </c>
      <c r="B1006" s="3">
        <v>46143</v>
      </c>
      <c r="C1006" s="11" t="s">
        <v>973</v>
      </c>
    </row>
    <row r="1007" spans="1:3" hidden="1" x14ac:dyDescent="0.3">
      <c r="A1007" t="s">
        <v>159</v>
      </c>
      <c r="B1007" s="3">
        <v>46174</v>
      </c>
      <c r="C1007" s="11"/>
    </row>
    <row r="1008" spans="1:3" hidden="1" x14ac:dyDescent="0.3">
      <c r="A1008" t="s">
        <v>159</v>
      </c>
      <c r="B1008" s="3">
        <v>46204</v>
      </c>
      <c r="C1008" s="11"/>
    </row>
    <row r="1009" spans="1:3" hidden="1" x14ac:dyDescent="0.3">
      <c r="A1009" t="s">
        <v>159</v>
      </c>
      <c r="B1009" s="3">
        <v>46235</v>
      </c>
      <c r="C1009" s="11"/>
    </row>
    <row r="1010" spans="1:3" hidden="1" x14ac:dyDescent="0.3">
      <c r="A1010" t="s">
        <v>166</v>
      </c>
      <c r="B1010" s="3">
        <v>45536</v>
      </c>
      <c r="C1010" s="11"/>
    </row>
    <row r="1011" spans="1:3" hidden="1" x14ac:dyDescent="0.3">
      <c r="A1011" t="s">
        <v>166</v>
      </c>
      <c r="B1011" s="3">
        <v>45566</v>
      </c>
      <c r="C1011" s="11"/>
    </row>
    <row r="1012" spans="1:3" hidden="1" x14ac:dyDescent="0.3">
      <c r="A1012" t="s">
        <v>166</v>
      </c>
      <c r="B1012" s="3">
        <v>45597</v>
      </c>
      <c r="C1012" s="11"/>
    </row>
    <row r="1013" spans="1:3" hidden="1" x14ac:dyDescent="0.3">
      <c r="A1013" t="s">
        <v>166</v>
      </c>
      <c r="B1013" s="3">
        <v>45627</v>
      </c>
      <c r="C1013" s="11"/>
    </row>
    <row r="1014" spans="1:3" hidden="1" x14ac:dyDescent="0.3">
      <c r="A1014" t="s">
        <v>166</v>
      </c>
      <c r="B1014" s="3">
        <v>45658</v>
      </c>
      <c r="C1014" s="11"/>
    </row>
    <row r="1015" spans="1:3" hidden="1" x14ac:dyDescent="0.3">
      <c r="A1015" t="s">
        <v>166</v>
      </c>
      <c r="B1015" s="3">
        <v>45689</v>
      </c>
      <c r="C1015" s="11" t="s">
        <v>669</v>
      </c>
    </row>
    <row r="1016" spans="1:3" hidden="1" x14ac:dyDescent="0.3">
      <c r="A1016" t="s">
        <v>166</v>
      </c>
      <c r="B1016" s="3">
        <v>45717</v>
      </c>
      <c r="C1016" s="11" t="s">
        <v>670</v>
      </c>
    </row>
    <row r="1017" spans="1:3" hidden="1" x14ac:dyDescent="0.3">
      <c r="A1017" t="s">
        <v>166</v>
      </c>
      <c r="B1017" s="3">
        <v>45748</v>
      </c>
      <c r="C1017" s="11" t="s">
        <v>670</v>
      </c>
    </row>
    <row r="1018" spans="1:3" ht="57.6" hidden="1" customHeight="1" x14ac:dyDescent="0.3">
      <c r="A1018" t="s">
        <v>166</v>
      </c>
      <c r="B1018" s="3">
        <v>45778</v>
      </c>
      <c r="C1018" s="11" t="s">
        <v>671</v>
      </c>
    </row>
    <row r="1019" spans="1:3" ht="57.6" hidden="1" customHeight="1" x14ac:dyDescent="0.3">
      <c r="A1019" t="s">
        <v>166</v>
      </c>
      <c r="B1019" s="3">
        <v>45809</v>
      </c>
      <c r="C1019" s="11" t="s">
        <v>672</v>
      </c>
    </row>
    <row r="1020" spans="1:3" hidden="1" x14ac:dyDescent="0.3">
      <c r="A1020" t="s">
        <v>166</v>
      </c>
      <c r="B1020" s="3">
        <v>45839</v>
      </c>
      <c r="C1020" s="11"/>
    </row>
    <row r="1021" spans="1:3" ht="57.6" hidden="1" customHeight="1" x14ac:dyDescent="0.3">
      <c r="A1021" t="s">
        <v>166</v>
      </c>
      <c r="B1021" s="3">
        <v>45870</v>
      </c>
      <c r="C1021" s="11" t="s">
        <v>673</v>
      </c>
    </row>
    <row r="1022" spans="1:3" ht="57.6" hidden="1" customHeight="1" x14ac:dyDescent="0.3">
      <c r="A1022" t="s">
        <v>166</v>
      </c>
      <c r="B1022" s="3">
        <v>45901</v>
      </c>
      <c r="C1022" s="11" t="s">
        <v>674</v>
      </c>
    </row>
    <row r="1023" spans="1:3" ht="57.6" hidden="1" customHeight="1" x14ac:dyDescent="0.3">
      <c r="A1023" t="s">
        <v>166</v>
      </c>
      <c r="B1023" s="3">
        <v>45931</v>
      </c>
      <c r="C1023" s="11" t="s">
        <v>675</v>
      </c>
    </row>
    <row r="1024" spans="1:3" ht="57.6" hidden="1" customHeight="1" x14ac:dyDescent="0.3">
      <c r="A1024" t="s">
        <v>166</v>
      </c>
      <c r="B1024" s="3">
        <v>45962</v>
      </c>
      <c r="C1024" s="11" t="s">
        <v>676</v>
      </c>
    </row>
    <row r="1025" spans="1:3" hidden="1" x14ac:dyDescent="0.3">
      <c r="A1025" t="s">
        <v>166</v>
      </c>
      <c r="B1025" s="3">
        <v>45992</v>
      </c>
      <c r="C1025" s="11" t="s">
        <v>344</v>
      </c>
    </row>
    <row r="1026" spans="1:3" hidden="1" x14ac:dyDescent="0.3">
      <c r="A1026" t="s">
        <v>166</v>
      </c>
      <c r="B1026" s="3">
        <v>46023</v>
      </c>
      <c r="C1026" s="11" t="s">
        <v>356</v>
      </c>
    </row>
    <row r="1027" spans="1:3" hidden="1" x14ac:dyDescent="0.3">
      <c r="A1027" t="s">
        <v>166</v>
      </c>
      <c r="B1027" s="3">
        <v>46054</v>
      </c>
      <c r="C1027" s="11" t="s">
        <v>344</v>
      </c>
    </row>
    <row r="1028" spans="1:3" hidden="1" x14ac:dyDescent="0.3">
      <c r="A1028" t="s">
        <v>166</v>
      </c>
      <c r="B1028" s="3">
        <v>46082</v>
      </c>
      <c r="C1028" s="11" t="s">
        <v>677</v>
      </c>
    </row>
    <row r="1029" spans="1:3" hidden="1" x14ac:dyDescent="0.3">
      <c r="A1029" t="s">
        <v>166</v>
      </c>
      <c r="B1029" s="3">
        <v>46113</v>
      </c>
      <c r="C1029" s="11" t="s">
        <v>678</v>
      </c>
    </row>
    <row r="1030" spans="1:3" x14ac:dyDescent="0.3">
      <c r="A1030" t="s">
        <v>166</v>
      </c>
      <c r="B1030" s="3">
        <v>46143</v>
      </c>
      <c r="C1030" s="11" t="s">
        <v>971</v>
      </c>
    </row>
    <row r="1031" spans="1:3" hidden="1" x14ac:dyDescent="0.3">
      <c r="A1031" t="s">
        <v>166</v>
      </c>
      <c r="B1031" s="3">
        <v>46174</v>
      </c>
      <c r="C1031" s="11"/>
    </row>
    <row r="1032" spans="1:3" hidden="1" x14ac:dyDescent="0.3">
      <c r="A1032" t="s">
        <v>166</v>
      </c>
      <c r="B1032" s="3">
        <v>46204</v>
      </c>
      <c r="C1032" s="11"/>
    </row>
    <row r="1033" spans="1:3" hidden="1" x14ac:dyDescent="0.3">
      <c r="A1033" t="s">
        <v>166</v>
      </c>
      <c r="B1033" s="3">
        <v>46235</v>
      </c>
      <c r="C1033" s="11"/>
    </row>
    <row r="1034" spans="1:3" hidden="1" x14ac:dyDescent="0.3">
      <c r="A1034" t="s">
        <v>168</v>
      </c>
      <c r="B1034" s="3">
        <v>45536</v>
      </c>
      <c r="C1034" s="11"/>
    </row>
    <row r="1035" spans="1:3" hidden="1" x14ac:dyDescent="0.3">
      <c r="A1035" t="s">
        <v>168</v>
      </c>
      <c r="B1035" s="3">
        <v>45566</v>
      </c>
      <c r="C1035" s="11"/>
    </row>
    <row r="1036" spans="1:3" hidden="1" x14ac:dyDescent="0.3">
      <c r="A1036" t="s">
        <v>168</v>
      </c>
      <c r="B1036" s="3">
        <v>45597</v>
      </c>
      <c r="C1036" s="11"/>
    </row>
    <row r="1037" spans="1:3" hidden="1" x14ac:dyDescent="0.3">
      <c r="A1037" t="s">
        <v>168</v>
      </c>
      <c r="B1037" s="3">
        <v>45627</v>
      </c>
      <c r="C1037" s="11"/>
    </row>
    <row r="1038" spans="1:3" hidden="1" x14ac:dyDescent="0.3">
      <c r="A1038" t="s">
        <v>168</v>
      </c>
      <c r="B1038" s="3">
        <v>45658</v>
      </c>
      <c r="C1038" s="11"/>
    </row>
    <row r="1039" spans="1:3" hidden="1" x14ac:dyDescent="0.3">
      <c r="A1039" t="s">
        <v>168</v>
      </c>
      <c r="B1039" s="3">
        <v>45689</v>
      </c>
      <c r="C1039" s="11"/>
    </row>
    <row r="1040" spans="1:3" hidden="1" x14ac:dyDescent="0.3">
      <c r="A1040" t="s">
        <v>168</v>
      </c>
      <c r="B1040" s="3">
        <v>45717</v>
      </c>
      <c r="C1040" s="11"/>
    </row>
    <row r="1041" spans="1:3" hidden="1" x14ac:dyDescent="0.3">
      <c r="A1041" t="s">
        <v>168</v>
      </c>
      <c r="B1041" s="3">
        <v>45748</v>
      </c>
      <c r="C1041" s="11"/>
    </row>
    <row r="1042" spans="1:3" hidden="1" x14ac:dyDescent="0.3">
      <c r="A1042" t="s">
        <v>168</v>
      </c>
      <c r="B1042" s="3">
        <v>45778</v>
      </c>
      <c r="C1042" s="11"/>
    </row>
    <row r="1043" spans="1:3" hidden="1" x14ac:dyDescent="0.3">
      <c r="A1043" t="s">
        <v>168</v>
      </c>
      <c r="B1043" s="3">
        <v>45809</v>
      </c>
      <c r="C1043" s="11"/>
    </row>
    <row r="1044" spans="1:3" hidden="1" x14ac:dyDescent="0.3">
      <c r="A1044" t="s">
        <v>168</v>
      </c>
      <c r="B1044" s="3">
        <v>45839</v>
      </c>
      <c r="C1044" s="11"/>
    </row>
    <row r="1045" spans="1:3" hidden="1" x14ac:dyDescent="0.3">
      <c r="A1045" t="s">
        <v>168</v>
      </c>
      <c r="B1045" s="3">
        <v>45870</v>
      </c>
      <c r="C1045" s="11"/>
    </row>
    <row r="1046" spans="1:3" hidden="1" x14ac:dyDescent="0.3">
      <c r="A1046" t="s">
        <v>168</v>
      </c>
      <c r="B1046" s="3">
        <v>45901</v>
      </c>
      <c r="C1046" s="11"/>
    </row>
    <row r="1047" spans="1:3" ht="57.6" hidden="1" customHeight="1" x14ac:dyDescent="0.3">
      <c r="A1047" t="s">
        <v>168</v>
      </c>
      <c r="B1047" s="3">
        <v>45931</v>
      </c>
      <c r="C1047" s="11" t="s">
        <v>679</v>
      </c>
    </row>
    <row r="1048" spans="1:3" ht="57.6" hidden="1" customHeight="1" x14ac:dyDescent="0.3">
      <c r="A1048" t="s">
        <v>168</v>
      </c>
      <c r="B1048" s="3">
        <v>45962</v>
      </c>
      <c r="C1048" s="11" t="s">
        <v>679</v>
      </c>
    </row>
    <row r="1049" spans="1:3" hidden="1" x14ac:dyDescent="0.3">
      <c r="A1049" t="s">
        <v>168</v>
      </c>
      <c r="B1049" s="3">
        <v>45992</v>
      </c>
      <c r="C1049" s="11" t="s">
        <v>680</v>
      </c>
    </row>
    <row r="1050" spans="1:3" hidden="1" x14ac:dyDescent="0.3">
      <c r="A1050" t="s">
        <v>168</v>
      </c>
      <c r="B1050" s="3">
        <v>46023</v>
      </c>
      <c r="C1050" s="11" t="s">
        <v>356</v>
      </c>
    </row>
    <row r="1051" spans="1:3" hidden="1" x14ac:dyDescent="0.3">
      <c r="A1051" t="s">
        <v>168</v>
      </c>
      <c r="B1051" s="3">
        <v>46054</v>
      </c>
      <c r="C1051" s="11" t="s">
        <v>344</v>
      </c>
    </row>
    <row r="1052" spans="1:3" hidden="1" x14ac:dyDescent="0.3">
      <c r="A1052" t="s">
        <v>168</v>
      </c>
      <c r="B1052" s="3">
        <v>46082</v>
      </c>
      <c r="C1052" s="11" t="s">
        <v>344</v>
      </c>
    </row>
    <row r="1053" spans="1:3" hidden="1" x14ac:dyDescent="0.3">
      <c r="A1053" t="s">
        <v>168</v>
      </c>
      <c r="B1053" s="3">
        <v>46113</v>
      </c>
      <c r="C1053" s="11" t="s">
        <v>677</v>
      </c>
    </row>
    <row r="1054" spans="1:3" x14ac:dyDescent="0.3">
      <c r="A1054" t="s">
        <v>168</v>
      </c>
      <c r="B1054" s="3">
        <v>46143</v>
      </c>
      <c r="C1054" s="11" t="s">
        <v>975</v>
      </c>
    </row>
    <row r="1055" spans="1:3" hidden="1" x14ac:dyDescent="0.3">
      <c r="A1055" t="s">
        <v>168</v>
      </c>
      <c r="B1055" s="3">
        <v>46174</v>
      </c>
      <c r="C1055" s="11"/>
    </row>
    <row r="1056" spans="1:3" hidden="1" x14ac:dyDescent="0.3">
      <c r="A1056" t="s">
        <v>168</v>
      </c>
      <c r="B1056" s="3">
        <v>46204</v>
      </c>
      <c r="C1056" s="11"/>
    </row>
    <row r="1057" spans="1:3" hidden="1" x14ac:dyDescent="0.3">
      <c r="A1057" t="s">
        <v>168</v>
      </c>
      <c r="B1057" s="3">
        <v>46235</v>
      </c>
      <c r="C1057" s="11"/>
    </row>
    <row r="1058" spans="1:3" hidden="1" x14ac:dyDescent="0.3">
      <c r="A1058" t="s">
        <v>171</v>
      </c>
      <c r="B1058" s="3">
        <v>45536</v>
      </c>
      <c r="C1058" s="11"/>
    </row>
    <row r="1059" spans="1:3" hidden="1" x14ac:dyDescent="0.3">
      <c r="A1059" t="s">
        <v>171</v>
      </c>
      <c r="B1059" s="3">
        <v>45566</v>
      </c>
      <c r="C1059" s="11" t="s">
        <v>681</v>
      </c>
    </row>
    <row r="1060" spans="1:3" hidden="1" x14ac:dyDescent="0.3">
      <c r="A1060" t="s">
        <v>171</v>
      </c>
      <c r="B1060" s="3">
        <v>45597</v>
      </c>
      <c r="C1060" s="11"/>
    </row>
    <row r="1061" spans="1:3" hidden="1" x14ac:dyDescent="0.3">
      <c r="A1061" t="s">
        <v>171</v>
      </c>
      <c r="B1061" s="3">
        <v>45627</v>
      </c>
      <c r="C1061" s="11"/>
    </row>
    <row r="1062" spans="1:3" hidden="1" x14ac:dyDescent="0.3">
      <c r="A1062" t="s">
        <v>171</v>
      </c>
      <c r="B1062" s="3">
        <v>45658</v>
      </c>
      <c r="C1062" s="11"/>
    </row>
    <row r="1063" spans="1:3" hidden="1" x14ac:dyDescent="0.3">
      <c r="A1063" t="s">
        <v>171</v>
      </c>
      <c r="B1063" s="3">
        <v>45689</v>
      </c>
      <c r="C1063" s="11" t="s">
        <v>682</v>
      </c>
    </row>
    <row r="1064" spans="1:3" ht="43.2" hidden="1" customHeight="1" x14ac:dyDescent="0.3">
      <c r="A1064" t="s">
        <v>171</v>
      </c>
      <c r="B1064" s="3">
        <v>45717</v>
      </c>
      <c r="C1064" s="11" t="s">
        <v>683</v>
      </c>
    </row>
    <row r="1065" spans="1:3" ht="57.6" hidden="1" customHeight="1" x14ac:dyDescent="0.3">
      <c r="A1065" t="s">
        <v>171</v>
      </c>
      <c r="B1065" s="3">
        <v>45748</v>
      </c>
      <c r="C1065" s="11" t="s">
        <v>684</v>
      </c>
    </row>
    <row r="1066" spans="1:3" ht="57.6" hidden="1" customHeight="1" x14ac:dyDescent="0.3">
      <c r="A1066" t="s">
        <v>171</v>
      </c>
      <c r="B1066" s="3">
        <v>45778</v>
      </c>
      <c r="C1066" s="11" t="s">
        <v>685</v>
      </c>
    </row>
    <row r="1067" spans="1:3" ht="57.6" hidden="1" customHeight="1" x14ac:dyDescent="0.3">
      <c r="A1067" t="s">
        <v>171</v>
      </c>
      <c r="B1067" s="3">
        <v>45809</v>
      </c>
      <c r="C1067" s="11" t="s">
        <v>686</v>
      </c>
    </row>
    <row r="1068" spans="1:3" ht="57.6" hidden="1" customHeight="1" x14ac:dyDescent="0.3">
      <c r="A1068" t="s">
        <v>171</v>
      </c>
      <c r="B1068" s="3">
        <v>45839</v>
      </c>
      <c r="C1068" s="11" t="s">
        <v>687</v>
      </c>
    </row>
    <row r="1069" spans="1:3" ht="57.6" hidden="1" customHeight="1" x14ac:dyDescent="0.3">
      <c r="A1069" t="s">
        <v>171</v>
      </c>
      <c r="B1069" s="3">
        <v>45870</v>
      </c>
      <c r="C1069" s="11" t="s">
        <v>688</v>
      </c>
    </row>
    <row r="1070" spans="1:3" ht="57.6" hidden="1" customHeight="1" x14ac:dyDescent="0.3">
      <c r="A1070" t="s">
        <v>171</v>
      </c>
      <c r="B1070" s="3">
        <v>45901</v>
      </c>
      <c r="C1070" s="11" t="s">
        <v>689</v>
      </c>
    </row>
    <row r="1071" spans="1:3" ht="57.6" hidden="1" customHeight="1" x14ac:dyDescent="0.3">
      <c r="A1071" t="s">
        <v>171</v>
      </c>
      <c r="B1071" s="3">
        <v>45931</v>
      </c>
      <c r="C1071" s="11" t="s">
        <v>690</v>
      </c>
    </row>
    <row r="1072" spans="1:3" ht="57.6" hidden="1" customHeight="1" x14ac:dyDescent="0.3">
      <c r="A1072" t="s">
        <v>171</v>
      </c>
      <c r="B1072" s="3">
        <v>45962</v>
      </c>
      <c r="C1072" s="11" t="s">
        <v>691</v>
      </c>
    </row>
    <row r="1073" spans="1:3" hidden="1" x14ac:dyDescent="0.3">
      <c r="A1073" t="s">
        <v>171</v>
      </c>
      <c r="B1073" s="3">
        <v>45992</v>
      </c>
      <c r="C1073" s="11" t="s">
        <v>692</v>
      </c>
    </row>
    <row r="1074" spans="1:3" hidden="1" x14ac:dyDescent="0.3">
      <c r="A1074" t="s">
        <v>171</v>
      </c>
      <c r="B1074" s="3">
        <v>46023</v>
      </c>
      <c r="C1074" s="11" t="s">
        <v>692</v>
      </c>
    </row>
    <row r="1075" spans="1:3" hidden="1" x14ac:dyDescent="0.3">
      <c r="A1075" t="s">
        <v>171</v>
      </c>
      <c r="B1075" s="3">
        <v>46054</v>
      </c>
      <c r="C1075" s="11" t="s">
        <v>344</v>
      </c>
    </row>
    <row r="1076" spans="1:3" hidden="1" x14ac:dyDescent="0.3">
      <c r="A1076" t="s">
        <v>171</v>
      </c>
      <c r="B1076" s="3">
        <v>46082</v>
      </c>
      <c r="C1076" s="11" t="s">
        <v>344</v>
      </c>
    </row>
    <row r="1077" spans="1:3" hidden="1" x14ac:dyDescent="0.3">
      <c r="A1077" t="s">
        <v>171</v>
      </c>
      <c r="B1077" s="3">
        <v>46113</v>
      </c>
      <c r="C1077" s="11" t="s">
        <v>320</v>
      </c>
    </row>
    <row r="1078" spans="1:3" x14ac:dyDescent="0.3">
      <c r="A1078" t="s">
        <v>171</v>
      </c>
      <c r="B1078" s="3">
        <v>46143</v>
      </c>
      <c r="C1078" s="11" t="s">
        <v>320</v>
      </c>
    </row>
    <row r="1079" spans="1:3" hidden="1" x14ac:dyDescent="0.3">
      <c r="A1079" t="s">
        <v>171</v>
      </c>
      <c r="B1079" s="3">
        <v>46174</v>
      </c>
      <c r="C1079" s="11"/>
    </row>
    <row r="1080" spans="1:3" hidden="1" x14ac:dyDescent="0.3">
      <c r="A1080" t="s">
        <v>171</v>
      </c>
      <c r="B1080" s="3">
        <v>46204</v>
      </c>
      <c r="C1080" s="11"/>
    </row>
    <row r="1081" spans="1:3" hidden="1" x14ac:dyDescent="0.3">
      <c r="A1081" t="s">
        <v>171</v>
      </c>
      <c r="B1081" s="3">
        <v>46235</v>
      </c>
      <c r="C1081" s="11"/>
    </row>
    <row r="1082" spans="1:3" hidden="1" x14ac:dyDescent="0.3">
      <c r="A1082" t="s">
        <v>257</v>
      </c>
      <c r="B1082" s="3">
        <v>45536</v>
      </c>
      <c r="C1082" s="11"/>
    </row>
    <row r="1083" spans="1:3" hidden="1" x14ac:dyDescent="0.3">
      <c r="A1083" t="s">
        <v>257</v>
      </c>
      <c r="B1083" s="3">
        <v>45566</v>
      </c>
      <c r="C1083" s="11"/>
    </row>
    <row r="1084" spans="1:3" hidden="1" x14ac:dyDescent="0.3">
      <c r="A1084" t="s">
        <v>257</v>
      </c>
      <c r="B1084" s="3">
        <v>45597</v>
      </c>
      <c r="C1084" s="11"/>
    </row>
    <row r="1085" spans="1:3" hidden="1" x14ac:dyDescent="0.3">
      <c r="A1085" t="s">
        <v>257</v>
      </c>
      <c r="B1085" s="3">
        <v>45627</v>
      </c>
      <c r="C1085" s="11"/>
    </row>
    <row r="1086" spans="1:3" hidden="1" x14ac:dyDescent="0.3">
      <c r="A1086" t="s">
        <v>257</v>
      </c>
      <c r="B1086" s="3">
        <v>45658</v>
      </c>
      <c r="C1086" s="11"/>
    </row>
    <row r="1087" spans="1:3" hidden="1" x14ac:dyDescent="0.3">
      <c r="A1087" t="s">
        <v>257</v>
      </c>
      <c r="B1087" s="3">
        <v>45689</v>
      </c>
      <c r="C1087" s="11"/>
    </row>
    <row r="1088" spans="1:3" hidden="1" x14ac:dyDescent="0.3">
      <c r="A1088" t="s">
        <v>257</v>
      </c>
      <c r="B1088" s="3">
        <v>45717</v>
      </c>
      <c r="C1088" s="11"/>
    </row>
    <row r="1089" spans="1:3" hidden="1" x14ac:dyDescent="0.3">
      <c r="A1089" t="s">
        <v>257</v>
      </c>
      <c r="B1089" s="3">
        <v>45748</v>
      </c>
      <c r="C1089" s="11"/>
    </row>
    <row r="1090" spans="1:3" hidden="1" x14ac:dyDescent="0.3">
      <c r="A1090" t="s">
        <v>257</v>
      </c>
      <c r="B1090" s="3">
        <v>45778</v>
      </c>
      <c r="C1090" s="11"/>
    </row>
    <row r="1091" spans="1:3" hidden="1" x14ac:dyDescent="0.3">
      <c r="A1091" t="s">
        <v>257</v>
      </c>
      <c r="B1091" s="3">
        <v>45809</v>
      </c>
      <c r="C1091" s="11"/>
    </row>
    <row r="1092" spans="1:3" hidden="1" x14ac:dyDescent="0.3">
      <c r="A1092" t="s">
        <v>257</v>
      </c>
      <c r="B1092" s="3">
        <v>45839</v>
      </c>
      <c r="C1092" s="11"/>
    </row>
    <row r="1093" spans="1:3" hidden="1" x14ac:dyDescent="0.3">
      <c r="A1093" t="s">
        <v>257</v>
      </c>
      <c r="B1093" s="3">
        <v>45870</v>
      </c>
      <c r="C1093" s="11"/>
    </row>
    <row r="1094" spans="1:3" hidden="1" x14ac:dyDescent="0.3">
      <c r="A1094" t="s">
        <v>257</v>
      </c>
      <c r="B1094" s="3">
        <v>45901</v>
      </c>
      <c r="C1094" s="11"/>
    </row>
    <row r="1095" spans="1:3" hidden="1" x14ac:dyDescent="0.3">
      <c r="A1095" t="s">
        <v>257</v>
      </c>
      <c r="B1095" s="3">
        <v>45931</v>
      </c>
      <c r="C1095" s="11"/>
    </row>
    <row r="1096" spans="1:3" hidden="1" x14ac:dyDescent="0.3">
      <c r="A1096" t="s">
        <v>257</v>
      </c>
      <c r="B1096" s="3">
        <v>45962</v>
      </c>
      <c r="C1096" s="11"/>
    </row>
    <row r="1097" spans="1:3" hidden="1" x14ac:dyDescent="0.3">
      <c r="A1097" t="s">
        <v>257</v>
      </c>
      <c r="B1097" s="3">
        <v>45992</v>
      </c>
      <c r="C1097" s="11"/>
    </row>
    <row r="1098" spans="1:3" hidden="1" x14ac:dyDescent="0.3">
      <c r="A1098" t="s">
        <v>257</v>
      </c>
      <c r="B1098" s="3">
        <v>46023</v>
      </c>
      <c r="C1098" s="11"/>
    </row>
    <row r="1099" spans="1:3" hidden="1" x14ac:dyDescent="0.3">
      <c r="A1099" t="s">
        <v>257</v>
      </c>
      <c r="B1099" s="3">
        <v>46054</v>
      </c>
      <c r="C1099" s="11"/>
    </row>
    <row r="1100" spans="1:3" hidden="1" x14ac:dyDescent="0.3">
      <c r="A1100" t="s">
        <v>257</v>
      </c>
      <c r="B1100" s="3">
        <v>46082</v>
      </c>
      <c r="C1100" s="11"/>
    </row>
    <row r="1101" spans="1:3" hidden="1" x14ac:dyDescent="0.3">
      <c r="A1101" t="s">
        <v>257</v>
      </c>
      <c r="B1101" s="3">
        <v>46113</v>
      </c>
      <c r="C1101" s="11" t="s">
        <v>693</v>
      </c>
    </row>
    <row r="1102" spans="1:3" x14ac:dyDescent="0.3">
      <c r="A1102" t="s">
        <v>257</v>
      </c>
      <c r="B1102" s="3">
        <v>46143</v>
      </c>
      <c r="C1102" s="11" t="s">
        <v>958</v>
      </c>
    </row>
    <row r="1103" spans="1:3" hidden="1" x14ac:dyDescent="0.3">
      <c r="A1103" t="s">
        <v>257</v>
      </c>
      <c r="B1103" s="3">
        <v>46174</v>
      </c>
      <c r="C1103" s="11"/>
    </row>
    <row r="1104" spans="1:3" hidden="1" x14ac:dyDescent="0.3">
      <c r="A1104" t="s">
        <v>257</v>
      </c>
      <c r="B1104" s="3">
        <v>46204</v>
      </c>
      <c r="C1104" s="11"/>
    </row>
    <row r="1105" spans="1:3" hidden="1" x14ac:dyDescent="0.3">
      <c r="A1105" t="s">
        <v>257</v>
      </c>
      <c r="B1105" s="3">
        <v>46235</v>
      </c>
      <c r="C1105" s="11"/>
    </row>
    <row r="1106" spans="1:3" hidden="1" x14ac:dyDescent="0.3">
      <c r="A1106" t="s">
        <v>226</v>
      </c>
      <c r="B1106" s="3">
        <v>45536</v>
      </c>
      <c r="C1106" s="11"/>
    </row>
    <row r="1107" spans="1:3" hidden="1" x14ac:dyDescent="0.3">
      <c r="A1107" t="s">
        <v>226</v>
      </c>
      <c r="B1107" s="3">
        <v>45566</v>
      </c>
      <c r="C1107" s="11"/>
    </row>
    <row r="1108" spans="1:3" hidden="1" x14ac:dyDescent="0.3">
      <c r="A1108" t="s">
        <v>226</v>
      </c>
      <c r="B1108" s="3">
        <v>45597</v>
      </c>
      <c r="C1108" s="11"/>
    </row>
    <row r="1109" spans="1:3" hidden="1" x14ac:dyDescent="0.3">
      <c r="A1109" t="s">
        <v>226</v>
      </c>
      <c r="B1109" s="3">
        <v>45627</v>
      </c>
      <c r="C1109" s="11"/>
    </row>
    <row r="1110" spans="1:3" hidden="1" x14ac:dyDescent="0.3">
      <c r="A1110" t="s">
        <v>226</v>
      </c>
      <c r="B1110" s="3">
        <v>45658</v>
      </c>
      <c r="C1110" s="11"/>
    </row>
    <row r="1111" spans="1:3" hidden="1" x14ac:dyDescent="0.3">
      <c r="A1111" t="s">
        <v>226</v>
      </c>
      <c r="B1111" s="3">
        <v>45689</v>
      </c>
      <c r="C1111" s="11"/>
    </row>
    <row r="1112" spans="1:3" hidden="1" x14ac:dyDescent="0.3">
      <c r="A1112" t="s">
        <v>226</v>
      </c>
      <c r="B1112" s="3">
        <v>45717</v>
      </c>
      <c r="C1112" s="11"/>
    </row>
    <row r="1113" spans="1:3" hidden="1" x14ac:dyDescent="0.3">
      <c r="A1113" t="s">
        <v>226</v>
      </c>
      <c r="B1113" s="3">
        <v>45748</v>
      </c>
      <c r="C1113" s="11"/>
    </row>
    <row r="1114" spans="1:3" hidden="1" x14ac:dyDescent="0.3">
      <c r="A1114" t="s">
        <v>226</v>
      </c>
      <c r="B1114" s="3">
        <v>45778</v>
      </c>
      <c r="C1114" s="11"/>
    </row>
    <row r="1115" spans="1:3" hidden="1" x14ac:dyDescent="0.3">
      <c r="A1115" t="s">
        <v>226</v>
      </c>
      <c r="B1115" s="3">
        <v>45809</v>
      </c>
      <c r="C1115" s="11"/>
    </row>
    <row r="1116" spans="1:3" hidden="1" x14ac:dyDescent="0.3">
      <c r="A1116" t="s">
        <v>226</v>
      </c>
      <c r="B1116" s="3">
        <v>45839</v>
      </c>
      <c r="C1116" s="11"/>
    </row>
    <row r="1117" spans="1:3" hidden="1" x14ac:dyDescent="0.3">
      <c r="A1117" t="s">
        <v>226</v>
      </c>
      <c r="B1117" s="3">
        <v>45870</v>
      </c>
      <c r="C1117" s="11"/>
    </row>
    <row r="1118" spans="1:3" ht="43.2" hidden="1" customHeight="1" x14ac:dyDescent="0.3">
      <c r="A1118" t="s">
        <v>226</v>
      </c>
      <c r="B1118" s="3">
        <v>45901</v>
      </c>
      <c r="C1118" s="11" t="s">
        <v>694</v>
      </c>
    </row>
    <row r="1119" spans="1:3" ht="43.2" hidden="1" customHeight="1" x14ac:dyDescent="0.3">
      <c r="A1119" t="s">
        <v>226</v>
      </c>
      <c r="B1119" s="3">
        <v>45931</v>
      </c>
      <c r="C1119" s="11" t="s">
        <v>695</v>
      </c>
    </row>
    <row r="1120" spans="1:3" ht="43.2" hidden="1" customHeight="1" x14ac:dyDescent="0.3">
      <c r="A1120" t="s">
        <v>226</v>
      </c>
      <c r="B1120" s="3">
        <v>45962</v>
      </c>
      <c r="C1120" s="11" t="s">
        <v>696</v>
      </c>
    </row>
    <row r="1121" spans="1:3" hidden="1" x14ac:dyDescent="0.3">
      <c r="A1121" t="s">
        <v>226</v>
      </c>
      <c r="B1121" s="3">
        <v>45992</v>
      </c>
      <c r="C1121" s="11" t="s">
        <v>344</v>
      </c>
    </row>
    <row r="1122" spans="1:3" hidden="1" x14ac:dyDescent="0.3">
      <c r="A1122" t="s">
        <v>226</v>
      </c>
      <c r="B1122" s="3">
        <v>46023</v>
      </c>
      <c r="C1122" s="11" t="s">
        <v>356</v>
      </c>
    </row>
    <row r="1123" spans="1:3" hidden="1" x14ac:dyDescent="0.3">
      <c r="A1123" t="s">
        <v>226</v>
      </c>
      <c r="B1123" s="3">
        <v>46054</v>
      </c>
      <c r="C1123" s="11" t="s">
        <v>344</v>
      </c>
    </row>
    <row r="1124" spans="1:3" hidden="1" x14ac:dyDescent="0.3">
      <c r="A1124" t="s">
        <v>226</v>
      </c>
      <c r="B1124" s="3">
        <v>46082</v>
      </c>
      <c r="C1124" s="11" t="s">
        <v>697</v>
      </c>
    </row>
    <row r="1125" spans="1:3" hidden="1" x14ac:dyDescent="0.3">
      <c r="A1125" t="s">
        <v>226</v>
      </c>
      <c r="B1125" s="3">
        <v>46113</v>
      </c>
      <c r="C1125" s="11" t="s">
        <v>697</v>
      </c>
    </row>
    <row r="1126" spans="1:3" x14ac:dyDescent="0.3">
      <c r="A1126" t="s">
        <v>226</v>
      </c>
      <c r="B1126" s="3">
        <v>46143</v>
      </c>
      <c r="C1126" s="11" t="s">
        <v>320</v>
      </c>
    </row>
    <row r="1127" spans="1:3" hidden="1" x14ac:dyDescent="0.3">
      <c r="A1127" t="s">
        <v>226</v>
      </c>
      <c r="B1127" s="3">
        <v>46174</v>
      </c>
      <c r="C1127" s="11"/>
    </row>
    <row r="1128" spans="1:3" hidden="1" x14ac:dyDescent="0.3">
      <c r="A1128" t="s">
        <v>226</v>
      </c>
      <c r="B1128" s="3">
        <v>46204</v>
      </c>
      <c r="C1128" s="11"/>
    </row>
    <row r="1129" spans="1:3" hidden="1" x14ac:dyDescent="0.3">
      <c r="A1129" t="s">
        <v>226</v>
      </c>
      <c r="B1129" s="3">
        <v>46235</v>
      </c>
      <c r="C1129" s="11"/>
    </row>
    <row r="1130" spans="1:3" hidden="1" x14ac:dyDescent="0.3">
      <c r="A1130" t="s">
        <v>229</v>
      </c>
      <c r="B1130" s="3">
        <v>45536</v>
      </c>
      <c r="C1130" s="11"/>
    </row>
    <row r="1131" spans="1:3" hidden="1" x14ac:dyDescent="0.3">
      <c r="A1131" t="s">
        <v>229</v>
      </c>
      <c r="B1131" s="3">
        <v>45566</v>
      </c>
      <c r="C1131" s="11"/>
    </row>
    <row r="1132" spans="1:3" hidden="1" x14ac:dyDescent="0.3">
      <c r="A1132" t="s">
        <v>229</v>
      </c>
      <c r="B1132" s="3">
        <v>45597</v>
      </c>
      <c r="C1132" s="11"/>
    </row>
    <row r="1133" spans="1:3" hidden="1" x14ac:dyDescent="0.3">
      <c r="A1133" t="s">
        <v>229</v>
      </c>
      <c r="B1133" s="3">
        <v>45627</v>
      </c>
      <c r="C1133" s="11"/>
    </row>
    <row r="1134" spans="1:3" hidden="1" x14ac:dyDescent="0.3">
      <c r="A1134" t="s">
        <v>229</v>
      </c>
      <c r="B1134" s="3">
        <v>45658</v>
      </c>
      <c r="C1134" s="11"/>
    </row>
    <row r="1135" spans="1:3" hidden="1" x14ac:dyDescent="0.3">
      <c r="A1135" t="s">
        <v>229</v>
      </c>
      <c r="B1135" s="3">
        <v>45689</v>
      </c>
      <c r="C1135" s="11"/>
    </row>
    <row r="1136" spans="1:3" hidden="1" x14ac:dyDescent="0.3">
      <c r="A1136" t="s">
        <v>229</v>
      </c>
      <c r="B1136" s="3">
        <v>45717</v>
      </c>
      <c r="C1136" s="11"/>
    </row>
    <row r="1137" spans="1:3" hidden="1" x14ac:dyDescent="0.3">
      <c r="A1137" t="s">
        <v>229</v>
      </c>
      <c r="B1137" s="3">
        <v>45748</v>
      </c>
      <c r="C1137" s="11"/>
    </row>
    <row r="1138" spans="1:3" hidden="1" x14ac:dyDescent="0.3">
      <c r="A1138" t="s">
        <v>229</v>
      </c>
      <c r="B1138" s="3">
        <v>45778</v>
      </c>
      <c r="C1138" s="11"/>
    </row>
    <row r="1139" spans="1:3" hidden="1" x14ac:dyDescent="0.3">
      <c r="A1139" t="s">
        <v>229</v>
      </c>
      <c r="B1139" s="3">
        <v>45809</v>
      </c>
      <c r="C1139" s="11"/>
    </row>
    <row r="1140" spans="1:3" hidden="1" x14ac:dyDescent="0.3">
      <c r="A1140" t="s">
        <v>229</v>
      </c>
      <c r="B1140" s="3">
        <v>45839</v>
      </c>
      <c r="C1140" s="11"/>
    </row>
    <row r="1141" spans="1:3" hidden="1" x14ac:dyDescent="0.3">
      <c r="A1141" t="s">
        <v>229</v>
      </c>
      <c r="B1141" s="3">
        <v>45870</v>
      </c>
      <c r="C1141" s="11"/>
    </row>
    <row r="1142" spans="1:3" ht="43.2" hidden="1" customHeight="1" x14ac:dyDescent="0.3">
      <c r="A1142" t="s">
        <v>229</v>
      </c>
      <c r="B1142" s="3">
        <v>45901</v>
      </c>
      <c r="C1142" s="11" t="s">
        <v>698</v>
      </c>
    </row>
    <row r="1143" spans="1:3" ht="43.2" hidden="1" customHeight="1" x14ac:dyDescent="0.3">
      <c r="A1143" t="s">
        <v>229</v>
      </c>
      <c r="B1143" s="3">
        <v>45931</v>
      </c>
      <c r="C1143" s="11" t="s">
        <v>699</v>
      </c>
    </row>
    <row r="1144" spans="1:3" ht="43.2" hidden="1" customHeight="1" x14ac:dyDescent="0.3">
      <c r="A1144" t="s">
        <v>229</v>
      </c>
      <c r="B1144" s="3">
        <v>45962</v>
      </c>
      <c r="C1144" s="11" t="s">
        <v>700</v>
      </c>
    </row>
    <row r="1145" spans="1:3" hidden="1" x14ac:dyDescent="0.3">
      <c r="A1145" t="s">
        <v>229</v>
      </c>
      <c r="B1145" s="3">
        <v>45992</v>
      </c>
      <c r="C1145" s="11" t="s">
        <v>344</v>
      </c>
    </row>
    <row r="1146" spans="1:3" hidden="1" x14ac:dyDescent="0.3">
      <c r="A1146" t="s">
        <v>229</v>
      </c>
      <c r="B1146" s="3">
        <v>46023</v>
      </c>
      <c r="C1146" s="11" t="s">
        <v>356</v>
      </c>
    </row>
    <row r="1147" spans="1:3" hidden="1" x14ac:dyDescent="0.3">
      <c r="A1147" t="s">
        <v>229</v>
      </c>
      <c r="B1147" s="3">
        <v>46054</v>
      </c>
      <c r="C1147" s="11" t="s">
        <v>344</v>
      </c>
    </row>
    <row r="1148" spans="1:3" hidden="1" x14ac:dyDescent="0.3">
      <c r="A1148" t="s">
        <v>229</v>
      </c>
      <c r="B1148" s="3">
        <v>46082</v>
      </c>
      <c r="C1148" s="11" t="s">
        <v>697</v>
      </c>
    </row>
    <row r="1149" spans="1:3" hidden="1" x14ac:dyDescent="0.3">
      <c r="A1149" t="s">
        <v>229</v>
      </c>
      <c r="B1149" s="3">
        <v>46113</v>
      </c>
      <c r="C1149" s="11" t="s">
        <v>697</v>
      </c>
    </row>
    <row r="1150" spans="1:3" x14ac:dyDescent="0.3">
      <c r="A1150" t="s">
        <v>229</v>
      </c>
      <c r="B1150" s="3">
        <v>46143</v>
      </c>
      <c r="C1150" s="11" t="s">
        <v>320</v>
      </c>
    </row>
    <row r="1151" spans="1:3" hidden="1" x14ac:dyDescent="0.3">
      <c r="A1151" t="s">
        <v>229</v>
      </c>
      <c r="B1151" s="3">
        <v>46174</v>
      </c>
      <c r="C1151" s="11"/>
    </row>
    <row r="1152" spans="1:3" hidden="1" x14ac:dyDescent="0.3">
      <c r="A1152" t="s">
        <v>229</v>
      </c>
      <c r="B1152" s="3">
        <v>46204</v>
      </c>
      <c r="C1152" s="11"/>
    </row>
    <row r="1153" spans="1:3" hidden="1" x14ac:dyDescent="0.3">
      <c r="A1153" t="s">
        <v>229</v>
      </c>
      <c r="B1153" s="3">
        <v>46235</v>
      </c>
      <c r="C1153" s="11"/>
    </row>
    <row r="1154" spans="1:3" hidden="1" x14ac:dyDescent="0.3">
      <c r="A1154" t="s">
        <v>231</v>
      </c>
      <c r="B1154" s="3">
        <v>45536</v>
      </c>
      <c r="C1154" s="11"/>
    </row>
    <row r="1155" spans="1:3" hidden="1" x14ac:dyDescent="0.3">
      <c r="A1155" t="s">
        <v>231</v>
      </c>
      <c r="B1155" s="3">
        <v>45566</v>
      </c>
      <c r="C1155" s="11"/>
    </row>
    <row r="1156" spans="1:3" hidden="1" x14ac:dyDescent="0.3">
      <c r="A1156" t="s">
        <v>231</v>
      </c>
      <c r="B1156" s="3">
        <v>45597</v>
      </c>
      <c r="C1156" s="11"/>
    </row>
    <row r="1157" spans="1:3" hidden="1" x14ac:dyDescent="0.3">
      <c r="A1157" t="s">
        <v>231</v>
      </c>
      <c r="B1157" s="3">
        <v>45627</v>
      </c>
      <c r="C1157" s="11"/>
    </row>
    <row r="1158" spans="1:3" hidden="1" x14ac:dyDescent="0.3">
      <c r="A1158" t="s">
        <v>231</v>
      </c>
      <c r="B1158" s="3">
        <v>45658</v>
      </c>
      <c r="C1158" s="11"/>
    </row>
    <row r="1159" spans="1:3" hidden="1" x14ac:dyDescent="0.3">
      <c r="A1159" t="s">
        <v>231</v>
      </c>
      <c r="B1159" s="3">
        <v>45689</v>
      </c>
      <c r="C1159" s="11"/>
    </row>
    <row r="1160" spans="1:3" hidden="1" x14ac:dyDescent="0.3">
      <c r="A1160" t="s">
        <v>231</v>
      </c>
      <c r="B1160" s="3">
        <v>45717</v>
      </c>
      <c r="C1160" s="11"/>
    </row>
    <row r="1161" spans="1:3" hidden="1" x14ac:dyDescent="0.3">
      <c r="A1161" t="s">
        <v>231</v>
      </c>
      <c r="B1161" s="3">
        <v>45748</v>
      </c>
      <c r="C1161" s="11"/>
    </row>
    <row r="1162" spans="1:3" hidden="1" x14ac:dyDescent="0.3">
      <c r="A1162" t="s">
        <v>231</v>
      </c>
      <c r="B1162" s="3">
        <v>45778</v>
      </c>
      <c r="C1162" s="11"/>
    </row>
    <row r="1163" spans="1:3" hidden="1" x14ac:dyDescent="0.3">
      <c r="A1163" t="s">
        <v>231</v>
      </c>
      <c r="B1163" s="3">
        <v>45809</v>
      </c>
      <c r="C1163" s="11"/>
    </row>
    <row r="1164" spans="1:3" hidden="1" x14ac:dyDescent="0.3">
      <c r="A1164" t="s">
        <v>231</v>
      </c>
      <c r="B1164" s="3">
        <v>45839</v>
      </c>
      <c r="C1164" s="11"/>
    </row>
    <row r="1165" spans="1:3" hidden="1" x14ac:dyDescent="0.3">
      <c r="A1165" t="s">
        <v>231</v>
      </c>
      <c r="B1165" s="3">
        <v>45870</v>
      </c>
      <c r="C1165" s="11"/>
    </row>
    <row r="1166" spans="1:3" ht="43.2" hidden="1" customHeight="1" x14ac:dyDescent="0.3">
      <c r="A1166" t="s">
        <v>231</v>
      </c>
      <c r="B1166" s="3">
        <v>45901</v>
      </c>
      <c r="C1166" s="11" t="s">
        <v>701</v>
      </c>
    </row>
    <row r="1167" spans="1:3" ht="43.2" hidden="1" customHeight="1" x14ac:dyDescent="0.3">
      <c r="A1167" t="s">
        <v>231</v>
      </c>
      <c r="B1167" s="3">
        <v>45931</v>
      </c>
      <c r="C1167" s="11" t="s">
        <v>702</v>
      </c>
    </row>
    <row r="1168" spans="1:3" ht="43.2" hidden="1" customHeight="1" x14ac:dyDescent="0.3">
      <c r="A1168" t="s">
        <v>231</v>
      </c>
      <c r="B1168" s="3">
        <v>45962</v>
      </c>
      <c r="C1168" s="11" t="s">
        <v>703</v>
      </c>
    </row>
    <row r="1169" spans="1:3" hidden="1" x14ac:dyDescent="0.3">
      <c r="A1169" t="s">
        <v>231</v>
      </c>
      <c r="B1169" s="3">
        <v>45992</v>
      </c>
      <c r="C1169" s="11" t="s">
        <v>344</v>
      </c>
    </row>
    <row r="1170" spans="1:3" hidden="1" x14ac:dyDescent="0.3">
      <c r="A1170" t="s">
        <v>231</v>
      </c>
      <c r="B1170" s="3">
        <v>46023</v>
      </c>
      <c r="C1170" s="11" t="s">
        <v>356</v>
      </c>
    </row>
    <row r="1171" spans="1:3" hidden="1" x14ac:dyDescent="0.3">
      <c r="A1171" t="s">
        <v>231</v>
      </c>
      <c r="B1171" s="3">
        <v>46054</v>
      </c>
      <c r="C1171" s="11" t="s">
        <v>344</v>
      </c>
    </row>
    <row r="1172" spans="1:3" hidden="1" x14ac:dyDescent="0.3">
      <c r="A1172" t="s">
        <v>231</v>
      </c>
      <c r="B1172" s="3">
        <v>46082</v>
      </c>
      <c r="C1172" s="11" t="s">
        <v>697</v>
      </c>
    </row>
    <row r="1173" spans="1:3" hidden="1" x14ac:dyDescent="0.3">
      <c r="A1173" t="s">
        <v>231</v>
      </c>
      <c r="B1173" s="3">
        <v>46113</v>
      </c>
      <c r="C1173" s="11" t="s">
        <v>697</v>
      </c>
    </row>
    <row r="1174" spans="1:3" x14ac:dyDescent="0.3">
      <c r="A1174" t="s">
        <v>231</v>
      </c>
      <c r="B1174" s="3">
        <v>46143</v>
      </c>
      <c r="C1174" s="11" t="s">
        <v>320</v>
      </c>
    </row>
    <row r="1175" spans="1:3" hidden="1" x14ac:dyDescent="0.3">
      <c r="A1175" t="s">
        <v>231</v>
      </c>
      <c r="B1175" s="3">
        <v>46174</v>
      </c>
      <c r="C1175" s="11"/>
    </row>
    <row r="1176" spans="1:3" hidden="1" x14ac:dyDescent="0.3">
      <c r="A1176" t="s">
        <v>231</v>
      </c>
      <c r="B1176" s="3">
        <v>46204</v>
      </c>
      <c r="C1176" s="11"/>
    </row>
    <row r="1177" spans="1:3" hidden="1" x14ac:dyDescent="0.3">
      <c r="A1177" t="s">
        <v>231</v>
      </c>
      <c r="B1177" s="3">
        <v>46235</v>
      </c>
      <c r="C1177" s="11"/>
    </row>
    <row r="1178" spans="1:3" hidden="1" x14ac:dyDescent="0.3">
      <c r="A1178" t="s">
        <v>175</v>
      </c>
      <c r="B1178" s="3">
        <v>45536</v>
      </c>
      <c r="C1178" s="11"/>
    </row>
    <row r="1179" spans="1:3" hidden="1" x14ac:dyDescent="0.3">
      <c r="A1179" t="s">
        <v>175</v>
      </c>
      <c r="B1179" s="3">
        <v>45566</v>
      </c>
      <c r="C1179" s="11"/>
    </row>
    <row r="1180" spans="1:3" hidden="1" x14ac:dyDescent="0.3">
      <c r="A1180" t="s">
        <v>175</v>
      </c>
      <c r="B1180" s="3">
        <v>45597</v>
      </c>
      <c r="C1180" s="11"/>
    </row>
    <row r="1181" spans="1:3" hidden="1" x14ac:dyDescent="0.3">
      <c r="A1181" t="s">
        <v>175</v>
      </c>
      <c r="B1181" s="3">
        <v>45627</v>
      </c>
      <c r="C1181" s="11"/>
    </row>
    <row r="1182" spans="1:3" hidden="1" x14ac:dyDescent="0.3">
      <c r="A1182" t="s">
        <v>175</v>
      </c>
      <c r="B1182" s="3">
        <v>45658</v>
      </c>
      <c r="C1182" s="11"/>
    </row>
    <row r="1183" spans="1:3" hidden="1" x14ac:dyDescent="0.3">
      <c r="A1183" t="s">
        <v>175</v>
      </c>
      <c r="B1183" s="3">
        <v>45689</v>
      </c>
      <c r="C1183" s="11" t="s">
        <v>704</v>
      </c>
    </row>
    <row r="1184" spans="1:3" ht="28.95" hidden="1" customHeight="1" x14ac:dyDescent="0.3">
      <c r="A1184" t="s">
        <v>175</v>
      </c>
      <c r="B1184" s="3">
        <v>45717</v>
      </c>
      <c r="C1184" s="11" t="s">
        <v>705</v>
      </c>
    </row>
    <row r="1185" spans="1:3" ht="28.95" hidden="1" customHeight="1" x14ac:dyDescent="0.3">
      <c r="A1185" t="s">
        <v>175</v>
      </c>
      <c r="B1185" s="3">
        <v>45748</v>
      </c>
      <c r="C1185" s="11" t="s">
        <v>706</v>
      </c>
    </row>
    <row r="1186" spans="1:3" ht="72" hidden="1" customHeight="1" x14ac:dyDescent="0.3">
      <c r="A1186" t="s">
        <v>175</v>
      </c>
      <c r="B1186" s="3">
        <v>45778</v>
      </c>
      <c r="C1186" s="11" t="s">
        <v>707</v>
      </c>
    </row>
    <row r="1187" spans="1:3" ht="72" hidden="1" customHeight="1" x14ac:dyDescent="0.3">
      <c r="A1187" t="s">
        <v>175</v>
      </c>
      <c r="B1187" s="3">
        <v>45809</v>
      </c>
      <c r="C1187" s="11" t="s">
        <v>708</v>
      </c>
    </row>
    <row r="1188" spans="1:3" ht="72" hidden="1" customHeight="1" x14ac:dyDescent="0.3">
      <c r="A1188" t="s">
        <v>175</v>
      </c>
      <c r="B1188" s="3">
        <v>45839</v>
      </c>
      <c r="C1188" s="11" t="s">
        <v>709</v>
      </c>
    </row>
    <row r="1189" spans="1:3" ht="72" hidden="1" customHeight="1" x14ac:dyDescent="0.3">
      <c r="A1189" t="s">
        <v>175</v>
      </c>
      <c r="B1189" s="3">
        <v>45870</v>
      </c>
      <c r="C1189" s="11" t="s">
        <v>710</v>
      </c>
    </row>
    <row r="1190" spans="1:3" ht="72" hidden="1" customHeight="1" x14ac:dyDescent="0.3">
      <c r="A1190" t="s">
        <v>175</v>
      </c>
      <c r="B1190" s="3">
        <v>45901</v>
      </c>
      <c r="C1190" s="11" t="s">
        <v>711</v>
      </c>
    </row>
    <row r="1191" spans="1:3" ht="57.6" hidden="1" customHeight="1" x14ac:dyDescent="0.3">
      <c r="A1191" t="s">
        <v>175</v>
      </c>
      <c r="B1191" s="3">
        <v>45931</v>
      </c>
      <c r="C1191" s="11" t="s">
        <v>712</v>
      </c>
    </row>
    <row r="1192" spans="1:3" hidden="1" x14ac:dyDescent="0.3">
      <c r="A1192" t="s">
        <v>175</v>
      </c>
      <c r="B1192" s="3">
        <v>45962</v>
      </c>
      <c r="C1192" s="11" t="s">
        <v>713</v>
      </c>
    </row>
    <row r="1193" spans="1:3" hidden="1" x14ac:dyDescent="0.3">
      <c r="A1193" t="s">
        <v>175</v>
      </c>
      <c r="B1193" s="3">
        <v>45992</v>
      </c>
      <c r="C1193" s="11" t="s">
        <v>713</v>
      </c>
    </row>
    <row r="1194" spans="1:3" hidden="1" x14ac:dyDescent="0.3">
      <c r="A1194" t="s">
        <v>175</v>
      </c>
      <c r="B1194" s="3">
        <v>46023</v>
      </c>
      <c r="C1194" s="11" t="s">
        <v>713</v>
      </c>
    </row>
    <row r="1195" spans="1:3" hidden="1" x14ac:dyDescent="0.3">
      <c r="A1195" t="s">
        <v>175</v>
      </c>
      <c r="B1195" s="3">
        <v>46054</v>
      </c>
      <c r="C1195" s="11" t="s">
        <v>713</v>
      </c>
    </row>
    <row r="1196" spans="1:3" hidden="1" x14ac:dyDescent="0.3">
      <c r="A1196" t="s">
        <v>175</v>
      </c>
      <c r="B1196" s="3">
        <v>46082</v>
      </c>
      <c r="C1196" s="11" t="s">
        <v>713</v>
      </c>
    </row>
    <row r="1197" spans="1:3" hidden="1" x14ac:dyDescent="0.3">
      <c r="A1197" t="s">
        <v>175</v>
      </c>
      <c r="B1197" s="3">
        <v>46113</v>
      </c>
      <c r="C1197" s="11" t="s">
        <v>713</v>
      </c>
    </row>
    <row r="1198" spans="1:3" x14ac:dyDescent="0.3">
      <c r="A1198" t="s">
        <v>175</v>
      </c>
      <c r="B1198" s="3">
        <v>46143</v>
      </c>
      <c r="C1198" s="11" t="s">
        <v>966</v>
      </c>
    </row>
    <row r="1199" spans="1:3" hidden="1" x14ac:dyDescent="0.3">
      <c r="A1199" t="s">
        <v>175</v>
      </c>
      <c r="B1199" s="3">
        <v>46174</v>
      </c>
      <c r="C1199" s="11"/>
    </row>
    <row r="1200" spans="1:3" hidden="1" x14ac:dyDescent="0.3">
      <c r="A1200" t="s">
        <v>175</v>
      </c>
      <c r="B1200" s="3">
        <v>46204</v>
      </c>
      <c r="C1200" s="11"/>
    </row>
    <row r="1201" spans="1:3" hidden="1" x14ac:dyDescent="0.3">
      <c r="A1201" t="s">
        <v>175</v>
      </c>
      <c r="B1201" s="3">
        <v>46235</v>
      </c>
      <c r="C1201" s="11"/>
    </row>
    <row r="1202" spans="1:3" hidden="1" x14ac:dyDescent="0.3">
      <c r="A1202" t="s">
        <v>178</v>
      </c>
      <c r="B1202" s="3">
        <v>45536</v>
      </c>
      <c r="C1202" s="11" t="s">
        <v>714</v>
      </c>
    </row>
    <row r="1203" spans="1:3" hidden="1" x14ac:dyDescent="0.3">
      <c r="A1203" t="s">
        <v>178</v>
      </c>
      <c r="B1203" s="3">
        <v>45566</v>
      </c>
      <c r="C1203" s="11"/>
    </row>
    <row r="1204" spans="1:3" hidden="1" x14ac:dyDescent="0.3">
      <c r="A1204" t="s">
        <v>178</v>
      </c>
      <c r="B1204" s="3">
        <v>45597</v>
      </c>
      <c r="C1204" s="11"/>
    </row>
    <row r="1205" spans="1:3" hidden="1" x14ac:dyDescent="0.3">
      <c r="A1205" t="s">
        <v>178</v>
      </c>
      <c r="B1205" s="3">
        <v>45627</v>
      </c>
      <c r="C1205" s="11"/>
    </row>
    <row r="1206" spans="1:3" hidden="1" x14ac:dyDescent="0.3">
      <c r="A1206" t="s">
        <v>178</v>
      </c>
      <c r="B1206" s="3">
        <v>45658</v>
      </c>
      <c r="C1206" s="11"/>
    </row>
    <row r="1207" spans="1:3" hidden="1" x14ac:dyDescent="0.3">
      <c r="A1207" t="s">
        <v>178</v>
      </c>
      <c r="B1207" s="3">
        <v>45689</v>
      </c>
      <c r="C1207" s="11" t="s">
        <v>715</v>
      </c>
    </row>
    <row r="1208" spans="1:3" ht="28.95" hidden="1" customHeight="1" x14ac:dyDescent="0.3">
      <c r="A1208" t="s">
        <v>178</v>
      </c>
      <c r="B1208" s="3">
        <v>45717</v>
      </c>
      <c r="C1208" s="11" t="s">
        <v>716</v>
      </c>
    </row>
    <row r="1209" spans="1:3" ht="72" hidden="1" customHeight="1" x14ac:dyDescent="0.3">
      <c r="A1209" t="s">
        <v>178</v>
      </c>
      <c r="B1209" s="3">
        <v>45748</v>
      </c>
      <c r="C1209" s="11" t="s">
        <v>717</v>
      </c>
    </row>
    <row r="1210" spans="1:3" ht="72" hidden="1" customHeight="1" x14ac:dyDescent="0.3">
      <c r="A1210" t="s">
        <v>178</v>
      </c>
      <c r="B1210" s="3">
        <v>45778</v>
      </c>
      <c r="C1210" s="11" t="s">
        <v>718</v>
      </c>
    </row>
    <row r="1211" spans="1:3" ht="72" hidden="1" customHeight="1" x14ac:dyDescent="0.3">
      <c r="A1211" t="s">
        <v>178</v>
      </c>
      <c r="B1211" s="3">
        <v>45809</v>
      </c>
      <c r="C1211" s="11" t="s">
        <v>719</v>
      </c>
    </row>
    <row r="1212" spans="1:3" ht="72" hidden="1" customHeight="1" x14ac:dyDescent="0.3">
      <c r="A1212" t="s">
        <v>178</v>
      </c>
      <c r="B1212" s="3">
        <v>45839</v>
      </c>
      <c r="C1212" s="11" t="s">
        <v>720</v>
      </c>
    </row>
    <row r="1213" spans="1:3" ht="57.6" hidden="1" customHeight="1" x14ac:dyDescent="0.3">
      <c r="A1213" t="s">
        <v>178</v>
      </c>
      <c r="B1213" s="3">
        <v>45870</v>
      </c>
      <c r="C1213" s="11" t="s">
        <v>721</v>
      </c>
    </row>
    <row r="1214" spans="1:3" ht="57.6" hidden="1" customHeight="1" x14ac:dyDescent="0.3">
      <c r="A1214" t="s">
        <v>178</v>
      </c>
      <c r="B1214" s="3">
        <v>45901</v>
      </c>
      <c r="C1214" s="11" t="s">
        <v>722</v>
      </c>
    </row>
    <row r="1215" spans="1:3" ht="57.6" hidden="1" customHeight="1" x14ac:dyDescent="0.3">
      <c r="A1215" t="s">
        <v>178</v>
      </c>
      <c r="B1215" s="3">
        <v>45931</v>
      </c>
      <c r="C1215" s="11" t="s">
        <v>723</v>
      </c>
    </row>
    <row r="1216" spans="1:3" ht="57.6" hidden="1" customHeight="1" x14ac:dyDescent="0.3">
      <c r="A1216" t="s">
        <v>178</v>
      </c>
      <c r="B1216" s="3">
        <v>45962</v>
      </c>
      <c r="C1216" s="11" t="s">
        <v>724</v>
      </c>
    </row>
    <row r="1217" spans="1:3" hidden="1" x14ac:dyDescent="0.3">
      <c r="A1217" t="s">
        <v>178</v>
      </c>
      <c r="B1217" s="3">
        <v>45992</v>
      </c>
      <c r="C1217" s="11" t="s">
        <v>725</v>
      </c>
    </row>
    <row r="1218" spans="1:3" hidden="1" x14ac:dyDescent="0.3">
      <c r="A1218" t="s">
        <v>178</v>
      </c>
      <c r="B1218" s="3">
        <v>46023</v>
      </c>
      <c r="C1218" s="11" t="s">
        <v>726</v>
      </c>
    </row>
    <row r="1219" spans="1:3" hidden="1" x14ac:dyDescent="0.3">
      <c r="A1219" t="s">
        <v>178</v>
      </c>
      <c r="B1219" s="3">
        <v>46054</v>
      </c>
      <c r="C1219" s="11" t="s">
        <v>332</v>
      </c>
    </row>
    <row r="1220" spans="1:3" hidden="1" x14ac:dyDescent="0.3">
      <c r="A1220" t="s">
        <v>178</v>
      </c>
      <c r="B1220" s="3">
        <v>46082</v>
      </c>
      <c r="C1220" s="11" t="s">
        <v>726</v>
      </c>
    </row>
    <row r="1221" spans="1:3" hidden="1" x14ac:dyDescent="0.3">
      <c r="A1221" t="s">
        <v>178</v>
      </c>
      <c r="B1221" s="3">
        <v>46113</v>
      </c>
      <c r="C1221" s="11" t="s">
        <v>726</v>
      </c>
    </row>
    <row r="1222" spans="1:3" x14ac:dyDescent="0.3">
      <c r="A1222" t="s">
        <v>178</v>
      </c>
      <c r="B1222" s="3">
        <v>46143</v>
      </c>
      <c r="C1222" s="11" t="s">
        <v>958</v>
      </c>
    </row>
    <row r="1223" spans="1:3" hidden="1" x14ac:dyDescent="0.3">
      <c r="A1223" t="s">
        <v>178</v>
      </c>
      <c r="B1223" s="3">
        <v>46174</v>
      </c>
      <c r="C1223" s="11"/>
    </row>
    <row r="1224" spans="1:3" hidden="1" x14ac:dyDescent="0.3">
      <c r="A1224" t="s">
        <v>178</v>
      </c>
      <c r="B1224" s="3">
        <v>46204</v>
      </c>
      <c r="C1224" s="11"/>
    </row>
    <row r="1225" spans="1:3" hidden="1" x14ac:dyDescent="0.3">
      <c r="A1225" t="s">
        <v>178</v>
      </c>
      <c r="B1225" s="3">
        <v>46235</v>
      </c>
      <c r="C1225" s="11"/>
    </row>
    <row r="1226" spans="1:3" hidden="1" x14ac:dyDescent="0.3">
      <c r="A1226" t="s">
        <v>181</v>
      </c>
      <c r="B1226" s="3">
        <v>45536</v>
      </c>
      <c r="C1226" s="11" t="s">
        <v>727</v>
      </c>
    </row>
    <row r="1227" spans="1:3" hidden="1" x14ac:dyDescent="0.3">
      <c r="A1227" t="s">
        <v>181</v>
      </c>
      <c r="B1227" s="3">
        <v>45566</v>
      </c>
      <c r="C1227" s="11"/>
    </row>
    <row r="1228" spans="1:3" hidden="1" x14ac:dyDescent="0.3">
      <c r="A1228" t="s">
        <v>181</v>
      </c>
      <c r="B1228" s="3">
        <v>45597</v>
      </c>
      <c r="C1228" s="11"/>
    </row>
    <row r="1229" spans="1:3" hidden="1" x14ac:dyDescent="0.3">
      <c r="A1229" t="s">
        <v>181</v>
      </c>
      <c r="B1229" s="3">
        <v>45627</v>
      </c>
      <c r="C1229" s="11"/>
    </row>
    <row r="1230" spans="1:3" hidden="1" x14ac:dyDescent="0.3">
      <c r="A1230" t="s">
        <v>181</v>
      </c>
      <c r="B1230" s="3">
        <v>45658</v>
      </c>
      <c r="C1230" s="11"/>
    </row>
    <row r="1231" spans="1:3" hidden="1" x14ac:dyDescent="0.3">
      <c r="A1231" t="s">
        <v>181</v>
      </c>
      <c r="B1231" s="3">
        <v>45689</v>
      </c>
      <c r="C1231" s="11" t="s">
        <v>728</v>
      </c>
    </row>
    <row r="1232" spans="1:3" hidden="1" x14ac:dyDescent="0.3">
      <c r="A1232" t="s">
        <v>181</v>
      </c>
      <c r="B1232" s="3">
        <v>45717</v>
      </c>
      <c r="C1232" s="11" t="s">
        <v>728</v>
      </c>
    </row>
    <row r="1233" spans="1:3" hidden="1" x14ac:dyDescent="0.3">
      <c r="A1233" t="s">
        <v>181</v>
      </c>
      <c r="B1233" s="3">
        <v>45748</v>
      </c>
      <c r="C1233" s="11" t="s">
        <v>728</v>
      </c>
    </row>
    <row r="1234" spans="1:3" ht="57.6" hidden="1" customHeight="1" x14ac:dyDescent="0.3">
      <c r="A1234" t="s">
        <v>181</v>
      </c>
      <c r="B1234" s="3">
        <v>45778</v>
      </c>
      <c r="C1234" s="11" t="s">
        <v>729</v>
      </c>
    </row>
    <row r="1235" spans="1:3" ht="57.6" hidden="1" customHeight="1" x14ac:dyDescent="0.3">
      <c r="A1235" t="s">
        <v>181</v>
      </c>
      <c r="B1235" s="3">
        <v>45809</v>
      </c>
      <c r="C1235" s="11" t="s">
        <v>730</v>
      </c>
    </row>
    <row r="1236" spans="1:3" ht="57.6" hidden="1" customHeight="1" x14ac:dyDescent="0.3">
      <c r="A1236" t="s">
        <v>181</v>
      </c>
      <c r="B1236" s="3">
        <v>45839</v>
      </c>
      <c r="C1236" s="11" t="s">
        <v>731</v>
      </c>
    </row>
    <row r="1237" spans="1:3" ht="57.6" hidden="1" customHeight="1" x14ac:dyDescent="0.3">
      <c r="A1237" t="s">
        <v>181</v>
      </c>
      <c r="B1237" s="3">
        <v>45870</v>
      </c>
      <c r="C1237" s="11" t="s">
        <v>732</v>
      </c>
    </row>
    <row r="1238" spans="1:3" ht="57.6" hidden="1" customHeight="1" x14ac:dyDescent="0.3">
      <c r="A1238" t="s">
        <v>181</v>
      </c>
      <c r="B1238" s="3">
        <v>45901</v>
      </c>
      <c r="C1238" s="11" t="s">
        <v>733</v>
      </c>
    </row>
    <row r="1239" spans="1:3" ht="57.6" hidden="1" customHeight="1" x14ac:dyDescent="0.3">
      <c r="A1239" t="s">
        <v>181</v>
      </c>
      <c r="B1239" s="3">
        <v>45931</v>
      </c>
      <c r="C1239" s="11" t="s">
        <v>734</v>
      </c>
    </row>
    <row r="1240" spans="1:3" ht="57.6" hidden="1" customHeight="1" x14ac:dyDescent="0.3">
      <c r="A1240" t="s">
        <v>181</v>
      </c>
      <c r="B1240" s="3">
        <v>45962</v>
      </c>
      <c r="C1240" s="11" t="s">
        <v>735</v>
      </c>
    </row>
    <row r="1241" spans="1:3" hidden="1" x14ac:dyDescent="0.3">
      <c r="A1241" t="s">
        <v>181</v>
      </c>
      <c r="B1241" s="3">
        <v>45992</v>
      </c>
      <c r="C1241" s="11" t="s">
        <v>736</v>
      </c>
    </row>
    <row r="1242" spans="1:3" hidden="1" x14ac:dyDescent="0.3">
      <c r="A1242" t="s">
        <v>181</v>
      </c>
      <c r="B1242" s="3">
        <v>46023</v>
      </c>
      <c r="C1242" s="11" t="s">
        <v>736</v>
      </c>
    </row>
    <row r="1243" spans="1:3" hidden="1" x14ac:dyDescent="0.3">
      <c r="A1243" t="s">
        <v>181</v>
      </c>
      <c r="B1243" s="3">
        <v>46054</v>
      </c>
      <c r="C1243" s="11" t="s">
        <v>736</v>
      </c>
    </row>
    <row r="1244" spans="1:3" hidden="1" x14ac:dyDescent="0.3">
      <c r="A1244" t="s">
        <v>181</v>
      </c>
      <c r="B1244" s="3">
        <v>46082</v>
      </c>
      <c r="C1244" s="11" t="s">
        <v>726</v>
      </c>
    </row>
    <row r="1245" spans="1:3" hidden="1" x14ac:dyDescent="0.3">
      <c r="A1245" t="s">
        <v>181</v>
      </c>
      <c r="B1245" s="3">
        <v>46113</v>
      </c>
      <c r="C1245" s="11" t="s">
        <v>726</v>
      </c>
    </row>
    <row r="1246" spans="1:3" x14ac:dyDescent="0.3">
      <c r="A1246" t="s">
        <v>181</v>
      </c>
      <c r="B1246" s="3">
        <v>46143</v>
      </c>
      <c r="C1246" s="11" t="s">
        <v>958</v>
      </c>
    </row>
    <row r="1247" spans="1:3" hidden="1" x14ac:dyDescent="0.3">
      <c r="A1247" t="s">
        <v>181</v>
      </c>
      <c r="B1247" s="3">
        <v>46174</v>
      </c>
      <c r="C1247" s="11"/>
    </row>
    <row r="1248" spans="1:3" hidden="1" x14ac:dyDescent="0.3">
      <c r="A1248" t="s">
        <v>181</v>
      </c>
      <c r="B1248" s="3">
        <v>46204</v>
      </c>
      <c r="C1248" s="11"/>
    </row>
    <row r="1249" spans="1:3" hidden="1" x14ac:dyDescent="0.3">
      <c r="A1249" t="s">
        <v>181</v>
      </c>
      <c r="B1249" s="3">
        <v>46235</v>
      </c>
      <c r="C1249" s="11"/>
    </row>
    <row r="1250" spans="1:3" hidden="1" x14ac:dyDescent="0.3">
      <c r="A1250" t="s">
        <v>183</v>
      </c>
      <c r="B1250" s="3">
        <v>45536</v>
      </c>
      <c r="C1250" s="11"/>
    </row>
    <row r="1251" spans="1:3" hidden="1" x14ac:dyDescent="0.3">
      <c r="A1251" t="s">
        <v>183</v>
      </c>
      <c r="B1251" s="3">
        <v>45566</v>
      </c>
      <c r="C1251" s="11" t="s">
        <v>737</v>
      </c>
    </row>
    <row r="1252" spans="1:3" hidden="1" x14ac:dyDescent="0.3">
      <c r="A1252" t="s">
        <v>183</v>
      </c>
      <c r="B1252" s="3">
        <v>45597</v>
      </c>
      <c r="C1252" s="11"/>
    </row>
    <row r="1253" spans="1:3" hidden="1" x14ac:dyDescent="0.3">
      <c r="A1253" t="s">
        <v>183</v>
      </c>
      <c r="B1253" s="3">
        <v>45627</v>
      </c>
      <c r="C1253" s="11"/>
    </row>
    <row r="1254" spans="1:3" hidden="1" x14ac:dyDescent="0.3">
      <c r="A1254" t="s">
        <v>183</v>
      </c>
      <c r="B1254" s="3">
        <v>45658</v>
      </c>
      <c r="C1254" s="11"/>
    </row>
    <row r="1255" spans="1:3" hidden="1" x14ac:dyDescent="0.3">
      <c r="A1255" t="s">
        <v>183</v>
      </c>
      <c r="B1255" s="3">
        <v>45689</v>
      </c>
      <c r="C1255" s="11" t="s">
        <v>738</v>
      </c>
    </row>
    <row r="1256" spans="1:3" hidden="1" x14ac:dyDescent="0.3">
      <c r="A1256" t="s">
        <v>183</v>
      </c>
      <c r="B1256" s="3">
        <v>45717</v>
      </c>
      <c r="C1256" s="11" t="s">
        <v>738</v>
      </c>
    </row>
    <row r="1257" spans="1:3" ht="57.6" hidden="1" customHeight="1" x14ac:dyDescent="0.3">
      <c r="A1257" t="s">
        <v>183</v>
      </c>
      <c r="B1257" s="3">
        <v>45748</v>
      </c>
      <c r="C1257" s="11" t="s">
        <v>739</v>
      </c>
    </row>
    <row r="1258" spans="1:3" ht="57.6" hidden="1" customHeight="1" x14ac:dyDescent="0.3">
      <c r="A1258" t="s">
        <v>183</v>
      </c>
      <c r="B1258" s="3">
        <v>45778</v>
      </c>
      <c r="C1258" s="11" t="s">
        <v>740</v>
      </c>
    </row>
    <row r="1259" spans="1:3" ht="57.6" hidden="1" customHeight="1" x14ac:dyDescent="0.3">
      <c r="A1259" t="s">
        <v>183</v>
      </c>
      <c r="B1259" s="3">
        <v>45809</v>
      </c>
      <c r="C1259" s="11" t="s">
        <v>741</v>
      </c>
    </row>
    <row r="1260" spans="1:3" ht="57.6" hidden="1" customHeight="1" x14ac:dyDescent="0.3">
      <c r="A1260" t="s">
        <v>183</v>
      </c>
      <c r="B1260" s="3">
        <v>45839</v>
      </c>
      <c r="C1260" s="11" t="s">
        <v>742</v>
      </c>
    </row>
    <row r="1261" spans="1:3" ht="57.6" hidden="1" customHeight="1" x14ac:dyDescent="0.3">
      <c r="A1261" t="s">
        <v>183</v>
      </c>
      <c r="B1261" s="3">
        <v>45870</v>
      </c>
      <c r="C1261" s="11" t="s">
        <v>743</v>
      </c>
    </row>
    <row r="1262" spans="1:3" ht="57.6" hidden="1" customHeight="1" x14ac:dyDescent="0.3">
      <c r="A1262" t="s">
        <v>183</v>
      </c>
      <c r="B1262" s="3">
        <v>45901</v>
      </c>
      <c r="C1262" s="11" t="s">
        <v>744</v>
      </c>
    </row>
    <row r="1263" spans="1:3" ht="57.6" hidden="1" customHeight="1" x14ac:dyDescent="0.3">
      <c r="A1263" t="s">
        <v>183</v>
      </c>
      <c r="B1263" s="3">
        <v>45931</v>
      </c>
      <c r="C1263" s="11" t="s">
        <v>745</v>
      </c>
    </row>
    <row r="1264" spans="1:3" ht="57.6" hidden="1" customHeight="1" x14ac:dyDescent="0.3">
      <c r="A1264" t="s">
        <v>183</v>
      </c>
      <c r="B1264" s="3">
        <v>45962</v>
      </c>
      <c r="C1264" s="11" t="s">
        <v>746</v>
      </c>
    </row>
    <row r="1265" spans="1:3" hidden="1" x14ac:dyDescent="0.3">
      <c r="A1265" t="s">
        <v>183</v>
      </c>
      <c r="B1265" s="3">
        <v>45992</v>
      </c>
      <c r="C1265" s="11" t="s">
        <v>680</v>
      </c>
    </row>
    <row r="1266" spans="1:3" hidden="1" x14ac:dyDescent="0.3">
      <c r="A1266" t="s">
        <v>183</v>
      </c>
      <c r="B1266" s="3">
        <v>46023</v>
      </c>
      <c r="C1266" s="11" t="s">
        <v>356</v>
      </c>
    </row>
    <row r="1267" spans="1:3" hidden="1" x14ac:dyDescent="0.3">
      <c r="A1267" t="s">
        <v>183</v>
      </c>
      <c r="B1267" s="3">
        <v>46054</v>
      </c>
      <c r="C1267" s="11" t="s">
        <v>344</v>
      </c>
    </row>
    <row r="1268" spans="1:3" hidden="1" x14ac:dyDescent="0.3">
      <c r="A1268" t="s">
        <v>183</v>
      </c>
      <c r="B1268" s="3">
        <v>46082</v>
      </c>
      <c r="C1268" s="11" t="s">
        <v>344</v>
      </c>
    </row>
    <row r="1269" spans="1:3" hidden="1" x14ac:dyDescent="0.3">
      <c r="A1269" t="s">
        <v>183</v>
      </c>
      <c r="B1269" s="3">
        <v>46113</v>
      </c>
      <c r="C1269" s="11" t="s">
        <v>320</v>
      </c>
    </row>
    <row r="1270" spans="1:3" x14ac:dyDescent="0.3">
      <c r="A1270" t="s">
        <v>183</v>
      </c>
      <c r="B1270" s="3">
        <v>46143</v>
      </c>
      <c r="C1270" s="11" t="s">
        <v>320</v>
      </c>
    </row>
    <row r="1271" spans="1:3" hidden="1" x14ac:dyDescent="0.3">
      <c r="A1271" t="s">
        <v>183</v>
      </c>
      <c r="B1271" s="3">
        <v>46174</v>
      </c>
      <c r="C1271" s="11"/>
    </row>
    <row r="1272" spans="1:3" hidden="1" x14ac:dyDescent="0.3">
      <c r="A1272" t="s">
        <v>183</v>
      </c>
      <c r="B1272" s="3">
        <v>46204</v>
      </c>
      <c r="C1272" s="11"/>
    </row>
    <row r="1273" spans="1:3" hidden="1" x14ac:dyDescent="0.3">
      <c r="A1273" t="s">
        <v>183</v>
      </c>
      <c r="B1273" s="3">
        <v>46235</v>
      </c>
      <c r="C1273" s="11"/>
    </row>
    <row r="1274" spans="1:3" hidden="1" x14ac:dyDescent="0.3">
      <c r="A1274" t="s">
        <v>184</v>
      </c>
      <c r="B1274" s="3">
        <v>45536</v>
      </c>
      <c r="C1274" s="11"/>
    </row>
    <row r="1275" spans="1:3" hidden="1" x14ac:dyDescent="0.3">
      <c r="A1275" t="s">
        <v>184</v>
      </c>
      <c r="B1275" s="3">
        <v>45566</v>
      </c>
      <c r="C1275" s="11"/>
    </row>
    <row r="1276" spans="1:3" hidden="1" x14ac:dyDescent="0.3">
      <c r="A1276" t="s">
        <v>184</v>
      </c>
      <c r="B1276" s="3">
        <v>45597</v>
      </c>
      <c r="C1276" s="11"/>
    </row>
    <row r="1277" spans="1:3" hidden="1" x14ac:dyDescent="0.3">
      <c r="A1277" t="s">
        <v>184</v>
      </c>
      <c r="B1277" s="3">
        <v>45627</v>
      </c>
      <c r="C1277" s="11"/>
    </row>
    <row r="1278" spans="1:3" hidden="1" x14ac:dyDescent="0.3">
      <c r="A1278" t="s">
        <v>184</v>
      </c>
      <c r="B1278" s="3">
        <v>45658</v>
      </c>
      <c r="C1278" s="11"/>
    </row>
    <row r="1279" spans="1:3" hidden="1" x14ac:dyDescent="0.3">
      <c r="A1279" t="s">
        <v>184</v>
      </c>
      <c r="B1279" s="3">
        <v>45689</v>
      </c>
      <c r="C1279" s="11" t="s">
        <v>747</v>
      </c>
    </row>
    <row r="1280" spans="1:3" ht="28.95" hidden="1" customHeight="1" x14ac:dyDescent="0.3">
      <c r="A1280" t="s">
        <v>184</v>
      </c>
      <c r="B1280" s="3">
        <v>45717</v>
      </c>
      <c r="C1280" s="11" t="s">
        <v>748</v>
      </c>
    </row>
    <row r="1281" spans="1:3" ht="28.95" hidden="1" customHeight="1" x14ac:dyDescent="0.3">
      <c r="A1281" t="s">
        <v>184</v>
      </c>
      <c r="B1281" s="3">
        <v>45748</v>
      </c>
      <c r="C1281" s="11" t="s">
        <v>748</v>
      </c>
    </row>
    <row r="1282" spans="1:3" ht="57.6" hidden="1" customHeight="1" x14ac:dyDescent="0.3">
      <c r="A1282" t="s">
        <v>184</v>
      </c>
      <c r="B1282" s="3">
        <v>45778</v>
      </c>
      <c r="C1282" s="11" t="s">
        <v>749</v>
      </c>
    </row>
    <row r="1283" spans="1:3" ht="57.6" hidden="1" customHeight="1" x14ac:dyDescent="0.3">
      <c r="A1283" t="s">
        <v>184</v>
      </c>
      <c r="B1283" s="3">
        <v>45809</v>
      </c>
      <c r="C1283" s="11" t="s">
        <v>750</v>
      </c>
    </row>
    <row r="1284" spans="1:3" ht="57.6" hidden="1" customHeight="1" x14ac:dyDescent="0.3">
      <c r="A1284" t="s">
        <v>184</v>
      </c>
      <c r="B1284" s="3">
        <v>45839</v>
      </c>
      <c r="C1284" s="11" t="s">
        <v>751</v>
      </c>
    </row>
    <row r="1285" spans="1:3" ht="57.6" hidden="1" customHeight="1" x14ac:dyDescent="0.3">
      <c r="A1285" t="s">
        <v>184</v>
      </c>
      <c r="B1285" s="3">
        <v>45870</v>
      </c>
      <c r="C1285" s="11" t="s">
        <v>752</v>
      </c>
    </row>
    <row r="1286" spans="1:3" ht="57.6" hidden="1" customHeight="1" x14ac:dyDescent="0.3">
      <c r="A1286" t="s">
        <v>184</v>
      </c>
      <c r="B1286" s="3">
        <v>45901</v>
      </c>
      <c r="C1286" s="11" t="s">
        <v>753</v>
      </c>
    </row>
    <row r="1287" spans="1:3" ht="57.6" hidden="1" customHeight="1" x14ac:dyDescent="0.3">
      <c r="A1287" t="s">
        <v>184</v>
      </c>
      <c r="B1287" s="3">
        <v>45931</v>
      </c>
      <c r="C1287" s="11" t="s">
        <v>754</v>
      </c>
    </row>
    <row r="1288" spans="1:3" ht="57.6" hidden="1" customHeight="1" x14ac:dyDescent="0.3">
      <c r="A1288" t="s">
        <v>184</v>
      </c>
      <c r="B1288" s="3">
        <v>45962</v>
      </c>
      <c r="C1288" s="11" t="s">
        <v>755</v>
      </c>
    </row>
    <row r="1289" spans="1:3" hidden="1" x14ac:dyDescent="0.3">
      <c r="A1289" t="s">
        <v>184</v>
      </c>
      <c r="B1289" s="3">
        <v>45992</v>
      </c>
      <c r="C1289" s="11" t="s">
        <v>680</v>
      </c>
    </row>
    <row r="1290" spans="1:3" hidden="1" x14ac:dyDescent="0.3">
      <c r="A1290" t="s">
        <v>184</v>
      </c>
      <c r="B1290" s="3">
        <v>46023</v>
      </c>
      <c r="C1290" s="11" t="s">
        <v>756</v>
      </c>
    </row>
    <row r="1291" spans="1:3" hidden="1" x14ac:dyDescent="0.3">
      <c r="A1291" t="s">
        <v>184</v>
      </c>
      <c r="B1291" s="3">
        <v>46054</v>
      </c>
      <c r="C1291" s="11" t="s">
        <v>756</v>
      </c>
    </row>
    <row r="1292" spans="1:3" hidden="1" x14ac:dyDescent="0.3">
      <c r="A1292" t="s">
        <v>184</v>
      </c>
      <c r="B1292" s="3">
        <v>46082</v>
      </c>
      <c r="C1292" s="11" t="s">
        <v>757</v>
      </c>
    </row>
    <row r="1293" spans="1:3" hidden="1" x14ac:dyDescent="0.3">
      <c r="A1293" t="s">
        <v>184</v>
      </c>
      <c r="B1293" s="3">
        <v>46113</v>
      </c>
      <c r="C1293" s="11" t="s">
        <v>758</v>
      </c>
    </row>
    <row r="1294" spans="1:3" x14ac:dyDescent="0.3">
      <c r="A1294" t="s">
        <v>184</v>
      </c>
      <c r="B1294" s="3">
        <v>46143</v>
      </c>
      <c r="C1294" s="11" t="s">
        <v>975</v>
      </c>
    </row>
    <row r="1295" spans="1:3" hidden="1" x14ac:dyDescent="0.3">
      <c r="A1295" t="s">
        <v>184</v>
      </c>
      <c r="B1295" s="3">
        <v>46174</v>
      </c>
      <c r="C1295" s="11"/>
    </row>
    <row r="1296" spans="1:3" hidden="1" x14ac:dyDescent="0.3">
      <c r="A1296" t="s">
        <v>184</v>
      </c>
      <c r="B1296" s="3">
        <v>46204</v>
      </c>
      <c r="C1296" s="11"/>
    </row>
    <row r="1297" spans="1:3" hidden="1" x14ac:dyDescent="0.3">
      <c r="A1297" t="s">
        <v>184</v>
      </c>
      <c r="B1297" s="3">
        <v>46235</v>
      </c>
      <c r="C1297" s="11"/>
    </row>
    <row r="1298" spans="1:3" hidden="1" x14ac:dyDescent="0.3">
      <c r="A1298" t="s">
        <v>189</v>
      </c>
      <c r="B1298" s="3">
        <v>45536</v>
      </c>
      <c r="C1298" s="11"/>
    </row>
    <row r="1299" spans="1:3" hidden="1" x14ac:dyDescent="0.3">
      <c r="A1299" t="s">
        <v>189</v>
      </c>
      <c r="B1299" s="3">
        <v>45566</v>
      </c>
      <c r="C1299" s="11"/>
    </row>
    <row r="1300" spans="1:3" hidden="1" x14ac:dyDescent="0.3">
      <c r="A1300" t="s">
        <v>189</v>
      </c>
      <c r="B1300" s="3">
        <v>45597</v>
      </c>
      <c r="C1300" s="11"/>
    </row>
    <row r="1301" spans="1:3" hidden="1" x14ac:dyDescent="0.3">
      <c r="A1301" t="s">
        <v>189</v>
      </c>
      <c r="B1301" s="3">
        <v>45627</v>
      </c>
      <c r="C1301" s="11"/>
    </row>
    <row r="1302" spans="1:3" hidden="1" x14ac:dyDescent="0.3">
      <c r="A1302" t="s">
        <v>189</v>
      </c>
      <c r="B1302" s="3">
        <v>45658</v>
      </c>
      <c r="C1302" s="11"/>
    </row>
    <row r="1303" spans="1:3" hidden="1" x14ac:dyDescent="0.3">
      <c r="A1303" t="s">
        <v>189</v>
      </c>
      <c r="B1303" s="3">
        <v>45689</v>
      </c>
      <c r="C1303" s="11" t="s">
        <v>759</v>
      </c>
    </row>
    <row r="1304" spans="1:3" hidden="1" x14ac:dyDescent="0.3">
      <c r="A1304" t="s">
        <v>189</v>
      </c>
      <c r="B1304" s="3">
        <v>45717</v>
      </c>
      <c r="C1304" s="11" t="s">
        <v>759</v>
      </c>
    </row>
    <row r="1305" spans="1:3" hidden="1" x14ac:dyDescent="0.3">
      <c r="A1305" t="s">
        <v>189</v>
      </c>
      <c r="B1305" s="3">
        <v>45748</v>
      </c>
      <c r="C1305" s="11" t="s">
        <v>759</v>
      </c>
    </row>
    <row r="1306" spans="1:3" ht="57.6" hidden="1" customHeight="1" x14ac:dyDescent="0.3">
      <c r="A1306" t="s">
        <v>189</v>
      </c>
      <c r="B1306" s="3">
        <v>45778</v>
      </c>
      <c r="C1306" s="11" t="s">
        <v>760</v>
      </c>
    </row>
    <row r="1307" spans="1:3" ht="57.6" hidden="1" customHeight="1" x14ac:dyDescent="0.3">
      <c r="A1307" t="s">
        <v>189</v>
      </c>
      <c r="B1307" s="3">
        <v>45809</v>
      </c>
      <c r="C1307" s="11" t="s">
        <v>761</v>
      </c>
    </row>
    <row r="1308" spans="1:3" ht="57.6" hidden="1" customHeight="1" x14ac:dyDescent="0.3">
      <c r="A1308" t="s">
        <v>189</v>
      </c>
      <c r="B1308" s="3">
        <v>45839</v>
      </c>
      <c r="C1308" s="11" t="s">
        <v>762</v>
      </c>
    </row>
    <row r="1309" spans="1:3" ht="57.6" hidden="1" customHeight="1" x14ac:dyDescent="0.3">
      <c r="A1309" t="s">
        <v>189</v>
      </c>
      <c r="B1309" s="3">
        <v>45870</v>
      </c>
      <c r="C1309" s="11" t="s">
        <v>763</v>
      </c>
    </row>
    <row r="1310" spans="1:3" ht="57.6" hidden="1" customHeight="1" x14ac:dyDescent="0.3">
      <c r="A1310" t="s">
        <v>189</v>
      </c>
      <c r="B1310" s="3">
        <v>45901</v>
      </c>
      <c r="C1310" s="11" t="s">
        <v>764</v>
      </c>
    </row>
    <row r="1311" spans="1:3" ht="57.6" hidden="1" customHeight="1" x14ac:dyDescent="0.3">
      <c r="A1311" t="s">
        <v>189</v>
      </c>
      <c r="B1311" s="3">
        <v>45931</v>
      </c>
      <c r="C1311" s="11" t="s">
        <v>765</v>
      </c>
    </row>
    <row r="1312" spans="1:3" ht="57.6" hidden="1" customHeight="1" x14ac:dyDescent="0.3">
      <c r="A1312" t="s">
        <v>189</v>
      </c>
      <c r="B1312" s="3">
        <v>45962</v>
      </c>
      <c r="C1312" s="11" t="s">
        <v>766</v>
      </c>
    </row>
    <row r="1313" spans="1:3" hidden="1" x14ac:dyDescent="0.3">
      <c r="A1313" t="s">
        <v>189</v>
      </c>
      <c r="B1313" s="3">
        <v>45992</v>
      </c>
      <c r="C1313" s="11" t="s">
        <v>767</v>
      </c>
    </row>
    <row r="1314" spans="1:3" hidden="1" x14ac:dyDescent="0.3">
      <c r="A1314" t="s">
        <v>189</v>
      </c>
      <c r="B1314" s="3">
        <v>46023</v>
      </c>
      <c r="C1314" s="11" t="s">
        <v>768</v>
      </c>
    </row>
    <row r="1315" spans="1:3" hidden="1" x14ac:dyDescent="0.3">
      <c r="A1315" t="s">
        <v>189</v>
      </c>
      <c r="B1315" s="3">
        <v>46054</v>
      </c>
      <c r="C1315" s="11" t="s">
        <v>344</v>
      </c>
    </row>
    <row r="1316" spans="1:3" hidden="1" x14ac:dyDescent="0.3">
      <c r="A1316" t="s">
        <v>189</v>
      </c>
      <c r="B1316" s="3">
        <v>46082</v>
      </c>
      <c r="C1316" s="11" t="s">
        <v>344</v>
      </c>
    </row>
    <row r="1317" spans="1:3" hidden="1" x14ac:dyDescent="0.3">
      <c r="A1317" t="s">
        <v>189</v>
      </c>
      <c r="B1317" s="3">
        <v>46113</v>
      </c>
      <c r="C1317" s="11" t="s">
        <v>320</v>
      </c>
    </row>
    <row r="1318" spans="1:3" x14ac:dyDescent="0.3">
      <c r="A1318" t="s">
        <v>189</v>
      </c>
      <c r="B1318" s="3">
        <v>46143</v>
      </c>
      <c r="C1318" s="11" t="s">
        <v>320</v>
      </c>
    </row>
    <row r="1319" spans="1:3" hidden="1" x14ac:dyDescent="0.3">
      <c r="A1319" t="s">
        <v>189</v>
      </c>
      <c r="B1319" s="3">
        <v>46174</v>
      </c>
      <c r="C1319" s="11"/>
    </row>
    <row r="1320" spans="1:3" hidden="1" x14ac:dyDescent="0.3">
      <c r="A1320" t="s">
        <v>189</v>
      </c>
      <c r="B1320" s="3">
        <v>46204</v>
      </c>
      <c r="C1320" s="11"/>
    </row>
    <row r="1321" spans="1:3" hidden="1" x14ac:dyDescent="0.3">
      <c r="A1321" t="s">
        <v>189</v>
      </c>
      <c r="B1321" s="3">
        <v>46235</v>
      </c>
      <c r="C1321" s="11"/>
    </row>
    <row r="1322" spans="1:3" hidden="1" x14ac:dyDescent="0.3">
      <c r="A1322" t="s">
        <v>279</v>
      </c>
      <c r="B1322" s="3">
        <v>45536</v>
      </c>
      <c r="C1322" s="11"/>
    </row>
    <row r="1323" spans="1:3" hidden="1" x14ac:dyDescent="0.3">
      <c r="A1323" t="s">
        <v>279</v>
      </c>
      <c r="B1323" s="3">
        <v>45566</v>
      </c>
      <c r="C1323" s="11" t="s">
        <v>769</v>
      </c>
    </row>
    <row r="1324" spans="1:3" hidden="1" x14ac:dyDescent="0.3">
      <c r="A1324" t="s">
        <v>279</v>
      </c>
      <c r="B1324" s="3">
        <v>45597</v>
      </c>
      <c r="C1324" s="11"/>
    </row>
    <row r="1325" spans="1:3" hidden="1" x14ac:dyDescent="0.3">
      <c r="A1325" t="s">
        <v>279</v>
      </c>
      <c r="B1325" s="3">
        <v>45627</v>
      </c>
      <c r="C1325" s="11"/>
    </row>
    <row r="1326" spans="1:3" hidden="1" x14ac:dyDescent="0.3">
      <c r="A1326" t="s">
        <v>279</v>
      </c>
      <c r="B1326" s="3">
        <v>45658</v>
      </c>
      <c r="C1326" s="11"/>
    </row>
    <row r="1327" spans="1:3" hidden="1" x14ac:dyDescent="0.3">
      <c r="A1327" t="s">
        <v>279</v>
      </c>
      <c r="B1327" s="3">
        <v>45689</v>
      </c>
      <c r="C1327" s="11" t="s">
        <v>770</v>
      </c>
    </row>
    <row r="1328" spans="1:3" ht="28.95" hidden="1" customHeight="1" x14ac:dyDescent="0.3">
      <c r="A1328" t="s">
        <v>279</v>
      </c>
      <c r="B1328" s="3">
        <v>45717</v>
      </c>
      <c r="C1328" s="11" t="s">
        <v>771</v>
      </c>
    </row>
    <row r="1329" spans="1:3" ht="28.95" hidden="1" customHeight="1" x14ac:dyDescent="0.3">
      <c r="A1329" t="s">
        <v>279</v>
      </c>
      <c r="B1329" s="3">
        <v>45748</v>
      </c>
      <c r="C1329" s="11" t="s">
        <v>771</v>
      </c>
    </row>
    <row r="1330" spans="1:3" ht="72" hidden="1" customHeight="1" x14ac:dyDescent="0.3">
      <c r="A1330" t="s">
        <v>279</v>
      </c>
      <c r="B1330" s="3">
        <v>45778</v>
      </c>
      <c r="C1330" s="11" t="s">
        <v>772</v>
      </c>
    </row>
    <row r="1331" spans="1:3" ht="57.6" hidden="1" customHeight="1" x14ac:dyDescent="0.3">
      <c r="A1331" t="s">
        <v>279</v>
      </c>
      <c r="B1331" s="3">
        <v>45809</v>
      </c>
      <c r="C1331" s="11" t="s">
        <v>773</v>
      </c>
    </row>
    <row r="1332" spans="1:3" ht="57.6" hidden="1" customHeight="1" x14ac:dyDescent="0.3">
      <c r="A1332" t="s">
        <v>279</v>
      </c>
      <c r="B1332" s="3">
        <v>45839</v>
      </c>
      <c r="C1332" s="11" t="s">
        <v>774</v>
      </c>
    </row>
    <row r="1333" spans="1:3" ht="57.6" hidden="1" customHeight="1" x14ac:dyDescent="0.3">
      <c r="A1333" t="s">
        <v>279</v>
      </c>
      <c r="B1333" s="3">
        <v>45870</v>
      </c>
      <c r="C1333" s="11" t="s">
        <v>775</v>
      </c>
    </row>
    <row r="1334" spans="1:3" ht="57.6" hidden="1" customHeight="1" x14ac:dyDescent="0.3">
      <c r="A1334" t="s">
        <v>279</v>
      </c>
      <c r="B1334" s="3">
        <v>45901</v>
      </c>
      <c r="C1334" s="11" t="s">
        <v>776</v>
      </c>
    </row>
    <row r="1335" spans="1:3" ht="57.6" hidden="1" customHeight="1" x14ac:dyDescent="0.3">
      <c r="A1335" t="s">
        <v>279</v>
      </c>
      <c r="B1335" s="3">
        <v>45931</v>
      </c>
      <c r="C1335" s="11" t="s">
        <v>777</v>
      </c>
    </row>
    <row r="1336" spans="1:3" ht="57.6" hidden="1" customHeight="1" x14ac:dyDescent="0.3">
      <c r="A1336" t="s">
        <v>279</v>
      </c>
      <c r="B1336" s="3">
        <v>45962</v>
      </c>
      <c r="C1336" s="11" t="s">
        <v>778</v>
      </c>
    </row>
    <row r="1337" spans="1:3" hidden="1" x14ac:dyDescent="0.3">
      <c r="A1337" t="s">
        <v>279</v>
      </c>
      <c r="B1337" s="3">
        <v>45992</v>
      </c>
      <c r="C1337" s="11" t="s">
        <v>779</v>
      </c>
    </row>
    <row r="1338" spans="1:3" hidden="1" x14ac:dyDescent="0.3">
      <c r="A1338" t="s">
        <v>279</v>
      </c>
      <c r="B1338" s="3">
        <v>46023</v>
      </c>
      <c r="C1338" s="11" t="s">
        <v>780</v>
      </c>
    </row>
    <row r="1339" spans="1:3" hidden="1" x14ac:dyDescent="0.3">
      <c r="A1339" t="s">
        <v>279</v>
      </c>
      <c r="B1339" s="3">
        <v>46054</v>
      </c>
      <c r="C1339" s="11" t="s">
        <v>780</v>
      </c>
    </row>
    <row r="1340" spans="1:3" hidden="1" x14ac:dyDescent="0.3">
      <c r="A1340" t="s">
        <v>279</v>
      </c>
      <c r="B1340" s="3">
        <v>46082</v>
      </c>
      <c r="C1340" s="11" t="s">
        <v>781</v>
      </c>
    </row>
    <row r="1341" spans="1:3" hidden="1" x14ac:dyDescent="0.3">
      <c r="A1341" t="s">
        <v>279</v>
      </c>
      <c r="B1341" s="3">
        <v>46113</v>
      </c>
      <c r="C1341" s="11" t="s">
        <v>781</v>
      </c>
    </row>
    <row r="1342" spans="1:3" x14ac:dyDescent="0.3">
      <c r="A1342" t="s">
        <v>279</v>
      </c>
      <c r="B1342" s="3">
        <v>46143</v>
      </c>
      <c r="C1342" s="11" t="s">
        <v>967</v>
      </c>
    </row>
    <row r="1343" spans="1:3" hidden="1" x14ac:dyDescent="0.3">
      <c r="A1343" t="s">
        <v>279</v>
      </c>
      <c r="B1343" s="3">
        <v>46174</v>
      </c>
      <c r="C1343" s="11"/>
    </row>
    <row r="1344" spans="1:3" hidden="1" x14ac:dyDescent="0.3">
      <c r="A1344" t="s">
        <v>279</v>
      </c>
      <c r="B1344" s="3">
        <v>46204</v>
      </c>
      <c r="C1344" s="11"/>
    </row>
    <row r="1345" spans="1:3" hidden="1" x14ac:dyDescent="0.3">
      <c r="A1345" t="s">
        <v>279</v>
      </c>
      <c r="B1345" s="3">
        <v>46235</v>
      </c>
      <c r="C1345" s="11"/>
    </row>
    <row r="1346" spans="1:3" hidden="1" x14ac:dyDescent="0.3">
      <c r="A1346" t="s">
        <v>192</v>
      </c>
      <c r="B1346" s="3">
        <v>45536</v>
      </c>
      <c r="C1346" s="11"/>
    </row>
    <row r="1347" spans="1:3" hidden="1" x14ac:dyDescent="0.3">
      <c r="A1347" t="s">
        <v>192</v>
      </c>
      <c r="B1347" s="3">
        <v>45566</v>
      </c>
      <c r="C1347" s="11"/>
    </row>
    <row r="1348" spans="1:3" hidden="1" x14ac:dyDescent="0.3">
      <c r="A1348" t="s">
        <v>192</v>
      </c>
      <c r="B1348" s="3">
        <v>45597</v>
      </c>
      <c r="C1348" s="11"/>
    </row>
    <row r="1349" spans="1:3" hidden="1" x14ac:dyDescent="0.3">
      <c r="A1349" t="s">
        <v>192</v>
      </c>
      <c r="B1349" s="3">
        <v>45627</v>
      </c>
      <c r="C1349" s="11"/>
    </row>
    <row r="1350" spans="1:3" hidden="1" x14ac:dyDescent="0.3">
      <c r="A1350" t="s">
        <v>192</v>
      </c>
      <c r="B1350" s="3">
        <v>45658</v>
      </c>
      <c r="C1350" s="11"/>
    </row>
    <row r="1351" spans="1:3" hidden="1" x14ac:dyDescent="0.3">
      <c r="A1351" t="s">
        <v>192</v>
      </c>
      <c r="B1351" s="3">
        <v>45689</v>
      </c>
      <c r="C1351" s="11" t="s">
        <v>782</v>
      </c>
    </row>
    <row r="1352" spans="1:3" hidden="1" x14ac:dyDescent="0.3">
      <c r="A1352" t="s">
        <v>192</v>
      </c>
      <c r="B1352" s="3">
        <v>45717</v>
      </c>
      <c r="C1352" s="11" t="s">
        <v>783</v>
      </c>
    </row>
    <row r="1353" spans="1:3" hidden="1" x14ac:dyDescent="0.3">
      <c r="A1353" t="s">
        <v>192</v>
      </c>
      <c r="B1353" s="3">
        <v>45748</v>
      </c>
      <c r="C1353" s="11" t="s">
        <v>783</v>
      </c>
    </row>
    <row r="1354" spans="1:3" ht="57.6" hidden="1" customHeight="1" x14ac:dyDescent="0.3">
      <c r="A1354" t="s">
        <v>192</v>
      </c>
      <c r="B1354" s="3">
        <v>45778</v>
      </c>
      <c r="C1354" s="11" t="s">
        <v>784</v>
      </c>
    </row>
    <row r="1355" spans="1:3" ht="43.2" hidden="1" customHeight="1" x14ac:dyDescent="0.3">
      <c r="A1355" t="s">
        <v>192</v>
      </c>
      <c r="B1355" s="3">
        <v>45809</v>
      </c>
      <c r="C1355" s="11" t="s">
        <v>785</v>
      </c>
    </row>
    <row r="1356" spans="1:3" ht="57.6" hidden="1" customHeight="1" x14ac:dyDescent="0.3">
      <c r="A1356" t="s">
        <v>192</v>
      </c>
      <c r="B1356" s="3">
        <v>45839</v>
      </c>
      <c r="C1356" s="11" t="s">
        <v>786</v>
      </c>
    </row>
    <row r="1357" spans="1:3" ht="43.2" hidden="1" customHeight="1" x14ac:dyDescent="0.3">
      <c r="A1357" t="s">
        <v>192</v>
      </c>
      <c r="B1357" s="3">
        <v>45870</v>
      </c>
      <c r="C1357" s="11" t="s">
        <v>787</v>
      </c>
    </row>
    <row r="1358" spans="1:3" ht="43.2" hidden="1" customHeight="1" x14ac:dyDescent="0.3">
      <c r="A1358" t="s">
        <v>192</v>
      </c>
      <c r="B1358" s="3">
        <v>45901</v>
      </c>
      <c r="C1358" s="11" t="s">
        <v>788</v>
      </c>
    </row>
    <row r="1359" spans="1:3" ht="43.2" hidden="1" customHeight="1" x14ac:dyDescent="0.3">
      <c r="A1359" t="s">
        <v>192</v>
      </c>
      <c r="B1359" s="3">
        <v>45931</v>
      </c>
      <c r="C1359" s="11" t="s">
        <v>789</v>
      </c>
    </row>
    <row r="1360" spans="1:3" ht="43.2" hidden="1" customHeight="1" x14ac:dyDescent="0.3">
      <c r="A1360" t="s">
        <v>192</v>
      </c>
      <c r="B1360" s="3">
        <v>45962</v>
      </c>
      <c r="C1360" s="11" t="s">
        <v>790</v>
      </c>
    </row>
    <row r="1361" spans="1:3" hidden="1" x14ac:dyDescent="0.3">
      <c r="A1361" t="s">
        <v>192</v>
      </c>
      <c r="B1361" s="3">
        <v>45992</v>
      </c>
      <c r="C1361" s="11" t="s">
        <v>680</v>
      </c>
    </row>
    <row r="1362" spans="1:3" hidden="1" x14ac:dyDescent="0.3">
      <c r="A1362" t="s">
        <v>192</v>
      </c>
      <c r="B1362" s="3">
        <v>46023</v>
      </c>
      <c r="C1362" s="11" t="s">
        <v>356</v>
      </c>
    </row>
    <row r="1363" spans="1:3" hidden="1" x14ac:dyDescent="0.3">
      <c r="A1363" t="s">
        <v>192</v>
      </c>
      <c r="B1363" s="3">
        <v>46054</v>
      </c>
      <c r="C1363" s="11" t="s">
        <v>344</v>
      </c>
    </row>
    <row r="1364" spans="1:3" hidden="1" x14ac:dyDescent="0.3">
      <c r="A1364" t="s">
        <v>192</v>
      </c>
      <c r="B1364" s="3">
        <v>46082</v>
      </c>
      <c r="C1364" s="11" t="s">
        <v>344</v>
      </c>
    </row>
    <row r="1365" spans="1:3" hidden="1" x14ac:dyDescent="0.3">
      <c r="A1365" t="s">
        <v>192</v>
      </c>
      <c r="B1365" s="3">
        <v>46113</v>
      </c>
      <c r="C1365" s="11" t="s">
        <v>344</v>
      </c>
    </row>
    <row r="1366" spans="1:3" x14ac:dyDescent="0.3">
      <c r="A1366" t="s">
        <v>192</v>
      </c>
      <c r="B1366" s="3">
        <v>46143</v>
      </c>
      <c r="C1366" s="11" t="s">
        <v>320</v>
      </c>
    </row>
    <row r="1367" spans="1:3" hidden="1" x14ac:dyDescent="0.3">
      <c r="A1367" t="s">
        <v>192</v>
      </c>
      <c r="B1367" s="3">
        <v>46174</v>
      </c>
      <c r="C1367" s="11"/>
    </row>
    <row r="1368" spans="1:3" hidden="1" x14ac:dyDescent="0.3">
      <c r="A1368" t="s">
        <v>192</v>
      </c>
      <c r="B1368" s="3">
        <v>46204</v>
      </c>
      <c r="C1368" s="11"/>
    </row>
    <row r="1369" spans="1:3" hidden="1" x14ac:dyDescent="0.3">
      <c r="A1369" t="s">
        <v>192</v>
      </c>
      <c r="B1369" s="3">
        <v>46235</v>
      </c>
      <c r="C1369" s="11"/>
    </row>
    <row r="1370" spans="1:3" hidden="1" x14ac:dyDescent="0.3">
      <c r="A1370" t="s">
        <v>254</v>
      </c>
      <c r="B1370" s="3">
        <v>45536</v>
      </c>
      <c r="C1370" s="11"/>
    </row>
    <row r="1371" spans="1:3" hidden="1" x14ac:dyDescent="0.3">
      <c r="A1371" t="s">
        <v>254</v>
      </c>
      <c r="B1371" s="3">
        <v>45566</v>
      </c>
      <c r="C1371" s="11"/>
    </row>
    <row r="1372" spans="1:3" hidden="1" x14ac:dyDescent="0.3">
      <c r="A1372" t="s">
        <v>254</v>
      </c>
      <c r="B1372" s="3">
        <v>45597</v>
      </c>
      <c r="C1372" s="11"/>
    </row>
    <row r="1373" spans="1:3" hidden="1" x14ac:dyDescent="0.3">
      <c r="A1373" t="s">
        <v>254</v>
      </c>
      <c r="B1373" s="3">
        <v>45627</v>
      </c>
      <c r="C1373" s="11"/>
    </row>
    <row r="1374" spans="1:3" hidden="1" x14ac:dyDescent="0.3">
      <c r="A1374" t="s">
        <v>254</v>
      </c>
      <c r="B1374" s="3">
        <v>45658</v>
      </c>
      <c r="C1374" s="11"/>
    </row>
    <row r="1375" spans="1:3" hidden="1" x14ac:dyDescent="0.3">
      <c r="A1375" t="s">
        <v>254</v>
      </c>
      <c r="B1375" s="3">
        <v>45689</v>
      </c>
      <c r="C1375" s="11"/>
    </row>
    <row r="1376" spans="1:3" hidden="1" x14ac:dyDescent="0.3">
      <c r="A1376" t="s">
        <v>254</v>
      </c>
      <c r="B1376" s="3">
        <v>45717</v>
      </c>
      <c r="C1376" s="11"/>
    </row>
    <row r="1377" spans="1:3" hidden="1" x14ac:dyDescent="0.3">
      <c r="A1377" t="s">
        <v>254</v>
      </c>
      <c r="B1377" s="3">
        <v>45748</v>
      </c>
      <c r="C1377" s="11"/>
    </row>
    <row r="1378" spans="1:3" hidden="1" x14ac:dyDescent="0.3">
      <c r="A1378" t="s">
        <v>254</v>
      </c>
      <c r="B1378" s="3">
        <v>45778</v>
      </c>
      <c r="C1378" s="11"/>
    </row>
    <row r="1379" spans="1:3" hidden="1" x14ac:dyDescent="0.3">
      <c r="A1379" t="s">
        <v>254</v>
      </c>
      <c r="B1379" s="3">
        <v>45809</v>
      </c>
      <c r="C1379" s="11"/>
    </row>
    <row r="1380" spans="1:3" hidden="1" x14ac:dyDescent="0.3">
      <c r="A1380" t="s">
        <v>254</v>
      </c>
      <c r="B1380" s="3">
        <v>45839</v>
      </c>
      <c r="C1380" s="11"/>
    </row>
    <row r="1381" spans="1:3" hidden="1" x14ac:dyDescent="0.3">
      <c r="A1381" t="s">
        <v>254</v>
      </c>
      <c r="B1381" s="3">
        <v>45870</v>
      </c>
      <c r="C1381" s="11"/>
    </row>
    <row r="1382" spans="1:3" hidden="1" x14ac:dyDescent="0.3">
      <c r="A1382" t="s">
        <v>254</v>
      </c>
      <c r="B1382" s="3">
        <v>45901</v>
      </c>
      <c r="C1382" s="11"/>
    </row>
    <row r="1383" spans="1:3" hidden="1" x14ac:dyDescent="0.3">
      <c r="A1383" t="s">
        <v>254</v>
      </c>
      <c r="B1383" s="3">
        <v>45931</v>
      </c>
      <c r="C1383" s="11"/>
    </row>
    <row r="1384" spans="1:3" hidden="1" x14ac:dyDescent="0.3">
      <c r="A1384" t="s">
        <v>254</v>
      </c>
      <c r="B1384" s="3">
        <v>45962</v>
      </c>
      <c r="C1384" s="11"/>
    </row>
    <row r="1385" spans="1:3" hidden="1" x14ac:dyDescent="0.3">
      <c r="A1385" t="s">
        <v>254</v>
      </c>
      <c r="B1385" s="3">
        <v>45992</v>
      </c>
      <c r="C1385" s="11"/>
    </row>
    <row r="1386" spans="1:3" hidden="1" x14ac:dyDescent="0.3">
      <c r="A1386" t="s">
        <v>254</v>
      </c>
      <c r="B1386" s="3">
        <v>46023</v>
      </c>
      <c r="C1386" s="11"/>
    </row>
    <row r="1387" spans="1:3" hidden="1" x14ac:dyDescent="0.3">
      <c r="A1387" t="s">
        <v>254</v>
      </c>
      <c r="B1387" s="3">
        <v>46054</v>
      </c>
      <c r="C1387" s="11"/>
    </row>
    <row r="1388" spans="1:3" hidden="1" x14ac:dyDescent="0.3">
      <c r="A1388" t="s">
        <v>254</v>
      </c>
      <c r="B1388" s="3">
        <v>46082</v>
      </c>
      <c r="C1388" s="11"/>
    </row>
    <row r="1389" spans="1:3" hidden="1" x14ac:dyDescent="0.3">
      <c r="A1389" t="s">
        <v>254</v>
      </c>
      <c r="B1389" s="3">
        <v>46113</v>
      </c>
      <c r="C1389" s="11" t="s">
        <v>504</v>
      </c>
    </row>
    <row r="1390" spans="1:3" x14ac:dyDescent="0.3">
      <c r="A1390" t="s">
        <v>254</v>
      </c>
      <c r="B1390" s="3">
        <v>46143</v>
      </c>
      <c r="C1390" s="11" t="s">
        <v>974</v>
      </c>
    </row>
    <row r="1391" spans="1:3" hidden="1" x14ac:dyDescent="0.3">
      <c r="A1391" t="s">
        <v>254</v>
      </c>
      <c r="B1391" s="3">
        <v>46174</v>
      </c>
      <c r="C1391" s="11"/>
    </row>
    <row r="1392" spans="1:3" hidden="1" x14ac:dyDescent="0.3">
      <c r="A1392" t="s">
        <v>254</v>
      </c>
      <c r="B1392" s="3">
        <v>46204</v>
      </c>
      <c r="C1392" s="11"/>
    </row>
    <row r="1393" spans="1:3" hidden="1" x14ac:dyDescent="0.3">
      <c r="A1393" t="s">
        <v>254</v>
      </c>
      <c r="B1393" s="3">
        <v>46235</v>
      </c>
      <c r="C1393" s="11"/>
    </row>
    <row r="1394" spans="1:3" hidden="1" x14ac:dyDescent="0.3">
      <c r="A1394" t="s">
        <v>194</v>
      </c>
      <c r="B1394" s="3">
        <v>45536</v>
      </c>
      <c r="C1394" s="11"/>
    </row>
    <row r="1395" spans="1:3" hidden="1" x14ac:dyDescent="0.3">
      <c r="A1395" t="s">
        <v>194</v>
      </c>
      <c r="B1395" s="3">
        <v>45566</v>
      </c>
      <c r="C1395" s="11"/>
    </row>
    <row r="1396" spans="1:3" hidden="1" x14ac:dyDescent="0.3">
      <c r="A1396" t="s">
        <v>194</v>
      </c>
      <c r="B1396" s="3">
        <v>45597</v>
      </c>
      <c r="C1396" s="11"/>
    </row>
    <row r="1397" spans="1:3" hidden="1" x14ac:dyDescent="0.3">
      <c r="A1397" t="s">
        <v>194</v>
      </c>
      <c r="B1397" s="3">
        <v>45627</v>
      </c>
      <c r="C1397" s="11"/>
    </row>
    <row r="1398" spans="1:3" hidden="1" x14ac:dyDescent="0.3">
      <c r="A1398" t="s">
        <v>194</v>
      </c>
      <c r="B1398" s="3">
        <v>45658</v>
      </c>
      <c r="C1398" s="11"/>
    </row>
    <row r="1399" spans="1:3" hidden="1" x14ac:dyDescent="0.3">
      <c r="A1399" t="s">
        <v>194</v>
      </c>
      <c r="B1399" s="3">
        <v>45689</v>
      </c>
      <c r="C1399" s="11"/>
    </row>
    <row r="1400" spans="1:3" hidden="1" x14ac:dyDescent="0.3">
      <c r="A1400" t="s">
        <v>194</v>
      </c>
      <c r="B1400" s="3">
        <v>45717</v>
      </c>
      <c r="C1400" s="11"/>
    </row>
    <row r="1401" spans="1:3" hidden="1" x14ac:dyDescent="0.3">
      <c r="A1401" t="s">
        <v>194</v>
      </c>
      <c r="B1401" s="3">
        <v>45748</v>
      </c>
      <c r="C1401" s="11"/>
    </row>
    <row r="1402" spans="1:3" hidden="1" x14ac:dyDescent="0.3">
      <c r="A1402" t="s">
        <v>194</v>
      </c>
      <c r="B1402" s="3">
        <v>45778</v>
      </c>
      <c r="C1402" s="11"/>
    </row>
    <row r="1403" spans="1:3" hidden="1" x14ac:dyDescent="0.3">
      <c r="A1403" t="s">
        <v>194</v>
      </c>
      <c r="B1403" s="3">
        <v>45809</v>
      </c>
      <c r="C1403" s="11"/>
    </row>
    <row r="1404" spans="1:3" ht="43.2" hidden="1" customHeight="1" x14ac:dyDescent="0.3">
      <c r="A1404" t="s">
        <v>194</v>
      </c>
      <c r="B1404" s="3">
        <v>45839</v>
      </c>
      <c r="C1404" s="11" t="s">
        <v>791</v>
      </c>
    </row>
    <row r="1405" spans="1:3" ht="57.6" hidden="1" customHeight="1" x14ac:dyDescent="0.3">
      <c r="A1405" t="s">
        <v>194</v>
      </c>
      <c r="B1405" s="3">
        <v>45870</v>
      </c>
      <c r="C1405" s="11" t="s">
        <v>792</v>
      </c>
    </row>
    <row r="1406" spans="1:3" ht="43.2" hidden="1" customHeight="1" x14ac:dyDescent="0.3">
      <c r="A1406" t="s">
        <v>194</v>
      </c>
      <c r="B1406" s="3">
        <v>45901</v>
      </c>
      <c r="C1406" s="11" t="s">
        <v>793</v>
      </c>
    </row>
    <row r="1407" spans="1:3" ht="43.2" hidden="1" customHeight="1" x14ac:dyDescent="0.3">
      <c r="A1407" t="s">
        <v>194</v>
      </c>
      <c r="B1407" s="3">
        <v>45931</v>
      </c>
      <c r="C1407" s="11" t="s">
        <v>794</v>
      </c>
    </row>
    <row r="1408" spans="1:3" ht="57.6" hidden="1" customHeight="1" x14ac:dyDescent="0.3">
      <c r="A1408" t="s">
        <v>194</v>
      </c>
      <c r="B1408" s="3">
        <v>45962</v>
      </c>
      <c r="C1408" s="11" t="s">
        <v>795</v>
      </c>
    </row>
    <row r="1409" spans="1:3" hidden="1" x14ac:dyDescent="0.3">
      <c r="A1409" t="s">
        <v>194</v>
      </c>
      <c r="B1409" s="3">
        <v>45992</v>
      </c>
      <c r="C1409" s="11" t="s">
        <v>796</v>
      </c>
    </row>
    <row r="1410" spans="1:3" hidden="1" x14ac:dyDescent="0.3">
      <c r="A1410" t="s">
        <v>194</v>
      </c>
      <c r="B1410" s="3">
        <v>46023</v>
      </c>
      <c r="C1410" s="11" t="s">
        <v>356</v>
      </c>
    </row>
    <row r="1411" spans="1:3" hidden="1" x14ac:dyDescent="0.3">
      <c r="A1411" t="s">
        <v>194</v>
      </c>
      <c r="B1411" s="3">
        <v>46054</v>
      </c>
      <c r="C1411" s="11" t="s">
        <v>332</v>
      </c>
    </row>
    <row r="1412" spans="1:3" hidden="1" x14ac:dyDescent="0.3">
      <c r="A1412" t="s">
        <v>194</v>
      </c>
      <c r="B1412" s="3">
        <v>46082</v>
      </c>
      <c r="C1412" s="11" t="s">
        <v>797</v>
      </c>
    </row>
    <row r="1413" spans="1:3" hidden="1" x14ac:dyDescent="0.3">
      <c r="A1413" t="s">
        <v>194</v>
      </c>
      <c r="B1413" s="3">
        <v>46113</v>
      </c>
      <c r="C1413" s="11" t="s">
        <v>797</v>
      </c>
    </row>
    <row r="1414" spans="1:3" x14ac:dyDescent="0.3">
      <c r="A1414" t="s">
        <v>194</v>
      </c>
      <c r="B1414" s="3">
        <v>46143</v>
      </c>
      <c r="C1414" s="11" t="s">
        <v>968</v>
      </c>
    </row>
    <row r="1415" spans="1:3" hidden="1" x14ac:dyDescent="0.3">
      <c r="A1415" t="s">
        <v>194</v>
      </c>
      <c r="B1415" s="3">
        <v>46174</v>
      </c>
      <c r="C1415" s="11"/>
    </row>
    <row r="1416" spans="1:3" hidden="1" x14ac:dyDescent="0.3">
      <c r="A1416" t="s">
        <v>194</v>
      </c>
      <c r="B1416" s="3">
        <v>46204</v>
      </c>
      <c r="C1416" s="11"/>
    </row>
    <row r="1417" spans="1:3" hidden="1" x14ac:dyDescent="0.3">
      <c r="A1417" t="s">
        <v>194</v>
      </c>
      <c r="B1417" s="3">
        <v>46235</v>
      </c>
      <c r="C1417" s="11"/>
    </row>
    <row r="1418" spans="1:3" hidden="1" x14ac:dyDescent="0.3">
      <c r="A1418" t="s">
        <v>196</v>
      </c>
      <c r="B1418" s="3">
        <v>45536</v>
      </c>
      <c r="C1418" s="11"/>
    </row>
    <row r="1419" spans="1:3" ht="28.95" hidden="1" customHeight="1" x14ac:dyDescent="0.3">
      <c r="A1419" t="s">
        <v>196</v>
      </c>
      <c r="B1419" s="3">
        <v>45566</v>
      </c>
      <c r="C1419" s="11" t="s">
        <v>798</v>
      </c>
    </row>
    <row r="1420" spans="1:3" hidden="1" x14ac:dyDescent="0.3">
      <c r="A1420" t="s">
        <v>196</v>
      </c>
      <c r="B1420" s="3">
        <v>45597</v>
      </c>
      <c r="C1420" s="11"/>
    </row>
    <row r="1421" spans="1:3" hidden="1" x14ac:dyDescent="0.3">
      <c r="A1421" t="s">
        <v>196</v>
      </c>
      <c r="B1421" s="3">
        <v>45627</v>
      </c>
      <c r="C1421" s="11"/>
    </row>
    <row r="1422" spans="1:3" hidden="1" x14ac:dyDescent="0.3">
      <c r="A1422" t="s">
        <v>196</v>
      </c>
      <c r="B1422" s="3">
        <v>45658</v>
      </c>
      <c r="C1422" s="11"/>
    </row>
    <row r="1423" spans="1:3" hidden="1" x14ac:dyDescent="0.3">
      <c r="A1423" t="s">
        <v>196</v>
      </c>
      <c r="B1423" s="3">
        <v>45689</v>
      </c>
      <c r="C1423" s="11" t="s">
        <v>799</v>
      </c>
    </row>
    <row r="1424" spans="1:3" hidden="1" x14ac:dyDescent="0.3">
      <c r="A1424" t="s">
        <v>196</v>
      </c>
      <c r="B1424" s="3">
        <v>45717</v>
      </c>
      <c r="C1424" s="11" t="s">
        <v>800</v>
      </c>
    </row>
    <row r="1425" spans="1:3" hidden="1" x14ac:dyDescent="0.3">
      <c r="A1425" t="s">
        <v>196</v>
      </c>
      <c r="B1425" s="3">
        <v>45748</v>
      </c>
      <c r="C1425" s="11" t="s">
        <v>801</v>
      </c>
    </row>
    <row r="1426" spans="1:3" ht="43.2" hidden="1" customHeight="1" x14ac:dyDescent="0.3">
      <c r="A1426" t="s">
        <v>196</v>
      </c>
      <c r="B1426" s="3">
        <v>45778</v>
      </c>
      <c r="C1426" s="11" t="s">
        <v>802</v>
      </c>
    </row>
    <row r="1427" spans="1:3" ht="43.2" hidden="1" customHeight="1" x14ac:dyDescent="0.3">
      <c r="A1427" t="s">
        <v>196</v>
      </c>
      <c r="B1427" s="3">
        <v>45809</v>
      </c>
      <c r="C1427" s="11" t="s">
        <v>803</v>
      </c>
    </row>
    <row r="1428" spans="1:3" ht="57.6" hidden="1" customHeight="1" x14ac:dyDescent="0.3">
      <c r="A1428" t="s">
        <v>196</v>
      </c>
      <c r="B1428" s="3">
        <v>45839</v>
      </c>
      <c r="C1428" s="11" t="s">
        <v>804</v>
      </c>
    </row>
    <row r="1429" spans="1:3" ht="43.2" hidden="1" customHeight="1" x14ac:dyDescent="0.3">
      <c r="A1429" t="s">
        <v>196</v>
      </c>
      <c r="B1429" s="3">
        <v>45870</v>
      </c>
      <c r="C1429" s="11" t="s">
        <v>805</v>
      </c>
    </row>
    <row r="1430" spans="1:3" ht="43.2" hidden="1" customHeight="1" x14ac:dyDescent="0.3">
      <c r="A1430" t="s">
        <v>196</v>
      </c>
      <c r="B1430" s="3">
        <v>45901</v>
      </c>
      <c r="C1430" s="11" t="s">
        <v>806</v>
      </c>
    </row>
    <row r="1431" spans="1:3" ht="57.6" hidden="1" customHeight="1" x14ac:dyDescent="0.3">
      <c r="A1431" t="s">
        <v>196</v>
      </c>
      <c r="B1431" s="3">
        <v>45931</v>
      </c>
      <c r="C1431" s="11" t="s">
        <v>807</v>
      </c>
    </row>
    <row r="1432" spans="1:3" ht="57.6" hidden="1" customHeight="1" x14ac:dyDescent="0.3">
      <c r="A1432" t="s">
        <v>196</v>
      </c>
      <c r="B1432" s="3">
        <v>45962</v>
      </c>
      <c r="C1432" s="11" t="s">
        <v>808</v>
      </c>
    </row>
    <row r="1433" spans="1:3" hidden="1" x14ac:dyDescent="0.3">
      <c r="A1433" t="s">
        <v>196</v>
      </c>
      <c r="B1433" s="3">
        <v>45992</v>
      </c>
      <c r="C1433" s="11" t="s">
        <v>332</v>
      </c>
    </row>
    <row r="1434" spans="1:3" hidden="1" x14ac:dyDescent="0.3">
      <c r="A1434" t="s">
        <v>196</v>
      </c>
      <c r="B1434" s="3">
        <v>46023</v>
      </c>
      <c r="C1434" s="11" t="s">
        <v>356</v>
      </c>
    </row>
    <row r="1435" spans="1:3" hidden="1" x14ac:dyDescent="0.3">
      <c r="A1435" t="s">
        <v>196</v>
      </c>
      <c r="B1435" s="3">
        <v>46054</v>
      </c>
      <c r="C1435" s="11" t="s">
        <v>809</v>
      </c>
    </row>
    <row r="1436" spans="1:3" hidden="1" x14ac:dyDescent="0.3">
      <c r="A1436" t="s">
        <v>196</v>
      </c>
      <c r="B1436" s="3">
        <v>46082</v>
      </c>
      <c r="C1436" s="11" t="s">
        <v>810</v>
      </c>
    </row>
    <row r="1437" spans="1:3" hidden="1" x14ac:dyDescent="0.3">
      <c r="A1437" t="s">
        <v>196</v>
      </c>
      <c r="B1437" s="3">
        <v>46113</v>
      </c>
      <c r="C1437" s="11" t="s">
        <v>811</v>
      </c>
    </row>
    <row r="1438" spans="1:3" x14ac:dyDescent="0.3">
      <c r="A1438" t="s">
        <v>196</v>
      </c>
      <c r="B1438" s="3">
        <v>46143</v>
      </c>
      <c r="C1438" s="11" t="s">
        <v>975</v>
      </c>
    </row>
    <row r="1439" spans="1:3" hidden="1" x14ac:dyDescent="0.3">
      <c r="A1439" t="s">
        <v>196</v>
      </c>
      <c r="B1439" s="3">
        <v>46174</v>
      </c>
      <c r="C1439" s="11"/>
    </row>
    <row r="1440" spans="1:3" hidden="1" x14ac:dyDescent="0.3">
      <c r="A1440" t="s">
        <v>196</v>
      </c>
      <c r="B1440" s="3">
        <v>46204</v>
      </c>
      <c r="C1440" s="11"/>
    </row>
    <row r="1441" spans="1:3" hidden="1" x14ac:dyDescent="0.3">
      <c r="A1441" t="s">
        <v>196</v>
      </c>
      <c r="B1441" s="3">
        <v>46235</v>
      </c>
      <c r="C1441" s="11"/>
    </row>
    <row r="1442" spans="1:3" hidden="1" x14ac:dyDescent="0.3">
      <c r="A1442" t="s">
        <v>198</v>
      </c>
      <c r="B1442" s="3">
        <v>45536</v>
      </c>
      <c r="C1442" s="11"/>
    </row>
    <row r="1443" spans="1:3" hidden="1" x14ac:dyDescent="0.3">
      <c r="A1443" t="s">
        <v>198</v>
      </c>
      <c r="B1443" s="3">
        <v>45566</v>
      </c>
      <c r="C1443" s="11" t="s">
        <v>812</v>
      </c>
    </row>
    <row r="1444" spans="1:3" hidden="1" x14ac:dyDescent="0.3">
      <c r="A1444" t="s">
        <v>198</v>
      </c>
      <c r="B1444" s="3">
        <v>45597</v>
      </c>
      <c r="C1444" s="11"/>
    </row>
    <row r="1445" spans="1:3" hidden="1" x14ac:dyDescent="0.3">
      <c r="A1445" t="s">
        <v>198</v>
      </c>
      <c r="B1445" s="3">
        <v>45627</v>
      </c>
      <c r="C1445" s="11"/>
    </row>
    <row r="1446" spans="1:3" hidden="1" x14ac:dyDescent="0.3">
      <c r="A1446" t="s">
        <v>198</v>
      </c>
      <c r="B1446" s="3">
        <v>45658</v>
      </c>
      <c r="C1446" s="11"/>
    </row>
    <row r="1447" spans="1:3" hidden="1" x14ac:dyDescent="0.3">
      <c r="A1447" t="s">
        <v>198</v>
      </c>
      <c r="B1447" s="3">
        <v>45689</v>
      </c>
      <c r="C1447" s="11" t="s">
        <v>669</v>
      </c>
    </row>
    <row r="1448" spans="1:3" hidden="1" x14ac:dyDescent="0.3">
      <c r="A1448" t="s">
        <v>198</v>
      </c>
      <c r="B1448" s="3">
        <v>45717</v>
      </c>
      <c r="C1448" s="11" t="s">
        <v>800</v>
      </c>
    </row>
    <row r="1449" spans="1:3" hidden="1" x14ac:dyDescent="0.3">
      <c r="A1449" t="s">
        <v>198</v>
      </c>
      <c r="B1449" s="3">
        <v>45748</v>
      </c>
      <c r="C1449" s="11"/>
    </row>
    <row r="1450" spans="1:3" ht="43.2" hidden="1" customHeight="1" x14ac:dyDescent="0.3">
      <c r="A1450" t="s">
        <v>198</v>
      </c>
      <c r="B1450" s="3">
        <v>45778</v>
      </c>
      <c r="C1450" s="11" t="s">
        <v>813</v>
      </c>
    </row>
    <row r="1451" spans="1:3" ht="43.2" hidden="1" customHeight="1" x14ac:dyDescent="0.3">
      <c r="A1451" t="s">
        <v>198</v>
      </c>
      <c r="B1451" s="3">
        <v>45809</v>
      </c>
      <c r="C1451" s="11" t="s">
        <v>814</v>
      </c>
    </row>
    <row r="1452" spans="1:3" ht="43.2" hidden="1" customHeight="1" x14ac:dyDescent="0.3">
      <c r="A1452" t="s">
        <v>198</v>
      </c>
      <c r="B1452" s="3">
        <v>45839</v>
      </c>
      <c r="C1452" s="11" t="s">
        <v>815</v>
      </c>
    </row>
    <row r="1453" spans="1:3" ht="43.2" hidden="1" customHeight="1" x14ac:dyDescent="0.3">
      <c r="A1453" t="s">
        <v>198</v>
      </c>
      <c r="B1453" s="3">
        <v>45870</v>
      </c>
      <c r="C1453" s="11" t="s">
        <v>816</v>
      </c>
    </row>
    <row r="1454" spans="1:3" ht="57.6" hidden="1" customHeight="1" x14ac:dyDescent="0.3">
      <c r="A1454" t="s">
        <v>198</v>
      </c>
      <c r="B1454" s="3">
        <v>45901</v>
      </c>
      <c r="C1454" s="11" t="s">
        <v>817</v>
      </c>
    </row>
    <row r="1455" spans="1:3" ht="57.6" hidden="1" customHeight="1" x14ac:dyDescent="0.3">
      <c r="A1455" t="s">
        <v>198</v>
      </c>
      <c r="B1455" s="3">
        <v>45931</v>
      </c>
      <c r="C1455" s="11" t="s">
        <v>818</v>
      </c>
    </row>
    <row r="1456" spans="1:3" ht="57.6" hidden="1" customHeight="1" x14ac:dyDescent="0.3">
      <c r="A1456" t="s">
        <v>198</v>
      </c>
      <c r="B1456" s="3">
        <v>45962</v>
      </c>
      <c r="C1456" s="11" t="s">
        <v>819</v>
      </c>
    </row>
    <row r="1457" spans="1:3" hidden="1" x14ac:dyDescent="0.3">
      <c r="A1457" t="s">
        <v>198</v>
      </c>
      <c r="B1457" s="3">
        <v>45992</v>
      </c>
      <c r="C1457" s="11" t="s">
        <v>332</v>
      </c>
    </row>
    <row r="1458" spans="1:3" hidden="1" x14ac:dyDescent="0.3">
      <c r="A1458" t="s">
        <v>198</v>
      </c>
      <c r="B1458" s="3">
        <v>46023</v>
      </c>
      <c r="C1458" s="11" t="s">
        <v>332</v>
      </c>
    </row>
    <row r="1459" spans="1:3" hidden="1" x14ac:dyDescent="0.3">
      <c r="A1459" t="s">
        <v>198</v>
      </c>
      <c r="B1459" s="3">
        <v>46054</v>
      </c>
      <c r="C1459" s="11" t="s">
        <v>332</v>
      </c>
    </row>
    <row r="1460" spans="1:3" hidden="1" x14ac:dyDescent="0.3">
      <c r="A1460" t="s">
        <v>198</v>
      </c>
      <c r="B1460" s="3">
        <v>46082</v>
      </c>
      <c r="C1460" s="11" t="s">
        <v>332</v>
      </c>
    </row>
    <row r="1461" spans="1:3" hidden="1" x14ac:dyDescent="0.3">
      <c r="A1461" t="s">
        <v>198</v>
      </c>
      <c r="B1461" s="3">
        <v>46113</v>
      </c>
      <c r="C1461" s="11" t="s">
        <v>332</v>
      </c>
    </row>
    <row r="1462" spans="1:3" x14ac:dyDescent="0.3">
      <c r="A1462" t="s">
        <v>198</v>
      </c>
      <c r="B1462" s="3">
        <v>46143</v>
      </c>
      <c r="C1462" s="11" t="s">
        <v>975</v>
      </c>
    </row>
    <row r="1463" spans="1:3" hidden="1" x14ac:dyDescent="0.3">
      <c r="A1463" t="s">
        <v>198</v>
      </c>
      <c r="B1463" s="3">
        <v>46174</v>
      </c>
      <c r="C1463" s="11"/>
    </row>
    <row r="1464" spans="1:3" hidden="1" x14ac:dyDescent="0.3">
      <c r="A1464" t="s">
        <v>198</v>
      </c>
      <c r="B1464" s="3">
        <v>46204</v>
      </c>
      <c r="C1464" s="11"/>
    </row>
    <row r="1465" spans="1:3" hidden="1" x14ac:dyDescent="0.3">
      <c r="A1465" t="s">
        <v>198</v>
      </c>
      <c r="B1465" s="3">
        <v>46235</v>
      </c>
      <c r="C1465" s="11"/>
    </row>
    <row r="1466" spans="1:3" hidden="1" x14ac:dyDescent="0.3">
      <c r="A1466" t="s">
        <v>200</v>
      </c>
      <c r="B1466" s="3">
        <v>45536</v>
      </c>
      <c r="C1466" s="11"/>
    </row>
    <row r="1467" spans="1:3" hidden="1" x14ac:dyDescent="0.3">
      <c r="A1467" t="s">
        <v>200</v>
      </c>
      <c r="B1467" s="3">
        <v>45566</v>
      </c>
      <c r="C1467" s="11" t="s">
        <v>820</v>
      </c>
    </row>
    <row r="1468" spans="1:3" hidden="1" x14ac:dyDescent="0.3">
      <c r="A1468" t="s">
        <v>200</v>
      </c>
      <c r="B1468" s="3">
        <v>45597</v>
      </c>
      <c r="C1468" s="11"/>
    </row>
    <row r="1469" spans="1:3" hidden="1" x14ac:dyDescent="0.3">
      <c r="A1469" t="s">
        <v>200</v>
      </c>
      <c r="B1469" s="3">
        <v>45627</v>
      </c>
      <c r="C1469" s="11"/>
    </row>
    <row r="1470" spans="1:3" hidden="1" x14ac:dyDescent="0.3">
      <c r="A1470" t="s">
        <v>200</v>
      </c>
      <c r="B1470" s="3">
        <v>45658</v>
      </c>
      <c r="C1470" s="11"/>
    </row>
    <row r="1471" spans="1:3" hidden="1" x14ac:dyDescent="0.3">
      <c r="A1471" t="s">
        <v>200</v>
      </c>
      <c r="B1471" s="3">
        <v>45689</v>
      </c>
      <c r="C1471" s="11" t="s">
        <v>820</v>
      </c>
    </row>
    <row r="1472" spans="1:3" hidden="1" x14ac:dyDescent="0.3">
      <c r="A1472" t="s">
        <v>200</v>
      </c>
      <c r="B1472" s="3">
        <v>45717</v>
      </c>
      <c r="C1472" s="11" t="s">
        <v>821</v>
      </c>
    </row>
    <row r="1473" spans="1:3" hidden="1" x14ac:dyDescent="0.3">
      <c r="A1473" t="s">
        <v>200</v>
      </c>
      <c r="B1473" s="3">
        <v>45748</v>
      </c>
      <c r="C1473" s="11" t="s">
        <v>821</v>
      </c>
    </row>
    <row r="1474" spans="1:3" ht="57.6" hidden="1" customHeight="1" x14ac:dyDescent="0.3">
      <c r="A1474" t="s">
        <v>200</v>
      </c>
      <c r="B1474" s="3">
        <v>45778</v>
      </c>
      <c r="C1474" s="11" t="s">
        <v>822</v>
      </c>
    </row>
    <row r="1475" spans="1:3" ht="57.6" hidden="1" customHeight="1" x14ac:dyDescent="0.3">
      <c r="A1475" t="s">
        <v>200</v>
      </c>
      <c r="B1475" s="3">
        <v>45809</v>
      </c>
      <c r="C1475" s="11" t="s">
        <v>823</v>
      </c>
    </row>
    <row r="1476" spans="1:3" ht="43.2" hidden="1" customHeight="1" x14ac:dyDescent="0.3">
      <c r="A1476" t="s">
        <v>200</v>
      </c>
      <c r="B1476" s="3">
        <v>45839</v>
      </c>
      <c r="C1476" s="11" t="s">
        <v>824</v>
      </c>
    </row>
    <row r="1477" spans="1:3" ht="43.2" hidden="1" customHeight="1" x14ac:dyDescent="0.3">
      <c r="A1477" t="s">
        <v>200</v>
      </c>
      <c r="B1477" s="3">
        <v>45870</v>
      </c>
      <c r="C1477" s="11" t="s">
        <v>825</v>
      </c>
    </row>
    <row r="1478" spans="1:3" ht="57.6" hidden="1" customHeight="1" x14ac:dyDescent="0.3">
      <c r="A1478" t="s">
        <v>200</v>
      </c>
      <c r="B1478" s="3">
        <v>45901</v>
      </c>
      <c r="C1478" s="11" t="s">
        <v>826</v>
      </c>
    </row>
    <row r="1479" spans="1:3" ht="57.6" hidden="1" customHeight="1" x14ac:dyDescent="0.3">
      <c r="A1479" t="s">
        <v>200</v>
      </c>
      <c r="B1479" s="3">
        <v>45931</v>
      </c>
      <c r="C1479" s="11" t="s">
        <v>827</v>
      </c>
    </row>
    <row r="1480" spans="1:3" ht="57.6" hidden="1" customHeight="1" x14ac:dyDescent="0.3">
      <c r="A1480" t="s">
        <v>200</v>
      </c>
      <c r="B1480" s="3">
        <v>45962</v>
      </c>
      <c r="C1480" s="11" t="s">
        <v>828</v>
      </c>
    </row>
    <row r="1481" spans="1:3" hidden="1" x14ac:dyDescent="0.3">
      <c r="A1481" t="s">
        <v>200</v>
      </c>
      <c r="B1481" s="3">
        <v>45992</v>
      </c>
      <c r="C1481" s="11" t="s">
        <v>680</v>
      </c>
    </row>
    <row r="1482" spans="1:3" hidden="1" x14ac:dyDescent="0.3">
      <c r="A1482" t="s">
        <v>200</v>
      </c>
      <c r="B1482" s="3">
        <v>46023</v>
      </c>
      <c r="C1482" s="11" t="s">
        <v>356</v>
      </c>
    </row>
    <row r="1483" spans="1:3" hidden="1" x14ac:dyDescent="0.3">
      <c r="A1483" t="s">
        <v>200</v>
      </c>
      <c r="B1483" s="3">
        <v>46054</v>
      </c>
      <c r="C1483" s="11" t="s">
        <v>344</v>
      </c>
    </row>
    <row r="1484" spans="1:3" hidden="1" x14ac:dyDescent="0.3">
      <c r="A1484" t="s">
        <v>200</v>
      </c>
      <c r="B1484" s="3">
        <v>46082</v>
      </c>
      <c r="C1484" s="11" t="s">
        <v>344</v>
      </c>
    </row>
    <row r="1485" spans="1:3" hidden="1" x14ac:dyDescent="0.3">
      <c r="A1485" t="s">
        <v>200</v>
      </c>
      <c r="B1485" s="3">
        <v>46113</v>
      </c>
      <c r="C1485" s="11" t="s">
        <v>320</v>
      </c>
    </row>
    <row r="1486" spans="1:3" x14ac:dyDescent="0.3">
      <c r="A1486" t="s">
        <v>200</v>
      </c>
      <c r="B1486" s="3">
        <v>46143</v>
      </c>
      <c r="C1486" s="11" t="s">
        <v>320</v>
      </c>
    </row>
    <row r="1487" spans="1:3" hidden="1" x14ac:dyDescent="0.3">
      <c r="A1487" t="s">
        <v>200</v>
      </c>
      <c r="B1487" s="3">
        <v>46174</v>
      </c>
      <c r="C1487" s="11"/>
    </row>
    <row r="1488" spans="1:3" hidden="1" x14ac:dyDescent="0.3">
      <c r="A1488" t="s">
        <v>200</v>
      </c>
      <c r="B1488" s="3">
        <v>46204</v>
      </c>
      <c r="C1488" s="11"/>
    </row>
    <row r="1489" spans="1:3" hidden="1" x14ac:dyDescent="0.3">
      <c r="A1489" t="s">
        <v>200</v>
      </c>
      <c r="B1489" s="3">
        <v>46235</v>
      </c>
      <c r="C1489" s="11"/>
    </row>
    <row r="1490" spans="1:3" hidden="1" x14ac:dyDescent="0.3">
      <c r="A1490" t="s">
        <v>239</v>
      </c>
      <c r="B1490" s="3">
        <v>45536</v>
      </c>
      <c r="C1490" s="11"/>
    </row>
    <row r="1491" spans="1:3" hidden="1" x14ac:dyDescent="0.3">
      <c r="A1491" t="s">
        <v>239</v>
      </c>
      <c r="B1491" s="3">
        <v>45566</v>
      </c>
      <c r="C1491" s="11"/>
    </row>
    <row r="1492" spans="1:3" hidden="1" x14ac:dyDescent="0.3">
      <c r="A1492" t="s">
        <v>239</v>
      </c>
      <c r="B1492" s="3">
        <v>45597</v>
      </c>
      <c r="C1492" s="11"/>
    </row>
    <row r="1493" spans="1:3" hidden="1" x14ac:dyDescent="0.3">
      <c r="A1493" t="s">
        <v>239</v>
      </c>
      <c r="B1493" s="3">
        <v>45627</v>
      </c>
      <c r="C1493" s="11"/>
    </row>
    <row r="1494" spans="1:3" hidden="1" x14ac:dyDescent="0.3">
      <c r="A1494" t="s">
        <v>239</v>
      </c>
      <c r="B1494" s="3">
        <v>45658</v>
      </c>
      <c r="C1494" s="11"/>
    </row>
    <row r="1495" spans="1:3" hidden="1" x14ac:dyDescent="0.3">
      <c r="A1495" t="s">
        <v>239</v>
      </c>
      <c r="B1495" s="3">
        <v>45689</v>
      </c>
      <c r="C1495" s="11"/>
    </row>
    <row r="1496" spans="1:3" hidden="1" x14ac:dyDescent="0.3">
      <c r="A1496" t="s">
        <v>239</v>
      </c>
      <c r="B1496" s="3">
        <v>45717</v>
      </c>
      <c r="C1496" s="11"/>
    </row>
    <row r="1497" spans="1:3" hidden="1" x14ac:dyDescent="0.3">
      <c r="A1497" t="s">
        <v>239</v>
      </c>
      <c r="B1497" s="3">
        <v>45748</v>
      </c>
      <c r="C1497" s="11"/>
    </row>
    <row r="1498" spans="1:3" hidden="1" x14ac:dyDescent="0.3">
      <c r="A1498" t="s">
        <v>239</v>
      </c>
      <c r="B1498" s="3">
        <v>45778</v>
      </c>
      <c r="C1498" s="11"/>
    </row>
    <row r="1499" spans="1:3" hidden="1" x14ac:dyDescent="0.3">
      <c r="A1499" t="s">
        <v>239</v>
      </c>
      <c r="B1499" s="3">
        <v>45809</v>
      </c>
      <c r="C1499" s="11"/>
    </row>
    <row r="1500" spans="1:3" hidden="1" x14ac:dyDescent="0.3">
      <c r="A1500" t="s">
        <v>239</v>
      </c>
      <c r="B1500" s="3">
        <v>45839</v>
      </c>
      <c r="C1500" s="11"/>
    </row>
    <row r="1501" spans="1:3" hidden="1" x14ac:dyDescent="0.3">
      <c r="A1501" t="s">
        <v>239</v>
      </c>
      <c r="B1501" s="3">
        <v>45870</v>
      </c>
      <c r="C1501" s="11"/>
    </row>
    <row r="1502" spans="1:3" hidden="1" x14ac:dyDescent="0.3">
      <c r="A1502" t="s">
        <v>239</v>
      </c>
      <c r="B1502" s="3">
        <v>45901</v>
      </c>
      <c r="C1502" s="11"/>
    </row>
    <row r="1503" spans="1:3" hidden="1" x14ac:dyDescent="0.3">
      <c r="A1503" t="s">
        <v>239</v>
      </c>
      <c r="B1503" s="3">
        <v>45931</v>
      </c>
      <c r="C1503" s="11"/>
    </row>
    <row r="1504" spans="1:3" hidden="1" x14ac:dyDescent="0.3">
      <c r="A1504" t="s">
        <v>239</v>
      </c>
      <c r="B1504" s="3">
        <v>45962</v>
      </c>
      <c r="C1504" s="11"/>
    </row>
    <row r="1505" spans="1:3" hidden="1" x14ac:dyDescent="0.3">
      <c r="A1505" t="s">
        <v>239</v>
      </c>
      <c r="B1505" s="3">
        <v>45992</v>
      </c>
      <c r="C1505" s="11" t="s">
        <v>550</v>
      </c>
    </row>
    <row r="1506" spans="1:3" hidden="1" x14ac:dyDescent="0.3">
      <c r="A1506" t="s">
        <v>239</v>
      </c>
      <c r="B1506" s="3">
        <v>46023</v>
      </c>
      <c r="C1506" s="11" t="s">
        <v>356</v>
      </c>
    </row>
    <row r="1507" spans="1:3" hidden="1" x14ac:dyDescent="0.3">
      <c r="A1507" t="s">
        <v>239</v>
      </c>
      <c r="B1507" s="3">
        <v>46054</v>
      </c>
      <c r="C1507" s="11" t="s">
        <v>344</v>
      </c>
    </row>
    <row r="1508" spans="1:3" hidden="1" x14ac:dyDescent="0.3">
      <c r="A1508" t="s">
        <v>239</v>
      </c>
      <c r="B1508" s="3">
        <v>46082</v>
      </c>
      <c r="C1508" s="11" t="s">
        <v>344</v>
      </c>
    </row>
    <row r="1509" spans="1:3" hidden="1" x14ac:dyDescent="0.3">
      <c r="A1509" t="s">
        <v>239</v>
      </c>
      <c r="B1509" s="3">
        <v>46113</v>
      </c>
      <c r="C1509" s="11" t="s">
        <v>320</v>
      </c>
    </row>
    <row r="1510" spans="1:3" x14ac:dyDescent="0.3">
      <c r="A1510" t="s">
        <v>239</v>
      </c>
      <c r="B1510" s="3">
        <v>46143</v>
      </c>
      <c r="C1510" s="11" t="s">
        <v>320</v>
      </c>
    </row>
    <row r="1511" spans="1:3" hidden="1" x14ac:dyDescent="0.3">
      <c r="A1511" t="s">
        <v>239</v>
      </c>
      <c r="B1511" s="3">
        <v>46174</v>
      </c>
      <c r="C1511" s="11"/>
    </row>
    <row r="1512" spans="1:3" hidden="1" x14ac:dyDescent="0.3">
      <c r="A1512" t="s">
        <v>239</v>
      </c>
      <c r="B1512" s="3">
        <v>46204</v>
      </c>
      <c r="C1512" s="11"/>
    </row>
    <row r="1513" spans="1:3" hidden="1" x14ac:dyDescent="0.3">
      <c r="A1513" t="s">
        <v>239</v>
      </c>
      <c r="B1513" s="3">
        <v>46235</v>
      </c>
      <c r="C1513" s="11"/>
    </row>
    <row r="1514" spans="1:3" hidden="1" x14ac:dyDescent="0.3">
      <c r="A1514" t="s">
        <v>220</v>
      </c>
      <c r="B1514" s="3">
        <v>45536</v>
      </c>
      <c r="C1514" s="11"/>
    </row>
    <row r="1515" spans="1:3" hidden="1" x14ac:dyDescent="0.3">
      <c r="A1515" t="s">
        <v>220</v>
      </c>
      <c r="B1515" s="3">
        <v>45566</v>
      </c>
      <c r="C1515" s="11"/>
    </row>
    <row r="1516" spans="1:3" hidden="1" x14ac:dyDescent="0.3">
      <c r="A1516" t="s">
        <v>220</v>
      </c>
      <c r="B1516" s="3">
        <v>45597</v>
      </c>
      <c r="C1516" s="11"/>
    </row>
    <row r="1517" spans="1:3" hidden="1" x14ac:dyDescent="0.3">
      <c r="A1517" t="s">
        <v>220</v>
      </c>
      <c r="B1517" s="3">
        <v>45627</v>
      </c>
      <c r="C1517" s="11"/>
    </row>
    <row r="1518" spans="1:3" hidden="1" x14ac:dyDescent="0.3">
      <c r="A1518" t="s">
        <v>220</v>
      </c>
      <c r="B1518" s="3">
        <v>45658</v>
      </c>
      <c r="C1518" s="11"/>
    </row>
    <row r="1519" spans="1:3" hidden="1" x14ac:dyDescent="0.3">
      <c r="A1519" t="s">
        <v>220</v>
      </c>
      <c r="B1519" s="3">
        <v>45689</v>
      </c>
      <c r="C1519" s="11"/>
    </row>
    <row r="1520" spans="1:3" hidden="1" x14ac:dyDescent="0.3">
      <c r="A1520" t="s">
        <v>220</v>
      </c>
      <c r="B1520" s="3">
        <v>45717</v>
      </c>
      <c r="C1520" s="11"/>
    </row>
    <row r="1521" spans="1:3" hidden="1" x14ac:dyDescent="0.3">
      <c r="A1521" t="s">
        <v>220</v>
      </c>
      <c r="B1521" s="3">
        <v>45748</v>
      </c>
      <c r="C1521" s="11"/>
    </row>
    <row r="1522" spans="1:3" hidden="1" x14ac:dyDescent="0.3">
      <c r="A1522" t="s">
        <v>220</v>
      </c>
      <c r="B1522" s="3">
        <v>45778</v>
      </c>
      <c r="C1522" s="11"/>
    </row>
    <row r="1523" spans="1:3" hidden="1" x14ac:dyDescent="0.3">
      <c r="A1523" t="s">
        <v>220</v>
      </c>
      <c r="B1523" s="3">
        <v>45809</v>
      </c>
      <c r="C1523" s="11"/>
    </row>
    <row r="1524" spans="1:3" ht="57.6" hidden="1" customHeight="1" x14ac:dyDescent="0.3">
      <c r="A1524" t="s">
        <v>220</v>
      </c>
      <c r="B1524" s="3">
        <v>45839</v>
      </c>
      <c r="C1524" s="11" t="s">
        <v>829</v>
      </c>
    </row>
    <row r="1525" spans="1:3" ht="43.2" hidden="1" customHeight="1" x14ac:dyDescent="0.3">
      <c r="A1525" t="s">
        <v>220</v>
      </c>
      <c r="B1525" s="3">
        <v>45870</v>
      </c>
      <c r="C1525" s="11" t="s">
        <v>830</v>
      </c>
    </row>
    <row r="1526" spans="1:3" ht="43.2" hidden="1" customHeight="1" x14ac:dyDescent="0.3">
      <c r="A1526" t="s">
        <v>220</v>
      </c>
      <c r="B1526" s="3">
        <v>45901</v>
      </c>
      <c r="C1526" s="11" t="s">
        <v>831</v>
      </c>
    </row>
    <row r="1527" spans="1:3" ht="43.2" hidden="1" customHeight="1" x14ac:dyDescent="0.3">
      <c r="A1527" t="s">
        <v>220</v>
      </c>
      <c r="B1527" s="3">
        <v>45931</v>
      </c>
      <c r="C1527" s="11" t="s">
        <v>832</v>
      </c>
    </row>
    <row r="1528" spans="1:3" ht="43.2" hidden="1" customHeight="1" x14ac:dyDescent="0.3">
      <c r="A1528" t="s">
        <v>220</v>
      </c>
      <c r="B1528" s="3">
        <v>45962</v>
      </c>
      <c r="C1528" s="11" t="s">
        <v>833</v>
      </c>
    </row>
    <row r="1529" spans="1:3" hidden="1" x14ac:dyDescent="0.3">
      <c r="A1529" t="s">
        <v>220</v>
      </c>
      <c r="B1529" s="3">
        <v>45992</v>
      </c>
      <c r="C1529" s="11" t="s">
        <v>834</v>
      </c>
    </row>
    <row r="1530" spans="1:3" hidden="1" x14ac:dyDescent="0.3">
      <c r="A1530" t="s">
        <v>220</v>
      </c>
      <c r="B1530" s="3">
        <v>46023</v>
      </c>
      <c r="C1530" s="11" t="s">
        <v>356</v>
      </c>
    </row>
    <row r="1531" spans="1:3" hidden="1" x14ac:dyDescent="0.3">
      <c r="A1531" t="s">
        <v>220</v>
      </c>
      <c r="B1531" s="3">
        <v>46054</v>
      </c>
      <c r="C1531" s="11" t="s">
        <v>344</v>
      </c>
    </row>
    <row r="1532" spans="1:3" hidden="1" x14ac:dyDescent="0.3">
      <c r="A1532" t="s">
        <v>220</v>
      </c>
      <c r="B1532" s="3">
        <v>46082</v>
      </c>
      <c r="C1532" s="11" t="s">
        <v>344</v>
      </c>
    </row>
    <row r="1533" spans="1:3" hidden="1" x14ac:dyDescent="0.3">
      <c r="A1533" t="s">
        <v>220</v>
      </c>
      <c r="B1533" s="3">
        <v>46113</v>
      </c>
      <c r="C1533" s="11" t="s">
        <v>320</v>
      </c>
    </row>
    <row r="1534" spans="1:3" x14ac:dyDescent="0.3">
      <c r="A1534" t="s">
        <v>220</v>
      </c>
      <c r="B1534" s="3">
        <v>46143</v>
      </c>
      <c r="C1534" s="11" t="s">
        <v>320</v>
      </c>
    </row>
    <row r="1535" spans="1:3" hidden="1" x14ac:dyDescent="0.3">
      <c r="A1535" t="s">
        <v>220</v>
      </c>
      <c r="B1535" s="3">
        <v>46174</v>
      </c>
      <c r="C1535" s="11"/>
    </row>
    <row r="1536" spans="1:3" hidden="1" x14ac:dyDescent="0.3">
      <c r="A1536" t="s">
        <v>220</v>
      </c>
      <c r="B1536" s="3">
        <v>46204</v>
      </c>
      <c r="C1536" s="11"/>
    </row>
    <row r="1537" spans="1:3" hidden="1" x14ac:dyDescent="0.3">
      <c r="A1537" t="s">
        <v>220</v>
      </c>
      <c r="B1537" s="3">
        <v>46235</v>
      </c>
      <c r="C1537" s="11"/>
    </row>
    <row r="1538" spans="1:3" hidden="1" x14ac:dyDescent="0.3">
      <c r="A1538" t="s">
        <v>202</v>
      </c>
      <c r="B1538" s="3">
        <v>45536</v>
      </c>
      <c r="C1538" s="11" t="s">
        <v>835</v>
      </c>
    </row>
    <row r="1539" spans="1:3" hidden="1" x14ac:dyDescent="0.3">
      <c r="A1539" t="s">
        <v>202</v>
      </c>
      <c r="B1539" s="3">
        <v>45566</v>
      </c>
      <c r="C1539" s="11"/>
    </row>
    <row r="1540" spans="1:3" hidden="1" x14ac:dyDescent="0.3">
      <c r="A1540" t="s">
        <v>202</v>
      </c>
      <c r="B1540" s="3">
        <v>45597</v>
      </c>
      <c r="C1540" s="11"/>
    </row>
    <row r="1541" spans="1:3" hidden="1" x14ac:dyDescent="0.3">
      <c r="A1541" t="s">
        <v>202</v>
      </c>
      <c r="B1541" s="3">
        <v>45627</v>
      </c>
      <c r="C1541" s="11"/>
    </row>
    <row r="1542" spans="1:3" hidden="1" x14ac:dyDescent="0.3">
      <c r="A1542" t="s">
        <v>202</v>
      </c>
      <c r="B1542" s="3">
        <v>45658</v>
      </c>
      <c r="C1542" s="11"/>
    </row>
    <row r="1543" spans="1:3" hidden="1" x14ac:dyDescent="0.3">
      <c r="A1543" t="s">
        <v>202</v>
      </c>
      <c r="B1543" s="3">
        <v>45689</v>
      </c>
      <c r="C1543" s="11" t="s">
        <v>836</v>
      </c>
    </row>
    <row r="1544" spans="1:3" hidden="1" x14ac:dyDescent="0.3">
      <c r="A1544" t="s">
        <v>202</v>
      </c>
      <c r="B1544" s="3">
        <v>45717</v>
      </c>
      <c r="C1544" s="11" t="s">
        <v>837</v>
      </c>
    </row>
    <row r="1545" spans="1:3" hidden="1" x14ac:dyDescent="0.3">
      <c r="A1545" t="s">
        <v>202</v>
      </c>
      <c r="B1545" s="3">
        <v>45748</v>
      </c>
      <c r="C1545" s="11" t="s">
        <v>837</v>
      </c>
    </row>
    <row r="1546" spans="1:3" ht="72" hidden="1" customHeight="1" x14ac:dyDescent="0.3">
      <c r="A1546" t="s">
        <v>202</v>
      </c>
      <c r="B1546" s="3">
        <v>45778</v>
      </c>
      <c r="C1546" s="11" t="s">
        <v>838</v>
      </c>
    </row>
    <row r="1547" spans="1:3" ht="72" hidden="1" customHeight="1" x14ac:dyDescent="0.3">
      <c r="A1547" t="s">
        <v>202</v>
      </c>
      <c r="B1547" s="3">
        <v>45809</v>
      </c>
      <c r="C1547" s="11" t="s">
        <v>839</v>
      </c>
    </row>
    <row r="1548" spans="1:3" ht="72" hidden="1" customHeight="1" x14ac:dyDescent="0.3">
      <c r="A1548" t="s">
        <v>202</v>
      </c>
      <c r="B1548" s="3">
        <v>45839</v>
      </c>
      <c r="C1548" s="11" t="s">
        <v>840</v>
      </c>
    </row>
    <row r="1549" spans="1:3" ht="72" hidden="1" customHeight="1" x14ac:dyDescent="0.3">
      <c r="A1549" t="s">
        <v>202</v>
      </c>
      <c r="B1549" s="3">
        <v>45870</v>
      </c>
      <c r="C1549" s="11" t="s">
        <v>841</v>
      </c>
    </row>
    <row r="1550" spans="1:3" ht="72" hidden="1" customHeight="1" x14ac:dyDescent="0.3">
      <c r="A1550" t="s">
        <v>202</v>
      </c>
      <c r="B1550" s="3">
        <v>45901</v>
      </c>
      <c r="C1550" s="11" t="s">
        <v>842</v>
      </c>
    </row>
    <row r="1551" spans="1:3" ht="57.6" hidden="1" customHeight="1" x14ac:dyDescent="0.3">
      <c r="A1551" t="s">
        <v>202</v>
      </c>
      <c r="B1551" s="3">
        <v>45931</v>
      </c>
      <c r="C1551" s="11" t="s">
        <v>843</v>
      </c>
    </row>
    <row r="1552" spans="1:3" ht="72" hidden="1" customHeight="1" x14ac:dyDescent="0.3">
      <c r="A1552" t="s">
        <v>202</v>
      </c>
      <c r="B1552" s="3">
        <v>45962</v>
      </c>
      <c r="C1552" s="11" t="s">
        <v>844</v>
      </c>
    </row>
    <row r="1553" spans="1:3" hidden="1" x14ac:dyDescent="0.3">
      <c r="A1553" t="s">
        <v>202</v>
      </c>
      <c r="B1553" s="3">
        <v>45992</v>
      </c>
      <c r="C1553" s="11" t="s">
        <v>845</v>
      </c>
    </row>
    <row r="1554" spans="1:3" hidden="1" x14ac:dyDescent="0.3">
      <c r="A1554" t="s">
        <v>202</v>
      </c>
      <c r="B1554" s="3">
        <v>46023</v>
      </c>
      <c r="C1554" s="11" t="s">
        <v>845</v>
      </c>
    </row>
    <row r="1555" spans="1:3" hidden="1" x14ac:dyDescent="0.3">
      <c r="A1555" t="s">
        <v>202</v>
      </c>
      <c r="B1555" s="3">
        <v>46054</v>
      </c>
      <c r="C1555" s="11" t="s">
        <v>845</v>
      </c>
    </row>
    <row r="1556" spans="1:3" hidden="1" x14ac:dyDescent="0.3">
      <c r="A1556" t="s">
        <v>202</v>
      </c>
      <c r="B1556" s="3">
        <v>46082</v>
      </c>
      <c r="C1556" s="11" t="s">
        <v>846</v>
      </c>
    </row>
    <row r="1557" spans="1:3" hidden="1" x14ac:dyDescent="0.3">
      <c r="A1557" t="s">
        <v>202</v>
      </c>
      <c r="B1557" s="3">
        <v>46113</v>
      </c>
      <c r="C1557" s="11" t="s">
        <v>846</v>
      </c>
    </row>
    <row r="1558" spans="1:3" x14ac:dyDescent="0.3">
      <c r="A1558" t="s">
        <v>202</v>
      </c>
      <c r="B1558" s="3">
        <v>46143</v>
      </c>
      <c r="C1558" s="11" t="s">
        <v>975</v>
      </c>
    </row>
    <row r="1559" spans="1:3" hidden="1" x14ac:dyDescent="0.3">
      <c r="A1559" t="s">
        <v>202</v>
      </c>
      <c r="B1559" s="3">
        <v>46174</v>
      </c>
      <c r="C1559" s="11"/>
    </row>
    <row r="1560" spans="1:3" hidden="1" x14ac:dyDescent="0.3">
      <c r="A1560" t="s">
        <v>202</v>
      </c>
      <c r="B1560" s="3">
        <v>46204</v>
      </c>
      <c r="C1560" s="11"/>
    </row>
    <row r="1561" spans="1:3" hidden="1" x14ac:dyDescent="0.3">
      <c r="A1561" t="s">
        <v>202</v>
      </c>
      <c r="B1561" s="3">
        <v>46235</v>
      </c>
      <c r="C1561" s="11"/>
    </row>
    <row r="1562" spans="1:3" hidden="1" x14ac:dyDescent="0.3">
      <c r="A1562" t="s">
        <v>211</v>
      </c>
      <c r="B1562" s="3">
        <v>45536</v>
      </c>
      <c r="C1562" s="11"/>
    </row>
    <row r="1563" spans="1:3" hidden="1" x14ac:dyDescent="0.3">
      <c r="A1563" t="s">
        <v>211</v>
      </c>
      <c r="B1563" s="3">
        <v>45566</v>
      </c>
      <c r="C1563" s="11"/>
    </row>
    <row r="1564" spans="1:3" hidden="1" x14ac:dyDescent="0.3">
      <c r="A1564" t="s">
        <v>211</v>
      </c>
      <c r="B1564" s="3">
        <v>45597</v>
      </c>
      <c r="C1564" s="11"/>
    </row>
    <row r="1565" spans="1:3" hidden="1" x14ac:dyDescent="0.3">
      <c r="A1565" t="s">
        <v>211</v>
      </c>
      <c r="B1565" s="3">
        <v>45627</v>
      </c>
      <c r="C1565" s="11"/>
    </row>
    <row r="1566" spans="1:3" hidden="1" x14ac:dyDescent="0.3">
      <c r="A1566" t="s">
        <v>211</v>
      </c>
      <c r="B1566" s="3">
        <v>45658</v>
      </c>
      <c r="C1566" s="11"/>
    </row>
    <row r="1567" spans="1:3" ht="28.95" hidden="1" customHeight="1" x14ac:dyDescent="0.3">
      <c r="A1567" t="s">
        <v>211</v>
      </c>
      <c r="B1567" s="3">
        <v>45689</v>
      </c>
      <c r="C1567" s="11" t="s">
        <v>847</v>
      </c>
    </row>
    <row r="1568" spans="1:3" hidden="1" x14ac:dyDescent="0.3">
      <c r="A1568" t="s">
        <v>211</v>
      </c>
      <c r="B1568" s="3">
        <v>45717</v>
      </c>
      <c r="C1568" s="11" t="s">
        <v>800</v>
      </c>
    </row>
    <row r="1569" spans="1:3" hidden="1" x14ac:dyDescent="0.3">
      <c r="A1569" t="s">
        <v>211</v>
      </c>
      <c r="B1569" s="3">
        <v>45748</v>
      </c>
      <c r="C1569" s="11" t="s">
        <v>848</v>
      </c>
    </row>
    <row r="1570" spans="1:3" ht="57.6" hidden="1" customHeight="1" x14ac:dyDescent="0.3">
      <c r="A1570" t="s">
        <v>211</v>
      </c>
      <c r="B1570" s="3">
        <v>45778</v>
      </c>
      <c r="C1570" s="11" t="s">
        <v>849</v>
      </c>
    </row>
    <row r="1571" spans="1:3" ht="57.6" hidden="1" customHeight="1" x14ac:dyDescent="0.3">
      <c r="A1571" t="s">
        <v>211</v>
      </c>
      <c r="B1571" s="3">
        <v>45809</v>
      </c>
      <c r="C1571" s="11" t="s">
        <v>850</v>
      </c>
    </row>
    <row r="1572" spans="1:3" ht="57.6" hidden="1" customHeight="1" x14ac:dyDescent="0.3">
      <c r="A1572" t="s">
        <v>211</v>
      </c>
      <c r="B1572" s="3">
        <v>45839</v>
      </c>
      <c r="C1572" s="11" t="s">
        <v>851</v>
      </c>
    </row>
    <row r="1573" spans="1:3" ht="57.6" hidden="1" customHeight="1" x14ac:dyDescent="0.3">
      <c r="A1573" t="s">
        <v>211</v>
      </c>
      <c r="B1573" s="3">
        <v>45870</v>
      </c>
      <c r="C1573" s="11" t="s">
        <v>852</v>
      </c>
    </row>
    <row r="1574" spans="1:3" ht="57.6" hidden="1" customHeight="1" x14ac:dyDescent="0.3">
      <c r="A1574" t="s">
        <v>211</v>
      </c>
      <c r="B1574" s="3">
        <v>45901</v>
      </c>
      <c r="C1574" s="11" t="s">
        <v>853</v>
      </c>
    </row>
    <row r="1575" spans="1:3" ht="57.6" hidden="1" customHeight="1" x14ac:dyDescent="0.3">
      <c r="A1575" t="s">
        <v>211</v>
      </c>
      <c r="B1575" s="3">
        <v>45931</v>
      </c>
      <c r="C1575" s="11" t="s">
        <v>854</v>
      </c>
    </row>
    <row r="1576" spans="1:3" ht="57.6" hidden="1" customHeight="1" x14ac:dyDescent="0.3">
      <c r="A1576" t="s">
        <v>211</v>
      </c>
      <c r="B1576" s="3">
        <v>45962</v>
      </c>
      <c r="C1576" s="11" t="s">
        <v>855</v>
      </c>
    </row>
    <row r="1577" spans="1:3" hidden="1" x14ac:dyDescent="0.3">
      <c r="A1577" t="s">
        <v>211</v>
      </c>
      <c r="B1577" s="3">
        <v>45992</v>
      </c>
      <c r="C1577" s="11" t="s">
        <v>680</v>
      </c>
    </row>
    <row r="1578" spans="1:3" hidden="1" x14ac:dyDescent="0.3">
      <c r="A1578" t="s">
        <v>211</v>
      </c>
      <c r="B1578" s="3">
        <v>46023</v>
      </c>
      <c r="C1578" s="11" t="s">
        <v>356</v>
      </c>
    </row>
    <row r="1579" spans="1:3" hidden="1" x14ac:dyDescent="0.3">
      <c r="A1579" t="s">
        <v>211</v>
      </c>
      <c r="B1579" s="3">
        <v>46054</v>
      </c>
      <c r="C1579" s="11" t="s">
        <v>344</v>
      </c>
    </row>
    <row r="1580" spans="1:3" hidden="1" x14ac:dyDescent="0.3">
      <c r="A1580" t="s">
        <v>211</v>
      </c>
      <c r="B1580" s="3">
        <v>46082</v>
      </c>
      <c r="C1580" s="11" t="s">
        <v>856</v>
      </c>
    </row>
    <row r="1581" spans="1:3" hidden="1" x14ac:dyDescent="0.3">
      <c r="A1581" t="s">
        <v>211</v>
      </c>
      <c r="B1581" s="3">
        <v>46113</v>
      </c>
      <c r="C1581" s="11" t="s">
        <v>846</v>
      </c>
    </row>
    <row r="1582" spans="1:3" x14ac:dyDescent="0.3">
      <c r="A1582" t="s">
        <v>211</v>
      </c>
      <c r="B1582" s="3">
        <v>46143</v>
      </c>
      <c r="C1582" s="11" t="s">
        <v>975</v>
      </c>
    </row>
    <row r="1583" spans="1:3" hidden="1" x14ac:dyDescent="0.3">
      <c r="A1583" t="s">
        <v>211</v>
      </c>
      <c r="B1583" s="3">
        <v>46174</v>
      </c>
      <c r="C1583" s="11"/>
    </row>
    <row r="1584" spans="1:3" hidden="1" x14ac:dyDescent="0.3">
      <c r="A1584" t="s">
        <v>211</v>
      </c>
      <c r="B1584" s="3">
        <v>46204</v>
      </c>
      <c r="C1584" s="11"/>
    </row>
    <row r="1585" spans="1:3" hidden="1" x14ac:dyDescent="0.3">
      <c r="A1585" t="s">
        <v>211</v>
      </c>
      <c r="B1585" s="3">
        <v>46235</v>
      </c>
      <c r="C1585" s="11"/>
    </row>
    <row r="1586" spans="1:3" hidden="1" x14ac:dyDescent="0.3">
      <c r="A1586" t="s">
        <v>204</v>
      </c>
      <c r="B1586" s="3">
        <v>45536</v>
      </c>
      <c r="C1586" s="11"/>
    </row>
    <row r="1587" spans="1:3" hidden="1" x14ac:dyDescent="0.3">
      <c r="A1587" t="s">
        <v>204</v>
      </c>
      <c r="B1587" s="3">
        <v>45566</v>
      </c>
      <c r="C1587" s="11"/>
    </row>
    <row r="1588" spans="1:3" hidden="1" x14ac:dyDescent="0.3">
      <c r="A1588" t="s">
        <v>204</v>
      </c>
      <c r="B1588" s="3">
        <v>45597</v>
      </c>
      <c r="C1588" s="11"/>
    </row>
    <row r="1589" spans="1:3" hidden="1" x14ac:dyDescent="0.3">
      <c r="A1589" t="s">
        <v>204</v>
      </c>
      <c r="B1589" s="3">
        <v>45627</v>
      </c>
      <c r="C1589" s="11"/>
    </row>
    <row r="1590" spans="1:3" hidden="1" x14ac:dyDescent="0.3">
      <c r="A1590" t="s">
        <v>204</v>
      </c>
      <c r="B1590" s="3">
        <v>45658</v>
      </c>
      <c r="C1590" s="11"/>
    </row>
    <row r="1591" spans="1:3" hidden="1" x14ac:dyDescent="0.3">
      <c r="A1591" t="s">
        <v>204</v>
      </c>
      <c r="B1591" s="3">
        <v>45689</v>
      </c>
      <c r="C1591" s="11"/>
    </row>
    <row r="1592" spans="1:3" hidden="1" x14ac:dyDescent="0.3">
      <c r="A1592" t="s">
        <v>204</v>
      </c>
      <c r="B1592" s="3">
        <v>45717</v>
      </c>
      <c r="C1592" s="11"/>
    </row>
    <row r="1593" spans="1:3" hidden="1" x14ac:dyDescent="0.3">
      <c r="A1593" t="s">
        <v>204</v>
      </c>
      <c r="B1593" s="3">
        <v>45748</v>
      </c>
      <c r="C1593" s="11"/>
    </row>
    <row r="1594" spans="1:3" hidden="1" x14ac:dyDescent="0.3">
      <c r="A1594" t="s">
        <v>204</v>
      </c>
      <c r="B1594" s="3">
        <v>45778</v>
      </c>
      <c r="C1594" s="11"/>
    </row>
    <row r="1595" spans="1:3" hidden="1" x14ac:dyDescent="0.3">
      <c r="A1595" t="s">
        <v>204</v>
      </c>
      <c r="B1595" s="3">
        <v>45809</v>
      </c>
      <c r="C1595" s="11"/>
    </row>
    <row r="1596" spans="1:3" hidden="1" x14ac:dyDescent="0.3">
      <c r="A1596" t="s">
        <v>204</v>
      </c>
      <c r="B1596" s="3">
        <v>45839</v>
      </c>
      <c r="C1596" s="11"/>
    </row>
    <row r="1597" spans="1:3" hidden="1" x14ac:dyDescent="0.3">
      <c r="A1597" t="s">
        <v>204</v>
      </c>
      <c r="B1597" s="3">
        <v>45870</v>
      </c>
      <c r="C1597" s="11"/>
    </row>
    <row r="1598" spans="1:3" hidden="1" x14ac:dyDescent="0.3">
      <c r="A1598" t="s">
        <v>204</v>
      </c>
      <c r="B1598" s="3">
        <v>45901</v>
      </c>
      <c r="C1598" s="11"/>
    </row>
    <row r="1599" spans="1:3" hidden="1" x14ac:dyDescent="0.3">
      <c r="A1599" t="s">
        <v>204</v>
      </c>
      <c r="B1599" s="3">
        <v>45931</v>
      </c>
      <c r="C1599" s="11"/>
    </row>
    <row r="1600" spans="1:3" hidden="1" x14ac:dyDescent="0.3">
      <c r="A1600" t="s">
        <v>204</v>
      </c>
      <c r="B1600" s="3">
        <v>45962</v>
      </c>
      <c r="C1600" s="11"/>
    </row>
    <row r="1601" spans="1:3" hidden="1" x14ac:dyDescent="0.3">
      <c r="A1601" t="s">
        <v>204</v>
      </c>
      <c r="B1601" s="3">
        <v>45992</v>
      </c>
      <c r="C1601" s="11"/>
    </row>
    <row r="1602" spans="1:3" hidden="1" x14ac:dyDescent="0.3">
      <c r="A1602" t="s">
        <v>204</v>
      </c>
      <c r="B1602" s="3">
        <v>46023</v>
      </c>
      <c r="C1602" s="11"/>
    </row>
    <row r="1603" spans="1:3" hidden="1" x14ac:dyDescent="0.3">
      <c r="A1603" t="s">
        <v>204</v>
      </c>
      <c r="B1603" s="3">
        <v>46054</v>
      </c>
      <c r="C1603" s="11"/>
    </row>
    <row r="1604" spans="1:3" hidden="1" x14ac:dyDescent="0.3">
      <c r="A1604" t="s">
        <v>204</v>
      </c>
      <c r="B1604" s="3">
        <v>46082</v>
      </c>
      <c r="C1604" s="11"/>
    </row>
    <row r="1605" spans="1:3" hidden="1" x14ac:dyDescent="0.3">
      <c r="A1605" t="s">
        <v>204</v>
      </c>
      <c r="B1605" s="3">
        <v>46113</v>
      </c>
      <c r="C1605" s="11"/>
    </row>
    <row r="1606" spans="1:3" x14ac:dyDescent="0.3">
      <c r="A1606" t="s">
        <v>204</v>
      </c>
      <c r="B1606" s="3">
        <v>46143</v>
      </c>
      <c r="C1606" s="11" t="s">
        <v>969</v>
      </c>
    </row>
    <row r="1607" spans="1:3" hidden="1" x14ac:dyDescent="0.3">
      <c r="A1607" t="s">
        <v>204</v>
      </c>
      <c r="B1607" s="3">
        <v>46174</v>
      </c>
      <c r="C1607" s="11"/>
    </row>
    <row r="1608" spans="1:3" hidden="1" x14ac:dyDescent="0.3">
      <c r="A1608" t="s">
        <v>204</v>
      </c>
      <c r="B1608" s="3">
        <v>46204</v>
      </c>
      <c r="C1608" s="11"/>
    </row>
    <row r="1609" spans="1:3" hidden="1" x14ac:dyDescent="0.3">
      <c r="A1609" t="s">
        <v>204</v>
      </c>
      <c r="B1609" s="3">
        <v>46235</v>
      </c>
      <c r="C1609" s="11"/>
    </row>
    <row r="1610" spans="1:3" hidden="1" x14ac:dyDescent="0.3">
      <c r="A1610" t="s">
        <v>206</v>
      </c>
      <c r="B1610" s="3">
        <v>45536</v>
      </c>
      <c r="C1610" s="11"/>
    </row>
    <row r="1611" spans="1:3" hidden="1" x14ac:dyDescent="0.3">
      <c r="A1611" t="s">
        <v>206</v>
      </c>
      <c r="B1611" s="3">
        <v>45566</v>
      </c>
      <c r="C1611" s="11"/>
    </row>
    <row r="1612" spans="1:3" hidden="1" x14ac:dyDescent="0.3">
      <c r="A1612" t="s">
        <v>206</v>
      </c>
      <c r="B1612" s="3">
        <v>45597</v>
      </c>
      <c r="C1612" s="11"/>
    </row>
    <row r="1613" spans="1:3" hidden="1" x14ac:dyDescent="0.3">
      <c r="A1613" t="s">
        <v>206</v>
      </c>
      <c r="B1613" s="3">
        <v>45627</v>
      </c>
      <c r="C1613" s="11"/>
    </row>
    <row r="1614" spans="1:3" hidden="1" x14ac:dyDescent="0.3">
      <c r="A1614" t="s">
        <v>206</v>
      </c>
      <c r="B1614" s="3">
        <v>45658</v>
      </c>
      <c r="C1614" s="11"/>
    </row>
    <row r="1615" spans="1:3" hidden="1" x14ac:dyDescent="0.3">
      <c r="A1615" t="s">
        <v>206</v>
      </c>
      <c r="B1615" s="3">
        <v>45689</v>
      </c>
      <c r="C1615" s="11" t="s">
        <v>857</v>
      </c>
    </row>
    <row r="1616" spans="1:3" ht="57.6" hidden="1" customHeight="1" x14ac:dyDescent="0.3">
      <c r="A1616" t="s">
        <v>206</v>
      </c>
      <c r="B1616" s="3">
        <v>45717</v>
      </c>
      <c r="C1616" s="11" t="s">
        <v>858</v>
      </c>
    </row>
    <row r="1617" spans="1:3" ht="57.6" hidden="1" customHeight="1" x14ac:dyDescent="0.3">
      <c r="A1617" t="s">
        <v>206</v>
      </c>
      <c r="B1617" s="3">
        <v>45748</v>
      </c>
      <c r="C1617" s="11" t="s">
        <v>859</v>
      </c>
    </row>
    <row r="1618" spans="1:3" ht="72" hidden="1" customHeight="1" x14ac:dyDescent="0.3">
      <c r="A1618" t="s">
        <v>206</v>
      </c>
      <c r="B1618" s="3">
        <v>45778</v>
      </c>
      <c r="C1618" s="11" t="s">
        <v>860</v>
      </c>
    </row>
    <row r="1619" spans="1:3" ht="72" hidden="1" customHeight="1" x14ac:dyDescent="0.3">
      <c r="A1619" t="s">
        <v>206</v>
      </c>
      <c r="B1619" s="3">
        <v>45809</v>
      </c>
      <c r="C1619" s="11" t="s">
        <v>861</v>
      </c>
    </row>
    <row r="1620" spans="1:3" ht="72" hidden="1" customHeight="1" x14ac:dyDescent="0.3">
      <c r="A1620" t="s">
        <v>206</v>
      </c>
      <c r="B1620" s="3">
        <v>45839</v>
      </c>
      <c r="C1620" s="11" t="s">
        <v>862</v>
      </c>
    </row>
    <row r="1621" spans="1:3" ht="57.6" hidden="1" customHeight="1" x14ac:dyDescent="0.3">
      <c r="A1621" t="s">
        <v>206</v>
      </c>
      <c r="B1621" s="3">
        <v>45870</v>
      </c>
      <c r="C1621" s="11" t="s">
        <v>863</v>
      </c>
    </row>
    <row r="1622" spans="1:3" ht="57.6" hidden="1" customHeight="1" x14ac:dyDescent="0.3">
      <c r="A1622" t="s">
        <v>206</v>
      </c>
      <c r="B1622" s="3">
        <v>45901</v>
      </c>
      <c r="C1622" s="11" t="s">
        <v>864</v>
      </c>
    </row>
    <row r="1623" spans="1:3" ht="57.6" hidden="1" customHeight="1" x14ac:dyDescent="0.3">
      <c r="A1623" t="s">
        <v>206</v>
      </c>
      <c r="B1623" s="3">
        <v>45931</v>
      </c>
      <c r="C1623" s="11" t="s">
        <v>865</v>
      </c>
    </row>
    <row r="1624" spans="1:3" ht="57.6" hidden="1" customHeight="1" x14ac:dyDescent="0.3">
      <c r="A1624" t="s">
        <v>206</v>
      </c>
      <c r="B1624" s="3">
        <v>45962</v>
      </c>
      <c r="C1624" s="11" t="s">
        <v>866</v>
      </c>
    </row>
    <row r="1625" spans="1:3" hidden="1" x14ac:dyDescent="0.3">
      <c r="A1625" t="s">
        <v>206</v>
      </c>
      <c r="B1625" s="3">
        <v>45992</v>
      </c>
      <c r="C1625" s="11" t="s">
        <v>680</v>
      </c>
    </row>
    <row r="1626" spans="1:3" hidden="1" x14ac:dyDescent="0.3">
      <c r="A1626" t="s">
        <v>206</v>
      </c>
      <c r="B1626" s="3">
        <v>46023</v>
      </c>
      <c r="C1626" s="11" t="s">
        <v>356</v>
      </c>
    </row>
    <row r="1627" spans="1:3" hidden="1" x14ac:dyDescent="0.3">
      <c r="A1627" t="s">
        <v>206</v>
      </c>
      <c r="B1627" s="3">
        <v>46054</v>
      </c>
      <c r="C1627" s="11" t="s">
        <v>344</v>
      </c>
    </row>
    <row r="1628" spans="1:3" hidden="1" x14ac:dyDescent="0.3">
      <c r="A1628" t="s">
        <v>206</v>
      </c>
      <c r="B1628" s="3">
        <v>46082</v>
      </c>
      <c r="C1628" s="11" t="s">
        <v>856</v>
      </c>
    </row>
    <row r="1629" spans="1:3" hidden="1" x14ac:dyDescent="0.3">
      <c r="A1629" t="s">
        <v>206</v>
      </c>
      <c r="B1629" s="3">
        <v>46113</v>
      </c>
      <c r="C1629" s="11" t="s">
        <v>856</v>
      </c>
    </row>
    <row r="1630" spans="1:3" x14ac:dyDescent="0.3">
      <c r="A1630" t="s">
        <v>206</v>
      </c>
      <c r="B1630" s="3">
        <v>46143</v>
      </c>
      <c r="C1630" s="11" t="s">
        <v>958</v>
      </c>
    </row>
    <row r="1631" spans="1:3" hidden="1" x14ac:dyDescent="0.3">
      <c r="A1631" t="s">
        <v>206</v>
      </c>
      <c r="B1631" s="3">
        <v>46174</v>
      </c>
      <c r="C1631" s="11"/>
    </row>
    <row r="1632" spans="1:3" hidden="1" x14ac:dyDescent="0.3">
      <c r="A1632" t="s">
        <v>206</v>
      </c>
      <c r="B1632" s="3">
        <v>46204</v>
      </c>
      <c r="C1632" s="11"/>
    </row>
    <row r="1633" spans="1:3" hidden="1" x14ac:dyDescent="0.3">
      <c r="A1633" t="s">
        <v>206</v>
      </c>
      <c r="B1633" s="3">
        <v>46235</v>
      </c>
      <c r="C1633" s="11"/>
    </row>
    <row r="1634" spans="1:3" hidden="1" x14ac:dyDescent="0.3">
      <c r="A1634" t="s">
        <v>208</v>
      </c>
      <c r="B1634" s="3">
        <v>45536</v>
      </c>
      <c r="C1634" s="11"/>
    </row>
    <row r="1635" spans="1:3" hidden="1" x14ac:dyDescent="0.3">
      <c r="A1635" t="s">
        <v>208</v>
      </c>
      <c r="B1635" s="3">
        <v>45566</v>
      </c>
      <c r="C1635" s="11"/>
    </row>
    <row r="1636" spans="1:3" hidden="1" x14ac:dyDescent="0.3">
      <c r="A1636" t="s">
        <v>208</v>
      </c>
      <c r="B1636" s="3">
        <v>45597</v>
      </c>
      <c r="C1636" s="11"/>
    </row>
    <row r="1637" spans="1:3" hidden="1" x14ac:dyDescent="0.3">
      <c r="A1637" t="s">
        <v>208</v>
      </c>
      <c r="B1637" s="3">
        <v>45627</v>
      </c>
      <c r="C1637" s="11"/>
    </row>
    <row r="1638" spans="1:3" hidden="1" x14ac:dyDescent="0.3">
      <c r="A1638" t="s">
        <v>208</v>
      </c>
      <c r="B1638" s="3">
        <v>45658</v>
      </c>
      <c r="C1638" s="11"/>
    </row>
    <row r="1639" spans="1:3" hidden="1" x14ac:dyDescent="0.3">
      <c r="A1639" t="s">
        <v>208</v>
      </c>
      <c r="B1639" s="3">
        <v>45689</v>
      </c>
      <c r="C1639" s="11" t="s">
        <v>867</v>
      </c>
    </row>
    <row r="1640" spans="1:3" ht="57.6" hidden="1" customHeight="1" x14ac:dyDescent="0.3">
      <c r="A1640" t="s">
        <v>208</v>
      </c>
      <c r="B1640" s="3">
        <v>45717</v>
      </c>
      <c r="C1640" s="11" t="s">
        <v>868</v>
      </c>
    </row>
    <row r="1641" spans="1:3" ht="43.2" hidden="1" customHeight="1" x14ac:dyDescent="0.3">
      <c r="A1641" t="s">
        <v>208</v>
      </c>
      <c r="B1641" s="3">
        <v>45748</v>
      </c>
      <c r="C1641" s="11" t="s">
        <v>869</v>
      </c>
    </row>
    <row r="1642" spans="1:3" ht="57.6" hidden="1" customHeight="1" x14ac:dyDescent="0.3">
      <c r="A1642" t="s">
        <v>208</v>
      </c>
      <c r="B1642" s="3">
        <v>45778</v>
      </c>
      <c r="C1642" s="11" t="s">
        <v>870</v>
      </c>
    </row>
    <row r="1643" spans="1:3" ht="57.6" hidden="1" customHeight="1" x14ac:dyDescent="0.3">
      <c r="A1643" t="s">
        <v>208</v>
      </c>
      <c r="B1643" s="3">
        <v>45809</v>
      </c>
      <c r="C1643" s="11" t="s">
        <v>871</v>
      </c>
    </row>
    <row r="1644" spans="1:3" ht="57.6" hidden="1" customHeight="1" x14ac:dyDescent="0.3">
      <c r="A1644" t="s">
        <v>208</v>
      </c>
      <c r="B1644" s="3">
        <v>45839</v>
      </c>
      <c r="C1644" s="11" t="s">
        <v>872</v>
      </c>
    </row>
    <row r="1645" spans="1:3" ht="57.6" hidden="1" customHeight="1" x14ac:dyDescent="0.3">
      <c r="A1645" t="s">
        <v>208</v>
      </c>
      <c r="B1645" s="3">
        <v>45870</v>
      </c>
      <c r="C1645" s="11" t="s">
        <v>873</v>
      </c>
    </row>
    <row r="1646" spans="1:3" ht="57.6" hidden="1" customHeight="1" x14ac:dyDescent="0.3">
      <c r="A1646" t="s">
        <v>208</v>
      </c>
      <c r="B1646" s="3">
        <v>45901</v>
      </c>
      <c r="C1646" s="11" t="s">
        <v>874</v>
      </c>
    </row>
    <row r="1647" spans="1:3" ht="57.6" hidden="1" customHeight="1" x14ac:dyDescent="0.3">
      <c r="A1647" t="s">
        <v>208</v>
      </c>
      <c r="B1647" s="3">
        <v>45931</v>
      </c>
      <c r="C1647" s="11" t="s">
        <v>875</v>
      </c>
    </row>
    <row r="1648" spans="1:3" ht="57.6" hidden="1" customHeight="1" x14ac:dyDescent="0.3">
      <c r="A1648" t="s">
        <v>208</v>
      </c>
      <c r="B1648" s="3">
        <v>45962</v>
      </c>
      <c r="C1648" s="11" t="s">
        <v>876</v>
      </c>
    </row>
    <row r="1649" spans="1:3" hidden="1" x14ac:dyDescent="0.3">
      <c r="A1649" t="s">
        <v>208</v>
      </c>
      <c r="B1649" s="3">
        <v>45992</v>
      </c>
      <c r="C1649" s="11" t="s">
        <v>680</v>
      </c>
    </row>
    <row r="1650" spans="1:3" hidden="1" x14ac:dyDescent="0.3">
      <c r="A1650" t="s">
        <v>208</v>
      </c>
      <c r="B1650" s="3">
        <v>46023</v>
      </c>
      <c r="C1650" s="11" t="s">
        <v>356</v>
      </c>
    </row>
    <row r="1651" spans="1:3" hidden="1" x14ac:dyDescent="0.3">
      <c r="A1651" t="s">
        <v>208</v>
      </c>
      <c r="B1651" s="3">
        <v>46054</v>
      </c>
      <c r="C1651" s="11" t="s">
        <v>344</v>
      </c>
    </row>
    <row r="1652" spans="1:3" hidden="1" x14ac:dyDescent="0.3">
      <c r="A1652" t="s">
        <v>208</v>
      </c>
      <c r="B1652" s="3">
        <v>46082</v>
      </c>
      <c r="C1652" s="11" t="s">
        <v>344</v>
      </c>
    </row>
    <row r="1653" spans="1:3" hidden="1" x14ac:dyDescent="0.3">
      <c r="A1653" t="s">
        <v>208</v>
      </c>
      <c r="B1653" s="3">
        <v>46113</v>
      </c>
      <c r="C1653" s="11" t="s">
        <v>320</v>
      </c>
    </row>
    <row r="1654" spans="1:3" x14ac:dyDescent="0.3">
      <c r="A1654" t="s">
        <v>208</v>
      </c>
      <c r="B1654" s="3">
        <v>46143</v>
      </c>
      <c r="C1654" s="11" t="s">
        <v>320</v>
      </c>
    </row>
    <row r="1655" spans="1:3" hidden="1" x14ac:dyDescent="0.3">
      <c r="A1655" t="s">
        <v>208</v>
      </c>
      <c r="B1655" s="3">
        <v>46174</v>
      </c>
      <c r="C1655" s="11"/>
    </row>
    <row r="1656" spans="1:3" hidden="1" x14ac:dyDescent="0.3">
      <c r="A1656" t="s">
        <v>208</v>
      </c>
      <c r="B1656" s="3">
        <v>46204</v>
      </c>
      <c r="C1656" s="11"/>
    </row>
    <row r="1657" spans="1:3" hidden="1" x14ac:dyDescent="0.3">
      <c r="A1657" t="s">
        <v>208</v>
      </c>
      <c r="B1657" s="3">
        <v>46235</v>
      </c>
      <c r="C1657" s="11"/>
    </row>
    <row r="1658" spans="1:3" hidden="1" x14ac:dyDescent="0.3">
      <c r="A1658" t="s">
        <v>213</v>
      </c>
      <c r="B1658" s="3">
        <v>45536</v>
      </c>
      <c r="C1658" s="11"/>
    </row>
    <row r="1659" spans="1:3" hidden="1" x14ac:dyDescent="0.3">
      <c r="A1659" t="s">
        <v>213</v>
      </c>
      <c r="B1659" s="3">
        <v>45566</v>
      </c>
      <c r="C1659" s="11"/>
    </row>
    <row r="1660" spans="1:3" hidden="1" x14ac:dyDescent="0.3">
      <c r="A1660" t="s">
        <v>213</v>
      </c>
      <c r="B1660" s="3">
        <v>45597</v>
      </c>
      <c r="C1660" s="11"/>
    </row>
    <row r="1661" spans="1:3" hidden="1" x14ac:dyDescent="0.3">
      <c r="A1661" t="s">
        <v>213</v>
      </c>
      <c r="B1661" s="3">
        <v>45627</v>
      </c>
      <c r="C1661" s="11"/>
    </row>
    <row r="1662" spans="1:3" hidden="1" x14ac:dyDescent="0.3">
      <c r="A1662" t="s">
        <v>213</v>
      </c>
      <c r="B1662" s="3">
        <v>45658</v>
      </c>
      <c r="C1662" s="11"/>
    </row>
    <row r="1663" spans="1:3" ht="28.95" hidden="1" customHeight="1" x14ac:dyDescent="0.3">
      <c r="A1663" t="s">
        <v>213</v>
      </c>
      <c r="B1663" s="3">
        <v>45689</v>
      </c>
      <c r="C1663" s="11" t="s">
        <v>877</v>
      </c>
    </row>
    <row r="1664" spans="1:3" hidden="1" x14ac:dyDescent="0.3">
      <c r="A1664" t="s">
        <v>213</v>
      </c>
      <c r="B1664" s="3">
        <v>45717</v>
      </c>
      <c r="C1664" s="11" t="s">
        <v>494</v>
      </c>
    </row>
    <row r="1665" spans="1:3" hidden="1" x14ac:dyDescent="0.3">
      <c r="A1665" t="s">
        <v>213</v>
      </c>
      <c r="B1665" s="3">
        <v>45748</v>
      </c>
      <c r="C1665" s="11" t="s">
        <v>878</v>
      </c>
    </row>
    <row r="1666" spans="1:3" ht="57.6" hidden="1" customHeight="1" x14ac:dyDescent="0.3">
      <c r="A1666" t="s">
        <v>213</v>
      </c>
      <c r="B1666" s="3">
        <v>45778</v>
      </c>
      <c r="C1666" s="11" t="s">
        <v>879</v>
      </c>
    </row>
    <row r="1667" spans="1:3" ht="57.6" hidden="1" customHeight="1" x14ac:dyDescent="0.3">
      <c r="A1667" t="s">
        <v>213</v>
      </c>
      <c r="B1667" s="3">
        <v>45809</v>
      </c>
      <c r="C1667" s="11" t="s">
        <v>880</v>
      </c>
    </row>
    <row r="1668" spans="1:3" ht="57.6" hidden="1" customHeight="1" x14ac:dyDescent="0.3">
      <c r="A1668" t="s">
        <v>213</v>
      </c>
      <c r="B1668" s="3">
        <v>45839</v>
      </c>
      <c r="C1668" s="11" t="s">
        <v>881</v>
      </c>
    </row>
    <row r="1669" spans="1:3" ht="72" hidden="1" customHeight="1" x14ac:dyDescent="0.3">
      <c r="A1669" t="s">
        <v>213</v>
      </c>
      <c r="B1669" s="3">
        <v>45870</v>
      </c>
      <c r="C1669" s="11" t="s">
        <v>882</v>
      </c>
    </row>
    <row r="1670" spans="1:3" ht="57.6" hidden="1" customHeight="1" x14ac:dyDescent="0.3">
      <c r="A1670" t="s">
        <v>213</v>
      </c>
      <c r="B1670" s="3">
        <v>45901</v>
      </c>
      <c r="C1670" s="11" t="s">
        <v>883</v>
      </c>
    </row>
    <row r="1671" spans="1:3" ht="57.6" hidden="1" customHeight="1" x14ac:dyDescent="0.3">
      <c r="A1671" t="s">
        <v>213</v>
      </c>
      <c r="B1671" s="3">
        <v>45931</v>
      </c>
      <c r="C1671" s="11" t="s">
        <v>884</v>
      </c>
    </row>
    <row r="1672" spans="1:3" ht="57.6" hidden="1" customHeight="1" x14ac:dyDescent="0.3">
      <c r="A1672" t="s">
        <v>213</v>
      </c>
      <c r="B1672" s="3">
        <v>45962</v>
      </c>
      <c r="C1672" s="11" t="s">
        <v>885</v>
      </c>
    </row>
    <row r="1673" spans="1:3" hidden="1" x14ac:dyDescent="0.3">
      <c r="A1673" t="s">
        <v>213</v>
      </c>
      <c r="B1673" s="3">
        <v>45992</v>
      </c>
      <c r="C1673" s="11" t="s">
        <v>886</v>
      </c>
    </row>
    <row r="1674" spans="1:3" hidden="1" x14ac:dyDescent="0.3">
      <c r="A1674" t="s">
        <v>213</v>
      </c>
      <c r="B1674" s="3">
        <v>46023</v>
      </c>
      <c r="C1674" s="11" t="s">
        <v>356</v>
      </c>
    </row>
    <row r="1675" spans="1:3" hidden="1" x14ac:dyDescent="0.3">
      <c r="A1675" t="s">
        <v>213</v>
      </c>
      <c r="B1675" s="3">
        <v>46054</v>
      </c>
      <c r="C1675" s="11" t="s">
        <v>344</v>
      </c>
    </row>
    <row r="1676" spans="1:3" hidden="1" x14ac:dyDescent="0.3">
      <c r="A1676" t="s">
        <v>213</v>
      </c>
      <c r="B1676" s="3">
        <v>46082</v>
      </c>
      <c r="C1676" s="11" t="s">
        <v>887</v>
      </c>
    </row>
    <row r="1677" spans="1:3" hidden="1" x14ac:dyDescent="0.3">
      <c r="A1677" t="s">
        <v>213</v>
      </c>
      <c r="B1677" s="3">
        <v>46113</v>
      </c>
      <c r="C1677" s="11" t="s">
        <v>758</v>
      </c>
    </row>
    <row r="1678" spans="1:3" x14ac:dyDescent="0.3">
      <c r="A1678" t="s">
        <v>213</v>
      </c>
      <c r="B1678" s="3">
        <v>46143</v>
      </c>
      <c r="C1678" s="11" t="s">
        <v>975</v>
      </c>
    </row>
    <row r="1679" spans="1:3" hidden="1" x14ac:dyDescent="0.3">
      <c r="A1679" t="s">
        <v>213</v>
      </c>
      <c r="B1679" s="3">
        <v>46174</v>
      </c>
      <c r="C1679" s="11"/>
    </row>
    <row r="1680" spans="1:3" hidden="1" x14ac:dyDescent="0.3">
      <c r="A1680" t="s">
        <v>213</v>
      </c>
      <c r="B1680" s="3">
        <v>46204</v>
      </c>
      <c r="C1680" s="11"/>
    </row>
    <row r="1681" spans="1:3" hidden="1" x14ac:dyDescent="0.3">
      <c r="A1681" t="s">
        <v>213</v>
      </c>
      <c r="B1681" s="3">
        <v>46235</v>
      </c>
      <c r="C1681" s="11"/>
    </row>
    <row r="1682" spans="1:3" hidden="1" x14ac:dyDescent="0.3">
      <c r="A1682" t="s">
        <v>224</v>
      </c>
      <c r="B1682" s="3">
        <v>45536</v>
      </c>
      <c r="C1682" s="11"/>
    </row>
    <row r="1683" spans="1:3" hidden="1" x14ac:dyDescent="0.3">
      <c r="A1683" t="s">
        <v>224</v>
      </c>
      <c r="B1683" s="3">
        <v>45566</v>
      </c>
      <c r="C1683" s="11"/>
    </row>
    <row r="1684" spans="1:3" hidden="1" x14ac:dyDescent="0.3">
      <c r="A1684" t="s">
        <v>224</v>
      </c>
      <c r="B1684" s="3">
        <v>45597</v>
      </c>
      <c r="C1684" s="11"/>
    </row>
    <row r="1685" spans="1:3" hidden="1" x14ac:dyDescent="0.3">
      <c r="A1685" t="s">
        <v>224</v>
      </c>
      <c r="B1685" s="3">
        <v>45627</v>
      </c>
      <c r="C1685" s="11"/>
    </row>
    <row r="1686" spans="1:3" hidden="1" x14ac:dyDescent="0.3">
      <c r="A1686" t="s">
        <v>224</v>
      </c>
      <c r="B1686" s="3">
        <v>45658</v>
      </c>
      <c r="C1686" s="11"/>
    </row>
    <row r="1687" spans="1:3" hidden="1" x14ac:dyDescent="0.3">
      <c r="A1687" t="s">
        <v>224</v>
      </c>
      <c r="B1687" s="3">
        <v>45689</v>
      </c>
      <c r="C1687" s="11"/>
    </row>
    <row r="1688" spans="1:3" hidden="1" x14ac:dyDescent="0.3">
      <c r="A1688" t="s">
        <v>224</v>
      </c>
      <c r="B1688" s="3">
        <v>45717</v>
      </c>
      <c r="C1688" s="11"/>
    </row>
    <row r="1689" spans="1:3" hidden="1" x14ac:dyDescent="0.3">
      <c r="A1689" t="s">
        <v>224</v>
      </c>
      <c r="B1689" s="3">
        <v>45748</v>
      </c>
      <c r="C1689" s="11"/>
    </row>
    <row r="1690" spans="1:3" hidden="1" x14ac:dyDescent="0.3">
      <c r="A1690" t="s">
        <v>224</v>
      </c>
      <c r="B1690" s="3">
        <v>45778</v>
      </c>
      <c r="C1690" s="11"/>
    </row>
    <row r="1691" spans="1:3" hidden="1" x14ac:dyDescent="0.3">
      <c r="A1691" t="s">
        <v>224</v>
      </c>
      <c r="B1691" s="3">
        <v>45809</v>
      </c>
      <c r="C1691" s="11"/>
    </row>
    <row r="1692" spans="1:3" hidden="1" x14ac:dyDescent="0.3">
      <c r="A1692" t="s">
        <v>224</v>
      </c>
      <c r="B1692" s="3">
        <v>45839</v>
      </c>
      <c r="C1692" s="11"/>
    </row>
    <row r="1693" spans="1:3" hidden="1" x14ac:dyDescent="0.3">
      <c r="A1693" t="s">
        <v>224</v>
      </c>
      <c r="B1693" s="3">
        <v>45870</v>
      </c>
      <c r="C1693" s="11"/>
    </row>
    <row r="1694" spans="1:3" ht="43.2" hidden="1" customHeight="1" x14ac:dyDescent="0.3">
      <c r="A1694" t="s">
        <v>224</v>
      </c>
      <c r="B1694" s="3">
        <v>45901</v>
      </c>
      <c r="C1694" s="11" t="s">
        <v>888</v>
      </c>
    </row>
    <row r="1695" spans="1:3" ht="43.2" hidden="1" customHeight="1" x14ac:dyDescent="0.3">
      <c r="A1695" t="s">
        <v>224</v>
      </c>
      <c r="B1695" s="3">
        <v>45931</v>
      </c>
      <c r="C1695" s="11" t="s">
        <v>889</v>
      </c>
    </row>
    <row r="1696" spans="1:3" ht="43.2" hidden="1" customHeight="1" x14ac:dyDescent="0.3">
      <c r="A1696" t="s">
        <v>224</v>
      </c>
      <c r="B1696" s="3">
        <v>45962</v>
      </c>
      <c r="C1696" s="11" t="s">
        <v>890</v>
      </c>
    </row>
    <row r="1697" spans="1:3" hidden="1" x14ac:dyDescent="0.3">
      <c r="A1697" t="s">
        <v>224</v>
      </c>
      <c r="B1697" s="3">
        <v>45992</v>
      </c>
      <c r="C1697" s="11" t="s">
        <v>891</v>
      </c>
    </row>
    <row r="1698" spans="1:3" hidden="1" x14ac:dyDescent="0.3">
      <c r="A1698" t="s">
        <v>224</v>
      </c>
      <c r="B1698" s="3">
        <v>46023</v>
      </c>
      <c r="C1698" s="11" t="s">
        <v>356</v>
      </c>
    </row>
    <row r="1699" spans="1:3" hidden="1" x14ac:dyDescent="0.3">
      <c r="A1699" t="s">
        <v>224</v>
      </c>
      <c r="B1699" s="3">
        <v>46054</v>
      </c>
      <c r="C1699" s="11" t="s">
        <v>319</v>
      </c>
    </row>
    <row r="1700" spans="1:3" hidden="1" x14ac:dyDescent="0.3">
      <c r="A1700" t="s">
        <v>224</v>
      </c>
      <c r="B1700" s="3">
        <v>46082</v>
      </c>
      <c r="C1700" s="11" t="s">
        <v>680</v>
      </c>
    </row>
    <row r="1701" spans="1:3" hidden="1" x14ac:dyDescent="0.3">
      <c r="A1701" t="s">
        <v>224</v>
      </c>
      <c r="B1701" s="3">
        <v>46113</v>
      </c>
      <c r="C1701" s="11" t="s">
        <v>892</v>
      </c>
    </row>
    <row r="1702" spans="1:3" x14ac:dyDescent="0.3">
      <c r="A1702" t="s">
        <v>224</v>
      </c>
      <c r="B1702" s="3">
        <v>46143</v>
      </c>
      <c r="C1702" s="11" t="s">
        <v>958</v>
      </c>
    </row>
    <row r="1703" spans="1:3" hidden="1" x14ac:dyDescent="0.3">
      <c r="A1703" t="s">
        <v>224</v>
      </c>
      <c r="B1703" s="3">
        <v>46174</v>
      </c>
      <c r="C1703" s="11"/>
    </row>
    <row r="1704" spans="1:3" hidden="1" x14ac:dyDescent="0.3">
      <c r="A1704" t="s">
        <v>224</v>
      </c>
      <c r="B1704" s="3">
        <v>46204</v>
      </c>
      <c r="C1704" s="11"/>
    </row>
    <row r="1705" spans="1:3" hidden="1" x14ac:dyDescent="0.3">
      <c r="A1705" t="s">
        <v>224</v>
      </c>
      <c r="B1705" s="3">
        <v>46235</v>
      </c>
      <c r="C1705" s="11"/>
    </row>
    <row r="1706" spans="1:3" hidden="1" x14ac:dyDescent="0.3">
      <c r="A1706" t="s">
        <v>214</v>
      </c>
      <c r="B1706" s="3">
        <v>45536</v>
      </c>
      <c r="C1706" s="11"/>
    </row>
    <row r="1707" spans="1:3" hidden="1" x14ac:dyDescent="0.3">
      <c r="A1707" t="s">
        <v>214</v>
      </c>
      <c r="B1707" s="3">
        <v>45566</v>
      </c>
      <c r="C1707" s="11"/>
    </row>
    <row r="1708" spans="1:3" hidden="1" x14ac:dyDescent="0.3">
      <c r="A1708" t="s">
        <v>214</v>
      </c>
      <c r="B1708" s="3">
        <v>45597</v>
      </c>
      <c r="C1708" s="11"/>
    </row>
    <row r="1709" spans="1:3" hidden="1" x14ac:dyDescent="0.3">
      <c r="A1709" t="s">
        <v>214</v>
      </c>
      <c r="B1709" s="3">
        <v>45627</v>
      </c>
      <c r="C1709" s="11"/>
    </row>
    <row r="1710" spans="1:3" hidden="1" x14ac:dyDescent="0.3">
      <c r="A1710" t="s">
        <v>214</v>
      </c>
      <c r="B1710" s="3">
        <v>45658</v>
      </c>
      <c r="C1710" s="11"/>
    </row>
    <row r="1711" spans="1:3" ht="57.6" hidden="1" customHeight="1" x14ac:dyDescent="0.3">
      <c r="A1711" t="s">
        <v>214</v>
      </c>
      <c r="B1711" s="3">
        <v>45689</v>
      </c>
      <c r="C1711" s="11" t="s">
        <v>893</v>
      </c>
    </row>
    <row r="1712" spans="1:3" ht="86.4" hidden="1" customHeight="1" x14ac:dyDescent="0.3">
      <c r="A1712" t="s">
        <v>214</v>
      </c>
      <c r="B1712" s="3">
        <v>45717</v>
      </c>
      <c r="C1712" s="11" t="s">
        <v>894</v>
      </c>
    </row>
    <row r="1713" spans="1:3" ht="57.6" hidden="1" customHeight="1" x14ac:dyDescent="0.3">
      <c r="A1713" t="s">
        <v>214</v>
      </c>
      <c r="B1713" s="3">
        <v>45748</v>
      </c>
      <c r="C1713" s="11" t="s">
        <v>895</v>
      </c>
    </row>
    <row r="1714" spans="1:3" ht="57.6" hidden="1" customHeight="1" x14ac:dyDescent="0.3">
      <c r="A1714" t="s">
        <v>214</v>
      </c>
      <c r="B1714" s="3">
        <v>45778</v>
      </c>
      <c r="C1714" s="11" t="s">
        <v>896</v>
      </c>
    </row>
    <row r="1715" spans="1:3" ht="57.6" hidden="1" customHeight="1" x14ac:dyDescent="0.3">
      <c r="A1715" t="s">
        <v>214</v>
      </c>
      <c r="B1715" s="3">
        <v>45809</v>
      </c>
      <c r="C1715" s="11" t="s">
        <v>897</v>
      </c>
    </row>
    <row r="1716" spans="1:3" ht="57.6" hidden="1" customHeight="1" x14ac:dyDescent="0.3">
      <c r="A1716" t="s">
        <v>214</v>
      </c>
      <c r="B1716" s="3">
        <v>45839</v>
      </c>
      <c r="C1716" s="11" t="s">
        <v>898</v>
      </c>
    </row>
    <row r="1717" spans="1:3" ht="57.6" hidden="1" customHeight="1" x14ac:dyDescent="0.3">
      <c r="A1717" t="s">
        <v>214</v>
      </c>
      <c r="B1717" s="3">
        <v>45870</v>
      </c>
      <c r="C1717" s="11" t="s">
        <v>899</v>
      </c>
    </row>
    <row r="1718" spans="1:3" ht="57.6" hidden="1" customHeight="1" x14ac:dyDescent="0.3">
      <c r="A1718" t="s">
        <v>214</v>
      </c>
      <c r="B1718" s="3">
        <v>45901</v>
      </c>
      <c r="C1718" s="11" t="s">
        <v>900</v>
      </c>
    </row>
    <row r="1719" spans="1:3" ht="57.6" hidden="1" customHeight="1" x14ac:dyDescent="0.3">
      <c r="A1719" t="s">
        <v>214</v>
      </c>
      <c r="B1719" s="3">
        <v>45931</v>
      </c>
      <c r="C1719" s="11" t="s">
        <v>901</v>
      </c>
    </row>
    <row r="1720" spans="1:3" ht="57.6" hidden="1" customHeight="1" x14ac:dyDescent="0.3">
      <c r="A1720" t="s">
        <v>214</v>
      </c>
      <c r="B1720" s="3">
        <v>45962</v>
      </c>
      <c r="C1720" s="11" t="s">
        <v>902</v>
      </c>
    </row>
    <row r="1721" spans="1:3" hidden="1" x14ac:dyDescent="0.3">
      <c r="A1721" t="s">
        <v>214</v>
      </c>
      <c r="B1721" s="3">
        <v>45992</v>
      </c>
      <c r="C1721" s="11"/>
    </row>
    <row r="1722" spans="1:3" hidden="1" x14ac:dyDescent="0.3">
      <c r="A1722" t="s">
        <v>214</v>
      </c>
      <c r="B1722" s="3">
        <v>46023</v>
      </c>
      <c r="C1722" s="11" t="s">
        <v>903</v>
      </c>
    </row>
    <row r="1723" spans="1:3" hidden="1" x14ac:dyDescent="0.3">
      <c r="A1723" t="s">
        <v>214</v>
      </c>
      <c r="B1723" s="3">
        <v>46054</v>
      </c>
      <c r="C1723" s="11" t="s">
        <v>344</v>
      </c>
    </row>
    <row r="1724" spans="1:3" hidden="1" x14ac:dyDescent="0.3">
      <c r="A1724" t="s">
        <v>214</v>
      </c>
      <c r="B1724" s="3">
        <v>46082</v>
      </c>
      <c r="C1724" s="11" t="s">
        <v>904</v>
      </c>
    </row>
    <row r="1725" spans="1:3" hidden="1" x14ac:dyDescent="0.3">
      <c r="A1725" t="s">
        <v>214</v>
      </c>
      <c r="B1725" s="3">
        <v>46113</v>
      </c>
      <c r="C1725" s="11" t="s">
        <v>904</v>
      </c>
    </row>
    <row r="1726" spans="1:3" x14ac:dyDescent="0.3">
      <c r="A1726" t="s">
        <v>214</v>
      </c>
      <c r="B1726" s="3">
        <v>46143</v>
      </c>
      <c r="C1726" s="11" t="s">
        <v>320</v>
      </c>
    </row>
    <row r="1727" spans="1:3" hidden="1" x14ac:dyDescent="0.3">
      <c r="A1727" t="s">
        <v>214</v>
      </c>
      <c r="B1727" s="3">
        <v>46174</v>
      </c>
      <c r="C1727" s="11"/>
    </row>
    <row r="1728" spans="1:3" hidden="1" x14ac:dyDescent="0.3">
      <c r="A1728" t="s">
        <v>214</v>
      </c>
      <c r="B1728" s="3">
        <v>46204</v>
      </c>
      <c r="C1728" s="11"/>
    </row>
    <row r="1729" spans="1:3" hidden="1" x14ac:dyDescent="0.3">
      <c r="A1729" t="s">
        <v>214</v>
      </c>
      <c r="B1729" s="3">
        <v>46235</v>
      </c>
      <c r="C1729" s="11"/>
    </row>
    <row r="1730" spans="1:3" hidden="1" x14ac:dyDescent="0.3">
      <c r="A1730" t="s">
        <v>218</v>
      </c>
      <c r="B1730" s="3">
        <v>45536</v>
      </c>
      <c r="C1730" s="11"/>
    </row>
    <row r="1731" spans="1:3" hidden="1" x14ac:dyDescent="0.3">
      <c r="A1731" t="s">
        <v>218</v>
      </c>
      <c r="B1731" s="3">
        <v>45566</v>
      </c>
      <c r="C1731" s="11"/>
    </row>
    <row r="1732" spans="1:3" hidden="1" x14ac:dyDescent="0.3">
      <c r="A1732" t="s">
        <v>218</v>
      </c>
      <c r="B1732" s="3">
        <v>45597</v>
      </c>
      <c r="C1732" s="11"/>
    </row>
    <row r="1733" spans="1:3" hidden="1" x14ac:dyDescent="0.3">
      <c r="A1733" t="s">
        <v>218</v>
      </c>
      <c r="B1733" s="3">
        <v>45627</v>
      </c>
      <c r="C1733" s="11"/>
    </row>
    <row r="1734" spans="1:3" hidden="1" x14ac:dyDescent="0.3">
      <c r="A1734" t="s">
        <v>218</v>
      </c>
      <c r="B1734" s="3">
        <v>45658</v>
      </c>
      <c r="C1734" s="11"/>
    </row>
    <row r="1735" spans="1:3" hidden="1" x14ac:dyDescent="0.3">
      <c r="A1735" t="s">
        <v>218</v>
      </c>
      <c r="B1735" s="3">
        <v>45689</v>
      </c>
      <c r="C1735" s="11" t="s">
        <v>905</v>
      </c>
    </row>
    <row r="1736" spans="1:3" hidden="1" x14ac:dyDescent="0.3">
      <c r="A1736" t="s">
        <v>218</v>
      </c>
      <c r="B1736" s="3">
        <v>45717</v>
      </c>
      <c r="C1736" s="11" t="s">
        <v>905</v>
      </c>
    </row>
    <row r="1737" spans="1:3" hidden="1" x14ac:dyDescent="0.3">
      <c r="A1737" t="s">
        <v>218</v>
      </c>
      <c r="B1737" s="3">
        <v>45748</v>
      </c>
      <c r="C1737" s="11" t="s">
        <v>905</v>
      </c>
    </row>
    <row r="1738" spans="1:3" hidden="1" x14ac:dyDescent="0.3">
      <c r="A1738" t="s">
        <v>218</v>
      </c>
      <c r="B1738" s="3">
        <v>45778</v>
      </c>
      <c r="C1738" s="11" t="s">
        <v>905</v>
      </c>
    </row>
    <row r="1739" spans="1:3" hidden="1" x14ac:dyDescent="0.3">
      <c r="A1739" t="s">
        <v>218</v>
      </c>
      <c r="B1739" s="3">
        <v>45809</v>
      </c>
      <c r="C1739" s="11" t="s">
        <v>905</v>
      </c>
    </row>
    <row r="1740" spans="1:3" hidden="1" x14ac:dyDescent="0.3">
      <c r="A1740" t="s">
        <v>218</v>
      </c>
      <c r="B1740" s="3">
        <v>45839</v>
      </c>
      <c r="C1740" s="11" t="s">
        <v>905</v>
      </c>
    </row>
    <row r="1741" spans="1:3" hidden="1" x14ac:dyDescent="0.3">
      <c r="A1741" t="s">
        <v>218</v>
      </c>
      <c r="B1741" s="3">
        <v>45870</v>
      </c>
      <c r="C1741" s="11"/>
    </row>
    <row r="1742" spans="1:3" hidden="1" x14ac:dyDescent="0.3">
      <c r="A1742" t="s">
        <v>218</v>
      </c>
      <c r="B1742" s="3">
        <v>45901</v>
      </c>
      <c r="C1742" s="11"/>
    </row>
    <row r="1743" spans="1:3" hidden="1" x14ac:dyDescent="0.3">
      <c r="A1743" t="s">
        <v>218</v>
      </c>
      <c r="B1743" s="3">
        <v>45931</v>
      </c>
      <c r="C1743" s="11"/>
    </row>
    <row r="1744" spans="1:3" hidden="1" x14ac:dyDescent="0.3">
      <c r="A1744" t="s">
        <v>218</v>
      </c>
      <c r="B1744" s="3">
        <v>45962</v>
      </c>
      <c r="C1744" s="11"/>
    </row>
    <row r="1745" spans="1:3" hidden="1" x14ac:dyDescent="0.3">
      <c r="A1745" t="s">
        <v>218</v>
      </c>
      <c r="B1745" s="3">
        <v>45992</v>
      </c>
      <c r="C1745" s="11"/>
    </row>
    <row r="1746" spans="1:3" hidden="1" x14ac:dyDescent="0.3">
      <c r="A1746" t="s">
        <v>218</v>
      </c>
      <c r="B1746" s="3">
        <v>46023</v>
      </c>
      <c r="C1746" s="11"/>
    </row>
    <row r="1747" spans="1:3" hidden="1" x14ac:dyDescent="0.3">
      <c r="A1747" t="s">
        <v>218</v>
      </c>
      <c r="B1747" s="3">
        <v>46054</v>
      </c>
      <c r="C1747" s="11"/>
    </row>
    <row r="1748" spans="1:3" hidden="1" x14ac:dyDescent="0.3">
      <c r="A1748" t="s">
        <v>218</v>
      </c>
      <c r="B1748" s="3">
        <v>46082</v>
      </c>
      <c r="C1748" s="11" t="s">
        <v>37</v>
      </c>
    </row>
    <row r="1749" spans="1:3" hidden="1" x14ac:dyDescent="0.3">
      <c r="A1749" t="s">
        <v>218</v>
      </c>
      <c r="B1749" s="3">
        <v>46113</v>
      </c>
      <c r="C1749" s="11" t="s">
        <v>37</v>
      </c>
    </row>
    <row r="1750" spans="1:3" x14ac:dyDescent="0.3">
      <c r="A1750" t="s">
        <v>218</v>
      </c>
      <c r="B1750" s="3">
        <v>46143</v>
      </c>
      <c r="C1750" s="11" t="s">
        <v>970</v>
      </c>
    </row>
    <row r="1751" spans="1:3" hidden="1" x14ac:dyDescent="0.3">
      <c r="A1751" t="s">
        <v>218</v>
      </c>
      <c r="B1751" s="3">
        <v>46174</v>
      </c>
      <c r="C1751" s="11"/>
    </row>
    <row r="1752" spans="1:3" hidden="1" x14ac:dyDescent="0.3">
      <c r="A1752" t="s">
        <v>218</v>
      </c>
      <c r="B1752" s="3">
        <v>46204</v>
      </c>
      <c r="C1752" s="11"/>
    </row>
    <row r="1753" spans="1:3" hidden="1" x14ac:dyDescent="0.3">
      <c r="A1753" t="s">
        <v>218</v>
      </c>
      <c r="B1753" s="3">
        <v>46235</v>
      </c>
      <c r="C1753" s="11"/>
    </row>
    <row r="1754" spans="1:3" x14ac:dyDescent="0.3">
      <c r="A1754" t="s">
        <v>265</v>
      </c>
      <c r="B1754" s="3">
        <v>46143</v>
      </c>
      <c r="C1754" t="s">
        <v>320</v>
      </c>
    </row>
    <row r="1755" spans="1:3" x14ac:dyDescent="0.3">
      <c r="A1755" t="s">
        <v>264</v>
      </c>
      <c r="B1755" s="3">
        <v>46143</v>
      </c>
      <c r="C1755" t="s">
        <v>320</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906</v>
      </c>
    </row>
    <row r="2" spans="1:1" x14ac:dyDescent="0.3">
      <c r="A2" t="s">
        <v>907</v>
      </c>
    </row>
    <row r="3" spans="1:1" x14ac:dyDescent="0.3">
      <c r="A3" t="s">
        <v>908</v>
      </c>
    </row>
    <row r="4" spans="1:1" x14ac:dyDescent="0.3">
      <c r="A4" t="s">
        <v>909</v>
      </c>
    </row>
    <row r="5" spans="1:1" x14ac:dyDescent="0.3">
      <c r="A5" t="s">
        <v>910</v>
      </c>
    </row>
    <row r="6" spans="1:1" x14ac:dyDescent="0.3">
      <c r="A6" t="s">
        <v>911</v>
      </c>
    </row>
    <row r="7" spans="1:1" x14ac:dyDescent="0.3">
      <c r="A7" t="s">
        <v>912</v>
      </c>
    </row>
    <row r="8" spans="1:1" x14ac:dyDescent="0.3">
      <c r="A8" t="s">
        <v>913</v>
      </c>
    </row>
    <row r="9" spans="1:1" x14ac:dyDescent="0.3">
      <c r="A9" t="s">
        <v>914</v>
      </c>
    </row>
    <row r="10" spans="1:1" x14ac:dyDescent="0.3">
      <c r="A10" t="s">
        <v>915</v>
      </c>
    </row>
    <row r="11" spans="1:1" x14ac:dyDescent="0.3">
      <c r="A11" t="s">
        <v>916</v>
      </c>
    </row>
    <row r="12" spans="1:1" x14ac:dyDescent="0.3">
      <c r="A12" t="s">
        <v>917</v>
      </c>
    </row>
    <row r="13" spans="1:1" x14ac:dyDescent="0.3">
      <c r="A13" t="s">
        <v>918</v>
      </c>
    </row>
    <row r="14" spans="1:1" x14ac:dyDescent="0.3">
      <c r="A14" t="s">
        <v>919</v>
      </c>
    </row>
    <row r="15" spans="1:1" x14ac:dyDescent="0.3">
      <c r="A15" t="s">
        <v>920</v>
      </c>
    </row>
    <row r="16" spans="1:1" x14ac:dyDescent="0.3">
      <c r="A16" t="s">
        <v>921</v>
      </c>
    </row>
    <row r="17" spans="1:1" x14ac:dyDescent="0.3">
      <c r="A17" t="s">
        <v>922</v>
      </c>
    </row>
    <row r="18" spans="1:1" x14ac:dyDescent="0.3">
      <c r="A18" t="s">
        <v>923</v>
      </c>
    </row>
    <row r="19" spans="1:1" x14ac:dyDescent="0.3">
      <c r="A19" t="s">
        <v>924</v>
      </c>
    </row>
    <row r="20" spans="1:1" x14ac:dyDescent="0.3">
      <c r="A20" t="s">
        <v>925</v>
      </c>
    </row>
    <row r="21" spans="1:1" x14ac:dyDescent="0.3">
      <c r="A21" t="s">
        <v>926</v>
      </c>
    </row>
    <row r="22" spans="1:1" x14ac:dyDescent="0.3">
      <c r="A22" t="s">
        <v>927</v>
      </c>
    </row>
    <row r="23" spans="1:1" x14ac:dyDescent="0.3">
      <c r="A23" t="s">
        <v>928</v>
      </c>
    </row>
    <row r="24" spans="1:1" x14ac:dyDescent="0.3">
      <c r="A24" t="s">
        <v>929</v>
      </c>
    </row>
    <row r="25" spans="1:1" x14ac:dyDescent="0.3">
      <c r="A25" t="s">
        <v>930</v>
      </c>
    </row>
    <row r="26" spans="1:1" x14ac:dyDescent="0.3">
      <c r="A26" t="s">
        <v>931</v>
      </c>
    </row>
    <row r="27" spans="1:1" x14ac:dyDescent="0.3">
      <c r="A27" t="s">
        <v>932</v>
      </c>
    </row>
    <row r="28" spans="1:1" x14ac:dyDescent="0.3">
      <c r="A28" t="s">
        <v>933</v>
      </c>
    </row>
    <row r="29" spans="1:1" x14ac:dyDescent="0.3">
      <c r="A29" t="s">
        <v>934</v>
      </c>
    </row>
    <row r="30" spans="1:1" x14ac:dyDescent="0.3">
      <c r="A30" t="s">
        <v>935</v>
      </c>
    </row>
    <row r="31" spans="1:1" x14ac:dyDescent="0.3">
      <c r="A31" t="s">
        <v>936</v>
      </c>
    </row>
    <row r="32" spans="1:1" x14ac:dyDescent="0.3">
      <c r="A32" t="s">
        <v>937</v>
      </c>
    </row>
    <row r="33" spans="1:1" x14ac:dyDescent="0.3">
      <c r="A33" t="s">
        <v>938</v>
      </c>
    </row>
    <row r="34" spans="1:1" x14ac:dyDescent="0.3">
      <c r="A34" t="s">
        <v>939</v>
      </c>
    </row>
    <row r="35" spans="1:1" x14ac:dyDescent="0.3">
      <c r="A35" t="s">
        <v>940</v>
      </c>
    </row>
    <row r="36" spans="1:1" x14ac:dyDescent="0.3">
      <c r="A36" t="s">
        <v>941</v>
      </c>
    </row>
    <row r="37" spans="1:1" x14ac:dyDescent="0.3">
      <c r="A37" t="s">
        <v>942</v>
      </c>
    </row>
    <row r="38" spans="1:1" x14ac:dyDescent="0.3">
      <c r="A38" t="s">
        <v>943</v>
      </c>
    </row>
    <row r="39" spans="1:1" x14ac:dyDescent="0.3">
      <c r="A39" t="s">
        <v>944</v>
      </c>
    </row>
    <row r="40" spans="1:1" x14ac:dyDescent="0.3">
      <c r="A40" t="s">
        <v>945</v>
      </c>
    </row>
    <row r="41" spans="1:1" x14ac:dyDescent="0.3">
      <c r="A41" t="s">
        <v>946</v>
      </c>
    </row>
    <row r="42" spans="1:1" x14ac:dyDescent="0.3">
      <c r="A42" t="s">
        <v>947</v>
      </c>
    </row>
    <row r="43" spans="1:1" x14ac:dyDescent="0.3">
      <c r="A43" t="s">
        <v>948</v>
      </c>
    </row>
    <row r="44" spans="1:1" x14ac:dyDescent="0.3">
      <c r="A44" t="s">
        <v>949</v>
      </c>
    </row>
    <row r="45" spans="1:1" x14ac:dyDescent="0.3">
      <c r="A45" t="s">
        <v>950</v>
      </c>
    </row>
    <row r="46" spans="1:1" x14ac:dyDescent="0.3">
      <c r="A46" t="s">
        <v>24</v>
      </c>
    </row>
    <row r="47" spans="1:1" x14ac:dyDescent="0.3">
      <c r="A47" t="s">
        <v>951</v>
      </c>
    </row>
    <row r="48" spans="1:1" x14ac:dyDescent="0.3">
      <c r="A48" t="s">
        <v>952</v>
      </c>
    </row>
    <row r="49" spans="1:1" x14ac:dyDescent="0.3">
      <c r="A49" t="s">
        <v>953</v>
      </c>
    </row>
    <row r="50" spans="1:1" x14ac:dyDescent="0.3">
      <c r="A50" t="s">
        <v>954</v>
      </c>
    </row>
    <row r="51" spans="1:1" x14ac:dyDescent="0.3">
      <c r="A51" t="s">
        <v>955</v>
      </c>
    </row>
    <row r="52" spans="1:1" x14ac:dyDescent="0.3">
      <c r="A52" t="s">
        <v>956</v>
      </c>
    </row>
    <row r="53" spans="1:1" x14ac:dyDescent="0.3">
      <c r="A53" t="s">
        <v>258</v>
      </c>
    </row>
    <row r="54" spans="1:1" x14ac:dyDescent="0.3">
      <c r="A54" t="s">
        <v>957</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site_tech_info</vt:lpstr>
      <vt:lpstr>Simulated Production</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2026-06-09T07:46:21Z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