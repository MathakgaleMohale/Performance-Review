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695" documentId="13_ncr:1_{8CCFD1E3-719E-4C10-96BD-950107C648A6}" xr6:coauthVersionLast="47" xr6:coauthVersionMax="47" xr10:uidLastSave="{9838C5EF-7511-4516-BAF8-8F877432FCBE}"/>
  <bookViews>
    <workbookView xWindow="-108" yWindow="-108" windowWidth="23256" windowHeight="12456" tabRatio="74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83" i="1" l="1"/>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<sst xmlns="http://schemas.openxmlformats.org/spreadsheetml/2006/main" count="14729" uniqueCount="1073">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</sst>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6">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0" borderId="0" xfId="0" applyNumberForma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3" totalsRowShown="0">
  <autoFilter ref="A1:Y83" xr:uid="{00000000-000C-0000-FFFF-FFFF00000000}"/>
  <sortState xmlns:xlrd2="http://schemas.microsoft.com/office/spreadsheetml/2017/richdata2" ref="A2:Y82">
    <sortCondition ref="A1:A82"/>
  </sortState>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8"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tabSelected="1" zoomScale="98" zoomScaleNormal="98" workbookViewId="0">
      <pane xSplit="1" ySplit="1" topLeftCell="K77" activePane="bottomRight" state="frozen"/>
      <selection pane="topRight" activeCell="B1" sqref="B1"/>
      <selection pane="bottomLeft" activeCell="A2" sqref="A2"/>
      <selection pane="bottomRight" activeCell="R84" sqref="R84"/>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3.5728952772073921</v>
      </c>
      <c r="X2" t="s">
        <v>1000</v>
      </c>
      <c r="Y2" t="s">
        <v>1000</v>
      </c>
    </row>
    <row r="3" spans="1:25"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2.9349760438056127</v>
      </c>
      <c r="X3" t="s">
        <v>1009</v>
      </c>
      <c r="Y3" t="s">
        <v>1000</v>
      </c>
    </row>
    <row r="4" spans="1:25"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1.6700889801505818</v>
      </c>
      <c r="X4" t="s">
        <v>1000</v>
      </c>
      <c r="Y4" t="s">
        <v>1000</v>
      </c>
    </row>
    <row r="5" spans="1:25"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0.35044490075290896</v>
      </c>
      <c r="X5" t="s">
        <v>1000</v>
      </c>
      <c r="Y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3.7234770704996576</v>
      </c>
      <c r="X6" t="s">
        <v>1000</v>
      </c>
      <c r="Y6" t="s">
        <v>1008</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2.7268993839835729</v>
      </c>
      <c r="X7" t="s">
        <v>1000</v>
      </c>
      <c r="Y7" t="s">
        <v>1008</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2.7268993839835729</v>
      </c>
      <c r="X8" t="s">
        <v>1000</v>
      </c>
      <c r="Y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1.8015058179329226</v>
      </c>
      <c r="X9" t="s">
        <v>1000</v>
      </c>
      <c r="Y9" t="s">
        <v>1008</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2.97056810403833</v>
      </c>
      <c r="X10" t="s">
        <v>1000</v>
      </c>
      <c r="Y10" t="s">
        <v>1008</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2.2422997946611911</v>
      </c>
      <c r="X11" t="s">
        <v>1000</v>
      </c>
      <c r="Y11" t="s">
        <v>1000</v>
      </c>
    </row>
    <row r="12" spans="1:25"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0.3805612594113621</v>
      </c>
      <c r="X12" t="s">
        <v>1008</v>
      </c>
      <c r="Y12" t="s">
        <v>1000</v>
      </c>
    </row>
    <row r="13" spans="1:25"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row>
    <row r="14" spans="1:25"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row>
    <row r="15" spans="1:25"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2.1820670773442847</v>
      </c>
      <c r="X15" t="s">
        <v>1000</v>
      </c>
      <c r="Y15" t="s">
        <v>1000</v>
      </c>
    </row>
    <row r="16" spans="1:25"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4.3887748117727581</v>
      </c>
      <c r="X16" t="s">
        <v>1000</v>
      </c>
      <c r="Y16" t="s">
        <v>1000</v>
      </c>
    </row>
    <row r="17" spans="1:25"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4.4490075290896645</v>
      </c>
      <c r="X17" t="s">
        <v>1000</v>
      </c>
      <c r="Y17" t="s">
        <v>1000</v>
      </c>
    </row>
    <row r="18" spans="1:25"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2.0780287474332648</v>
      </c>
      <c r="X18" t="s">
        <v>1000</v>
      </c>
      <c r="Y18" t="s">
        <v>1000</v>
      </c>
    </row>
    <row r="19" spans="1:25"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2.2121834360027379</v>
      </c>
      <c r="X19" t="s">
        <v>1000</v>
      </c>
      <c r="Y19" t="s">
        <v>1000</v>
      </c>
    </row>
    <row r="20" spans="1:25"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0.29021218343600275</v>
      </c>
      <c r="X20" t="s">
        <v>1001</v>
      </c>
      <c r="Y20" t="s">
        <v>1000</v>
      </c>
    </row>
    <row r="21" spans="1:25"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0.86789869952087606</v>
      </c>
      <c r="X21" t="s">
        <v>1000</v>
      </c>
      <c r="Y21" t="s">
        <v>1000</v>
      </c>
    </row>
    <row r="22" spans="1:25"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4.8980150581793289</v>
      </c>
      <c r="X22" t="s">
        <v>1000</v>
      </c>
      <c r="Y22" t="s">
        <v>1000</v>
      </c>
    </row>
    <row r="23" spans="1:25"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4.8980150581793289</v>
      </c>
      <c r="X23" t="s">
        <v>1000</v>
      </c>
      <c r="Y23" t="s">
        <v>1000</v>
      </c>
    </row>
    <row r="24" spans="1:25"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3.2717316906228611</v>
      </c>
      <c r="X24" t="s">
        <v>1000</v>
      </c>
      <c r="Y24" t="s">
        <v>1000</v>
      </c>
    </row>
    <row r="25" spans="1:25"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3.2744695414099931</v>
      </c>
      <c r="X25" t="s">
        <v>1000</v>
      </c>
      <c r="Y25" t="s">
        <v>1000</v>
      </c>
    </row>
    <row r="26" spans="1:25"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0.49828884325804246</v>
      </c>
      <c r="X26" t="s">
        <v>1000</v>
      </c>
      <c r="Y26" t="s">
        <v>1000</v>
      </c>
    </row>
    <row r="27" spans="1:25"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2.3572895277207393</v>
      </c>
      <c r="X27" t="s">
        <v>1000</v>
      </c>
      <c r="Y27" t="s">
        <v>1000</v>
      </c>
    </row>
    <row r="28" spans="1:25"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7.0308008213552364</v>
      </c>
      <c r="X28" t="s">
        <v>1000</v>
      </c>
      <c r="Y28" t="s">
        <v>1000</v>
      </c>
    </row>
    <row r="29" spans="1:25"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3.3182751540041067</v>
      </c>
      <c r="X29" t="s">
        <v>1000</v>
      </c>
      <c r="Y29" t="s">
        <v>1000</v>
      </c>
    </row>
    <row r="30" spans="1:25"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2.2039698836413417</v>
      </c>
      <c r="X30" t="s">
        <v>1000</v>
      </c>
      <c r="Y30" t="s">
        <v>1000</v>
      </c>
    </row>
    <row r="31" spans="1:25"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0.91444216290212188</v>
      </c>
      <c r="X31" t="s">
        <v>1000</v>
      </c>
      <c r="Y31" t="s">
        <v>1000</v>
      </c>
    </row>
    <row r="32" spans="1:25"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0.91444216290212188</v>
      </c>
      <c r="X32" t="s">
        <v>1000</v>
      </c>
      <c r="Y32" t="s">
        <v>1000</v>
      </c>
    </row>
    <row r="33" spans="1:25"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row>
    <row r="34" spans="1:25"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3.3347022587268995</v>
      </c>
      <c r="X34" t="s">
        <v>1000</v>
      </c>
      <c r="Y34" t="s">
        <v>1000</v>
      </c>
    </row>
    <row r="35" spans="1:25"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3.8028747433264889</v>
      </c>
      <c r="X35" t="s">
        <v>1001</v>
      </c>
      <c r="Y35" t="s">
        <v>1000</v>
      </c>
    </row>
    <row r="36" spans="1:25"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4.3148528405201914</v>
      </c>
      <c r="X36" t="s">
        <v>1000</v>
      </c>
      <c r="Y36" t="s">
        <v>1000</v>
      </c>
    </row>
    <row r="37" spans="1:25"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2.3791923340177958</v>
      </c>
      <c r="X37" t="s">
        <v>1000</v>
      </c>
      <c r="Y37" t="s">
        <v>1000</v>
      </c>
    </row>
    <row r="38" spans="1:25"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1.5195071868583163</v>
      </c>
      <c r="X38" t="s">
        <v>1000</v>
      </c>
      <c r="Y38" t="s">
        <v>1000</v>
      </c>
    </row>
    <row r="39" spans="1:25"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2.7926078028747434</v>
      </c>
      <c r="X39" t="s">
        <v>1000</v>
      </c>
      <c r="Y39" t="s">
        <v>1000</v>
      </c>
    </row>
    <row r="40" spans="1:25"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2.5106091718001369</v>
      </c>
      <c r="X40" t="s">
        <v>1000</v>
      </c>
      <c r="Y40" t="s">
        <v>1000</v>
      </c>
    </row>
    <row r="41" spans="1:25"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2.9733059548254621</v>
      </c>
      <c r="X41" t="s">
        <v>1000</v>
      </c>
      <c r="Y41" t="s">
        <v>1000</v>
      </c>
    </row>
    <row r="42" spans="1:25"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0.94182067077344289</v>
      </c>
      <c r="X42" t="s">
        <v>1001</v>
      </c>
      <c r="Y42" t="s">
        <v>1000</v>
      </c>
    </row>
    <row r="43" spans="1:25"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0.94182067077344289</v>
      </c>
      <c r="X43" t="s">
        <v>1001</v>
      </c>
      <c r="Y43" t="s">
        <v>1000</v>
      </c>
    </row>
    <row r="44" spans="1:25"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2.9952087611225187</v>
      </c>
      <c r="X44" t="s">
        <v>1000</v>
      </c>
      <c r="Y44" t="s">
        <v>1000</v>
      </c>
    </row>
    <row r="45" spans="1:25"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3.1950718685831623</v>
      </c>
      <c r="X45" s="22" t="s">
        <v>1000</v>
      </c>
      <c r="Y45" t="s">
        <v>1000</v>
      </c>
    </row>
    <row r="46" spans="1:25"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4.3258042436687196</v>
      </c>
      <c r="X46" t="s">
        <v>1000</v>
      </c>
      <c r="Y46" t="s">
        <v>1000</v>
      </c>
    </row>
    <row r="47" spans="1:25"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5.7686516084873372</v>
      </c>
      <c r="X47" t="s">
        <v>1000</v>
      </c>
      <c r="Y47" t="s">
        <v>1000</v>
      </c>
    </row>
    <row r="48" spans="1:25"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3.2197125256673513</v>
      </c>
      <c r="X48" t="s">
        <v>1000</v>
      </c>
      <c r="Y48" t="s">
        <v>1000</v>
      </c>
    </row>
    <row r="49" spans="1:25"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4.3942505133470222</v>
      </c>
      <c r="X49" t="s">
        <v>1000</v>
      </c>
      <c r="Y49" t="s">
        <v>1000</v>
      </c>
    </row>
    <row r="50" spans="1:25"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3.3127994524298425</v>
      </c>
      <c r="X50" t="s">
        <v>1000</v>
      </c>
      <c r="Y50" t="s">
        <v>1000</v>
      </c>
    </row>
    <row r="51" spans="1:25"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0.42162902121834361</v>
      </c>
      <c r="X51" t="s">
        <v>1008</v>
      </c>
      <c r="Y51" t="s">
        <v>1000</v>
      </c>
    </row>
    <row r="52" spans="1:25"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row>
    <row r="53" spans="1:25"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3.1704312114989732</v>
      </c>
      <c r="X53" t="s">
        <v>1000</v>
      </c>
      <c r="Y53" t="s">
        <v>1000</v>
      </c>
    </row>
    <row r="54" spans="1:25"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3.1676933607118412</v>
      </c>
      <c r="X54" t="s">
        <v>1000</v>
      </c>
      <c r="Y54" t="s">
        <v>1000</v>
      </c>
    </row>
    <row r="55" spans="1:25"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3.1676933607118412</v>
      </c>
      <c r="X55" t="s">
        <v>1000</v>
      </c>
      <c r="Y55" t="s">
        <v>1000</v>
      </c>
    </row>
    <row r="56" spans="1:25"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5.7741273100616013</v>
      </c>
      <c r="X56" t="s">
        <v>1000</v>
      </c>
      <c r="Y56" t="s">
        <v>1000</v>
      </c>
    </row>
    <row r="57" spans="1:25"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4.1013004791238874</v>
      </c>
      <c r="X57" t="s">
        <v>1000</v>
      </c>
      <c r="Y57" t="s">
        <v>1000</v>
      </c>
    </row>
    <row r="58" spans="1:25"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4.1013004791238874</v>
      </c>
      <c r="X58" t="s">
        <v>1000</v>
      </c>
      <c r="Y58" t="s">
        <v>1000</v>
      </c>
    </row>
    <row r="59" spans="1:25"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1.6481861738535251</v>
      </c>
      <c r="X59" t="s">
        <v>1000</v>
      </c>
      <c r="Y59" t="s">
        <v>1000</v>
      </c>
    </row>
    <row r="60" spans="1:25"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0.54757015742642023</v>
      </c>
      <c r="X60" t="s">
        <v>1008</v>
      </c>
      <c r="Y60" t="s">
        <v>1000</v>
      </c>
    </row>
    <row r="61" spans="1:25"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1.8562628336755647</v>
      </c>
      <c r="X61" t="s">
        <v>1000</v>
      </c>
      <c r="Y61" t="s">
        <v>1001</v>
      </c>
    </row>
    <row r="62" spans="1:25"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1.9438740588637919</v>
      </c>
      <c r="X62" t="s">
        <v>1000</v>
      </c>
      <c r="Y62" t="s">
        <v>1000</v>
      </c>
    </row>
    <row r="63" spans="1:25"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4.6543463381245723E-2</v>
      </c>
      <c r="X63" t="s">
        <v>1008</v>
      </c>
      <c r="Y63" t="s">
        <v>1000</v>
      </c>
    </row>
    <row r="64" spans="1:25"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2.0177960301163584</v>
      </c>
      <c r="X64" t="s">
        <v>1000</v>
      </c>
      <c r="Y64" t="s">
        <v>1000</v>
      </c>
    </row>
    <row r="65" spans="1:25"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1.9931553730321698</v>
      </c>
      <c r="X65" t="s">
        <v>1001</v>
      </c>
      <c r="Y65" t="s">
        <v>1000</v>
      </c>
    </row>
    <row r="66" spans="1:25"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0.75564681724845995</v>
      </c>
      <c r="X66" t="s">
        <v>1000</v>
      </c>
      <c r="Y66" t="s">
        <v>1000</v>
      </c>
    </row>
    <row r="67" spans="1:25"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0.13141683778234087</v>
      </c>
      <c r="X67" t="s">
        <v>1008</v>
      </c>
      <c r="Y67" t="s">
        <v>1000</v>
      </c>
    </row>
    <row r="68" spans="1:25"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1.4236824093086926</v>
      </c>
      <c r="X68" t="s">
        <v>1001</v>
      </c>
      <c r="Y68" t="s">
        <v>1000</v>
      </c>
    </row>
    <row r="69" spans="1:25"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4.7529089664613275</v>
      </c>
      <c r="X69" t="s">
        <v>1000</v>
      </c>
      <c r="Y69" t="s">
        <v>1000</v>
      </c>
    </row>
    <row r="70" spans="1:25"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1.0376454483230664</v>
      </c>
      <c r="X70" t="s">
        <v>1001</v>
      </c>
      <c r="Y70" t="s">
        <v>1000</v>
      </c>
    </row>
    <row r="71" spans="1:25"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1.0376454483230664</v>
      </c>
      <c r="X71" t="s">
        <v>1001</v>
      </c>
      <c r="Y71" t="s">
        <v>1000</v>
      </c>
    </row>
    <row r="72" spans="1:25"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1.0376454483230664</v>
      </c>
      <c r="X72" t="s">
        <v>1001</v>
      </c>
      <c r="Y72" t="s">
        <v>1000</v>
      </c>
    </row>
    <row r="73" spans="1:25"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2.7953456536618755</v>
      </c>
      <c r="X73" t="s">
        <v>1000</v>
      </c>
      <c r="Y73" t="s">
        <v>1000</v>
      </c>
    </row>
    <row r="74" spans="1:25"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3.2854209445585214</v>
      </c>
      <c r="X74" t="s">
        <v>1000</v>
      </c>
      <c r="Y74" t="s">
        <v>1000</v>
      </c>
    </row>
    <row r="75" spans="1:25"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4.5201916495550991</v>
      </c>
      <c r="X75" t="s">
        <v>1000</v>
      </c>
      <c r="Y75" t="s">
        <v>1000</v>
      </c>
    </row>
    <row r="76" spans="1:25"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5.248459958932238</v>
      </c>
      <c r="X76" t="s">
        <v>1000</v>
      </c>
      <c r="Y76" t="s">
        <v>1000</v>
      </c>
    </row>
    <row r="77" spans="1:25"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4.8295687885010263</v>
      </c>
      <c r="X77" t="s">
        <v>1000</v>
      </c>
      <c r="Y77" t="s">
        <v>1000</v>
      </c>
    </row>
    <row r="78" spans="1:25"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1.1143052703627652</v>
      </c>
      <c r="X78" t="s">
        <v>1000</v>
      </c>
      <c r="Y78" t="s">
        <v>1000</v>
      </c>
    </row>
    <row r="79" spans="1:25"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0.22724161533196441</v>
      </c>
      <c r="X79" t="s">
        <v>1008</v>
      </c>
      <c r="Y79" t="s">
        <v>1000</v>
      </c>
    </row>
    <row r="80" spans="1:25"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row>
    <row r="81" spans="1:25"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3.3100616016427105</v>
      </c>
      <c r="X81" t="s">
        <v>1000</v>
      </c>
      <c r="Y81" t="s">
        <v>1000</v>
      </c>
    </row>
    <row r="82" spans="1:25"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2.9568788501026693</v>
      </c>
      <c r="X82" t="s">
        <v>1000</v>
      </c>
      <c r="Y82" t="s">
        <v>1000</v>
      </c>
    </row>
    <row r="83" spans="1:25" ht="14.25" customHeight="1" x14ac:dyDescent="0.3">
      <c r="A83" t="s">
        <v>1068</v>
      </c>
      <c r="B83">
        <v>1113000</v>
      </c>
      <c r="C83">
        <v>785</v>
      </c>
      <c r="D83">
        <v>480</v>
      </c>
      <c r="F83" t="s">
        <v>1069</v>
      </c>
      <c r="G83" t="s">
        <v>36</v>
      </c>
      <c r="H83" t="s">
        <v>36</v>
      </c>
      <c r="I83" t="s">
        <v>803</v>
      </c>
      <c r="J83" t="s">
        <v>1071</v>
      </c>
      <c r="K83" t="s">
        <v>1070</v>
      </c>
      <c r="L83" t="s">
        <v>22</v>
      </c>
      <c r="M83" t="s">
        <v>26</v>
      </c>
      <c r="N83" s="1" t="s">
        <v>27</v>
      </c>
      <c r="Q83" s="1" t="s">
        <v>29</v>
      </c>
      <c r="R83" t="s">
        <v>22</v>
      </c>
      <c r="T83" t="s">
        <v>1072</v>
      </c>
      <c r="W83" s="45" t="str">
        <f ca="1">IF(ISNUMBER(S83),(TODAY()-S83)/365.25,"")</f>
        <v/>
      </c>
      <c r="X83" t="s">
        <v>1008</v>
      </c>
      <c r="Y83" t="s">
        <v>1008</v>
      </c>
    </row>
    <row r="84" spans="1:25" ht="14.25" customHeight="1" x14ac:dyDescent="0.3"/>
    <row r="85" spans="1:25" ht="14.25" customHeight="1" x14ac:dyDescent="0.3"/>
    <row r="86" spans="1:25" ht="14.25" customHeight="1" x14ac:dyDescent="0.3"/>
    <row r="87" spans="1:25" ht="14.25" customHeight="1" x14ac:dyDescent="0.3"/>
    <row r="88" spans="1:25" ht="14.25" customHeight="1" x14ac:dyDescent="0.3"/>
    <row r="89" spans="1:25" ht="14.25" customHeight="1" x14ac:dyDescent="0.3"/>
    <row r="90" spans="1:25" ht="14.25" customHeight="1" x14ac:dyDescent="0.3"/>
    <row r="91" spans="1:25" ht="14.25" customHeight="1" x14ac:dyDescent="0.3"/>
    <row r="92" spans="1:25" ht="14.25" customHeight="1" x14ac:dyDescent="0.3"/>
    <row r="93" spans="1:25" ht="14.25" customHeight="1" x14ac:dyDescent="0.3"/>
    <row r="94" spans="1:25" ht="14.25" customHeight="1" x14ac:dyDescent="0.3"/>
    <row r="95" spans="1:25" ht="14.25" customHeight="1" x14ac:dyDescent="0.3"/>
    <row r="96" spans="1:25"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67"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1.6700889801505818</v>
      </c>
      <c r="E2" s="31" cm="1">
        <f t="array" ref="E2">IFERROR(SUM(INDEX('Simulated Production'!$B$2:$M$80,MATCH(TRIM($A2),INDEX(TRIM('Simulated Production'!$A$2:$A$80),0),0),0)),"Not found")</f>
        <v>63342</v>
      </c>
      <c r="F2" s="32">
        <f ca="1">(Table2[[#This Row],[As-Built kWh]]*Table2[[#This Row],[Expected Utilisation%]])*(1-0.007)^(Table2[[#This Row],[Age]])</f>
        <v>56342.907564586771</v>
      </c>
      <c r="G2" s="32">
        <f ca="1">(4681+4732*(9/31)+4546*(10/31)+4620*(3/30)+4991+4762)*(1-0.007)^(Table2[[#This Row],[Age]])</f>
        <v>17529.396831147471</v>
      </c>
      <c r="H2" s="31">
        <f ca="1">F2-G2</f>
        <v>38813.510733439296</v>
      </c>
      <c r="I2" s="31" cm="1">
        <f t="array" ref="I2">SUMPRODUCT((TRIM(measured[Site Name])=TRIM($A2))*(measured[Date]&gt;=DATE(2025,7,1))*(measured[Date]&lt;=DATE(2026,6,30))*measured[Measured Value (kWh)])</f>
        <v>34917.199999999997</v>
      </c>
      <c r="J2" s="31">
        <f ca="1">I2-H2</f>
        <v>-3896.3107334392989</v>
      </c>
      <c r="K2" s="31">
        <f ca="1">(Table2[[#This Row],[Actual Generation (kWh)]]/Table2[[#This Row],[Correct kWh]])*100</f>
        <v>89.961457596046628</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2.1820670773442847</v>
      </c>
      <c r="E3" s="31" cm="1">
        <f t="array" ref="E3">IFERROR(SUM(INDEX('Simulated Production'!$B$2:$M$80,MATCH(TRIM($A3),INDEX(TRIM('Simulated Production'!$A$2:$A$80),0),0),0)),"Not found")</f>
        <v>94580</v>
      </c>
      <c r="F3" s="32">
        <f ca="1">(Table2[[#This Row],[As-Built kWh]]*Table2[[#This Row],[Expected Utilisation%]])*(1-0.007)^(Table2[[#This Row],[Age]])</f>
        <v>83827.18352053345</v>
      </c>
      <c r="G3" s="32">
        <f ca="1">(8100*(1/2)+7806*(1/2))*(1-0.007)^(Table2[[#This Row],[Age]])</f>
        <v>7832.0245123329159</v>
      </c>
      <c r="H3" s="31">
        <f t="shared" ref="H3:H24" ca="1" si="0">F3-G3</f>
        <v>75995.159008200528</v>
      </c>
      <c r="I3" s="31" cm="1">
        <f t="array" ref="I3">SUMPRODUCT((TRIM(measured[Site Name])=TRIM($A3))*(measured[Date]&gt;=DATE(2025,7,1))*(measured[Date]&lt;=DATE(2026,6,30))*measured[Measured Value (kWh)])</f>
        <v>76046.755900000004</v>
      </c>
      <c r="J3" s="31">
        <f t="shared" ref="J3:J23" ca="1" si="1">I3-H3</f>
        <v>51.596891799475998</v>
      </c>
      <c r="K3" s="31">
        <f ca="1">(Table2[[#This Row],[Actual Generation (kWh)]]/Table2[[#This Row],[Correct kWh]])*100</f>
        <v>100.06789497182828</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2.2121834360027379</v>
      </c>
      <c r="E4" s="31" cm="1">
        <f t="array" ref="E4">IFERROR(SUM(INDEX('Simulated Production'!$B$2:$M$80,MATCH(TRIM($A4),INDEX(TRIM('Simulated Production'!$A$2:$A$80),0),0),0)),"Not found")</f>
        <v>428379</v>
      </c>
      <c r="F4" s="32">
        <f ca="1">(Table2[[#This Row],[As-Built kWh]]*Table2[[#This Row],[Expected Utilisation%]])*(1-0.007)^(Table2[[#This Row],[Age]])</f>
        <v>337418.84753193305</v>
      </c>
      <c r="G4" s="32">
        <f ca="1">(23255*(7/30)+35066*(2/30))*(1-0.007)^(Table2[[#This Row],[Age]])</f>
        <v>7644.1836269786063</v>
      </c>
      <c r="H4" s="31">
        <f t="shared" ca="1" si="0"/>
        <v>329774.66390495445</v>
      </c>
      <c r="I4" s="31" cm="1">
        <f t="array" ref="I4">SUMPRODUCT((TRIM(measured[Site Name])=TRIM($A4))*(measured[Date]&gt;=DATE(2025,7,1))*(measured[Date]&lt;=DATE(2026,6,30))*measured[Measured Value (kWh)])</f>
        <v>166060.42000000001</v>
      </c>
      <c r="J4" s="31">
        <f t="shared" ca="1" si="1"/>
        <v>-163714.24390495443</v>
      </c>
      <c r="K4" s="31">
        <f ca="1">(Table2[[#This Row],[Actual Generation (kWh)]]/Table2[[#This Row],[Correct kWh]])*100</f>
        <v>50.355724127994527</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3.2717316906228611</v>
      </c>
      <c r="E5" s="40" cm="1">
        <f t="array" ref="E5">IFERROR(SUM(INDEX('Simulated Production'!$B$2:$M$80,MATCH(TRIM($A5),INDEX(TRIM('Simulated Production'!$A$2:$A$80),0),0),0)),"Not found")</f>
        <v>45617</v>
      </c>
      <c r="F5" s="41">
        <f ca="1">(Table2[[#This Row],[As-Built kWh]]*Table2[[#This Row],[Expected Utilisation%]])*(1-0.007)^(Table2[[#This Row],[Age]])</f>
        <v>40122.500356605771</v>
      </c>
      <c r="G5" s="41">
        <f ca="1">(4681+3499*(9/31)+2081*(10/31)+4317*(3/30)+4991*(18/31))*(1-0.007)^(Table2[[#This Row],[Age]])</f>
        <v>9477.4888700137617</v>
      </c>
      <c r="H5" s="40">
        <f t="shared" ca="1" si="0"/>
        <v>30645.011486592011</v>
      </c>
      <c r="I5" s="40" cm="1">
        <f t="array" ref="I5">SUMPRODUCT((TRIM(measured[Site Name])=TRIM($A5))*(measured[Date]&gt;=DATE(2025,7,1))*(measured[Date]&lt;=DATE(2026,6,30))*measured[Measured Value (kWh)])</f>
        <v>24341.599999999999</v>
      </c>
      <c r="J5" s="40">
        <f t="shared" ca="1" si="1"/>
        <v>-6303.4114865920128</v>
      </c>
      <c r="K5" s="40">
        <f ca="1">(Table2[[#This Row],[Actual Generation (kWh)]]/Table2[[#This Row],[Correct kWh]])*100</f>
        <v>79.430872495022825</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3.2744695414099931</v>
      </c>
      <c r="E6" s="14" cm="1">
        <f t="array" ref="E6">IFERROR(SUM(INDEX('Simulated Production'!$B$2:$M$80,MATCH(TRIM($A6),INDEX(TRIM('Simulated Production'!$A$2:$A$80),0),0),0)),"Not found")</f>
        <v>40942</v>
      </c>
      <c r="F6" s="5">
        <f ca="1">(Table2[[#This Row],[As-Built kWh]]*Table2[[#This Row],[Expected Utilisation%]])*(1-0.007)^(Table2[[#This Row],[Age]])</f>
        <v>36009.904575376364</v>
      </c>
      <c r="G6" s="5">
        <f ca="1">(2974*(24/31)+3147*(2/30))*(1-0.007)^(Table2[[#This Row],[Age]])</f>
        <v>2455.1246166658666</v>
      </c>
      <c r="H6" s="14">
        <f t="shared" ca="1" si="0"/>
        <v>33554.779958710496</v>
      </c>
      <c r="I6" s="14" cm="1">
        <f t="array" ref="I6">SUMPRODUCT((TRIM(measured[Site Name])=TRIM($A6))*(measured[Date]&gt;=DATE(2025,7,1))*(measured[Date]&lt;=DATE(2026,6,30))*measured[Measured Value (kWh)])</f>
        <v>32105.499999999996</v>
      </c>
      <c r="J6" s="14">
        <f t="shared" ca="1" si="1"/>
        <v>-1449.2799587105001</v>
      </c>
      <c r="K6" s="14">
        <f ca="1">(Table2[[#This Row],[Actual Generation (kWh)]]/Table2[[#This Row],[Correct kWh]])*100</f>
        <v>95.68085393349665</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3.3182751540041067</v>
      </c>
      <c r="E7" s="31" cm="1">
        <f t="array" ref="E7">IFERROR(SUM(INDEX('Simulated Production'!$B$2:$M$80,MATCH(TRIM($A7),INDEX(TRIM('Simulated Production'!$A$2:$A$80),0),0),0)),"Not found")</f>
        <v>319608</v>
      </c>
      <c r="F7" s="32">
        <f ca="1">(Table2[[#This Row],[As-Built kWh]]*Table2[[#This Row],[Expected Utilisation%]])*(1-0.007)^(Table2[[#This Row],[Age]])</f>
        <v>265407.58743273781</v>
      </c>
      <c r="G7" s="32">
        <v>0</v>
      </c>
      <c r="H7" s="31">
        <f t="shared" ca="1" si="0"/>
        <v>265407.58743273781</v>
      </c>
      <c r="I7" s="31" cm="1">
        <f t="array" ref="I7">SUMPRODUCT((TRIM(measured[Site Name])=TRIM($A7))*(measured[Date]&gt;=DATE(2025,7,1))*(measured[Date]&lt;=DATE(2026,6,30))*measured[Measured Value (kWh)])</f>
        <v>254905.02</v>
      </c>
      <c r="J7" s="31">
        <f t="shared" ca="1" si="1"/>
        <v>-10502.567432737822</v>
      </c>
      <c r="K7" s="31">
        <f ca="1">(Table2[[#This Row],[Actual Generation (kWh)]]/Table2[[#This Row],[Correct kWh]])*100</f>
        <v>96.042853358365463</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2.2039698836413417</v>
      </c>
      <c r="E8" s="31" cm="1">
        <f t="array" ref="E8">IFERROR(SUM(INDEX('Simulated Production'!$B$2:$M$80,MATCH(TRIM($A8),INDEX(TRIM('Simulated Production'!$A$2:$A$80),0),0),0)),"Not found")</f>
        <v>355254</v>
      </c>
      <c r="F8" s="32">
        <f ca="1">(Table2[[#This Row],[As-Built kWh]]*Table2[[#This Row],[Expected Utilisation%]])*(1-0.007)^(Table2[[#This Row],[Age]])</f>
        <v>314816.67055695469</v>
      </c>
      <c r="G8" s="32">
        <f ca="1">((22354*(0.5)+26969*(7/31))*(1-0.007)^(Table2[[#This Row],[Age]]))*(1-0.007)^(Table2[[#This Row],[Age]])</f>
        <v>16740.317115715421</v>
      </c>
      <c r="H8" s="31">
        <f t="shared" ca="1" si="0"/>
        <v>298076.35344123928</v>
      </c>
      <c r="I8" s="31" cm="1">
        <f t="array" ref="I8">SUMPRODUCT((TRIM(measured[Site Name])=TRIM($A8))*(measured[Date]&gt;=DATE(2025,7,1))*(measured[Date]&lt;=DATE(2026,6,30))*measured[Measured Value (kWh)])</f>
        <v>271722.179</v>
      </c>
      <c r="J8" s="31">
        <f t="shared" ca="1" si="1"/>
        <v>-26354.174441239273</v>
      </c>
      <c r="K8" s="31">
        <f ca="1">(Table2[[#This Row],[Actual Generation (kWh)]]/Table2[[#This Row],[Correct kWh]])*100</f>
        <v>91.158582646028464</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2.3791923340177958</v>
      </c>
      <c r="E9" s="31" cm="1">
        <f t="array" ref="E9">IFERROR(SUM(INDEX('Simulated Production'!$B$2:$M$80,MATCH(TRIM($A9),INDEX(TRIM('Simulated Production'!$A$2:$A$80),0),0),0)),"Not found")</f>
        <v>200775</v>
      </c>
      <c r="F9" s="32">
        <f ca="1">(Table2[[#This Row],[As-Built kWh]]*Table2[[#This Row],[Expected Utilisation%]])*(1-0.007)^(Table2[[#This Row],[Age]])</f>
        <v>157957.88024384741</v>
      </c>
      <c r="G9" s="32">
        <f ca="1">('Expected Production'!I34*0.5+'Expected Production'!C34*0.8)*(1-0.007)^(Table2[[#This Row],[Age]])</f>
        <v>17825.736586731524</v>
      </c>
      <c r="H9" s="31">
        <f t="shared" ca="1" si="0"/>
        <v>140132.14365711587</v>
      </c>
      <c r="I9" s="31" cm="1">
        <f t="array" ref="I9">SUMPRODUCT((TRIM(measured[Site Name])=TRIM($A9))*(measured[Date]&gt;=DATE(2025,7,1))*(measured[Date]&lt;=DATE(2026,6,30))*measured[Measured Value (kWh)])</f>
        <v>147166.31</v>
      </c>
      <c r="J9" s="31">
        <f t="shared" ca="1" si="1"/>
        <v>7034.1663428841275</v>
      </c>
      <c r="K9" s="31">
        <f ca="1">(Table2[[#This Row],[Actual Generation (kWh)]]/Table2[[#This Row],[Correct kWh]])*100</f>
        <v>105.01966655137723</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2.7926078028747434</v>
      </c>
      <c r="E10" s="31" cm="1">
        <f t="array" ref="E10">IFERROR(SUM(INDEX('Simulated Production'!$B$2:$M$80,MATCH(TRIM($A10),INDEX(TRIM('Simulated Production'!$A$2:$A$80),0),0),0)),"Not found")</f>
        <v>73186</v>
      </c>
      <c r="F10" s="32">
        <f ca="1">(Table2[[#This Row],[As-Built kWh]]*Table2[[#This Row],[Expected Utilisation%]])*(1-0.007)^(Table2[[#This Row],[Age]])</f>
        <v>64587.87086820307</v>
      </c>
      <c r="G10" s="32">
        <v>0</v>
      </c>
      <c r="H10" s="31">
        <f t="shared" ca="1" si="0"/>
        <v>64587.87086820307</v>
      </c>
      <c r="I10" s="31" cm="1">
        <f t="array" ref="I10">SUMPRODUCT((TRIM(measured[Site Name])=TRIM($A10))*(measured[Date]&gt;=DATE(2025,7,1))*(measured[Date]&lt;=DATE(2026,6,30))*measured[Measured Value (kWh)])</f>
        <v>61467.39</v>
      </c>
      <c r="J10" s="31">
        <f t="shared" ca="1" si="1"/>
        <v>-3120.4808682030707</v>
      </c>
      <c r="K10" s="31">
        <f ca="1">(Table2[[#This Row],[Actual Generation (kWh)]]/Table2[[#This Row],[Correct kWh]])*100</f>
        <v>95.168627133458742</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2.9952087611225187</v>
      </c>
      <c r="E11" s="14" cm="1">
        <f t="array" ref="E11">IFERROR(SUM(INDEX('Simulated Production'!$B$2:$M$80,MATCH(TRIM($A11),INDEX(TRIM('Simulated Production'!$A$2:$A$80),0),0),0)),"Not found")</f>
        <v>66026</v>
      </c>
      <c r="F11" s="5">
        <f ca="1">(Table2[[#This Row],[As-Built kWh]]*Table2[[#This Row],[Expected Utilisation%]])*(1-0.007)^(Table2[[#This Row],[Age]])</f>
        <v>58186.181774140241</v>
      </c>
      <c r="G11" s="5">
        <v>0</v>
      </c>
      <c r="H11" s="14">
        <f t="shared" ca="1" si="0"/>
        <v>58186.181774140241</v>
      </c>
      <c r="I11" s="14" cm="1">
        <f t="array" ref="I11">SUMPRODUCT((TRIM(measured[Site Name])=TRIM($A11))*(measured[Date]&gt;=DATE(2025,7,1))*(measured[Date]&lt;=DATE(2026,6,30))*measured[Measured Value (kWh)])</f>
        <v>46668.700000000004</v>
      </c>
      <c r="J11" s="14">
        <f t="shared" ca="1" si="1"/>
        <v>-11517.481774140237</v>
      </c>
      <c r="K11" s="14">
        <f ca="1">(Table2[[#This Row],[Actual Generation (kWh)]]/Table2[[#This Row],[Correct kWh]])*100</f>
        <v>80.205812749756731</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4.3258042436687196</v>
      </c>
      <c r="E12" s="14" cm="1">
        <f t="array" ref="E12">IFERROR(SUM(INDEX('Simulated Production'!$B$2:$M$80,MATCH(TRIM($A12),INDEX(TRIM('Simulated Production'!$A$2:$A$80),0),0),0)),"Not found")</f>
        <v>125072.49999999997</v>
      </c>
      <c r="F12" s="5">
        <f ca="1">(Table2[[#This Row],[As-Built kWh]]*Table2[[#This Row],[Expected Utilisation%]])*(1-0.007)^(Table2[[#This Row],[Age]])</f>
        <v>90996.804235690171</v>
      </c>
      <c r="G12" s="5">
        <f ca="1">(5691*0.3*(1-0.007)^(Table2[[#This Row],[Age]]))*(1-0.007)^(Table2[[#This Row],[Age]])</f>
        <v>1606.630224171352</v>
      </c>
      <c r="H12" s="14">
        <f t="shared" ca="1" si="0"/>
        <v>89390.174011518815</v>
      </c>
      <c r="I12" s="14" cm="1">
        <f t="array" ref="I12">SUMPRODUCT((TRIM(measured[Site Name])=TRIM($A12))*(measured[Date]&gt;=DATE(2025,7,1))*(measured[Date]&lt;=DATE(2026,6,30))*measured[Measured Value (kWh)])</f>
        <v>72438</v>
      </c>
      <c r="J12" s="14">
        <f t="shared" ca="1" si="1"/>
        <v>-16952.174011518815</v>
      </c>
      <c r="K12" s="14">
        <f ca="1">(Table2[[#This Row],[Actual Generation (kWh)]]/Table2[[#This Row],[Correct kWh]])*100</f>
        <v>81.035752308375237</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3.3127994524298425</v>
      </c>
      <c r="E13" s="14" cm="1">
        <f t="array" ref="E13">IFERROR(SUM(INDEX('Simulated Production'!$B$2:$M$80,MATCH(TRIM($A13),INDEX(TRIM('Simulated Production'!$A$2:$A$80),0),0),0)),"Not found")</f>
        <v>225937</v>
      </c>
      <c r="F13" s="5">
        <f ca="1">(Table2[[#This Row],[As-Built kWh]]*Table2[[#This Row],[Expected Utilisation%]])*(1-0.007)^(Table2[[#This Row],[Age]])</f>
        <v>187628.91002962843</v>
      </c>
      <c r="G13" s="5">
        <v>0</v>
      </c>
      <c r="H13" s="14">
        <f t="shared" ca="1" si="0"/>
        <v>187628.91002962843</v>
      </c>
      <c r="I13" s="14" cm="1">
        <f t="array" ref="I13">SUMPRODUCT((TRIM(measured[Site Name])=TRIM($A13))*(measured[Date]&gt;=DATE(2025,7,1))*(measured[Date]&lt;=DATE(2026,6,30))*measured[Measured Value (kWh)])</f>
        <v>176720.45</v>
      </c>
      <c r="J13" s="14">
        <f t="shared" ca="1" si="1"/>
        <v>-10908.460029628419</v>
      </c>
      <c r="K13" s="14">
        <f ca="1">(Table2[[#This Row],[Actual Generation (kWh)]]/Table2[[#This Row],[Correct kWh]])*100</f>
        <v>94.186151788705757</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3.2854209445585214</v>
      </c>
      <c r="E14" s="14" cm="1">
        <f t="array" ref="E14">IFERROR(SUM(INDEX('Simulated Production'!$B$2:$M$80,MATCH(TRIM($A14),INDEX(TRIM('Simulated Production'!$A$2:$A$80),0),0),0)),"Not found")</f>
        <v>81158</v>
      </c>
      <c r="F14" s="5">
        <f ca="1">(Table2[[#This Row],[As-Built kWh]]*Table2[[#This Row],[Expected Utilisation%]])*(1-0.007)^(Table2[[#This Row],[Age]])</f>
        <v>73358.43638593948</v>
      </c>
      <c r="G14" s="5">
        <v>0</v>
      </c>
      <c r="H14" s="14">
        <f t="shared" ca="1" si="0"/>
        <v>73358.43638593948</v>
      </c>
      <c r="I14" s="14" cm="1">
        <f t="array" ref="I14">SUMPRODUCT((TRIM(measured[Site Name])=TRIM($A14))*(measured[Date]&gt;=DATE(2025,7,1))*(measured[Date]&lt;=DATE(2026,6,30))*measured[Measured Value (kWh)])</f>
        <v>56043.3</v>
      </c>
      <c r="J14" s="14">
        <f t="shared" ca="1" si="1"/>
        <v>-17315.136385939477</v>
      </c>
      <c r="K14" s="14">
        <f ca="1">(Table2[[#This Row],[Actual Generation (kWh)]]/Table2[[#This Row],[Correct kWh]])*100</f>
        <v>76.396530189323599</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1.0376454483230664</v>
      </c>
      <c r="E16" s="14" cm="1">
        <f t="array" ref="E16">IFERROR(SUM(INDEX('Simulated Production'!$B$2:$M$80,MATCH(TRIM($A16),INDEX(TRIM('Simulated Production'!$A$2:$A$80),0),0),0)),"Not found")</f>
        <v>96848.548387096773</v>
      </c>
      <c r="F16" s="5">
        <f ca="1">(Table2[[#This Row],[As-Built kWh]]*Table2[[#This Row],[Expected Utilisation%]])*(1-0.007)^(Table2[[#This Row],[Age]])</f>
        <v>86530.662085914693</v>
      </c>
      <c r="G16" s="5">
        <f ca="1">(6087*(1-0.007)^(Table2[[#This Row],[Age]]))*(1-0.007)^(Table2[[#This Row],[Age]])</f>
        <v>5998.9066647429017</v>
      </c>
      <c r="H16" s="14">
        <f t="shared" ca="1" si="0"/>
        <v>80531.755421171794</v>
      </c>
      <c r="I16" s="14" cm="1">
        <f t="array" ref="I16">SUMPRODUCT((TRIM(measured[Site Name])=TRIM($A16))*(measured[Date]&gt;=DATE(2025,7,1))*(measured[Date]&lt;=DATE(2026,6,30))*measured[Measured Value (kWh)])</f>
        <v>77775.48</v>
      </c>
      <c r="J16" s="14">
        <f t="shared" ca="1" si="1"/>
        <v>-2756.2754211717984</v>
      </c>
      <c r="K16" s="14">
        <f ca="1">(Table2[[#This Row],[Actual Generation (kWh)]]/Table2[[#This Row],[Correct kWh]])*100</f>
        <v>96.577405513195629</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1.0376454483230664</v>
      </c>
      <c r="E17" s="14" cm="1">
        <f t="array" ref="E17">IFERROR(SUM(INDEX('Simulated Production'!$B$2:$M$80,MATCH(TRIM($A17),INDEX(TRIM('Simulated Production'!$A$2:$A$80),0),0),0)),"Not found")</f>
        <v>100237.87096774194</v>
      </c>
      <c r="F17" s="5">
        <f ca="1">(Table2[[#This Row],[As-Built kWh]]*Table2[[#This Row],[Expected Utilisation%]])*(1-0.007)^(Table2[[#This Row],[Age]])</f>
        <v>89558.898768964893</v>
      </c>
      <c r="G17" s="5">
        <f ca="1">(6247*(1-0.007)^(Table2[[#This Row],[Age]]))*(1-0.007)^(Table2[[#This Row],[Age]])</f>
        <v>6156.5910850417131</v>
      </c>
      <c r="H17" s="14">
        <f t="shared" ca="1" si="0"/>
        <v>83402.30768392318</v>
      </c>
      <c r="I17" s="14" cm="1">
        <f t="array" ref="I17">SUMPRODUCT((TRIM(measured[Site Name])=TRIM($A17))*(measured[Date]&gt;=DATE(2025,7,1))*(measured[Date]&lt;=DATE(2026,6,30))*measured[Measured Value (kWh)])</f>
        <v>78264.639999999999</v>
      </c>
      <c r="J17" s="14">
        <f t="shared" ca="1" si="1"/>
        <v>-5137.6676839231804</v>
      </c>
      <c r="K17" s="14">
        <f ca="1">(Table2[[#This Row],[Actual Generation (kWh)]]/Table2[[#This Row],[Correct kWh]])*100</f>
        <v>93.83989744816914</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0.94182067077344289</v>
      </c>
      <c r="E18" s="14" cm="1">
        <f t="array" ref="E18">IFERROR(SUM(INDEX('Simulated Production'!$B$2:$M$80,MATCH(TRIM($A18),INDEX(TRIM('Simulated Production'!$A$2:$A$80),0),0),0)),"Not found")</f>
        <v>524973</v>
      </c>
      <c r="F18" s="5">
        <f ca="1">(Table2[[#This Row],[As-Built kWh]]*Table2[[#This Row],[Expected Utilisation%]])*(1-0.007)^(Table2[[#This Row],[Age]])</f>
        <v>469360.15248120186</v>
      </c>
      <c r="G18" s="5">
        <f ca="1">(31229+36815+40778+47657*(5/30))*(1-0.007)^(Table2[[#This Row],[Age]])</f>
        <v>115994.87545661174</v>
      </c>
      <c r="H18" s="14">
        <f t="shared" ca="1" si="0"/>
        <v>353365.27702459012</v>
      </c>
      <c r="I18" s="14" cm="1">
        <f t="array" ref="I18">SUMPRODUCT((TRIM(measured[Site Name])=TRIM($A18))*(measured[Date]&gt;=DATE(2025,7,1))*(measured[Date]&lt;=DATE(2026,6,30))*measured[Measured Value (kWh)])</f>
        <v>300497.95500000002</v>
      </c>
      <c r="J18" s="14">
        <f t="shared" ca="1" si="1"/>
        <v>-52867.322024590103</v>
      </c>
      <c r="K18" s="14">
        <f ca="1">(Table2[[#This Row],[Actual Generation (kWh)]]/Table2[[#This Row],[Correct kWh]])*100</f>
        <v>85.038902953412958</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0.94182067077344289</v>
      </c>
      <c r="E19" s="14" cm="1">
        <f t="array" ref="E19">IFERROR(SUM(INDEX('Simulated Production'!$B$2:$M$80,MATCH(TRIM($A19),INDEX(TRIM('Simulated Production'!$A$2:$A$80),0),0),0)),"Not found")</f>
        <v>138565</v>
      </c>
      <c r="F19" s="5">
        <f ca="1">(Table2[[#This Row],[As-Built kWh]]*Table2[[#This Row],[Expected Utilisation%]])*(1-0.007)^(Table2[[#This Row],[Age]])</f>
        <v>123886.16086647834</v>
      </c>
      <c r="G19" s="5">
        <f ca="1">(8307+9721+10756+12191*(5/30))*(1-0.007)^(Table2[[#This Row],[Age]])</f>
        <v>30612.630939895185</v>
      </c>
      <c r="H19" s="14">
        <f t="shared" ca="1" si="0"/>
        <v>93273.529926583156</v>
      </c>
      <c r="I19" s="14" cm="1">
        <f t="array" ref="I19">SUMPRODUCT((TRIM(measured[Site Name])=TRIM($A19))*(measured[Date]&gt;=DATE(2025,7,1))*(measured[Date]&lt;=DATE(2026,6,30))*measured[Measured Value (kWh)])</f>
        <v>81974.632769999997</v>
      </c>
      <c r="J19" s="14">
        <f t="shared" ca="1" si="1"/>
        <v>-11298.89715658316</v>
      </c>
      <c r="K19" s="14">
        <f ca="1">(Table2[[#This Row],[Actual Generation (kWh)]]/Table2[[#This Row],[Correct kWh]])*100</f>
        <v>87.886276883187904</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0.91444216290212188</v>
      </c>
      <c r="E20" s="14" cm="1">
        <f t="array" ref="E20">IFERROR(SUM(INDEX('Simulated Production'!$B$2:$M$80,MATCH(TRIM($A20),INDEX(TRIM('Simulated Production'!$A$2:$A$80),0),0),0)),"Not found")</f>
        <v>89076</v>
      </c>
      <c r="F20" s="5">
        <f ca="1">(Table2[[#This Row],[As-Built kWh]]*Table2[[#This Row],[Expected Utilisation%]])*(1-0.007)^(Table2[[#This Row],[Age]])</f>
        <v>79655.080385015986</v>
      </c>
      <c r="G20" s="5">
        <f ca="1">(5785+6585+7019+7479+7553+7553*(3/30))*(1-0.007)^(Table2[[#This Row],[Age]])</f>
        <v>34951.065558841612</v>
      </c>
      <c r="H20" s="14">
        <f t="shared" ca="1" si="0"/>
        <v>44704.014826174374</v>
      </c>
      <c r="I20" s="14" cm="1">
        <f t="array" ref="I20">SUMPRODUCT((TRIM(measured[Site Name])=TRIM($A20))*(measured[Date]&gt;=DATE(2025,7,1))*(measured[Date]&lt;=DATE(2026,6,30))*measured[Measured Value (kWh)])</f>
        <v>33061.699999999997</v>
      </c>
      <c r="J20" s="14">
        <f t="shared" ca="1" si="1"/>
        <v>-11642.314826174377</v>
      </c>
      <c r="K20" s="14">
        <f ca="1">(Table2[[#This Row],[Actual Generation (kWh)]]/Table2[[#This Row],[Correct kWh]])*100</f>
        <v>73.956892079058292</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0.91444216290212188</v>
      </c>
      <c r="E21" s="14" cm="1">
        <f t="array" ref="E21">IFERROR(SUM(INDEX('Simulated Production'!$B$2:$M$80,MATCH(TRIM($A21),INDEX(TRIM('Simulated Production'!$A$2:$A$80),0),0),0)),"Not found")</f>
        <v>89076</v>
      </c>
      <c r="F21" s="5">
        <f ca="1">(Table2[[#This Row],[As-Built kWh]]*Table2[[#This Row],[Expected Utilisation%]])*(1-0.007)^(Table2[[#This Row],[Age]])</f>
        <v>79655.080385015986</v>
      </c>
      <c r="G21" s="5">
        <f ca="1">(5785+6585+7019+7479+7553+7553*(3/30))*(1-0.007)^(Table2[[#This Row],[Age]])</f>
        <v>34951.065558841612</v>
      </c>
      <c r="H21" s="14">
        <f t="shared" ca="1" si="0"/>
        <v>44704.014826174374</v>
      </c>
      <c r="I21" s="14" cm="1">
        <f t="array" ref="I21">SUMPRODUCT((TRIM(measured[Site Name])=TRIM($A21))*(measured[Date]&gt;=DATE(2025,7,1))*(measured[Date]&lt;=DATE(2026,6,30))*measured[Measured Value (kWh)])</f>
        <v>47460.299999999996</v>
      </c>
      <c r="J21" s="14">
        <f t="shared" ca="1" si="1"/>
        <v>2756.2851738256213</v>
      </c>
      <c r="K21" s="14">
        <f ca="1">(Table2[[#This Row],[Actual Generation (kWh)]]/Table2[[#This Row],[Correct kWh]])*100</f>
        <v>106.16563229173725</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0.86789869952087606</v>
      </c>
      <c r="E22" s="14" cm="1">
        <f t="array" ref="E22">IFERROR(SUM(INDEX('Simulated Production'!$B$2:$M$80,MATCH(TRIM($A22),INDEX(TRIM('Simulated Production'!$A$2:$A$80),0),0),0)),"Not found")</f>
        <v>31637</v>
      </c>
      <c r="F22" s="5">
        <f ca="1">(Table2[[#This Row],[As-Built kWh]]*Table2[[#This Row],[Expected Utilisation%]])*(1-0.007)^(Table2[[#This Row],[Age]])</f>
        <v>28300.236227902973</v>
      </c>
      <c r="G22" s="5">
        <f ca="1">(2350+2520+2436+2426+2356+2437)*(1-0.007)^(Table2[[#This Row],[Age]])</f>
        <v>14436.715491716475</v>
      </c>
      <c r="H22" s="14">
        <f t="shared" ca="1" si="0"/>
        <v>13863.520736186498</v>
      </c>
      <c r="I22" s="14" cm="1">
        <f t="array" ref="I22">SUMPRODUCT((TRIM(measured[Site Name])=TRIM($A22))*(measured[Date]&gt;=DATE(2025,7,1))*(measured[Date]&lt;=DATE(2026,6,30))*measured[Measured Value (kWh)])</f>
        <v>17882.440000000002</v>
      </c>
      <c r="J22" s="14">
        <f t="shared" ca="1" si="1"/>
        <v>4018.9192638135046</v>
      </c>
      <c r="K22" s="14">
        <f ca="1">(Table2[[#This Row],[Actual Generation (kWh)]]/Table2[[#This Row],[Correct kWh]])*100</f>
        <v>128.9891676168763</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0.29021218343600275</v>
      </c>
      <c r="E23" s="25" cm="1">
        <f t="array" ref="E23">IFERROR(SUM(INDEX('Simulated Production'!$B$2:$M$80,MATCH(TRIM($A23),INDEX(TRIM('Simulated Production'!$A$2:$A$80),0),0),0)),"Not found")</f>
        <v>190644.6</v>
      </c>
      <c r="F23" s="26">
        <f ca="1">(Table2[[#This Row],[As-Built kWh]]*Table2[[#This Row],[Expected Utilisation%]])*(1-0.007)^(Table2[[#This Row],[Age]])</f>
        <v>171230.70808047007</v>
      </c>
      <c r="G23" s="26">
        <v>171487.7679849522</v>
      </c>
      <c r="H23" s="25">
        <f t="shared" ca="1" si="0"/>
        <v>-257.05990448212833</v>
      </c>
      <c r="I23" s="25" cm="1">
        <f t="array" ref="I23">SUMPRODUCT((TRIM(measured[Site Name])=TRIM($A23))*(measured[Date]&gt;=DATE(2025,7,1))*(measured[Date]&lt;=DATE(2026,6,30))*measured[Measured Value (kWh)])</f>
        <v>10169</v>
      </c>
      <c r="J23" s="25">
        <f t="shared" ca="1" si="1"/>
        <v>10426.059904482128</v>
      </c>
      <c r="K23" s="25">
        <f ca="1">(Table2[[#This Row],[Actual Generation (kWh)]]/Table2[[#This Row],[Correct kWh]])*100</f>
        <v>-3955.8872553408974</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0.35044490075290896</v>
      </c>
      <c r="E24" s="25" cm="1">
        <f t="array" ref="E24">IFERROR(SUM(INDEX('Simulated Production'!$B$2:$M$80,MATCH(TRIM($A24),INDEX(TRIM('Simulated Production'!$A$2:$A$80),0),0),0)),"Not found")</f>
        <v>380893</v>
      </c>
      <c r="F24" s="26">
        <f ca="1">(Table2[[#This Row],[As-Built kWh]]*Table2[[#This Row],[Expected Utilisation%]])*(1-0.007)^(Table2[[#This Row],[Age]])</f>
        <v>341960.84412537218</v>
      </c>
      <c r="G24" s="26">
        <f ca="1">(28051+31649+28250+28466+28992+28904+28877+25885+27341+27824*(28/30))*(1-0.007)^(Table2[[#This Row],[Age]])</f>
        <v>281689.76532309514</v>
      </c>
      <c r="H24" s="25">
        <f t="shared" ca="1" si="0"/>
        <v>60271.078802277043</v>
      </c>
      <c r="I24" s="25" cm="1">
        <f t="array" ref="I24">SUMPRODUCT((TRIM(measured[Site Name])=TRIM($A24))*(measured[Date]&gt;=DATE(2025,7,1))*(measured[Date]&lt;=DATE(2026,6,30))*measured[Measured Value (kWh)])</f>
        <v>53212.2</v>
      </c>
      <c r="J24" s="25">
        <f ca="1">I24-H24</f>
        <v>-7058.8788022770459</v>
      </c>
      <c r="K24" s="25">
        <f ca="1">(Table2[[#This Row],[Actual Generation (kWh)]]/Table2[[#This Row],[Correct kWh]])*100</f>
        <v>88.288116054079396</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opLeftCell="A177" zoomScaleNormal="100" workbookViewId="0">
      <selection activeCell="D2717" sqref="D2717"/>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hidden="1" customHeight="1" x14ac:dyDescent="0.3">
      <c r="A428" t="s">
        <v>77</v>
      </c>
      <c r="B428" s="2">
        <v>46204</v>
      </c>
      <c r="C428">
        <v>16600</v>
      </c>
    </row>
    <row r="429" spans="1:3" ht="15"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hidden="1" customHeight="1" x14ac:dyDescent="0.3">
      <c r="A932" t="s">
        <v>109</v>
      </c>
      <c r="B932" s="2">
        <v>46204</v>
      </c>
      <c r="C932">
        <v>2598</v>
      </c>
    </row>
    <row r="933" spans="1:3" ht="15"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2" ht="15"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hidden="1" customHeight="1" x14ac:dyDescent="0.3">
      <c r="A1652" t="s">
        <v>152</v>
      </c>
      <c r="B1652" s="2">
        <v>46204</v>
      </c>
      <c r="C1652">
        <v>6388</v>
      </c>
    </row>
    <row r="1653" spans="1:3" ht="15"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hidden="1" customHeight="1" x14ac:dyDescent="0.3">
      <c r="A1688" t="s">
        <v>155</v>
      </c>
      <c r="B1688" s="2">
        <v>46204</v>
      </c>
      <c r="C1688">
        <v>0</v>
      </c>
    </row>
    <row r="1689" spans="1:3" ht="15" customHeight="1" x14ac:dyDescent="0.3">
      <c r="A1689" t="s">
        <v>213</v>
      </c>
      <c r="B1689" s="2">
        <v>46235</v>
      </c>
      <c r="C1689">
        <v>6879.2251100000003</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customHeight="1" x14ac:dyDescent="0.3">
      <c r="A1761" t="s">
        <v>218</v>
      </c>
      <c r="B1761" s="2">
        <v>46235</v>
      </c>
      <c r="C1761">
        <v>2969.43633</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x14ac:dyDescent="0.3">
      <c r="A2709" t="s">
        <v>251</v>
      </c>
      <c r="B2709" s="2">
        <v>46235</v>
      </c>
      <c r="C2709">
        <v>19960.113000000001</v>
      </c>
    </row>
    <row r="2710" spans="1:3" x14ac:dyDescent="0.3">
      <c r="A2710" t="s">
        <v>244</v>
      </c>
      <c r="B2710" s="2">
        <v>46235</v>
      </c>
      <c r="C2710">
        <v>9230</v>
      </c>
    </row>
    <row r="2711" spans="1:3" x14ac:dyDescent="0.3">
      <c r="A2711" t="s">
        <v>1013</v>
      </c>
      <c r="B2711" s="2">
        <v>46235</v>
      </c>
      <c r="C2711">
        <v>13767.458000000001</v>
      </c>
    </row>
    <row r="2712" spans="1:3" x14ac:dyDescent="0.3">
      <c r="A2712" t="s">
        <v>1004</v>
      </c>
      <c r="B2712" s="2">
        <v>46235</v>
      </c>
      <c r="C2712">
        <v>4246.9290000000001</v>
      </c>
    </row>
    <row r="2713" spans="1:3" x14ac:dyDescent="0.3">
      <c r="A2713" t="s">
        <v>1002</v>
      </c>
      <c r="B2713" s="2">
        <v>46235</v>
      </c>
      <c r="C2713">
        <v>15700</v>
      </c>
    </row>
    <row r="2714" spans="1:3"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opLeftCell="A1113" zoomScaleNormal="100" workbookViewId="0">
      <selection activeCell="G537" sqref="G537"/>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874</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874</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row>
    <row r="898" spans="1:6"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row>
    <row r="1042" spans="1:6"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row>
    <row r="1474" spans="1:6"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row>
    <row r="1618" spans="1:6"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6879.2251100000003</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f t="shared" si="56"/>
        <v>2.9933184325697564</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f t="shared" si="56"/>
        <v>2.7812948539514291</v>
      </c>
      <c r="F1761" t="str">
        <f t="shared" si="57"/>
        <v>Expected</v>
      </c>
      <c r="G1761" t="s">
        <v>874</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2969.43633</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f t="shared" si="58"/>
        <v>1.2540993991932035</v>
      </c>
      <c r="F1797" t="str">
        <f t="shared" si="59"/>
        <v>Expected</v>
      </c>
      <c r="G1797" t="s">
        <v>874</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row>
    <row r="1906" spans="1:6"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row>
    <row r="2194" spans="1:6"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customHeight="1" x14ac:dyDescent="0.3">
      <c r="A2337" t="s">
        <v>208</v>
      </c>
      <c r="B2337" s="2">
        <v>46235</v>
      </c>
      <c r="C2337" cm="1">
        <f t="array" ref="C2337">IFERROR(IF(SUMPRODUCT((measured[Site Name]=A2337)*(measured[Date]=B2337)*ISNUMBER(measured[Measured Value (kWh)]))=0,"",SUMIFS(measured[Measured Value (kWh)],measured[Site Name],A2337,measured[Date],B2337)),"")</f>
        <v>11233.53</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f t="shared" si="74"/>
        <v>0.77554989437057287</v>
      </c>
      <c r="F2337" t="str">
        <f t="shared" si="75"/>
        <v>Moderate</v>
      </c>
    </row>
    <row r="2338" spans="1:6"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customHeight="1" x14ac:dyDescent="0.3">
      <c r="A2625" t="s">
        <v>202</v>
      </c>
      <c r="B2625" s="2">
        <v>46235</v>
      </c>
      <c r="C2625" cm="1">
        <f t="array" ref="C2625">IFERROR(IF(SUMPRODUCT((measured[Site Name]=A2625)*(measured[Date]=B2625)*ISNUMBER(measured[Measured Value (kWh)]))=0,"",SUMIFS(measured[Measured Value (kWh)],measured[Site Name],A2625,measured[Date],B2625)),"")</f>
        <v>18697</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f t="shared" si="84"/>
        <v>0.8473139915345641</v>
      </c>
      <c r="F2625" t="str">
        <f t="shared" si="85"/>
        <v>Moderate</v>
      </c>
    </row>
    <row r="2626" spans="1:6"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2026-09-03T13:04:24Z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